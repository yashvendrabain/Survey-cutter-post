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'_RawData'!$A$2:$A$3001</definedName>
    <definedName name="Q_STREAM_data">'_RawData'!$B$2:$B$3001</definedName>
    <definedName name="passes_workbook_filters_data">'_RawData'!$C$2:$C$3001</definedName>
    <definedName name="F_Custom1_match_data">'_RawData'!$D$2:$D$3001</definedName>
    <definedName name="F_Custom2_match_data">'_RawData'!$E$2:$E$3001</definedName>
    <definedName name="passes_workbook_custom_filters_data">'_RawData'!$F$2:$F$3001</definedName>
    <definedName name="All_Questions_passes_local_filters_data">'_RawData'!$G$2:$G$3001</definedName>
    <definedName name="All_Questions_Q_STREAM_F_passes_per_q_filter_data">'_RawData'!$H$2:$H$3001</definedName>
    <definedName name="All_Questions">'_Options'!$A$2:$A$3</definedName>
    <definedName name="All_Questions_Local">'_Options'!$B$2:$B$4</definedName>
    <definedName name="None_options">'_Options'!$E$2:$E$2</definedName>
    <definedName name="Q_STREAM_options">'_Options'!$F$2:$F$4</definedName>
    <definedName name="Q_STREAM_local_options">'_Options'!$G$2:$G$5</definedName>
    <definedName name="All_Questions_Data_Names">'_Options'!$C$2:$C$3</definedName>
    <definedName name="All_Questions_Options_Names">'_Options'!$D$2:$D$3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Q_STREAM_F_Q">'All Questions'!$C$13</definedName>
    <definedName name="All_Questions_Q_STREAM_F_V">'All Questions'!$E$13</definedName>
    <definedName name="All_Questions_Q_STREAM_F_resolved_column">'All Questions'!$F$13</definedName>
    <definedName name="All_Questions_Q_STREAM_F_wrapped">'All Questions'!$G$13</definedName>
    <definedName name="All_Questions_Q_STREAM_CT">'All Questions'!$C$14</definedName>
  </definedNames>
  <calcPr calcId="124519" fullCalcOnLoad="1"/>
</workbook>
</file>

<file path=xl/calcChain.xml><?xml version="1.0" encoding="utf-8"?>
<calcChain xmlns="http://schemas.openxmlformats.org/spreadsheetml/2006/main">
  <c r="C2" i="1"/>
  <c r="D2" i="1"/>
  <c r="E2" i="1"/>
  <c r="F2" i="1"/>
  <c r="G2" i="1"/>
  <c r="H2" i="1"/>
  <c r="C3" i="1"/>
  <c r="D3" i="1"/>
  <c r="E3" i="1"/>
  <c r="F3" i="1"/>
  <c r="G3" i="1"/>
  <c r="H3" i="1"/>
  <c r="C4" i="1"/>
  <c r="D4" i="1"/>
  <c r="E4" i="1"/>
  <c r="F4" i="1"/>
  <c r="G4" i="1"/>
  <c r="H4" i="1"/>
  <c r="C5" i="1"/>
  <c r="D5" i="1"/>
  <c r="E5" i="1"/>
  <c r="F5" i="1"/>
  <c r="G5" i="1"/>
  <c r="H5" i="1"/>
  <c r="C6" i="1"/>
  <c r="D6" i="1"/>
  <c r="E6" i="1"/>
  <c r="F6" i="1"/>
  <c r="G6" i="1"/>
  <c r="H6" i="1"/>
  <c r="C7" i="1"/>
  <c r="D7" i="1"/>
  <c r="E7" i="1"/>
  <c r="F7" i="1"/>
  <c r="G7" i="1"/>
  <c r="H7" i="1"/>
  <c r="C8" i="1"/>
  <c r="D8" i="1"/>
  <c r="E8" i="1"/>
  <c r="F8" i="1"/>
  <c r="G8" i="1"/>
  <c r="H8" i="1"/>
  <c r="C9" i="1"/>
  <c r="D9" i="1"/>
  <c r="E9" i="1"/>
  <c r="F9" i="1"/>
  <c r="G9" i="1"/>
  <c r="H9" i="1"/>
  <c r="C10" i="1"/>
  <c r="D10" i="1"/>
  <c r="E10" i="1"/>
  <c r="F10" i="1"/>
  <c r="G10" i="1"/>
  <c r="H10" i="1"/>
  <c r="C11" i="1"/>
  <c r="D11" i="1"/>
  <c r="E11" i="1"/>
  <c r="F11" i="1"/>
  <c r="G11" i="1"/>
  <c r="H11" i="1"/>
  <c r="C12" i="1"/>
  <c r="D12" i="1"/>
  <c r="E12" i="1"/>
  <c r="F12" i="1"/>
  <c r="G12" i="1"/>
  <c r="H12" i="1"/>
  <c r="C13" i="1"/>
  <c r="D13" i="1"/>
  <c r="E13" i="1"/>
  <c r="F13" i="1"/>
  <c r="G13" i="1"/>
  <c r="H13" i="1"/>
  <c r="C14" i="1"/>
  <c r="D14" i="1"/>
  <c r="E14" i="1"/>
  <c r="F14" i="1"/>
  <c r="G14" i="1"/>
  <c r="H14" i="1"/>
  <c r="C15" i="1"/>
  <c r="D15" i="1"/>
  <c r="E15" i="1"/>
  <c r="F15" i="1"/>
  <c r="G15" i="1"/>
  <c r="H15" i="1"/>
  <c r="C16" i="1"/>
  <c r="D16" i="1"/>
  <c r="E16" i="1"/>
  <c r="F16" i="1"/>
  <c r="G16" i="1"/>
  <c r="H16" i="1"/>
  <c r="C17" i="1"/>
  <c r="D17" i="1"/>
  <c r="E17" i="1"/>
  <c r="F17" i="1"/>
  <c r="G17" i="1"/>
  <c r="H17" i="1"/>
  <c r="C18" i="1"/>
  <c r="D18" i="1"/>
  <c r="E18" i="1"/>
  <c r="F18" i="1"/>
  <c r="G18" i="1"/>
  <c r="H18" i="1"/>
  <c r="C19" i="1"/>
  <c r="D19" i="1"/>
  <c r="E19" i="1"/>
  <c r="F19" i="1"/>
  <c r="G19" i="1"/>
  <c r="H19" i="1"/>
  <c r="C20" i="1"/>
  <c r="D20" i="1"/>
  <c r="E20" i="1"/>
  <c r="F20" i="1"/>
  <c r="G20" i="1"/>
  <c r="H20" i="1"/>
  <c r="C21" i="1"/>
  <c r="D21" i="1"/>
  <c r="E21" i="1"/>
  <c r="F21" i="1"/>
  <c r="G21" i="1"/>
  <c r="H21" i="1"/>
  <c r="C22" i="1"/>
  <c r="D22" i="1"/>
  <c r="E22" i="1"/>
  <c r="F22" i="1"/>
  <c r="G22" i="1"/>
  <c r="H22" i="1"/>
  <c r="C23" i="1"/>
  <c r="D23" i="1"/>
  <c r="E23" i="1"/>
  <c r="F23" i="1"/>
  <c r="G23" i="1"/>
  <c r="H23" i="1"/>
  <c r="C24" i="1"/>
  <c r="D24" i="1"/>
  <c r="E24" i="1"/>
  <c r="F24" i="1"/>
  <c r="G24" i="1"/>
  <c r="H24" i="1"/>
  <c r="C25" i="1"/>
  <c r="D25" i="1"/>
  <c r="E25" i="1"/>
  <c r="F25" i="1"/>
  <c r="G25" i="1"/>
  <c r="H25" i="1"/>
  <c r="C26" i="1"/>
  <c r="D26" i="1"/>
  <c r="E26" i="1"/>
  <c r="F26" i="1"/>
  <c r="G26" i="1"/>
  <c r="H26" i="1"/>
  <c r="C27" i="1"/>
  <c r="D27" i="1"/>
  <c r="E27" i="1"/>
  <c r="F27" i="1"/>
  <c r="G27" i="1"/>
  <c r="H27" i="1"/>
  <c r="C28" i="1"/>
  <c r="D28" i="1"/>
  <c r="E28" i="1"/>
  <c r="F28" i="1"/>
  <c r="G28" i="1"/>
  <c r="H28" i="1"/>
  <c r="C29" i="1"/>
  <c r="D29" i="1"/>
  <c r="E29" i="1"/>
  <c r="F29" i="1"/>
  <c r="G29" i="1"/>
  <c r="H29" i="1"/>
  <c r="C30" i="1"/>
  <c r="D30" i="1"/>
  <c r="E30" i="1"/>
  <c r="F30" i="1"/>
  <c r="G30" i="1"/>
  <c r="H30" i="1"/>
  <c r="C31" i="1"/>
  <c r="D31" i="1"/>
  <c r="E31" i="1"/>
  <c r="F31" i="1"/>
  <c r="G31" i="1"/>
  <c r="H31" i="1"/>
  <c r="C32" i="1"/>
  <c r="D32" i="1"/>
  <c r="E32" i="1"/>
  <c r="F32" i="1"/>
  <c r="G32" i="1"/>
  <c r="H32" i="1"/>
  <c r="C33" i="1"/>
  <c r="D33" i="1"/>
  <c r="E33" i="1"/>
  <c r="F33" i="1"/>
  <c r="G33" i="1"/>
  <c r="H33" i="1"/>
  <c r="C34" i="1"/>
  <c r="D34" i="1"/>
  <c r="E34" i="1"/>
  <c r="F34" i="1"/>
  <c r="G34" i="1"/>
  <c r="H34" i="1"/>
  <c r="C35" i="1"/>
  <c r="D35" i="1"/>
  <c r="E35" i="1"/>
  <c r="F35" i="1"/>
  <c r="G35" i="1"/>
  <c r="H35" i="1"/>
  <c r="C36" i="1"/>
  <c r="D36" i="1"/>
  <c r="E36" i="1"/>
  <c r="F36" i="1"/>
  <c r="G36" i="1"/>
  <c r="H36" i="1"/>
  <c r="C37" i="1"/>
  <c r="D37" i="1"/>
  <c r="E37" i="1"/>
  <c r="F37" i="1"/>
  <c r="G37" i="1"/>
  <c r="H37" i="1"/>
  <c r="C38" i="1"/>
  <c r="D38" i="1"/>
  <c r="E38" i="1"/>
  <c r="F38" i="1"/>
  <c r="G38" i="1"/>
  <c r="H38" i="1"/>
  <c r="C39" i="1"/>
  <c r="D39" i="1"/>
  <c r="E39" i="1"/>
  <c r="F39" i="1"/>
  <c r="G39" i="1"/>
  <c r="H39" i="1"/>
  <c r="C40" i="1"/>
  <c r="D40" i="1"/>
  <c r="E40" i="1"/>
  <c r="F40" i="1"/>
  <c r="G40" i="1"/>
  <c r="H40" i="1"/>
  <c r="C41" i="1"/>
  <c r="D41" i="1"/>
  <c r="E41" i="1"/>
  <c r="F41" i="1"/>
  <c r="G41" i="1"/>
  <c r="H41" i="1"/>
  <c r="C42" i="1"/>
  <c r="D42" i="1"/>
  <c r="E42" i="1"/>
  <c r="F42" i="1"/>
  <c r="G42" i="1"/>
  <c r="H42" i="1"/>
  <c r="C43" i="1"/>
  <c r="D43" i="1"/>
  <c r="E43" i="1"/>
  <c r="F43" i="1"/>
  <c r="G43" i="1"/>
  <c r="H43" i="1"/>
  <c r="C44" i="1"/>
  <c r="D44" i="1"/>
  <c r="E44" i="1"/>
  <c r="F44" i="1"/>
  <c r="G44" i="1"/>
  <c r="H44" i="1"/>
  <c r="C45" i="1"/>
  <c r="D45" i="1"/>
  <c r="E45" i="1"/>
  <c r="F45" i="1"/>
  <c r="G45" i="1"/>
  <c r="H45" i="1"/>
  <c r="C46" i="1"/>
  <c r="D46" i="1"/>
  <c r="E46" i="1"/>
  <c r="F46" i="1"/>
  <c r="G46" i="1"/>
  <c r="H46" i="1"/>
  <c r="C47" i="1"/>
  <c r="D47" i="1"/>
  <c r="E47" i="1"/>
  <c r="F47" i="1"/>
  <c r="G47" i="1"/>
  <c r="H47" i="1"/>
  <c r="C48" i="1"/>
  <c r="D48" i="1"/>
  <c r="E48" i="1"/>
  <c r="F48" i="1"/>
  <c r="G48" i="1"/>
  <c r="H48" i="1"/>
  <c r="C49" i="1"/>
  <c r="D49" i="1"/>
  <c r="E49" i="1"/>
  <c r="F49" i="1"/>
  <c r="G49" i="1"/>
  <c r="H49" i="1"/>
  <c r="C50" i="1"/>
  <c r="D50" i="1"/>
  <c r="E50" i="1"/>
  <c r="F50" i="1"/>
  <c r="G50" i="1"/>
  <c r="H50" i="1"/>
  <c r="C51" i="1"/>
  <c r="D51" i="1"/>
  <c r="E51" i="1"/>
  <c r="F51" i="1"/>
  <c r="G51" i="1"/>
  <c r="H51" i="1"/>
  <c r="C52" i="1"/>
  <c r="D52" i="1"/>
  <c r="E52" i="1"/>
  <c r="F52" i="1"/>
  <c r="G52" i="1"/>
  <c r="H52" i="1"/>
  <c r="C53" i="1"/>
  <c r="D53" i="1"/>
  <c r="E53" i="1"/>
  <c r="F53" i="1"/>
  <c r="G53" i="1"/>
  <c r="H53" i="1"/>
  <c r="C54" i="1"/>
  <c r="D54" i="1"/>
  <c r="E54" i="1"/>
  <c r="F54" i="1"/>
  <c r="G54" i="1"/>
  <c r="H54" i="1"/>
  <c r="C55" i="1"/>
  <c r="D55" i="1"/>
  <c r="E55" i="1"/>
  <c r="F55" i="1"/>
  <c r="G55" i="1"/>
  <c r="H55" i="1"/>
  <c r="C56" i="1"/>
  <c r="D56" i="1"/>
  <c r="E56" i="1"/>
  <c r="F56" i="1"/>
  <c r="G56" i="1"/>
  <c r="H56" i="1"/>
  <c r="C57" i="1"/>
  <c r="D57" i="1"/>
  <c r="E57" i="1"/>
  <c r="F57" i="1"/>
  <c r="G57" i="1"/>
  <c r="H57" i="1"/>
  <c r="C58" i="1"/>
  <c r="D58" i="1"/>
  <c r="E58" i="1"/>
  <c r="F58" i="1"/>
  <c r="G58" i="1"/>
  <c r="H58" i="1"/>
  <c r="C59" i="1"/>
  <c r="D59" i="1"/>
  <c r="E59" i="1"/>
  <c r="F59" i="1"/>
  <c r="G59" i="1"/>
  <c r="H59" i="1"/>
  <c r="C60" i="1"/>
  <c r="D60" i="1"/>
  <c r="E60" i="1"/>
  <c r="F60" i="1"/>
  <c r="G60" i="1"/>
  <c r="H60" i="1"/>
  <c r="C61" i="1"/>
  <c r="D61" i="1"/>
  <c r="E61" i="1"/>
  <c r="F61" i="1"/>
  <c r="G61" i="1"/>
  <c r="H61" i="1"/>
  <c r="C62" i="1"/>
  <c r="D62" i="1"/>
  <c r="E62" i="1"/>
  <c r="F62" i="1"/>
  <c r="G62" i="1"/>
  <c r="H62" i="1"/>
  <c r="C63" i="1"/>
  <c r="D63" i="1"/>
  <c r="E63" i="1"/>
  <c r="F63" i="1"/>
  <c r="G63" i="1"/>
  <c r="H63" i="1"/>
  <c r="C64" i="1"/>
  <c r="D64" i="1"/>
  <c r="E64" i="1"/>
  <c r="F64" i="1"/>
  <c r="G64" i="1"/>
  <c r="H64" i="1"/>
  <c r="C65" i="1"/>
  <c r="D65" i="1"/>
  <c r="E65" i="1"/>
  <c r="F65" i="1"/>
  <c r="G65" i="1"/>
  <c r="H65" i="1"/>
  <c r="C66" i="1"/>
  <c r="D66" i="1"/>
  <c r="E66" i="1"/>
  <c r="F66" i="1"/>
  <c r="G66" i="1"/>
  <c r="H66" i="1"/>
  <c r="C67" i="1"/>
  <c r="D67" i="1"/>
  <c r="E67" i="1"/>
  <c r="F67" i="1"/>
  <c r="G67" i="1"/>
  <c r="H67" i="1"/>
  <c r="C68" i="1"/>
  <c r="D68" i="1"/>
  <c r="E68" i="1"/>
  <c r="F68" i="1"/>
  <c r="G68" i="1"/>
  <c r="H68" i="1"/>
  <c r="C69" i="1"/>
  <c r="D69" i="1"/>
  <c r="E69" i="1"/>
  <c r="F69" i="1"/>
  <c r="G69" i="1"/>
  <c r="H69" i="1"/>
  <c r="C70" i="1"/>
  <c r="D70" i="1"/>
  <c r="E70" i="1"/>
  <c r="F70" i="1"/>
  <c r="G70" i="1"/>
  <c r="H70" i="1"/>
  <c r="C71" i="1"/>
  <c r="D71" i="1"/>
  <c r="E71" i="1"/>
  <c r="F71" i="1"/>
  <c r="G71" i="1"/>
  <c r="H71" i="1"/>
  <c r="C72" i="1"/>
  <c r="D72" i="1"/>
  <c r="E72" i="1"/>
  <c r="F72" i="1"/>
  <c r="G72" i="1"/>
  <c r="H72" i="1"/>
  <c r="C73" i="1"/>
  <c r="D73" i="1"/>
  <c r="E73" i="1"/>
  <c r="F73" i="1"/>
  <c r="G73" i="1"/>
  <c r="H73" i="1"/>
  <c r="C74" i="1"/>
  <c r="D74" i="1"/>
  <c r="E74" i="1"/>
  <c r="F74" i="1"/>
  <c r="G74" i="1"/>
  <c r="H74" i="1"/>
  <c r="C75" i="1"/>
  <c r="D75" i="1"/>
  <c r="E75" i="1"/>
  <c r="F75" i="1"/>
  <c r="G75" i="1"/>
  <c r="H75" i="1"/>
  <c r="C76" i="1"/>
  <c r="D76" i="1"/>
  <c r="E76" i="1"/>
  <c r="F76" i="1"/>
  <c r="G76" i="1"/>
  <c r="H76" i="1"/>
  <c r="C77" i="1"/>
  <c r="D77" i="1"/>
  <c r="E77" i="1"/>
  <c r="F77" i="1"/>
  <c r="G77" i="1"/>
  <c r="H77" i="1"/>
  <c r="C78" i="1"/>
  <c r="D78" i="1"/>
  <c r="E78" i="1"/>
  <c r="F78" i="1"/>
  <c r="G78" i="1"/>
  <c r="H78" i="1"/>
  <c r="C79" i="1"/>
  <c r="D79" i="1"/>
  <c r="E79" i="1"/>
  <c r="F79" i="1"/>
  <c r="G79" i="1"/>
  <c r="H79" i="1"/>
  <c r="C80" i="1"/>
  <c r="D80" i="1"/>
  <c r="E80" i="1"/>
  <c r="F80" i="1"/>
  <c r="G80" i="1"/>
  <c r="H80" i="1"/>
  <c r="C81" i="1"/>
  <c r="D81" i="1"/>
  <c r="E81" i="1"/>
  <c r="F81" i="1"/>
  <c r="G81" i="1"/>
  <c r="H81" i="1"/>
  <c r="C82" i="1"/>
  <c r="D82" i="1"/>
  <c r="E82" i="1"/>
  <c r="F82" i="1"/>
  <c r="G82" i="1"/>
  <c r="H82" i="1"/>
  <c r="C83" i="1"/>
  <c r="D83" i="1"/>
  <c r="E83" i="1"/>
  <c r="F83" i="1"/>
  <c r="G83" i="1"/>
  <c r="H83" i="1"/>
  <c r="C84" i="1"/>
  <c r="D84" i="1"/>
  <c r="E84" i="1"/>
  <c r="F84" i="1"/>
  <c r="G84" i="1"/>
  <c r="H84" i="1"/>
  <c r="C85" i="1"/>
  <c r="D85" i="1"/>
  <c r="E85" i="1"/>
  <c r="F85" i="1"/>
  <c r="G85" i="1"/>
  <c r="H85" i="1"/>
  <c r="C86" i="1"/>
  <c r="D86" i="1"/>
  <c r="E86" i="1"/>
  <c r="F86" i="1"/>
  <c r="G86" i="1"/>
  <c r="H86" i="1"/>
  <c r="C87" i="1"/>
  <c r="D87" i="1"/>
  <c r="E87" i="1"/>
  <c r="F87" i="1"/>
  <c r="G87" i="1"/>
  <c r="H87" i="1"/>
  <c r="C88" i="1"/>
  <c r="D88" i="1"/>
  <c r="E88" i="1"/>
  <c r="F88" i="1"/>
  <c r="G88" i="1"/>
  <c r="H88" i="1"/>
  <c r="C89" i="1"/>
  <c r="D89" i="1"/>
  <c r="E89" i="1"/>
  <c r="F89" i="1"/>
  <c r="G89" i="1"/>
  <c r="H89" i="1"/>
  <c r="C90" i="1"/>
  <c r="D90" i="1"/>
  <c r="E90" i="1"/>
  <c r="F90" i="1"/>
  <c r="G90" i="1"/>
  <c r="H90" i="1"/>
  <c r="C91" i="1"/>
  <c r="D91" i="1"/>
  <c r="E91" i="1"/>
  <c r="F91" i="1"/>
  <c r="G91" i="1"/>
  <c r="H91" i="1"/>
  <c r="C92" i="1"/>
  <c r="D92" i="1"/>
  <c r="E92" i="1"/>
  <c r="F92" i="1"/>
  <c r="G92" i="1"/>
  <c r="H92" i="1"/>
  <c r="C93" i="1"/>
  <c r="D93" i="1"/>
  <c r="E93" i="1"/>
  <c r="F93" i="1"/>
  <c r="G93" i="1"/>
  <c r="H93" i="1"/>
  <c r="C94" i="1"/>
  <c r="D94" i="1"/>
  <c r="E94" i="1"/>
  <c r="F94" i="1"/>
  <c r="G94" i="1"/>
  <c r="H94" i="1"/>
  <c r="C95" i="1"/>
  <c r="D95" i="1"/>
  <c r="E95" i="1"/>
  <c r="F95" i="1"/>
  <c r="G95" i="1"/>
  <c r="H95" i="1"/>
  <c r="C96" i="1"/>
  <c r="D96" i="1"/>
  <c r="E96" i="1"/>
  <c r="F96" i="1"/>
  <c r="G96" i="1"/>
  <c r="H96" i="1"/>
  <c r="C97" i="1"/>
  <c r="D97" i="1"/>
  <c r="E97" i="1"/>
  <c r="F97" i="1"/>
  <c r="G97" i="1"/>
  <c r="H97" i="1"/>
  <c r="C98" i="1"/>
  <c r="D98" i="1"/>
  <c r="E98" i="1"/>
  <c r="F98" i="1"/>
  <c r="G98" i="1"/>
  <c r="H98" i="1"/>
  <c r="C99" i="1"/>
  <c r="D99" i="1"/>
  <c r="E99" i="1"/>
  <c r="F99" i="1"/>
  <c r="G99" i="1"/>
  <c r="H99" i="1"/>
  <c r="C100" i="1"/>
  <c r="D100" i="1"/>
  <c r="E100" i="1"/>
  <c r="F100" i="1"/>
  <c r="G100" i="1"/>
  <c r="H100" i="1"/>
  <c r="C101" i="1"/>
  <c r="D101" i="1"/>
  <c r="E101" i="1"/>
  <c r="F101" i="1"/>
  <c r="G101" i="1"/>
  <c r="H101" i="1"/>
  <c r="C102" i="1"/>
  <c r="D102" i="1"/>
  <c r="E102" i="1"/>
  <c r="F102" i="1"/>
  <c r="G102" i="1"/>
  <c r="H102" i="1"/>
  <c r="C103" i="1"/>
  <c r="D103" i="1"/>
  <c r="E103" i="1"/>
  <c r="F103" i="1"/>
  <c r="G103" i="1"/>
  <c r="H103" i="1"/>
  <c r="C104" i="1"/>
  <c r="D104" i="1"/>
  <c r="E104" i="1"/>
  <c r="F104" i="1"/>
  <c r="G104" i="1"/>
  <c r="H104" i="1"/>
  <c r="C105" i="1"/>
  <c r="D105" i="1"/>
  <c r="E105" i="1"/>
  <c r="F105" i="1"/>
  <c r="G105" i="1"/>
  <c r="H105" i="1"/>
  <c r="C106" i="1"/>
  <c r="D106" i="1"/>
  <c r="E106" i="1"/>
  <c r="F106" i="1"/>
  <c r="G106" i="1"/>
  <c r="H106" i="1"/>
  <c r="C107" i="1"/>
  <c r="D107" i="1"/>
  <c r="E107" i="1"/>
  <c r="F107" i="1"/>
  <c r="G107" i="1"/>
  <c r="H107" i="1"/>
  <c r="C108" i="1"/>
  <c r="D108" i="1"/>
  <c r="E108" i="1"/>
  <c r="F108" i="1"/>
  <c r="G108" i="1"/>
  <c r="H108" i="1"/>
  <c r="C109" i="1"/>
  <c r="D109" i="1"/>
  <c r="E109" i="1"/>
  <c r="F109" i="1"/>
  <c r="G109" i="1"/>
  <c r="H109" i="1"/>
  <c r="C110" i="1"/>
  <c r="D110" i="1"/>
  <c r="E110" i="1"/>
  <c r="F110" i="1"/>
  <c r="G110" i="1"/>
  <c r="H110" i="1"/>
  <c r="C111" i="1"/>
  <c r="D111" i="1"/>
  <c r="E111" i="1"/>
  <c r="F111" i="1"/>
  <c r="G111" i="1"/>
  <c r="H111" i="1"/>
  <c r="C112" i="1"/>
  <c r="D112" i="1"/>
  <c r="E112" i="1"/>
  <c r="F112" i="1"/>
  <c r="G112" i="1"/>
  <c r="H112" i="1"/>
  <c r="C113" i="1"/>
  <c r="D113" i="1"/>
  <c r="E113" i="1"/>
  <c r="F113" i="1"/>
  <c r="G113" i="1"/>
  <c r="H113" i="1"/>
  <c r="C114" i="1"/>
  <c r="D114" i="1"/>
  <c r="E114" i="1"/>
  <c r="F114" i="1"/>
  <c r="G114" i="1"/>
  <c r="H114" i="1"/>
  <c r="C115" i="1"/>
  <c r="D115" i="1"/>
  <c r="E115" i="1"/>
  <c r="F115" i="1"/>
  <c r="G115" i="1"/>
  <c r="H115" i="1"/>
  <c r="C116" i="1"/>
  <c r="D116" i="1"/>
  <c r="E116" i="1"/>
  <c r="F116" i="1"/>
  <c r="G116" i="1"/>
  <c r="H116" i="1"/>
  <c r="C117" i="1"/>
  <c r="D117" i="1"/>
  <c r="E117" i="1"/>
  <c r="F117" i="1"/>
  <c r="G117" i="1"/>
  <c r="H117" i="1"/>
  <c r="C118" i="1"/>
  <c r="D118" i="1"/>
  <c r="E118" i="1"/>
  <c r="F118" i="1"/>
  <c r="G118" i="1"/>
  <c r="H118" i="1"/>
  <c r="C119" i="1"/>
  <c r="D119" i="1"/>
  <c r="E119" i="1"/>
  <c r="F119" i="1"/>
  <c r="G119" i="1"/>
  <c r="H119" i="1"/>
  <c r="C120" i="1"/>
  <c r="D120" i="1"/>
  <c r="E120" i="1"/>
  <c r="F120" i="1"/>
  <c r="G120" i="1"/>
  <c r="H120" i="1"/>
  <c r="C121" i="1"/>
  <c r="D121" i="1"/>
  <c r="E121" i="1"/>
  <c r="F121" i="1"/>
  <c r="G121" i="1"/>
  <c r="H121" i="1"/>
  <c r="C122" i="1"/>
  <c r="D122" i="1"/>
  <c r="E122" i="1"/>
  <c r="F122" i="1"/>
  <c r="G122" i="1"/>
  <c r="H122" i="1"/>
  <c r="C123" i="1"/>
  <c r="D123" i="1"/>
  <c r="E123" i="1"/>
  <c r="F123" i="1"/>
  <c r="G123" i="1"/>
  <c r="H123" i="1"/>
  <c r="C124" i="1"/>
  <c r="D124" i="1"/>
  <c r="E124" i="1"/>
  <c r="F124" i="1"/>
  <c r="G124" i="1"/>
  <c r="H124" i="1"/>
  <c r="C125" i="1"/>
  <c r="D125" i="1"/>
  <c r="E125" i="1"/>
  <c r="F125" i="1"/>
  <c r="G125" i="1"/>
  <c r="H125" i="1"/>
  <c r="C126" i="1"/>
  <c r="D126" i="1"/>
  <c r="E126" i="1"/>
  <c r="F126" i="1"/>
  <c r="G126" i="1"/>
  <c r="H126" i="1"/>
  <c r="C127" i="1"/>
  <c r="D127" i="1"/>
  <c r="E127" i="1"/>
  <c r="F127" i="1"/>
  <c r="G127" i="1"/>
  <c r="H127" i="1"/>
  <c r="C128" i="1"/>
  <c r="D128" i="1"/>
  <c r="E128" i="1"/>
  <c r="F128" i="1"/>
  <c r="G128" i="1"/>
  <c r="H128" i="1"/>
  <c r="C129" i="1"/>
  <c r="D129" i="1"/>
  <c r="E129" i="1"/>
  <c r="F129" i="1"/>
  <c r="G129" i="1"/>
  <c r="H129" i="1"/>
  <c r="C130" i="1"/>
  <c r="D130" i="1"/>
  <c r="E130" i="1"/>
  <c r="F130" i="1"/>
  <c r="G130" i="1"/>
  <c r="H130" i="1"/>
  <c r="C131" i="1"/>
  <c r="D131" i="1"/>
  <c r="E131" i="1"/>
  <c r="F131" i="1"/>
  <c r="G131" i="1"/>
  <c r="H131" i="1"/>
  <c r="C132" i="1"/>
  <c r="D132" i="1"/>
  <c r="E132" i="1"/>
  <c r="F132" i="1"/>
  <c r="G132" i="1"/>
  <c r="H132" i="1"/>
  <c r="C133" i="1"/>
  <c r="D133" i="1"/>
  <c r="E133" i="1"/>
  <c r="F133" i="1"/>
  <c r="G133" i="1"/>
  <c r="H133" i="1"/>
  <c r="C134" i="1"/>
  <c r="D134" i="1"/>
  <c r="E134" i="1"/>
  <c r="F134" i="1"/>
  <c r="G134" i="1"/>
  <c r="H134" i="1"/>
  <c r="C135" i="1"/>
  <c r="D135" i="1"/>
  <c r="E135" i="1"/>
  <c r="F135" i="1"/>
  <c r="G135" i="1"/>
  <c r="H135" i="1"/>
  <c r="C136" i="1"/>
  <c r="D136" i="1"/>
  <c r="E136" i="1"/>
  <c r="F136" i="1"/>
  <c r="G136" i="1"/>
  <c r="H136" i="1"/>
  <c r="C137" i="1"/>
  <c r="D137" i="1"/>
  <c r="E137" i="1"/>
  <c r="F137" i="1"/>
  <c r="G137" i="1"/>
  <c r="H137" i="1"/>
  <c r="C138" i="1"/>
  <c r="D138" i="1"/>
  <c r="E138" i="1"/>
  <c r="F138" i="1"/>
  <c r="G138" i="1"/>
  <c r="H138" i="1"/>
  <c r="C139" i="1"/>
  <c r="D139" i="1"/>
  <c r="E139" i="1"/>
  <c r="F139" i="1"/>
  <c r="G139" i="1"/>
  <c r="H139" i="1"/>
  <c r="C140" i="1"/>
  <c r="D140" i="1"/>
  <c r="E140" i="1"/>
  <c r="F140" i="1"/>
  <c r="G140" i="1"/>
  <c r="H140" i="1"/>
  <c r="C141" i="1"/>
  <c r="D141" i="1"/>
  <c r="E141" i="1"/>
  <c r="F141" i="1"/>
  <c r="G141" i="1"/>
  <c r="H141" i="1"/>
  <c r="C142" i="1"/>
  <c r="D142" i="1"/>
  <c r="E142" i="1"/>
  <c r="F142" i="1"/>
  <c r="G142" i="1"/>
  <c r="H142" i="1"/>
  <c r="C143" i="1"/>
  <c r="D143" i="1"/>
  <c r="E143" i="1"/>
  <c r="F143" i="1"/>
  <c r="G143" i="1"/>
  <c r="H143" i="1"/>
  <c r="C144" i="1"/>
  <c r="D144" i="1"/>
  <c r="E144" i="1"/>
  <c r="F144" i="1"/>
  <c r="G144" i="1"/>
  <c r="H144" i="1"/>
  <c r="C145" i="1"/>
  <c r="D145" i="1"/>
  <c r="E145" i="1"/>
  <c r="F145" i="1"/>
  <c r="G145" i="1"/>
  <c r="H145" i="1"/>
  <c r="C146" i="1"/>
  <c r="D146" i="1"/>
  <c r="E146" i="1"/>
  <c r="F146" i="1"/>
  <c r="G146" i="1"/>
  <c r="H146" i="1"/>
  <c r="C147" i="1"/>
  <c r="D147" i="1"/>
  <c r="E147" i="1"/>
  <c r="F147" i="1"/>
  <c r="G147" i="1"/>
  <c r="H147" i="1"/>
  <c r="C148" i="1"/>
  <c r="D148" i="1"/>
  <c r="E148" i="1"/>
  <c r="F148" i="1"/>
  <c r="G148" i="1"/>
  <c r="H148" i="1"/>
  <c r="C149" i="1"/>
  <c r="D149" i="1"/>
  <c r="E149" i="1"/>
  <c r="F149" i="1"/>
  <c r="G149" i="1"/>
  <c r="H149" i="1"/>
  <c r="C150" i="1"/>
  <c r="D150" i="1"/>
  <c r="E150" i="1"/>
  <c r="F150" i="1"/>
  <c r="G150" i="1"/>
  <c r="H150" i="1"/>
  <c r="C151" i="1"/>
  <c r="D151" i="1"/>
  <c r="E151" i="1"/>
  <c r="F151" i="1"/>
  <c r="G151" i="1"/>
  <c r="H151" i="1"/>
  <c r="C152" i="1"/>
  <c r="D152" i="1"/>
  <c r="E152" i="1"/>
  <c r="F152" i="1"/>
  <c r="G152" i="1"/>
  <c r="H152" i="1"/>
  <c r="C153" i="1"/>
  <c r="D153" i="1"/>
  <c r="E153" i="1"/>
  <c r="F153" i="1"/>
  <c r="G153" i="1"/>
  <c r="H153" i="1"/>
  <c r="C154" i="1"/>
  <c r="D154" i="1"/>
  <c r="E154" i="1"/>
  <c r="F154" i="1"/>
  <c r="G154" i="1"/>
  <c r="H154" i="1"/>
  <c r="C155" i="1"/>
  <c r="D155" i="1"/>
  <c r="E155" i="1"/>
  <c r="F155" i="1"/>
  <c r="G155" i="1"/>
  <c r="H155" i="1"/>
  <c r="C156" i="1"/>
  <c r="D156" i="1"/>
  <c r="E156" i="1"/>
  <c r="F156" i="1"/>
  <c r="G156" i="1"/>
  <c r="H156" i="1"/>
  <c r="C157" i="1"/>
  <c r="D157" i="1"/>
  <c r="E157" i="1"/>
  <c r="F157" i="1"/>
  <c r="G157" i="1"/>
  <c r="H157" i="1"/>
  <c r="C158" i="1"/>
  <c r="D158" i="1"/>
  <c r="E158" i="1"/>
  <c r="F158" i="1"/>
  <c r="G158" i="1"/>
  <c r="H158" i="1"/>
  <c r="C159" i="1"/>
  <c r="D159" i="1"/>
  <c r="E159" i="1"/>
  <c r="F159" i="1"/>
  <c r="G159" i="1"/>
  <c r="H159" i="1"/>
  <c r="C160" i="1"/>
  <c r="D160" i="1"/>
  <c r="E160" i="1"/>
  <c r="F160" i="1"/>
  <c r="G160" i="1"/>
  <c r="H160" i="1"/>
  <c r="C161" i="1"/>
  <c r="D161" i="1"/>
  <c r="E161" i="1"/>
  <c r="F161" i="1"/>
  <c r="G161" i="1"/>
  <c r="H161" i="1"/>
  <c r="C162" i="1"/>
  <c r="D162" i="1"/>
  <c r="E162" i="1"/>
  <c r="F162" i="1"/>
  <c r="G162" i="1"/>
  <c r="H162" i="1"/>
  <c r="C163" i="1"/>
  <c r="D163" i="1"/>
  <c r="E163" i="1"/>
  <c r="F163" i="1"/>
  <c r="G163" i="1"/>
  <c r="H163" i="1"/>
  <c r="C164" i="1"/>
  <c r="D164" i="1"/>
  <c r="E164" i="1"/>
  <c r="F164" i="1"/>
  <c r="G164" i="1"/>
  <c r="H164" i="1"/>
  <c r="C165" i="1"/>
  <c r="D165" i="1"/>
  <c r="E165" i="1"/>
  <c r="F165" i="1"/>
  <c r="G165" i="1"/>
  <c r="H165" i="1"/>
  <c r="C166" i="1"/>
  <c r="D166" i="1"/>
  <c r="E166" i="1"/>
  <c r="F166" i="1"/>
  <c r="G166" i="1"/>
  <c r="H166" i="1"/>
  <c r="C167" i="1"/>
  <c r="D167" i="1"/>
  <c r="E167" i="1"/>
  <c r="F167" i="1"/>
  <c r="G167" i="1"/>
  <c r="H167" i="1"/>
  <c r="C168" i="1"/>
  <c r="D168" i="1"/>
  <c r="E168" i="1"/>
  <c r="F168" i="1"/>
  <c r="G168" i="1"/>
  <c r="H168" i="1"/>
  <c r="C169" i="1"/>
  <c r="D169" i="1"/>
  <c r="E169" i="1"/>
  <c r="F169" i="1"/>
  <c r="G169" i="1"/>
  <c r="H169" i="1"/>
  <c r="C170" i="1"/>
  <c r="D170" i="1"/>
  <c r="E170" i="1"/>
  <c r="F170" i="1"/>
  <c r="G170" i="1"/>
  <c r="H170" i="1"/>
  <c r="C171" i="1"/>
  <c r="D171" i="1"/>
  <c r="E171" i="1"/>
  <c r="F171" i="1"/>
  <c r="G171" i="1"/>
  <c r="H171" i="1"/>
  <c r="C172" i="1"/>
  <c r="D172" i="1"/>
  <c r="E172" i="1"/>
  <c r="F172" i="1"/>
  <c r="G172" i="1"/>
  <c r="H172" i="1"/>
  <c r="C173" i="1"/>
  <c r="D173" i="1"/>
  <c r="E173" i="1"/>
  <c r="F173" i="1"/>
  <c r="G173" i="1"/>
  <c r="H173" i="1"/>
  <c r="C174" i="1"/>
  <c r="D174" i="1"/>
  <c r="E174" i="1"/>
  <c r="F174" i="1"/>
  <c r="G174" i="1"/>
  <c r="H174" i="1"/>
  <c r="C175" i="1"/>
  <c r="D175" i="1"/>
  <c r="E175" i="1"/>
  <c r="F175" i="1"/>
  <c r="G175" i="1"/>
  <c r="H175" i="1"/>
  <c r="C176" i="1"/>
  <c r="D176" i="1"/>
  <c r="E176" i="1"/>
  <c r="F176" i="1"/>
  <c r="G176" i="1"/>
  <c r="H176" i="1"/>
  <c r="C177" i="1"/>
  <c r="D177" i="1"/>
  <c r="E177" i="1"/>
  <c r="F177" i="1"/>
  <c r="G177" i="1"/>
  <c r="H177" i="1"/>
  <c r="C178" i="1"/>
  <c r="D178" i="1"/>
  <c r="E178" i="1"/>
  <c r="F178" i="1"/>
  <c r="G178" i="1"/>
  <c r="H178" i="1"/>
  <c r="C179" i="1"/>
  <c r="D179" i="1"/>
  <c r="E179" i="1"/>
  <c r="F179" i="1"/>
  <c r="G179" i="1"/>
  <c r="H179" i="1"/>
  <c r="C180" i="1"/>
  <c r="D180" i="1"/>
  <c r="E180" i="1"/>
  <c r="F180" i="1"/>
  <c r="G180" i="1"/>
  <c r="H180" i="1"/>
  <c r="C181" i="1"/>
  <c r="D181" i="1"/>
  <c r="E181" i="1"/>
  <c r="F181" i="1"/>
  <c r="G181" i="1"/>
  <c r="H181" i="1"/>
  <c r="C182" i="1"/>
  <c r="D182" i="1"/>
  <c r="E182" i="1"/>
  <c r="F182" i="1"/>
  <c r="G182" i="1"/>
  <c r="H182" i="1"/>
  <c r="C183" i="1"/>
  <c r="D183" i="1"/>
  <c r="E183" i="1"/>
  <c r="F183" i="1"/>
  <c r="G183" i="1"/>
  <c r="H183" i="1"/>
  <c r="C184" i="1"/>
  <c r="D184" i="1"/>
  <c r="E184" i="1"/>
  <c r="F184" i="1"/>
  <c r="G184" i="1"/>
  <c r="H184" i="1"/>
  <c r="C185" i="1"/>
  <c r="D185" i="1"/>
  <c r="E185" i="1"/>
  <c r="F185" i="1"/>
  <c r="G185" i="1"/>
  <c r="H185" i="1"/>
  <c r="C186" i="1"/>
  <c r="D186" i="1"/>
  <c r="E186" i="1"/>
  <c r="F186" i="1"/>
  <c r="G186" i="1"/>
  <c r="H186" i="1"/>
  <c r="C187" i="1"/>
  <c r="D187" i="1"/>
  <c r="E187" i="1"/>
  <c r="F187" i="1"/>
  <c r="G187" i="1"/>
  <c r="H187" i="1"/>
  <c r="C188" i="1"/>
  <c r="D188" i="1"/>
  <c r="E188" i="1"/>
  <c r="F188" i="1"/>
  <c r="G188" i="1"/>
  <c r="H188" i="1"/>
  <c r="C189" i="1"/>
  <c r="D189" i="1"/>
  <c r="E189" i="1"/>
  <c r="F189" i="1"/>
  <c r="G189" i="1"/>
  <c r="H189" i="1"/>
  <c r="C190" i="1"/>
  <c r="D190" i="1"/>
  <c r="E190" i="1"/>
  <c r="F190" i="1"/>
  <c r="G190" i="1"/>
  <c r="H190" i="1"/>
  <c r="C191" i="1"/>
  <c r="D191" i="1"/>
  <c r="E191" i="1"/>
  <c r="F191" i="1"/>
  <c r="G191" i="1"/>
  <c r="H191" i="1"/>
  <c r="C192" i="1"/>
  <c r="D192" i="1"/>
  <c r="E192" i="1"/>
  <c r="F192" i="1"/>
  <c r="G192" i="1"/>
  <c r="H192" i="1"/>
  <c r="C193" i="1"/>
  <c r="D193" i="1"/>
  <c r="E193" i="1"/>
  <c r="F193" i="1"/>
  <c r="G193" i="1"/>
  <c r="H193" i="1"/>
  <c r="C194" i="1"/>
  <c r="D194" i="1"/>
  <c r="E194" i="1"/>
  <c r="F194" i="1"/>
  <c r="G194" i="1"/>
  <c r="H194" i="1"/>
  <c r="C195" i="1"/>
  <c r="D195" i="1"/>
  <c r="E195" i="1"/>
  <c r="F195" i="1"/>
  <c r="G195" i="1"/>
  <c r="H195" i="1"/>
  <c r="C196" i="1"/>
  <c r="D196" i="1"/>
  <c r="E196" i="1"/>
  <c r="F196" i="1"/>
  <c r="G196" i="1"/>
  <c r="H196" i="1"/>
  <c r="C197" i="1"/>
  <c r="D197" i="1"/>
  <c r="E197" i="1"/>
  <c r="F197" i="1"/>
  <c r="G197" i="1"/>
  <c r="H197" i="1"/>
  <c r="C198" i="1"/>
  <c r="D198" i="1"/>
  <c r="E198" i="1"/>
  <c r="F198" i="1"/>
  <c r="G198" i="1"/>
  <c r="H198" i="1"/>
  <c r="C199" i="1"/>
  <c r="D199" i="1"/>
  <c r="E199" i="1"/>
  <c r="F199" i="1"/>
  <c r="G199" i="1"/>
  <c r="H199" i="1"/>
  <c r="C200" i="1"/>
  <c r="D200" i="1"/>
  <c r="E200" i="1"/>
  <c r="F200" i="1"/>
  <c r="G200" i="1"/>
  <c r="H200" i="1"/>
  <c r="C201" i="1"/>
  <c r="D201" i="1"/>
  <c r="E201" i="1"/>
  <c r="F201" i="1"/>
  <c r="G201" i="1"/>
  <c r="H201" i="1"/>
  <c r="C202" i="1"/>
  <c r="D202" i="1"/>
  <c r="E202" i="1"/>
  <c r="F202" i="1"/>
  <c r="G202" i="1"/>
  <c r="H202" i="1"/>
  <c r="C203" i="1"/>
  <c r="D203" i="1"/>
  <c r="E203" i="1"/>
  <c r="F203" i="1"/>
  <c r="G203" i="1"/>
  <c r="H203" i="1"/>
  <c r="C204" i="1"/>
  <c r="D204" i="1"/>
  <c r="E204" i="1"/>
  <c r="F204" i="1"/>
  <c r="G204" i="1"/>
  <c r="H204" i="1"/>
  <c r="C205" i="1"/>
  <c r="D205" i="1"/>
  <c r="E205" i="1"/>
  <c r="F205" i="1"/>
  <c r="G205" i="1"/>
  <c r="H205" i="1"/>
  <c r="C206" i="1"/>
  <c r="D206" i="1"/>
  <c r="E206" i="1"/>
  <c r="F206" i="1"/>
  <c r="G206" i="1"/>
  <c r="H206" i="1"/>
  <c r="C207" i="1"/>
  <c r="D207" i="1"/>
  <c r="E207" i="1"/>
  <c r="F207" i="1"/>
  <c r="G207" i="1"/>
  <c r="H207" i="1"/>
  <c r="C208" i="1"/>
  <c r="D208" i="1"/>
  <c r="E208" i="1"/>
  <c r="F208" i="1"/>
  <c r="G208" i="1"/>
  <c r="H208" i="1"/>
  <c r="C209" i="1"/>
  <c r="D209" i="1"/>
  <c r="E209" i="1"/>
  <c r="F209" i="1"/>
  <c r="G209" i="1"/>
  <c r="H209" i="1"/>
  <c r="C210" i="1"/>
  <c r="D210" i="1"/>
  <c r="E210" i="1"/>
  <c r="F210" i="1"/>
  <c r="G210" i="1"/>
  <c r="H210" i="1"/>
  <c r="C211" i="1"/>
  <c r="D211" i="1"/>
  <c r="E211" i="1"/>
  <c r="F211" i="1"/>
  <c r="G211" i="1"/>
  <c r="H211" i="1"/>
  <c r="C212" i="1"/>
  <c r="D212" i="1"/>
  <c r="E212" i="1"/>
  <c r="F212" i="1"/>
  <c r="G212" i="1"/>
  <c r="H212" i="1"/>
  <c r="C213" i="1"/>
  <c r="D213" i="1"/>
  <c r="E213" i="1"/>
  <c r="F213" i="1"/>
  <c r="G213" i="1"/>
  <c r="H213" i="1"/>
  <c r="C214" i="1"/>
  <c r="D214" i="1"/>
  <c r="E214" i="1"/>
  <c r="F214" i="1"/>
  <c r="G214" i="1"/>
  <c r="H214" i="1"/>
  <c r="C215" i="1"/>
  <c r="D215" i="1"/>
  <c r="E215" i="1"/>
  <c r="F215" i="1"/>
  <c r="G215" i="1"/>
  <c r="H215" i="1"/>
  <c r="C216" i="1"/>
  <c r="D216" i="1"/>
  <c r="E216" i="1"/>
  <c r="F216" i="1"/>
  <c r="G216" i="1"/>
  <c r="H216" i="1"/>
  <c r="C217" i="1"/>
  <c r="D217" i="1"/>
  <c r="E217" i="1"/>
  <c r="F217" i="1"/>
  <c r="G217" i="1"/>
  <c r="H217" i="1"/>
  <c r="C218" i="1"/>
  <c r="D218" i="1"/>
  <c r="E218" i="1"/>
  <c r="F218" i="1"/>
  <c r="G218" i="1"/>
  <c r="H218" i="1"/>
  <c r="C219" i="1"/>
  <c r="D219" i="1"/>
  <c r="E219" i="1"/>
  <c r="F219" i="1"/>
  <c r="G219" i="1"/>
  <c r="H219" i="1"/>
  <c r="C220" i="1"/>
  <c r="D220" i="1"/>
  <c r="E220" i="1"/>
  <c r="F220" i="1"/>
  <c r="G220" i="1"/>
  <c r="H220" i="1"/>
  <c r="C221" i="1"/>
  <c r="D221" i="1"/>
  <c r="E221" i="1"/>
  <c r="F221" i="1"/>
  <c r="G221" i="1"/>
  <c r="H221" i="1"/>
  <c r="C222" i="1"/>
  <c r="D222" i="1"/>
  <c r="E222" i="1"/>
  <c r="F222" i="1"/>
  <c r="G222" i="1"/>
  <c r="H222" i="1"/>
  <c r="C223" i="1"/>
  <c r="D223" i="1"/>
  <c r="E223" i="1"/>
  <c r="F223" i="1"/>
  <c r="G223" i="1"/>
  <c r="H223" i="1"/>
  <c r="C224" i="1"/>
  <c r="D224" i="1"/>
  <c r="E224" i="1"/>
  <c r="F224" i="1"/>
  <c r="G224" i="1"/>
  <c r="H224" i="1"/>
  <c r="C225" i="1"/>
  <c r="D225" i="1"/>
  <c r="E225" i="1"/>
  <c r="F225" i="1"/>
  <c r="G225" i="1"/>
  <c r="H225" i="1"/>
  <c r="C226" i="1"/>
  <c r="D226" i="1"/>
  <c r="E226" i="1"/>
  <c r="F226" i="1"/>
  <c r="G226" i="1"/>
  <c r="H226" i="1"/>
  <c r="C227" i="1"/>
  <c r="D227" i="1"/>
  <c r="E227" i="1"/>
  <c r="F227" i="1"/>
  <c r="G227" i="1"/>
  <c r="H227" i="1"/>
  <c r="C228" i="1"/>
  <c r="D228" i="1"/>
  <c r="E228" i="1"/>
  <c r="F228" i="1"/>
  <c r="G228" i="1"/>
  <c r="H228" i="1"/>
  <c r="C229" i="1"/>
  <c r="D229" i="1"/>
  <c r="E229" i="1"/>
  <c r="F229" i="1"/>
  <c r="G229" i="1"/>
  <c r="H229" i="1"/>
  <c r="C230" i="1"/>
  <c r="D230" i="1"/>
  <c r="E230" i="1"/>
  <c r="F230" i="1"/>
  <c r="G230" i="1"/>
  <c r="H230" i="1"/>
  <c r="C231" i="1"/>
  <c r="D231" i="1"/>
  <c r="E231" i="1"/>
  <c r="F231" i="1"/>
  <c r="G231" i="1"/>
  <c r="H231" i="1"/>
  <c r="C232" i="1"/>
  <c r="D232" i="1"/>
  <c r="E232" i="1"/>
  <c r="F232" i="1"/>
  <c r="G232" i="1"/>
  <c r="H232" i="1"/>
  <c r="C233" i="1"/>
  <c r="D233" i="1"/>
  <c r="E233" i="1"/>
  <c r="F233" i="1"/>
  <c r="G233" i="1"/>
  <c r="H233" i="1"/>
  <c r="C234" i="1"/>
  <c r="D234" i="1"/>
  <c r="E234" i="1"/>
  <c r="F234" i="1"/>
  <c r="G234" i="1"/>
  <c r="H234" i="1"/>
  <c r="C235" i="1"/>
  <c r="D235" i="1"/>
  <c r="E235" i="1"/>
  <c r="F235" i="1"/>
  <c r="G235" i="1"/>
  <c r="H235" i="1"/>
  <c r="C236" i="1"/>
  <c r="D236" i="1"/>
  <c r="E236" i="1"/>
  <c r="F236" i="1"/>
  <c r="G236" i="1"/>
  <c r="H236" i="1"/>
  <c r="C237" i="1"/>
  <c r="D237" i="1"/>
  <c r="E237" i="1"/>
  <c r="F237" i="1"/>
  <c r="G237" i="1"/>
  <c r="H237" i="1"/>
  <c r="C238" i="1"/>
  <c r="D238" i="1"/>
  <c r="E238" i="1"/>
  <c r="F238" i="1"/>
  <c r="G238" i="1"/>
  <c r="H238" i="1"/>
  <c r="C239" i="1"/>
  <c r="D239" i="1"/>
  <c r="E239" i="1"/>
  <c r="F239" i="1"/>
  <c r="G239" i="1"/>
  <c r="H239" i="1"/>
  <c r="C240" i="1"/>
  <c r="D240" i="1"/>
  <c r="E240" i="1"/>
  <c r="F240" i="1"/>
  <c r="G240" i="1"/>
  <c r="H240" i="1"/>
  <c r="C241" i="1"/>
  <c r="D241" i="1"/>
  <c r="E241" i="1"/>
  <c r="F241" i="1"/>
  <c r="G241" i="1"/>
  <c r="H241" i="1"/>
  <c r="C242" i="1"/>
  <c r="D242" i="1"/>
  <c r="E242" i="1"/>
  <c r="F242" i="1"/>
  <c r="G242" i="1"/>
  <c r="H242" i="1"/>
  <c r="C243" i="1"/>
  <c r="D243" i="1"/>
  <c r="E243" i="1"/>
  <c r="F243" i="1"/>
  <c r="G243" i="1"/>
  <c r="H243" i="1"/>
  <c r="C244" i="1"/>
  <c r="D244" i="1"/>
  <c r="E244" i="1"/>
  <c r="F244" i="1"/>
  <c r="G244" i="1"/>
  <c r="H244" i="1"/>
  <c r="C245" i="1"/>
  <c r="D245" i="1"/>
  <c r="E245" i="1"/>
  <c r="F245" i="1"/>
  <c r="G245" i="1"/>
  <c r="H245" i="1"/>
  <c r="C246" i="1"/>
  <c r="D246" i="1"/>
  <c r="E246" i="1"/>
  <c r="F246" i="1"/>
  <c r="G246" i="1"/>
  <c r="H246" i="1"/>
  <c r="C247" i="1"/>
  <c r="D247" i="1"/>
  <c r="E247" i="1"/>
  <c r="F247" i="1"/>
  <c r="G247" i="1"/>
  <c r="H247" i="1"/>
  <c r="C248" i="1"/>
  <c r="D248" i="1"/>
  <c r="E248" i="1"/>
  <c r="F248" i="1"/>
  <c r="G248" i="1"/>
  <c r="H248" i="1"/>
  <c r="C249" i="1"/>
  <c r="D249" i="1"/>
  <c r="E249" i="1"/>
  <c r="F249" i="1"/>
  <c r="G249" i="1"/>
  <c r="H249" i="1"/>
  <c r="C250" i="1"/>
  <c r="D250" i="1"/>
  <c r="E250" i="1"/>
  <c r="F250" i="1"/>
  <c r="G250" i="1"/>
  <c r="H250" i="1"/>
  <c r="C251" i="1"/>
  <c r="D251" i="1"/>
  <c r="E251" i="1"/>
  <c r="F251" i="1"/>
  <c r="G251" i="1"/>
  <c r="H251" i="1"/>
  <c r="C252" i="1"/>
  <c r="D252" i="1"/>
  <c r="E252" i="1"/>
  <c r="F252" i="1"/>
  <c r="G252" i="1"/>
  <c r="H252" i="1"/>
  <c r="C253" i="1"/>
  <c r="D253" i="1"/>
  <c r="E253" i="1"/>
  <c r="F253" i="1"/>
  <c r="G253" i="1"/>
  <c r="H253" i="1"/>
  <c r="C254" i="1"/>
  <c r="D254" i="1"/>
  <c r="E254" i="1"/>
  <c r="F254" i="1"/>
  <c r="G254" i="1"/>
  <c r="H254" i="1"/>
  <c r="C255" i="1"/>
  <c r="D255" i="1"/>
  <c r="E255" i="1"/>
  <c r="F255" i="1"/>
  <c r="G255" i="1"/>
  <c r="H255" i="1"/>
  <c r="C256" i="1"/>
  <c r="D256" i="1"/>
  <c r="E256" i="1"/>
  <c r="F256" i="1"/>
  <c r="G256" i="1"/>
  <c r="H256" i="1"/>
  <c r="C257" i="1"/>
  <c r="D257" i="1"/>
  <c r="E257" i="1"/>
  <c r="F257" i="1"/>
  <c r="G257" i="1"/>
  <c r="H257" i="1"/>
  <c r="C258" i="1"/>
  <c r="D258" i="1"/>
  <c r="E258" i="1"/>
  <c r="F258" i="1"/>
  <c r="G258" i="1"/>
  <c r="H258" i="1"/>
  <c r="C259" i="1"/>
  <c r="D259" i="1"/>
  <c r="E259" i="1"/>
  <c r="F259" i="1"/>
  <c r="G259" i="1"/>
  <c r="H259" i="1"/>
  <c r="C260" i="1"/>
  <c r="D260" i="1"/>
  <c r="E260" i="1"/>
  <c r="F260" i="1"/>
  <c r="G260" i="1"/>
  <c r="H260" i="1"/>
  <c r="C261" i="1"/>
  <c r="D261" i="1"/>
  <c r="E261" i="1"/>
  <c r="F261" i="1"/>
  <c r="G261" i="1"/>
  <c r="H261" i="1"/>
  <c r="C262" i="1"/>
  <c r="D262" i="1"/>
  <c r="E262" i="1"/>
  <c r="F262" i="1"/>
  <c r="G262" i="1"/>
  <c r="H262" i="1"/>
  <c r="C263" i="1"/>
  <c r="D263" i="1"/>
  <c r="E263" i="1"/>
  <c r="F263" i="1"/>
  <c r="G263" i="1"/>
  <c r="H263" i="1"/>
  <c r="C264" i="1"/>
  <c r="D264" i="1"/>
  <c r="E264" i="1"/>
  <c r="F264" i="1"/>
  <c r="G264" i="1"/>
  <c r="H264" i="1"/>
  <c r="C265" i="1"/>
  <c r="D265" i="1"/>
  <c r="E265" i="1"/>
  <c r="F265" i="1"/>
  <c r="G265" i="1"/>
  <c r="H265" i="1"/>
  <c r="C266" i="1"/>
  <c r="D266" i="1"/>
  <c r="E266" i="1"/>
  <c r="F266" i="1"/>
  <c r="G266" i="1"/>
  <c r="H266" i="1"/>
  <c r="C267" i="1"/>
  <c r="D267" i="1"/>
  <c r="E267" i="1"/>
  <c r="F267" i="1"/>
  <c r="G267" i="1"/>
  <c r="H267" i="1"/>
  <c r="C268" i="1"/>
  <c r="D268" i="1"/>
  <c r="E268" i="1"/>
  <c r="F268" i="1"/>
  <c r="G268" i="1"/>
  <c r="H268" i="1"/>
  <c r="C269" i="1"/>
  <c r="D269" i="1"/>
  <c r="E269" i="1"/>
  <c r="F269" i="1"/>
  <c r="G269" i="1"/>
  <c r="H269" i="1"/>
  <c r="C270" i="1"/>
  <c r="D270" i="1"/>
  <c r="E270" i="1"/>
  <c r="F270" i="1"/>
  <c r="G270" i="1"/>
  <c r="H270" i="1"/>
  <c r="C271" i="1"/>
  <c r="D271" i="1"/>
  <c r="E271" i="1"/>
  <c r="F271" i="1"/>
  <c r="G271" i="1"/>
  <c r="H271" i="1"/>
  <c r="C272" i="1"/>
  <c r="D272" i="1"/>
  <c r="E272" i="1"/>
  <c r="F272" i="1"/>
  <c r="G272" i="1"/>
  <c r="H272" i="1"/>
  <c r="C273" i="1"/>
  <c r="D273" i="1"/>
  <c r="E273" i="1"/>
  <c r="F273" i="1"/>
  <c r="G273" i="1"/>
  <c r="H273" i="1"/>
  <c r="C274" i="1"/>
  <c r="D274" i="1"/>
  <c r="E274" i="1"/>
  <c r="F274" i="1"/>
  <c r="G274" i="1"/>
  <c r="H274" i="1"/>
  <c r="C275" i="1"/>
  <c r="D275" i="1"/>
  <c r="E275" i="1"/>
  <c r="F275" i="1"/>
  <c r="G275" i="1"/>
  <c r="H275" i="1"/>
  <c r="C276" i="1"/>
  <c r="D276" i="1"/>
  <c r="E276" i="1"/>
  <c r="F276" i="1"/>
  <c r="G276" i="1"/>
  <c r="H276" i="1"/>
  <c r="C277" i="1"/>
  <c r="D277" i="1"/>
  <c r="E277" i="1"/>
  <c r="F277" i="1"/>
  <c r="G277" i="1"/>
  <c r="H277" i="1"/>
  <c r="C278" i="1"/>
  <c r="D278" i="1"/>
  <c r="E278" i="1"/>
  <c r="F278" i="1"/>
  <c r="G278" i="1"/>
  <c r="H278" i="1"/>
  <c r="C279" i="1"/>
  <c r="D279" i="1"/>
  <c r="E279" i="1"/>
  <c r="F279" i="1"/>
  <c r="G279" i="1"/>
  <c r="H279" i="1"/>
  <c r="C280" i="1"/>
  <c r="D280" i="1"/>
  <c r="E280" i="1"/>
  <c r="F280" i="1"/>
  <c r="G280" i="1"/>
  <c r="H280" i="1"/>
  <c r="C281" i="1"/>
  <c r="D281" i="1"/>
  <c r="E281" i="1"/>
  <c r="F281" i="1"/>
  <c r="G281" i="1"/>
  <c r="H281" i="1"/>
  <c r="C282" i="1"/>
  <c r="D282" i="1"/>
  <c r="E282" i="1"/>
  <c r="F282" i="1"/>
  <c r="G282" i="1"/>
  <c r="H282" i="1"/>
  <c r="C283" i="1"/>
  <c r="D283" i="1"/>
  <c r="E283" i="1"/>
  <c r="F283" i="1"/>
  <c r="G283" i="1"/>
  <c r="H283" i="1"/>
  <c r="C284" i="1"/>
  <c r="D284" i="1"/>
  <c r="E284" i="1"/>
  <c r="F284" i="1"/>
  <c r="G284" i="1"/>
  <c r="H284" i="1"/>
  <c r="C285" i="1"/>
  <c r="D285" i="1"/>
  <c r="E285" i="1"/>
  <c r="F285" i="1"/>
  <c r="G285" i="1"/>
  <c r="H285" i="1"/>
  <c r="C286" i="1"/>
  <c r="D286" i="1"/>
  <c r="E286" i="1"/>
  <c r="F286" i="1"/>
  <c r="G286" i="1"/>
  <c r="H286" i="1"/>
  <c r="C287" i="1"/>
  <c r="D287" i="1"/>
  <c r="E287" i="1"/>
  <c r="F287" i="1"/>
  <c r="G287" i="1"/>
  <c r="H287" i="1"/>
  <c r="C288" i="1"/>
  <c r="D288" i="1"/>
  <c r="E288" i="1"/>
  <c r="F288" i="1"/>
  <c r="G288" i="1"/>
  <c r="H288" i="1"/>
  <c r="C289" i="1"/>
  <c r="D289" i="1"/>
  <c r="E289" i="1"/>
  <c r="F289" i="1"/>
  <c r="G289" i="1"/>
  <c r="H289" i="1"/>
  <c r="C290" i="1"/>
  <c r="D290" i="1"/>
  <c r="E290" i="1"/>
  <c r="F290" i="1"/>
  <c r="G290" i="1"/>
  <c r="H290" i="1"/>
  <c r="C291" i="1"/>
  <c r="D291" i="1"/>
  <c r="E291" i="1"/>
  <c r="F291" i="1"/>
  <c r="G291" i="1"/>
  <c r="H291" i="1"/>
  <c r="C292" i="1"/>
  <c r="D292" i="1"/>
  <c r="E292" i="1"/>
  <c r="F292" i="1"/>
  <c r="G292" i="1"/>
  <c r="H292" i="1"/>
  <c r="C293" i="1"/>
  <c r="D293" i="1"/>
  <c r="E293" i="1"/>
  <c r="F293" i="1"/>
  <c r="G293" i="1"/>
  <c r="H293" i="1"/>
  <c r="C294" i="1"/>
  <c r="D294" i="1"/>
  <c r="E294" i="1"/>
  <c r="F294" i="1"/>
  <c r="G294" i="1"/>
  <c r="H294" i="1"/>
  <c r="C295" i="1"/>
  <c r="D295" i="1"/>
  <c r="E295" i="1"/>
  <c r="F295" i="1"/>
  <c r="G295" i="1"/>
  <c r="H295" i="1"/>
  <c r="C296" i="1"/>
  <c r="D296" i="1"/>
  <c r="E296" i="1"/>
  <c r="F296" i="1"/>
  <c r="G296" i="1"/>
  <c r="H296" i="1"/>
  <c r="C297" i="1"/>
  <c r="D297" i="1"/>
  <c r="E297" i="1"/>
  <c r="F297" i="1"/>
  <c r="G297" i="1"/>
  <c r="H297" i="1"/>
  <c r="C298" i="1"/>
  <c r="D298" i="1"/>
  <c r="E298" i="1"/>
  <c r="F298" i="1"/>
  <c r="G298" i="1"/>
  <c r="H298" i="1"/>
  <c r="C299" i="1"/>
  <c r="D299" i="1"/>
  <c r="E299" i="1"/>
  <c r="F299" i="1"/>
  <c r="G299" i="1"/>
  <c r="H299" i="1"/>
  <c r="C300" i="1"/>
  <c r="D300" i="1"/>
  <c r="E300" i="1"/>
  <c r="F300" i="1"/>
  <c r="G300" i="1"/>
  <c r="H300" i="1"/>
  <c r="C301" i="1"/>
  <c r="D301" i="1"/>
  <c r="E301" i="1"/>
  <c r="F301" i="1"/>
  <c r="G301" i="1"/>
  <c r="H301" i="1"/>
  <c r="C302" i="1"/>
  <c r="D302" i="1"/>
  <c r="E302" i="1"/>
  <c r="F302" i="1"/>
  <c r="G302" i="1"/>
  <c r="H302" i="1"/>
  <c r="C303" i="1"/>
  <c r="D303" i="1"/>
  <c r="E303" i="1"/>
  <c r="F303" i="1"/>
  <c r="G303" i="1"/>
  <c r="H303" i="1"/>
  <c r="C304" i="1"/>
  <c r="D304" i="1"/>
  <c r="E304" i="1"/>
  <c r="F304" i="1"/>
  <c r="G304" i="1"/>
  <c r="H304" i="1"/>
  <c r="C305" i="1"/>
  <c r="D305" i="1"/>
  <c r="E305" i="1"/>
  <c r="F305" i="1"/>
  <c r="G305" i="1"/>
  <c r="H305" i="1"/>
  <c r="C306" i="1"/>
  <c r="D306" i="1"/>
  <c r="E306" i="1"/>
  <c r="F306" i="1"/>
  <c r="G306" i="1"/>
  <c r="H306" i="1"/>
  <c r="C307" i="1"/>
  <c r="D307" i="1"/>
  <c r="E307" i="1"/>
  <c r="F307" i="1"/>
  <c r="G307" i="1"/>
  <c r="H307" i="1"/>
  <c r="C308" i="1"/>
  <c r="D308" i="1"/>
  <c r="E308" i="1"/>
  <c r="F308" i="1"/>
  <c r="G308" i="1"/>
  <c r="H308" i="1"/>
  <c r="C309" i="1"/>
  <c r="D309" i="1"/>
  <c r="E309" i="1"/>
  <c r="F309" i="1"/>
  <c r="G309" i="1"/>
  <c r="H309" i="1"/>
  <c r="C310" i="1"/>
  <c r="D310" i="1"/>
  <c r="E310" i="1"/>
  <c r="F310" i="1"/>
  <c r="G310" i="1"/>
  <c r="H310" i="1"/>
  <c r="C311" i="1"/>
  <c r="D311" i="1"/>
  <c r="E311" i="1"/>
  <c r="F311" i="1"/>
  <c r="G311" i="1"/>
  <c r="H311" i="1"/>
  <c r="C312" i="1"/>
  <c r="D312" i="1"/>
  <c r="E312" i="1"/>
  <c r="F312" i="1"/>
  <c r="G312" i="1"/>
  <c r="H312" i="1"/>
  <c r="C313" i="1"/>
  <c r="D313" i="1"/>
  <c r="E313" i="1"/>
  <c r="F313" i="1"/>
  <c r="G313" i="1"/>
  <c r="H313" i="1"/>
  <c r="C314" i="1"/>
  <c r="D314" i="1"/>
  <c r="E314" i="1"/>
  <c r="F314" i="1"/>
  <c r="G314" i="1"/>
  <c r="H314" i="1"/>
  <c r="C315" i="1"/>
  <c r="D315" i="1"/>
  <c r="E315" i="1"/>
  <c r="F315" i="1"/>
  <c r="G315" i="1"/>
  <c r="H315" i="1"/>
  <c r="C316" i="1"/>
  <c r="D316" i="1"/>
  <c r="E316" i="1"/>
  <c r="F316" i="1"/>
  <c r="G316" i="1"/>
  <c r="H316" i="1"/>
  <c r="C317" i="1"/>
  <c r="D317" i="1"/>
  <c r="E317" i="1"/>
  <c r="F317" i="1"/>
  <c r="G317" i="1"/>
  <c r="H317" i="1"/>
  <c r="C318" i="1"/>
  <c r="D318" i="1"/>
  <c r="E318" i="1"/>
  <c r="F318" i="1"/>
  <c r="G318" i="1"/>
  <c r="H318" i="1"/>
  <c r="C319" i="1"/>
  <c r="D319" i="1"/>
  <c r="E319" i="1"/>
  <c r="F319" i="1"/>
  <c r="G319" i="1"/>
  <c r="H319" i="1"/>
  <c r="C320" i="1"/>
  <c r="D320" i="1"/>
  <c r="E320" i="1"/>
  <c r="F320" i="1"/>
  <c r="G320" i="1"/>
  <c r="H320" i="1"/>
  <c r="C321" i="1"/>
  <c r="D321" i="1"/>
  <c r="E321" i="1"/>
  <c r="F321" i="1"/>
  <c r="G321" i="1"/>
  <c r="H321" i="1"/>
  <c r="C322" i="1"/>
  <c r="D322" i="1"/>
  <c r="E322" i="1"/>
  <c r="F322" i="1"/>
  <c r="G322" i="1"/>
  <c r="H322" i="1"/>
  <c r="C323" i="1"/>
  <c r="D323" i="1"/>
  <c r="E323" i="1"/>
  <c r="F323" i="1"/>
  <c r="G323" i="1"/>
  <c r="H323" i="1"/>
  <c r="C324" i="1"/>
  <c r="D324" i="1"/>
  <c r="E324" i="1"/>
  <c r="F324" i="1"/>
  <c r="G324" i="1"/>
  <c r="H324" i="1"/>
  <c r="C325" i="1"/>
  <c r="D325" i="1"/>
  <c r="E325" i="1"/>
  <c r="F325" i="1"/>
  <c r="G325" i="1"/>
  <c r="H325" i="1"/>
  <c r="C326" i="1"/>
  <c r="D326" i="1"/>
  <c r="E326" i="1"/>
  <c r="F326" i="1"/>
  <c r="G326" i="1"/>
  <c r="H326" i="1"/>
  <c r="C327" i="1"/>
  <c r="D327" i="1"/>
  <c r="E327" i="1"/>
  <c r="F327" i="1"/>
  <c r="G327" i="1"/>
  <c r="H327" i="1"/>
  <c r="C328" i="1"/>
  <c r="D328" i="1"/>
  <c r="E328" i="1"/>
  <c r="F328" i="1"/>
  <c r="G328" i="1"/>
  <c r="H328" i="1"/>
  <c r="C329" i="1"/>
  <c r="D329" i="1"/>
  <c r="E329" i="1"/>
  <c r="F329" i="1"/>
  <c r="G329" i="1"/>
  <c r="H329" i="1"/>
  <c r="C330" i="1"/>
  <c r="D330" i="1"/>
  <c r="E330" i="1"/>
  <c r="F330" i="1"/>
  <c r="G330" i="1"/>
  <c r="H330" i="1"/>
  <c r="C331" i="1"/>
  <c r="D331" i="1"/>
  <c r="E331" i="1"/>
  <c r="F331" i="1"/>
  <c r="G331" i="1"/>
  <c r="H331" i="1"/>
  <c r="C332" i="1"/>
  <c r="D332" i="1"/>
  <c r="E332" i="1"/>
  <c r="F332" i="1"/>
  <c r="G332" i="1"/>
  <c r="H332" i="1"/>
  <c r="C333" i="1"/>
  <c r="D333" i="1"/>
  <c r="E333" i="1"/>
  <c r="F333" i="1"/>
  <c r="G333" i="1"/>
  <c r="H333" i="1"/>
  <c r="C334" i="1"/>
  <c r="D334" i="1"/>
  <c r="E334" i="1"/>
  <c r="F334" i="1"/>
  <c r="G334" i="1"/>
  <c r="H334" i="1"/>
  <c r="C335" i="1"/>
  <c r="D335" i="1"/>
  <c r="E335" i="1"/>
  <c r="F335" i="1"/>
  <c r="G335" i="1"/>
  <c r="H335" i="1"/>
  <c r="C336" i="1"/>
  <c r="D336" i="1"/>
  <c r="E336" i="1"/>
  <c r="F336" i="1"/>
  <c r="G336" i="1"/>
  <c r="H336" i="1"/>
  <c r="C337" i="1"/>
  <c r="D337" i="1"/>
  <c r="E337" i="1"/>
  <c r="F337" i="1"/>
  <c r="G337" i="1"/>
  <c r="H337" i="1"/>
  <c r="C338" i="1"/>
  <c r="D338" i="1"/>
  <c r="E338" i="1"/>
  <c r="F338" i="1"/>
  <c r="G338" i="1"/>
  <c r="H338" i="1"/>
  <c r="C339" i="1"/>
  <c r="D339" i="1"/>
  <c r="E339" i="1"/>
  <c r="F339" i="1"/>
  <c r="G339" i="1"/>
  <c r="H339" i="1"/>
  <c r="C340" i="1"/>
  <c r="D340" i="1"/>
  <c r="E340" i="1"/>
  <c r="F340" i="1"/>
  <c r="G340" i="1"/>
  <c r="H340" i="1"/>
  <c r="C341" i="1"/>
  <c r="D341" i="1"/>
  <c r="E341" i="1"/>
  <c r="F341" i="1"/>
  <c r="G341" i="1"/>
  <c r="H341" i="1"/>
  <c r="C342" i="1"/>
  <c r="D342" i="1"/>
  <c r="E342" i="1"/>
  <c r="F342" i="1"/>
  <c r="G342" i="1"/>
  <c r="H342" i="1"/>
  <c r="C343" i="1"/>
  <c r="D343" i="1"/>
  <c r="E343" i="1"/>
  <c r="F343" i="1"/>
  <c r="G343" i="1"/>
  <c r="H343" i="1"/>
  <c r="C344" i="1"/>
  <c r="D344" i="1"/>
  <c r="E344" i="1"/>
  <c r="F344" i="1"/>
  <c r="G344" i="1"/>
  <c r="H344" i="1"/>
  <c r="C345" i="1"/>
  <c r="D345" i="1"/>
  <c r="E345" i="1"/>
  <c r="F345" i="1"/>
  <c r="G345" i="1"/>
  <c r="H345" i="1"/>
  <c r="C346" i="1"/>
  <c r="D346" i="1"/>
  <c r="E346" i="1"/>
  <c r="F346" i="1"/>
  <c r="G346" i="1"/>
  <c r="H346" i="1"/>
  <c r="C347" i="1"/>
  <c r="D347" i="1"/>
  <c r="E347" i="1"/>
  <c r="F347" i="1"/>
  <c r="G347" i="1"/>
  <c r="H347" i="1"/>
  <c r="C348" i="1"/>
  <c r="D348" i="1"/>
  <c r="E348" i="1"/>
  <c r="F348" i="1"/>
  <c r="G348" i="1"/>
  <c r="H348" i="1"/>
  <c r="C349" i="1"/>
  <c r="D349" i="1"/>
  <c r="E349" i="1"/>
  <c r="F349" i="1"/>
  <c r="G349" i="1"/>
  <c r="H349" i="1"/>
  <c r="C350" i="1"/>
  <c r="D350" i="1"/>
  <c r="E350" i="1"/>
  <c r="F350" i="1"/>
  <c r="G350" i="1"/>
  <c r="H350" i="1"/>
  <c r="C351" i="1"/>
  <c r="D351" i="1"/>
  <c r="E351" i="1"/>
  <c r="F351" i="1"/>
  <c r="G351" i="1"/>
  <c r="H351" i="1"/>
  <c r="C352" i="1"/>
  <c r="D352" i="1"/>
  <c r="E352" i="1"/>
  <c r="F352" i="1"/>
  <c r="G352" i="1"/>
  <c r="H352" i="1"/>
  <c r="C353" i="1"/>
  <c r="D353" i="1"/>
  <c r="E353" i="1"/>
  <c r="F353" i="1"/>
  <c r="G353" i="1"/>
  <c r="H353" i="1"/>
  <c r="C354" i="1"/>
  <c r="D354" i="1"/>
  <c r="E354" i="1"/>
  <c r="F354" i="1"/>
  <c r="G354" i="1"/>
  <c r="H354" i="1"/>
  <c r="C355" i="1"/>
  <c r="D355" i="1"/>
  <c r="E355" i="1"/>
  <c r="F355" i="1"/>
  <c r="G355" i="1"/>
  <c r="H355" i="1"/>
  <c r="C356" i="1"/>
  <c r="D356" i="1"/>
  <c r="E356" i="1"/>
  <c r="F356" i="1"/>
  <c r="G356" i="1"/>
  <c r="H356" i="1"/>
  <c r="C357" i="1"/>
  <c r="D357" i="1"/>
  <c r="E357" i="1"/>
  <c r="F357" i="1"/>
  <c r="G357" i="1"/>
  <c r="H357" i="1"/>
  <c r="C358" i="1"/>
  <c r="D358" i="1"/>
  <c r="E358" i="1"/>
  <c r="F358" i="1"/>
  <c r="G358" i="1"/>
  <c r="H358" i="1"/>
  <c r="C359" i="1"/>
  <c r="D359" i="1"/>
  <c r="E359" i="1"/>
  <c r="F359" i="1"/>
  <c r="G359" i="1"/>
  <c r="H359" i="1"/>
  <c r="C360" i="1"/>
  <c r="D360" i="1"/>
  <c r="E360" i="1"/>
  <c r="F360" i="1"/>
  <c r="G360" i="1"/>
  <c r="H360" i="1"/>
  <c r="C361" i="1"/>
  <c r="D361" i="1"/>
  <c r="E361" i="1"/>
  <c r="F361" i="1"/>
  <c r="G361" i="1"/>
  <c r="H361" i="1"/>
  <c r="C362" i="1"/>
  <c r="D362" i="1"/>
  <c r="E362" i="1"/>
  <c r="F362" i="1"/>
  <c r="G362" i="1"/>
  <c r="H362" i="1"/>
  <c r="C363" i="1"/>
  <c r="D363" i="1"/>
  <c r="E363" i="1"/>
  <c r="F363" i="1"/>
  <c r="G363" i="1"/>
  <c r="H363" i="1"/>
  <c r="C364" i="1"/>
  <c r="D364" i="1"/>
  <c r="E364" i="1"/>
  <c r="F364" i="1"/>
  <c r="G364" i="1"/>
  <c r="H364" i="1"/>
  <c r="C365" i="1"/>
  <c r="D365" i="1"/>
  <c r="E365" i="1"/>
  <c r="F365" i="1"/>
  <c r="G365" i="1"/>
  <c r="H365" i="1"/>
  <c r="C366" i="1"/>
  <c r="D366" i="1"/>
  <c r="E366" i="1"/>
  <c r="F366" i="1"/>
  <c r="G366" i="1"/>
  <c r="H366" i="1"/>
  <c r="C367" i="1"/>
  <c r="D367" i="1"/>
  <c r="E367" i="1"/>
  <c r="F367" i="1"/>
  <c r="G367" i="1"/>
  <c r="H367" i="1"/>
  <c r="C368" i="1"/>
  <c r="D368" i="1"/>
  <c r="E368" i="1"/>
  <c r="F368" i="1"/>
  <c r="G368" i="1"/>
  <c r="H368" i="1"/>
  <c r="C369" i="1"/>
  <c r="D369" i="1"/>
  <c r="E369" i="1"/>
  <c r="F369" i="1"/>
  <c r="G369" i="1"/>
  <c r="H369" i="1"/>
  <c r="C370" i="1"/>
  <c r="D370" i="1"/>
  <c r="E370" i="1"/>
  <c r="F370" i="1"/>
  <c r="G370" i="1"/>
  <c r="H370" i="1"/>
  <c r="C371" i="1"/>
  <c r="D371" i="1"/>
  <c r="E371" i="1"/>
  <c r="F371" i="1"/>
  <c r="G371" i="1"/>
  <c r="H371" i="1"/>
  <c r="C372" i="1"/>
  <c r="D372" i="1"/>
  <c r="E372" i="1"/>
  <c r="F372" i="1"/>
  <c r="G372" i="1"/>
  <c r="H372" i="1"/>
  <c r="C373" i="1"/>
  <c r="D373" i="1"/>
  <c r="E373" i="1"/>
  <c r="F373" i="1"/>
  <c r="G373" i="1"/>
  <c r="H373" i="1"/>
  <c r="C374" i="1"/>
  <c r="D374" i="1"/>
  <c r="E374" i="1"/>
  <c r="F374" i="1"/>
  <c r="G374" i="1"/>
  <c r="H374" i="1"/>
  <c r="C375" i="1"/>
  <c r="D375" i="1"/>
  <c r="E375" i="1"/>
  <c r="F375" i="1"/>
  <c r="G375" i="1"/>
  <c r="H375" i="1"/>
  <c r="C376" i="1"/>
  <c r="D376" i="1"/>
  <c r="E376" i="1"/>
  <c r="F376" i="1"/>
  <c r="G376" i="1"/>
  <c r="H376" i="1"/>
  <c r="C377" i="1"/>
  <c r="D377" i="1"/>
  <c r="E377" i="1"/>
  <c r="F377" i="1"/>
  <c r="G377" i="1"/>
  <c r="H377" i="1"/>
  <c r="C378" i="1"/>
  <c r="D378" i="1"/>
  <c r="E378" i="1"/>
  <c r="F378" i="1"/>
  <c r="G378" i="1"/>
  <c r="H378" i="1"/>
  <c r="C379" i="1"/>
  <c r="D379" i="1"/>
  <c r="E379" i="1"/>
  <c r="F379" i="1"/>
  <c r="G379" i="1"/>
  <c r="H379" i="1"/>
  <c r="C380" i="1"/>
  <c r="D380" i="1"/>
  <c r="E380" i="1"/>
  <c r="F380" i="1"/>
  <c r="G380" i="1"/>
  <c r="H380" i="1"/>
  <c r="C381" i="1"/>
  <c r="D381" i="1"/>
  <c r="E381" i="1"/>
  <c r="F381" i="1"/>
  <c r="G381" i="1"/>
  <c r="H381" i="1"/>
  <c r="C382" i="1"/>
  <c r="D382" i="1"/>
  <c r="E382" i="1"/>
  <c r="F382" i="1"/>
  <c r="G382" i="1"/>
  <c r="H382" i="1"/>
  <c r="C383" i="1"/>
  <c r="D383" i="1"/>
  <c r="E383" i="1"/>
  <c r="F383" i="1"/>
  <c r="G383" i="1"/>
  <c r="H383" i="1"/>
  <c r="C384" i="1"/>
  <c r="D384" i="1"/>
  <c r="E384" i="1"/>
  <c r="F384" i="1"/>
  <c r="G384" i="1"/>
  <c r="H384" i="1"/>
  <c r="C385" i="1"/>
  <c r="D385" i="1"/>
  <c r="E385" i="1"/>
  <c r="F385" i="1"/>
  <c r="G385" i="1"/>
  <c r="H385" i="1"/>
  <c r="C386" i="1"/>
  <c r="D386" i="1"/>
  <c r="E386" i="1"/>
  <c r="F386" i="1"/>
  <c r="G386" i="1"/>
  <c r="H386" i="1"/>
  <c r="C387" i="1"/>
  <c r="D387" i="1"/>
  <c r="E387" i="1"/>
  <c r="F387" i="1"/>
  <c r="G387" i="1"/>
  <c r="H387" i="1"/>
  <c r="C388" i="1"/>
  <c r="D388" i="1"/>
  <c r="E388" i="1"/>
  <c r="F388" i="1"/>
  <c r="G388" i="1"/>
  <c r="H388" i="1"/>
  <c r="C389" i="1"/>
  <c r="D389" i="1"/>
  <c r="E389" i="1"/>
  <c r="F389" i="1"/>
  <c r="G389" i="1"/>
  <c r="H389" i="1"/>
  <c r="C390" i="1"/>
  <c r="D390" i="1"/>
  <c r="E390" i="1"/>
  <c r="F390" i="1"/>
  <c r="G390" i="1"/>
  <c r="H390" i="1"/>
  <c r="C391" i="1"/>
  <c r="D391" i="1"/>
  <c r="E391" i="1"/>
  <c r="F391" i="1"/>
  <c r="G391" i="1"/>
  <c r="H391" i="1"/>
  <c r="C392" i="1"/>
  <c r="D392" i="1"/>
  <c r="E392" i="1"/>
  <c r="F392" i="1"/>
  <c r="G392" i="1"/>
  <c r="H392" i="1"/>
  <c r="C393" i="1"/>
  <c r="D393" i="1"/>
  <c r="E393" i="1"/>
  <c r="F393" i="1"/>
  <c r="G393" i="1"/>
  <c r="H393" i="1"/>
  <c r="C394" i="1"/>
  <c r="D394" i="1"/>
  <c r="E394" i="1"/>
  <c r="F394" i="1"/>
  <c r="G394" i="1"/>
  <c r="H394" i="1"/>
  <c r="C395" i="1"/>
  <c r="D395" i="1"/>
  <c r="E395" i="1"/>
  <c r="F395" i="1"/>
  <c r="G395" i="1"/>
  <c r="H395" i="1"/>
  <c r="C396" i="1"/>
  <c r="D396" i="1"/>
  <c r="E396" i="1"/>
  <c r="F396" i="1"/>
  <c r="G396" i="1"/>
  <c r="H396" i="1"/>
  <c r="C397" i="1"/>
  <c r="D397" i="1"/>
  <c r="E397" i="1"/>
  <c r="F397" i="1"/>
  <c r="G397" i="1"/>
  <c r="H397" i="1"/>
  <c r="C398" i="1"/>
  <c r="D398" i="1"/>
  <c r="E398" i="1"/>
  <c r="F398" i="1"/>
  <c r="G398" i="1"/>
  <c r="H398" i="1"/>
  <c r="C399" i="1"/>
  <c r="D399" i="1"/>
  <c r="E399" i="1"/>
  <c r="F399" i="1"/>
  <c r="G399" i="1"/>
  <c r="H399" i="1"/>
  <c r="C400" i="1"/>
  <c r="D400" i="1"/>
  <c r="E400" i="1"/>
  <c r="F400" i="1"/>
  <c r="G400" i="1"/>
  <c r="H400" i="1"/>
  <c r="C401" i="1"/>
  <c r="D401" i="1"/>
  <c r="E401" i="1"/>
  <c r="F401" i="1"/>
  <c r="G401" i="1"/>
  <c r="H401" i="1"/>
  <c r="C402" i="1"/>
  <c r="D402" i="1"/>
  <c r="E402" i="1"/>
  <c r="F402" i="1"/>
  <c r="G402" i="1"/>
  <c r="H402" i="1"/>
  <c r="C403" i="1"/>
  <c r="D403" i="1"/>
  <c r="E403" i="1"/>
  <c r="F403" i="1"/>
  <c r="G403" i="1"/>
  <c r="H403" i="1"/>
  <c r="C404" i="1"/>
  <c r="D404" i="1"/>
  <c r="E404" i="1"/>
  <c r="F404" i="1"/>
  <c r="G404" i="1"/>
  <c r="H404" i="1"/>
  <c r="C405" i="1"/>
  <c r="D405" i="1"/>
  <c r="E405" i="1"/>
  <c r="F405" i="1"/>
  <c r="G405" i="1"/>
  <c r="H405" i="1"/>
  <c r="C406" i="1"/>
  <c r="D406" i="1"/>
  <c r="E406" i="1"/>
  <c r="F406" i="1"/>
  <c r="G406" i="1"/>
  <c r="H406" i="1"/>
  <c r="C407" i="1"/>
  <c r="D407" i="1"/>
  <c r="E407" i="1"/>
  <c r="F407" i="1"/>
  <c r="G407" i="1"/>
  <c r="H407" i="1"/>
  <c r="C408" i="1"/>
  <c r="D408" i="1"/>
  <c r="E408" i="1"/>
  <c r="F408" i="1"/>
  <c r="G408" i="1"/>
  <c r="H408" i="1"/>
  <c r="C409" i="1"/>
  <c r="D409" i="1"/>
  <c r="E409" i="1"/>
  <c r="F409" i="1"/>
  <c r="G409" i="1"/>
  <c r="H409" i="1"/>
  <c r="C410" i="1"/>
  <c r="D410" i="1"/>
  <c r="E410" i="1"/>
  <c r="F410" i="1"/>
  <c r="G410" i="1"/>
  <c r="H410" i="1"/>
  <c r="C411" i="1"/>
  <c r="D411" i="1"/>
  <c r="E411" i="1"/>
  <c r="F411" i="1"/>
  <c r="G411" i="1"/>
  <c r="H411" i="1"/>
  <c r="C412" i="1"/>
  <c r="D412" i="1"/>
  <c r="E412" i="1"/>
  <c r="F412" i="1"/>
  <c r="G412" i="1"/>
  <c r="H412" i="1"/>
  <c r="C413" i="1"/>
  <c r="D413" i="1"/>
  <c r="E413" i="1"/>
  <c r="F413" i="1"/>
  <c r="G413" i="1"/>
  <c r="H413" i="1"/>
  <c r="C414" i="1"/>
  <c r="D414" i="1"/>
  <c r="E414" i="1"/>
  <c r="F414" i="1"/>
  <c r="G414" i="1"/>
  <c r="H414" i="1"/>
  <c r="C415" i="1"/>
  <c r="D415" i="1"/>
  <c r="E415" i="1"/>
  <c r="F415" i="1"/>
  <c r="G415" i="1"/>
  <c r="H415" i="1"/>
  <c r="C416" i="1"/>
  <c r="D416" i="1"/>
  <c r="E416" i="1"/>
  <c r="F416" i="1"/>
  <c r="G416" i="1"/>
  <c r="H416" i="1"/>
  <c r="C417" i="1"/>
  <c r="D417" i="1"/>
  <c r="E417" i="1"/>
  <c r="F417" i="1"/>
  <c r="G417" i="1"/>
  <c r="H417" i="1"/>
  <c r="C418" i="1"/>
  <c r="D418" i="1"/>
  <c r="E418" i="1"/>
  <c r="F418" i="1"/>
  <c r="G418" i="1"/>
  <c r="H418" i="1"/>
  <c r="C419" i="1"/>
  <c r="D419" i="1"/>
  <c r="E419" i="1"/>
  <c r="F419" i="1"/>
  <c r="G419" i="1"/>
  <c r="H419" i="1"/>
  <c r="C420" i="1"/>
  <c r="D420" i="1"/>
  <c r="E420" i="1"/>
  <c r="F420" i="1"/>
  <c r="G420" i="1"/>
  <c r="H420" i="1"/>
  <c r="C421" i="1"/>
  <c r="D421" i="1"/>
  <c r="E421" i="1"/>
  <c r="F421" i="1"/>
  <c r="G421" i="1"/>
  <c r="H421" i="1"/>
  <c r="C422" i="1"/>
  <c r="D422" i="1"/>
  <c r="E422" i="1"/>
  <c r="F422" i="1"/>
  <c r="G422" i="1"/>
  <c r="H422" i="1"/>
  <c r="C423" i="1"/>
  <c r="D423" i="1"/>
  <c r="E423" i="1"/>
  <c r="F423" i="1"/>
  <c r="G423" i="1"/>
  <c r="H423" i="1"/>
  <c r="C424" i="1"/>
  <c r="D424" i="1"/>
  <c r="E424" i="1"/>
  <c r="F424" i="1"/>
  <c r="G424" i="1"/>
  <c r="H424" i="1"/>
  <c r="C425" i="1"/>
  <c r="D425" i="1"/>
  <c r="E425" i="1"/>
  <c r="F425" i="1"/>
  <c r="G425" i="1"/>
  <c r="H425" i="1"/>
  <c r="C426" i="1"/>
  <c r="D426" i="1"/>
  <c r="E426" i="1"/>
  <c r="F426" i="1"/>
  <c r="G426" i="1"/>
  <c r="H426" i="1"/>
  <c r="C427" i="1"/>
  <c r="D427" i="1"/>
  <c r="E427" i="1"/>
  <c r="F427" i="1"/>
  <c r="G427" i="1"/>
  <c r="H427" i="1"/>
  <c r="C428" i="1"/>
  <c r="D428" i="1"/>
  <c r="E428" i="1"/>
  <c r="F428" i="1"/>
  <c r="G428" i="1"/>
  <c r="H428" i="1"/>
  <c r="C429" i="1"/>
  <c r="D429" i="1"/>
  <c r="E429" i="1"/>
  <c r="F429" i="1"/>
  <c r="G429" i="1"/>
  <c r="H429" i="1"/>
  <c r="C430" i="1"/>
  <c r="D430" i="1"/>
  <c r="E430" i="1"/>
  <c r="F430" i="1"/>
  <c r="G430" i="1"/>
  <c r="H430" i="1"/>
  <c r="C431" i="1"/>
  <c r="D431" i="1"/>
  <c r="E431" i="1"/>
  <c r="F431" i="1"/>
  <c r="G431" i="1"/>
  <c r="H431" i="1"/>
  <c r="C432" i="1"/>
  <c r="D432" i="1"/>
  <c r="E432" i="1"/>
  <c r="F432" i="1"/>
  <c r="G432" i="1"/>
  <c r="H432" i="1"/>
  <c r="C433" i="1"/>
  <c r="D433" i="1"/>
  <c r="E433" i="1"/>
  <c r="F433" i="1"/>
  <c r="G433" i="1"/>
  <c r="H433" i="1"/>
  <c r="C434" i="1"/>
  <c r="D434" i="1"/>
  <c r="E434" i="1"/>
  <c r="F434" i="1"/>
  <c r="G434" i="1"/>
  <c r="H434" i="1"/>
  <c r="C435" i="1"/>
  <c r="D435" i="1"/>
  <c r="E435" i="1"/>
  <c r="F435" i="1"/>
  <c r="G435" i="1"/>
  <c r="H435" i="1"/>
  <c r="C436" i="1"/>
  <c r="D436" i="1"/>
  <c r="E436" i="1"/>
  <c r="F436" i="1"/>
  <c r="G436" i="1"/>
  <c r="H436" i="1"/>
  <c r="C437" i="1"/>
  <c r="D437" i="1"/>
  <c r="E437" i="1"/>
  <c r="F437" i="1"/>
  <c r="G437" i="1"/>
  <c r="H437" i="1"/>
  <c r="C438" i="1"/>
  <c r="D438" i="1"/>
  <c r="E438" i="1"/>
  <c r="F438" i="1"/>
  <c r="G438" i="1"/>
  <c r="H438" i="1"/>
  <c r="C439" i="1"/>
  <c r="D439" i="1"/>
  <c r="E439" i="1"/>
  <c r="F439" i="1"/>
  <c r="G439" i="1"/>
  <c r="H439" i="1"/>
  <c r="C440" i="1"/>
  <c r="D440" i="1"/>
  <c r="E440" i="1"/>
  <c r="F440" i="1"/>
  <c r="G440" i="1"/>
  <c r="H440" i="1"/>
  <c r="C441" i="1"/>
  <c r="D441" i="1"/>
  <c r="E441" i="1"/>
  <c r="F441" i="1"/>
  <c r="G441" i="1"/>
  <c r="H441" i="1"/>
  <c r="C442" i="1"/>
  <c r="D442" i="1"/>
  <c r="E442" i="1"/>
  <c r="F442" i="1"/>
  <c r="G442" i="1"/>
  <c r="H442" i="1"/>
  <c r="C443" i="1"/>
  <c r="D443" i="1"/>
  <c r="E443" i="1"/>
  <c r="F443" i="1"/>
  <c r="G443" i="1"/>
  <c r="H443" i="1"/>
  <c r="C444" i="1"/>
  <c r="D444" i="1"/>
  <c r="E444" i="1"/>
  <c r="F444" i="1"/>
  <c r="G444" i="1"/>
  <c r="H444" i="1"/>
  <c r="C445" i="1"/>
  <c r="D445" i="1"/>
  <c r="E445" i="1"/>
  <c r="F445" i="1"/>
  <c r="G445" i="1"/>
  <c r="H445" i="1"/>
  <c r="C446" i="1"/>
  <c r="D446" i="1"/>
  <c r="E446" i="1"/>
  <c r="F446" i="1"/>
  <c r="G446" i="1"/>
  <c r="H446" i="1"/>
  <c r="C447" i="1"/>
  <c r="D447" i="1"/>
  <c r="E447" i="1"/>
  <c r="F447" i="1"/>
  <c r="G447" i="1"/>
  <c r="H447" i="1"/>
  <c r="C448" i="1"/>
  <c r="D448" i="1"/>
  <c r="E448" i="1"/>
  <c r="F448" i="1"/>
  <c r="G448" i="1"/>
  <c r="H448" i="1"/>
  <c r="C449" i="1"/>
  <c r="D449" i="1"/>
  <c r="E449" i="1"/>
  <c r="F449" i="1"/>
  <c r="G449" i="1"/>
  <c r="H449" i="1"/>
  <c r="C450" i="1"/>
  <c r="D450" i="1"/>
  <c r="E450" i="1"/>
  <c r="F450" i="1"/>
  <c r="G450" i="1"/>
  <c r="H450" i="1"/>
  <c r="C451" i="1"/>
  <c r="D451" i="1"/>
  <c r="E451" i="1"/>
  <c r="F451" i="1"/>
  <c r="G451" i="1"/>
  <c r="H451" i="1"/>
  <c r="C452" i="1"/>
  <c r="D452" i="1"/>
  <c r="E452" i="1"/>
  <c r="F452" i="1"/>
  <c r="G452" i="1"/>
  <c r="H452" i="1"/>
  <c r="C453" i="1"/>
  <c r="D453" i="1"/>
  <c r="E453" i="1"/>
  <c r="F453" i="1"/>
  <c r="G453" i="1"/>
  <c r="H453" i="1"/>
  <c r="C454" i="1"/>
  <c r="D454" i="1"/>
  <c r="E454" i="1"/>
  <c r="F454" i="1"/>
  <c r="G454" i="1"/>
  <c r="H454" i="1"/>
  <c r="C455" i="1"/>
  <c r="D455" i="1"/>
  <c r="E455" i="1"/>
  <c r="F455" i="1"/>
  <c r="G455" i="1"/>
  <c r="H455" i="1"/>
  <c r="C456" i="1"/>
  <c r="D456" i="1"/>
  <c r="E456" i="1"/>
  <c r="F456" i="1"/>
  <c r="G456" i="1"/>
  <c r="H456" i="1"/>
  <c r="C457" i="1"/>
  <c r="D457" i="1"/>
  <c r="E457" i="1"/>
  <c r="F457" i="1"/>
  <c r="G457" i="1"/>
  <c r="H457" i="1"/>
  <c r="C458" i="1"/>
  <c r="D458" i="1"/>
  <c r="E458" i="1"/>
  <c r="F458" i="1"/>
  <c r="G458" i="1"/>
  <c r="H458" i="1"/>
  <c r="C459" i="1"/>
  <c r="D459" i="1"/>
  <c r="E459" i="1"/>
  <c r="F459" i="1"/>
  <c r="G459" i="1"/>
  <c r="H459" i="1"/>
  <c r="C460" i="1"/>
  <c r="D460" i="1"/>
  <c r="E460" i="1"/>
  <c r="F460" i="1"/>
  <c r="G460" i="1"/>
  <c r="H460" i="1"/>
  <c r="C461" i="1"/>
  <c r="D461" i="1"/>
  <c r="E461" i="1"/>
  <c r="F461" i="1"/>
  <c r="G461" i="1"/>
  <c r="H461" i="1"/>
  <c r="C462" i="1"/>
  <c r="D462" i="1"/>
  <c r="E462" i="1"/>
  <c r="F462" i="1"/>
  <c r="G462" i="1"/>
  <c r="H462" i="1"/>
  <c r="C463" i="1"/>
  <c r="D463" i="1"/>
  <c r="E463" i="1"/>
  <c r="F463" i="1"/>
  <c r="G463" i="1"/>
  <c r="H463" i="1"/>
  <c r="C464" i="1"/>
  <c r="D464" i="1"/>
  <c r="E464" i="1"/>
  <c r="F464" i="1"/>
  <c r="G464" i="1"/>
  <c r="H464" i="1"/>
  <c r="C465" i="1"/>
  <c r="D465" i="1"/>
  <c r="E465" i="1"/>
  <c r="F465" i="1"/>
  <c r="G465" i="1"/>
  <c r="H465" i="1"/>
  <c r="C466" i="1"/>
  <c r="D466" i="1"/>
  <c r="E466" i="1"/>
  <c r="F466" i="1"/>
  <c r="G466" i="1"/>
  <c r="H466" i="1"/>
  <c r="C467" i="1"/>
  <c r="D467" i="1"/>
  <c r="E467" i="1"/>
  <c r="F467" i="1"/>
  <c r="G467" i="1"/>
  <c r="H467" i="1"/>
  <c r="C468" i="1"/>
  <c r="D468" i="1"/>
  <c r="E468" i="1"/>
  <c r="F468" i="1"/>
  <c r="G468" i="1"/>
  <c r="H468" i="1"/>
  <c r="C469" i="1"/>
  <c r="D469" i="1"/>
  <c r="E469" i="1"/>
  <c r="F469" i="1"/>
  <c r="G469" i="1"/>
  <c r="H469" i="1"/>
  <c r="C470" i="1"/>
  <c r="D470" i="1"/>
  <c r="E470" i="1"/>
  <c r="F470" i="1"/>
  <c r="G470" i="1"/>
  <c r="H470" i="1"/>
  <c r="C471" i="1"/>
  <c r="D471" i="1"/>
  <c r="E471" i="1"/>
  <c r="F471" i="1"/>
  <c r="G471" i="1"/>
  <c r="H471" i="1"/>
  <c r="C472" i="1"/>
  <c r="D472" i="1"/>
  <c r="E472" i="1"/>
  <c r="F472" i="1"/>
  <c r="G472" i="1"/>
  <c r="H472" i="1"/>
  <c r="C473" i="1"/>
  <c r="D473" i="1"/>
  <c r="E473" i="1"/>
  <c r="F473" i="1"/>
  <c r="G473" i="1"/>
  <c r="H473" i="1"/>
  <c r="C474" i="1"/>
  <c r="D474" i="1"/>
  <c r="E474" i="1"/>
  <c r="F474" i="1"/>
  <c r="G474" i="1"/>
  <c r="H474" i="1"/>
  <c r="C475" i="1"/>
  <c r="D475" i="1"/>
  <c r="E475" i="1"/>
  <c r="F475" i="1"/>
  <c r="G475" i="1"/>
  <c r="H475" i="1"/>
  <c r="C476" i="1"/>
  <c r="D476" i="1"/>
  <c r="E476" i="1"/>
  <c r="F476" i="1"/>
  <c r="G476" i="1"/>
  <c r="H476" i="1"/>
  <c r="C477" i="1"/>
  <c r="D477" i="1"/>
  <c r="E477" i="1"/>
  <c r="F477" i="1"/>
  <c r="G477" i="1"/>
  <c r="H477" i="1"/>
  <c r="C478" i="1"/>
  <c r="D478" i="1"/>
  <c r="E478" i="1"/>
  <c r="F478" i="1"/>
  <c r="G478" i="1"/>
  <c r="H478" i="1"/>
  <c r="C479" i="1"/>
  <c r="D479" i="1"/>
  <c r="E479" i="1"/>
  <c r="F479" i="1"/>
  <c r="G479" i="1"/>
  <c r="H479" i="1"/>
  <c r="C480" i="1"/>
  <c r="D480" i="1"/>
  <c r="E480" i="1"/>
  <c r="F480" i="1"/>
  <c r="G480" i="1"/>
  <c r="H480" i="1"/>
  <c r="C481" i="1"/>
  <c r="D481" i="1"/>
  <c r="E481" i="1"/>
  <c r="F481" i="1"/>
  <c r="G481" i="1"/>
  <c r="H481" i="1"/>
  <c r="C482" i="1"/>
  <c r="D482" i="1"/>
  <c r="E482" i="1"/>
  <c r="F482" i="1"/>
  <c r="G482" i="1"/>
  <c r="H482" i="1"/>
  <c r="C483" i="1"/>
  <c r="D483" i="1"/>
  <c r="E483" i="1"/>
  <c r="F483" i="1"/>
  <c r="G483" i="1"/>
  <c r="H483" i="1"/>
  <c r="C484" i="1"/>
  <c r="D484" i="1"/>
  <c r="E484" i="1"/>
  <c r="F484" i="1"/>
  <c r="G484" i="1"/>
  <c r="H484" i="1"/>
  <c r="C485" i="1"/>
  <c r="D485" i="1"/>
  <c r="E485" i="1"/>
  <c r="F485" i="1"/>
  <c r="G485" i="1"/>
  <c r="H485" i="1"/>
  <c r="C486" i="1"/>
  <c r="D486" i="1"/>
  <c r="E486" i="1"/>
  <c r="F486" i="1"/>
  <c r="G486" i="1"/>
  <c r="H486" i="1"/>
  <c r="C487" i="1"/>
  <c r="D487" i="1"/>
  <c r="E487" i="1"/>
  <c r="F487" i="1"/>
  <c r="G487" i="1"/>
  <c r="H487" i="1"/>
  <c r="C488" i="1"/>
  <c r="D488" i="1"/>
  <c r="E488" i="1"/>
  <c r="F488" i="1"/>
  <c r="G488" i="1"/>
  <c r="H488" i="1"/>
  <c r="C489" i="1"/>
  <c r="D489" i="1"/>
  <c r="E489" i="1"/>
  <c r="F489" i="1"/>
  <c r="G489" i="1"/>
  <c r="H489" i="1"/>
  <c r="C490" i="1"/>
  <c r="D490" i="1"/>
  <c r="E490" i="1"/>
  <c r="F490" i="1"/>
  <c r="G490" i="1"/>
  <c r="H490" i="1"/>
  <c r="C491" i="1"/>
  <c r="D491" i="1"/>
  <c r="E491" i="1"/>
  <c r="F491" i="1"/>
  <c r="G491" i="1"/>
  <c r="H491" i="1"/>
  <c r="C492" i="1"/>
  <c r="D492" i="1"/>
  <c r="E492" i="1"/>
  <c r="F492" i="1"/>
  <c r="G492" i="1"/>
  <c r="H492" i="1"/>
  <c r="C493" i="1"/>
  <c r="D493" i="1"/>
  <c r="E493" i="1"/>
  <c r="F493" i="1"/>
  <c r="G493" i="1"/>
  <c r="H493" i="1"/>
  <c r="C494" i="1"/>
  <c r="D494" i="1"/>
  <c r="E494" i="1"/>
  <c r="F494" i="1"/>
  <c r="G494" i="1"/>
  <c r="H494" i="1"/>
  <c r="C495" i="1"/>
  <c r="D495" i="1"/>
  <c r="E495" i="1"/>
  <c r="F495" i="1"/>
  <c r="G495" i="1"/>
  <c r="H495" i="1"/>
  <c r="C496" i="1"/>
  <c r="D496" i="1"/>
  <c r="E496" i="1"/>
  <c r="F496" i="1"/>
  <c r="G496" i="1"/>
  <c r="H496" i="1"/>
  <c r="C497" i="1"/>
  <c r="D497" i="1"/>
  <c r="E497" i="1"/>
  <c r="F497" i="1"/>
  <c r="G497" i="1"/>
  <c r="H497" i="1"/>
  <c r="C498" i="1"/>
  <c r="D498" i="1"/>
  <c r="E498" i="1"/>
  <c r="F498" i="1"/>
  <c r="G498" i="1"/>
  <c r="H498" i="1"/>
  <c r="C499" i="1"/>
  <c r="D499" i="1"/>
  <c r="E499" i="1"/>
  <c r="F499" i="1"/>
  <c r="G499" i="1"/>
  <c r="H499" i="1"/>
  <c r="C500" i="1"/>
  <c r="D500" i="1"/>
  <c r="E500" i="1"/>
  <c r="F500" i="1"/>
  <c r="G500" i="1"/>
  <c r="H500" i="1"/>
  <c r="C501" i="1"/>
  <c r="D501" i="1"/>
  <c r="E501" i="1"/>
  <c r="F501" i="1"/>
  <c r="G501" i="1"/>
  <c r="H501" i="1"/>
  <c r="C502" i="1"/>
  <c r="D502" i="1"/>
  <c r="E502" i="1"/>
  <c r="F502" i="1"/>
  <c r="G502" i="1"/>
  <c r="H502" i="1"/>
  <c r="C503" i="1"/>
  <c r="D503" i="1"/>
  <c r="E503" i="1"/>
  <c r="F503" i="1"/>
  <c r="G503" i="1"/>
  <c r="H503" i="1"/>
  <c r="C504" i="1"/>
  <c r="D504" i="1"/>
  <c r="E504" i="1"/>
  <c r="F504" i="1"/>
  <c r="G504" i="1"/>
  <c r="H504" i="1"/>
  <c r="C505" i="1"/>
  <c r="D505" i="1"/>
  <c r="E505" i="1"/>
  <c r="F505" i="1"/>
  <c r="G505" i="1"/>
  <c r="H505" i="1"/>
  <c r="C506" i="1"/>
  <c r="D506" i="1"/>
  <c r="E506" i="1"/>
  <c r="F506" i="1"/>
  <c r="G506" i="1"/>
  <c r="H506" i="1"/>
  <c r="C507" i="1"/>
  <c r="D507" i="1"/>
  <c r="E507" i="1"/>
  <c r="F507" i="1"/>
  <c r="G507" i="1"/>
  <c r="H507" i="1"/>
  <c r="C508" i="1"/>
  <c r="D508" i="1"/>
  <c r="E508" i="1"/>
  <c r="F508" i="1"/>
  <c r="G508" i="1"/>
  <c r="H508" i="1"/>
  <c r="C509" i="1"/>
  <c r="D509" i="1"/>
  <c r="E509" i="1"/>
  <c r="F509" i="1"/>
  <c r="G509" i="1"/>
  <c r="H509" i="1"/>
  <c r="C510" i="1"/>
  <c r="D510" i="1"/>
  <c r="E510" i="1"/>
  <c r="F510" i="1"/>
  <c r="G510" i="1"/>
  <c r="H510" i="1"/>
  <c r="C511" i="1"/>
  <c r="D511" i="1"/>
  <c r="E511" i="1"/>
  <c r="F511" i="1"/>
  <c r="G511" i="1"/>
  <c r="H511" i="1"/>
  <c r="C512" i="1"/>
  <c r="D512" i="1"/>
  <c r="E512" i="1"/>
  <c r="F512" i="1"/>
  <c r="G512" i="1"/>
  <c r="H512" i="1"/>
  <c r="C513" i="1"/>
  <c r="D513" i="1"/>
  <c r="E513" i="1"/>
  <c r="F513" i="1"/>
  <c r="G513" i="1"/>
  <c r="H513" i="1"/>
  <c r="C514" i="1"/>
  <c r="D514" i="1"/>
  <c r="E514" i="1"/>
  <c r="F514" i="1"/>
  <c r="G514" i="1"/>
  <c r="H514" i="1"/>
  <c r="C515" i="1"/>
  <c r="D515" i="1"/>
  <c r="E515" i="1"/>
  <c r="F515" i="1"/>
  <c r="G515" i="1"/>
  <c r="H515" i="1"/>
  <c r="C516" i="1"/>
  <c r="D516" i="1"/>
  <c r="E516" i="1"/>
  <c r="F516" i="1"/>
  <c r="G516" i="1"/>
  <c r="H516" i="1"/>
  <c r="C517" i="1"/>
  <c r="D517" i="1"/>
  <c r="E517" i="1"/>
  <c r="F517" i="1"/>
  <c r="G517" i="1"/>
  <c r="H517" i="1"/>
  <c r="C518" i="1"/>
  <c r="D518" i="1"/>
  <c r="E518" i="1"/>
  <c r="F518" i="1"/>
  <c r="G518" i="1"/>
  <c r="H518" i="1"/>
  <c r="C519" i="1"/>
  <c r="D519" i="1"/>
  <c r="E519" i="1"/>
  <c r="F519" i="1"/>
  <c r="G519" i="1"/>
  <c r="H519" i="1"/>
  <c r="C520" i="1"/>
  <c r="D520" i="1"/>
  <c r="E520" i="1"/>
  <c r="F520" i="1"/>
  <c r="G520" i="1"/>
  <c r="H520" i="1"/>
  <c r="C521" i="1"/>
  <c r="D521" i="1"/>
  <c r="E521" i="1"/>
  <c r="F521" i="1"/>
  <c r="G521" i="1"/>
  <c r="H521" i="1"/>
  <c r="C522" i="1"/>
  <c r="D522" i="1"/>
  <c r="E522" i="1"/>
  <c r="F522" i="1"/>
  <c r="G522" i="1"/>
  <c r="H522" i="1"/>
  <c r="C523" i="1"/>
  <c r="D523" i="1"/>
  <c r="E523" i="1"/>
  <c r="F523" i="1"/>
  <c r="G523" i="1"/>
  <c r="H523" i="1"/>
  <c r="C524" i="1"/>
  <c r="D524" i="1"/>
  <c r="E524" i="1"/>
  <c r="F524" i="1"/>
  <c r="G524" i="1"/>
  <c r="H524" i="1"/>
  <c r="C525" i="1"/>
  <c r="D525" i="1"/>
  <c r="E525" i="1"/>
  <c r="F525" i="1"/>
  <c r="G525" i="1"/>
  <c r="H525" i="1"/>
  <c r="C526" i="1"/>
  <c r="D526" i="1"/>
  <c r="E526" i="1"/>
  <c r="F526" i="1"/>
  <c r="G526" i="1"/>
  <c r="H526" i="1"/>
  <c r="C527" i="1"/>
  <c r="D527" i="1"/>
  <c r="E527" i="1"/>
  <c r="F527" i="1"/>
  <c r="G527" i="1"/>
  <c r="H527" i="1"/>
  <c r="C528" i="1"/>
  <c r="D528" i="1"/>
  <c r="E528" i="1"/>
  <c r="F528" i="1"/>
  <c r="G528" i="1"/>
  <c r="H528" i="1"/>
  <c r="C529" i="1"/>
  <c r="D529" i="1"/>
  <c r="E529" i="1"/>
  <c r="F529" i="1"/>
  <c r="G529" i="1"/>
  <c r="H529" i="1"/>
  <c r="C530" i="1"/>
  <c r="D530" i="1"/>
  <c r="E530" i="1"/>
  <c r="F530" i="1"/>
  <c r="G530" i="1"/>
  <c r="H530" i="1"/>
  <c r="C531" i="1"/>
  <c r="D531" i="1"/>
  <c r="E531" i="1"/>
  <c r="F531" i="1"/>
  <c r="G531" i="1"/>
  <c r="H531" i="1"/>
  <c r="C532" i="1"/>
  <c r="D532" i="1"/>
  <c r="E532" i="1"/>
  <c r="F532" i="1"/>
  <c r="G532" i="1"/>
  <c r="H532" i="1"/>
  <c r="C533" i="1"/>
  <c r="D533" i="1"/>
  <c r="E533" i="1"/>
  <c r="F533" i="1"/>
  <c r="G533" i="1"/>
  <c r="H533" i="1"/>
  <c r="C534" i="1"/>
  <c r="D534" i="1"/>
  <c r="E534" i="1"/>
  <c r="F534" i="1"/>
  <c r="G534" i="1"/>
  <c r="H534" i="1"/>
  <c r="C535" i="1"/>
  <c r="D535" i="1"/>
  <c r="E535" i="1"/>
  <c r="F535" i="1"/>
  <c r="G535" i="1"/>
  <c r="H535" i="1"/>
  <c r="C536" i="1"/>
  <c r="D536" i="1"/>
  <c r="E536" i="1"/>
  <c r="F536" i="1"/>
  <c r="G536" i="1"/>
  <c r="H536" i="1"/>
  <c r="C537" i="1"/>
  <c r="D537" i="1"/>
  <c r="E537" i="1"/>
  <c r="F537" i="1"/>
  <c r="G537" i="1"/>
  <c r="H537" i="1"/>
  <c r="C538" i="1"/>
  <c r="D538" i="1"/>
  <c r="E538" i="1"/>
  <c r="F538" i="1"/>
  <c r="G538" i="1"/>
  <c r="H538" i="1"/>
  <c r="C539" i="1"/>
  <c r="D539" i="1"/>
  <c r="E539" i="1"/>
  <c r="F539" i="1"/>
  <c r="G539" i="1"/>
  <c r="H539" i="1"/>
  <c r="C540" i="1"/>
  <c r="D540" i="1"/>
  <c r="E540" i="1"/>
  <c r="F540" i="1"/>
  <c r="G540" i="1"/>
  <c r="H540" i="1"/>
  <c r="C541" i="1"/>
  <c r="D541" i="1"/>
  <c r="E541" i="1"/>
  <c r="F541" i="1"/>
  <c r="G541" i="1"/>
  <c r="H541" i="1"/>
  <c r="C542" i="1"/>
  <c r="D542" i="1"/>
  <c r="E542" i="1"/>
  <c r="F542" i="1"/>
  <c r="G542" i="1"/>
  <c r="H542" i="1"/>
  <c r="C543" i="1"/>
  <c r="D543" i="1"/>
  <c r="E543" i="1"/>
  <c r="F543" i="1"/>
  <c r="G543" i="1"/>
  <c r="H543" i="1"/>
  <c r="C544" i="1"/>
  <c r="D544" i="1"/>
  <c r="E544" i="1"/>
  <c r="F544" i="1"/>
  <c r="G544" i="1"/>
  <c r="H544" i="1"/>
  <c r="C545" i="1"/>
  <c r="D545" i="1"/>
  <c r="E545" i="1"/>
  <c r="F545" i="1"/>
  <c r="G545" i="1"/>
  <c r="H545" i="1"/>
  <c r="C546" i="1"/>
  <c r="D546" i="1"/>
  <c r="E546" i="1"/>
  <c r="F546" i="1"/>
  <c r="G546" i="1"/>
  <c r="H546" i="1"/>
  <c r="C547" i="1"/>
  <c r="D547" i="1"/>
  <c r="E547" i="1"/>
  <c r="F547" i="1"/>
  <c r="G547" i="1"/>
  <c r="H547" i="1"/>
  <c r="C548" i="1"/>
  <c r="D548" i="1"/>
  <c r="E548" i="1"/>
  <c r="F548" i="1"/>
  <c r="G548" i="1"/>
  <c r="H548" i="1"/>
  <c r="C549" i="1"/>
  <c r="D549" i="1"/>
  <c r="E549" i="1"/>
  <c r="F549" i="1"/>
  <c r="G549" i="1"/>
  <c r="H549" i="1"/>
  <c r="C550" i="1"/>
  <c r="D550" i="1"/>
  <c r="E550" i="1"/>
  <c r="F550" i="1"/>
  <c r="G550" i="1"/>
  <c r="H550" i="1"/>
  <c r="C551" i="1"/>
  <c r="D551" i="1"/>
  <c r="E551" i="1"/>
  <c r="F551" i="1"/>
  <c r="G551" i="1"/>
  <c r="H551" i="1"/>
  <c r="C552" i="1"/>
  <c r="D552" i="1"/>
  <c r="E552" i="1"/>
  <c r="F552" i="1"/>
  <c r="G552" i="1"/>
  <c r="H552" i="1"/>
  <c r="C553" i="1"/>
  <c r="D553" i="1"/>
  <c r="E553" i="1"/>
  <c r="F553" i="1"/>
  <c r="G553" i="1"/>
  <c r="H553" i="1"/>
  <c r="C554" i="1"/>
  <c r="D554" i="1"/>
  <c r="E554" i="1"/>
  <c r="F554" i="1"/>
  <c r="G554" i="1"/>
  <c r="H554" i="1"/>
  <c r="C555" i="1"/>
  <c r="D555" i="1"/>
  <c r="E555" i="1"/>
  <c r="F555" i="1"/>
  <c r="G555" i="1"/>
  <c r="H555" i="1"/>
  <c r="C556" i="1"/>
  <c r="D556" i="1"/>
  <c r="E556" i="1"/>
  <c r="F556" i="1"/>
  <c r="G556" i="1"/>
  <c r="H556" i="1"/>
  <c r="C557" i="1"/>
  <c r="D557" i="1"/>
  <c r="E557" i="1"/>
  <c r="F557" i="1"/>
  <c r="G557" i="1"/>
  <c r="H557" i="1"/>
  <c r="C558" i="1"/>
  <c r="D558" i="1"/>
  <c r="E558" i="1"/>
  <c r="F558" i="1"/>
  <c r="G558" i="1"/>
  <c r="H558" i="1"/>
  <c r="C559" i="1"/>
  <c r="D559" i="1"/>
  <c r="E559" i="1"/>
  <c r="F559" i="1"/>
  <c r="G559" i="1"/>
  <c r="H559" i="1"/>
  <c r="C560" i="1"/>
  <c r="D560" i="1"/>
  <c r="E560" i="1"/>
  <c r="F560" i="1"/>
  <c r="G560" i="1"/>
  <c r="H560" i="1"/>
  <c r="C561" i="1"/>
  <c r="D561" i="1"/>
  <c r="E561" i="1"/>
  <c r="F561" i="1"/>
  <c r="G561" i="1"/>
  <c r="H561" i="1"/>
  <c r="C562" i="1"/>
  <c r="D562" i="1"/>
  <c r="E562" i="1"/>
  <c r="F562" i="1"/>
  <c r="G562" i="1"/>
  <c r="H562" i="1"/>
  <c r="C563" i="1"/>
  <c r="D563" i="1"/>
  <c r="E563" i="1"/>
  <c r="F563" i="1"/>
  <c r="G563" i="1"/>
  <c r="H563" i="1"/>
  <c r="C564" i="1"/>
  <c r="D564" i="1"/>
  <c r="E564" i="1"/>
  <c r="F564" i="1"/>
  <c r="G564" i="1"/>
  <c r="H564" i="1"/>
  <c r="C565" i="1"/>
  <c r="D565" i="1"/>
  <c r="E565" i="1"/>
  <c r="F565" i="1"/>
  <c r="G565" i="1"/>
  <c r="H565" i="1"/>
  <c r="C566" i="1"/>
  <c r="D566" i="1"/>
  <c r="E566" i="1"/>
  <c r="F566" i="1"/>
  <c r="G566" i="1"/>
  <c r="H566" i="1"/>
  <c r="C567" i="1"/>
  <c r="D567" i="1"/>
  <c r="E567" i="1"/>
  <c r="F567" i="1"/>
  <c r="G567" i="1"/>
  <c r="H567" i="1"/>
  <c r="C568" i="1"/>
  <c r="D568" i="1"/>
  <c r="E568" i="1"/>
  <c r="F568" i="1"/>
  <c r="G568" i="1"/>
  <c r="H568" i="1"/>
  <c r="C569" i="1"/>
  <c r="D569" i="1"/>
  <c r="E569" i="1"/>
  <c r="F569" i="1"/>
  <c r="G569" i="1"/>
  <c r="H569" i="1"/>
  <c r="C570" i="1"/>
  <c r="D570" i="1"/>
  <c r="E570" i="1"/>
  <c r="F570" i="1"/>
  <c r="G570" i="1"/>
  <c r="H570" i="1"/>
  <c r="C571" i="1"/>
  <c r="D571" i="1"/>
  <c r="E571" i="1"/>
  <c r="F571" i="1"/>
  <c r="G571" i="1"/>
  <c r="H571" i="1"/>
  <c r="C572" i="1"/>
  <c r="D572" i="1"/>
  <c r="E572" i="1"/>
  <c r="F572" i="1"/>
  <c r="G572" i="1"/>
  <c r="H572" i="1"/>
  <c r="C573" i="1"/>
  <c r="D573" i="1"/>
  <c r="E573" i="1"/>
  <c r="F573" i="1"/>
  <c r="G573" i="1"/>
  <c r="H573" i="1"/>
  <c r="C574" i="1"/>
  <c r="D574" i="1"/>
  <c r="E574" i="1"/>
  <c r="F574" i="1"/>
  <c r="G574" i="1"/>
  <c r="H574" i="1"/>
  <c r="C575" i="1"/>
  <c r="D575" i="1"/>
  <c r="E575" i="1"/>
  <c r="F575" i="1"/>
  <c r="G575" i="1"/>
  <c r="H575" i="1"/>
  <c r="C576" i="1"/>
  <c r="D576" i="1"/>
  <c r="E576" i="1"/>
  <c r="F576" i="1"/>
  <c r="G576" i="1"/>
  <c r="H576" i="1"/>
  <c r="C577" i="1"/>
  <c r="D577" i="1"/>
  <c r="E577" i="1"/>
  <c r="F577" i="1"/>
  <c r="G577" i="1"/>
  <c r="H577" i="1"/>
  <c r="C578" i="1"/>
  <c r="D578" i="1"/>
  <c r="E578" i="1"/>
  <c r="F578" i="1"/>
  <c r="G578" i="1"/>
  <c r="H578" i="1"/>
  <c r="C579" i="1"/>
  <c r="D579" i="1"/>
  <c r="E579" i="1"/>
  <c r="F579" i="1"/>
  <c r="G579" i="1"/>
  <c r="H579" i="1"/>
  <c r="C580" i="1"/>
  <c r="D580" i="1"/>
  <c r="E580" i="1"/>
  <c r="F580" i="1"/>
  <c r="G580" i="1"/>
  <c r="H580" i="1"/>
  <c r="C581" i="1"/>
  <c r="D581" i="1"/>
  <c r="E581" i="1"/>
  <c r="F581" i="1"/>
  <c r="G581" i="1"/>
  <c r="H581" i="1"/>
  <c r="C582" i="1"/>
  <c r="D582" i="1"/>
  <c r="E582" i="1"/>
  <c r="F582" i="1"/>
  <c r="G582" i="1"/>
  <c r="H582" i="1"/>
  <c r="C583" i="1"/>
  <c r="D583" i="1"/>
  <c r="E583" i="1"/>
  <c r="F583" i="1"/>
  <c r="G583" i="1"/>
  <c r="H583" i="1"/>
  <c r="C584" i="1"/>
  <c r="D584" i="1"/>
  <c r="E584" i="1"/>
  <c r="F584" i="1"/>
  <c r="G584" i="1"/>
  <c r="H584" i="1"/>
  <c r="C585" i="1"/>
  <c r="D585" i="1"/>
  <c r="E585" i="1"/>
  <c r="F585" i="1"/>
  <c r="G585" i="1"/>
  <c r="H585" i="1"/>
  <c r="C586" i="1"/>
  <c r="D586" i="1"/>
  <c r="E586" i="1"/>
  <c r="F586" i="1"/>
  <c r="G586" i="1"/>
  <c r="H586" i="1"/>
  <c r="C587" i="1"/>
  <c r="D587" i="1"/>
  <c r="E587" i="1"/>
  <c r="F587" i="1"/>
  <c r="G587" i="1"/>
  <c r="H587" i="1"/>
  <c r="C588" i="1"/>
  <c r="D588" i="1"/>
  <c r="E588" i="1"/>
  <c r="F588" i="1"/>
  <c r="G588" i="1"/>
  <c r="H588" i="1"/>
  <c r="C589" i="1"/>
  <c r="D589" i="1"/>
  <c r="E589" i="1"/>
  <c r="F589" i="1"/>
  <c r="G589" i="1"/>
  <c r="H589" i="1"/>
  <c r="C590" i="1"/>
  <c r="D590" i="1"/>
  <c r="E590" i="1"/>
  <c r="F590" i="1"/>
  <c r="G590" i="1"/>
  <c r="H590" i="1"/>
  <c r="C591" i="1"/>
  <c r="D591" i="1"/>
  <c r="E591" i="1"/>
  <c r="F591" i="1"/>
  <c r="G591" i="1"/>
  <c r="H591" i="1"/>
  <c r="C592" i="1"/>
  <c r="D592" i="1"/>
  <c r="E592" i="1"/>
  <c r="F592" i="1"/>
  <c r="G592" i="1"/>
  <c r="H592" i="1"/>
  <c r="C593" i="1"/>
  <c r="D593" i="1"/>
  <c r="E593" i="1"/>
  <c r="F593" i="1"/>
  <c r="G593" i="1"/>
  <c r="H593" i="1"/>
  <c r="C594" i="1"/>
  <c r="D594" i="1"/>
  <c r="E594" i="1"/>
  <c r="F594" i="1"/>
  <c r="G594" i="1"/>
  <c r="H594" i="1"/>
  <c r="C595" i="1"/>
  <c r="D595" i="1"/>
  <c r="E595" i="1"/>
  <c r="F595" i="1"/>
  <c r="G595" i="1"/>
  <c r="H595" i="1"/>
  <c r="C596" i="1"/>
  <c r="D596" i="1"/>
  <c r="E596" i="1"/>
  <c r="F596" i="1"/>
  <c r="G596" i="1"/>
  <c r="H596" i="1"/>
  <c r="C597" i="1"/>
  <c r="D597" i="1"/>
  <c r="E597" i="1"/>
  <c r="F597" i="1"/>
  <c r="G597" i="1"/>
  <c r="H597" i="1"/>
  <c r="C598" i="1"/>
  <c r="D598" i="1"/>
  <c r="E598" i="1"/>
  <c r="F598" i="1"/>
  <c r="G598" i="1"/>
  <c r="H598" i="1"/>
  <c r="C599" i="1"/>
  <c r="D599" i="1"/>
  <c r="E599" i="1"/>
  <c r="F599" i="1"/>
  <c r="G599" i="1"/>
  <c r="H599" i="1"/>
  <c r="C600" i="1"/>
  <c r="D600" i="1"/>
  <c r="E600" i="1"/>
  <c r="F600" i="1"/>
  <c r="G600" i="1"/>
  <c r="H600" i="1"/>
  <c r="C601" i="1"/>
  <c r="D601" i="1"/>
  <c r="E601" i="1"/>
  <c r="F601" i="1"/>
  <c r="G601" i="1"/>
  <c r="H601" i="1"/>
  <c r="C602" i="1"/>
  <c r="D602" i="1"/>
  <c r="E602" i="1"/>
  <c r="F602" i="1"/>
  <c r="G602" i="1"/>
  <c r="H602" i="1"/>
  <c r="C603" i="1"/>
  <c r="D603" i="1"/>
  <c r="E603" i="1"/>
  <c r="F603" i="1"/>
  <c r="G603" i="1"/>
  <c r="H603" i="1"/>
  <c r="C604" i="1"/>
  <c r="D604" i="1"/>
  <c r="E604" i="1"/>
  <c r="F604" i="1"/>
  <c r="G604" i="1"/>
  <c r="H604" i="1"/>
  <c r="C605" i="1"/>
  <c r="D605" i="1"/>
  <c r="E605" i="1"/>
  <c r="F605" i="1"/>
  <c r="G605" i="1"/>
  <c r="H605" i="1"/>
  <c r="C606" i="1"/>
  <c r="D606" i="1"/>
  <c r="E606" i="1"/>
  <c r="F606" i="1"/>
  <c r="G606" i="1"/>
  <c r="H606" i="1"/>
  <c r="C607" i="1"/>
  <c r="D607" i="1"/>
  <c r="E607" i="1"/>
  <c r="F607" i="1"/>
  <c r="G607" i="1"/>
  <c r="H607" i="1"/>
  <c r="C608" i="1"/>
  <c r="D608" i="1"/>
  <c r="E608" i="1"/>
  <c r="F608" i="1"/>
  <c r="G608" i="1"/>
  <c r="H608" i="1"/>
  <c r="C609" i="1"/>
  <c r="D609" i="1"/>
  <c r="E609" i="1"/>
  <c r="F609" i="1"/>
  <c r="G609" i="1"/>
  <c r="H609" i="1"/>
  <c r="C610" i="1"/>
  <c r="D610" i="1"/>
  <c r="E610" i="1"/>
  <c r="F610" i="1"/>
  <c r="G610" i="1"/>
  <c r="H610" i="1"/>
  <c r="C611" i="1"/>
  <c r="D611" i="1"/>
  <c r="E611" i="1"/>
  <c r="F611" i="1"/>
  <c r="G611" i="1"/>
  <c r="H611" i="1"/>
  <c r="C612" i="1"/>
  <c r="D612" i="1"/>
  <c r="E612" i="1"/>
  <c r="F612" i="1"/>
  <c r="G612" i="1"/>
  <c r="H612" i="1"/>
  <c r="C613" i="1"/>
  <c r="D613" i="1"/>
  <c r="E613" i="1"/>
  <c r="F613" i="1"/>
  <c r="G613" i="1"/>
  <c r="H613" i="1"/>
  <c r="C614" i="1"/>
  <c r="D614" i="1"/>
  <c r="E614" i="1"/>
  <c r="F614" i="1"/>
  <c r="G614" i="1"/>
  <c r="H614" i="1"/>
  <c r="C615" i="1"/>
  <c r="D615" i="1"/>
  <c r="E615" i="1"/>
  <c r="F615" i="1"/>
  <c r="G615" i="1"/>
  <c r="H615" i="1"/>
  <c r="C616" i="1"/>
  <c r="D616" i="1"/>
  <c r="E616" i="1"/>
  <c r="F616" i="1"/>
  <c r="G616" i="1"/>
  <c r="H616" i="1"/>
  <c r="C617" i="1"/>
  <c r="D617" i="1"/>
  <c r="E617" i="1"/>
  <c r="F617" i="1"/>
  <c r="G617" i="1"/>
  <c r="H617" i="1"/>
  <c r="C618" i="1"/>
  <c r="D618" i="1"/>
  <c r="E618" i="1"/>
  <c r="F618" i="1"/>
  <c r="G618" i="1"/>
  <c r="H618" i="1"/>
  <c r="C619" i="1"/>
  <c r="D619" i="1"/>
  <c r="E619" i="1"/>
  <c r="F619" i="1"/>
  <c r="G619" i="1"/>
  <c r="H619" i="1"/>
  <c r="C620" i="1"/>
  <c r="D620" i="1"/>
  <c r="E620" i="1"/>
  <c r="F620" i="1"/>
  <c r="G620" i="1"/>
  <c r="H620" i="1"/>
  <c r="C621" i="1"/>
  <c r="D621" i="1"/>
  <c r="E621" i="1"/>
  <c r="F621" i="1"/>
  <c r="G621" i="1"/>
  <c r="H621" i="1"/>
  <c r="C622" i="1"/>
  <c r="D622" i="1"/>
  <c r="E622" i="1"/>
  <c r="F622" i="1"/>
  <c r="G622" i="1"/>
  <c r="H622" i="1"/>
  <c r="C623" i="1"/>
  <c r="D623" i="1"/>
  <c r="E623" i="1"/>
  <c r="F623" i="1"/>
  <c r="G623" i="1"/>
  <c r="H623" i="1"/>
  <c r="C624" i="1"/>
  <c r="D624" i="1"/>
  <c r="E624" i="1"/>
  <c r="F624" i="1"/>
  <c r="G624" i="1"/>
  <c r="H624" i="1"/>
  <c r="C625" i="1"/>
  <c r="D625" i="1"/>
  <c r="E625" i="1"/>
  <c r="F625" i="1"/>
  <c r="G625" i="1"/>
  <c r="H625" i="1"/>
  <c r="C626" i="1"/>
  <c r="D626" i="1"/>
  <c r="E626" i="1"/>
  <c r="F626" i="1"/>
  <c r="G626" i="1"/>
  <c r="H626" i="1"/>
  <c r="C627" i="1"/>
  <c r="D627" i="1"/>
  <c r="E627" i="1"/>
  <c r="F627" i="1"/>
  <c r="G627" i="1"/>
  <c r="H627" i="1"/>
  <c r="C628" i="1"/>
  <c r="D628" i="1"/>
  <c r="E628" i="1"/>
  <c r="F628" i="1"/>
  <c r="G628" i="1"/>
  <c r="H628" i="1"/>
  <c r="C629" i="1"/>
  <c r="D629" i="1"/>
  <c r="E629" i="1"/>
  <c r="F629" i="1"/>
  <c r="G629" i="1"/>
  <c r="H629" i="1"/>
  <c r="C630" i="1"/>
  <c r="D630" i="1"/>
  <c r="E630" i="1"/>
  <c r="F630" i="1"/>
  <c r="G630" i="1"/>
  <c r="H630" i="1"/>
  <c r="C631" i="1"/>
  <c r="D631" i="1"/>
  <c r="E631" i="1"/>
  <c r="F631" i="1"/>
  <c r="G631" i="1"/>
  <c r="H631" i="1"/>
  <c r="C632" i="1"/>
  <c r="D632" i="1"/>
  <c r="E632" i="1"/>
  <c r="F632" i="1"/>
  <c r="G632" i="1"/>
  <c r="H632" i="1"/>
  <c r="C633" i="1"/>
  <c r="D633" i="1"/>
  <c r="E633" i="1"/>
  <c r="F633" i="1"/>
  <c r="G633" i="1"/>
  <c r="H633" i="1"/>
  <c r="C634" i="1"/>
  <c r="D634" i="1"/>
  <c r="E634" i="1"/>
  <c r="F634" i="1"/>
  <c r="G634" i="1"/>
  <c r="H634" i="1"/>
  <c r="C635" i="1"/>
  <c r="D635" i="1"/>
  <c r="E635" i="1"/>
  <c r="F635" i="1"/>
  <c r="G635" i="1"/>
  <c r="H635" i="1"/>
  <c r="C636" i="1"/>
  <c r="D636" i="1"/>
  <c r="E636" i="1"/>
  <c r="F636" i="1"/>
  <c r="G636" i="1"/>
  <c r="H636" i="1"/>
  <c r="C637" i="1"/>
  <c r="D637" i="1"/>
  <c r="E637" i="1"/>
  <c r="F637" i="1"/>
  <c r="G637" i="1"/>
  <c r="H637" i="1"/>
  <c r="C638" i="1"/>
  <c r="D638" i="1"/>
  <c r="E638" i="1"/>
  <c r="F638" i="1"/>
  <c r="G638" i="1"/>
  <c r="H638" i="1"/>
  <c r="C639" i="1"/>
  <c r="D639" i="1"/>
  <c r="E639" i="1"/>
  <c r="F639" i="1"/>
  <c r="G639" i="1"/>
  <c r="H639" i="1"/>
  <c r="C640" i="1"/>
  <c r="D640" i="1"/>
  <c r="E640" i="1"/>
  <c r="F640" i="1"/>
  <c r="G640" i="1"/>
  <c r="H640" i="1"/>
  <c r="C641" i="1"/>
  <c r="D641" i="1"/>
  <c r="E641" i="1"/>
  <c r="F641" i="1"/>
  <c r="G641" i="1"/>
  <c r="H641" i="1"/>
  <c r="C642" i="1"/>
  <c r="D642" i="1"/>
  <c r="E642" i="1"/>
  <c r="F642" i="1"/>
  <c r="G642" i="1"/>
  <c r="H642" i="1"/>
  <c r="C643" i="1"/>
  <c r="D643" i="1"/>
  <c r="E643" i="1"/>
  <c r="F643" i="1"/>
  <c r="G643" i="1"/>
  <c r="H643" i="1"/>
  <c r="C644" i="1"/>
  <c r="D644" i="1"/>
  <c r="E644" i="1"/>
  <c r="F644" i="1"/>
  <c r="G644" i="1"/>
  <c r="H644" i="1"/>
  <c r="C645" i="1"/>
  <c r="D645" i="1"/>
  <c r="E645" i="1"/>
  <c r="F645" i="1"/>
  <c r="G645" i="1"/>
  <c r="H645" i="1"/>
  <c r="C646" i="1"/>
  <c r="D646" i="1"/>
  <c r="E646" i="1"/>
  <c r="F646" i="1"/>
  <c r="G646" i="1"/>
  <c r="H646" i="1"/>
  <c r="C647" i="1"/>
  <c r="D647" i="1"/>
  <c r="E647" i="1"/>
  <c r="F647" i="1"/>
  <c r="G647" i="1"/>
  <c r="H647" i="1"/>
  <c r="C648" i="1"/>
  <c r="D648" i="1"/>
  <c r="E648" i="1"/>
  <c r="F648" i="1"/>
  <c r="G648" i="1"/>
  <c r="H648" i="1"/>
  <c r="C649" i="1"/>
  <c r="D649" i="1"/>
  <c r="E649" i="1"/>
  <c r="F649" i="1"/>
  <c r="G649" i="1"/>
  <c r="H649" i="1"/>
  <c r="C650" i="1"/>
  <c r="D650" i="1"/>
  <c r="E650" i="1"/>
  <c r="F650" i="1"/>
  <c r="G650" i="1"/>
  <c r="H650" i="1"/>
  <c r="C651" i="1"/>
  <c r="D651" i="1"/>
  <c r="E651" i="1"/>
  <c r="F651" i="1"/>
  <c r="G651" i="1"/>
  <c r="H651" i="1"/>
  <c r="C652" i="1"/>
  <c r="D652" i="1"/>
  <c r="E652" i="1"/>
  <c r="F652" i="1"/>
  <c r="G652" i="1"/>
  <c r="H652" i="1"/>
  <c r="C653" i="1"/>
  <c r="D653" i="1"/>
  <c r="E653" i="1"/>
  <c r="F653" i="1"/>
  <c r="G653" i="1"/>
  <c r="H653" i="1"/>
  <c r="C654" i="1"/>
  <c r="D654" i="1"/>
  <c r="E654" i="1"/>
  <c r="F654" i="1"/>
  <c r="G654" i="1"/>
  <c r="H654" i="1"/>
  <c r="C655" i="1"/>
  <c r="D655" i="1"/>
  <c r="E655" i="1"/>
  <c r="F655" i="1"/>
  <c r="G655" i="1"/>
  <c r="H655" i="1"/>
  <c r="C656" i="1"/>
  <c r="D656" i="1"/>
  <c r="E656" i="1"/>
  <c r="F656" i="1"/>
  <c r="G656" i="1"/>
  <c r="H656" i="1"/>
  <c r="C657" i="1"/>
  <c r="D657" i="1"/>
  <c r="E657" i="1"/>
  <c r="F657" i="1"/>
  <c r="G657" i="1"/>
  <c r="H657" i="1"/>
  <c r="C658" i="1"/>
  <c r="D658" i="1"/>
  <c r="E658" i="1"/>
  <c r="F658" i="1"/>
  <c r="G658" i="1"/>
  <c r="H658" i="1"/>
  <c r="C659" i="1"/>
  <c r="D659" i="1"/>
  <c r="E659" i="1"/>
  <c r="F659" i="1"/>
  <c r="G659" i="1"/>
  <c r="H659" i="1"/>
  <c r="C660" i="1"/>
  <c r="D660" i="1"/>
  <c r="E660" i="1"/>
  <c r="F660" i="1"/>
  <c r="G660" i="1"/>
  <c r="H660" i="1"/>
  <c r="C661" i="1"/>
  <c r="D661" i="1"/>
  <c r="E661" i="1"/>
  <c r="F661" i="1"/>
  <c r="G661" i="1"/>
  <c r="H661" i="1"/>
  <c r="C662" i="1"/>
  <c r="D662" i="1"/>
  <c r="E662" i="1"/>
  <c r="F662" i="1"/>
  <c r="G662" i="1"/>
  <c r="H662" i="1"/>
  <c r="C663" i="1"/>
  <c r="D663" i="1"/>
  <c r="E663" i="1"/>
  <c r="F663" i="1"/>
  <c r="G663" i="1"/>
  <c r="H663" i="1"/>
  <c r="C664" i="1"/>
  <c r="D664" i="1"/>
  <c r="E664" i="1"/>
  <c r="F664" i="1"/>
  <c r="G664" i="1"/>
  <c r="H664" i="1"/>
  <c r="C665" i="1"/>
  <c r="D665" i="1"/>
  <c r="E665" i="1"/>
  <c r="F665" i="1"/>
  <c r="G665" i="1"/>
  <c r="H665" i="1"/>
  <c r="C666" i="1"/>
  <c r="D666" i="1"/>
  <c r="E666" i="1"/>
  <c r="F666" i="1"/>
  <c r="G666" i="1"/>
  <c r="H666" i="1"/>
  <c r="C667" i="1"/>
  <c r="D667" i="1"/>
  <c r="E667" i="1"/>
  <c r="F667" i="1"/>
  <c r="G667" i="1"/>
  <c r="H667" i="1"/>
  <c r="C668" i="1"/>
  <c r="D668" i="1"/>
  <c r="E668" i="1"/>
  <c r="F668" i="1"/>
  <c r="G668" i="1"/>
  <c r="H668" i="1"/>
  <c r="C669" i="1"/>
  <c r="D669" i="1"/>
  <c r="E669" i="1"/>
  <c r="F669" i="1"/>
  <c r="G669" i="1"/>
  <c r="H669" i="1"/>
  <c r="C670" i="1"/>
  <c r="D670" i="1"/>
  <c r="E670" i="1"/>
  <c r="F670" i="1"/>
  <c r="G670" i="1"/>
  <c r="H670" i="1"/>
  <c r="C671" i="1"/>
  <c r="D671" i="1"/>
  <c r="E671" i="1"/>
  <c r="F671" i="1"/>
  <c r="G671" i="1"/>
  <c r="H671" i="1"/>
  <c r="C672" i="1"/>
  <c r="D672" i="1"/>
  <c r="E672" i="1"/>
  <c r="F672" i="1"/>
  <c r="G672" i="1"/>
  <c r="H672" i="1"/>
  <c r="C673" i="1"/>
  <c r="D673" i="1"/>
  <c r="E673" i="1"/>
  <c r="F673" i="1"/>
  <c r="G673" i="1"/>
  <c r="H673" i="1"/>
  <c r="C674" i="1"/>
  <c r="D674" i="1"/>
  <c r="E674" i="1"/>
  <c r="F674" i="1"/>
  <c r="G674" i="1"/>
  <c r="H674" i="1"/>
  <c r="C675" i="1"/>
  <c r="D675" i="1"/>
  <c r="E675" i="1"/>
  <c r="F675" i="1"/>
  <c r="G675" i="1"/>
  <c r="H675" i="1"/>
  <c r="C676" i="1"/>
  <c r="D676" i="1"/>
  <c r="E676" i="1"/>
  <c r="F676" i="1"/>
  <c r="G676" i="1"/>
  <c r="H676" i="1"/>
  <c r="C677" i="1"/>
  <c r="D677" i="1"/>
  <c r="E677" i="1"/>
  <c r="F677" i="1"/>
  <c r="G677" i="1"/>
  <c r="H677" i="1"/>
  <c r="C678" i="1"/>
  <c r="D678" i="1"/>
  <c r="E678" i="1"/>
  <c r="F678" i="1"/>
  <c r="G678" i="1"/>
  <c r="H678" i="1"/>
  <c r="C679" i="1"/>
  <c r="D679" i="1"/>
  <c r="E679" i="1"/>
  <c r="F679" i="1"/>
  <c r="G679" i="1"/>
  <c r="H679" i="1"/>
  <c r="C680" i="1"/>
  <c r="D680" i="1"/>
  <c r="E680" i="1"/>
  <c r="F680" i="1"/>
  <c r="G680" i="1"/>
  <c r="H680" i="1"/>
  <c r="C681" i="1"/>
  <c r="D681" i="1"/>
  <c r="E681" i="1"/>
  <c r="F681" i="1"/>
  <c r="G681" i="1"/>
  <c r="H681" i="1"/>
  <c r="C682" i="1"/>
  <c r="D682" i="1"/>
  <c r="E682" i="1"/>
  <c r="F682" i="1"/>
  <c r="G682" i="1"/>
  <c r="H682" i="1"/>
  <c r="C683" i="1"/>
  <c r="D683" i="1"/>
  <c r="E683" i="1"/>
  <c r="F683" i="1"/>
  <c r="G683" i="1"/>
  <c r="H683" i="1"/>
  <c r="C684" i="1"/>
  <c r="D684" i="1"/>
  <c r="E684" i="1"/>
  <c r="F684" i="1"/>
  <c r="G684" i="1"/>
  <c r="H684" i="1"/>
  <c r="C685" i="1"/>
  <c r="D685" i="1"/>
  <c r="E685" i="1"/>
  <c r="F685" i="1"/>
  <c r="G685" i="1"/>
  <c r="H685" i="1"/>
  <c r="C686" i="1"/>
  <c r="D686" i="1"/>
  <c r="E686" i="1"/>
  <c r="F686" i="1"/>
  <c r="G686" i="1"/>
  <c r="H686" i="1"/>
  <c r="C687" i="1"/>
  <c r="D687" i="1"/>
  <c r="E687" i="1"/>
  <c r="F687" i="1"/>
  <c r="G687" i="1"/>
  <c r="H687" i="1"/>
  <c r="C688" i="1"/>
  <c r="D688" i="1"/>
  <c r="E688" i="1"/>
  <c r="F688" i="1"/>
  <c r="G688" i="1"/>
  <c r="H688" i="1"/>
  <c r="C689" i="1"/>
  <c r="D689" i="1"/>
  <c r="E689" i="1"/>
  <c r="F689" i="1"/>
  <c r="G689" i="1"/>
  <c r="H689" i="1"/>
  <c r="C690" i="1"/>
  <c r="D690" i="1"/>
  <c r="E690" i="1"/>
  <c r="F690" i="1"/>
  <c r="G690" i="1"/>
  <c r="H690" i="1"/>
  <c r="C691" i="1"/>
  <c r="D691" i="1"/>
  <c r="E691" i="1"/>
  <c r="F691" i="1"/>
  <c r="G691" i="1"/>
  <c r="H691" i="1"/>
  <c r="C692" i="1"/>
  <c r="D692" i="1"/>
  <c r="E692" i="1"/>
  <c r="F692" i="1"/>
  <c r="G692" i="1"/>
  <c r="H692" i="1"/>
  <c r="C693" i="1"/>
  <c r="D693" i="1"/>
  <c r="E693" i="1"/>
  <c r="F693" i="1"/>
  <c r="G693" i="1"/>
  <c r="H693" i="1"/>
  <c r="C694" i="1"/>
  <c r="D694" i="1"/>
  <c r="E694" i="1"/>
  <c r="F694" i="1"/>
  <c r="G694" i="1"/>
  <c r="H694" i="1"/>
  <c r="C695" i="1"/>
  <c r="D695" i="1"/>
  <c r="E695" i="1"/>
  <c r="F695" i="1"/>
  <c r="G695" i="1"/>
  <c r="H695" i="1"/>
  <c r="C696" i="1"/>
  <c r="D696" i="1"/>
  <c r="E696" i="1"/>
  <c r="F696" i="1"/>
  <c r="G696" i="1"/>
  <c r="H696" i="1"/>
  <c r="C697" i="1"/>
  <c r="D697" i="1"/>
  <c r="E697" i="1"/>
  <c r="F697" i="1"/>
  <c r="G697" i="1"/>
  <c r="H697" i="1"/>
  <c r="C698" i="1"/>
  <c r="D698" i="1"/>
  <c r="E698" i="1"/>
  <c r="F698" i="1"/>
  <c r="G698" i="1"/>
  <c r="H698" i="1"/>
  <c r="C699" i="1"/>
  <c r="D699" i="1"/>
  <c r="E699" i="1"/>
  <c r="F699" i="1"/>
  <c r="G699" i="1"/>
  <c r="H699" i="1"/>
  <c r="C700" i="1"/>
  <c r="D700" i="1"/>
  <c r="E700" i="1"/>
  <c r="F700" i="1"/>
  <c r="G700" i="1"/>
  <c r="H700" i="1"/>
  <c r="C701" i="1"/>
  <c r="D701" i="1"/>
  <c r="E701" i="1"/>
  <c r="F701" i="1"/>
  <c r="G701" i="1"/>
  <c r="H701" i="1"/>
  <c r="C702" i="1"/>
  <c r="D702" i="1"/>
  <c r="E702" i="1"/>
  <c r="F702" i="1"/>
  <c r="G702" i="1"/>
  <c r="H702" i="1"/>
  <c r="C703" i="1"/>
  <c r="D703" i="1"/>
  <c r="E703" i="1"/>
  <c r="F703" i="1"/>
  <c r="G703" i="1"/>
  <c r="H703" i="1"/>
  <c r="C704" i="1"/>
  <c r="D704" i="1"/>
  <c r="E704" i="1"/>
  <c r="F704" i="1"/>
  <c r="G704" i="1"/>
  <c r="H704" i="1"/>
  <c r="C705" i="1"/>
  <c r="D705" i="1"/>
  <c r="E705" i="1"/>
  <c r="F705" i="1"/>
  <c r="G705" i="1"/>
  <c r="H705" i="1"/>
  <c r="C706" i="1"/>
  <c r="D706" i="1"/>
  <c r="E706" i="1"/>
  <c r="F706" i="1"/>
  <c r="G706" i="1"/>
  <c r="H706" i="1"/>
  <c r="C707" i="1"/>
  <c r="D707" i="1"/>
  <c r="E707" i="1"/>
  <c r="F707" i="1"/>
  <c r="G707" i="1"/>
  <c r="H707" i="1"/>
  <c r="C708" i="1"/>
  <c r="D708" i="1"/>
  <c r="E708" i="1"/>
  <c r="F708" i="1"/>
  <c r="G708" i="1"/>
  <c r="H708" i="1"/>
  <c r="C709" i="1"/>
  <c r="D709" i="1"/>
  <c r="E709" i="1"/>
  <c r="F709" i="1"/>
  <c r="G709" i="1"/>
  <c r="H709" i="1"/>
  <c r="C710" i="1"/>
  <c r="D710" i="1"/>
  <c r="E710" i="1"/>
  <c r="F710" i="1"/>
  <c r="G710" i="1"/>
  <c r="H710" i="1"/>
  <c r="C711" i="1"/>
  <c r="D711" i="1"/>
  <c r="E711" i="1"/>
  <c r="F711" i="1"/>
  <c r="G711" i="1"/>
  <c r="H711" i="1"/>
  <c r="C712" i="1"/>
  <c r="D712" i="1"/>
  <c r="E712" i="1"/>
  <c r="F712" i="1"/>
  <c r="G712" i="1"/>
  <c r="H712" i="1"/>
  <c r="C713" i="1"/>
  <c r="D713" i="1"/>
  <c r="E713" i="1"/>
  <c r="F713" i="1"/>
  <c r="G713" i="1"/>
  <c r="H713" i="1"/>
  <c r="C714" i="1"/>
  <c r="D714" i="1"/>
  <c r="E714" i="1"/>
  <c r="F714" i="1"/>
  <c r="G714" i="1"/>
  <c r="H714" i="1"/>
  <c r="C715" i="1"/>
  <c r="D715" i="1"/>
  <c r="E715" i="1"/>
  <c r="F715" i="1"/>
  <c r="G715" i="1"/>
  <c r="H715" i="1"/>
  <c r="C716" i="1"/>
  <c r="D716" i="1"/>
  <c r="E716" i="1"/>
  <c r="F716" i="1"/>
  <c r="G716" i="1"/>
  <c r="H716" i="1"/>
  <c r="C717" i="1"/>
  <c r="D717" i="1"/>
  <c r="E717" i="1"/>
  <c r="F717" i="1"/>
  <c r="G717" i="1"/>
  <c r="H717" i="1"/>
  <c r="C718" i="1"/>
  <c r="D718" i="1"/>
  <c r="E718" i="1"/>
  <c r="F718" i="1"/>
  <c r="G718" i="1"/>
  <c r="H718" i="1"/>
  <c r="C719" i="1"/>
  <c r="D719" i="1"/>
  <c r="E719" i="1"/>
  <c r="F719" i="1"/>
  <c r="G719" i="1"/>
  <c r="H719" i="1"/>
  <c r="C720" i="1"/>
  <c r="D720" i="1"/>
  <c r="E720" i="1"/>
  <c r="F720" i="1"/>
  <c r="G720" i="1"/>
  <c r="H720" i="1"/>
  <c r="C721" i="1"/>
  <c r="D721" i="1"/>
  <c r="E721" i="1"/>
  <c r="F721" i="1"/>
  <c r="G721" i="1"/>
  <c r="H721" i="1"/>
  <c r="C722" i="1"/>
  <c r="D722" i="1"/>
  <c r="E722" i="1"/>
  <c r="F722" i="1"/>
  <c r="G722" i="1"/>
  <c r="H722" i="1"/>
  <c r="C723" i="1"/>
  <c r="D723" i="1"/>
  <c r="E723" i="1"/>
  <c r="F723" i="1"/>
  <c r="G723" i="1"/>
  <c r="H723" i="1"/>
  <c r="C724" i="1"/>
  <c r="D724" i="1"/>
  <c r="E724" i="1"/>
  <c r="F724" i="1"/>
  <c r="G724" i="1"/>
  <c r="H724" i="1"/>
  <c r="C725" i="1"/>
  <c r="D725" i="1"/>
  <c r="E725" i="1"/>
  <c r="F725" i="1"/>
  <c r="G725" i="1"/>
  <c r="H725" i="1"/>
  <c r="C726" i="1"/>
  <c r="D726" i="1"/>
  <c r="E726" i="1"/>
  <c r="F726" i="1"/>
  <c r="G726" i="1"/>
  <c r="H726" i="1"/>
  <c r="C727" i="1"/>
  <c r="D727" i="1"/>
  <c r="E727" i="1"/>
  <c r="F727" i="1"/>
  <c r="G727" i="1"/>
  <c r="H727" i="1"/>
  <c r="C728" i="1"/>
  <c r="D728" i="1"/>
  <c r="E728" i="1"/>
  <c r="F728" i="1"/>
  <c r="G728" i="1"/>
  <c r="H728" i="1"/>
  <c r="C729" i="1"/>
  <c r="D729" i="1"/>
  <c r="E729" i="1"/>
  <c r="F729" i="1"/>
  <c r="G729" i="1"/>
  <c r="H729" i="1"/>
  <c r="C730" i="1"/>
  <c r="D730" i="1"/>
  <c r="E730" i="1"/>
  <c r="F730" i="1"/>
  <c r="G730" i="1"/>
  <c r="H730" i="1"/>
  <c r="C731" i="1"/>
  <c r="D731" i="1"/>
  <c r="E731" i="1"/>
  <c r="F731" i="1"/>
  <c r="G731" i="1"/>
  <c r="H731" i="1"/>
  <c r="C732" i="1"/>
  <c r="D732" i="1"/>
  <c r="E732" i="1"/>
  <c r="F732" i="1"/>
  <c r="G732" i="1"/>
  <c r="H732" i="1"/>
  <c r="C733" i="1"/>
  <c r="D733" i="1"/>
  <c r="E733" i="1"/>
  <c r="F733" i="1"/>
  <c r="G733" i="1"/>
  <c r="H733" i="1"/>
  <c r="C734" i="1"/>
  <c r="D734" i="1"/>
  <c r="E734" i="1"/>
  <c r="F734" i="1"/>
  <c r="G734" i="1"/>
  <c r="H734" i="1"/>
  <c r="C735" i="1"/>
  <c r="D735" i="1"/>
  <c r="E735" i="1"/>
  <c r="F735" i="1"/>
  <c r="G735" i="1"/>
  <c r="H735" i="1"/>
  <c r="C736" i="1"/>
  <c r="D736" i="1"/>
  <c r="E736" i="1"/>
  <c r="F736" i="1"/>
  <c r="G736" i="1"/>
  <c r="H736" i="1"/>
  <c r="C737" i="1"/>
  <c r="D737" i="1"/>
  <c r="E737" i="1"/>
  <c r="F737" i="1"/>
  <c r="G737" i="1"/>
  <c r="H737" i="1"/>
  <c r="C738" i="1"/>
  <c r="D738" i="1"/>
  <c r="E738" i="1"/>
  <c r="F738" i="1"/>
  <c r="G738" i="1"/>
  <c r="H738" i="1"/>
  <c r="C739" i="1"/>
  <c r="D739" i="1"/>
  <c r="E739" i="1"/>
  <c r="F739" i="1"/>
  <c r="G739" i="1"/>
  <c r="H739" i="1"/>
  <c r="C740" i="1"/>
  <c r="D740" i="1"/>
  <c r="E740" i="1"/>
  <c r="F740" i="1"/>
  <c r="G740" i="1"/>
  <c r="H740" i="1"/>
  <c r="C741" i="1"/>
  <c r="D741" i="1"/>
  <c r="E741" i="1"/>
  <c r="F741" i="1"/>
  <c r="G741" i="1"/>
  <c r="H741" i="1"/>
  <c r="C742" i="1"/>
  <c r="D742" i="1"/>
  <c r="E742" i="1"/>
  <c r="F742" i="1"/>
  <c r="G742" i="1"/>
  <c r="H742" i="1"/>
  <c r="C743" i="1"/>
  <c r="D743" i="1"/>
  <c r="E743" i="1"/>
  <c r="F743" i="1"/>
  <c r="G743" i="1"/>
  <c r="H743" i="1"/>
  <c r="C744" i="1"/>
  <c r="D744" i="1"/>
  <c r="E744" i="1"/>
  <c r="F744" i="1"/>
  <c r="G744" i="1"/>
  <c r="H744" i="1"/>
  <c r="C745" i="1"/>
  <c r="D745" i="1"/>
  <c r="E745" i="1"/>
  <c r="F745" i="1"/>
  <c r="G745" i="1"/>
  <c r="H745" i="1"/>
  <c r="C746" i="1"/>
  <c r="D746" i="1"/>
  <c r="E746" i="1"/>
  <c r="F746" i="1"/>
  <c r="G746" i="1"/>
  <c r="H746" i="1"/>
  <c r="C747" i="1"/>
  <c r="D747" i="1"/>
  <c r="E747" i="1"/>
  <c r="F747" i="1"/>
  <c r="G747" i="1"/>
  <c r="H747" i="1"/>
  <c r="C748" i="1"/>
  <c r="D748" i="1"/>
  <c r="E748" i="1"/>
  <c r="F748" i="1"/>
  <c r="G748" i="1"/>
  <c r="H748" i="1"/>
  <c r="C749" i="1"/>
  <c r="D749" i="1"/>
  <c r="E749" i="1"/>
  <c r="F749" i="1"/>
  <c r="G749" i="1"/>
  <c r="H749" i="1"/>
  <c r="C750" i="1"/>
  <c r="D750" i="1"/>
  <c r="E750" i="1"/>
  <c r="F750" i="1"/>
  <c r="G750" i="1"/>
  <c r="H750" i="1"/>
  <c r="C751" i="1"/>
  <c r="D751" i="1"/>
  <c r="E751" i="1"/>
  <c r="F751" i="1"/>
  <c r="G751" i="1"/>
  <c r="H751" i="1"/>
  <c r="C752" i="1"/>
  <c r="D752" i="1"/>
  <c r="E752" i="1"/>
  <c r="F752" i="1"/>
  <c r="G752" i="1"/>
  <c r="H752" i="1"/>
  <c r="C753" i="1"/>
  <c r="D753" i="1"/>
  <c r="E753" i="1"/>
  <c r="F753" i="1"/>
  <c r="G753" i="1"/>
  <c r="H753" i="1"/>
  <c r="C754" i="1"/>
  <c r="D754" i="1"/>
  <c r="E754" i="1"/>
  <c r="F754" i="1"/>
  <c r="G754" i="1"/>
  <c r="H754" i="1"/>
  <c r="C755" i="1"/>
  <c r="D755" i="1"/>
  <c r="E755" i="1"/>
  <c r="F755" i="1"/>
  <c r="G755" i="1"/>
  <c r="H755" i="1"/>
  <c r="C756" i="1"/>
  <c r="D756" i="1"/>
  <c r="E756" i="1"/>
  <c r="F756" i="1"/>
  <c r="G756" i="1"/>
  <c r="H756" i="1"/>
  <c r="C757" i="1"/>
  <c r="D757" i="1"/>
  <c r="E757" i="1"/>
  <c r="F757" i="1"/>
  <c r="G757" i="1"/>
  <c r="H757" i="1"/>
  <c r="C758" i="1"/>
  <c r="D758" i="1"/>
  <c r="E758" i="1"/>
  <c r="F758" i="1"/>
  <c r="G758" i="1"/>
  <c r="H758" i="1"/>
  <c r="C759" i="1"/>
  <c r="D759" i="1"/>
  <c r="E759" i="1"/>
  <c r="F759" i="1"/>
  <c r="G759" i="1"/>
  <c r="H759" i="1"/>
  <c r="C760" i="1"/>
  <c r="D760" i="1"/>
  <c r="E760" i="1"/>
  <c r="F760" i="1"/>
  <c r="G760" i="1"/>
  <c r="H760" i="1"/>
  <c r="C761" i="1"/>
  <c r="D761" i="1"/>
  <c r="E761" i="1"/>
  <c r="F761" i="1"/>
  <c r="G761" i="1"/>
  <c r="H761" i="1"/>
  <c r="C762" i="1"/>
  <c r="D762" i="1"/>
  <c r="E762" i="1"/>
  <c r="F762" i="1"/>
  <c r="G762" i="1"/>
  <c r="H762" i="1"/>
  <c r="C763" i="1"/>
  <c r="D763" i="1"/>
  <c r="E763" i="1"/>
  <c r="F763" i="1"/>
  <c r="G763" i="1"/>
  <c r="H763" i="1"/>
  <c r="C764" i="1"/>
  <c r="D764" i="1"/>
  <c r="E764" i="1"/>
  <c r="F764" i="1"/>
  <c r="G764" i="1"/>
  <c r="H764" i="1"/>
  <c r="C765" i="1"/>
  <c r="D765" i="1"/>
  <c r="E765" i="1"/>
  <c r="F765" i="1"/>
  <c r="G765" i="1"/>
  <c r="H765" i="1"/>
  <c r="C766" i="1"/>
  <c r="D766" i="1"/>
  <c r="E766" i="1"/>
  <c r="F766" i="1"/>
  <c r="G766" i="1"/>
  <c r="H766" i="1"/>
  <c r="C767" i="1"/>
  <c r="D767" i="1"/>
  <c r="E767" i="1"/>
  <c r="F767" i="1"/>
  <c r="G767" i="1"/>
  <c r="H767" i="1"/>
  <c r="C768" i="1"/>
  <c r="D768" i="1"/>
  <c r="E768" i="1"/>
  <c r="F768" i="1"/>
  <c r="G768" i="1"/>
  <c r="H768" i="1"/>
  <c r="C769" i="1"/>
  <c r="D769" i="1"/>
  <c r="E769" i="1"/>
  <c r="F769" i="1"/>
  <c r="G769" i="1"/>
  <c r="H769" i="1"/>
  <c r="C770" i="1"/>
  <c r="D770" i="1"/>
  <c r="E770" i="1"/>
  <c r="F770" i="1"/>
  <c r="G770" i="1"/>
  <c r="H770" i="1"/>
  <c r="C771" i="1"/>
  <c r="D771" i="1"/>
  <c r="E771" i="1"/>
  <c r="F771" i="1"/>
  <c r="G771" i="1"/>
  <c r="H771" i="1"/>
  <c r="C772" i="1"/>
  <c r="D772" i="1"/>
  <c r="E772" i="1"/>
  <c r="F772" i="1"/>
  <c r="G772" i="1"/>
  <c r="H772" i="1"/>
  <c r="C773" i="1"/>
  <c r="D773" i="1"/>
  <c r="E773" i="1"/>
  <c r="F773" i="1"/>
  <c r="G773" i="1"/>
  <c r="H773" i="1"/>
  <c r="C774" i="1"/>
  <c r="D774" i="1"/>
  <c r="E774" i="1"/>
  <c r="F774" i="1"/>
  <c r="G774" i="1"/>
  <c r="H774" i="1"/>
  <c r="C775" i="1"/>
  <c r="D775" i="1"/>
  <c r="E775" i="1"/>
  <c r="F775" i="1"/>
  <c r="G775" i="1"/>
  <c r="H775" i="1"/>
  <c r="C776" i="1"/>
  <c r="D776" i="1"/>
  <c r="E776" i="1"/>
  <c r="F776" i="1"/>
  <c r="G776" i="1"/>
  <c r="H776" i="1"/>
  <c r="C777" i="1"/>
  <c r="D777" i="1"/>
  <c r="E777" i="1"/>
  <c r="F777" i="1"/>
  <c r="G777" i="1"/>
  <c r="H777" i="1"/>
  <c r="C778" i="1"/>
  <c r="D778" i="1"/>
  <c r="E778" i="1"/>
  <c r="F778" i="1"/>
  <c r="G778" i="1"/>
  <c r="H778" i="1"/>
  <c r="C779" i="1"/>
  <c r="D779" i="1"/>
  <c r="E779" i="1"/>
  <c r="F779" i="1"/>
  <c r="G779" i="1"/>
  <c r="H779" i="1"/>
  <c r="C780" i="1"/>
  <c r="D780" i="1"/>
  <c r="E780" i="1"/>
  <c r="F780" i="1"/>
  <c r="G780" i="1"/>
  <c r="H780" i="1"/>
  <c r="C781" i="1"/>
  <c r="D781" i="1"/>
  <c r="E781" i="1"/>
  <c r="F781" i="1"/>
  <c r="G781" i="1"/>
  <c r="H781" i="1"/>
  <c r="C782" i="1"/>
  <c r="D782" i="1"/>
  <c r="E782" i="1"/>
  <c r="F782" i="1"/>
  <c r="G782" i="1"/>
  <c r="H782" i="1"/>
  <c r="C783" i="1"/>
  <c r="D783" i="1"/>
  <c r="E783" i="1"/>
  <c r="F783" i="1"/>
  <c r="G783" i="1"/>
  <c r="H783" i="1"/>
  <c r="C784" i="1"/>
  <c r="D784" i="1"/>
  <c r="E784" i="1"/>
  <c r="F784" i="1"/>
  <c r="G784" i="1"/>
  <c r="H784" i="1"/>
  <c r="C785" i="1"/>
  <c r="D785" i="1"/>
  <c r="E785" i="1"/>
  <c r="F785" i="1"/>
  <c r="G785" i="1"/>
  <c r="H785" i="1"/>
  <c r="C786" i="1"/>
  <c r="D786" i="1"/>
  <c r="E786" i="1"/>
  <c r="F786" i="1"/>
  <c r="G786" i="1"/>
  <c r="H786" i="1"/>
  <c r="C787" i="1"/>
  <c r="D787" i="1"/>
  <c r="E787" i="1"/>
  <c r="F787" i="1"/>
  <c r="G787" i="1"/>
  <c r="H787" i="1"/>
  <c r="C788" i="1"/>
  <c r="D788" i="1"/>
  <c r="E788" i="1"/>
  <c r="F788" i="1"/>
  <c r="G788" i="1"/>
  <c r="H788" i="1"/>
  <c r="C789" i="1"/>
  <c r="D789" i="1"/>
  <c r="E789" i="1"/>
  <c r="F789" i="1"/>
  <c r="G789" i="1"/>
  <c r="H789" i="1"/>
  <c r="C790" i="1"/>
  <c r="D790" i="1"/>
  <c r="E790" i="1"/>
  <c r="F790" i="1"/>
  <c r="G790" i="1"/>
  <c r="H790" i="1"/>
  <c r="C791" i="1"/>
  <c r="D791" i="1"/>
  <c r="E791" i="1"/>
  <c r="F791" i="1"/>
  <c r="G791" i="1"/>
  <c r="H791" i="1"/>
  <c r="C792" i="1"/>
  <c r="D792" i="1"/>
  <c r="E792" i="1"/>
  <c r="F792" i="1"/>
  <c r="G792" i="1"/>
  <c r="H792" i="1"/>
  <c r="C793" i="1"/>
  <c r="D793" i="1"/>
  <c r="E793" i="1"/>
  <c r="F793" i="1"/>
  <c r="G793" i="1"/>
  <c r="H793" i="1"/>
  <c r="C794" i="1"/>
  <c r="D794" i="1"/>
  <c r="E794" i="1"/>
  <c r="F794" i="1"/>
  <c r="G794" i="1"/>
  <c r="H794" i="1"/>
  <c r="C795" i="1"/>
  <c r="D795" i="1"/>
  <c r="E795" i="1"/>
  <c r="F795" i="1"/>
  <c r="G795" i="1"/>
  <c r="H795" i="1"/>
  <c r="C796" i="1"/>
  <c r="D796" i="1"/>
  <c r="E796" i="1"/>
  <c r="F796" i="1"/>
  <c r="G796" i="1"/>
  <c r="H796" i="1"/>
  <c r="C797" i="1"/>
  <c r="D797" i="1"/>
  <c r="E797" i="1"/>
  <c r="F797" i="1"/>
  <c r="G797" i="1"/>
  <c r="H797" i="1"/>
  <c r="C798" i="1"/>
  <c r="D798" i="1"/>
  <c r="E798" i="1"/>
  <c r="F798" i="1"/>
  <c r="G798" i="1"/>
  <c r="H798" i="1"/>
  <c r="C799" i="1"/>
  <c r="D799" i="1"/>
  <c r="E799" i="1"/>
  <c r="F799" i="1"/>
  <c r="G799" i="1"/>
  <c r="H799" i="1"/>
  <c r="C800" i="1"/>
  <c r="D800" i="1"/>
  <c r="E800" i="1"/>
  <c r="F800" i="1"/>
  <c r="G800" i="1"/>
  <c r="H800" i="1"/>
  <c r="C801" i="1"/>
  <c r="D801" i="1"/>
  <c r="E801" i="1"/>
  <c r="F801" i="1"/>
  <c r="G801" i="1"/>
  <c r="H801" i="1"/>
  <c r="C802" i="1"/>
  <c r="D802" i="1"/>
  <c r="E802" i="1"/>
  <c r="F802" i="1"/>
  <c r="G802" i="1"/>
  <c r="H802" i="1"/>
  <c r="C803" i="1"/>
  <c r="D803" i="1"/>
  <c r="E803" i="1"/>
  <c r="F803" i="1"/>
  <c r="G803" i="1"/>
  <c r="H803" i="1"/>
  <c r="C804" i="1"/>
  <c r="D804" i="1"/>
  <c r="E804" i="1"/>
  <c r="F804" i="1"/>
  <c r="G804" i="1"/>
  <c r="H804" i="1"/>
  <c r="C805" i="1"/>
  <c r="D805" i="1"/>
  <c r="E805" i="1"/>
  <c r="F805" i="1"/>
  <c r="G805" i="1"/>
  <c r="H805" i="1"/>
  <c r="C806" i="1"/>
  <c r="D806" i="1"/>
  <c r="E806" i="1"/>
  <c r="F806" i="1"/>
  <c r="G806" i="1"/>
  <c r="H806" i="1"/>
  <c r="C807" i="1"/>
  <c r="D807" i="1"/>
  <c r="E807" i="1"/>
  <c r="F807" i="1"/>
  <c r="G807" i="1"/>
  <c r="H807" i="1"/>
  <c r="C808" i="1"/>
  <c r="D808" i="1"/>
  <c r="E808" i="1"/>
  <c r="F808" i="1"/>
  <c r="G808" i="1"/>
  <c r="H808" i="1"/>
  <c r="C809" i="1"/>
  <c r="D809" i="1"/>
  <c r="E809" i="1"/>
  <c r="F809" i="1"/>
  <c r="G809" i="1"/>
  <c r="H809" i="1"/>
  <c r="C810" i="1"/>
  <c r="D810" i="1"/>
  <c r="E810" i="1"/>
  <c r="F810" i="1"/>
  <c r="G810" i="1"/>
  <c r="H810" i="1"/>
  <c r="C811" i="1"/>
  <c r="D811" i="1"/>
  <c r="E811" i="1"/>
  <c r="F811" i="1"/>
  <c r="G811" i="1"/>
  <c r="H811" i="1"/>
  <c r="C812" i="1"/>
  <c r="D812" i="1"/>
  <c r="E812" i="1"/>
  <c r="F812" i="1"/>
  <c r="G812" i="1"/>
  <c r="H812" i="1"/>
  <c r="C813" i="1"/>
  <c r="D813" i="1"/>
  <c r="E813" i="1"/>
  <c r="F813" i="1"/>
  <c r="G813" i="1"/>
  <c r="H813" i="1"/>
  <c r="C814" i="1"/>
  <c r="D814" i="1"/>
  <c r="E814" i="1"/>
  <c r="F814" i="1"/>
  <c r="G814" i="1"/>
  <c r="H814" i="1"/>
  <c r="C815" i="1"/>
  <c r="D815" i="1"/>
  <c r="E815" i="1"/>
  <c r="F815" i="1"/>
  <c r="G815" i="1"/>
  <c r="H815" i="1"/>
  <c r="C816" i="1"/>
  <c r="D816" i="1"/>
  <c r="E816" i="1"/>
  <c r="F816" i="1"/>
  <c r="G816" i="1"/>
  <c r="H816" i="1"/>
  <c r="C817" i="1"/>
  <c r="D817" i="1"/>
  <c r="E817" i="1"/>
  <c r="F817" i="1"/>
  <c r="G817" i="1"/>
  <c r="H817" i="1"/>
  <c r="C818" i="1"/>
  <c r="D818" i="1"/>
  <c r="E818" i="1"/>
  <c r="F818" i="1"/>
  <c r="G818" i="1"/>
  <c r="H818" i="1"/>
  <c r="C819" i="1"/>
  <c r="D819" i="1"/>
  <c r="E819" i="1"/>
  <c r="F819" i="1"/>
  <c r="G819" i="1"/>
  <c r="H819" i="1"/>
  <c r="C820" i="1"/>
  <c r="D820" i="1"/>
  <c r="E820" i="1"/>
  <c r="F820" i="1"/>
  <c r="G820" i="1"/>
  <c r="H820" i="1"/>
  <c r="C821" i="1"/>
  <c r="D821" i="1"/>
  <c r="E821" i="1"/>
  <c r="F821" i="1"/>
  <c r="G821" i="1"/>
  <c r="H821" i="1"/>
  <c r="C822" i="1"/>
  <c r="D822" i="1"/>
  <c r="E822" i="1"/>
  <c r="F822" i="1"/>
  <c r="G822" i="1"/>
  <c r="H822" i="1"/>
  <c r="C823" i="1"/>
  <c r="D823" i="1"/>
  <c r="E823" i="1"/>
  <c r="F823" i="1"/>
  <c r="G823" i="1"/>
  <c r="H823" i="1"/>
  <c r="C824" i="1"/>
  <c r="D824" i="1"/>
  <c r="E824" i="1"/>
  <c r="F824" i="1"/>
  <c r="G824" i="1"/>
  <c r="H824" i="1"/>
  <c r="C825" i="1"/>
  <c r="D825" i="1"/>
  <c r="E825" i="1"/>
  <c r="F825" i="1"/>
  <c r="G825" i="1"/>
  <c r="H825" i="1"/>
  <c r="C826" i="1"/>
  <c r="D826" i="1"/>
  <c r="E826" i="1"/>
  <c r="F826" i="1"/>
  <c r="G826" i="1"/>
  <c r="H826" i="1"/>
  <c r="C827" i="1"/>
  <c r="D827" i="1"/>
  <c r="E827" i="1"/>
  <c r="F827" i="1"/>
  <c r="G827" i="1"/>
  <c r="H827" i="1"/>
  <c r="C828" i="1"/>
  <c r="D828" i="1"/>
  <c r="E828" i="1"/>
  <c r="F828" i="1"/>
  <c r="G828" i="1"/>
  <c r="H828" i="1"/>
  <c r="C829" i="1"/>
  <c r="D829" i="1"/>
  <c r="E829" i="1"/>
  <c r="F829" i="1"/>
  <c r="G829" i="1"/>
  <c r="H829" i="1"/>
  <c r="C830" i="1"/>
  <c r="D830" i="1"/>
  <c r="E830" i="1"/>
  <c r="F830" i="1"/>
  <c r="G830" i="1"/>
  <c r="H830" i="1"/>
  <c r="C831" i="1"/>
  <c r="D831" i="1"/>
  <c r="E831" i="1"/>
  <c r="F831" i="1"/>
  <c r="G831" i="1"/>
  <c r="H831" i="1"/>
  <c r="C832" i="1"/>
  <c r="D832" i="1"/>
  <c r="E832" i="1"/>
  <c r="F832" i="1"/>
  <c r="G832" i="1"/>
  <c r="H832" i="1"/>
  <c r="C833" i="1"/>
  <c r="D833" i="1"/>
  <c r="E833" i="1"/>
  <c r="F833" i="1"/>
  <c r="G833" i="1"/>
  <c r="H833" i="1"/>
  <c r="C834" i="1"/>
  <c r="D834" i="1"/>
  <c r="E834" i="1"/>
  <c r="F834" i="1"/>
  <c r="G834" i="1"/>
  <c r="H834" i="1"/>
  <c r="C835" i="1"/>
  <c r="D835" i="1"/>
  <c r="E835" i="1"/>
  <c r="F835" i="1"/>
  <c r="G835" i="1"/>
  <c r="H835" i="1"/>
  <c r="C836" i="1"/>
  <c r="D836" i="1"/>
  <c r="E836" i="1"/>
  <c r="F836" i="1"/>
  <c r="G836" i="1"/>
  <c r="H836" i="1"/>
  <c r="C837" i="1"/>
  <c r="D837" i="1"/>
  <c r="E837" i="1"/>
  <c r="F837" i="1"/>
  <c r="G837" i="1"/>
  <c r="H837" i="1"/>
  <c r="C838" i="1"/>
  <c r="D838" i="1"/>
  <c r="E838" i="1"/>
  <c r="F838" i="1"/>
  <c r="G838" i="1"/>
  <c r="H838" i="1"/>
  <c r="C839" i="1"/>
  <c r="D839" i="1"/>
  <c r="E839" i="1"/>
  <c r="F839" i="1"/>
  <c r="G839" i="1"/>
  <c r="H839" i="1"/>
  <c r="C840" i="1"/>
  <c r="D840" i="1"/>
  <c r="E840" i="1"/>
  <c r="F840" i="1"/>
  <c r="G840" i="1"/>
  <c r="H840" i="1"/>
  <c r="C841" i="1"/>
  <c r="D841" i="1"/>
  <c r="E841" i="1"/>
  <c r="F841" i="1"/>
  <c r="G841" i="1"/>
  <c r="H841" i="1"/>
  <c r="C842" i="1"/>
  <c r="D842" i="1"/>
  <c r="E842" i="1"/>
  <c r="F842" i="1"/>
  <c r="G842" i="1"/>
  <c r="H842" i="1"/>
  <c r="C843" i="1"/>
  <c r="D843" i="1"/>
  <c r="E843" i="1"/>
  <c r="F843" i="1"/>
  <c r="G843" i="1"/>
  <c r="H843" i="1"/>
  <c r="C844" i="1"/>
  <c r="D844" i="1"/>
  <c r="E844" i="1"/>
  <c r="F844" i="1"/>
  <c r="G844" i="1"/>
  <c r="H844" i="1"/>
  <c r="C845" i="1"/>
  <c r="D845" i="1"/>
  <c r="E845" i="1"/>
  <c r="F845" i="1"/>
  <c r="G845" i="1"/>
  <c r="H845" i="1"/>
  <c r="C846" i="1"/>
  <c r="D846" i="1"/>
  <c r="E846" i="1"/>
  <c r="F846" i="1"/>
  <c r="G846" i="1"/>
  <c r="H846" i="1"/>
  <c r="C847" i="1"/>
  <c r="D847" i="1"/>
  <c r="E847" i="1"/>
  <c r="F847" i="1"/>
  <c r="G847" i="1"/>
  <c r="H847" i="1"/>
  <c r="C848" i="1"/>
  <c r="D848" i="1"/>
  <c r="E848" i="1"/>
  <c r="F848" i="1"/>
  <c r="G848" i="1"/>
  <c r="H848" i="1"/>
  <c r="C849" i="1"/>
  <c r="D849" i="1"/>
  <c r="E849" i="1"/>
  <c r="F849" i="1"/>
  <c r="G849" i="1"/>
  <c r="H849" i="1"/>
  <c r="C850" i="1"/>
  <c r="D850" i="1"/>
  <c r="E850" i="1"/>
  <c r="F850" i="1"/>
  <c r="G850" i="1"/>
  <c r="H850" i="1"/>
  <c r="C851" i="1"/>
  <c r="D851" i="1"/>
  <c r="E851" i="1"/>
  <c r="F851" i="1"/>
  <c r="G851" i="1"/>
  <c r="H851" i="1"/>
  <c r="C852" i="1"/>
  <c r="D852" i="1"/>
  <c r="E852" i="1"/>
  <c r="F852" i="1"/>
  <c r="G852" i="1"/>
  <c r="H852" i="1"/>
  <c r="C853" i="1"/>
  <c r="D853" i="1"/>
  <c r="E853" i="1"/>
  <c r="F853" i="1"/>
  <c r="G853" i="1"/>
  <c r="H853" i="1"/>
  <c r="C854" i="1"/>
  <c r="D854" i="1"/>
  <c r="E854" i="1"/>
  <c r="F854" i="1"/>
  <c r="G854" i="1"/>
  <c r="H854" i="1"/>
  <c r="C855" i="1"/>
  <c r="D855" i="1"/>
  <c r="E855" i="1"/>
  <c r="F855" i="1"/>
  <c r="G855" i="1"/>
  <c r="H855" i="1"/>
  <c r="C856" i="1"/>
  <c r="D856" i="1"/>
  <c r="E856" i="1"/>
  <c r="F856" i="1"/>
  <c r="G856" i="1"/>
  <c r="H856" i="1"/>
  <c r="C857" i="1"/>
  <c r="D857" i="1"/>
  <c r="E857" i="1"/>
  <c r="F857" i="1"/>
  <c r="G857" i="1"/>
  <c r="H857" i="1"/>
  <c r="C858" i="1"/>
  <c r="D858" i="1"/>
  <c r="E858" i="1"/>
  <c r="F858" i="1"/>
  <c r="G858" i="1"/>
  <c r="H858" i="1"/>
  <c r="C859" i="1"/>
  <c r="D859" i="1"/>
  <c r="E859" i="1"/>
  <c r="F859" i="1"/>
  <c r="G859" i="1"/>
  <c r="H859" i="1"/>
  <c r="C860" i="1"/>
  <c r="D860" i="1"/>
  <c r="E860" i="1"/>
  <c r="F860" i="1"/>
  <c r="G860" i="1"/>
  <c r="H860" i="1"/>
  <c r="C861" i="1"/>
  <c r="D861" i="1"/>
  <c r="E861" i="1"/>
  <c r="F861" i="1"/>
  <c r="G861" i="1"/>
  <c r="H861" i="1"/>
  <c r="C862" i="1"/>
  <c r="D862" i="1"/>
  <c r="E862" i="1"/>
  <c r="F862" i="1"/>
  <c r="G862" i="1"/>
  <c r="H862" i="1"/>
  <c r="C863" i="1"/>
  <c r="D863" i="1"/>
  <c r="E863" i="1"/>
  <c r="F863" i="1"/>
  <c r="G863" i="1"/>
  <c r="H863" i="1"/>
  <c r="C864" i="1"/>
  <c r="D864" i="1"/>
  <c r="E864" i="1"/>
  <c r="F864" i="1"/>
  <c r="G864" i="1"/>
  <c r="H864" i="1"/>
  <c r="C865" i="1"/>
  <c r="D865" i="1"/>
  <c r="E865" i="1"/>
  <c r="F865" i="1"/>
  <c r="G865" i="1"/>
  <c r="H865" i="1"/>
  <c r="C866" i="1"/>
  <c r="D866" i="1"/>
  <c r="E866" i="1"/>
  <c r="F866" i="1"/>
  <c r="G866" i="1"/>
  <c r="H866" i="1"/>
  <c r="C867" i="1"/>
  <c r="D867" i="1"/>
  <c r="E867" i="1"/>
  <c r="F867" i="1"/>
  <c r="G867" i="1"/>
  <c r="H867" i="1"/>
  <c r="C868" i="1"/>
  <c r="D868" i="1"/>
  <c r="E868" i="1"/>
  <c r="F868" i="1"/>
  <c r="G868" i="1"/>
  <c r="H868" i="1"/>
  <c r="C869" i="1"/>
  <c r="D869" i="1"/>
  <c r="E869" i="1"/>
  <c r="F869" i="1"/>
  <c r="G869" i="1"/>
  <c r="H869" i="1"/>
  <c r="C870" i="1"/>
  <c r="D870" i="1"/>
  <c r="E870" i="1"/>
  <c r="F870" i="1"/>
  <c r="G870" i="1"/>
  <c r="H870" i="1"/>
  <c r="C871" i="1"/>
  <c r="D871" i="1"/>
  <c r="E871" i="1"/>
  <c r="F871" i="1"/>
  <c r="G871" i="1"/>
  <c r="H871" i="1"/>
  <c r="C872" i="1"/>
  <c r="D872" i="1"/>
  <c r="E872" i="1"/>
  <c r="F872" i="1"/>
  <c r="G872" i="1"/>
  <c r="H872" i="1"/>
  <c r="C873" i="1"/>
  <c r="D873" i="1"/>
  <c r="E873" i="1"/>
  <c r="F873" i="1"/>
  <c r="G873" i="1"/>
  <c r="H873" i="1"/>
  <c r="C874" i="1"/>
  <c r="D874" i="1"/>
  <c r="E874" i="1"/>
  <c r="F874" i="1"/>
  <c r="G874" i="1"/>
  <c r="H874" i="1"/>
  <c r="C875" i="1"/>
  <c r="D875" i="1"/>
  <c r="E875" i="1"/>
  <c r="F875" i="1"/>
  <c r="G875" i="1"/>
  <c r="H875" i="1"/>
  <c r="C876" i="1"/>
  <c r="D876" i="1"/>
  <c r="E876" i="1"/>
  <c r="F876" i="1"/>
  <c r="G876" i="1"/>
  <c r="H876" i="1"/>
  <c r="C877" i="1"/>
  <c r="D877" i="1"/>
  <c r="E877" i="1"/>
  <c r="F877" i="1"/>
  <c r="G877" i="1"/>
  <c r="H877" i="1"/>
  <c r="C878" i="1"/>
  <c r="D878" i="1"/>
  <c r="E878" i="1"/>
  <c r="F878" i="1"/>
  <c r="G878" i="1"/>
  <c r="H878" i="1"/>
  <c r="C879" i="1"/>
  <c r="D879" i="1"/>
  <c r="E879" i="1"/>
  <c r="F879" i="1"/>
  <c r="G879" i="1"/>
  <c r="H879" i="1"/>
  <c r="C880" i="1"/>
  <c r="D880" i="1"/>
  <c r="E880" i="1"/>
  <c r="F880" i="1"/>
  <c r="G880" i="1"/>
  <c r="H880" i="1"/>
  <c r="C881" i="1"/>
  <c r="D881" i="1"/>
  <c r="E881" i="1"/>
  <c r="F881" i="1"/>
  <c r="G881" i="1"/>
  <c r="H881" i="1"/>
  <c r="C882" i="1"/>
  <c r="D882" i="1"/>
  <c r="E882" i="1"/>
  <c r="F882" i="1"/>
  <c r="G882" i="1"/>
  <c r="H882" i="1"/>
  <c r="C883" i="1"/>
  <c r="D883" i="1"/>
  <c r="E883" i="1"/>
  <c r="F883" i="1"/>
  <c r="G883" i="1"/>
  <c r="H883" i="1"/>
  <c r="C884" i="1"/>
  <c r="D884" i="1"/>
  <c r="E884" i="1"/>
  <c r="F884" i="1"/>
  <c r="G884" i="1"/>
  <c r="H884" i="1"/>
  <c r="C885" i="1"/>
  <c r="D885" i="1"/>
  <c r="E885" i="1"/>
  <c r="F885" i="1"/>
  <c r="G885" i="1"/>
  <c r="H885" i="1"/>
  <c r="C886" i="1"/>
  <c r="D886" i="1"/>
  <c r="E886" i="1"/>
  <c r="F886" i="1"/>
  <c r="G886" i="1"/>
  <c r="H886" i="1"/>
  <c r="C887" i="1"/>
  <c r="D887" i="1"/>
  <c r="E887" i="1"/>
  <c r="F887" i="1"/>
  <c r="G887" i="1"/>
  <c r="H887" i="1"/>
  <c r="C888" i="1"/>
  <c r="D888" i="1"/>
  <c r="E888" i="1"/>
  <c r="F888" i="1"/>
  <c r="G888" i="1"/>
  <c r="H888" i="1"/>
  <c r="C889" i="1"/>
  <c r="D889" i="1"/>
  <c r="E889" i="1"/>
  <c r="F889" i="1"/>
  <c r="G889" i="1"/>
  <c r="H889" i="1"/>
  <c r="C890" i="1"/>
  <c r="D890" i="1"/>
  <c r="E890" i="1"/>
  <c r="F890" i="1"/>
  <c r="G890" i="1"/>
  <c r="H890" i="1"/>
  <c r="C891" i="1"/>
  <c r="D891" i="1"/>
  <c r="E891" i="1"/>
  <c r="F891" i="1"/>
  <c r="G891" i="1"/>
  <c r="H891" i="1"/>
  <c r="C892" i="1"/>
  <c r="D892" i="1"/>
  <c r="E892" i="1"/>
  <c r="F892" i="1"/>
  <c r="G892" i="1"/>
  <c r="H892" i="1"/>
  <c r="C893" i="1"/>
  <c r="D893" i="1"/>
  <c r="E893" i="1"/>
  <c r="F893" i="1"/>
  <c r="G893" i="1"/>
  <c r="H893" i="1"/>
  <c r="C894" i="1"/>
  <c r="D894" i="1"/>
  <c r="E894" i="1"/>
  <c r="F894" i="1"/>
  <c r="G894" i="1"/>
  <c r="H894" i="1"/>
  <c r="C895" i="1"/>
  <c r="D895" i="1"/>
  <c r="E895" i="1"/>
  <c r="F895" i="1"/>
  <c r="G895" i="1"/>
  <c r="H895" i="1"/>
  <c r="C896" i="1"/>
  <c r="D896" i="1"/>
  <c r="E896" i="1"/>
  <c r="F896" i="1"/>
  <c r="G896" i="1"/>
  <c r="H896" i="1"/>
  <c r="C897" i="1"/>
  <c r="D897" i="1"/>
  <c r="E897" i="1"/>
  <c r="F897" i="1"/>
  <c r="G897" i="1"/>
  <c r="H897" i="1"/>
  <c r="C898" i="1"/>
  <c r="D898" i="1"/>
  <c r="E898" i="1"/>
  <c r="F898" i="1"/>
  <c r="G898" i="1"/>
  <c r="H898" i="1"/>
  <c r="C899" i="1"/>
  <c r="D899" i="1"/>
  <c r="E899" i="1"/>
  <c r="F899" i="1"/>
  <c r="G899" i="1"/>
  <c r="H899" i="1"/>
  <c r="C900" i="1"/>
  <c r="D900" i="1"/>
  <c r="E900" i="1"/>
  <c r="F900" i="1"/>
  <c r="G900" i="1"/>
  <c r="H900" i="1"/>
  <c r="C901" i="1"/>
  <c r="D901" i="1"/>
  <c r="E901" i="1"/>
  <c r="F901" i="1"/>
  <c r="G901" i="1"/>
  <c r="H901" i="1"/>
  <c r="C902" i="1"/>
  <c r="D902" i="1"/>
  <c r="E902" i="1"/>
  <c r="F902" i="1"/>
  <c r="G902" i="1"/>
  <c r="H902" i="1"/>
  <c r="C903" i="1"/>
  <c r="D903" i="1"/>
  <c r="E903" i="1"/>
  <c r="F903" i="1"/>
  <c r="G903" i="1"/>
  <c r="H903" i="1"/>
  <c r="C904" i="1"/>
  <c r="D904" i="1"/>
  <c r="E904" i="1"/>
  <c r="F904" i="1"/>
  <c r="G904" i="1"/>
  <c r="H904" i="1"/>
  <c r="C905" i="1"/>
  <c r="D905" i="1"/>
  <c r="E905" i="1"/>
  <c r="F905" i="1"/>
  <c r="G905" i="1"/>
  <c r="H905" i="1"/>
  <c r="C906" i="1"/>
  <c r="D906" i="1"/>
  <c r="E906" i="1"/>
  <c r="F906" i="1"/>
  <c r="G906" i="1"/>
  <c r="H906" i="1"/>
  <c r="C907" i="1"/>
  <c r="D907" i="1"/>
  <c r="E907" i="1"/>
  <c r="F907" i="1"/>
  <c r="G907" i="1"/>
  <c r="H907" i="1"/>
  <c r="C908" i="1"/>
  <c r="D908" i="1"/>
  <c r="E908" i="1"/>
  <c r="F908" i="1"/>
  <c r="G908" i="1"/>
  <c r="H908" i="1"/>
  <c r="C909" i="1"/>
  <c r="D909" i="1"/>
  <c r="E909" i="1"/>
  <c r="F909" i="1"/>
  <c r="G909" i="1"/>
  <c r="H909" i="1"/>
  <c r="C910" i="1"/>
  <c r="D910" i="1"/>
  <c r="E910" i="1"/>
  <c r="F910" i="1"/>
  <c r="G910" i="1"/>
  <c r="H910" i="1"/>
  <c r="C911" i="1"/>
  <c r="D911" i="1"/>
  <c r="E911" i="1"/>
  <c r="F911" i="1"/>
  <c r="G911" i="1"/>
  <c r="H911" i="1"/>
  <c r="C912" i="1"/>
  <c r="D912" i="1"/>
  <c r="E912" i="1"/>
  <c r="F912" i="1"/>
  <c r="G912" i="1"/>
  <c r="H912" i="1"/>
  <c r="C913" i="1"/>
  <c r="D913" i="1"/>
  <c r="E913" i="1"/>
  <c r="F913" i="1"/>
  <c r="G913" i="1"/>
  <c r="H913" i="1"/>
  <c r="C914" i="1"/>
  <c r="D914" i="1"/>
  <c r="E914" i="1"/>
  <c r="F914" i="1"/>
  <c r="G914" i="1"/>
  <c r="H914" i="1"/>
  <c r="C915" i="1"/>
  <c r="D915" i="1"/>
  <c r="E915" i="1"/>
  <c r="F915" i="1"/>
  <c r="G915" i="1"/>
  <c r="H915" i="1"/>
  <c r="C916" i="1"/>
  <c r="D916" i="1"/>
  <c r="E916" i="1"/>
  <c r="F916" i="1"/>
  <c r="G916" i="1"/>
  <c r="H916" i="1"/>
  <c r="C917" i="1"/>
  <c r="D917" i="1"/>
  <c r="E917" i="1"/>
  <c r="F917" i="1"/>
  <c r="G917" i="1"/>
  <c r="H917" i="1"/>
  <c r="C918" i="1"/>
  <c r="D918" i="1"/>
  <c r="E918" i="1"/>
  <c r="F918" i="1"/>
  <c r="G918" i="1"/>
  <c r="H918" i="1"/>
  <c r="C919" i="1"/>
  <c r="D919" i="1"/>
  <c r="E919" i="1"/>
  <c r="F919" i="1"/>
  <c r="G919" i="1"/>
  <c r="H919" i="1"/>
  <c r="C920" i="1"/>
  <c r="D920" i="1"/>
  <c r="E920" i="1"/>
  <c r="F920" i="1"/>
  <c r="G920" i="1"/>
  <c r="H920" i="1"/>
  <c r="C921" i="1"/>
  <c r="D921" i="1"/>
  <c r="E921" i="1"/>
  <c r="F921" i="1"/>
  <c r="G921" i="1"/>
  <c r="H921" i="1"/>
  <c r="C922" i="1"/>
  <c r="D922" i="1"/>
  <c r="E922" i="1"/>
  <c r="F922" i="1"/>
  <c r="G922" i="1"/>
  <c r="H922" i="1"/>
  <c r="C923" i="1"/>
  <c r="D923" i="1"/>
  <c r="E923" i="1"/>
  <c r="F923" i="1"/>
  <c r="G923" i="1"/>
  <c r="H923" i="1"/>
  <c r="C924" i="1"/>
  <c r="D924" i="1"/>
  <c r="E924" i="1"/>
  <c r="F924" i="1"/>
  <c r="G924" i="1"/>
  <c r="H924" i="1"/>
  <c r="C925" i="1"/>
  <c r="D925" i="1"/>
  <c r="E925" i="1"/>
  <c r="F925" i="1"/>
  <c r="G925" i="1"/>
  <c r="H925" i="1"/>
  <c r="C926" i="1"/>
  <c r="D926" i="1"/>
  <c r="E926" i="1"/>
  <c r="F926" i="1"/>
  <c r="G926" i="1"/>
  <c r="H926" i="1"/>
  <c r="C927" i="1"/>
  <c r="D927" i="1"/>
  <c r="E927" i="1"/>
  <c r="F927" i="1"/>
  <c r="G927" i="1"/>
  <c r="H927" i="1"/>
  <c r="C928" i="1"/>
  <c r="D928" i="1"/>
  <c r="E928" i="1"/>
  <c r="F928" i="1"/>
  <c r="G928" i="1"/>
  <c r="H928" i="1"/>
  <c r="C929" i="1"/>
  <c r="D929" i="1"/>
  <c r="E929" i="1"/>
  <c r="F929" i="1"/>
  <c r="G929" i="1"/>
  <c r="H929" i="1"/>
  <c r="C930" i="1"/>
  <c r="D930" i="1"/>
  <c r="E930" i="1"/>
  <c r="F930" i="1"/>
  <c r="G930" i="1"/>
  <c r="H930" i="1"/>
  <c r="C931" i="1"/>
  <c r="D931" i="1"/>
  <c r="E931" i="1"/>
  <c r="F931" i="1"/>
  <c r="G931" i="1"/>
  <c r="H931" i="1"/>
  <c r="C932" i="1"/>
  <c r="D932" i="1"/>
  <c r="E932" i="1"/>
  <c r="F932" i="1"/>
  <c r="G932" i="1"/>
  <c r="H932" i="1"/>
  <c r="C933" i="1"/>
  <c r="D933" i="1"/>
  <c r="E933" i="1"/>
  <c r="F933" i="1"/>
  <c r="G933" i="1"/>
  <c r="H933" i="1"/>
  <c r="C934" i="1"/>
  <c r="D934" i="1"/>
  <c r="E934" i="1"/>
  <c r="F934" i="1"/>
  <c r="G934" i="1"/>
  <c r="H934" i="1"/>
  <c r="C935" i="1"/>
  <c r="D935" i="1"/>
  <c r="E935" i="1"/>
  <c r="F935" i="1"/>
  <c r="G935" i="1"/>
  <c r="H935" i="1"/>
  <c r="C936" i="1"/>
  <c r="D936" i="1"/>
  <c r="E936" i="1"/>
  <c r="F936" i="1"/>
  <c r="G936" i="1"/>
  <c r="H936" i="1"/>
  <c r="C937" i="1"/>
  <c r="D937" i="1"/>
  <c r="E937" i="1"/>
  <c r="F937" i="1"/>
  <c r="G937" i="1"/>
  <c r="H937" i="1"/>
  <c r="C938" i="1"/>
  <c r="D938" i="1"/>
  <c r="E938" i="1"/>
  <c r="F938" i="1"/>
  <c r="G938" i="1"/>
  <c r="H938" i="1"/>
  <c r="C939" i="1"/>
  <c r="D939" i="1"/>
  <c r="E939" i="1"/>
  <c r="F939" i="1"/>
  <c r="G939" i="1"/>
  <c r="H939" i="1"/>
  <c r="C940" i="1"/>
  <c r="D940" i="1"/>
  <c r="E940" i="1"/>
  <c r="F940" i="1"/>
  <c r="G940" i="1"/>
  <c r="H940" i="1"/>
  <c r="C941" i="1"/>
  <c r="D941" i="1"/>
  <c r="E941" i="1"/>
  <c r="F941" i="1"/>
  <c r="G941" i="1"/>
  <c r="H941" i="1"/>
  <c r="C942" i="1"/>
  <c r="D942" i="1"/>
  <c r="E942" i="1"/>
  <c r="F942" i="1"/>
  <c r="G942" i="1"/>
  <c r="H942" i="1"/>
  <c r="C943" i="1"/>
  <c r="D943" i="1"/>
  <c r="E943" i="1"/>
  <c r="F943" i="1"/>
  <c r="G943" i="1"/>
  <c r="H943" i="1"/>
  <c r="C944" i="1"/>
  <c r="D944" i="1"/>
  <c r="E944" i="1"/>
  <c r="F944" i="1"/>
  <c r="G944" i="1"/>
  <c r="H944" i="1"/>
  <c r="C945" i="1"/>
  <c r="D945" i="1"/>
  <c r="E945" i="1"/>
  <c r="F945" i="1"/>
  <c r="G945" i="1"/>
  <c r="H945" i="1"/>
  <c r="C946" i="1"/>
  <c r="D946" i="1"/>
  <c r="E946" i="1"/>
  <c r="F946" i="1"/>
  <c r="G946" i="1"/>
  <c r="H946" i="1"/>
  <c r="C947" i="1"/>
  <c r="D947" i="1"/>
  <c r="E947" i="1"/>
  <c r="F947" i="1"/>
  <c r="G947" i="1"/>
  <c r="H947" i="1"/>
  <c r="C948" i="1"/>
  <c r="D948" i="1"/>
  <c r="E948" i="1"/>
  <c r="F948" i="1"/>
  <c r="G948" i="1"/>
  <c r="H948" i="1"/>
  <c r="C949" i="1"/>
  <c r="D949" i="1"/>
  <c r="E949" i="1"/>
  <c r="F949" i="1"/>
  <c r="G949" i="1"/>
  <c r="H949" i="1"/>
  <c r="C950" i="1"/>
  <c r="D950" i="1"/>
  <c r="E950" i="1"/>
  <c r="F950" i="1"/>
  <c r="G950" i="1"/>
  <c r="H950" i="1"/>
  <c r="C951" i="1"/>
  <c r="D951" i="1"/>
  <c r="E951" i="1"/>
  <c r="F951" i="1"/>
  <c r="G951" i="1"/>
  <c r="H951" i="1"/>
  <c r="C952" i="1"/>
  <c r="D952" i="1"/>
  <c r="E952" i="1"/>
  <c r="F952" i="1"/>
  <c r="G952" i="1"/>
  <c r="H952" i="1"/>
  <c r="C953" i="1"/>
  <c r="D953" i="1"/>
  <c r="E953" i="1"/>
  <c r="F953" i="1"/>
  <c r="G953" i="1"/>
  <c r="H953" i="1"/>
  <c r="C954" i="1"/>
  <c r="D954" i="1"/>
  <c r="E954" i="1"/>
  <c r="F954" i="1"/>
  <c r="G954" i="1"/>
  <c r="H954" i="1"/>
  <c r="C955" i="1"/>
  <c r="D955" i="1"/>
  <c r="E955" i="1"/>
  <c r="F955" i="1"/>
  <c r="G955" i="1"/>
  <c r="H955" i="1"/>
  <c r="C956" i="1"/>
  <c r="D956" i="1"/>
  <c r="E956" i="1"/>
  <c r="F956" i="1"/>
  <c r="G956" i="1"/>
  <c r="H956" i="1"/>
  <c r="C957" i="1"/>
  <c r="D957" i="1"/>
  <c r="E957" i="1"/>
  <c r="F957" i="1"/>
  <c r="G957" i="1"/>
  <c r="H957" i="1"/>
  <c r="C958" i="1"/>
  <c r="D958" i="1"/>
  <c r="E958" i="1"/>
  <c r="F958" i="1"/>
  <c r="G958" i="1"/>
  <c r="H958" i="1"/>
  <c r="C959" i="1"/>
  <c r="D959" i="1"/>
  <c r="E959" i="1"/>
  <c r="F959" i="1"/>
  <c r="G959" i="1"/>
  <c r="H959" i="1"/>
  <c r="C960" i="1"/>
  <c r="D960" i="1"/>
  <c r="E960" i="1"/>
  <c r="F960" i="1"/>
  <c r="G960" i="1"/>
  <c r="H960" i="1"/>
  <c r="C961" i="1"/>
  <c r="D961" i="1"/>
  <c r="E961" i="1"/>
  <c r="F961" i="1"/>
  <c r="G961" i="1"/>
  <c r="H961" i="1"/>
  <c r="C962" i="1"/>
  <c r="D962" i="1"/>
  <c r="E962" i="1"/>
  <c r="F962" i="1"/>
  <c r="G962" i="1"/>
  <c r="H962" i="1"/>
  <c r="C963" i="1"/>
  <c r="D963" i="1"/>
  <c r="E963" i="1"/>
  <c r="F963" i="1"/>
  <c r="G963" i="1"/>
  <c r="H963" i="1"/>
  <c r="C964" i="1"/>
  <c r="D964" i="1"/>
  <c r="E964" i="1"/>
  <c r="F964" i="1"/>
  <c r="G964" i="1"/>
  <c r="H964" i="1"/>
  <c r="C965" i="1"/>
  <c r="D965" i="1"/>
  <c r="E965" i="1"/>
  <c r="F965" i="1"/>
  <c r="G965" i="1"/>
  <c r="H965" i="1"/>
  <c r="C966" i="1"/>
  <c r="D966" i="1"/>
  <c r="E966" i="1"/>
  <c r="F966" i="1"/>
  <c r="G966" i="1"/>
  <c r="H966" i="1"/>
  <c r="C967" i="1"/>
  <c r="D967" i="1"/>
  <c r="E967" i="1"/>
  <c r="F967" i="1"/>
  <c r="G967" i="1"/>
  <c r="H967" i="1"/>
  <c r="C968" i="1"/>
  <c r="D968" i="1"/>
  <c r="E968" i="1"/>
  <c r="F968" i="1"/>
  <c r="G968" i="1"/>
  <c r="H968" i="1"/>
  <c r="C969" i="1"/>
  <c r="D969" i="1"/>
  <c r="E969" i="1"/>
  <c r="F969" i="1"/>
  <c r="G969" i="1"/>
  <c r="H969" i="1"/>
  <c r="C970" i="1"/>
  <c r="D970" i="1"/>
  <c r="E970" i="1"/>
  <c r="F970" i="1"/>
  <c r="G970" i="1"/>
  <c r="H970" i="1"/>
  <c r="C971" i="1"/>
  <c r="D971" i="1"/>
  <c r="E971" i="1"/>
  <c r="F971" i="1"/>
  <c r="G971" i="1"/>
  <c r="H971" i="1"/>
  <c r="C972" i="1"/>
  <c r="D972" i="1"/>
  <c r="E972" i="1"/>
  <c r="F972" i="1"/>
  <c r="G972" i="1"/>
  <c r="H972" i="1"/>
  <c r="C973" i="1"/>
  <c r="D973" i="1"/>
  <c r="E973" i="1"/>
  <c r="F973" i="1"/>
  <c r="G973" i="1"/>
  <c r="H973" i="1"/>
  <c r="C974" i="1"/>
  <c r="D974" i="1"/>
  <c r="E974" i="1"/>
  <c r="F974" i="1"/>
  <c r="G974" i="1"/>
  <c r="H974" i="1"/>
  <c r="C975" i="1"/>
  <c r="D975" i="1"/>
  <c r="E975" i="1"/>
  <c r="F975" i="1"/>
  <c r="G975" i="1"/>
  <c r="H975" i="1"/>
  <c r="C976" i="1"/>
  <c r="D976" i="1"/>
  <c r="E976" i="1"/>
  <c r="F976" i="1"/>
  <c r="G976" i="1"/>
  <c r="H976" i="1"/>
  <c r="C977" i="1"/>
  <c r="D977" i="1"/>
  <c r="E977" i="1"/>
  <c r="F977" i="1"/>
  <c r="G977" i="1"/>
  <c r="H977" i="1"/>
  <c r="C978" i="1"/>
  <c r="D978" i="1"/>
  <c r="E978" i="1"/>
  <c r="F978" i="1"/>
  <c r="G978" i="1"/>
  <c r="H978" i="1"/>
  <c r="C979" i="1"/>
  <c r="D979" i="1"/>
  <c r="E979" i="1"/>
  <c r="F979" i="1"/>
  <c r="G979" i="1"/>
  <c r="H979" i="1"/>
  <c r="C980" i="1"/>
  <c r="D980" i="1"/>
  <c r="E980" i="1"/>
  <c r="F980" i="1"/>
  <c r="G980" i="1"/>
  <c r="H980" i="1"/>
  <c r="C981" i="1"/>
  <c r="D981" i="1"/>
  <c r="E981" i="1"/>
  <c r="F981" i="1"/>
  <c r="G981" i="1"/>
  <c r="H981" i="1"/>
  <c r="C982" i="1"/>
  <c r="D982" i="1"/>
  <c r="E982" i="1"/>
  <c r="F982" i="1"/>
  <c r="G982" i="1"/>
  <c r="H982" i="1"/>
  <c r="C983" i="1"/>
  <c r="D983" i="1"/>
  <c r="E983" i="1"/>
  <c r="F983" i="1"/>
  <c r="G983" i="1"/>
  <c r="H983" i="1"/>
  <c r="C984" i="1"/>
  <c r="D984" i="1"/>
  <c r="E984" i="1"/>
  <c r="F984" i="1"/>
  <c r="G984" i="1"/>
  <c r="H984" i="1"/>
  <c r="C985" i="1"/>
  <c r="D985" i="1"/>
  <c r="E985" i="1"/>
  <c r="F985" i="1"/>
  <c r="G985" i="1"/>
  <c r="H985" i="1"/>
  <c r="C986" i="1"/>
  <c r="D986" i="1"/>
  <c r="E986" i="1"/>
  <c r="F986" i="1"/>
  <c r="G986" i="1"/>
  <c r="H986" i="1"/>
  <c r="C987" i="1"/>
  <c r="D987" i="1"/>
  <c r="E987" i="1"/>
  <c r="F987" i="1"/>
  <c r="G987" i="1"/>
  <c r="H987" i="1"/>
  <c r="C988" i="1"/>
  <c r="D988" i="1"/>
  <c r="E988" i="1"/>
  <c r="F988" i="1"/>
  <c r="G988" i="1"/>
  <c r="H988" i="1"/>
  <c r="C989" i="1"/>
  <c r="D989" i="1"/>
  <c r="E989" i="1"/>
  <c r="F989" i="1"/>
  <c r="G989" i="1"/>
  <c r="H989" i="1"/>
  <c r="C990" i="1"/>
  <c r="D990" i="1"/>
  <c r="E990" i="1"/>
  <c r="F990" i="1"/>
  <c r="G990" i="1"/>
  <c r="H990" i="1"/>
  <c r="C991" i="1"/>
  <c r="D991" i="1"/>
  <c r="E991" i="1"/>
  <c r="F991" i="1"/>
  <c r="G991" i="1"/>
  <c r="H991" i="1"/>
  <c r="C992" i="1"/>
  <c r="D992" i="1"/>
  <c r="E992" i="1"/>
  <c r="F992" i="1"/>
  <c r="G992" i="1"/>
  <c r="H992" i="1"/>
  <c r="C993" i="1"/>
  <c r="D993" i="1"/>
  <c r="E993" i="1"/>
  <c r="F993" i="1"/>
  <c r="G993" i="1"/>
  <c r="H993" i="1"/>
  <c r="C994" i="1"/>
  <c r="D994" i="1"/>
  <c r="E994" i="1"/>
  <c r="F994" i="1"/>
  <c r="G994" i="1"/>
  <c r="H994" i="1"/>
  <c r="C995" i="1"/>
  <c r="D995" i="1"/>
  <c r="E995" i="1"/>
  <c r="F995" i="1"/>
  <c r="G995" i="1"/>
  <c r="H995" i="1"/>
  <c r="C996" i="1"/>
  <c r="D996" i="1"/>
  <c r="E996" i="1"/>
  <c r="F996" i="1"/>
  <c r="G996" i="1"/>
  <c r="H996" i="1"/>
  <c r="C997" i="1"/>
  <c r="D997" i="1"/>
  <c r="E997" i="1"/>
  <c r="F997" i="1"/>
  <c r="G997" i="1"/>
  <c r="H997" i="1"/>
  <c r="C998" i="1"/>
  <c r="D998" i="1"/>
  <c r="E998" i="1"/>
  <c r="F998" i="1"/>
  <c r="G998" i="1"/>
  <c r="H998" i="1"/>
  <c r="C999" i="1"/>
  <c r="D999" i="1"/>
  <c r="E999" i="1"/>
  <c r="F999" i="1"/>
  <c r="G999" i="1"/>
  <c r="H999" i="1"/>
  <c r="C1000" i="1"/>
  <c r="D1000" i="1"/>
  <c r="E1000" i="1"/>
  <c r="F1000" i="1"/>
  <c r="G1000" i="1"/>
  <c r="H1000" i="1"/>
  <c r="C1001" i="1"/>
  <c r="D1001" i="1"/>
  <c r="E1001" i="1"/>
  <c r="F1001" i="1"/>
  <c r="G1001" i="1"/>
  <c r="H1001" i="1"/>
  <c r="C1002" i="1"/>
  <c r="D1002" i="1"/>
  <c r="E1002" i="1"/>
  <c r="F1002" i="1"/>
  <c r="G1002" i="1"/>
  <c r="H1002" i="1"/>
  <c r="C1003" i="1"/>
  <c r="D1003" i="1"/>
  <c r="E1003" i="1"/>
  <c r="F1003" i="1"/>
  <c r="G1003" i="1"/>
  <c r="H1003" i="1"/>
  <c r="C1004" i="1"/>
  <c r="D1004" i="1"/>
  <c r="E1004" i="1"/>
  <c r="F1004" i="1"/>
  <c r="G1004" i="1"/>
  <c r="H1004" i="1"/>
  <c r="C1005" i="1"/>
  <c r="D1005" i="1"/>
  <c r="E1005" i="1"/>
  <c r="F1005" i="1"/>
  <c r="G1005" i="1"/>
  <c r="H1005" i="1"/>
  <c r="C1006" i="1"/>
  <c r="D1006" i="1"/>
  <c r="E1006" i="1"/>
  <c r="F1006" i="1"/>
  <c r="G1006" i="1"/>
  <c r="H1006" i="1"/>
  <c r="C1007" i="1"/>
  <c r="D1007" i="1"/>
  <c r="E1007" i="1"/>
  <c r="F1007" i="1"/>
  <c r="G1007" i="1"/>
  <c r="H1007" i="1"/>
  <c r="C1008" i="1"/>
  <c r="D1008" i="1"/>
  <c r="E1008" i="1"/>
  <c r="F1008" i="1"/>
  <c r="G1008" i="1"/>
  <c r="H1008" i="1"/>
  <c r="C1009" i="1"/>
  <c r="D1009" i="1"/>
  <c r="E1009" i="1"/>
  <c r="F1009" i="1"/>
  <c r="G1009" i="1"/>
  <c r="H1009" i="1"/>
  <c r="C1010" i="1"/>
  <c r="D1010" i="1"/>
  <c r="E1010" i="1"/>
  <c r="F1010" i="1"/>
  <c r="G1010" i="1"/>
  <c r="H1010" i="1"/>
  <c r="C1011" i="1"/>
  <c r="D1011" i="1"/>
  <c r="E1011" i="1"/>
  <c r="F1011" i="1"/>
  <c r="G1011" i="1"/>
  <c r="H1011" i="1"/>
  <c r="C1012" i="1"/>
  <c r="D1012" i="1"/>
  <c r="E1012" i="1"/>
  <c r="F1012" i="1"/>
  <c r="G1012" i="1"/>
  <c r="H1012" i="1"/>
  <c r="C1013" i="1"/>
  <c r="D1013" i="1"/>
  <c r="E1013" i="1"/>
  <c r="F1013" i="1"/>
  <c r="G1013" i="1"/>
  <c r="H1013" i="1"/>
  <c r="C1014" i="1"/>
  <c r="D1014" i="1"/>
  <c r="E1014" i="1"/>
  <c r="F1014" i="1"/>
  <c r="G1014" i="1"/>
  <c r="H1014" i="1"/>
  <c r="C1015" i="1"/>
  <c r="D1015" i="1"/>
  <c r="E1015" i="1"/>
  <c r="F1015" i="1"/>
  <c r="G1015" i="1"/>
  <c r="H1015" i="1"/>
  <c r="C1016" i="1"/>
  <c r="D1016" i="1"/>
  <c r="E1016" i="1"/>
  <c r="F1016" i="1"/>
  <c r="G1016" i="1"/>
  <c r="H1016" i="1"/>
  <c r="C1017" i="1"/>
  <c r="D1017" i="1"/>
  <c r="E1017" i="1"/>
  <c r="F1017" i="1"/>
  <c r="G1017" i="1"/>
  <c r="H1017" i="1"/>
  <c r="C1018" i="1"/>
  <c r="D1018" i="1"/>
  <c r="E1018" i="1"/>
  <c r="F1018" i="1"/>
  <c r="G1018" i="1"/>
  <c r="H1018" i="1"/>
  <c r="C1019" i="1"/>
  <c r="D1019" i="1"/>
  <c r="E1019" i="1"/>
  <c r="F1019" i="1"/>
  <c r="G1019" i="1"/>
  <c r="H1019" i="1"/>
  <c r="C1020" i="1"/>
  <c r="D1020" i="1"/>
  <c r="E1020" i="1"/>
  <c r="F1020" i="1"/>
  <c r="G1020" i="1"/>
  <c r="H1020" i="1"/>
  <c r="C1021" i="1"/>
  <c r="D1021" i="1"/>
  <c r="E1021" i="1"/>
  <c r="F1021" i="1"/>
  <c r="G1021" i="1"/>
  <c r="H1021" i="1"/>
  <c r="C1022" i="1"/>
  <c r="D1022" i="1"/>
  <c r="E1022" i="1"/>
  <c r="F1022" i="1"/>
  <c r="G1022" i="1"/>
  <c r="H1022" i="1"/>
  <c r="C1023" i="1"/>
  <c r="D1023" i="1"/>
  <c r="E1023" i="1"/>
  <c r="F1023" i="1"/>
  <c r="G1023" i="1"/>
  <c r="H1023" i="1"/>
  <c r="C1024" i="1"/>
  <c r="D1024" i="1"/>
  <c r="E1024" i="1"/>
  <c r="F1024" i="1"/>
  <c r="G1024" i="1"/>
  <c r="H1024" i="1"/>
  <c r="C1025" i="1"/>
  <c r="D1025" i="1"/>
  <c r="E1025" i="1"/>
  <c r="F1025" i="1"/>
  <c r="G1025" i="1"/>
  <c r="H1025" i="1"/>
  <c r="C1026" i="1"/>
  <c r="D1026" i="1"/>
  <c r="E1026" i="1"/>
  <c r="F1026" i="1"/>
  <c r="G1026" i="1"/>
  <c r="H1026" i="1"/>
  <c r="C1027" i="1"/>
  <c r="D1027" i="1"/>
  <c r="E1027" i="1"/>
  <c r="F1027" i="1"/>
  <c r="G1027" i="1"/>
  <c r="H1027" i="1"/>
  <c r="C1028" i="1"/>
  <c r="D1028" i="1"/>
  <c r="E1028" i="1"/>
  <c r="F1028" i="1"/>
  <c r="G1028" i="1"/>
  <c r="H1028" i="1"/>
  <c r="C1029" i="1"/>
  <c r="D1029" i="1"/>
  <c r="E1029" i="1"/>
  <c r="F1029" i="1"/>
  <c r="G1029" i="1"/>
  <c r="H1029" i="1"/>
  <c r="C1030" i="1"/>
  <c r="D1030" i="1"/>
  <c r="E1030" i="1"/>
  <c r="F1030" i="1"/>
  <c r="G1030" i="1"/>
  <c r="H1030" i="1"/>
  <c r="C1031" i="1"/>
  <c r="D1031" i="1"/>
  <c r="E1031" i="1"/>
  <c r="F1031" i="1"/>
  <c r="G1031" i="1"/>
  <c r="H1031" i="1"/>
  <c r="C1032" i="1"/>
  <c r="D1032" i="1"/>
  <c r="E1032" i="1"/>
  <c r="F1032" i="1"/>
  <c r="G1032" i="1"/>
  <c r="H1032" i="1"/>
  <c r="C1033" i="1"/>
  <c r="D1033" i="1"/>
  <c r="E1033" i="1"/>
  <c r="F1033" i="1"/>
  <c r="G1033" i="1"/>
  <c r="H1033" i="1"/>
  <c r="C1034" i="1"/>
  <c r="D1034" i="1"/>
  <c r="E1034" i="1"/>
  <c r="F1034" i="1"/>
  <c r="G1034" i="1"/>
  <c r="H1034" i="1"/>
  <c r="C1035" i="1"/>
  <c r="D1035" i="1"/>
  <c r="E1035" i="1"/>
  <c r="F1035" i="1"/>
  <c r="G1035" i="1"/>
  <c r="H1035" i="1"/>
  <c r="C1036" i="1"/>
  <c r="D1036" i="1"/>
  <c r="E1036" i="1"/>
  <c r="F1036" i="1"/>
  <c r="G1036" i="1"/>
  <c r="H1036" i="1"/>
  <c r="C1037" i="1"/>
  <c r="D1037" i="1"/>
  <c r="E1037" i="1"/>
  <c r="F1037" i="1"/>
  <c r="G1037" i="1"/>
  <c r="H1037" i="1"/>
  <c r="C1038" i="1"/>
  <c r="D1038" i="1"/>
  <c r="E1038" i="1"/>
  <c r="F1038" i="1"/>
  <c r="G1038" i="1"/>
  <c r="H1038" i="1"/>
  <c r="C1039" i="1"/>
  <c r="D1039" i="1"/>
  <c r="E1039" i="1"/>
  <c r="F1039" i="1"/>
  <c r="G1039" i="1"/>
  <c r="H1039" i="1"/>
  <c r="C1040" i="1"/>
  <c r="D1040" i="1"/>
  <c r="E1040" i="1"/>
  <c r="F1040" i="1"/>
  <c r="G1040" i="1"/>
  <c r="H1040" i="1"/>
  <c r="C1041" i="1"/>
  <c r="D1041" i="1"/>
  <c r="E1041" i="1"/>
  <c r="F1041" i="1"/>
  <c r="G1041" i="1"/>
  <c r="H1041" i="1"/>
  <c r="C1042" i="1"/>
  <c r="D1042" i="1"/>
  <c r="E1042" i="1"/>
  <c r="F1042" i="1"/>
  <c r="G1042" i="1"/>
  <c r="H1042" i="1"/>
  <c r="C1043" i="1"/>
  <c r="D1043" i="1"/>
  <c r="E1043" i="1"/>
  <c r="F1043" i="1"/>
  <c r="G1043" i="1"/>
  <c r="H1043" i="1"/>
  <c r="C1044" i="1"/>
  <c r="D1044" i="1"/>
  <c r="E1044" i="1"/>
  <c r="F1044" i="1"/>
  <c r="G1044" i="1"/>
  <c r="H1044" i="1"/>
  <c r="C1045" i="1"/>
  <c r="D1045" i="1"/>
  <c r="E1045" i="1"/>
  <c r="F1045" i="1"/>
  <c r="G1045" i="1"/>
  <c r="H1045" i="1"/>
  <c r="C1046" i="1"/>
  <c r="D1046" i="1"/>
  <c r="E1046" i="1"/>
  <c r="F1046" i="1"/>
  <c r="G1046" i="1"/>
  <c r="H1046" i="1"/>
  <c r="C1047" i="1"/>
  <c r="D1047" i="1"/>
  <c r="E1047" i="1"/>
  <c r="F1047" i="1"/>
  <c r="G1047" i="1"/>
  <c r="H1047" i="1"/>
  <c r="C1048" i="1"/>
  <c r="D1048" i="1"/>
  <c r="E1048" i="1"/>
  <c r="F1048" i="1"/>
  <c r="G1048" i="1"/>
  <c r="H1048" i="1"/>
  <c r="C1049" i="1"/>
  <c r="D1049" i="1"/>
  <c r="E1049" i="1"/>
  <c r="F1049" i="1"/>
  <c r="G1049" i="1"/>
  <c r="H1049" i="1"/>
  <c r="C1050" i="1"/>
  <c r="D1050" i="1"/>
  <c r="E1050" i="1"/>
  <c r="F1050" i="1"/>
  <c r="G1050" i="1"/>
  <c r="H1050" i="1"/>
  <c r="C1051" i="1"/>
  <c r="D1051" i="1"/>
  <c r="E1051" i="1"/>
  <c r="F1051" i="1"/>
  <c r="G1051" i="1"/>
  <c r="H1051" i="1"/>
  <c r="C1052" i="1"/>
  <c r="D1052" i="1"/>
  <c r="E1052" i="1"/>
  <c r="F1052" i="1"/>
  <c r="G1052" i="1"/>
  <c r="H1052" i="1"/>
  <c r="C1053" i="1"/>
  <c r="D1053" i="1"/>
  <c r="E1053" i="1"/>
  <c r="F1053" i="1"/>
  <c r="G1053" i="1"/>
  <c r="H1053" i="1"/>
  <c r="C1054" i="1"/>
  <c r="D1054" i="1"/>
  <c r="E1054" i="1"/>
  <c r="F1054" i="1"/>
  <c r="G1054" i="1"/>
  <c r="H1054" i="1"/>
  <c r="C1055" i="1"/>
  <c r="D1055" i="1"/>
  <c r="E1055" i="1"/>
  <c r="F1055" i="1"/>
  <c r="G1055" i="1"/>
  <c r="H1055" i="1"/>
  <c r="C1056" i="1"/>
  <c r="D1056" i="1"/>
  <c r="E1056" i="1"/>
  <c r="F1056" i="1"/>
  <c r="G1056" i="1"/>
  <c r="H1056" i="1"/>
  <c r="C1057" i="1"/>
  <c r="D1057" i="1"/>
  <c r="E1057" i="1"/>
  <c r="F1057" i="1"/>
  <c r="G1057" i="1"/>
  <c r="H1057" i="1"/>
  <c r="C1058" i="1"/>
  <c r="D1058" i="1"/>
  <c r="E1058" i="1"/>
  <c r="F1058" i="1"/>
  <c r="G1058" i="1"/>
  <c r="H1058" i="1"/>
  <c r="C1059" i="1"/>
  <c r="D1059" i="1"/>
  <c r="E1059" i="1"/>
  <c r="F1059" i="1"/>
  <c r="G1059" i="1"/>
  <c r="H1059" i="1"/>
  <c r="C1060" i="1"/>
  <c r="D1060" i="1"/>
  <c r="E1060" i="1"/>
  <c r="F1060" i="1"/>
  <c r="G1060" i="1"/>
  <c r="H1060" i="1"/>
  <c r="C1061" i="1"/>
  <c r="D1061" i="1"/>
  <c r="E1061" i="1"/>
  <c r="F1061" i="1"/>
  <c r="G1061" i="1"/>
  <c r="H1061" i="1"/>
  <c r="C1062" i="1"/>
  <c r="D1062" i="1"/>
  <c r="E1062" i="1"/>
  <c r="F1062" i="1"/>
  <c r="G1062" i="1"/>
  <c r="H1062" i="1"/>
  <c r="C1063" i="1"/>
  <c r="D1063" i="1"/>
  <c r="E1063" i="1"/>
  <c r="F1063" i="1"/>
  <c r="G1063" i="1"/>
  <c r="H1063" i="1"/>
  <c r="C1064" i="1"/>
  <c r="D1064" i="1"/>
  <c r="E1064" i="1"/>
  <c r="F1064" i="1"/>
  <c r="G1064" i="1"/>
  <c r="H1064" i="1"/>
  <c r="C1065" i="1"/>
  <c r="D1065" i="1"/>
  <c r="E1065" i="1"/>
  <c r="F1065" i="1"/>
  <c r="G1065" i="1"/>
  <c r="H1065" i="1"/>
  <c r="C1066" i="1"/>
  <c r="D1066" i="1"/>
  <c r="E1066" i="1"/>
  <c r="F1066" i="1"/>
  <c r="G1066" i="1"/>
  <c r="H1066" i="1"/>
  <c r="C1067" i="1"/>
  <c r="D1067" i="1"/>
  <c r="E1067" i="1"/>
  <c r="F1067" i="1"/>
  <c r="G1067" i="1"/>
  <c r="H1067" i="1"/>
  <c r="C1068" i="1"/>
  <c r="D1068" i="1"/>
  <c r="E1068" i="1"/>
  <c r="F1068" i="1"/>
  <c r="G1068" i="1"/>
  <c r="H1068" i="1"/>
  <c r="C1069" i="1"/>
  <c r="D1069" i="1"/>
  <c r="E1069" i="1"/>
  <c r="F1069" i="1"/>
  <c r="G1069" i="1"/>
  <c r="H1069" i="1"/>
  <c r="C1070" i="1"/>
  <c r="D1070" i="1"/>
  <c r="E1070" i="1"/>
  <c r="F1070" i="1"/>
  <c r="G1070" i="1"/>
  <c r="H1070" i="1"/>
  <c r="C1071" i="1"/>
  <c r="D1071" i="1"/>
  <c r="E1071" i="1"/>
  <c r="F1071" i="1"/>
  <c r="G1071" i="1"/>
  <c r="H1071" i="1"/>
  <c r="C1072" i="1"/>
  <c r="D1072" i="1"/>
  <c r="E1072" i="1"/>
  <c r="F1072" i="1"/>
  <c r="G1072" i="1"/>
  <c r="H1072" i="1"/>
  <c r="C1073" i="1"/>
  <c r="D1073" i="1"/>
  <c r="E1073" i="1"/>
  <c r="F1073" i="1"/>
  <c r="G1073" i="1"/>
  <c r="H1073" i="1"/>
  <c r="C1074" i="1"/>
  <c r="D1074" i="1"/>
  <c r="E1074" i="1"/>
  <c r="F1074" i="1"/>
  <c r="G1074" i="1"/>
  <c r="H1074" i="1"/>
  <c r="C1075" i="1"/>
  <c r="D1075" i="1"/>
  <c r="E1075" i="1"/>
  <c r="F1075" i="1"/>
  <c r="G1075" i="1"/>
  <c r="H1075" i="1"/>
  <c r="C1076" i="1"/>
  <c r="D1076" i="1"/>
  <c r="E1076" i="1"/>
  <c r="F1076" i="1"/>
  <c r="G1076" i="1"/>
  <c r="H1076" i="1"/>
  <c r="C1077" i="1"/>
  <c r="D1077" i="1"/>
  <c r="E1077" i="1"/>
  <c r="F1077" i="1"/>
  <c r="G1077" i="1"/>
  <c r="H1077" i="1"/>
  <c r="C1078" i="1"/>
  <c r="D1078" i="1"/>
  <c r="E1078" i="1"/>
  <c r="F1078" i="1"/>
  <c r="G1078" i="1"/>
  <c r="H1078" i="1"/>
  <c r="C1079" i="1"/>
  <c r="D1079" i="1"/>
  <c r="E1079" i="1"/>
  <c r="F1079" i="1"/>
  <c r="G1079" i="1"/>
  <c r="H1079" i="1"/>
  <c r="C1080" i="1"/>
  <c r="D1080" i="1"/>
  <c r="E1080" i="1"/>
  <c r="F1080" i="1"/>
  <c r="G1080" i="1"/>
  <c r="H1080" i="1"/>
  <c r="C1081" i="1"/>
  <c r="D1081" i="1"/>
  <c r="E1081" i="1"/>
  <c r="F1081" i="1"/>
  <c r="G1081" i="1"/>
  <c r="H1081" i="1"/>
  <c r="C1082" i="1"/>
  <c r="D1082" i="1"/>
  <c r="E1082" i="1"/>
  <c r="F1082" i="1"/>
  <c r="G1082" i="1"/>
  <c r="H1082" i="1"/>
  <c r="C1083" i="1"/>
  <c r="D1083" i="1"/>
  <c r="E1083" i="1"/>
  <c r="F1083" i="1"/>
  <c r="G1083" i="1"/>
  <c r="H1083" i="1"/>
  <c r="C1084" i="1"/>
  <c r="D1084" i="1"/>
  <c r="E1084" i="1"/>
  <c r="F1084" i="1"/>
  <c r="G1084" i="1"/>
  <c r="H1084" i="1"/>
  <c r="C1085" i="1"/>
  <c r="D1085" i="1"/>
  <c r="E1085" i="1"/>
  <c r="F1085" i="1"/>
  <c r="G1085" i="1"/>
  <c r="H1085" i="1"/>
  <c r="C1086" i="1"/>
  <c r="D1086" i="1"/>
  <c r="E1086" i="1"/>
  <c r="F1086" i="1"/>
  <c r="G1086" i="1"/>
  <c r="H1086" i="1"/>
  <c r="C1087" i="1"/>
  <c r="D1087" i="1"/>
  <c r="E1087" i="1"/>
  <c r="F1087" i="1"/>
  <c r="G1087" i="1"/>
  <c r="H1087" i="1"/>
  <c r="C1088" i="1"/>
  <c r="D1088" i="1"/>
  <c r="E1088" i="1"/>
  <c r="F1088" i="1"/>
  <c r="G1088" i="1"/>
  <c r="H1088" i="1"/>
  <c r="C1089" i="1"/>
  <c r="D1089" i="1"/>
  <c r="E1089" i="1"/>
  <c r="F1089" i="1"/>
  <c r="G1089" i="1"/>
  <c r="H1089" i="1"/>
  <c r="C1090" i="1"/>
  <c r="D1090" i="1"/>
  <c r="E1090" i="1"/>
  <c r="F1090" i="1"/>
  <c r="G1090" i="1"/>
  <c r="H1090" i="1"/>
  <c r="C1091" i="1"/>
  <c r="D1091" i="1"/>
  <c r="E1091" i="1"/>
  <c r="F1091" i="1"/>
  <c r="G1091" i="1"/>
  <c r="H1091" i="1"/>
  <c r="C1092" i="1"/>
  <c r="D1092" i="1"/>
  <c r="E1092" i="1"/>
  <c r="F1092" i="1"/>
  <c r="G1092" i="1"/>
  <c r="H1092" i="1"/>
  <c r="C1093" i="1"/>
  <c r="D1093" i="1"/>
  <c r="E1093" i="1"/>
  <c r="F1093" i="1"/>
  <c r="G1093" i="1"/>
  <c r="H1093" i="1"/>
  <c r="C1094" i="1"/>
  <c r="D1094" i="1"/>
  <c r="E1094" i="1"/>
  <c r="F1094" i="1"/>
  <c r="G1094" i="1"/>
  <c r="H1094" i="1"/>
  <c r="C1095" i="1"/>
  <c r="D1095" i="1"/>
  <c r="E1095" i="1"/>
  <c r="F1095" i="1"/>
  <c r="G1095" i="1"/>
  <c r="H1095" i="1"/>
  <c r="C1096" i="1"/>
  <c r="D1096" i="1"/>
  <c r="E1096" i="1"/>
  <c r="F1096" i="1"/>
  <c r="G1096" i="1"/>
  <c r="H1096" i="1"/>
  <c r="C1097" i="1"/>
  <c r="D1097" i="1"/>
  <c r="E1097" i="1"/>
  <c r="F1097" i="1"/>
  <c r="G1097" i="1"/>
  <c r="H1097" i="1"/>
  <c r="C1098" i="1"/>
  <c r="D1098" i="1"/>
  <c r="E1098" i="1"/>
  <c r="F1098" i="1"/>
  <c r="G1098" i="1"/>
  <c r="H1098" i="1"/>
  <c r="C1099" i="1"/>
  <c r="D1099" i="1"/>
  <c r="E1099" i="1"/>
  <c r="F1099" i="1"/>
  <c r="G1099" i="1"/>
  <c r="H1099" i="1"/>
  <c r="C1100" i="1"/>
  <c r="D1100" i="1"/>
  <c r="E1100" i="1"/>
  <c r="F1100" i="1"/>
  <c r="G1100" i="1"/>
  <c r="H1100" i="1"/>
  <c r="C1101" i="1"/>
  <c r="D1101" i="1"/>
  <c r="E1101" i="1"/>
  <c r="F1101" i="1"/>
  <c r="G1101" i="1"/>
  <c r="H1101" i="1"/>
  <c r="C1102" i="1"/>
  <c r="D1102" i="1"/>
  <c r="E1102" i="1"/>
  <c r="F1102" i="1"/>
  <c r="G1102" i="1"/>
  <c r="H1102" i="1"/>
  <c r="C1103" i="1"/>
  <c r="D1103" i="1"/>
  <c r="E1103" i="1"/>
  <c r="F1103" i="1"/>
  <c r="G1103" i="1"/>
  <c r="H1103" i="1"/>
  <c r="C1104" i="1"/>
  <c r="D1104" i="1"/>
  <c r="E1104" i="1"/>
  <c r="F1104" i="1"/>
  <c r="G1104" i="1"/>
  <c r="H1104" i="1"/>
  <c r="C1105" i="1"/>
  <c r="D1105" i="1"/>
  <c r="E1105" i="1"/>
  <c r="F1105" i="1"/>
  <c r="G1105" i="1"/>
  <c r="H1105" i="1"/>
  <c r="C1106" i="1"/>
  <c r="D1106" i="1"/>
  <c r="E1106" i="1"/>
  <c r="F1106" i="1"/>
  <c r="G1106" i="1"/>
  <c r="H1106" i="1"/>
  <c r="C1107" i="1"/>
  <c r="D1107" i="1"/>
  <c r="E1107" i="1"/>
  <c r="F1107" i="1"/>
  <c r="G1107" i="1"/>
  <c r="H1107" i="1"/>
  <c r="C1108" i="1"/>
  <c r="D1108" i="1"/>
  <c r="E1108" i="1"/>
  <c r="F1108" i="1"/>
  <c r="G1108" i="1"/>
  <c r="H1108" i="1"/>
  <c r="C1109" i="1"/>
  <c r="D1109" i="1"/>
  <c r="E1109" i="1"/>
  <c r="F1109" i="1"/>
  <c r="G1109" i="1"/>
  <c r="H1109" i="1"/>
  <c r="C1110" i="1"/>
  <c r="D1110" i="1"/>
  <c r="E1110" i="1"/>
  <c r="F1110" i="1"/>
  <c r="G1110" i="1"/>
  <c r="H1110" i="1"/>
  <c r="C1111" i="1"/>
  <c r="D1111" i="1"/>
  <c r="E1111" i="1"/>
  <c r="F1111" i="1"/>
  <c r="G1111" i="1"/>
  <c r="H1111" i="1"/>
  <c r="C1112" i="1"/>
  <c r="D1112" i="1"/>
  <c r="E1112" i="1"/>
  <c r="F1112" i="1"/>
  <c r="G1112" i="1"/>
  <c r="H1112" i="1"/>
  <c r="C1113" i="1"/>
  <c r="D1113" i="1"/>
  <c r="E1113" i="1"/>
  <c r="F1113" i="1"/>
  <c r="G1113" i="1"/>
  <c r="H1113" i="1"/>
  <c r="C1114" i="1"/>
  <c r="D1114" i="1"/>
  <c r="E1114" i="1"/>
  <c r="F1114" i="1"/>
  <c r="G1114" i="1"/>
  <c r="H1114" i="1"/>
  <c r="C1115" i="1"/>
  <c r="D1115" i="1"/>
  <c r="E1115" i="1"/>
  <c r="F1115" i="1"/>
  <c r="G1115" i="1"/>
  <c r="H1115" i="1"/>
  <c r="C1116" i="1"/>
  <c r="D1116" i="1"/>
  <c r="E1116" i="1"/>
  <c r="F1116" i="1"/>
  <c r="G1116" i="1"/>
  <c r="H1116" i="1"/>
  <c r="C1117" i="1"/>
  <c r="D1117" i="1"/>
  <c r="E1117" i="1"/>
  <c r="F1117" i="1"/>
  <c r="G1117" i="1"/>
  <c r="H1117" i="1"/>
  <c r="C1118" i="1"/>
  <c r="D1118" i="1"/>
  <c r="E1118" i="1"/>
  <c r="F1118" i="1"/>
  <c r="G1118" i="1"/>
  <c r="H1118" i="1"/>
  <c r="C1119" i="1"/>
  <c r="D1119" i="1"/>
  <c r="E1119" i="1"/>
  <c r="F1119" i="1"/>
  <c r="G1119" i="1"/>
  <c r="H1119" i="1"/>
  <c r="C1120" i="1"/>
  <c r="D1120" i="1"/>
  <c r="E1120" i="1"/>
  <c r="F1120" i="1"/>
  <c r="G1120" i="1"/>
  <c r="H1120" i="1"/>
  <c r="C1121" i="1"/>
  <c r="D1121" i="1"/>
  <c r="E1121" i="1"/>
  <c r="F1121" i="1"/>
  <c r="G1121" i="1"/>
  <c r="H1121" i="1"/>
  <c r="C1122" i="1"/>
  <c r="D1122" i="1"/>
  <c r="E1122" i="1"/>
  <c r="F1122" i="1"/>
  <c r="G1122" i="1"/>
  <c r="H1122" i="1"/>
  <c r="C1123" i="1"/>
  <c r="D1123" i="1"/>
  <c r="E1123" i="1"/>
  <c r="F1123" i="1"/>
  <c r="G1123" i="1"/>
  <c r="H1123" i="1"/>
  <c r="C1124" i="1"/>
  <c r="D1124" i="1"/>
  <c r="E1124" i="1"/>
  <c r="F1124" i="1"/>
  <c r="G1124" i="1"/>
  <c r="H1124" i="1"/>
  <c r="C1125" i="1"/>
  <c r="D1125" i="1"/>
  <c r="E1125" i="1"/>
  <c r="F1125" i="1"/>
  <c r="G1125" i="1"/>
  <c r="H1125" i="1"/>
  <c r="C1126" i="1"/>
  <c r="D1126" i="1"/>
  <c r="E1126" i="1"/>
  <c r="F1126" i="1"/>
  <c r="G1126" i="1"/>
  <c r="H1126" i="1"/>
  <c r="C1127" i="1"/>
  <c r="D1127" i="1"/>
  <c r="E1127" i="1"/>
  <c r="F1127" i="1"/>
  <c r="G1127" i="1"/>
  <c r="H1127" i="1"/>
  <c r="C1128" i="1"/>
  <c r="D1128" i="1"/>
  <c r="E1128" i="1"/>
  <c r="F1128" i="1"/>
  <c r="G1128" i="1"/>
  <c r="H1128" i="1"/>
  <c r="C1129" i="1"/>
  <c r="D1129" i="1"/>
  <c r="E1129" i="1"/>
  <c r="F1129" i="1"/>
  <c r="G1129" i="1"/>
  <c r="H1129" i="1"/>
  <c r="C1130" i="1"/>
  <c r="D1130" i="1"/>
  <c r="E1130" i="1"/>
  <c r="F1130" i="1"/>
  <c r="G1130" i="1"/>
  <c r="H1130" i="1"/>
  <c r="C1131" i="1"/>
  <c r="D1131" i="1"/>
  <c r="E1131" i="1"/>
  <c r="F1131" i="1"/>
  <c r="G1131" i="1"/>
  <c r="H1131" i="1"/>
  <c r="C1132" i="1"/>
  <c r="D1132" i="1"/>
  <c r="E1132" i="1"/>
  <c r="F1132" i="1"/>
  <c r="G1132" i="1"/>
  <c r="H1132" i="1"/>
  <c r="C1133" i="1"/>
  <c r="D1133" i="1"/>
  <c r="E1133" i="1"/>
  <c r="F1133" i="1"/>
  <c r="G1133" i="1"/>
  <c r="H1133" i="1"/>
  <c r="C1134" i="1"/>
  <c r="D1134" i="1"/>
  <c r="E1134" i="1"/>
  <c r="F1134" i="1"/>
  <c r="G1134" i="1"/>
  <c r="H1134" i="1"/>
  <c r="C1135" i="1"/>
  <c r="D1135" i="1"/>
  <c r="E1135" i="1"/>
  <c r="F1135" i="1"/>
  <c r="G1135" i="1"/>
  <c r="H1135" i="1"/>
  <c r="C1136" i="1"/>
  <c r="D1136" i="1"/>
  <c r="E1136" i="1"/>
  <c r="F1136" i="1"/>
  <c r="G1136" i="1"/>
  <c r="H1136" i="1"/>
  <c r="C1137" i="1"/>
  <c r="D1137" i="1"/>
  <c r="E1137" i="1"/>
  <c r="F1137" i="1"/>
  <c r="G1137" i="1"/>
  <c r="H1137" i="1"/>
  <c r="C1138" i="1"/>
  <c r="D1138" i="1"/>
  <c r="E1138" i="1"/>
  <c r="F1138" i="1"/>
  <c r="G1138" i="1"/>
  <c r="H1138" i="1"/>
  <c r="C1139" i="1"/>
  <c r="D1139" i="1"/>
  <c r="E1139" i="1"/>
  <c r="F1139" i="1"/>
  <c r="G1139" i="1"/>
  <c r="H1139" i="1"/>
  <c r="C1140" i="1"/>
  <c r="D1140" i="1"/>
  <c r="E1140" i="1"/>
  <c r="F1140" i="1"/>
  <c r="G1140" i="1"/>
  <c r="H1140" i="1"/>
  <c r="C1141" i="1"/>
  <c r="D1141" i="1"/>
  <c r="E1141" i="1"/>
  <c r="F1141" i="1"/>
  <c r="G1141" i="1"/>
  <c r="H1141" i="1"/>
  <c r="C1142" i="1"/>
  <c r="D1142" i="1"/>
  <c r="E1142" i="1"/>
  <c r="F1142" i="1"/>
  <c r="G1142" i="1"/>
  <c r="H1142" i="1"/>
  <c r="C1143" i="1"/>
  <c r="D1143" i="1"/>
  <c r="E1143" i="1"/>
  <c r="F1143" i="1"/>
  <c r="G1143" i="1"/>
  <c r="H1143" i="1"/>
  <c r="C1144" i="1"/>
  <c r="D1144" i="1"/>
  <c r="E1144" i="1"/>
  <c r="F1144" i="1"/>
  <c r="G1144" i="1"/>
  <c r="H1144" i="1"/>
  <c r="C1145" i="1"/>
  <c r="D1145" i="1"/>
  <c r="E1145" i="1"/>
  <c r="F1145" i="1"/>
  <c r="G1145" i="1"/>
  <c r="H1145" i="1"/>
  <c r="C1146" i="1"/>
  <c r="D1146" i="1"/>
  <c r="E1146" i="1"/>
  <c r="F1146" i="1"/>
  <c r="G1146" i="1"/>
  <c r="H1146" i="1"/>
  <c r="C1147" i="1"/>
  <c r="D1147" i="1"/>
  <c r="E1147" i="1"/>
  <c r="F1147" i="1"/>
  <c r="G1147" i="1"/>
  <c r="H1147" i="1"/>
  <c r="C1148" i="1"/>
  <c r="D1148" i="1"/>
  <c r="E1148" i="1"/>
  <c r="F1148" i="1"/>
  <c r="G1148" i="1"/>
  <c r="H1148" i="1"/>
  <c r="C1149" i="1"/>
  <c r="D1149" i="1"/>
  <c r="E1149" i="1"/>
  <c r="F1149" i="1"/>
  <c r="G1149" i="1"/>
  <c r="H1149" i="1"/>
  <c r="C1150" i="1"/>
  <c r="D1150" i="1"/>
  <c r="E1150" i="1"/>
  <c r="F1150" i="1"/>
  <c r="G1150" i="1"/>
  <c r="H1150" i="1"/>
  <c r="C1151" i="1"/>
  <c r="D1151" i="1"/>
  <c r="E1151" i="1"/>
  <c r="F1151" i="1"/>
  <c r="G1151" i="1"/>
  <c r="H1151" i="1"/>
  <c r="C1152" i="1"/>
  <c r="D1152" i="1"/>
  <c r="E1152" i="1"/>
  <c r="F1152" i="1"/>
  <c r="G1152" i="1"/>
  <c r="H1152" i="1"/>
  <c r="C1153" i="1"/>
  <c r="D1153" i="1"/>
  <c r="E1153" i="1"/>
  <c r="F1153" i="1"/>
  <c r="G1153" i="1"/>
  <c r="H1153" i="1"/>
  <c r="C1154" i="1"/>
  <c r="D1154" i="1"/>
  <c r="E1154" i="1"/>
  <c r="F1154" i="1"/>
  <c r="G1154" i="1"/>
  <c r="H1154" i="1"/>
  <c r="C1155" i="1"/>
  <c r="D1155" i="1"/>
  <c r="E1155" i="1"/>
  <c r="F1155" i="1"/>
  <c r="G1155" i="1"/>
  <c r="H1155" i="1"/>
  <c r="C1156" i="1"/>
  <c r="D1156" i="1"/>
  <c r="E1156" i="1"/>
  <c r="F1156" i="1"/>
  <c r="G1156" i="1"/>
  <c r="H1156" i="1"/>
  <c r="C1157" i="1"/>
  <c r="D1157" i="1"/>
  <c r="E1157" i="1"/>
  <c r="F1157" i="1"/>
  <c r="G1157" i="1"/>
  <c r="H1157" i="1"/>
  <c r="C1158" i="1"/>
  <c r="D1158" i="1"/>
  <c r="E1158" i="1"/>
  <c r="F1158" i="1"/>
  <c r="G1158" i="1"/>
  <c r="H1158" i="1"/>
  <c r="C1159" i="1"/>
  <c r="D1159" i="1"/>
  <c r="E1159" i="1"/>
  <c r="F1159" i="1"/>
  <c r="G1159" i="1"/>
  <c r="H1159" i="1"/>
  <c r="C1160" i="1"/>
  <c r="D1160" i="1"/>
  <c r="E1160" i="1"/>
  <c r="F1160" i="1"/>
  <c r="G1160" i="1"/>
  <c r="H1160" i="1"/>
  <c r="C1161" i="1"/>
  <c r="D1161" i="1"/>
  <c r="E1161" i="1"/>
  <c r="F1161" i="1"/>
  <c r="G1161" i="1"/>
  <c r="H1161" i="1"/>
  <c r="C1162" i="1"/>
  <c r="D1162" i="1"/>
  <c r="E1162" i="1"/>
  <c r="F1162" i="1"/>
  <c r="G1162" i="1"/>
  <c r="H1162" i="1"/>
  <c r="C1163" i="1"/>
  <c r="D1163" i="1"/>
  <c r="E1163" i="1"/>
  <c r="F1163" i="1"/>
  <c r="G1163" i="1"/>
  <c r="H1163" i="1"/>
  <c r="C1164" i="1"/>
  <c r="D1164" i="1"/>
  <c r="E1164" i="1"/>
  <c r="F1164" i="1"/>
  <c r="G1164" i="1"/>
  <c r="H1164" i="1"/>
  <c r="C1165" i="1"/>
  <c r="D1165" i="1"/>
  <c r="E1165" i="1"/>
  <c r="F1165" i="1"/>
  <c r="G1165" i="1"/>
  <c r="H1165" i="1"/>
  <c r="C1166" i="1"/>
  <c r="D1166" i="1"/>
  <c r="E1166" i="1"/>
  <c r="F1166" i="1"/>
  <c r="G1166" i="1"/>
  <c r="H1166" i="1"/>
  <c r="C1167" i="1"/>
  <c r="D1167" i="1"/>
  <c r="E1167" i="1"/>
  <c r="F1167" i="1"/>
  <c r="G1167" i="1"/>
  <c r="H1167" i="1"/>
  <c r="C1168" i="1"/>
  <c r="D1168" i="1"/>
  <c r="E1168" i="1"/>
  <c r="F1168" i="1"/>
  <c r="G1168" i="1"/>
  <c r="H1168" i="1"/>
  <c r="C1169" i="1"/>
  <c r="D1169" i="1"/>
  <c r="E1169" i="1"/>
  <c r="F1169" i="1"/>
  <c r="G1169" i="1"/>
  <c r="H1169" i="1"/>
  <c r="C1170" i="1"/>
  <c r="D1170" i="1"/>
  <c r="E1170" i="1"/>
  <c r="F1170" i="1"/>
  <c r="G1170" i="1"/>
  <c r="H1170" i="1"/>
  <c r="C1171" i="1"/>
  <c r="D1171" i="1"/>
  <c r="E1171" i="1"/>
  <c r="F1171" i="1"/>
  <c r="G1171" i="1"/>
  <c r="H1171" i="1"/>
  <c r="C1172" i="1"/>
  <c r="D1172" i="1"/>
  <c r="E1172" i="1"/>
  <c r="F1172" i="1"/>
  <c r="G1172" i="1"/>
  <c r="H1172" i="1"/>
  <c r="C1173" i="1"/>
  <c r="D1173" i="1"/>
  <c r="E1173" i="1"/>
  <c r="F1173" i="1"/>
  <c r="G1173" i="1"/>
  <c r="H1173" i="1"/>
  <c r="C1174" i="1"/>
  <c r="D1174" i="1"/>
  <c r="E1174" i="1"/>
  <c r="F1174" i="1"/>
  <c r="G1174" i="1"/>
  <c r="H1174" i="1"/>
  <c r="C1175" i="1"/>
  <c r="D1175" i="1"/>
  <c r="E1175" i="1"/>
  <c r="F1175" i="1"/>
  <c r="G1175" i="1"/>
  <c r="H1175" i="1"/>
  <c r="C1176" i="1"/>
  <c r="D1176" i="1"/>
  <c r="E1176" i="1"/>
  <c r="F1176" i="1"/>
  <c r="G1176" i="1"/>
  <c r="H1176" i="1"/>
  <c r="C1177" i="1"/>
  <c r="D1177" i="1"/>
  <c r="E1177" i="1"/>
  <c r="F1177" i="1"/>
  <c r="G1177" i="1"/>
  <c r="H1177" i="1"/>
  <c r="C1178" i="1"/>
  <c r="D1178" i="1"/>
  <c r="E1178" i="1"/>
  <c r="F1178" i="1"/>
  <c r="G1178" i="1"/>
  <c r="H1178" i="1"/>
  <c r="C1179" i="1"/>
  <c r="D1179" i="1"/>
  <c r="E1179" i="1"/>
  <c r="F1179" i="1"/>
  <c r="G1179" i="1"/>
  <c r="H1179" i="1"/>
  <c r="C1180" i="1"/>
  <c r="D1180" i="1"/>
  <c r="E1180" i="1"/>
  <c r="F1180" i="1"/>
  <c r="G1180" i="1"/>
  <c r="H1180" i="1"/>
  <c r="C1181" i="1"/>
  <c r="D1181" i="1"/>
  <c r="E1181" i="1"/>
  <c r="F1181" i="1"/>
  <c r="G1181" i="1"/>
  <c r="H1181" i="1"/>
  <c r="C1182" i="1"/>
  <c r="D1182" i="1"/>
  <c r="E1182" i="1"/>
  <c r="F1182" i="1"/>
  <c r="G1182" i="1"/>
  <c r="H1182" i="1"/>
  <c r="C1183" i="1"/>
  <c r="D1183" i="1"/>
  <c r="E1183" i="1"/>
  <c r="F1183" i="1"/>
  <c r="G1183" i="1"/>
  <c r="H1183" i="1"/>
  <c r="C1184" i="1"/>
  <c r="D1184" i="1"/>
  <c r="E1184" i="1"/>
  <c r="F1184" i="1"/>
  <c r="G1184" i="1"/>
  <c r="H1184" i="1"/>
  <c r="C1185" i="1"/>
  <c r="D1185" i="1"/>
  <c r="E1185" i="1"/>
  <c r="F1185" i="1"/>
  <c r="G1185" i="1"/>
  <c r="H1185" i="1"/>
  <c r="C1186" i="1"/>
  <c r="D1186" i="1"/>
  <c r="E1186" i="1"/>
  <c r="F1186" i="1"/>
  <c r="G1186" i="1"/>
  <c r="H1186" i="1"/>
  <c r="C1187" i="1"/>
  <c r="D1187" i="1"/>
  <c r="E1187" i="1"/>
  <c r="F1187" i="1"/>
  <c r="G1187" i="1"/>
  <c r="H1187" i="1"/>
  <c r="C1188" i="1"/>
  <c r="D1188" i="1"/>
  <c r="E1188" i="1"/>
  <c r="F1188" i="1"/>
  <c r="G1188" i="1"/>
  <c r="H1188" i="1"/>
  <c r="C1189" i="1"/>
  <c r="D1189" i="1"/>
  <c r="E1189" i="1"/>
  <c r="F1189" i="1"/>
  <c r="G1189" i="1"/>
  <c r="H1189" i="1"/>
  <c r="C1190" i="1"/>
  <c r="D1190" i="1"/>
  <c r="E1190" i="1"/>
  <c r="F1190" i="1"/>
  <c r="G1190" i="1"/>
  <c r="H1190" i="1"/>
  <c r="C1191" i="1"/>
  <c r="D1191" i="1"/>
  <c r="E1191" i="1"/>
  <c r="F1191" i="1"/>
  <c r="G1191" i="1"/>
  <c r="H1191" i="1"/>
  <c r="C1192" i="1"/>
  <c r="D1192" i="1"/>
  <c r="E1192" i="1"/>
  <c r="F1192" i="1"/>
  <c r="G1192" i="1"/>
  <c r="H1192" i="1"/>
  <c r="C1193" i="1"/>
  <c r="D1193" i="1"/>
  <c r="E1193" i="1"/>
  <c r="F1193" i="1"/>
  <c r="G1193" i="1"/>
  <c r="H1193" i="1"/>
  <c r="C1194" i="1"/>
  <c r="D1194" i="1"/>
  <c r="E1194" i="1"/>
  <c r="F1194" i="1"/>
  <c r="G1194" i="1"/>
  <c r="H1194" i="1"/>
  <c r="C1195" i="1"/>
  <c r="D1195" i="1"/>
  <c r="E1195" i="1"/>
  <c r="F1195" i="1"/>
  <c r="G1195" i="1"/>
  <c r="H1195" i="1"/>
  <c r="C1196" i="1"/>
  <c r="D1196" i="1"/>
  <c r="E1196" i="1"/>
  <c r="F1196" i="1"/>
  <c r="G1196" i="1"/>
  <c r="H1196" i="1"/>
  <c r="C1197" i="1"/>
  <c r="D1197" i="1"/>
  <c r="E1197" i="1"/>
  <c r="F1197" i="1"/>
  <c r="G1197" i="1"/>
  <c r="H1197" i="1"/>
  <c r="C1198" i="1"/>
  <c r="D1198" i="1"/>
  <c r="E1198" i="1"/>
  <c r="F1198" i="1"/>
  <c r="G1198" i="1"/>
  <c r="H1198" i="1"/>
  <c r="C1199" i="1"/>
  <c r="D1199" i="1"/>
  <c r="E1199" i="1"/>
  <c r="F1199" i="1"/>
  <c r="G1199" i="1"/>
  <c r="H1199" i="1"/>
  <c r="C1200" i="1"/>
  <c r="D1200" i="1"/>
  <c r="E1200" i="1"/>
  <c r="F1200" i="1"/>
  <c r="G1200" i="1"/>
  <c r="H1200" i="1"/>
  <c r="C1201" i="1"/>
  <c r="D1201" i="1"/>
  <c r="E1201" i="1"/>
  <c r="F1201" i="1"/>
  <c r="G1201" i="1"/>
  <c r="H1201" i="1"/>
  <c r="C1202" i="1"/>
  <c r="D1202" i="1"/>
  <c r="E1202" i="1"/>
  <c r="F1202" i="1"/>
  <c r="G1202" i="1"/>
  <c r="H1202" i="1"/>
  <c r="C1203" i="1"/>
  <c r="D1203" i="1"/>
  <c r="E1203" i="1"/>
  <c r="F1203" i="1"/>
  <c r="G1203" i="1"/>
  <c r="H1203" i="1"/>
  <c r="C1204" i="1"/>
  <c r="D1204" i="1"/>
  <c r="E1204" i="1"/>
  <c r="F1204" i="1"/>
  <c r="G1204" i="1"/>
  <c r="H1204" i="1"/>
  <c r="C1205" i="1"/>
  <c r="D1205" i="1"/>
  <c r="E1205" i="1"/>
  <c r="F1205" i="1"/>
  <c r="G1205" i="1"/>
  <c r="H1205" i="1"/>
  <c r="C1206" i="1"/>
  <c r="D1206" i="1"/>
  <c r="E1206" i="1"/>
  <c r="F1206" i="1"/>
  <c r="G1206" i="1"/>
  <c r="H1206" i="1"/>
  <c r="C1207" i="1"/>
  <c r="D1207" i="1"/>
  <c r="E1207" i="1"/>
  <c r="F1207" i="1"/>
  <c r="G1207" i="1"/>
  <c r="H1207" i="1"/>
  <c r="C1208" i="1"/>
  <c r="D1208" i="1"/>
  <c r="E1208" i="1"/>
  <c r="F1208" i="1"/>
  <c r="G1208" i="1"/>
  <c r="H1208" i="1"/>
  <c r="C1209" i="1"/>
  <c r="D1209" i="1"/>
  <c r="E1209" i="1"/>
  <c r="F1209" i="1"/>
  <c r="G1209" i="1"/>
  <c r="H1209" i="1"/>
  <c r="C1210" i="1"/>
  <c r="D1210" i="1"/>
  <c r="E1210" i="1"/>
  <c r="F1210" i="1"/>
  <c r="G1210" i="1"/>
  <c r="H1210" i="1"/>
  <c r="C1211" i="1"/>
  <c r="D1211" i="1"/>
  <c r="E1211" i="1"/>
  <c r="F1211" i="1"/>
  <c r="G1211" i="1"/>
  <c r="H1211" i="1"/>
  <c r="C1212" i="1"/>
  <c r="D1212" i="1"/>
  <c r="E1212" i="1"/>
  <c r="F1212" i="1"/>
  <c r="G1212" i="1"/>
  <c r="H1212" i="1"/>
  <c r="C1213" i="1"/>
  <c r="D1213" i="1"/>
  <c r="E1213" i="1"/>
  <c r="F1213" i="1"/>
  <c r="G1213" i="1"/>
  <c r="H1213" i="1"/>
  <c r="C1214" i="1"/>
  <c r="D1214" i="1"/>
  <c r="E1214" i="1"/>
  <c r="F1214" i="1"/>
  <c r="G1214" i="1"/>
  <c r="H1214" i="1"/>
  <c r="C1215" i="1"/>
  <c r="D1215" i="1"/>
  <c r="E1215" i="1"/>
  <c r="F1215" i="1"/>
  <c r="G1215" i="1"/>
  <c r="H1215" i="1"/>
  <c r="C1216" i="1"/>
  <c r="D1216" i="1"/>
  <c r="E1216" i="1"/>
  <c r="F1216" i="1"/>
  <c r="G1216" i="1"/>
  <c r="H1216" i="1"/>
  <c r="C1217" i="1"/>
  <c r="D1217" i="1"/>
  <c r="E1217" i="1"/>
  <c r="F1217" i="1"/>
  <c r="G1217" i="1"/>
  <c r="H1217" i="1"/>
  <c r="C1218" i="1"/>
  <c r="D1218" i="1"/>
  <c r="E1218" i="1"/>
  <c r="F1218" i="1"/>
  <c r="G1218" i="1"/>
  <c r="H1218" i="1"/>
  <c r="C1219" i="1"/>
  <c r="D1219" i="1"/>
  <c r="E1219" i="1"/>
  <c r="F1219" i="1"/>
  <c r="G1219" i="1"/>
  <c r="H1219" i="1"/>
  <c r="C1220" i="1"/>
  <c r="D1220" i="1"/>
  <c r="E1220" i="1"/>
  <c r="F1220" i="1"/>
  <c r="G1220" i="1"/>
  <c r="H1220" i="1"/>
  <c r="C1221" i="1"/>
  <c r="D1221" i="1"/>
  <c r="E1221" i="1"/>
  <c r="F1221" i="1"/>
  <c r="G1221" i="1"/>
  <c r="H1221" i="1"/>
  <c r="C1222" i="1"/>
  <c r="D1222" i="1"/>
  <c r="E1222" i="1"/>
  <c r="F1222" i="1"/>
  <c r="G1222" i="1"/>
  <c r="H1222" i="1"/>
  <c r="C1223" i="1"/>
  <c r="D1223" i="1"/>
  <c r="E1223" i="1"/>
  <c r="F1223" i="1"/>
  <c r="G1223" i="1"/>
  <c r="H1223" i="1"/>
  <c r="C1224" i="1"/>
  <c r="D1224" i="1"/>
  <c r="E1224" i="1"/>
  <c r="F1224" i="1"/>
  <c r="G1224" i="1"/>
  <c r="H1224" i="1"/>
  <c r="C1225" i="1"/>
  <c r="D1225" i="1"/>
  <c r="E1225" i="1"/>
  <c r="F1225" i="1"/>
  <c r="G1225" i="1"/>
  <c r="H1225" i="1"/>
  <c r="C1226" i="1"/>
  <c r="D1226" i="1"/>
  <c r="E1226" i="1"/>
  <c r="F1226" i="1"/>
  <c r="G1226" i="1"/>
  <c r="H1226" i="1"/>
  <c r="C1227" i="1"/>
  <c r="D1227" i="1"/>
  <c r="E1227" i="1"/>
  <c r="F1227" i="1"/>
  <c r="G1227" i="1"/>
  <c r="H1227" i="1"/>
  <c r="C1228" i="1"/>
  <c r="D1228" i="1"/>
  <c r="E1228" i="1"/>
  <c r="F1228" i="1"/>
  <c r="G1228" i="1"/>
  <c r="H1228" i="1"/>
  <c r="C1229" i="1"/>
  <c r="D1229" i="1"/>
  <c r="E1229" i="1"/>
  <c r="F1229" i="1"/>
  <c r="G1229" i="1"/>
  <c r="H1229" i="1"/>
  <c r="C1230" i="1"/>
  <c r="D1230" i="1"/>
  <c r="E1230" i="1"/>
  <c r="F1230" i="1"/>
  <c r="G1230" i="1"/>
  <c r="H1230" i="1"/>
  <c r="C1231" i="1"/>
  <c r="D1231" i="1"/>
  <c r="E1231" i="1"/>
  <c r="F1231" i="1"/>
  <c r="G1231" i="1"/>
  <c r="H1231" i="1"/>
  <c r="C1232" i="1"/>
  <c r="D1232" i="1"/>
  <c r="E1232" i="1"/>
  <c r="F1232" i="1"/>
  <c r="G1232" i="1"/>
  <c r="H1232" i="1"/>
  <c r="C1233" i="1"/>
  <c r="D1233" i="1"/>
  <c r="E1233" i="1"/>
  <c r="F1233" i="1"/>
  <c r="G1233" i="1"/>
  <c r="H1233" i="1"/>
  <c r="C1234" i="1"/>
  <c r="D1234" i="1"/>
  <c r="E1234" i="1"/>
  <c r="F1234" i="1"/>
  <c r="G1234" i="1"/>
  <c r="H1234" i="1"/>
  <c r="C1235" i="1"/>
  <c r="D1235" i="1"/>
  <c r="E1235" i="1"/>
  <c r="F1235" i="1"/>
  <c r="G1235" i="1"/>
  <c r="H1235" i="1"/>
  <c r="C1236" i="1"/>
  <c r="D1236" i="1"/>
  <c r="E1236" i="1"/>
  <c r="F1236" i="1"/>
  <c r="G1236" i="1"/>
  <c r="H1236" i="1"/>
  <c r="C1237" i="1"/>
  <c r="D1237" i="1"/>
  <c r="E1237" i="1"/>
  <c r="F1237" i="1"/>
  <c r="G1237" i="1"/>
  <c r="H1237" i="1"/>
  <c r="C1238" i="1"/>
  <c r="D1238" i="1"/>
  <c r="E1238" i="1"/>
  <c r="F1238" i="1"/>
  <c r="G1238" i="1"/>
  <c r="H1238" i="1"/>
  <c r="C1239" i="1"/>
  <c r="D1239" i="1"/>
  <c r="E1239" i="1"/>
  <c r="F1239" i="1"/>
  <c r="G1239" i="1"/>
  <c r="H1239" i="1"/>
  <c r="C1240" i="1"/>
  <c r="D1240" i="1"/>
  <c r="E1240" i="1"/>
  <c r="F1240" i="1"/>
  <c r="G1240" i="1"/>
  <c r="H1240" i="1"/>
  <c r="C1241" i="1"/>
  <c r="D1241" i="1"/>
  <c r="E1241" i="1"/>
  <c r="F1241" i="1"/>
  <c r="G1241" i="1"/>
  <c r="H1241" i="1"/>
  <c r="C1242" i="1"/>
  <c r="D1242" i="1"/>
  <c r="E1242" i="1"/>
  <c r="F1242" i="1"/>
  <c r="G1242" i="1"/>
  <c r="H1242" i="1"/>
  <c r="C1243" i="1"/>
  <c r="D1243" i="1"/>
  <c r="E1243" i="1"/>
  <c r="F1243" i="1"/>
  <c r="G1243" i="1"/>
  <c r="H1243" i="1"/>
  <c r="C1244" i="1"/>
  <c r="D1244" i="1"/>
  <c r="E1244" i="1"/>
  <c r="F1244" i="1"/>
  <c r="G1244" i="1"/>
  <c r="H1244" i="1"/>
  <c r="C1245" i="1"/>
  <c r="D1245" i="1"/>
  <c r="E1245" i="1"/>
  <c r="F1245" i="1"/>
  <c r="G1245" i="1"/>
  <c r="H1245" i="1"/>
  <c r="C1246" i="1"/>
  <c r="D1246" i="1"/>
  <c r="E1246" i="1"/>
  <c r="F1246" i="1"/>
  <c r="G1246" i="1"/>
  <c r="H1246" i="1"/>
  <c r="C1247" i="1"/>
  <c r="D1247" i="1"/>
  <c r="E1247" i="1"/>
  <c r="F1247" i="1"/>
  <c r="G1247" i="1"/>
  <c r="H1247" i="1"/>
  <c r="C1248" i="1"/>
  <c r="D1248" i="1"/>
  <c r="E1248" i="1"/>
  <c r="F1248" i="1"/>
  <c r="G1248" i="1"/>
  <c r="H1248" i="1"/>
  <c r="C1249" i="1"/>
  <c r="D1249" i="1"/>
  <c r="E1249" i="1"/>
  <c r="F1249" i="1"/>
  <c r="G1249" i="1"/>
  <c r="H1249" i="1"/>
  <c r="C1250" i="1"/>
  <c r="D1250" i="1"/>
  <c r="E1250" i="1"/>
  <c r="F1250" i="1"/>
  <c r="G1250" i="1"/>
  <c r="H1250" i="1"/>
  <c r="C1251" i="1"/>
  <c r="D1251" i="1"/>
  <c r="E1251" i="1"/>
  <c r="F1251" i="1"/>
  <c r="G1251" i="1"/>
  <c r="H1251" i="1"/>
  <c r="C1252" i="1"/>
  <c r="D1252" i="1"/>
  <c r="E1252" i="1"/>
  <c r="F1252" i="1"/>
  <c r="G1252" i="1"/>
  <c r="H1252" i="1"/>
  <c r="C1253" i="1"/>
  <c r="D1253" i="1"/>
  <c r="E1253" i="1"/>
  <c r="F1253" i="1"/>
  <c r="G1253" i="1"/>
  <c r="H1253" i="1"/>
  <c r="C1254" i="1"/>
  <c r="D1254" i="1"/>
  <c r="E1254" i="1"/>
  <c r="F1254" i="1"/>
  <c r="G1254" i="1"/>
  <c r="H1254" i="1"/>
  <c r="C1255" i="1"/>
  <c r="D1255" i="1"/>
  <c r="E1255" i="1"/>
  <c r="F1255" i="1"/>
  <c r="G1255" i="1"/>
  <c r="H1255" i="1"/>
  <c r="C1256" i="1"/>
  <c r="D1256" i="1"/>
  <c r="E1256" i="1"/>
  <c r="F1256" i="1"/>
  <c r="G1256" i="1"/>
  <c r="H1256" i="1"/>
  <c r="C1257" i="1"/>
  <c r="D1257" i="1"/>
  <c r="E1257" i="1"/>
  <c r="F1257" i="1"/>
  <c r="G1257" i="1"/>
  <c r="H1257" i="1"/>
  <c r="C1258" i="1"/>
  <c r="D1258" i="1"/>
  <c r="E1258" i="1"/>
  <c r="F1258" i="1"/>
  <c r="G1258" i="1"/>
  <c r="H1258" i="1"/>
  <c r="C1259" i="1"/>
  <c r="D1259" i="1"/>
  <c r="E1259" i="1"/>
  <c r="F1259" i="1"/>
  <c r="G1259" i="1"/>
  <c r="H1259" i="1"/>
  <c r="C1260" i="1"/>
  <c r="D1260" i="1"/>
  <c r="E1260" i="1"/>
  <c r="F1260" i="1"/>
  <c r="G1260" i="1"/>
  <c r="H1260" i="1"/>
  <c r="C1261" i="1"/>
  <c r="D1261" i="1"/>
  <c r="E1261" i="1"/>
  <c r="F1261" i="1"/>
  <c r="G1261" i="1"/>
  <c r="H1261" i="1"/>
  <c r="C1262" i="1"/>
  <c r="D1262" i="1"/>
  <c r="E1262" i="1"/>
  <c r="F1262" i="1"/>
  <c r="G1262" i="1"/>
  <c r="H1262" i="1"/>
  <c r="C1263" i="1"/>
  <c r="D1263" i="1"/>
  <c r="E1263" i="1"/>
  <c r="F1263" i="1"/>
  <c r="G1263" i="1"/>
  <c r="H1263" i="1"/>
  <c r="C1264" i="1"/>
  <c r="D1264" i="1"/>
  <c r="E1264" i="1"/>
  <c r="F1264" i="1"/>
  <c r="G1264" i="1"/>
  <c r="H1264" i="1"/>
  <c r="C1265" i="1"/>
  <c r="D1265" i="1"/>
  <c r="E1265" i="1"/>
  <c r="F1265" i="1"/>
  <c r="G1265" i="1"/>
  <c r="H1265" i="1"/>
  <c r="C1266" i="1"/>
  <c r="D1266" i="1"/>
  <c r="E1266" i="1"/>
  <c r="F1266" i="1"/>
  <c r="G1266" i="1"/>
  <c r="H1266" i="1"/>
  <c r="C1267" i="1"/>
  <c r="D1267" i="1"/>
  <c r="E1267" i="1"/>
  <c r="F1267" i="1"/>
  <c r="G1267" i="1"/>
  <c r="H1267" i="1"/>
  <c r="C1268" i="1"/>
  <c r="D1268" i="1"/>
  <c r="E1268" i="1"/>
  <c r="F1268" i="1"/>
  <c r="G1268" i="1"/>
  <c r="H1268" i="1"/>
  <c r="C1269" i="1"/>
  <c r="D1269" i="1"/>
  <c r="E1269" i="1"/>
  <c r="F1269" i="1"/>
  <c r="G1269" i="1"/>
  <c r="H1269" i="1"/>
  <c r="C1270" i="1"/>
  <c r="D1270" i="1"/>
  <c r="E1270" i="1"/>
  <c r="F1270" i="1"/>
  <c r="G1270" i="1"/>
  <c r="H1270" i="1"/>
  <c r="C1271" i="1"/>
  <c r="D1271" i="1"/>
  <c r="E1271" i="1"/>
  <c r="F1271" i="1"/>
  <c r="G1271" i="1"/>
  <c r="H1271" i="1"/>
  <c r="C1272" i="1"/>
  <c r="D1272" i="1"/>
  <c r="E1272" i="1"/>
  <c r="F1272" i="1"/>
  <c r="G1272" i="1"/>
  <c r="H1272" i="1"/>
  <c r="C1273" i="1"/>
  <c r="D1273" i="1"/>
  <c r="E1273" i="1"/>
  <c r="F1273" i="1"/>
  <c r="G1273" i="1"/>
  <c r="H1273" i="1"/>
  <c r="C1274" i="1"/>
  <c r="D1274" i="1"/>
  <c r="E1274" i="1"/>
  <c r="F1274" i="1"/>
  <c r="G1274" i="1"/>
  <c r="H1274" i="1"/>
  <c r="C1275" i="1"/>
  <c r="D1275" i="1"/>
  <c r="E1275" i="1"/>
  <c r="F1275" i="1"/>
  <c r="G1275" i="1"/>
  <c r="H1275" i="1"/>
  <c r="C1276" i="1"/>
  <c r="D1276" i="1"/>
  <c r="E1276" i="1"/>
  <c r="F1276" i="1"/>
  <c r="G1276" i="1"/>
  <c r="H1276" i="1"/>
  <c r="C1277" i="1"/>
  <c r="D1277" i="1"/>
  <c r="E1277" i="1"/>
  <c r="F1277" i="1"/>
  <c r="G1277" i="1"/>
  <c r="H1277" i="1"/>
  <c r="C1278" i="1"/>
  <c r="D1278" i="1"/>
  <c r="E1278" i="1"/>
  <c r="F1278" i="1"/>
  <c r="G1278" i="1"/>
  <c r="H1278" i="1"/>
  <c r="C1279" i="1"/>
  <c r="D1279" i="1"/>
  <c r="E1279" i="1"/>
  <c r="F1279" i="1"/>
  <c r="G1279" i="1"/>
  <c r="H1279" i="1"/>
  <c r="C1280" i="1"/>
  <c r="D1280" i="1"/>
  <c r="E1280" i="1"/>
  <c r="F1280" i="1"/>
  <c r="G1280" i="1"/>
  <c r="H1280" i="1"/>
  <c r="C1281" i="1"/>
  <c r="D1281" i="1"/>
  <c r="E1281" i="1"/>
  <c r="F1281" i="1"/>
  <c r="G1281" i="1"/>
  <c r="H1281" i="1"/>
  <c r="C1282" i="1"/>
  <c r="D1282" i="1"/>
  <c r="E1282" i="1"/>
  <c r="F1282" i="1"/>
  <c r="G1282" i="1"/>
  <c r="H1282" i="1"/>
  <c r="C1283" i="1"/>
  <c r="D1283" i="1"/>
  <c r="E1283" i="1"/>
  <c r="F1283" i="1"/>
  <c r="G1283" i="1"/>
  <c r="H1283" i="1"/>
  <c r="C1284" i="1"/>
  <c r="D1284" i="1"/>
  <c r="E1284" i="1"/>
  <c r="F1284" i="1"/>
  <c r="G1284" i="1"/>
  <c r="H1284" i="1"/>
  <c r="C1285" i="1"/>
  <c r="D1285" i="1"/>
  <c r="E1285" i="1"/>
  <c r="F1285" i="1"/>
  <c r="G1285" i="1"/>
  <c r="H1285" i="1"/>
  <c r="C1286" i="1"/>
  <c r="D1286" i="1"/>
  <c r="E1286" i="1"/>
  <c r="F1286" i="1"/>
  <c r="G1286" i="1"/>
  <c r="H1286" i="1"/>
  <c r="C1287" i="1"/>
  <c r="D1287" i="1"/>
  <c r="E1287" i="1"/>
  <c r="F1287" i="1"/>
  <c r="G1287" i="1"/>
  <c r="H1287" i="1"/>
  <c r="C1288" i="1"/>
  <c r="D1288" i="1"/>
  <c r="E1288" i="1"/>
  <c r="F1288" i="1"/>
  <c r="G1288" i="1"/>
  <c r="H1288" i="1"/>
  <c r="C1289" i="1"/>
  <c r="D1289" i="1"/>
  <c r="E1289" i="1"/>
  <c r="F1289" i="1"/>
  <c r="G1289" i="1"/>
  <c r="H1289" i="1"/>
  <c r="C1290" i="1"/>
  <c r="D1290" i="1"/>
  <c r="E1290" i="1"/>
  <c r="F1290" i="1"/>
  <c r="G1290" i="1"/>
  <c r="H1290" i="1"/>
  <c r="C1291" i="1"/>
  <c r="D1291" i="1"/>
  <c r="E1291" i="1"/>
  <c r="F1291" i="1"/>
  <c r="G1291" i="1"/>
  <c r="H1291" i="1"/>
  <c r="C1292" i="1"/>
  <c r="D1292" i="1"/>
  <c r="E1292" i="1"/>
  <c r="F1292" i="1"/>
  <c r="G1292" i="1"/>
  <c r="H1292" i="1"/>
  <c r="C1293" i="1"/>
  <c r="D1293" i="1"/>
  <c r="E1293" i="1"/>
  <c r="F1293" i="1"/>
  <c r="G1293" i="1"/>
  <c r="H1293" i="1"/>
  <c r="C1294" i="1"/>
  <c r="D1294" i="1"/>
  <c r="E1294" i="1"/>
  <c r="F1294" i="1"/>
  <c r="G1294" i="1"/>
  <c r="H1294" i="1"/>
  <c r="C1295" i="1"/>
  <c r="D1295" i="1"/>
  <c r="E1295" i="1"/>
  <c r="F1295" i="1"/>
  <c r="G1295" i="1"/>
  <c r="H1295" i="1"/>
  <c r="C1296" i="1"/>
  <c r="D1296" i="1"/>
  <c r="E1296" i="1"/>
  <c r="F1296" i="1"/>
  <c r="G1296" i="1"/>
  <c r="H1296" i="1"/>
  <c r="C1297" i="1"/>
  <c r="D1297" i="1"/>
  <c r="E1297" i="1"/>
  <c r="F1297" i="1"/>
  <c r="G1297" i="1"/>
  <c r="H1297" i="1"/>
  <c r="C1298" i="1"/>
  <c r="D1298" i="1"/>
  <c r="E1298" i="1"/>
  <c r="F1298" i="1"/>
  <c r="G1298" i="1"/>
  <c r="H1298" i="1"/>
  <c r="C1299" i="1"/>
  <c r="D1299" i="1"/>
  <c r="E1299" i="1"/>
  <c r="F1299" i="1"/>
  <c r="G1299" i="1"/>
  <c r="H1299" i="1"/>
  <c r="C1300" i="1"/>
  <c r="D1300" i="1"/>
  <c r="E1300" i="1"/>
  <c r="F1300" i="1"/>
  <c r="G1300" i="1"/>
  <c r="H1300" i="1"/>
  <c r="C1301" i="1"/>
  <c r="D1301" i="1"/>
  <c r="E1301" i="1"/>
  <c r="F1301" i="1"/>
  <c r="G1301" i="1"/>
  <c r="H1301" i="1"/>
  <c r="C1302" i="1"/>
  <c r="D1302" i="1"/>
  <c r="E1302" i="1"/>
  <c r="F1302" i="1"/>
  <c r="G1302" i="1"/>
  <c r="H1302" i="1"/>
  <c r="C1303" i="1"/>
  <c r="D1303" i="1"/>
  <c r="E1303" i="1"/>
  <c r="F1303" i="1"/>
  <c r="G1303" i="1"/>
  <c r="H1303" i="1"/>
  <c r="C1304" i="1"/>
  <c r="D1304" i="1"/>
  <c r="E1304" i="1"/>
  <c r="F1304" i="1"/>
  <c r="G1304" i="1"/>
  <c r="H1304" i="1"/>
  <c r="C1305" i="1"/>
  <c r="D1305" i="1"/>
  <c r="E1305" i="1"/>
  <c r="F1305" i="1"/>
  <c r="G1305" i="1"/>
  <c r="H1305" i="1"/>
  <c r="C1306" i="1"/>
  <c r="D1306" i="1"/>
  <c r="E1306" i="1"/>
  <c r="F1306" i="1"/>
  <c r="G1306" i="1"/>
  <c r="H1306" i="1"/>
  <c r="C1307" i="1"/>
  <c r="D1307" i="1"/>
  <c r="E1307" i="1"/>
  <c r="F1307" i="1"/>
  <c r="G1307" i="1"/>
  <c r="H1307" i="1"/>
  <c r="C1308" i="1"/>
  <c r="D1308" i="1"/>
  <c r="E1308" i="1"/>
  <c r="F1308" i="1"/>
  <c r="G1308" i="1"/>
  <c r="H1308" i="1"/>
  <c r="C1309" i="1"/>
  <c r="D1309" i="1"/>
  <c r="E1309" i="1"/>
  <c r="F1309" i="1"/>
  <c r="G1309" i="1"/>
  <c r="H1309" i="1"/>
  <c r="C1310" i="1"/>
  <c r="D1310" i="1"/>
  <c r="E1310" i="1"/>
  <c r="F1310" i="1"/>
  <c r="G1310" i="1"/>
  <c r="H1310" i="1"/>
  <c r="C1311" i="1"/>
  <c r="D1311" i="1"/>
  <c r="E1311" i="1"/>
  <c r="F1311" i="1"/>
  <c r="G1311" i="1"/>
  <c r="H1311" i="1"/>
  <c r="C1312" i="1"/>
  <c r="D1312" i="1"/>
  <c r="E1312" i="1"/>
  <c r="F1312" i="1"/>
  <c r="G1312" i="1"/>
  <c r="H1312" i="1"/>
  <c r="C1313" i="1"/>
  <c r="D1313" i="1"/>
  <c r="E1313" i="1"/>
  <c r="F1313" i="1"/>
  <c r="G1313" i="1"/>
  <c r="H1313" i="1"/>
  <c r="C1314" i="1"/>
  <c r="D1314" i="1"/>
  <c r="E1314" i="1"/>
  <c r="F1314" i="1"/>
  <c r="G1314" i="1"/>
  <c r="H1314" i="1"/>
  <c r="C1315" i="1"/>
  <c r="D1315" i="1"/>
  <c r="E1315" i="1"/>
  <c r="F1315" i="1"/>
  <c r="G1315" i="1"/>
  <c r="H1315" i="1"/>
  <c r="C1316" i="1"/>
  <c r="D1316" i="1"/>
  <c r="E1316" i="1"/>
  <c r="F1316" i="1"/>
  <c r="G1316" i="1"/>
  <c r="H1316" i="1"/>
  <c r="C1317" i="1"/>
  <c r="D1317" i="1"/>
  <c r="E1317" i="1"/>
  <c r="F1317" i="1"/>
  <c r="G1317" i="1"/>
  <c r="H1317" i="1"/>
  <c r="C1318" i="1"/>
  <c r="D1318" i="1"/>
  <c r="E1318" i="1"/>
  <c r="F1318" i="1"/>
  <c r="G1318" i="1"/>
  <c r="H1318" i="1"/>
  <c r="C1319" i="1"/>
  <c r="D1319" i="1"/>
  <c r="E1319" i="1"/>
  <c r="F1319" i="1"/>
  <c r="G1319" i="1"/>
  <c r="H1319" i="1"/>
  <c r="C1320" i="1"/>
  <c r="D1320" i="1"/>
  <c r="E1320" i="1"/>
  <c r="F1320" i="1"/>
  <c r="G1320" i="1"/>
  <c r="H1320" i="1"/>
  <c r="C1321" i="1"/>
  <c r="D1321" i="1"/>
  <c r="E1321" i="1"/>
  <c r="F1321" i="1"/>
  <c r="G1321" i="1"/>
  <c r="H1321" i="1"/>
  <c r="C1322" i="1"/>
  <c r="D1322" i="1"/>
  <c r="E1322" i="1"/>
  <c r="F1322" i="1"/>
  <c r="G1322" i="1"/>
  <c r="H1322" i="1"/>
  <c r="C1323" i="1"/>
  <c r="D1323" i="1"/>
  <c r="E1323" i="1"/>
  <c r="F1323" i="1"/>
  <c r="G1323" i="1"/>
  <c r="H1323" i="1"/>
  <c r="C1324" i="1"/>
  <c r="D1324" i="1"/>
  <c r="E1324" i="1"/>
  <c r="F1324" i="1"/>
  <c r="G1324" i="1"/>
  <c r="H1324" i="1"/>
  <c r="C1325" i="1"/>
  <c r="D1325" i="1"/>
  <c r="E1325" i="1"/>
  <c r="F1325" i="1"/>
  <c r="G1325" i="1"/>
  <c r="H1325" i="1"/>
  <c r="C1326" i="1"/>
  <c r="D1326" i="1"/>
  <c r="E1326" i="1"/>
  <c r="F1326" i="1"/>
  <c r="G1326" i="1"/>
  <c r="H1326" i="1"/>
  <c r="C1327" i="1"/>
  <c r="D1327" i="1"/>
  <c r="E1327" i="1"/>
  <c r="F1327" i="1"/>
  <c r="G1327" i="1"/>
  <c r="H1327" i="1"/>
  <c r="C1328" i="1"/>
  <c r="D1328" i="1"/>
  <c r="E1328" i="1"/>
  <c r="F1328" i="1"/>
  <c r="G1328" i="1"/>
  <c r="H1328" i="1"/>
  <c r="C1329" i="1"/>
  <c r="D1329" i="1"/>
  <c r="E1329" i="1"/>
  <c r="F1329" i="1"/>
  <c r="G1329" i="1"/>
  <c r="H1329" i="1"/>
  <c r="C1330" i="1"/>
  <c r="D1330" i="1"/>
  <c r="E1330" i="1"/>
  <c r="F1330" i="1"/>
  <c r="G1330" i="1"/>
  <c r="H1330" i="1"/>
  <c r="C1331" i="1"/>
  <c r="D1331" i="1"/>
  <c r="E1331" i="1"/>
  <c r="F1331" i="1"/>
  <c r="G1331" i="1"/>
  <c r="H1331" i="1"/>
  <c r="C1332" i="1"/>
  <c r="D1332" i="1"/>
  <c r="E1332" i="1"/>
  <c r="F1332" i="1"/>
  <c r="G1332" i="1"/>
  <c r="H1332" i="1"/>
  <c r="C1333" i="1"/>
  <c r="D1333" i="1"/>
  <c r="E1333" i="1"/>
  <c r="F1333" i="1"/>
  <c r="G1333" i="1"/>
  <c r="H1333" i="1"/>
  <c r="C1334" i="1"/>
  <c r="D1334" i="1"/>
  <c r="E1334" i="1"/>
  <c r="F1334" i="1"/>
  <c r="G1334" i="1"/>
  <c r="H1334" i="1"/>
  <c r="C1335" i="1"/>
  <c r="D1335" i="1"/>
  <c r="E1335" i="1"/>
  <c r="F1335" i="1"/>
  <c r="G1335" i="1"/>
  <c r="H1335" i="1"/>
  <c r="C1336" i="1"/>
  <c r="D1336" i="1"/>
  <c r="E1336" i="1"/>
  <c r="F1336" i="1"/>
  <c r="G1336" i="1"/>
  <c r="H1336" i="1"/>
  <c r="C1337" i="1"/>
  <c r="D1337" i="1"/>
  <c r="E1337" i="1"/>
  <c r="F1337" i="1"/>
  <c r="G1337" i="1"/>
  <c r="H1337" i="1"/>
  <c r="C1338" i="1"/>
  <c r="D1338" i="1"/>
  <c r="E1338" i="1"/>
  <c r="F1338" i="1"/>
  <c r="G1338" i="1"/>
  <c r="H1338" i="1"/>
  <c r="C1339" i="1"/>
  <c r="D1339" i="1"/>
  <c r="E1339" i="1"/>
  <c r="F1339" i="1"/>
  <c r="G1339" i="1"/>
  <c r="H1339" i="1"/>
  <c r="C1340" i="1"/>
  <c r="D1340" i="1"/>
  <c r="E1340" i="1"/>
  <c r="F1340" i="1"/>
  <c r="G1340" i="1"/>
  <c r="H1340" i="1"/>
  <c r="C1341" i="1"/>
  <c r="D1341" i="1"/>
  <c r="E1341" i="1"/>
  <c r="F1341" i="1"/>
  <c r="G1341" i="1"/>
  <c r="H1341" i="1"/>
  <c r="C1342" i="1"/>
  <c r="D1342" i="1"/>
  <c r="E1342" i="1"/>
  <c r="F1342" i="1"/>
  <c r="G1342" i="1"/>
  <c r="H1342" i="1"/>
  <c r="C1343" i="1"/>
  <c r="D1343" i="1"/>
  <c r="E1343" i="1"/>
  <c r="F1343" i="1"/>
  <c r="G1343" i="1"/>
  <c r="H1343" i="1"/>
  <c r="C1344" i="1"/>
  <c r="D1344" i="1"/>
  <c r="E1344" i="1"/>
  <c r="F1344" i="1"/>
  <c r="G1344" i="1"/>
  <c r="H1344" i="1"/>
  <c r="C1345" i="1"/>
  <c r="D1345" i="1"/>
  <c r="E1345" i="1"/>
  <c r="F1345" i="1"/>
  <c r="G1345" i="1"/>
  <c r="H1345" i="1"/>
  <c r="C1346" i="1"/>
  <c r="D1346" i="1"/>
  <c r="E1346" i="1"/>
  <c r="F1346" i="1"/>
  <c r="G1346" i="1"/>
  <c r="H1346" i="1"/>
  <c r="C1347" i="1"/>
  <c r="D1347" i="1"/>
  <c r="E1347" i="1"/>
  <c r="F1347" i="1"/>
  <c r="G1347" i="1"/>
  <c r="H1347" i="1"/>
  <c r="C1348" i="1"/>
  <c r="D1348" i="1"/>
  <c r="E1348" i="1"/>
  <c r="F1348" i="1"/>
  <c r="G1348" i="1"/>
  <c r="H1348" i="1"/>
  <c r="C1349" i="1"/>
  <c r="D1349" i="1"/>
  <c r="E1349" i="1"/>
  <c r="F1349" i="1"/>
  <c r="G1349" i="1"/>
  <c r="H1349" i="1"/>
  <c r="C1350" i="1"/>
  <c r="D1350" i="1"/>
  <c r="E1350" i="1"/>
  <c r="F1350" i="1"/>
  <c r="G1350" i="1"/>
  <c r="H1350" i="1"/>
  <c r="C1351" i="1"/>
  <c r="D1351" i="1"/>
  <c r="E1351" i="1"/>
  <c r="F1351" i="1"/>
  <c r="G1351" i="1"/>
  <c r="H1351" i="1"/>
  <c r="C1352" i="1"/>
  <c r="D1352" i="1"/>
  <c r="E1352" i="1"/>
  <c r="F1352" i="1"/>
  <c r="G1352" i="1"/>
  <c r="H1352" i="1"/>
  <c r="C1353" i="1"/>
  <c r="D1353" i="1"/>
  <c r="E1353" i="1"/>
  <c r="F1353" i="1"/>
  <c r="G1353" i="1"/>
  <c r="H1353" i="1"/>
  <c r="C1354" i="1"/>
  <c r="D1354" i="1"/>
  <c r="E1354" i="1"/>
  <c r="F1354" i="1"/>
  <c r="G1354" i="1"/>
  <c r="H1354" i="1"/>
  <c r="C1355" i="1"/>
  <c r="D1355" i="1"/>
  <c r="E1355" i="1"/>
  <c r="F1355" i="1"/>
  <c r="G1355" i="1"/>
  <c r="H1355" i="1"/>
  <c r="C1356" i="1"/>
  <c r="D1356" i="1"/>
  <c r="E1356" i="1"/>
  <c r="F1356" i="1"/>
  <c r="G1356" i="1"/>
  <c r="H1356" i="1"/>
  <c r="C1357" i="1"/>
  <c r="D1357" i="1"/>
  <c r="E1357" i="1"/>
  <c r="F1357" i="1"/>
  <c r="G1357" i="1"/>
  <c r="H1357" i="1"/>
  <c r="C1358" i="1"/>
  <c r="D1358" i="1"/>
  <c r="E1358" i="1"/>
  <c r="F1358" i="1"/>
  <c r="G1358" i="1"/>
  <c r="H1358" i="1"/>
  <c r="C1359" i="1"/>
  <c r="D1359" i="1"/>
  <c r="E1359" i="1"/>
  <c r="F1359" i="1"/>
  <c r="G1359" i="1"/>
  <c r="H1359" i="1"/>
  <c r="C1360" i="1"/>
  <c r="D1360" i="1"/>
  <c r="E1360" i="1"/>
  <c r="F1360" i="1"/>
  <c r="G1360" i="1"/>
  <c r="H1360" i="1"/>
  <c r="C1361" i="1"/>
  <c r="D1361" i="1"/>
  <c r="E1361" i="1"/>
  <c r="F1361" i="1"/>
  <c r="G1361" i="1"/>
  <c r="H1361" i="1"/>
  <c r="C1362" i="1"/>
  <c r="D1362" i="1"/>
  <c r="E1362" i="1"/>
  <c r="F1362" i="1"/>
  <c r="G1362" i="1"/>
  <c r="H1362" i="1"/>
  <c r="C1363" i="1"/>
  <c r="D1363" i="1"/>
  <c r="E1363" i="1"/>
  <c r="F1363" i="1"/>
  <c r="G1363" i="1"/>
  <c r="H1363" i="1"/>
  <c r="C1364" i="1"/>
  <c r="D1364" i="1"/>
  <c r="E1364" i="1"/>
  <c r="F1364" i="1"/>
  <c r="G1364" i="1"/>
  <c r="H1364" i="1"/>
  <c r="C1365" i="1"/>
  <c r="D1365" i="1"/>
  <c r="E1365" i="1"/>
  <c r="F1365" i="1"/>
  <c r="G1365" i="1"/>
  <c r="H1365" i="1"/>
  <c r="C1366" i="1"/>
  <c r="D1366" i="1"/>
  <c r="E1366" i="1"/>
  <c r="F1366" i="1"/>
  <c r="G1366" i="1"/>
  <c r="H1366" i="1"/>
  <c r="C1367" i="1"/>
  <c r="D1367" i="1"/>
  <c r="E1367" i="1"/>
  <c r="F1367" i="1"/>
  <c r="G1367" i="1"/>
  <c r="H1367" i="1"/>
  <c r="C1368" i="1"/>
  <c r="D1368" i="1"/>
  <c r="E1368" i="1"/>
  <c r="F1368" i="1"/>
  <c r="G1368" i="1"/>
  <c r="H1368" i="1"/>
  <c r="C1369" i="1"/>
  <c r="D1369" i="1"/>
  <c r="E1369" i="1"/>
  <c r="F1369" i="1"/>
  <c r="G1369" i="1"/>
  <c r="H1369" i="1"/>
  <c r="C1370" i="1"/>
  <c r="D1370" i="1"/>
  <c r="E1370" i="1"/>
  <c r="F1370" i="1"/>
  <c r="G1370" i="1"/>
  <c r="H1370" i="1"/>
  <c r="C1371" i="1"/>
  <c r="D1371" i="1"/>
  <c r="E1371" i="1"/>
  <c r="F1371" i="1"/>
  <c r="G1371" i="1"/>
  <c r="H1371" i="1"/>
  <c r="C1372" i="1"/>
  <c r="D1372" i="1"/>
  <c r="E1372" i="1"/>
  <c r="F1372" i="1"/>
  <c r="G1372" i="1"/>
  <c r="H1372" i="1"/>
  <c r="C1373" i="1"/>
  <c r="D1373" i="1"/>
  <c r="E1373" i="1"/>
  <c r="F1373" i="1"/>
  <c r="G1373" i="1"/>
  <c r="H1373" i="1"/>
  <c r="C1374" i="1"/>
  <c r="D1374" i="1"/>
  <c r="E1374" i="1"/>
  <c r="F1374" i="1"/>
  <c r="G1374" i="1"/>
  <c r="H1374" i="1"/>
  <c r="C1375" i="1"/>
  <c r="D1375" i="1"/>
  <c r="E1375" i="1"/>
  <c r="F1375" i="1"/>
  <c r="G1375" i="1"/>
  <c r="H1375" i="1"/>
  <c r="C1376" i="1"/>
  <c r="D1376" i="1"/>
  <c r="E1376" i="1"/>
  <c r="F1376" i="1"/>
  <c r="G1376" i="1"/>
  <c r="H1376" i="1"/>
  <c r="C1377" i="1"/>
  <c r="D1377" i="1"/>
  <c r="E1377" i="1"/>
  <c r="F1377" i="1"/>
  <c r="G1377" i="1"/>
  <c r="H1377" i="1"/>
  <c r="C1378" i="1"/>
  <c r="D1378" i="1"/>
  <c r="E1378" i="1"/>
  <c r="F1378" i="1"/>
  <c r="G1378" i="1"/>
  <c r="H1378" i="1"/>
  <c r="C1379" i="1"/>
  <c r="D1379" i="1"/>
  <c r="E1379" i="1"/>
  <c r="F1379" i="1"/>
  <c r="G1379" i="1"/>
  <c r="H1379" i="1"/>
  <c r="C1380" i="1"/>
  <c r="D1380" i="1"/>
  <c r="E1380" i="1"/>
  <c r="F1380" i="1"/>
  <c r="G1380" i="1"/>
  <c r="H1380" i="1"/>
  <c r="C1381" i="1"/>
  <c r="D1381" i="1"/>
  <c r="E1381" i="1"/>
  <c r="F1381" i="1"/>
  <c r="G1381" i="1"/>
  <c r="H1381" i="1"/>
  <c r="C1382" i="1"/>
  <c r="D1382" i="1"/>
  <c r="E1382" i="1"/>
  <c r="F1382" i="1"/>
  <c r="G1382" i="1"/>
  <c r="H1382" i="1"/>
  <c r="C1383" i="1"/>
  <c r="D1383" i="1"/>
  <c r="E1383" i="1"/>
  <c r="F1383" i="1"/>
  <c r="G1383" i="1"/>
  <c r="H1383" i="1"/>
  <c r="C1384" i="1"/>
  <c r="D1384" i="1"/>
  <c r="E1384" i="1"/>
  <c r="F1384" i="1"/>
  <c r="G1384" i="1"/>
  <c r="H1384" i="1"/>
  <c r="C1385" i="1"/>
  <c r="D1385" i="1"/>
  <c r="E1385" i="1"/>
  <c r="F1385" i="1"/>
  <c r="G1385" i="1"/>
  <c r="H1385" i="1"/>
  <c r="C1386" i="1"/>
  <c r="D1386" i="1"/>
  <c r="E1386" i="1"/>
  <c r="F1386" i="1"/>
  <c r="G1386" i="1"/>
  <c r="H1386" i="1"/>
  <c r="C1387" i="1"/>
  <c r="D1387" i="1"/>
  <c r="E1387" i="1"/>
  <c r="F1387" i="1"/>
  <c r="G1387" i="1"/>
  <c r="H1387" i="1"/>
  <c r="C1388" i="1"/>
  <c r="D1388" i="1"/>
  <c r="E1388" i="1"/>
  <c r="F1388" i="1"/>
  <c r="G1388" i="1"/>
  <c r="H1388" i="1"/>
  <c r="C1389" i="1"/>
  <c r="D1389" i="1"/>
  <c r="E1389" i="1"/>
  <c r="F1389" i="1"/>
  <c r="G1389" i="1"/>
  <c r="H1389" i="1"/>
  <c r="C1390" i="1"/>
  <c r="D1390" i="1"/>
  <c r="E1390" i="1"/>
  <c r="F1390" i="1"/>
  <c r="G1390" i="1"/>
  <c r="H1390" i="1"/>
  <c r="C1391" i="1"/>
  <c r="D1391" i="1"/>
  <c r="E1391" i="1"/>
  <c r="F1391" i="1"/>
  <c r="G1391" i="1"/>
  <c r="H1391" i="1"/>
  <c r="C1392" i="1"/>
  <c r="D1392" i="1"/>
  <c r="E1392" i="1"/>
  <c r="F1392" i="1"/>
  <c r="G1392" i="1"/>
  <c r="H1392" i="1"/>
  <c r="C1393" i="1"/>
  <c r="D1393" i="1"/>
  <c r="E1393" i="1"/>
  <c r="F1393" i="1"/>
  <c r="G1393" i="1"/>
  <c r="H1393" i="1"/>
  <c r="C1394" i="1"/>
  <c r="D1394" i="1"/>
  <c r="E1394" i="1"/>
  <c r="F1394" i="1"/>
  <c r="G1394" i="1"/>
  <c r="H1394" i="1"/>
  <c r="C1395" i="1"/>
  <c r="D1395" i="1"/>
  <c r="E1395" i="1"/>
  <c r="F1395" i="1"/>
  <c r="G1395" i="1"/>
  <c r="H1395" i="1"/>
  <c r="C1396" i="1"/>
  <c r="D1396" i="1"/>
  <c r="E1396" i="1"/>
  <c r="F1396" i="1"/>
  <c r="G1396" i="1"/>
  <c r="H1396" i="1"/>
  <c r="C1397" i="1"/>
  <c r="D1397" i="1"/>
  <c r="E1397" i="1"/>
  <c r="F1397" i="1"/>
  <c r="G1397" i="1"/>
  <c r="H1397" i="1"/>
  <c r="C1398" i="1"/>
  <c r="D1398" i="1"/>
  <c r="E1398" i="1"/>
  <c r="F1398" i="1"/>
  <c r="G1398" i="1"/>
  <c r="H1398" i="1"/>
  <c r="C1399" i="1"/>
  <c r="D1399" i="1"/>
  <c r="E1399" i="1"/>
  <c r="F1399" i="1"/>
  <c r="G1399" i="1"/>
  <c r="H1399" i="1"/>
  <c r="C1400" i="1"/>
  <c r="D1400" i="1"/>
  <c r="E1400" i="1"/>
  <c r="F1400" i="1"/>
  <c r="G1400" i="1"/>
  <c r="H1400" i="1"/>
  <c r="C1401" i="1"/>
  <c r="D1401" i="1"/>
  <c r="E1401" i="1"/>
  <c r="F1401" i="1"/>
  <c r="G1401" i="1"/>
  <c r="H1401" i="1"/>
  <c r="C1402" i="1"/>
  <c r="D1402" i="1"/>
  <c r="E1402" i="1"/>
  <c r="F1402" i="1"/>
  <c r="G1402" i="1"/>
  <c r="H1402" i="1"/>
  <c r="C1403" i="1"/>
  <c r="D1403" i="1"/>
  <c r="E1403" i="1"/>
  <c r="F1403" i="1"/>
  <c r="G1403" i="1"/>
  <c r="H1403" i="1"/>
  <c r="C1404" i="1"/>
  <c r="D1404" i="1"/>
  <c r="E1404" i="1"/>
  <c r="F1404" i="1"/>
  <c r="G1404" i="1"/>
  <c r="H1404" i="1"/>
  <c r="C1405" i="1"/>
  <c r="D1405" i="1"/>
  <c r="E1405" i="1"/>
  <c r="F1405" i="1"/>
  <c r="G1405" i="1"/>
  <c r="H1405" i="1"/>
  <c r="C1406" i="1"/>
  <c r="D1406" i="1"/>
  <c r="E1406" i="1"/>
  <c r="F1406" i="1"/>
  <c r="G1406" i="1"/>
  <c r="H1406" i="1"/>
  <c r="C1407" i="1"/>
  <c r="D1407" i="1"/>
  <c r="E1407" i="1"/>
  <c r="F1407" i="1"/>
  <c r="G1407" i="1"/>
  <c r="H1407" i="1"/>
  <c r="C1408" i="1"/>
  <c r="D1408" i="1"/>
  <c r="E1408" i="1"/>
  <c r="F1408" i="1"/>
  <c r="G1408" i="1"/>
  <c r="H1408" i="1"/>
  <c r="C1409" i="1"/>
  <c r="D1409" i="1"/>
  <c r="E1409" i="1"/>
  <c r="F1409" i="1"/>
  <c r="G1409" i="1"/>
  <c r="H1409" i="1"/>
  <c r="C1410" i="1"/>
  <c r="D1410" i="1"/>
  <c r="E1410" i="1"/>
  <c r="F1410" i="1"/>
  <c r="G1410" i="1"/>
  <c r="H1410" i="1"/>
  <c r="C1411" i="1"/>
  <c r="D1411" i="1"/>
  <c r="E1411" i="1"/>
  <c r="F1411" i="1"/>
  <c r="G1411" i="1"/>
  <c r="H1411" i="1"/>
  <c r="C1412" i="1"/>
  <c r="D1412" i="1"/>
  <c r="E1412" i="1"/>
  <c r="F1412" i="1"/>
  <c r="G1412" i="1"/>
  <c r="H1412" i="1"/>
  <c r="C1413" i="1"/>
  <c r="D1413" i="1"/>
  <c r="E1413" i="1"/>
  <c r="F1413" i="1"/>
  <c r="G1413" i="1"/>
  <c r="H1413" i="1"/>
  <c r="C1414" i="1"/>
  <c r="D1414" i="1"/>
  <c r="E1414" i="1"/>
  <c r="F1414" i="1"/>
  <c r="G1414" i="1"/>
  <c r="H1414" i="1"/>
  <c r="C1415" i="1"/>
  <c r="D1415" i="1"/>
  <c r="E1415" i="1"/>
  <c r="F1415" i="1"/>
  <c r="G1415" i="1"/>
  <c r="H1415" i="1"/>
  <c r="C1416" i="1"/>
  <c r="D1416" i="1"/>
  <c r="E1416" i="1"/>
  <c r="F1416" i="1"/>
  <c r="G1416" i="1"/>
  <c r="H1416" i="1"/>
  <c r="C1417" i="1"/>
  <c r="D1417" i="1"/>
  <c r="E1417" i="1"/>
  <c r="F1417" i="1"/>
  <c r="G1417" i="1"/>
  <c r="H1417" i="1"/>
  <c r="C1418" i="1"/>
  <c r="D1418" i="1"/>
  <c r="E1418" i="1"/>
  <c r="F1418" i="1"/>
  <c r="G1418" i="1"/>
  <c r="H1418" i="1"/>
  <c r="C1419" i="1"/>
  <c r="D1419" i="1"/>
  <c r="E1419" i="1"/>
  <c r="F1419" i="1"/>
  <c r="G1419" i="1"/>
  <c r="H1419" i="1"/>
  <c r="C1420" i="1"/>
  <c r="D1420" i="1"/>
  <c r="E1420" i="1"/>
  <c r="F1420" i="1"/>
  <c r="G1420" i="1"/>
  <c r="H1420" i="1"/>
  <c r="C1421" i="1"/>
  <c r="D1421" i="1"/>
  <c r="E1421" i="1"/>
  <c r="F1421" i="1"/>
  <c r="G1421" i="1"/>
  <c r="H1421" i="1"/>
  <c r="C1422" i="1"/>
  <c r="D1422" i="1"/>
  <c r="E1422" i="1"/>
  <c r="F1422" i="1"/>
  <c r="G1422" i="1"/>
  <c r="H1422" i="1"/>
  <c r="C1423" i="1"/>
  <c r="D1423" i="1"/>
  <c r="E1423" i="1"/>
  <c r="F1423" i="1"/>
  <c r="G1423" i="1"/>
  <c r="H1423" i="1"/>
  <c r="C1424" i="1"/>
  <c r="D1424" i="1"/>
  <c r="E1424" i="1"/>
  <c r="F1424" i="1"/>
  <c r="G1424" i="1"/>
  <c r="H1424" i="1"/>
  <c r="C1425" i="1"/>
  <c r="D1425" i="1"/>
  <c r="E1425" i="1"/>
  <c r="F1425" i="1"/>
  <c r="G1425" i="1"/>
  <c r="H1425" i="1"/>
  <c r="C1426" i="1"/>
  <c r="D1426" i="1"/>
  <c r="E1426" i="1"/>
  <c r="F1426" i="1"/>
  <c r="G1426" i="1"/>
  <c r="H1426" i="1"/>
  <c r="C1427" i="1"/>
  <c r="D1427" i="1"/>
  <c r="E1427" i="1"/>
  <c r="F1427" i="1"/>
  <c r="G1427" i="1"/>
  <c r="H1427" i="1"/>
  <c r="C1428" i="1"/>
  <c r="D1428" i="1"/>
  <c r="E1428" i="1"/>
  <c r="F1428" i="1"/>
  <c r="G1428" i="1"/>
  <c r="H1428" i="1"/>
  <c r="C1429" i="1"/>
  <c r="D1429" i="1"/>
  <c r="E1429" i="1"/>
  <c r="F1429" i="1"/>
  <c r="G1429" i="1"/>
  <c r="H1429" i="1"/>
  <c r="C1430" i="1"/>
  <c r="D1430" i="1"/>
  <c r="E1430" i="1"/>
  <c r="F1430" i="1"/>
  <c r="G1430" i="1"/>
  <c r="H1430" i="1"/>
  <c r="C1431" i="1"/>
  <c r="D1431" i="1"/>
  <c r="E1431" i="1"/>
  <c r="F1431" i="1"/>
  <c r="G1431" i="1"/>
  <c r="H1431" i="1"/>
  <c r="C1432" i="1"/>
  <c r="D1432" i="1"/>
  <c r="E1432" i="1"/>
  <c r="F1432" i="1"/>
  <c r="G1432" i="1"/>
  <c r="H1432" i="1"/>
  <c r="C1433" i="1"/>
  <c r="D1433" i="1"/>
  <c r="E1433" i="1"/>
  <c r="F1433" i="1"/>
  <c r="G1433" i="1"/>
  <c r="H1433" i="1"/>
  <c r="C1434" i="1"/>
  <c r="D1434" i="1"/>
  <c r="E1434" i="1"/>
  <c r="F1434" i="1"/>
  <c r="G1434" i="1"/>
  <c r="H1434" i="1"/>
  <c r="C1435" i="1"/>
  <c r="D1435" i="1"/>
  <c r="E1435" i="1"/>
  <c r="F1435" i="1"/>
  <c r="G1435" i="1"/>
  <c r="H1435" i="1"/>
  <c r="C1436" i="1"/>
  <c r="D1436" i="1"/>
  <c r="E1436" i="1"/>
  <c r="F1436" i="1"/>
  <c r="G1436" i="1"/>
  <c r="H1436" i="1"/>
  <c r="C1437" i="1"/>
  <c r="D1437" i="1"/>
  <c r="E1437" i="1"/>
  <c r="F1437" i="1"/>
  <c r="G1437" i="1"/>
  <c r="H1437" i="1"/>
  <c r="C1438" i="1"/>
  <c r="D1438" i="1"/>
  <c r="E1438" i="1"/>
  <c r="F1438" i="1"/>
  <c r="G1438" i="1"/>
  <c r="H1438" i="1"/>
  <c r="C1439" i="1"/>
  <c r="D1439" i="1"/>
  <c r="E1439" i="1"/>
  <c r="F1439" i="1"/>
  <c r="G1439" i="1"/>
  <c r="H1439" i="1"/>
  <c r="C1440" i="1"/>
  <c r="D1440" i="1"/>
  <c r="E1440" i="1"/>
  <c r="F1440" i="1"/>
  <c r="G1440" i="1"/>
  <c r="H1440" i="1"/>
  <c r="C1441" i="1"/>
  <c r="D1441" i="1"/>
  <c r="E1441" i="1"/>
  <c r="F1441" i="1"/>
  <c r="G1441" i="1"/>
  <c r="H1441" i="1"/>
  <c r="C1442" i="1"/>
  <c r="D1442" i="1"/>
  <c r="E1442" i="1"/>
  <c r="F1442" i="1"/>
  <c r="G1442" i="1"/>
  <c r="H1442" i="1"/>
  <c r="C1443" i="1"/>
  <c r="D1443" i="1"/>
  <c r="E1443" i="1"/>
  <c r="F1443" i="1"/>
  <c r="G1443" i="1"/>
  <c r="H1443" i="1"/>
  <c r="C1444" i="1"/>
  <c r="D1444" i="1"/>
  <c r="E1444" i="1"/>
  <c r="F1444" i="1"/>
  <c r="G1444" i="1"/>
  <c r="H1444" i="1"/>
  <c r="C1445" i="1"/>
  <c r="D1445" i="1"/>
  <c r="E1445" i="1"/>
  <c r="F1445" i="1"/>
  <c r="G1445" i="1"/>
  <c r="H1445" i="1"/>
  <c r="C1446" i="1"/>
  <c r="D1446" i="1"/>
  <c r="E1446" i="1"/>
  <c r="F1446" i="1"/>
  <c r="G1446" i="1"/>
  <c r="H1446" i="1"/>
  <c r="C1447" i="1"/>
  <c r="D1447" i="1"/>
  <c r="E1447" i="1"/>
  <c r="F1447" i="1"/>
  <c r="G1447" i="1"/>
  <c r="H1447" i="1"/>
  <c r="C1448" i="1"/>
  <c r="D1448" i="1"/>
  <c r="E1448" i="1"/>
  <c r="F1448" i="1"/>
  <c r="G1448" i="1"/>
  <c r="H1448" i="1"/>
  <c r="C1449" i="1"/>
  <c r="D1449" i="1"/>
  <c r="E1449" i="1"/>
  <c r="F1449" i="1"/>
  <c r="G1449" i="1"/>
  <c r="H1449" i="1"/>
  <c r="C1450" i="1"/>
  <c r="D1450" i="1"/>
  <c r="E1450" i="1"/>
  <c r="F1450" i="1"/>
  <c r="G1450" i="1"/>
  <c r="H1450" i="1"/>
  <c r="C1451" i="1"/>
  <c r="D1451" i="1"/>
  <c r="E1451" i="1"/>
  <c r="F1451" i="1"/>
  <c r="G1451" i="1"/>
  <c r="H1451" i="1"/>
  <c r="C1452" i="1"/>
  <c r="D1452" i="1"/>
  <c r="E1452" i="1"/>
  <c r="F1452" i="1"/>
  <c r="G1452" i="1"/>
  <c r="H1452" i="1"/>
  <c r="C1453" i="1"/>
  <c r="D1453" i="1"/>
  <c r="E1453" i="1"/>
  <c r="F1453" i="1"/>
  <c r="G1453" i="1"/>
  <c r="H1453" i="1"/>
  <c r="C1454" i="1"/>
  <c r="D1454" i="1"/>
  <c r="E1454" i="1"/>
  <c r="F1454" i="1"/>
  <c r="G1454" i="1"/>
  <c r="H1454" i="1"/>
  <c r="C1455" i="1"/>
  <c r="D1455" i="1"/>
  <c r="E1455" i="1"/>
  <c r="F1455" i="1"/>
  <c r="G1455" i="1"/>
  <c r="H1455" i="1"/>
  <c r="C1456" i="1"/>
  <c r="D1456" i="1"/>
  <c r="E1456" i="1"/>
  <c r="F1456" i="1"/>
  <c r="G1456" i="1"/>
  <c r="H1456" i="1"/>
  <c r="C1457" i="1"/>
  <c r="D1457" i="1"/>
  <c r="E1457" i="1"/>
  <c r="F1457" i="1"/>
  <c r="G1457" i="1"/>
  <c r="H1457" i="1"/>
  <c r="C1458" i="1"/>
  <c r="D1458" i="1"/>
  <c r="E1458" i="1"/>
  <c r="F1458" i="1"/>
  <c r="G1458" i="1"/>
  <c r="H1458" i="1"/>
  <c r="C1459" i="1"/>
  <c r="D1459" i="1"/>
  <c r="E1459" i="1"/>
  <c r="F1459" i="1"/>
  <c r="G1459" i="1"/>
  <c r="H1459" i="1"/>
  <c r="C1460" i="1"/>
  <c r="D1460" i="1"/>
  <c r="E1460" i="1"/>
  <c r="F1460" i="1"/>
  <c r="G1460" i="1"/>
  <c r="H1460" i="1"/>
  <c r="C1461" i="1"/>
  <c r="D1461" i="1"/>
  <c r="E1461" i="1"/>
  <c r="F1461" i="1"/>
  <c r="G1461" i="1"/>
  <c r="H1461" i="1"/>
  <c r="C1462" i="1"/>
  <c r="D1462" i="1"/>
  <c r="E1462" i="1"/>
  <c r="F1462" i="1"/>
  <c r="G1462" i="1"/>
  <c r="H1462" i="1"/>
  <c r="C1463" i="1"/>
  <c r="D1463" i="1"/>
  <c r="E1463" i="1"/>
  <c r="F1463" i="1"/>
  <c r="G1463" i="1"/>
  <c r="H1463" i="1"/>
  <c r="C1464" i="1"/>
  <c r="D1464" i="1"/>
  <c r="E1464" i="1"/>
  <c r="F1464" i="1"/>
  <c r="G1464" i="1"/>
  <c r="H1464" i="1"/>
  <c r="C1465" i="1"/>
  <c r="D1465" i="1"/>
  <c r="E1465" i="1"/>
  <c r="F1465" i="1"/>
  <c r="G1465" i="1"/>
  <c r="H1465" i="1"/>
  <c r="C1466" i="1"/>
  <c r="D1466" i="1"/>
  <c r="E1466" i="1"/>
  <c r="F1466" i="1"/>
  <c r="G1466" i="1"/>
  <c r="H1466" i="1"/>
  <c r="C1467" i="1"/>
  <c r="D1467" i="1"/>
  <c r="E1467" i="1"/>
  <c r="F1467" i="1"/>
  <c r="G1467" i="1"/>
  <c r="H1467" i="1"/>
  <c r="C1468" i="1"/>
  <c r="D1468" i="1"/>
  <c r="E1468" i="1"/>
  <c r="F1468" i="1"/>
  <c r="G1468" i="1"/>
  <c r="H1468" i="1"/>
  <c r="C1469" i="1"/>
  <c r="D1469" i="1"/>
  <c r="E1469" i="1"/>
  <c r="F1469" i="1"/>
  <c r="G1469" i="1"/>
  <c r="H1469" i="1"/>
  <c r="C1470" i="1"/>
  <c r="D1470" i="1"/>
  <c r="E1470" i="1"/>
  <c r="F1470" i="1"/>
  <c r="G1470" i="1"/>
  <c r="H1470" i="1"/>
  <c r="C1471" i="1"/>
  <c r="D1471" i="1"/>
  <c r="E1471" i="1"/>
  <c r="F1471" i="1"/>
  <c r="G1471" i="1"/>
  <c r="H1471" i="1"/>
  <c r="C1472" i="1"/>
  <c r="D1472" i="1"/>
  <c r="E1472" i="1"/>
  <c r="F1472" i="1"/>
  <c r="G1472" i="1"/>
  <c r="H1472" i="1"/>
  <c r="C1473" i="1"/>
  <c r="D1473" i="1"/>
  <c r="E1473" i="1"/>
  <c r="F1473" i="1"/>
  <c r="G1473" i="1"/>
  <c r="H1473" i="1"/>
  <c r="C1474" i="1"/>
  <c r="D1474" i="1"/>
  <c r="E1474" i="1"/>
  <c r="F1474" i="1"/>
  <c r="G1474" i="1"/>
  <c r="H1474" i="1"/>
  <c r="C1475" i="1"/>
  <c r="D1475" i="1"/>
  <c r="E1475" i="1"/>
  <c r="F1475" i="1"/>
  <c r="G1475" i="1"/>
  <c r="H1475" i="1"/>
  <c r="C1476" i="1"/>
  <c r="D1476" i="1"/>
  <c r="E1476" i="1"/>
  <c r="F1476" i="1"/>
  <c r="G1476" i="1"/>
  <c r="H1476" i="1"/>
  <c r="C1477" i="1"/>
  <c r="D1477" i="1"/>
  <c r="E1477" i="1"/>
  <c r="F1477" i="1"/>
  <c r="G1477" i="1"/>
  <c r="H1477" i="1"/>
  <c r="C1478" i="1"/>
  <c r="D1478" i="1"/>
  <c r="E1478" i="1"/>
  <c r="F1478" i="1"/>
  <c r="G1478" i="1"/>
  <c r="H1478" i="1"/>
  <c r="C1479" i="1"/>
  <c r="D1479" i="1"/>
  <c r="E1479" i="1"/>
  <c r="F1479" i="1"/>
  <c r="G1479" i="1"/>
  <c r="H1479" i="1"/>
  <c r="C1480" i="1"/>
  <c r="D1480" i="1"/>
  <c r="E1480" i="1"/>
  <c r="F1480" i="1"/>
  <c r="G1480" i="1"/>
  <c r="H1480" i="1"/>
  <c r="C1481" i="1"/>
  <c r="D1481" i="1"/>
  <c r="E1481" i="1"/>
  <c r="F1481" i="1"/>
  <c r="G1481" i="1"/>
  <c r="H1481" i="1"/>
  <c r="C1482" i="1"/>
  <c r="D1482" i="1"/>
  <c r="E1482" i="1"/>
  <c r="F1482" i="1"/>
  <c r="G1482" i="1"/>
  <c r="H1482" i="1"/>
  <c r="C1483" i="1"/>
  <c r="D1483" i="1"/>
  <c r="E1483" i="1"/>
  <c r="F1483" i="1"/>
  <c r="G1483" i="1"/>
  <c r="H1483" i="1"/>
  <c r="C1484" i="1"/>
  <c r="D1484" i="1"/>
  <c r="E1484" i="1"/>
  <c r="F1484" i="1"/>
  <c r="G1484" i="1"/>
  <c r="H1484" i="1"/>
  <c r="C1485" i="1"/>
  <c r="D1485" i="1"/>
  <c r="E1485" i="1"/>
  <c r="F1485" i="1"/>
  <c r="G1485" i="1"/>
  <c r="H1485" i="1"/>
  <c r="C1486" i="1"/>
  <c r="D1486" i="1"/>
  <c r="E1486" i="1"/>
  <c r="F1486" i="1"/>
  <c r="G1486" i="1"/>
  <c r="H1486" i="1"/>
  <c r="C1487" i="1"/>
  <c r="D1487" i="1"/>
  <c r="E1487" i="1"/>
  <c r="F1487" i="1"/>
  <c r="G1487" i="1"/>
  <c r="H1487" i="1"/>
  <c r="C1488" i="1"/>
  <c r="D1488" i="1"/>
  <c r="E1488" i="1"/>
  <c r="F1488" i="1"/>
  <c r="G1488" i="1"/>
  <c r="H1488" i="1"/>
  <c r="C1489" i="1"/>
  <c r="D1489" i="1"/>
  <c r="E1489" i="1"/>
  <c r="F1489" i="1"/>
  <c r="G1489" i="1"/>
  <c r="H1489" i="1"/>
  <c r="C1490" i="1"/>
  <c r="D1490" i="1"/>
  <c r="E1490" i="1"/>
  <c r="F1490" i="1"/>
  <c r="G1490" i="1"/>
  <c r="H1490" i="1"/>
  <c r="C1491" i="1"/>
  <c r="D1491" i="1"/>
  <c r="E1491" i="1"/>
  <c r="F1491" i="1"/>
  <c r="G1491" i="1"/>
  <c r="H1491" i="1"/>
  <c r="C1492" i="1"/>
  <c r="D1492" i="1"/>
  <c r="E1492" i="1"/>
  <c r="F1492" i="1"/>
  <c r="G1492" i="1"/>
  <c r="H1492" i="1"/>
  <c r="C1493" i="1"/>
  <c r="D1493" i="1"/>
  <c r="E1493" i="1"/>
  <c r="F1493" i="1"/>
  <c r="G1493" i="1"/>
  <c r="H1493" i="1"/>
  <c r="C1494" i="1"/>
  <c r="D1494" i="1"/>
  <c r="E1494" i="1"/>
  <c r="F1494" i="1"/>
  <c r="G1494" i="1"/>
  <c r="H1494" i="1"/>
  <c r="C1495" i="1"/>
  <c r="D1495" i="1"/>
  <c r="E1495" i="1"/>
  <c r="F1495" i="1"/>
  <c r="G1495" i="1"/>
  <c r="H1495" i="1"/>
  <c r="C1496" i="1"/>
  <c r="D1496" i="1"/>
  <c r="E1496" i="1"/>
  <c r="F1496" i="1"/>
  <c r="G1496" i="1"/>
  <c r="H1496" i="1"/>
  <c r="C1497" i="1"/>
  <c r="D1497" i="1"/>
  <c r="E1497" i="1"/>
  <c r="F1497" i="1"/>
  <c r="G1497" i="1"/>
  <c r="H1497" i="1"/>
  <c r="C1498" i="1"/>
  <c r="D1498" i="1"/>
  <c r="E1498" i="1"/>
  <c r="F1498" i="1"/>
  <c r="G1498" i="1"/>
  <c r="H1498" i="1"/>
  <c r="C1499" i="1"/>
  <c r="D1499" i="1"/>
  <c r="E1499" i="1"/>
  <c r="F1499" i="1"/>
  <c r="G1499" i="1"/>
  <c r="H1499" i="1"/>
  <c r="C1500" i="1"/>
  <c r="D1500" i="1"/>
  <c r="E1500" i="1"/>
  <c r="F1500" i="1"/>
  <c r="G1500" i="1"/>
  <c r="H1500" i="1"/>
  <c r="C1501" i="1"/>
  <c r="D1501" i="1"/>
  <c r="E1501" i="1"/>
  <c r="F1501" i="1"/>
  <c r="G1501" i="1"/>
  <c r="H1501" i="1"/>
  <c r="C1502" i="1"/>
  <c r="D1502" i="1"/>
  <c r="E1502" i="1"/>
  <c r="F1502" i="1"/>
  <c r="G1502" i="1"/>
  <c r="H1502" i="1"/>
  <c r="C1503" i="1"/>
  <c r="D1503" i="1"/>
  <c r="E1503" i="1"/>
  <c r="F1503" i="1"/>
  <c r="G1503" i="1"/>
  <c r="H1503" i="1"/>
  <c r="C1504" i="1"/>
  <c r="D1504" i="1"/>
  <c r="E1504" i="1"/>
  <c r="F1504" i="1"/>
  <c r="G1504" i="1"/>
  <c r="H1504" i="1"/>
  <c r="C1505" i="1"/>
  <c r="D1505" i="1"/>
  <c r="E1505" i="1"/>
  <c r="F1505" i="1"/>
  <c r="G1505" i="1"/>
  <c r="H1505" i="1"/>
  <c r="C1506" i="1"/>
  <c r="D1506" i="1"/>
  <c r="E1506" i="1"/>
  <c r="F1506" i="1"/>
  <c r="G1506" i="1"/>
  <c r="H1506" i="1"/>
  <c r="C1507" i="1"/>
  <c r="D1507" i="1"/>
  <c r="E1507" i="1"/>
  <c r="F1507" i="1"/>
  <c r="G1507" i="1"/>
  <c r="H1507" i="1"/>
  <c r="C1508" i="1"/>
  <c r="D1508" i="1"/>
  <c r="E1508" i="1"/>
  <c r="F1508" i="1"/>
  <c r="G1508" i="1"/>
  <c r="H1508" i="1"/>
  <c r="C1509" i="1"/>
  <c r="D1509" i="1"/>
  <c r="E1509" i="1"/>
  <c r="F1509" i="1"/>
  <c r="G1509" i="1"/>
  <c r="H1509" i="1"/>
  <c r="C1510" i="1"/>
  <c r="D1510" i="1"/>
  <c r="E1510" i="1"/>
  <c r="F1510" i="1"/>
  <c r="G1510" i="1"/>
  <c r="H1510" i="1"/>
  <c r="C1511" i="1"/>
  <c r="D1511" i="1"/>
  <c r="E1511" i="1"/>
  <c r="F1511" i="1"/>
  <c r="G1511" i="1"/>
  <c r="H1511" i="1"/>
  <c r="C1512" i="1"/>
  <c r="D1512" i="1"/>
  <c r="E1512" i="1"/>
  <c r="F1512" i="1"/>
  <c r="G1512" i="1"/>
  <c r="H1512" i="1"/>
  <c r="C1513" i="1"/>
  <c r="D1513" i="1"/>
  <c r="E1513" i="1"/>
  <c r="F1513" i="1"/>
  <c r="G1513" i="1"/>
  <c r="H1513" i="1"/>
  <c r="C1514" i="1"/>
  <c r="D1514" i="1"/>
  <c r="E1514" i="1"/>
  <c r="F1514" i="1"/>
  <c r="G1514" i="1"/>
  <c r="H1514" i="1"/>
  <c r="C1515" i="1"/>
  <c r="D1515" i="1"/>
  <c r="E1515" i="1"/>
  <c r="F1515" i="1"/>
  <c r="G1515" i="1"/>
  <c r="H1515" i="1"/>
  <c r="C1516" i="1"/>
  <c r="D1516" i="1"/>
  <c r="E1516" i="1"/>
  <c r="F1516" i="1"/>
  <c r="G1516" i="1"/>
  <c r="H1516" i="1"/>
  <c r="C1517" i="1"/>
  <c r="D1517" i="1"/>
  <c r="E1517" i="1"/>
  <c r="F1517" i="1"/>
  <c r="G1517" i="1"/>
  <c r="H1517" i="1"/>
  <c r="C1518" i="1"/>
  <c r="D1518" i="1"/>
  <c r="E1518" i="1"/>
  <c r="F1518" i="1"/>
  <c r="G1518" i="1"/>
  <c r="H1518" i="1"/>
  <c r="C1519" i="1"/>
  <c r="D1519" i="1"/>
  <c r="E1519" i="1"/>
  <c r="F1519" i="1"/>
  <c r="G1519" i="1"/>
  <c r="H1519" i="1"/>
  <c r="C1520" i="1"/>
  <c r="D1520" i="1"/>
  <c r="E1520" i="1"/>
  <c r="F1520" i="1"/>
  <c r="G1520" i="1"/>
  <c r="H1520" i="1"/>
  <c r="C1521" i="1"/>
  <c r="D1521" i="1"/>
  <c r="E1521" i="1"/>
  <c r="F1521" i="1"/>
  <c r="G1521" i="1"/>
  <c r="H1521" i="1"/>
  <c r="C1522" i="1"/>
  <c r="D1522" i="1"/>
  <c r="E1522" i="1"/>
  <c r="F1522" i="1"/>
  <c r="G1522" i="1"/>
  <c r="H1522" i="1"/>
  <c r="C1523" i="1"/>
  <c r="D1523" i="1"/>
  <c r="E1523" i="1"/>
  <c r="F1523" i="1"/>
  <c r="G1523" i="1"/>
  <c r="H1523" i="1"/>
  <c r="C1524" i="1"/>
  <c r="D1524" i="1"/>
  <c r="E1524" i="1"/>
  <c r="F1524" i="1"/>
  <c r="G1524" i="1"/>
  <c r="H1524" i="1"/>
  <c r="C1525" i="1"/>
  <c r="D1525" i="1"/>
  <c r="E1525" i="1"/>
  <c r="F1525" i="1"/>
  <c r="G1525" i="1"/>
  <c r="H1525" i="1"/>
  <c r="C1526" i="1"/>
  <c r="D1526" i="1"/>
  <c r="E1526" i="1"/>
  <c r="F1526" i="1"/>
  <c r="G1526" i="1"/>
  <c r="H1526" i="1"/>
  <c r="C1527" i="1"/>
  <c r="D1527" i="1"/>
  <c r="E1527" i="1"/>
  <c r="F1527" i="1"/>
  <c r="G1527" i="1"/>
  <c r="H1527" i="1"/>
  <c r="C1528" i="1"/>
  <c r="D1528" i="1"/>
  <c r="E1528" i="1"/>
  <c r="F1528" i="1"/>
  <c r="G1528" i="1"/>
  <c r="H1528" i="1"/>
  <c r="C1529" i="1"/>
  <c r="D1529" i="1"/>
  <c r="E1529" i="1"/>
  <c r="F1529" i="1"/>
  <c r="G1529" i="1"/>
  <c r="H1529" i="1"/>
  <c r="C1530" i="1"/>
  <c r="D1530" i="1"/>
  <c r="E1530" i="1"/>
  <c r="F1530" i="1"/>
  <c r="G1530" i="1"/>
  <c r="H1530" i="1"/>
  <c r="C1531" i="1"/>
  <c r="D1531" i="1"/>
  <c r="E1531" i="1"/>
  <c r="F1531" i="1"/>
  <c r="G1531" i="1"/>
  <c r="H1531" i="1"/>
  <c r="C1532" i="1"/>
  <c r="D1532" i="1"/>
  <c r="E1532" i="1"/>
  <c r="F1532" i="1"/>
  <c r="G1532" i="1"/>
  <c r="H1532" i="1"/>
  <c r="C1533" i="1"/>
  <c r="D1533" i="1"/>
  <c r="E1533" i="1"/>
  <c r="F1533" i="1"/>
  <c r="G1533" i="1"/>
  <c r="H1533" i="1"/>
  <c r="C1534" i="1"/>
  <c r="D1534" i="1"/>
  <c r="E1534" i="1"/>
  <c r="F1534" i="1"/>
  <c r="G1534" i="1"/>
  <c r="H1534" i="1"/>
  <c r="C1535" i="1"/>
  <c r="D1535" i="1"/>
  <c r="E1535" i="1"/>
  <c r="F1535" i="1"/>
  <c r="G1535" i="1"/>
  <c r="H1535" i="1"/>
  <c r="C1536" i="1"/>
  <c r="D1536" i="1"/>
  <c r="E1536" i="1"/>
  <c r="F1536" i="1"/>
  <c r="G1536" i="1"/>
  <c r="H1536" i="1"/>
  <c r="C1537" i="1"/>
  <c r="D1537" i="1"/>
  <c r="E1537" i="1"/>
  <c r="F1537" i="1"/>
  <c r="G1537" i="1"/>
  <c r="H1537" i="1"/>
  <c r="C1538" i="1"/>
  <c r="D1538" i="1"/>
  <c r="E1538" i="1"/>
  <c r="F1538" i="1"/>
  <c r="G1538" i="1"/>
  <c r="H1538" i="1"/>
  <c r="C1539" i="1"/>
  <c r="D1539" i="1"/>
  <c r="E1539" i="1"/>
  <c r="F1539" i="1"/>
  <c r="G1539" i="1"/>
  <c r="H1539" i="1"/>
  <c r="C1540" i="1"/>
  <c r="D1540" i="1"/>
  <c r="E1540" i="1"/>
  <c r="F1540" i="1"/>
  <c r="G1540" i="1"/>
  <c r="H1540" i="1"/>
  <c r="C1541" i="1"/>
  <c r="D1541" i="1"/>
  <c r="E1541" i="1"/>
  <c r="F1541" i="1"/>
  <c r="G1541" i="1"/>
  <c r="H1541" i="1"/>
  <c r="C1542" i="1"/>
  <c r="D1542" i="1"/>
  <c r="E1542" i="1"/>
  <c r="F1542" i="1"/>
  <c r="G1542" i="1"/>
  <c r="H1542" i="1"/>
  <c r="C1543" i="1"/>
  <c r="D1543" i="1"/>
  <c r="E1543" i="1"/>
  <c r="F1543" i="1"/>
  <c r="G1543" i="1"/>
  <c r="H1543" i="1"/>
  <c r="C1544" i="1"/>
  <c r="D1544" i="1"/>
  <c r="E1544" i="1"/>
  <c r="F1544" i="1"/>
  <c r="G1544" i="1"/>
  <c r="H1544" i="1"/>
  <c r="C1545" i="1"/>
  <c r="D1545" i="1"/>
  <c r="E1545" i="1"/>
  <c r="F1545" i="1"/>
  <c r="G1545" i="1"/>
  <c r="H1545" i="1"/>
  <c r="C1546" i="1"/>
  <c r="D1546" i="1"/>
  <c r="E1546" i="1"/>
  <c r="F1546" i="1"/>
  <c r="G1546" i="1"/>
  <c r="H1546" i="1"/>
  <c r="C1547" i="1"/>
  <c r="D1547" i="1"/>
  <c r="E1547" i="1"/>
  <c r="F1547" i="1"/>
  <c r="G1547" i="1"/>
  <c r="H1547" i="1"/>
  <c r="C1548" i="1"/>
  <c r="D1548" i="1"/>
  <c r="E1548" i="1"/>
  <c r="F1548" i="1"/>
  <c r="G1548" i="1"/>
  <c r="H1548" i="1"/>
  <c r="C1549" i="1"/>
  <c r="D1549" i="1"/>
  <c r="E1549" i="1"/>
  <c r="F1549" i="1"/>
  <c r="G1549" i="1"/>
  <c r="H1549" i="1"/>
  <c r="C1550" i="1"/>
  <c r="D1550" i="1"/>
  <c r="E1550" i="1"/>
  <c r="F1550" i="1"/>
  <c r="G1550" i="1"/>
  <c r="H1550" i="1"/>
  <c r="C1551" i="1"/>
  <c r="D1551" i="1"/>
  <c r="E1551" i="1"/>
  <c r="F1551" i="1"/>
  <c r="G1551" i="1"/>
  <c r="H1551" i="1"/>
  <c r="C1552" i="1"/>
  <c r="D1552" i="1"/>
  <c r="E1552" i="1"/>
  <c r="F1552" i="1"/>
  <c r="G1552" i="1"/>
  <c r="H1552" i="1"/>
  <c r="C1553" i="1"/>
  <c r="D1553" i="1"/>
  <c r="E1553" i="1"/>
  <c r="F1553" i="1"/>
  <c r="G1553" i="1"/>
  <c r="H1553" i="1"/>
  <c r="C1554" i="1"/>
  <c r="D1554" i="1"/>
  <c r="E1554" i="1"/>
  <c r="F1554" i="1"/>
  <c r="G1554" i="1"/>
  <c r="H1554" i="1"/>
  <c r="C1555" i="1"/>
  <c r="D1555" i="1"/>
  <c r="E1555" i="1"/>
  <c r="F1555" i="1"/>
  <c r="G1555" i="1"/>
  <c r="H1555" i="1"/>
  <c r="C1556" i="1"/>
  <c r="D1556" i="1"/>
  <c r="E1556" i="1"/>
  <c r="F1556" i="1"/>
  <c r="G1556" i="1"/>
  <c r="H1556" i="1"/>
  <c r="C1557" i="1"/>
  <c r="D1557" i="1"/>
  <c r="E1557" i="1"/>
  <c r="F1557" i="1"/>
  <c r="G1557" i="1"/>
  <c r="H1557" i="1"/>
  <c r="C1558" i="1"/>
  <c r="D1558" i="1"/>
  <c r="E1558" i="1"/>
  <c r="F1558" i="1"/>
  <c r="G1558" i="1"/>
  <c r="H1558" i="1"/>
  <c r="C1559" i="1"/>
  <c r="D1559" i="1"/>
  <c r="E1559" i="1"/>
  <c r="F1559" i="1"/>
  <c r="G1559" i="1"/>
  <c r="H1559" i="1"/>
  <c r="C1560" i="1"/>
  <c r="D1560" i="1"/>
  <c r="E1560" i="1"/>
  <c r="F1560" i="1"/>
  <c r="G1560" i="1"/>
  <c r="H1560" i="1"/>
  <c r="C1561" i="1"/>
  <c r="D1561" i="1"/>
  <c r="E1561" i="1"/>
  <c r="F1561" i="1"/>
  <c r="G1561" i="1"/>
  <c r="H1561" i="1"/>
  <c r="C1562" i="1"/>
  <c r="D1562" i="1"/>
  <c r="E1562" i="1"/>
  <c r="F1562" i="1"/>
  <c r="G1562" i="1"/>
  <c r="H1562" i="1"/>
  <c r="C1563" i="1"/>
  <c r="D1563" i="1"/>
  <c r="E1563" i="1"/>
  <c r="F1563" i="1"/>
  <c r="G1563" i="1"/>
  <c r="H1563" i="1"/>
  <c r="C1564" i="1"/>
  <c r="D1564" i="1"/>
  <c r="E1564" i="1"/>
  <c r="F1564" i="1"/>
  <c r="G1564" i="1"/>
  <c r="H1564" i="1"/>
  <c r="C1565" i="1"/>
  <c r="D1565" i="1"/>
  <c r="E1565" i="1"/>
  <c r="F1565" i="1"/>
  <c r="G1565" i="1"/>
  <c r="H1565" i="1"/>
  <c r="C1566" i="1"/>
  <c r="D1566" i="1"/>
  <c r="E1566" i="1"/>
  <c r="F1566" i="1"/>
  <c r="G1566" i="1"/>
  <c r="H1566" i="1"/>
  <c r="C1567" i="1"/>
  <c r="D1567" i="1"/>
  <c r="E1567" i="1"/>
  <c r="F1567" i="1"/>
  <c r="G1567" i="1"/>
  <c r="H1567" i="1"/>
  <c r="C1568" i="1"/>
  <c r="D1568" i="1"/>
  <c r="E1568" i="1"/>
  <c r="F1568" i="1"/>
  <c r="G1568" i="1"/>
  <c r="H1568" i="1"/>
  <c r="C1569" i="1"/>
  <c r="D1569" i="1"/>
  <c r="E1569" i="1"/>
  <c r="F1569" i="1"/>
  <c r="G1569" i="1"/>
  <c r="H1569" i="1"/>
  <c r="C1570" i="1"/>
  <c r="D1570" i="1"/>
  <c r="E1570" i="1"/>
  <c r="F1570" i="1"/>
  <c r="G1570" i="1"/>
  <c r="H1570" i="1"/>
  <c r="C1571" i="1"/>
  <c r="D1571" i="1"/>
  <c r="E1571" i="1"/>
  <c r="F1571" i="1"/>
  <c r="G1571" i="1"/>
  <c r="H1571" i="1"/>
  <c r="C1572" i="1"/>
  <c r="D1572" i="1"/>
  <c r="E1572" i="1"/>
  <c r="F1572" i="1"/>
  <c r="G1572" i="1"/>
  <c r="H1572" i="1"/>
  <c r="C1573" i="1"/>
  <c r="D1573" i="1"/>
  <c r="E1573" i="1"/>
  <c r="F1573" i="1"/>
  <c r="G1573" i="1"/>
  <c r="H1573" i="1"/>
  <c r="C1574" i="1"/>
  <c r="D1574" i="1"/>
  <c r="E1574" i="1"/>
  <c r="F1574" i="1"/>
  <c r="G1574" i="1"/>
  <c r="H1574" i="1"/>
  <c r="C1575" i="1"/>
  <c r="D1575" i="1"/>
  <c r="E1575" i="1"/>
  <c r="F1575" i="1"/>
  <c r="G1575" i="1"/>
  <c r="H1575" i="1"/>
  <c r="C1576" i="1"/>
  <c r="D1576" i="1"/>
  <c r="E1576" i="1"/>
  <c r="F1576" i="1"/>
  <c r="G1576" i="1"/>
  <c r="H1576" i="1"/>
  <c r="C1577" i="1"/>
  <c r="D1577" i="1"/>
  <c r="E1577" i="1"/>
  <c r="F1577" i="1"/>
  <c r="G1577" i="1"/>
  <c r="H1577" i="1"/>
  <c r="C1578" i="1"/>
  <c r="D1578" i="1"/>
  <c r="E1578" i="1"/>
  <c r="F1578" i="1"/>
  <c r="G1578" i="1"/>
  <c r="H1578" i="1"/>
  <c r="C1579" i="1"/>
  <c r="D1579" i="1"/>
  <c r="E1579" i="1"/>
  <c r="F1579" i="1"/>
  <c r="G1579" i="1"/>
  <c r="H1579" i="1"/>
  <c r="C1580" i="1"/>
  <c r="D1580" i="1"/>
  <c r="E1580" i="1"/>
  <c r="F1580" i="1"/>
  <c r="G1580" i="1"/>
  <c r="H1580" i="1"/>
  <c r="C1581" i="1"/>
  <c r="D1581" i="1"/>
  <c r="E1581" i="1"/>
  <c r="F1581" i="1"/>
  <c r="G1581" i="1"/>
  <c r="H1581" i="1"/>
  <c r="C1582" i="1"/>
  <c r="D1582" i="1"/>
  <c r="E1582" i="1"/>
  <c r="F1582" i="1"/>
  <c r="G1582" i="1"/>
  <c r="H1582" i="1"/>
  <c r="C1583" i="1"/>
  <c r="D1583" i="1"/>
  <c r="E1583" i="1"/>
  <c r="F1583" i="1"/>
  <c r="G1583" i="1"/>
  <c r="H1583" i="1"/>
  <c r="C1584" i="1"/>
  <c r="D1584" i="1"/>
  <c r="E1584" i="1"/>
  <c r="F1584" i="1"/>
  <c r="G1584" i="1"/>
  <c r="H1584" i="1"/>
  <c r="C1585" i="1"/>
  <c r="D1585" i="1"/>
  <c r="E1585" i="1"/>
  <c r="F1585" i="1"/>
  <c r="G1585" i="1"/>
  <c r="H1585" i="1"/>
  <c r="C1586" i="1"/>
  <c r="D1586" i="1"/>
  <c r="E1586" i="1"/>
  <c r="F1586" i="1"/>
  <c r="G1586" i="1"/>
  <c r="H1586" i="1"/>
  <c r="C1587" i="1"/>
  <c r="D1587" i="1"/>
  <c r="E1587" i="1"/>
  <c r="F1587" i="1"/>
  <c r="G1587" i="1"/>
  <c r="H1587" i="1"/>
  <c r="C1588" i="1"/>
  <c r="D1588" i="1"/>
  <c r="E1588" i="1"/>
  <c r="F1588" i="1"/>
  <c r="G1588" i="1"/>
  <c r="H1588" i="1"/>
  <c r="C1589" i="1"/>
  <c r="D1589" i="1"/>
  <c r="E1589" i="1"/>
  <c r="F1589" i="1"/>
  <c r="G1589" i="1"/>
  <c r="H1589" i="1"/>
  <c r="C1590" i="1"/>
  <c r="D1590" i="1"/>
  <c r="E1590" i="1"/>
  <c r="F1590" i="1"/>
  <c r="G1590" i="1"/>
  <c r="H1590" i="1"/>
  <c r="C1591" i="1"/>
  <c r="D1591" i="1"/>
  <c r="E1591" i="1"/>
  <c r="F1591" i="1"/>
  <c r="G1591" i="1"/>
  <c r="H1591" i="1"/>
  <c r="C1592" i="1"/>
  <c r="D1592" i="1"/>
  <c r="E1592" i="1"/>
  <c r="F1592" i="1"/>
  <c r="G1592" i="1"/>
  <c r="H1592" i="1"/>
  <c r="C1593" i="1"/>
  <c r="D1593" i="1"/>
  <c r="E1593" i="1"/>
  <c r="F1593" i="1"/>
  <c r="G1593" i="1"/>
  <c r="H1593" i="1"/>
  <c r="C1594" i="1"/>
  <c r="D1594" i="1"/>
  <c r="E1594" i="1"/>
  <c r="F1594" i="1"/>
  <c r="G1594" i="1"/>
  <c r="H1594" i="1"/>
  <c r="C1595" i="1"/>
  <c r="D1595" i="1"/>
  <c r="E1595" i="1"/>
  <c r="F1595" i="1"/>
  <c r="G1595" i="1"/>
  <c r="H1595" i="1"/>
  <c r="C1596" i="1"/>
  <c r="D1596" i="1"/>
  <c r="E1596" i="1"/>
  <c r="F1596" i="1"/>
  <c r="G1596" i="1"/>
  <c r="H1596" i="1"/>
  <c r="C1597" i="1"/>
  <c r="D1597" i="1"/>
  <c r="E1597" i="1"/>
  <c r="F1597" i="1"/>
  <c r="G1597" i="1"/>
  <c r="H1597" i="1"/>
  <c r="C1598" i="1"/>
  <c r="D1598" i="1"/>
  <c r="E1598" i="1"/>
  <c r="F1598" i="1"/>
  <c r="G1598" i="1"/>
  <c r="H1598" i="1"/>
  <c r="C1599" i="1"/>
  <c r="D1599" i="1"/>
  <c r="E1599" i="1"/>
  <c r="F1599" i="1"/>
  <c r="G1599" i="1"/>
  <c r="H1599" i="1"/>
  <c r="C1600" i="1"/>
  <c r="D1600" i="1"/>
  <c r="E1600" i="1"/>
  <c r="F1600" i="1"/>
  <c r="G1600" i="1"/>
  <c r="H1600" i="1"/>
  <c r="C1601" i="1"/>
  <c r="D1601" i="1"/>
  <c r="E1601" i="1"/>
  <c r="F1601" i="1"/>
  <c r="G1601" i="1"/>
  <c r="H1601" i="1"/>
  <c r="C1602" i="1"/>
  <c r="D1602" i="1"/>
  <c r="E1602" i="1"/>
  <c r="F1602" i="1"/>
  <c r="G1602" i="1"/>
  <c r="H1602" i="1"/>
  <c r="C1603" i="1"/>
  <c r="D1603" i="1"/>
  <c r="E1603" i="1"/>
  <c r="F1603" i="1"/>
  <c r="G1603" i="1"/>
  <c r="H1603" i="1"/>
  <c r="C1604" i="1"/>
  <c r="D1604" i="1"/>
  <c r="E1604" i="1"/>
  <c r="F1604" i="1"/>
  <c r="G1604" i="1"/>
  <c r="H1604" i="1"/>
  <c r="C1605" i="1"/>
  <c r="D1605" i="1"/>
  <c r="E1605" i="1"/>
  <c r="F1605" i="1"/>
  <c r="G1605" i="1"/>
  <c r="H1605" i="1"/>
  <c r="C1606" i="1"/>
  <c r="D1606" i="1"/>
  <c r="E1606" i="1"/>
  <c r="F1606" i="1"/>
  <c r="G1606" i="1"/>
  <c r="H1606" i="1"/>
  <c r="C1607" i="1"/>
  <c r="D1607" i="1"/>
  <c r="E1607" i="1"/>
  <c r="F1607" i="1"/>
  <c r="G1607" i="1"/>
  <c r="H1607" i="1"/>
  <c r="C1608" i="1"/>
  <c r="D1608" i="1"/>
  <c r="E1608" i="1"/>
  <c r="F1608" i="1"/>
  <c r="G1608" i="1"/>
  <c r="H1608" i="1"/>
  <c r="C1609" i="1"/>
  <c r="D1609" i="1"/>
  <c r="E1609" i="1"/>
  <c r="F1609" i="1"/>
  <c r="G1609" i="1"/>
  <c r="H1609" i="1"/>
  <c r="C1610" i="1"/>
  <c r="D1610" i="1"/>
  <c r="E1610" i="1"/>
  <c r="F1610" i="1"/>
  <c r="G1610" i="1"/>
  <c r="H1610" i="1"/>
  <c r="C1611" i="1"/>
  <c r="D1611" i="1"/>
  <c r="E1611" i="1"/>
  <c r="F1611" i="1"/>
  <c r="G1611" i="1"/>
  <c r="H1611" i="1"/>
  <c r="C1612" i="1"/>
  <c r="D1612" i="1"/>
  <c r="E1612" i="1"/>
  <c r="F1612" i="1"/>
  <c r="G1612" i="1"/>
  <c r="H1612" i="1"/>
  <c r="C1613" i="1"/>
  <c r="D1613" i="1"/>
  <c r="E1613" i="1"/>
  <c r="F1613" i="1"/>
  <c r="G1613" i="1"/>
  <c r="H1613" i="1"/>
  <c r="C1614" i="1"/>
  <c r="D1614" i="1"/>
  <c r="E1614" i="1"/>
  <c r="F1614" i="1"/>
  <c r="G1614" i="1"/>
  <c r="H1614" i="1"/>
  <c r="C1615" i="1"/>
  <c r="D1615" i="1"/>
  <c r="E1615" i="1"/>
  <c r="F1615" i="1"/>
  <c r="G1615" i="1"/>
  <c r="H1615" i="1"/>
  <c r="C1616" i="1"/>
  <c r="D1616" i="1"/>
  <c r="E1616" i="1"/>
  <c r="F1616" i="1"/>
  <c r="G1616" i="1"/>
  <c r="H1616" i="1"/>
  <c r="C1617" i="1"/>
  <c r="D1617" i="1"/>
  <c r="E1617" i="1"/>
  <c r="F1617" i="1"/>
  <c r="G1617" i="1"/>
  <c r="H1617" i="1"/>
  <c r="C1618" i="1"/>
  <c r="D1618" i="1"/>
  <c r="E1618" i="1"/>
  <c r="F1618" i="1"/>
  <c r="G1618" i="1"/>
  <c r="H1618" i="1"/>
  <c r="C1619" i="1"/>
  <c r="D1619" i="1"/>
  <c r="E1619" i="1"/>
  <c r="F1619" i="1"/>
  <c r="G1619" i="1"/>
  <c r="H1619" i="1"/>
  <c r="C1620" i="1"/>
  <c r="D1620" i="1"/>
  <c r="E1620" i="1"/>
  <c r="F1620" i="1"/>
  <c r="G1620" i="1"/>
  <c r="H1620" i="1"/>
  <c r="C1621" i="1"/>
  <c r="D1621" i="1"/>
  <c r="E1621" i="1"/>
  <c r="F1621" i="1"/>
  <c r="G1621" i="1"/>
  <c r="H1621" i="1"/>
  <c r="C1622" i="1"/>
  <c r="D1622" i="1"/>
  <c r="E1622" i="1"/>
  <c r="F1622" i="1"/>
  <c r="G1622" i="1"/>
  <c r="H1622" i="1"/>
  <c r="C1623" i="1"/>
  <c r="D1623" i="1"/>
  <c r="E1623" i="1"/>
  <c r="F1623" i="1"/>
  <c r="G1623" i="1"/>
  <c r="H1623" i="1"/>
  <c r="C1624" i="1"/>
  <c r="D1624" i="1"/>
  <c r="E1624" i="1"/>
  <c r="F1624" i="1"/>
  <c r="G1624" i="1"/>
  <c r="H1624" i="1"/>
  <c r="C1625" i="1"/>
  <c r="D1625" i="1"/>
  <c r="E1625" i="1"/>
  <c r="F1625" i="1"/>
  <c r="G1625" i="1"/>
  <c r="H1625" i="1"/>
  <c r="C1626" i="1"/>
  <c r="D1626" i="1"/>
  <c r="E1626" i="1"/>
  <c r="F1626" i="1"/>
  <c r="G1626" i="1"/>
  <c r="H1626" i="1"/>
  <c r="C1627" i="1"/>
  <c r="D1627" i="1"/>
  <c r="E1627" i="1"/>
  <c r="F1627" i="1"/>
  <c r="G1627" i="1"/>
  <c r="H1627" i="1"/>
  <c r="C1628" i="1"/>
  <c r="D1628" i="1"/>
  <c r="E1628" i="1"/>
  <c r="F1628" i="1"/>
  <c r="G1628" i="1"/>
  <c r="H1628" i="1"/>
  <c r="C1629" i="1"/>
  <c r="D1629" i="1"/>
  <c r="E1629" i="1"/>
  <c r="F1629" i="1"/>
  <c r="G1629" i="1"/>
  <c r="H1629" i="1"/>
  <c r="C1630" i="1"/>
  <c r="D1630" i="1"/>
  <c r="E1630" i="1"/>
  <c r="F1630" i="1"/>
  <c r="G1630" i="1"/>
  <c r="H1630" i="1"/>
  <c r="C1631" i="1"/>
  <c r="D1631" i="1"/>
  <c r="E1631" i="1"/>
  <c r="F1631" i="1"/>
  <c r="G1631" i="1"/>
  <c r="H1631" i="1"/>
  <c r="C1632" i="1"/>
  <c r="D1632" i="1"/>
  <c r="E1632" i="1"/>
  <c r="F1632" i="1"/>
  <c r="G1632" i="1"/>
  <c r="H1632" i="1"/>
  <c r="C1633" i="1"/>
  <c r="D1633" i="1"/>
  <c r="E1633" i="1"/>
  <c r="F1633" i="1"/>
  <c r="G1633" i="1"/>
  <c r="H1633" i="1"/>
  <c r="C1634" i="1"/>
  <c r="D1634" i="1"/>
  <c r="E1634" i="1"/>
  <c r="F1634" i="1"/>
  <c r="G1634" i="1"/>
  <c r="H1634" i="1"/>
  <c r="C1635" i="1"/>
  <c r="D1635" i="1"/>
  <c r="E1635" i="1"/>
  <c r="F1635" i="1"/>
  <c r="G1635" i="1"/>
  <c r="H1635" i="1"/>
  <c r="C1636" i="1"/>
  <c r="D1636" i="1"/>
  <c r="E1636" i="1"/>
  <c r="F1636" i="1"/>
  <c r="G1636" i="1"/>
  <c r="H1636" i="1"/>
  <c r="C1637" i="1"/>
  <c r="D1637" i="1"/>
  <c r="E1637" i="1"/>
  <c r="F1637" i="1"/>
  <c r="G1637" i="1"/>
  <c r="H1637" i="1"/>
  <c r="C1638" i="1"/>
  <c r="D1638" i="1"/>
  <c r="E1638" i="1"/>
  <c r="F1638" i="1"/>
  <c r="G1638" i="1"/>
  <c r="H1638" i="1"/>
  <c r="C1639" i="1"/>
  <c r="D1639" i="1"/>
  <c r="E1639" i="1"/>
  <c r="F1639" i="1"/>
  <c r="G1639" i="1"/>
  <c r="H1639" i="1"/>
  <c r="C1640" i="1"/>
  <c r="D1640" i="1"/>
  <c r="E1640" i="1"/>
  <c r="F1640" i="1"/>
  <c r="G1640" i="1"/>
  <c r="H1640" i="1"/>
  <c r="C1641" i="1"/>
  <c r="D1641" i="1"/>
  <c r="E1641" i="1"/>
  <c r="F1641" i="1"/>
  <c r="G1641" i="1"/>
  <c r="H1641" i="1"/>
  <c r="C1642" i="1"/>
  <c r="D1642" i="1"/>
  <c r="E1642" i="1"/>
  <c r="F1642" i="1"/>
  <c r="G1642" i="1"/>
  <c r="H1642" i="1"/>
  <c r="C1643" i="1"/>
  <c r="D1643" i="1"/>
  <c r="E1643" i="1"/>
  <c r="F1643" i="1"/>
  <c r="G1643" i="1"/>
  <c r="H1643" i="1"/>
  <c r="C1644" i="1"/>
  <c r="D1644" i="1"/>
  <c r="E1644" i="1"/>
  <c r="F1644" i="1"/>
  <c r="G1644" i="1"/>
  <c r="H1644" i="1"/>
  <c r="C1645" i="1"/>
  <c r="D1645" i="1"/>
  <c r="E1645" i="1"/>
  <c r="F1645" i="1"/>
  <c r="G1645" i="1"/>
  <c r="H1645" i="1"/>
  <c r="C1646" i="1"/>
  <c r="D1646" i="1"/>
  <c r="E1646" i="1"/>
  <c r="F1646" i="1"/>
  <c r="G1646" i="1"/>
  <c r="H1646" i="1"/>
  <c r="C1647" i="1"/>
  <c r="D1647" i="1"/>
  <c r="E1647" i="1"/>
  <c r="F1647" i="1"/>
  <c r="G1647" i="1"/>
  <c r="H1647" i="1"/>
  <c r="C1648" i="1"/>
  <c r="D1648" i="1"/>
  <c r="E1648" i="1"/>
  <c r="F1648" i="1"/>
  <c r="G1648" i="1"/>
  <c r="H1648" i="1"/>
  <c r="C1649" i="1"/>
  <c r="D1649" i="1"/>
  <c r="E1649" i="1"/>
  <c r="F1649" i="1"/>
  <c r="G1649" i="1"/>
  <c r="H1649" i="1"/>
  <c r="C1650" i="1"/>
  <c r="D1650" i="1"/>
  <c r="E1650" i="1"/>
  <c r="F1650" i="1"/>
  <c r="G1650" i="1"/>
  <c r="H1650" i="1"/>
  <c r="C1651" i="1"/>
  <c r="D1651" i="1"/>
  <c r="E1651" i="1"/>
  <c r="F1651" i="1"/>
  <c r="G1651" i="1"/>
  <c r="H1651" i="1"/>
  <c r="C1652" i="1"/>
  <c r="D1652" i="1"/>
  <c r="E1652" i="1"/>
  <c r="F1652" i="1"/>
  <c r="G1652" i="1"/>
  <c r="H1652" i="1"/>
  <c r="C1653" i="1"/>
  <c r="D1653" i="1"/>
  <c r="E1653" i="1"/>
  <c r="F1653" i="1"/>
  <c r="G1653" i="1"/>
  <c r="H1653" i="1"/>
  <c r="C1654" i="1"/>
  <c r="D1654" i="1"/>
  <c r="E1654" i="1"/>
  <c r="F1654" i="1"/>
  <c r="G1654" i="1"/>
  <c r="H1654" i="1"/>
  <c r="C1655" i="1"/>
  <c r="D1655" i="1"/>
  <c r="E1655" i="1"/>
  <c r="F1655" i="1"/>
  <c r="G1655" i="1"/>
  <c r="H1655" i="1"/>
  <c r="C1656" i="1"/>
  <c r="D1656" i="1"/>
  <c r="E1656" i="1"/>
  <c r="F1656" i="1"/>
  <c r="G1656" i="1"/>
  <c r="H1656" i="1"/>
  <c r="C1657" i="1"/>
  <c r="D1657" i="1"/>
  <c r="E1657" i="1"/>
  <c r="F1657" i="1"/>
  <c r="G1657" i="1"/>
  <c r="H1657" i="1"/>
  <c r="C1658" i="1"/>
  <c r="D1658" i="1"/>
  <c r="E1658" i="1"/>
  <c r="F1658" i="1"/>
  <c r="G1658" i="1"/>
  <c r="H1658" i="1"/>
  <c r="C1659" i="1"/>
  <c r="D1659" i="1"/>
  <c r="E1659" i="1"/>
  <c r="F1659" i="1"/>
  <c r="G1659" i="1"/>
  <c r="H1659" i="1"/>
  <c r="C1660" i="1"/>
  <c r="D1660" i="1"/>
  <c r="E1660" i="1"/>
  <c r="F1660" i="1"/>
  <c r="G1660" i="1"/>
  <c r="H1660" i="1"/>
  <c r="C1661" i="1"/>
  <c r="D1661" i="1"/>
  <c r="E1661" i="1"/>
  <c r="F1661" i="1"/>
  <c r="G1661" i="1"/>
  <c r="H1661" i="1"/>
  <c r="C1662" i="1"/>
  <c r="D1662" i="1"/>
  <c r="E1662" i="1"/>
  <c r="F1662" i="1"/>
  <c r="G1662" i="1"/>
  <c r="H1662" i="1"/>
  <c r="C1663" i="1"/>
  <c r="D1663" i="1"/>
  <c r="E1663" i="1"/>
  <c r="F1663" i="1"/>
  <c r="G1663" i="1"/>
  <c r="H1663" i="1"/>
  <c r="C1664" i="1"/>
  <c r="D1664" i="1"/>
  <c r="E1664" i="1"/>
  <c r="F1664" i="1"/>
  <c r="G1664" i="1"/>
  <c r="H1664" i="1"/>
  <c r="C1665" i="1"/>
  <c r="D1665" i="1"/>
  <c r="E1665" i="1"/>
  <c r="F1665" i="1"/>
  <c r="G1665" i="1"/>
  <c r="H1665" i="1"/>
  <c r="C1666" i="1"/>
  <c r="D1666" i="1"/>
  <c r="E1666" i="1"/>
  <c r="F1666" i="1"/>
  <c r="G1666" i="1"/>
  <c r="H1666" i="1"/>
  <c r="C1667" i="1"/>
  <c r="D1667" i="1"/>
  <c r="E1667" i="1"/>
  <c r="F1667" i="1"/>
  <c r="G1667" i="1"/>
  <c r="H1667" i="1"/>
  <c r="C1668" i="1"/>
  <c r="D1668" i="1"/>
  <c r="E1668" i="1"/>
  <c r="F1668" i="1"/>
  <c r="G1668" i="1"/>
  <c r="H1668" i="1"/>
  <c r="C1669" i="1"/>
  <c r="D1669" i="1"/>
  <c r="E1669" i="1"/>
  <c r="F1669" i="1"/>
  <c r="G1669" i="1"/>
  <c r="H1669" i="1"/>
  <c r="C1670" i="1"/>
  <c r="D1670" i="1"/>
  <c r="E1670" i="1"/>
  <c r="F1670" i="1"/>
  <c r="G1670" i="1"/>
  <c r="H1670" i="1"/>
  <c r="C1671" i="1"/>
  <c r="D1671" i="1"/>
  <c r="E1671" i="1"/>
  <c r="F1671" i="1"/>
  <c r="G1671" i="1"/>
  <c r="H1671" i="1"/>
  <c r="C1672" i="1"/>
  <c r="D1672" i="1"/>
  <c r="E1672" i="1"/>
  <c r="F1672" i="1"/>
  <c r="G1672" i="1"/>
  <c r="H1672" i="1"/>
  <c r="C1673" i="1"/>
  <c r="D1673" i="1"/>
  <c r="E1673" i="1"/>
  <c r="F1673" i="1"/>
  <c r="G1673" i="1"/>
  <c r="H1673" i="1"/>
  <c r="C1674" i="1"/>
  <c r="D1674" i="1"/>
  <c r="E1674" i="1"/>
  <c r="F1674" i="1"/>
  <c r="G1674" i="1"/>
  <c r="H1674" i="1"/>
  <c r="C1675" i="1"/>
  <c r="D1675" i="1"/>
  <c r="E1675" i="1"/>
  <c r="F1675" i="1"/>
  <c r="G1675" i="1"/>
  <c r="H1675" i="1"/>
  <c r="C1676" i="1"/>
  <c r="D1676" i="1"/>
  <c r="E1676" i="1"/>
  <c r="F1676" i="1"/>
  <c r="G1676" i="1"/>
  <c r="H1676" i="1"/>
  <c r="C1677" i="1"/>
  <c r="D1677" i="1"/>
  <c r="E1677" i="1"/>
  <c r="F1677" i="1"/>
  <c r="G1677" i="1"/>
  <c r="H1677" i="1"/>
  <c r="C1678" i="1"/>
  <c r="D1678" i="1"/>
  <c r="E1678" i="1"/>
  <c r="F1678" i="1"/>
  <c r="G1678" i="1"/>
  <c r="H1678" i="1"/>
  <c r="C1679" i="1"/>
  <c r="D1679" i="1"/>
  <c r="E1679" i="1"/>
  <c r="F1679" i="1"/>
  <c r="G1679" i="1"/>
  <c r="H1679" i="1"/>
  <c r="C1680" i="1"/>
  <c r="D1680" i="1"/>
  <c r="E1680" i="1"/>
  <c r="F1680" i="1"/>
  <c r="G1680" i="1"/>
  <c r="H1680" i="1"/>
  <c r="C1681" i="1"/>
  <c r="D1681" i="1"/>
  <c r="E1681" i="1"/>
  <c r="F1681" i="1"/>
  <c r="G1681" i="1"/>
  <c r="H1681" i="1"/>
  <c r="C1682" i="1"/>
  <c r="D1682" i="1"/>
  <c r="E1682" i="1"/>
  <c r="F1682" i="1"/>
  <c r="G1682" i="1"/>
  <c r="H1682" i="1"/>
  <c r="C1683" i="1"/>
  <c r="D1683" i="1"/>
  <c r="E1683" i="1"/>
  <c r="F1683" i="1"/>
  <c r="G1683" i="1"/>
  <c r="H1683" i="1"/>
  <c r="C1684" i="1"/>
  <c r="D1684" i="1"/>
  <c r="E1684" i="1"/>
  <c r="F1684" i="1"/>
  <c r="G1684" i="1"/>
  <c r="H1684" i="1"/>
  <c r="C1685" i="1"/>
  <c r="D1685" i="1"/>
  <c r="E1685" i="1"/>
  <c r="F1685" i="1"/>
  <c r="G1685" i="1"/>
  <c r="H1685" i="1"/>
  <c r="C1686" i="1"/>
  <c r="D1686" i="1"/>
  <c r="E1686" i="1"/>
  <c r="F1686" i="1"/>
  <c r="G1686" i="1"/>
  <c r="H1686" i="1"/>
  <c r="C1687" i="1"/>
  <c r="D1687" i="1"/>
  <c r="E1687" i="1"/>
  <c r="F1687" i="1"/>
  <c r="G1687" i="1"/>
  <c r="H1687" i="1"/>
  <c r="C1688" i="1"/>
  <c r="D1688" i="1"/>
  <c r="E1688" i="1"/>
  <c r="F1688" i="1"/>
  <c r="G1688" i="1"/>
  <c r="H1688" i="1"/>
  <c r="C1689" i="1"/>
  <c r="D1689" i="1"/>
  <c r="E1689" i="1"/>
  <c r="F1689" i="1"/>
  <c r="G1689" i="1"/>
  <c r="H1689" i="1"/>
  <c r="C1690" i="1"/>
  <c r="D1690" i="1"/>
  <c r="E1690" i="1"/>
  <c r="F1690" i="1"/>
  <c r="G1690" i="1"/>
  <c r="H1690" i="1"/>
  <c r="C1691" i="1"/>
  <c r="D1691" i="1"/>
  <c r="E1691" i="1"/>
  <c r="F1691" i="1"/>
  <c r="G1691" i="1"/>
  <c r="H1691" i="1"/>
  <c r="C1692" i="1"/>
  <c r="D1692" i="1"/>
  <c r="E1692" i="1"/>
  <c r="F1692" i="1"/>
  <c r="G1692" i="1"/>
  <c r="H1692" i="1"/>
  <c r="C1693" i="1"/>
  <c r="D1693" i="1"/>
  <c r="E1693" i="1"/>
  <c r="F1693" i="1"/>
  <c r="G1693" i="1"/>
  <c r="H1693" i="1"/>
  <c r="C1694" i="1"/>
  <c r="D1694" i="1"/>
  <c r="E1694" i="1"/>
  <c r="F1694" i="1"/>
  <c r="G1694" i="1"/>
  <c r="H1694" i="1"/>
  <c r="C1695" i="1"/>
  <c r="D1695" i="1"/>
  <c r="E1695" i="1"/>
  <c r="F1695" i="1"/>
  <c r="G1695" i="1"/>
  <c r="H1695" i="1"/>
  <c r="C1696" i="1"/>
  <c r="D1696" i="1"/>
  <c r="E1696" i="1"/>
  <c r="F1696" i="1"/>
  <c r="G1696" i="1"/>
  <c r="H1696" i="1"/>
  <c r="C1697" i="1"/>
  <c r="D1697" i="1"/>
  <c r="E1697" i="1"/>
  <c r="F1697" i="1"/>
  <c r="G1697" i="1"/>
  <c r="H1697" i="1"/>
  <c r="C1698" i="1"/>
  <c r="D1698" i="1"/>
  <c r="E1698" i="1"/>
  <c r="F1698" i="1"/>
  <c r="G1698" i="1"/>
  <c r="H1698" i="1"/>
  <c r="C1699" i="1"/>
  <c r="D1699" i="1"/>
  <c r="E1699" i="1"/>
  <c r="F1699" i="1"/>
  <c r="G1699" i="1"/>
  <c r="H1699" i="1"/>
  <c r="C1700" i="1"/>
  <c r="D1700" i="1"/>
  <c r="E1700" i="1"/>
  <c r="F1700" i="1"/>
  <c r="G1700" i="1"/>
  <c r="H1700" i="1"/>
  <c r="C1701" i="1"/>
  <c r="D1701" i="1"/>
  <c r="E1701" i="1"/>
  <c r="F1701" i="1"/>
  <c r="G1701" i="1"/>
  <c r="H1701" i="1"/>
  <c r="C1702" i="1"/>
  <c r="D1702" i="1"/>
  <c r="E1702" i="1"/>
  <c r="F1702" i="1"/>
  <c r="G1702" i="1"/>
  <c r="H1702" i="1"/>
  <c r="C1703" i="1"/>
  <c r="D1703" i="1"/>
  <c r="E1703" i="1"/>
  <c r="F1703" i="1"/>
  <c r="G1703" i="1"/>
  <c r="H1703" i="1"/>
  <c r="C1704" i="1"/>
  <c r="D1704" i="1"/>
  <c r="E1704" i="1"/>
  <c r="F1704" i="1"/>
  <c r="G1704" i="1"/>
  <c r="H1704" i="1"/>
  <c r="C1705" i="1"/>
  <c r="D1705" i="1"/>
  <c r="E1705" i="1"/>
  <c r="F1705" i="1"/>
  <c r="G1705" i="1"/>
  <c r="H1705" i="1"/>
  <c r="C1706" i="1"/>
  <c r="D1706" i="1"/>
  <c r="E1706" i="1"/>
  <c r="F1706" i="1"/>
  <c r="G1706" i="1"/>
  <c r="H1706" i="1"/>
  <c r="C1707" i="1"/>
  <c r="D1707" i="1"/>
  <c r="E1707" i="1"/>
  <c r="F1707" i="1"/>
  <c r="G1707" i="1"/>
  <c r="H1707" i="1"/>
  <c r="C1708" i="1"/>
  <c r="D1708" i="1"/>
  <c r="E1708" i="1"/>
  <c r="F1708" i="1"/>
  <c r="G1708" i="1"/>
  <c r="H1708" i="1"/>
  <c r="C1709" i="1"/>
  <c r="D1709" i="1"/>
  <c r="E1709" i="1"/>
  <c r="F1709" i="1"/>
  <c r="G1709" i="1"/>
  <c r="H1709" i="1"/>
  <c r="C1710" i="1"/>
  <c r="D1710" i="1"/>
  <c r="E1710" i="1"/>
  <c r="F1710" i="1"/>
  <c r="G1710" i="1"/>
  <c r="H1710" i="1"/>
  <c r="C1711" i="1"/>
  <c r="D1711" i="1"/>
  <c r="E1711" i="1"/>
  <c r="F1711" i="1"/>
  <c r="G1711" i="1"/>
  <c r="H1711" i="1"/>
  <c r="C1712" i="1"/>
  <c r="D1712" i="1"/>
  <c r="E1712" i="1"/>
  <c r="F1712" i="1"/>
  <c r="G1712" i="1"/>
  <c r="H1712" i="1"/>
  <c r="C1713" i="1"/>
  <c r="D1713" i="1"/>
  <c r="E1713" i="1"/>
  <c r="F1713" i="1"/>
  <c r="G1713" i="1"/>
  <c r="H1713" i="1"/>
  <c r="C1714" i="1"/>
  <c r="D1714" i="1"/>
  <c r="E1714" i="1"/>
  <c r="F1714" i="1"/>
  <c r="G1714" i="1"/>
  <c r="H1714" i="1"/>
  <c r="C1715" i="1"/>
  <c r="D1715" i="1"/>
  <c r="E1715" i="1"/>
  <c r="F1715" i="1"/>
  <c r="G1715" i="1"/>
  <c r="H1715" i="1"/>
  <c r="C1716" i="1"/>
  <c r="D1716" i="1"/>
  <c r="E1716" i="1"/>
  <c r="F1716" i="1"/>
  <c r="G1716" i="1"/>
  <c r="H1716" i="1"/>
  <c r="C1717" i="1"/>
  <c r="D1717" i="1"/>
  <c r="E1717" i="1"/>
  <c r="F1717" i="1"/>
  <c r="G1717" i="1"/>
  <c r="H1717" i="1"/>
  <c r="C1718" i="1"/>
  <c r="D1718" i="1"/>
  <c r="E1718" i="1"/>
  <c r="F1718" i="1"/>
  <c r="G1718" i="1"/>
  <c r="H1718" i="1"/>
  <c r="C1719" i="1"/>
  <c r="D1719" i="1"/>
  <c r="E1719" i="1"/>
  <c r="F1719" i="1"/>
  <c r="G1719" i="1"/>
  <c r="H1719" i="1"/>
  <c r="C1720" i="1"/>
  <c r="D1720" i="1"/>
  <c r="E1720" i="1"/>
  <c r="F1720" i="1"/>
  <c r="G1720" i="1"/>
  <c r="H1720" i="1"/>
  <c r="C1721" i="1"/>
  <c r="D1721" i="1"/>
  <c r="E1721" i="1"/>
  <c r="F1721" i="1"/>
  <c r="G1721" i="1"/>
  <c r="H1721" i="1"/>
  <c r="C1722" i="1"/>
  <c r="D1722" i="1"/>
  <c r="E1722" i="1"/>
  <c r="F1722" i="1"/>
  <c r="G1722" i="1"/>
  <c r="H1722" i="1"/>
  <c r="C1723" i="1"/>
  <c r="D1723" i="1"/>
  <c r="E1723" i="1"/>
  <c r="F1723" i="1"/>
  <c r="G1723" i="1"/>
  <c r="H1723" i="1"/>
  <c r="C1724" i="1"/>
  <c r="D1724" i="1"/>
  <c r="E1724" i="1"/>
  <c r="F1724" i="1"/>
  <c r="G1724" i="1"/>
  <c r="H1724" i="1"/>
  <c r="C1725" i="1"/>
  <c r="D1725" i="1"/>
  <c r="E1725" i="1"/>
  <c r="F1725" i="1"/>
  <c r="G1725" i="1"/>
  <c r="H1725" i="1"/>
  <c r="C1726" i="1"/>
  <c r="D1726" i="1"/>
  <c r="E1726" i="1"/>
  <c r="F1726" i="1"/>
  <c r="G1726" i="1"/>
  <c r="H1726" i="1"/>
  <c r="C1727" i="1"/>
  <c r="D1727" i="1"/>
  <c r="E1727" i="1"/>
  <c r="F1727" i="1"/>
  <c r="G1727" i="1"/>
  <c r="H1727" i="1"/>
  <c r="C1728" i="1"/>
  <c r="D1728" i="1"/>
  <c r="E1728" i="1"/>
  <c r="F1728" i="1"/>
  <c r="G1728" i="1"/>
  <c r="H1728" i="1"/>
  <c r="C1729" i="1"/>
  <c r="D1729" i="1"/>
  <c r="E1729" i="1"/>
  <c r="F1729" i="1"/>
  <c r="G1729" i="1"/>
  <c r="H1729" i="1"/>
  <c r="C1730" i="1"/>
  <c r="D1730" i="1"/>
  <c r="E1730" i="1"/>
  <c r="F1730" i="1"/>
  <c r="G1730" i="1"/>
  <c r="H1730" i="1"/>
  <c r="C1731" i="1"/>
  <c r="D1731" i="1"/>
  <c r="E1731" i="1"/>
  <c r="F1731" i="1"/>
  <c r="G1731" i="1"/>
  <c r="H1731" i="1"/>
  <c r="C1732" i="1"/>
  <c r="D1732" i="1"/>
  <c r="E1732" i="1"/>
  <c r="F1732" i="1"/>
  <c r="G1732" i="1"/>
  <c r="H1732" i="1"/>
  <c r="C1733" i="1"/>
  <c r="D1733" i="1"/>
  <c r="E1733" i="1"/>
  <c r="F1733" i="1"/>
  <c r="G1733" i="1"/>
  <c r="H1733" i="1"/>
  <c r="C1734" i="1"/>
  <c r="D1734" i="1"/>
  <c r="E1734" i="1"/>
  <c r="F1734" i="1"/>
  <c r="G1734" i="1"/>
  <c r="H1734" i="1"/>
  <c r="C1735" i="1"/>
  <c r="D1735" i="1"/>
  <c r="E1735" i="1"/>
  <c r="F1735" i="1"/>
  <c r="G1735" i="1"/>
  <c r="H1735" i="1"/>
  <c r="C1736" i="1"/>
  <c r="D1736" i="1"/>
  <c r="E1736" i="1"/>
  <c r="F1736" i="1"/>
  <c r="G1736" i="1"/>
  <c r="H1736" i="1"/>
  <c r="C1737" i="1"/>
  <c r="D1737" i="1"/>
  <c r="E1737" i="1"/>
  <c r="F1737" i="1"/>
  <c r="G1737" i="1"/>
  <c r="H1737" i="1"/>
  <c r="C1738" i="1"/>
  <c r="D1738" i="1"/>
  <c r="E1738" i="1"/>
  <c r="F1738" i="1"/>
  <c r="G1738" i="1"/>
  <c r="H1738" i="1"/>
  <c r="C1739" i="1"/>
  <c r="D1739" i="1"/>
  <c r="E1739" i="1"/>
  <c r="F1739" i="1"/>
  <c r="G1739" i="1"/>
  <c r="H1739" i="1"/>
  <c r="C1740" i="1"/>
  <c r="D1740" i="1"/>
  <c r="E1740" i="1"/>
  <c r="F1740" i="1"/>
  <c r="G1740" i="1"/>
  <c r="H1740" i="1"/>
  <c r="C1741" i="1"/>
  <c r="D1741" i="1"/>
  <c r="E1741" i="1"/>
  <c r="F1741" i="1"/>
  <c r="G1741" i="1"/>
  <c r="H1741" i="1"/>
  <c r="C1742" i="1"/>
  <c r="D1742" i="1"/>
  <c r="E1742" i="1"/>
  <c r="F1742" i="1"/>
  <c r="G1742" i="1"/>
  <c r="H1742" i="1"/>
  <c r="C1743" i="1"/>
  <c r="D1743" i="1"/>
  <c r="E1743" i="1"/>
  <c r="F1743" i="1"/>
  <c r="G1743" i="1"/>
  <c r="H1743" i="1"/>
  <c r="C1744" i="1"/>
  <c r="D1744" i="1"/>
  <c r="E1744" i="1"/>
  <c r="F1744" i="1"/>
  <c r="G1744" i="1"/>
  <c r="H1744" i="1"/>
  <c r="C1745" i="1"/>
  <c r="D1745" i="1"/>
  <c r="E1745" i="1"/>
  <c r="F1745" i="1"/>
  <c r="G1745" i="1"/>
  <c r="H1745" i="1"/>
  <c r="C1746" i="1"/>
  <c r="D1746" i="1"/>
  <c r="E1746" i="1"/>
  <c r="F1746" i="1"/>
  <c r="G1746" i="1"/>
  <c r="H1746" i="1"/>
  <c r="C1747" i="1"/>
  <c r="D1747" i="1"/>
  <c r="E1747" i="1"/>
  <c r="F1747" i="1"/>
  <c r="G1747" i="1"/>
  <c r="H1747" i="1"/>
  <c r="C1748" i="1"/>
  <c r="D1748" i="1"/>
  <c r="E1748" i="1"/>
  <c r="F1748" i="1"/>
  <c r="G1748" i="1"/>
  <c r="H1748" i="1"/>
  <c r="C1749" i="1"/>
  <c r="D1749" i="1"/>
  <c r="E1749" i="1"/>
  <c r="F1749" i="1"/>
  <c r="G1749" i="1"/>
  <c r="H1749" i="1"/>
  <c r="C1750" i="1"/>
  <c r="D1750" i="1"/>
  <c r="E1750" i="1"/>
  <c r="F1750" i="1"/>
  <c r="G1750" i="1"/>
  <c r="H1750" i="1"/>
  <c r="C1751" i="1"/>
  <c r="D1751" i="1"/>
  <c r="E1751" i="1"/>
  <c r="F1751" i="1"/>
  <c r="G1751" i="1"/>
  <c r="H1751" i="1"/>
  <c r="C1752" i="1"/>
  <c r="D1752" i="1"/>
  <c r="E1752" i="1"/>
  <c r="F1752" i="1"/>
  <c r="G1752" i="1"/>
  <c r="H1752" i="1"/>
  <c r="C1753" i="1"/>
  <c r="D1753" i="1"/>
  <c r="E1753" i="1"/>
  <c r="F1753" i="1"/>
  <c r="G1753" i="1"/>
  <c r="H1753" i="1"/>
  <c r="C1754" i="1"/>
  <c r="D1754" i="1"/>
  <c r="E1754" i="1"/>
  <c r="F1754" i="1"/>
  <c r="G1754" i="1"/>
  <c r="H1754" i="1"/>
  <c r="C1755" i="1"/>
  <c r="D1755" i="1"/>
  <c r="E1755" i="1"/>
  <c r="F1755" i="1"/>
  <c r="G1755" i="1"/>
  <c r="H1755" i="1"/>
  <c r="C1756" i="1"/>
  <c r="D1756" i="1"/>
  <c r="E1756" i="1"/>
  <c r="F1756" i="1"/>
  <c r="G1756" i="1"/>
  <c r="H1756" i="1"/>
  <c r="C1757" i="1"/>
  <c r="D1757" i="1"/>
  <c r="E1757" i="1"/>
  <c r="F1757" i="1"/>
  <c r="G1757" i="1"/>
  <c r="H1757" i="1"/>
  <c r="C1758" i="1"/>
  <c r="D1758" i="1"/>
  <c r="E1758" i="1"/>
  <c r="F1758" i="1"/>
  <c r="G1758" i="1"/>
  <c r="H1758" i="1"/>
  <c r="C1759" i="1"/>
  <c r="D1759" i="1"/>
  <c r="E1759" i="1"/>
  <c r="F1759" i="1"/>
  <c r="G1759" i="1"/>
  <c r="H1759" i="1"/>
  <c r="C1760" i="1"/>
  <c r="D1760" i="1"/>
  <c r="E1760" i="1"/>
  <c r="F1760" i="1"/>
  <c r="G1760" i="1"/>
  <c r="H1760" i="1"/>
  <c r="C1761" i="1"/>
  <c r="D1761" i="1"/>
  <c r="E1761" i="1"/>
  <c r="F1761" i="1"/>
  <c r="G1761" i="1"/>
  <c r="H1761" i="1"/>
  <c r="C1762" i="1"/>
  <c r="D1762" i="1"/>
  <c r="E1762" i="1"/>
  <c r="F1762" i="1"/>
  <c r="G1762" i="1"/>
  <c r="H1762" i="1"/>
  <c r="C1763" i="1"/>
  <c r="D1763" i="1"/>
  <c r="E1763" i="1"/>
  <c r="F1763" i="1"/>
  <c r="G1763" i="1"/>
  <c r="H1763" i="1"/>
  <c r="C1764" i="1"/>
  <c r="D1764" i="1"/>
  <c r="E1764" i="1"/>
  <c r="F1764" i="1"/>
  <c r="G1764" i="1"/>
  <c r="H1764" i="1"/>
  <c r="C1765" i="1"/>
  <c r="D1765" i="1"/>
  <c r="E1765" i="1"/>
  <c r="F1765" i="1"/>
  <c r="G1765" i="1"/>
  <c r="H1765" i="1"/>
  <c r="C1766" i="1"/>
  <c r="D1766" i="1"/>
  <c r="E1766" i="1"/>
  <c r="F1766" i="1"/>
  <c r="G1766" i="1"/>
  <c r="H1766" i="1"/>
  <c r="C1767" i="1"/>
  <c r="D1767" i="1"/>
  <c r="E1767" i="1"/>
  <c r="F1767" i="1"/>
  <c r="G1767" i="1"/>
  <c r="H1767" i="1"/>
  <c r="C1768" i="1"/>
  <c r="D1768" i="1"/>
  <c r="E1768" i="1"/>
  <c r="F1768" i="1"/>
  <c r="G1768" i="1"/>
  <c r="H1768" i="1"/>
  <c r="C1769" i="1"/>
  <c r="D1769" i="1"/>
  <c r="E1769" i="1"/>
  <c r="F1769" i="1"/>
  <c r="G1769" i="1"/>
  <c r="H1769" i="1"/>
  <c r="C1770" i="1"/>
  <c r="D1770" i="1"/>
  <c r="E1770" i="1"/>
  <c r="F1770" i="1"/>
  <c r="G1770" i="1"/>
  <c r="H1770" i="1"/>
  <c r="C1771" i="1"/>
  <c r="D1771" i="1"/>
  <c r="E1771" i="1"/>
  <c r="F1771" i="1"/>
  <c r="G1771" i="1"/>
  <c r="H1771" i="1"/>
  <c r="C1772" i="1"/>
  <c r="D1772" i="1"/>
  <c r="E1772" i="1"/>
  <c r="F1772" i="1"/>
  <c r="G1772" i="1"/>
  <c r="H1772" i="1"/>
  <c r="C1773" i="1"/>
  <c r="D1773" i="1"/>
  <c r="E1773" i="1"/>
  <c r="F1773" i="1"/>
  <c r="G1773" i="1"/>
  <c r="H1773" i="1"/>
  <c r="C1774" i="1"/>
  <c r="D1774" i="1"/>
  <c r="E1774" i="1"/>
  <c r="F1774" i="1"/>
  <c r="G1774" i="1"/>
  <c r="H1774" i="1"/>
  <c r="C1775" i="1"/>
  <c r="D1775" i="1"/>
  <c r="E1775" i="1"/>
  <c r="F1775" i="1"/>
  <c r="G1775" i="1"/>
  <c r="H1775" i="1"/>
  <c r="C1776" i="1"/>
  <c r="D1776" i="1"/>
  <c r="E1776" i="1"/>
  <c r="F1776" i="1"/>
  <c r="G1776" i="1"/>
  <c r="H1776" i="1"/>
  <c r="C1777" i="1"/>
  <c r="D1777" i="1"/>
  <c r="E1777" i="1"/>
  <c r="F1777" i="1"/>
  <c r="G1777" i="1"/>
  <c r="H1777" i="1"/>
  <c r="C1778" i="1"/>
  <c r="D1778" i="1"/>
  <c r="E1778" i="1"/>
  <c r="F1778" i="1"/>
  <c r="G1778" i="1"/>
  <c r="H1778" i="1"/>
  <c r="C1779" i="1"/>
  <c r="D1779" i="1"/>
  <c r="E1779" i="1"/>
  <c r="F1779" i="1"/>
  <c r="G1779" i="1"/>
  <c r="H1779" i="1"/>
  <c r="C1780" i="1"/>
  <c r="D1780" i="1"/>
  <c r="E1780" i="1"/>
  <c r="F1780" i="1"/>
  <c r="G1780" i="1"/>
  <c r="H1780" i="1"/>
  <c r="C1781" i="1"/>
  <c r="D1781" i="1"/>
  <c r="E1781" i="1"/>
  <c r="F1781" i="1"/>
  <c r="G1781" i="1"/>
  <c r="H1781" i="1"/>
  <c r="C1782" i="1"/>
  <c r="D1782" i="1"/>
  <c r="E1782" i="1"/>
  <c r="F1782" i="1"/>
  <c r="G1782" i="1"/>
  <c r="H1782" i="1"/>
  <c r="C1783" i="1"/>
  <c r="D1783" i="1"/>
  <c r="E1783" i="1"/>
  <c r="F1783" i="1"/>
  <c r="G1783" i="1"/>
  <c r="H1783" i="1"/>
  <c r="C1784" i="1"/>
  <c r="D1784" i="1"/>
  <c r="E1784" i="1"/>
  <c r="F1784" i="1"/>
  <c r="G1784" i="1"/>
  <c r="H1784" i="1"/>
  <c r="C1785" i="1"/>
  <c r="D1785" i="1"/>
  <c r="E1785" i="1"/>
  <c r="F1785" i="1"/>
  <c r="G1785" i="1"/>
  <c r="H1785" i="1"/>
  <c r="C1786" i="1"/>
  <c r="D1786" i="1"/>
  <c r="E1786" i="1"/>
  <c r="F1786" i="1"/>
  <c r="G1786" i="1"/>
  <c r="H1786" i="1"/>
  <c r="C1787" i="1"/>
  <c r="D1787" i="1"/>
  <c r="E1787" i="1"/>
  <c r="F1787" i="1"/>
  <c r="G1787" i="1"/>
  <c r="H1787" i="1"/>
  <c r="C1788" i="1"/>
  <c r="D1788" i="1"/>
  <c r="E1788" i="1"/>
  <c r="F1788" i="1"/>
  <c r="G1788" i="1"/>
  <c r="H1788" i="1"/>
  <c r="C1789" i="1"/>
  <c r="D1789" i="1"/>
  <c r="E1789" i="1"/>
  <c r="F1789" i="1"/>
  <c r="G1789" i="1"/>
  <c r="H1789" i="1"/>
  <c r="C1790" i="1"/>
  <c r="D1790" i="1"/>
  <c r="E1790" i="1"/>
  <c r="F1790" i="1"/>
  <c r="G1790" i="1"/>
  <c r="H1790" i="1"/>
  <c r="C1791" i="1"/>
  <c r="D1791" i="1"/>
  <c r="E1791" i="1"/>
  <c r="F1791" i="1"/>
  <c r="G1791" i="1"/>
  <c r="H1791" i="1"/>
  <c r="C1792" i="1"/>
  <c r="D1792" i="1"/>
  <c r="E1792" i="1"/>
  <c r="F1792" i="1"/>
  <c r="G1792" i="1"/>
  <c r="H1792" i="1"/>
  <c r="C1793" i="1"/>
  <c r="D1793" i="1"/>
  <c r="E1793" i="1"/>
  <c r="F1793" i="1"/>
  <c r="G1793" i="1"/>
  <c r="H1793" i="1"/>
  <c r="C1794" i="1"/>
  <c r="D1794" i="1"/>
  <c r="E1794" i="1"/>
  <c r="F1794" i="1"/>
  <c r="G1794" i="1"/>
  <c r="H1794" i="1"/>
  <c r="C1795" i="1"/>
  <c r="D1795" i="1"/>
  <c r="E1795" i="1"/>
  <c r="F1795" i="1"/>
  <c r="G1795" i="1"/>
  <c r="H1795" i="1"/>
  <c r="C1796" i="1"/>
  <c r="D1796" i="1"/>
  <c r="E1796" i="1"/>
  <c r="F1796" i="1"/>
  <c r="G1796" i="1"/>
  <c r="H1796" i="1"/>
  <c r="C1797" i="1"/>
  <c r="D1797" i="1"/>
  <c r="E1797" i="1"/>
  <c r="F1797" i="1"/>
  <c r="G1797" i="1"/>
  <c r="H1797" i="1"/>
  <c r="C1798" i="1"/>
  <c r="D1798" i="1"/>
  <c r="E1798" i="1"/>
  <c r="F1798" i="1"/>
  <c r="G1798" i="1"/>
  <c r="H1798" i="1"/>
  <c r="C1799" i="1"/>
  <c r="D1799" i="1"/>
  <c r="E1799" i="1"/>
  <c r="F1799" i="1"/>
  <c r="G1799" i="1"/>
  <c r="H1799" i="1"/>
  <c r="C1800" i="1"/>
  <c r="D1800" i="1"/>
  <c r="E1800" i="1"/>
  <c r="F1800" i="1"/>
  <c r="G1800" i="1"/>
  <c r="H1800" i="1"/>
  <c r="C1801" i="1"/>
  <c r="D1801" i="1"/>
  <c r="E1801" i="1"/>
  <c r="F1801" i="1"/>
  <c r="G1801" i="1"/>
  <c r="H1801" i="1"/>
  <c r="C1802" i="1"/>
  <c r="D1802" i="1"/>
  <c r="E1802" i="1"/>
  <c r="F1802" i="1"/>
  <c r="G1802" i="1"/>
  <c r="H1802" i="1"/>
  <c r="C1803" i="1"/>
  <c r="D1803" i="1"/>
  <c r="E1803" i="1"/>
  <c r="F1803" i="1"/>
  <c r="G1803" i="1"/>
  <c r="H1803" i="1"/>
  <c r="C1804" i="1"/>
  <c r="D1804" i="1"/>
  <c r="E1804" i="1"/>
  <c r="F1804" i="1"/>
  <c r="G1804" i="1"/>
  <c r="H1804" i="1"/>
  <c r="C1805" i="1"/>
  <c r="D1805" i="1"/>
  <c r="E1805" i="1"/>
  <c r="F1805" i="1"/>
  <c r="G1805" i="1"/>
  <c r="H1805" i="1"/>
  <c r="C1806" i="1"/>
  <c r="D1806" i="1"/>
  <c r="E1806" i="1"/>
  <c r="F1806" i="1"/>
  <c r="G1806" i="1"/>
  <c r="H1806" i="1"/>
  <c r="C1807" i="1"/>
  <c r="D1807" i="1"/>
  <c r="E1807" i="1"/>
  <c r="F1807" i="1"/>
  <c r="G1807" i="1"/>
  <c r="H1807" i="1"/>
  <c r="C1808" i="1"/>
  <c r="D1808" i="1"/>
  <c r="E1808" i="1"/>
  <c r="F1808" i="1"/>
  <c r="G1808" i="1"/>
  <c r="H1808" i="1"/>
  <c r="C1809" i="1"/>
  <c r="D1809" i="1"/>
  <c r="E1809" i="1"/>
  <c r="F1809" i="1"/>
  <c r="G1809" i="1"/>
  <c r="H1809" i="1"/>
  <c r="C1810" i="1"/>
  <c r="D1810" i="1"/>
  <c r="E1810" i="1"/>
  <c r="F1810" i="1"/>
  <c r="G1810" i="1"/>
  <c r="H1810" i="1"/>
  <c r="C1811" i="1"/>
  <c r="D1811" i="1"/>
  <c r="E1811" i="1"/>
  <c r="F1811" i="1"/>
  <c r="G1811" i="1"/>
  <c r="H1811" i="1"/>
  <c r="C1812" i="1"/>
  <c r="D1812" i="1"/>
  <c r="E1812" i="1"/>
  <c r="F1812" i="1"/>
  <c r="G1812" i="1"/>
  <c r="H1812" i="1"/>
  <c r="C1813" i="1"/>
  <c r="D1813" i="1"/>
  <c r="E1813" i="1"/>
  <c r="F1813" i="1"/>
  <c r="G1813" i="1"/>
  <c r="H1813" i="1"/>
  <c r="C1814" i="1"/>
  <c r="D1814" i="1"/>
  <c r="E1814" i="1"/>
  <c r="F1814" i="1"/>
  <c r="G1814" i="1"/>
  <c r="H1814" i="1"/>
  <c r="C1815" i="1"/>
  <c r="D1815" i="1"/>
  <c r="E1815" i="1"/>
  <c r="F1815" i="1"/>
  <c r="G1815" i="1"/>
  <c r="H1815" i="1"/>
  <c r="C1816" i="1"/>
  <c r="D1816" i="1"/>
  <c r="E1816" i="1"/>
  <c r="F1816" i="1"/>
  <c r="G1816" i="1"/>
  <c r="H1816" i="1"/>
  <c r="C1817" i="1"/>
  <c r="D1817" i="1"/>
  <c r="E1817" i="1"/>
  <c r="F1817" i="1"/>
  <c r="G1817" i="1"/>
  <c r="H1817" i="1"/>
  <c r="C1818" i="1"/>
  <c r="D1818" i="1"/>
  <c r="E1818" i="1"/>
  <c r="F1818" i="1"/>
  <c r="G1818" i="1"/>
  <c r="H1818" i="1"/>
  <c r="C1819" i="1"/>
  <c r="D1819" i="1"/>
  <c r="E1819" i="1"/>
  <c r="F1819" i="1"/>
  <c r="G1819" i="1"/>
  <c r="H1819" i="1"/>
  <c r="C1820" i="1"/>
  <c r="D1820" i="1"/>
  <c r="E1820" i="1"/>
  <c r="F1820" i="1"/>
  <c r="G1820" i="1"/>
  <c r="H1820" i="1"/>
  <c r="C1821" i="1"/>
  <c r="D1821" i="1"/>
  <c r="E1821" i="1"/>
  <c r="F1821" i="1"/>
  <c r="G1821" i="1"/>
  <c r="H1821" i="1"/>
  <c r="C1822" i="1"/>
  <c r="D1822" i="1"/>
  <c r="E1822" i="1"/>
  <c r="F1822" i="1"/>
  <c r="G1822" i="1"/>
  <c r="H1822" i="1"/>
  <c r="C1823" i="1"/>
  <c r="D1823" i="1"/>
  <c r="E1823" i="1"/>
  <c r="F1823" i="1"/>
  <c r="G1823" i="1"/>
  <c r="H1823" i="1"/>
  <c r="C1824" i="1"/>
  <c r="D1824" i="1"/>
  <c r="E1824" i="1"/>
  <c r="F1824" i="1"/>
  <c r="G1824" i="1"/>
  <c r="H1824" i="1"/>
  <c r="C1825" i="1"/>
  <c r="D1825" i="1"/>
  <c r="E1825" i="1"/>
  <c r="F1825" i="1"/>
  <c r="G1825" i="1"/>
  <c r="H1825" i="1"/>
  <c r="C1826" i="1"/>
  <c r="D1826" i="1"/>
  <c r="E1826" i="1"/>
  <c r="F1826" i="1"/>
  <c r="G1826" i="1"/>
  <c r="H1826" i="1"/>
  <c r="C1827" i="1"/>
  <c r="D1827" i="1"/>
  <c r="E1827" i="1"/>
  <c r="F1827" i="1"/>
  <c r="G1827" i="1"/>
  <c r="H1827" i="1"/>
  <c r="C1828" i="1"/>
  <c r="D1828" i="1"/>
  <c r="E1828" i="1"/>
  <c r="F1828" i="1"/>
  <c r="G1828" i="1"/>
  <c r="H1828" i="1"/>
  <c r="C1829" i="1"/>
  <c r="D1829" i="1"/>
  <c r="E1829" i="1"/>
  <c r="F1829" i="1"/>
  <c r="G1829" i="1"/>
  <c r="H1829" i="1"/>
  <c r="C1830" i="1"/>
  <c r="D1830" i="1"/>
  <c r="E1830" i="1"/>
  <c r="F1830" i="1"/>
  <c r="G1830" i="1"/>
  <c r="H1830" i="1"/>
  <c r="C1831" i="1"/>
  <c r="D1831" i="1"/>
  <c r="E1831" i="1"/>
  <c r="F1831" i="1"/>
  <c r="G1831" i="1"/>
  <c r="H1831" i="1"/>
  <c r="C1832" i="1"/>
  <c r="D1832" i="1"/>
  <c r="E1832" i="1"/>
  <c r="F1832" i="1"/>
  <c r="G1832" i="1"/>
  <c r="H1832" i="1"/>
  <c r="C1833" i="1"/>
  <c r="D1833" i="1"/>
  <c r="E1833" i="1"/>
  <c r="F1833" i="1"/>
  <c r="G1833" i="1"/>
  <c r="H1833" i="1"/>
  <c r="C1834" i="1"/>
  <c r="D1834" i="1"/>
  <c r="E1834" i="1"/>
  <c r="F1834" i="1"/>
  <c r="G1834" i="1"/>
  <c r="H1834" i="1"/>
  <c r="C1835" i="1"/>
  <c r="D1835" i="1"/>
  <c r="E1835" i="1"/>
  <c r="F1835" i="1"/>
  <c r="G1835" i="1"/>
  <c r="H1835" i="1"/>
  <c r="C1836" i="1"/>
  <c r="D1836" i="1"/>
  <c r="E1836" i="1"/>
  <c r="F1836" i="1"/>
  <c r="G1836" i="1"/>
  <c r="H1836" i="1"/>
  <c r="C1837" i="1"/>
  <c r="D1837" i="1"/>
  <c r="E1837" i="1"/>
  <c r="F1837" i="1"/>
  <c r="G1837" i="1"/>
  <c r="H1837" i="1"/>
  <c r="C1838" i="1"/>
  <c r="D1838" i="1"/>
  <c r="E1838" i="1"/>
  <c r="F1838" i="1"/>
  <c r="G1838" i="1"/>
  <c r="H1838" i="1"/>
  <c r="C1839" i="1"/>
  <c r="D1839" i="1"/>
  <c r="E1839" i="1"/>
  <c r="F1839" i="1"/>
  <c r="G1839" i="1"/>
  <c r="H1839" i="1"/>
  <c r="C1840" i="1"/>
  <c r="D1840" i="1"/>
  <c r="E1840" i="1"/>
  <c r="F1840" i="1"/>
  <c r="G1840" i="1"/>
  <c r="H1840" i="1"/>
  <c r="C1841" i="1"/>
  <c r="D1841" i="1"/>
  <c r="E1841" i="1"/>
  <c r="F1841" i="1"/>
  <c r="G1841" i="1"/>
  <c r="H1841" i="1"/>
  <c r="C1842" i="1"/>
  <c r="D1842" i="1"/>
  <c r="E1842" i="1"/>
  <c r="F1842" i="1"/>
  <c r="G1842" i="1"/>
  <c r="H1842" i="1"/>
  <c r="C1843" i="1"/>
  <c r="D1843" i="1"/>
  <c r="E1843" i="1"/>
  <c r="F1843" i="1"/>
  <c r="G1843" i="1"/>
  <c r="H1843" i="1"/>
  <c r="C1844" i="1"/>
  <c r="D1844" i="1"/>
  <c r="E1844" i="1"/>
  <c r="F1844" i="1"/>
  <c r="G1844" i="1"/>
  <c r="H1844" i="1"/>
  <c r="C1845" i="1"/>
  <c r="D1845" i="1"/>
  <c r="E1845" i="1"/>
  <c r="F1845" i="1"/>
  <c r="G1845" i="1"/>
  <c r="H1845" i="1"/>
  <c r="C1846" i="1"/>
  <c r="D1846" i="1"/>
  <c r="E1846" i="1"/>
  <c r="F1846" i="1"/>
  <c r="G1846" i="1"/>
  <c r="H1846" i="1"/>
  <c r="C1847" i="1"/>
  <c r="D1847" i="1"/>
  <c r="E1847" i="1"/>
  <c r="F1847" i="1"/>
  <c r="G1847" i="1"/>
  <c r="H1847" i="1"/>
  <c r="C1848" i="1"/>
  <c r="D1848" i="1"/>
  <c r="E1848" i="1"/>
  <c r="F1848" i="1"/>
  <c r="G1848" i="1"/>
  <c r="H1848" i="1"/>
  <c r="C1849" i="1"/>
  <c r="D1849" i="1"/>
  <c r="E1849" i="1"/>
  <c r="F1849" i="1"/>
  <c r="G1849" i="1"/>
  <c r="H1849" i="1"/>
  <c r="C1850" i="1"/>
  <c r="D1850" i="1"/>
  <c r="E1850" i="1"/>
  <c r="F1850" i="1"/>
  <c r="G1850" i="1"/>
  <c r="H1850" i="1"/>
  <c r="C1851" i="1"/>
  <c r="D1851" i="1"/>
  <c r="E1851" i="1"/>
  <c r="F1851" i="1"/>
  <c r="G1851" i="1"/>
  <c r="H1851" i="1"/>
  <c r="C1852" i="1"/>
  <c r="D1852" i="1"/>
  <c r="E1852" i="1"/>
  <c r="F1852" i="1"/>
  <c r="G1852" i="1"/>
  <c r="H1852" i="1"/>
  <c r="C1853" i="1"/>
  <c r="D1853" i="1"/>
  <c r="E1853" i="1"/>
  <c r="F1853" i="1"/>
  <c r="G1853" i="1"/>
  <c r="H1853" i="1"/>
  <c r="C1854" i="1"/>
  <c r="D1854" i="1"/>
  <c r="E1854" i="1"/>
  <c r="F1854" i="1"/>
  <c r="G1854" i="1"/>
  <c r="H1854" i="1"/>
  <c r="C1855" i="1"/>
  <c r="D1855" i="1"/>
  <c r="E1855" i="1"/>
  <c r="F1855" i="1"/>
  <c r="G1855" i="1"/>
  <c r="H1855" i="1"/>
  <c r="C1856" i="1"/>
  <c r="D1856" i="1"/>
  <c r="E1856" i="1"/>
  <c r="F1856" i="1"/>
  <c r="G1856" i="1"/>
  <c r="H1856" i="1"/>
  <c r="C1857" i="1"/>
  <c r="D1857" i="1"/>
  <c r="E1857" i="1"/>
  <c r="F1857" i="1"/>
  <c r="G1857" i="1"/>
  <c r="H1857" i="1"/>
  <c r="C1858" i="1"/>
  <c r="D1858" i="1"/>
  <c r="E1858" i="1"/>
  <c r="F1858" i="1"/>
  <c r="G1858" i="1"/>
  <c r="H1858" i="1"/>
  <c r="C1859" i="1"/>
  <c r="D1859" i="1"/>
  <c r="E1859" i="1"/>
  <c r="F1859" i="1"/>
  <c r="G1859" i="1"/>
  <c r="H1859" i="1"/>
  <c r="C1860" i="1"/>
  <c r="D1860" i="1"/>
  <c r="E1860" i="1"/>
  <c r="F1860" i="1"/>
  <c r="G1860" i="1"/>
  <c r="H1860" i="1"/>
  <c r="C1861" i="1"/>
  <c r="D1861" i="1"/>
  <c r="E1861" i="1"/>
  <c r="F1861" i="1"/>
  <c r="G1861" i="1"/>
  <c r="H1861" i="1"/>
  <c r="C1862" i="1"/>
  <c r="D1862" i="1"/>
  <c r="E1862" i="1"/>
  <c r="F1862" i="1"/>
  <c r="G1862" i="1"/>
  <c r="H1862" i="1"/>
  <c r="C1863" i="1"/>
  <c r="D1863" i="1"/>
  <c r="E1863" i="1"/>
  <c r="F1863" i="1"/>
  <c r="G1863" i="1"/>
  <c r="H1863" i="1"/>
  <c r="C1864" i="1"/>
  <c r="D1864" i="1"/>
  <c r="E1864" i="1"/>
  <c r="F1864" i="1"/>
  <c r="G1864" i="1"/>
  <c r="H1864" i="1"/>
  <c r="C1865" i="1"/>
  <c r="D1865" i="1"/>
  <c r="E1865" i="1"/>
  <c r="F1865" i="1"/>
  <c r="G1865" i="1"/>
  <c r="H1865" i="1"/>
  <c r="C1866" i="1"/>
  <c r="D1866" i="1"/>
  <c r="E1866" i="1"/>
  <c r="F1866" i="1"/>
  <c r="G1866" i="1"/>
  <c r="H1866" i="1"/>
  <c r="C1867" i="1"/>
  <c r="D1867" i="1"/>
  <c r="E1867" i="1"/>
  <c r="F1867" i="1"/>
  <c r="G1867" i="1"/>
  <c r="H1867" i="1"/>
  <c r="C1868" i="1"/>
  <c r="D1868" i="1"/>
  <c r="E1868" i="1"/>
  <c r="F1868" i="1"/>
  <c r="G1868" i="1"/>
  <c r="H1868" i="1"/>
  <c r="C1869" i="1"/>
  <c r="D1869" i="1"/>
  <c r="E1869" i="1"/>
  <c r="F1869" i="1"/>
  <c r="G1869" i="1"/>
  <c r="H1869" i="1"/>
  <c r="C1870" i="1"/>
  <c r="D1870" i="1"/>
  <c r="E1870" i="1"/>
  <c r="F1870" i="1"/>
  <c r="G1870" i="1"/>
  <c r="H1870" i="1"/>
  <c r="C1871" i="1"/>
  <c r="D1871" i="1"/>
  <c r="E1871" i="1"/>
  <c r="F1871" i="1"/>
  <c r="G1871" i="1"/>
  <c r="H1871" i="1"/>
  <c r="C1872" i="1"/>
  <c r="D1872" i="1"/>
  <c r="E1872" i="1"/>
  <c r="F1872" i="1"/>
  <c r="G1872" i="1"/>
  <c r="H1872" i="1"/>
  <c r="C1873" i="1"/>
  <c r="D1873" i="1"/>
  <c r="E1873" i="1"/>
  <c r="F1873" i="1"/>
  <c r="G1873" i="1"/>
  <c r="H1873" i="1"/>
  <c r="C1874" i="1"/>
  <c r="D1874" i="1"/>
  <c r="E1874" i="1"/>
  <c r="F1874" i="1"/>
  <c r="G1874" i="1"/>
  <c r="H1874" i="1"/>
  <c r="C1875" i="1"/>
  <c r="D1875" i="1"/>
  <c r="E1875" i="1"/>
  <c r="F1875" i="1"/>
  <c r="G1875" i="1"/>
  <c r="H1875" i="1"/>
  <c r="C1876" i="1"/>
  <c r="D1876" i="1"/>
  <c r="E1876" i="1"/>
  <c r="F1876" i="1"/>
  <c r="G1876" i="1"/>
  <c r="H1876" i="1"/>
  <c r="C1877" i="1"/>
  <c r="D1877" i="1"/>
  <c r="E1877" i="1"/>
  <c r="F1877" i="1"/>
  <c r="G1877" i="1"/>
  <c r="H1877" i="1"/>
  <c r="C1878" i="1"/>
  <c r="D1878" i="1"/>
  <c r="E1878" i="1"/>
  <c r="F1878" i="1"/>
  <c r="G1878" i="1"/>
  <c r="H1878" i="1"/>
  <c r="C1879" i="1"/>
  <c r="D1879" i="1"/>
  <c r="E1879" i="1"/>
  <c r="F1879" i="1"/>
  <c r="G1879" i="1"/>
  <c r="H1879" i="1"/>
  <c r="C1880" i="1"/>
  <c r="D1880" i="1"/>
  <c r="E1880" i="1"/>
  <c r="F1880" i="1"/>
  <c r="G1880" i="1"/>
  <c r="H1880" i="1"/>
  <c r="C1881" i="1"/>
  <c r="D1881" i="1"/>
  <c r="E1881" i="1"/>
  <c r="F1881" i="1"/>
  <c r="G1881" i="1"/>
  <c r="H1881" i="1"/>
  <c r="C1882" i="1"/>
  <c r="D1882" i="1"/>
  <c r="E1882" i="1"/>
  <c r="F1882" i="1"/>
  <c r="G1882" i="1"/>
  <c r="H1882" i="1"/>
  <c r="C1883" i="1"/>
  <c r="D1883" i="1"/>
  <c r="E1883" i="1"/>
  <c r="F1883" i="1"/>
  <c r="G1883" i="1"/>
  <c r="H1883" i="1"/>
  <c r="C1884" i="1"/>
  <c r="D1884" i="1"/>
  <c r="E1884" i="1"/>
  <c r="F1884" i="1"/>
  <c r="G1884" i="1"/>
  <c r="H1884" i="1"/>
  <c r="C1885" i="1"/>
  <c r="D1885" i="1"/>
  <c r="E1885" i="1"/>
  <c r="F1885" i="1"/>
  <c r="G1885" i="1"/>
  <c r="H1885" i="1"/>
  <c r="C1886" i="1"/>
  <c r="D1886" i="1"/>
  <c r="E1886" i="1"/>
  <c r="F1886" i="1"/>
  <c r="G1886" i="1"/>
  <c r="H1886" i="1"/>
  <c r="C1887" i="1"/>
  <c r="D1887" i="1"/>
  <c r="E1887" i="1"/>
  <c r="F1887" i="1"/>
  <c r="G1887" i="1"/>
  <c r="H1887" i="1"/>
  <c r="C1888" i="1"/>
  <c r="D1888" i="1"/>
  <c r="E1888" i="1"/>
  <c r="F1888" i="1"/>
  <c r="G1888" i="1"/>
  <c r="H1888" i="1"/>
  <c r="C1889" i="1"/>
  <c r="D1889" i="1"/>
  <c r="E1889" i="1"/>
  <c r="F1889" i="1"/>
  <c r="G1889" i="1"/>
  <c r="H1889" i="1"/>
  <c r="C1890" i="1"/>
  <c r="D1890" i="1"/>
  <c r="E1890" i="1"/>
  <c r="F1890" i="1"/>
  <c r="G1890" i="1"/>
  <c r="H1890" i="1"/>
  <c r="C1891" i="1"/>
  <c r="D1891" i="1"/>
  <c r="E1891" i="1"/>
  <c r="F1891" i="1"/>
  <c r="G1891" i="1"/>
  <c r="H1891" i="1"/>
  <c r="C1892" i="1"/>
  <c r="D1892" i="1"/>
  <c r="E1892" i="1"/>
  <c r="F1892" i="1"/>
  <c r="G1892" i="1"/>
  <c r="H1892" i="1"/>
  <c r="C1893" i="1"/>
  <c r="D1893" i="1"/>
  <c r="E1893" i="1"/>
  <c r="F1893" i="1"/>
  <c r="G1893" i="1"/>
  <c r="H1893" i="1"/>
  <c r="C1894" i="1"/>
  <c r="D1894" i="1"/>
  <c r="E1894" i="1"/>
  <c r="F1894" i="1"/>
  <c r="G1894" i="1"/>
  <c r="H1894" i="1"/>
  <c r="C1895" i="1"/>
  <c r="D1895" i="1"/>
  <c r="E1895" i="1"/>
  <c r="F1895" i="1"/>
  <c r="G1895" i="1"/>
  <c r="H1895" i="1"/>
  <c r="C1896" i="1"/>
  <c r="D1896" i="1"/>
  <c r="E1896" i="1"/>
  <c r="F1896" i="1"/>
  <c r="G1896" i="1"/>
  <c r="H1896" i="1"/>
  <c r="C1897" i="1"/>
  <c r="D1897" i="1"/>
  <c r="E1897" i="1"/>
  <c r="F1897" i="1"/>
  <c r="G1897" i="1"/>
  <c r="H1897" i="1"/>
  <c r="C1898" i="1"/>
  <c r="D1898" i="1"/>
  <c r="E1898" i="1"/>
  <c r="F1898" i="1"/>
  <c r="G1898" i="1"/>
  <c r="H1898" i="1"/>
  <c r="C1899" i="1"/>
  <c r="D1899" i="1"/>
  <c r="E1899" i="1"/>
  <c r="F1899" i="1"/>
  <c r="G1899" i="1"/>
  <c r="H1899" i="1"/>
  <c r="C1900" i="1"/>
  <c r="D1900" i="1"/>
  <c r="E1900" i="1"/>
  <c r="F1900" i="1"/>
  <c r="G1900" i="1"/>
  <c r="H1900" i="1"/>
  <c r="C1901" i="1"/>
  <c r="D1901" i="1"/>
  <c r="E1901" i="1"/>
  <c r="F1901" i="1"/>
  <c r="G1901" i="1"/>
  <c r="H1901" i="1"/>
  <c r="C1902" i="1"/>
  <c r="D1902" i="1"/>
  <c r="E1902" i="1"/>
  <c r="F1902" i="1"/>
  <c r="G1902" i="1"/>
  <c r="H1902" i="1"/>
  <c r="C1903" i="1"/>
  <c r="D1903" i="1"/>
  <c r="E1903" i="1"/>
  <c r="F1903" i="1"/>
  <c r="G1903" i="1"/>
  <c r="H1903" i="1"/>
  <c r="C1904" i="1"/>
  <c r="D1904" i="1"/>
  <c r="E1904" i="1"/>
  <c r="F1904" i="1"/>
  <c r="G1904" i="1"/>
  <c r="H1904" i="1"/>
  <c r="C1905" i="1"/>
  <c r="D1905" i="1"/>
  <c r="E1905" i="1"/>
  <c r="F1905" i="1"/>
  <c r="G1905" i="1"/>
  <c r="H1905" i="1"/>
  <c r="C1906" i="1"/>
  <c r="D1906" i="1"/>
  <c r="E1906" i="1"/>
  <c r="F1906" i="1"/>
  <c r="G1906" i="1"/>
  <c r="H1906" i="1"/>
  <c r="C1907" i="1"/>
  <c r="D1907" i="1"/>
  <c r="E1907" i="1"/>
  <c r="F1907" i="1"/>
  <c r="G1907" i="1"/>
  <c r="H1907" i="1"/>
  <c r="C1908" i="1"/>
  <c r="D1908" i="1"/>
  <c r="E1908" i="1"/>
  <c r="F1908" i="1"/>
  <c r="G1908" i="1"/>
  <c r="H1908" i="1"/>
  <c r="C1909" i="1"/>
  <c r="D1909" i="1"/>
  <c r="E1909" i="1"/>
  <c r="F1909" i="1"/>
  <c r="G1909" i="1"/>
  <c r="H1909" i="1"/>
  <c r="C1910" i="1"/>
  <c r="D1910" i="1"/>
  <c r="E1910" i="1"/>
  <c r="F1910" i="1"/>
  <c r="G1910" i="1"/>
  <c r="H1910" i="1"/>
  <c r="C1911" i="1"/>
  <c r="D1911" i="1"/>
  <c r="E1911" i="1"/>
  <c r="F1911" i="1"/>
  <c r="G1911" i="1"/>
  <c r="H1911" i="1"/>
  <c r="C1912" i="1"/>
  <c r="D1912" i="1"/>
  <c r="E1912" i="1"/>
  <c r="F1912" i="1"/>
  <c r="G1912" i="1"/>
  <c r="H1912" i="1"/>
  <c r="C1913" i="1"/>
  <c r="D1913" i="1"/>
  <c r="E1913" i="1"/>
  <c r="F1913" i="1"/>
  <c r="G1913" i="1"/>
  <c r="H1913" i="1"/>
  <c r="C1914" i="1"/>
  <c r="D1914" i="1"/>
  <c r="E1914" i="1"/>
  <c r="F1914" i="1"/>
  <c r="G1914" i="1"/>
  <c r="H1914" i="1"/>
  <c r="C1915" i="1"/>
  <c r="D1915" i="1"/>
  <c r="E1915" i="1"/>
  <c r="F1915" i="1"/>
  <c r="G1915" i="1"/>
  <c r="H1915" i="1"/>
  <c r="C1916" i="1"/>
  <c r="D1916" i="1"/>
  <c r="E1916" i="1"/>
  <c r="F1916" i="1"/>
  <c r="G1916" i="1"/>
  <c r="H1916" i="1"/>
  <c r="C1917" i="1"/>
  <c r="D1917" i="1"/>
  <c r="E1917" i="1"/>
  <c r="F1917" i="1"/>
  <c r="G1917" i="1"/>
  <c r="H1917" i="1"/>
  <c r="C1918" i="1"/>
  <c r="D1918" i="1"/>
  <c r="E1918" i="1"/>
  <c r="F1918" i="1"/>
  <c r="G1918" i="1"/>
  <c r="H1918" i="1"/>
  <c r="C1919" i="1"/>
  <c r="D1919" i="1"/>
  <c r="E1919" i="1"/>
  <c r="F1919" i="1"/>
  <c r="G1919" i="1"/>
  <c r="H1919" i="1"/>
  <c r="C1920" i="1"/>
  <c r="D1920" i="1"/>
  <c r="E1920" i="1"/>
  <c r="F1920" i="1"/>
  <c r="G1920" i="1"/>
  <c r="H1920" i="1"/>
  <c r="C1921" i="1"/>
  <c r="D1921" i="1"/>
  <c r="E1921" i="1"/>
  <c r="F1921" i="1"/>
  <c r="G1921" i="1"/>
  <c r="H1921" i="1"/>
  <c r="C1922" i="1"/>
  <c r="D1922" i="1"/>
  <c r="E1922" i="1"/>
  <c r="F1922" i="1"/>
  <c r="G1922" i="1"/>
  <c r="H1922" i="1"/>
  <c r="C1923" i="1"/>
  <c r="D1923" i="1"/>
  <c r="E1923" i="1"/>
  <c r="F1923" i="1"/>
  <c r="G1923" i="1"/>
  <c r="H1923" i="1"/>
  <c r="C1924" i="1"/>
  <c r="D1924" i="1"/>
  <c r="E1924" i="1"/>
  <c r="F1924" i="1"/>
  <c r="G1924" i="1"/>
  <c r="H1924" i="1"/>
  <c r="C1925" i="1"/>
  <c r="D1925" i="1"/>
  <c r="E1925" i="1"/>
  <c r="F1925" i="1"/>
  <c r="G1925" i="1"/>
  <c r="H1925" i="1"/>
  <c r="C1926" i="1"/>
  <c r="D1926" i="1"/>
  <c r="E1926" i="1"/>
  <c r="F1926" i="1"/>
  <c r="G1926" i="1"/>
  <c r="H1926" i="1"/>
  <c r="C1927" i="1"/>
  <c r="D1927" i="1"/>
  <c r="E1927" i="1"/>
  <c r="F1927" i="1"/>
  <c r="G1927" i="1"/>
  <c r="H1927" i="1"/>
  <c r="C1928" i="1"/>
  <c r="D1928" i="1"/>
  <c r="E1928" i="1"/>
  <c r="F1928" i="1"/>
  <c r="G1928" i="1"/>
  <c r="H1928" i="1"/>
  <c r="C1929" i="1"/>
  <c r="D1929" i="1"/>
  <c r="E1929" i="1"/>
  <c r="F1929" i="1"/>
  <c r="G1929" i="1"/>
  <c r="H1929" i="1"/>
  <c r="C1930" i="1"/>
  <c r="D1930" i="1"/>
  <c r="E1930" i="1"/>
  <c r="F1930" i="1"/>
  <c r="G1930" i="1"/>
  <c r="H1930" i="1"/>
  <c r="C1931" i="1"/>
  <c r="D1931" i="1"/>
  <c r="E1931" i="1"/>
  <c r="F1931" i="1"/>
  <c r="G1931" i="1"/>
  <c r="H1931" i="1"/>
  <c r="C1932" i="1"/>
  <c r="D1932" i="1"/>
  <c r="E1932" i="1"/>
  <c r="F1932" i="1"/>
  <c r="G1932" i="1"/>
  <c r="H1932" i="1"/>
  <c r="C1933" i="1"/>
  <c r="D1933" i="1"/>
  <c r="E1933" i="1"/>
  <c r="F1933" i="1"/>
  <c r="G1933" i="1"/>
  <c r="H1933" i="1"/>
  <c r="C1934" i="1"/>
  <c r="D1934" i="1"/>
  <c r="E1934" i="1"/>
  <c r="F1934" i="1"/>
  <c r="G1934" i="1"/>
  <c r="H1934" i="1"/>
  <c r="C1935" i="1"/>
  <c r="D1935" i="1"/>
  <c r="E1935" i="1"/>
  <c r="F1935" i="1"/>
  <c r="G1935" i="1"/>
  <c r="H1935" i="1"/>
  <c r="C1936" i="1"/>
  <c r="D1936" i="1"/>
  <c r="E1936" i="1"/>
  <c r="F1936" i="1"/>
  <c r="G1936" i="1"/>
  <c r="H1936" i="1"/>
  <c r="C1937" i="1"/>
  <c r="D1937" i="1"/>
  <c r="E1937" i="1"/>
  <c r="F1937" i="1"/>
  <c r="G1937" i="1"/>
  <c r="H1937" i="1"/>
  <c r="C1938" i="1"/>
  <c r="D1938" i="1"/>
  <c r="E1938" i="1"/>
  <c r="F1938" i="1"/>
  <c r="G1938" i="1"/>
  <c r="H1938" i="1"/>
  <c r="C1939" i="1"/>
  <c r="D1939" i="1"/>
  <c r="E1939" i="1"/>
  <c r="F1939" i="1"/>
  <c r="G1939" i="1"/>
  <c r="H1939" i="1"/>
  <c r="C1940" i="1"/>
  <c r="D1940" i="1"/>
  <c r="E1940" i="1"/>
  <c r="F1940" i="1"/>
  <c r="G1940" i="1"/>
  <c r="H1940" i="1"/>
  <c r="C1941" i="1"/>
  <c r="D1941" i="1"/>
  <c r="E1941" i="1"/>
  <c r="F1941" i="1"/>
  <c r="G1941" i="1"/>
  <c r="H1941" i="1"/>
  <c r="C1942" i="1"/>
  <c r="D1942" i="1"/>
  <c r="E1942" i="1"/>
  <c r="F1942" i="1"/>
  <c r="G1942" i="1"/>
  <c r="H1942" i="1"/>
  <c r="C1943" i="1"/>
  <c r="D1943" i="1"/>
  <c r="E1943" i="1"/>
  <c r="F1943" i="1"/>
  <c r="G1943" i="1"/>
  <c r="H1943" i="1"/>
  <c r="C1944" i="1"/>
  <c r="D1944" i="1"/>
  <c r="E1944" i="1"/>
  <c r="F1944" i="1"/>
  <c r="G1944" i="1"/>
  <c r="H1944" i="1"/>
  <c r="C1945" i="1"/>
  <c r="D1945" i="1"/>
  <c r="E1945" i="1"/>
  <c r="F1945" i="1"/>
  <c r="G1945" i="1"/>
  <c r="H1945" i="1"/>
  <c r="C1946" i="1"/>
  <c r="D1946" i="1"/>
  <c r="E1946" i="1"/>
  <c r="F1946" i="1"/>
  <c r="G1946" i="1"/>
  <c r="H1946" i="1"/>
  <c r="C1947" i="1"/>
  <c r="D1947" i="1"/>
  <c r="E1947" i="1"/>
  <c r="F1947" i="1"/>
  <c r="G1947" i="1"/>
  <c r="H1947" i="1"/>
  <c r="C1948" i="1"/>
  <c r="D1948" i="1"/>
  <c r="E1948" i="1"/>
  <c r="F1948" i="1"/>
  <c r="G1948" i="1"/>
  <c r="H1948" i="1"/>
  <c r="C1949" i="1"/>
  <c r="D1949" i="1"/>
  <c r="E1949" i="1"/>
  <c r="F1949" i="1"/>
  <c r="G1949" i="1"/>
  <c r="H1949" i="1"/>
  <c r="C1950" i="1"/>
  <c r="D1950" i="1"/>
  <c r="E1950" i="1"/>
  <c r="F1950" i="1"/>
  <c r="G1950" i="1"/>
  <c r="H1950" i="1"/>
  <c r="C1951" i="1"/>
  <c r="D1951" i="1"/>
  <c r="E1951" i="1"/>
  <c r="F1951" i="1"/>
  <c r="G1951" i="1"/>
  <c r="H1951" i="1"/>
  <c r="C1952" i="1"/>
  <c r="D1952" i="1"/>
  <c r="E1952" i="1"/>
  <c r="F1952" i="1"/>
  <c r="G1952" i="1"/>
  <c r="H1952" i="1"/>
  <c r="C1953" i="1"/>
  <c r="D1953" i="1"/>
  <c r="E1953" i="1"/>
  <c r="F1953" i="1"/>
  <c r="G1953" i="1"/>
  <c r="H1953" i="1"/>
  <c r="C1954" i="1"/>
  <c r="D1954" i="1"/>
  <c r="E1954" i="1"/>
  <c r="F1954" i="1"/>
  <c r="G1954" i="1"/>
  <c r="H1954" i="1"/>
  <c r="C1955" i="1"/>
  <c r="D1955" i="1"/>
  <c r="E1955" i="1"/>
  <c r="F1955" i="1"/>
  <c r="G1955" i="1"/>
  <c r="H1955" i="1"/>
  <c r="C1956" i="1"/>
  <c r="D1956" i="1"/>
  <c r="E1956" i="1"/>
  <c r="F1956" i="1"/>
  <c r="G1956" i="1"/>
  <c r="H1956" i="1"/>
  <c r="C1957" i="1"/>
  <c r="D1957" i="1"/>
  <c r="E1957" i="1"/>
  <c r="F1957" i="1"/>
  <c r="G1957" i="1"/>
  <c r="H1957" i="1"/>
  <c r="C1958" i="1"/>
  <c r="D1958" i="1"/>
  <c r="E1958" i="1"/>
  <c r="F1958" i="1"/>
  <c r="G1958" i="1"/>
  <c r="H1958" i="1"/>
  <c r="C1959" i="1"/>
  <c r="D1959" i="1"/>
  <c r="E1959" i="1"/>
  <c r="F1959" i="1"/>
  <c r="G1959" i="1"/>
  <c r="H1959" i="1"/>
  <c r="C1960" i="1"/>
  <c r="D1960" i="1"/>
  <c r="E1960" i="1"/>
  <c r="F1960" i="1"/>
  <c r="G1960" i="1"/>
  <c r="H1960" i="1"/>
  <c r="C1961" i="1"/>
  <c r="D1961" i="1"/>
  <c r="E1961" i="1"/>
  <c r="F1961" i="1"/>
  <c r="G1961" i="1"/>
  <c r="H1961" i="1"/>
  <c r="C1962" i="1"/>
  <c r="D1962" i="1"/>
  <c r="E1962" i="1"/>
  <c r="F1962" i="1"/>
  <c r="G1962" i="1"/>
  <c r="H1962" i="1"/>
  <c r="C1963" i="1"/>
  <c r="D1963" i="1"/>
  <c r="E1963" i="1"/>
  <c r="F1963" i="1"/>
  <c r="G1963" i="1"/>
  <c r="H1963" i="1"/>
  <c r="C1964" i="1"/>
  <c r="D1964" i="1"/>
  <c r="E1964" i="1"/>
  <c r="F1964" i="1"/>
  <c r="G1964" i="1"/>
  <c r="H1964" i="1"/>
  <c r="C1965" i="1"/>
  <c r="D1965" i="1"/>
  <c r="E1965" i="1"/>
  <c r="F1965" i="1"/>
  <c r="G1965" i="1"/>
  <c r="H1965" i="1"/>
  <c r="C1966" i="1"/>
  <c r="D1966" i="1"/>
  <c r="E1966" i="1"/>
  <c r="F1966" i="1"/>
  <c r="G1966" i="1"/>
  <c r="H1966" i="1"/>
  <c r="C1967" i="1"/>
  <c r="D1967" i="1"/>
  <c r="E1967" i="1"/>
  <c r="F1967" i="1"/>
  <c r="G1967" i="1"/>
  <c r="H1967" i="1"/>
  <c r="C1968" i="1"/>
  <c r="D1968" i="1"/>
  <c r="E1968" i="1"/>
  <c r="F1968" i="1"/>
  <c r="G1968" i="1"/>
  <c r="H1968" i="1"/>
  <c r="C1969" i="1"/>
  <c r="D1969" i="1"/>
  <c r="E1969" i="1"/>
  <c r="F1969" i="1"/>
  <c r="G1969" i="1"/>
  <c r="H1969" i="1"/>
  <c r="C1970" i="1"/>
  <c r="D1970" i="1"/>
  <c r="E1970" i="1"/>
  <c r="F1970" i="1"/>
  <c r="G1970" i="1"/>
  <c r="H1970" i="1"/>
  <c r="C1971" i="1"/>
  <c r="D1971" i="1"/>
  <c r="E1971" i="1"/>
  <c r="F1971" i="1"/>
  <c r="G1971" i="1"/>
  <c r="H1971" i="1"/>
  <c r="C1972" i="1"/>
  <c r="D1972" i="1"/>
  <c r="E1972" i="1"/>
  <c r="F1972" i="1"/>
  <c r="G1972" i="1"/>
  <c r="H1972" i="1"/>
  <c r="C1973" i="1"/>
  <c r="D1973" i="1"/>
  <c r="E1973" i="1"/>
  <c r="F1973" i="1"/>
  <c r="G1973" i="1"/>
  <c r="H1973" i="1"/>
  <c r="C1974" i="1"/>
  <c r="D1974" i="1"/>
  <c r="E1974" i="1"/>
  <c r="F1974" i="1"/>
  <c r="G1974" i="1"/>
  <c r="H1974" i="1"/>
  <c r="C1975" i="1"/>
  <c r="D1975" i="1"/>
  <c r="E1975" i="1"/>
  <c r="F1975" i="1"/>
  <c r="G1975" i="1"/>
  <c r="H1975" i="1"/>
  <c r="C1976" i="1"/>
  <c r="D1976" i="1"/>
  <c r="E1976" i="1"/>
  <c r="F1976" i="1"/>
  <c r="G1976" i="1"/>
  <c r="H1976" i="1"/>
  <c r="C1977" i="1"/>
  <c r="D1977" i="1"/>
  <c r="E1977" i="1"/>
  <c r="F1977" i="1"/>
  <c r="G1977" i="1"/>
  <c r="H1977" i="1"/>
  <c r="C1978" i="1"/>
  <c r="D1978" i="1"/>
  <c r="E1978" i="1"/>
  <c r="F1978" i="1"/>
  <c r="G1978" i="1"/>
  <c r="H1978" i="1"/>
  <c r="C1979" i="1"/>
  <c r="D1979" i="1"/>
  <c r="E1979" i="1"/>
  <c r="F1979" i="1"/>
  <c r="G1979" i="1"/>
  <c r="H1979" i="1"/>
  <c r="C1980" i="1"/>
  <c r="D1980" i="1"/>
  <c r="E1980" i="1"/>
  <c r="F1980" i="1"/>
  <c r="G1980" i="1"/>
  <c r="H1980" i="1"/>
  <c r="C1981" i="1"/>
  <c r="D1981" i="1"/>
  <c r="E1981" i="1"/>
  <c r="F1981" i="1"/>
  <c r="G1981" i="1"/>
  <c r="H1981" i="1"/>
  <c r="C1982" i="1"/>
  <c r="D1982" i="1"/>
  <c r="E1982" i="1"/>
  <c r="F1982" i="1"/>
  <c r="G1982" i="1"/>
  <c r="H1982" i="1"/>
  <c r="C1983" i="1"/>
  <c r="D1983" i="1"/>
  <c r="E1983" i="1"/>
  <c r="F1983" i="1"/>
  <c r="G1983" i="1"/>
  <c r="H1983" i="1"/>
  <c r="C1984" i="1"/>
  <c r="D1984" i="1"/>
  <c r="E1984" i="1"/>
  <c r="F1984" i="1"/>
  <c r="G1984" i="1"/>
  <c r="H1984" i="1"/>
  <c r="C1985" i="1"/>
  <c r="D1985" i="1"/>
  <c r="E1985" i="1"/>
  <c r="F1985" i="1"/>
  <c r="G1985" i="1"/>
  <c r="H1985" i="1"/>
  <c r="C1986" i="1"/>
  <c r="D1986" i="1"/>
  <c r="E1986" i="1"/>
  <c r="F1986" i="1"/>
  <c r="G1986" i="1"/>
  <c r="H1986" i="1"/>
  <c r="C1987" i="1"/>
  <c r="D1987" i="1"/>
  <c r="E1987" i="1"/>
  <c r="F1987" i="1"/>
  <c r="G1987" i="1"/>
  <c r="H1987" i="1"/>
  <c r="C1988" i="1"/>
  <c r="D1988" i="1"/>
  <c r="E1988" i="1"/>
  <c r="F1988" i="1"/>
  <c r="G1988" i="1"/>
  <c r="H1988" i="1"/>
  <c r="C1989" i="1"/>
  <c r="D1989" i="1"/>
  <c r="E1989" i="1"/>
  <c r="F1989" i="1"/>
  <c r="G1989" i="1"/>
  <c r="H1989" i="1"/>
  <c r="C1990" i="1"/>
  <c r="D1990" i="1"/>
  <c r="E1990" i="1"/>
  <c r="F1990" i="1"/>
  <c r="G1990" i="1"/>
  <c r="H1990" i="1"/>
  <c r="C1991" i="1"/>
  <c r="D1991" i="1"/>
  <c r="E1991" i="1"/>
  <c r="F1991" i="1"/>
  <c r="G1991" i="1"/>
  <c r="H1991" i="1"/>
  <c r="C1992" i="1"/>
  <c r="D1992" i="1"/>
  <c r="E1992" i="1"/>
  <c r="F1992" i="1"/>
  <c r="G1992" i="1"/>
  <c r="H1992" i="1"/>
  <c r="C1993" i="1"/>
  <c r="D1993" i="1"/>
  <c r="E1993" i="1"/>
  <c r="F1993" i="1"/>
  <c r="G1993" i="1"/>
  <c r="H1993" i="1"/>
  <c r="C1994" i="1"/>
  <c r="D1994" i="1"/>
  <c r="E1994" i="1"/>
  <c r="F1994" i="1"/>
  <c r="G1994" i="1"/>
  <c r="H1994" i="1"/>
  <c r="C1995" i="1"/>
  <c r="D1995" i="1"/>
  <c r="E1995" i="1"/>
  <c r="F1995" i="1"/>
  <c r="G1995" i="1"/>
  <c r="H1995" i="1"/>
  <c r="C1996" i="1"/>
  <c r="D1996" i="1"/>
  <c r="E1996" i="1"/>
  <c r="F1996" i="1"/>
  <c r="G1996" i="1"/>
  <c r="H1996" i="1"/>
  <c r="C1997" i="1"/>
  <c r="D1997" i="1"/>
  <c r="E1997" i="1"/>
  <c r="F1997" i="1"/>
  <c r="G1997" i="1"/>
  <c r="H1997" i="1"/>
  <c r="C1998" i="1"/>
  <c r="D1998" i="1"/>
  <c r="E1998" i="1"/>
  <c r="F1998" i="1"/>
  <c r="G1998" i="1"/>
  <c r="H1998" i="1"/>
  <c r="C1999" i="1"/>
  <c r="D1999" i="1"/>
  <c r="E1999" i="1"/>
  <c r="F1999" i="1"/>
  <c r="G1999" i="1"/>
  <c r="H1999" i="1"/>
  <c r="C2000" i="1"/>
  <c r="D2000" i="1"/>
  <c r="E2000" i="1"/>
  <c r="F2000" i="1"/>
  <c r="G2000" i="1"/>
  <c r="H2000" i="1"/>
  <c r="C2001" i="1"/>
  <c r="D2001" i="1"/>
  <c r="E2001" i="1"/>
  <c r="F2001" i="1"/>
  <c r="G2001" i="1"/>
  <c r="H2001" i="1"/>
  <c r="C2002" i="1"/>
  <c r="D2002" i="1"/>
  <c r="E2002" i="1"/>
  <c r="F2002" i="1"/>
  <c r="G2002" i="1"/>
  <c r="H2002" i="1"/>
  <c r="C2003" i="1"/>
  <c r="D2003" i="1"/>
  <c r="E2003" i="1"/>
  <c r="F2003" i="1"/>
  <c r="G2003" i="1"/>
  <c r="H2003" i="1"/>
  <c r="C2004" i="1"/>
  <c r="D2004" i="1"/>
  <c r="E2004" i="1"/>
  <c r="F2004" i="1"/>
  <c r="G2004" i="1"/>
  <c r="H2004" i="1"/>
  <c r="C2005" i="1"/>
  <c r="D2005" i="1"/>
  <c r="E2005" i="1"/>
  <c r="F2005" i="1"/>
  <c r="G2005" i="1"/>
  <c r="H2005" i="1"/>
  <c r="C2006" i="1"/>
  <c r="D2006" i="1"/>
  <c r="E2006" i="1"/>
  <c r="F2006" i="1"/>
  <c r="G2006" i="1"/>
  <c r="H2006" i="1"/>
  <c r="C2007" i="1"/>
  <c r="D2007" i="1"/>
  <c r="E2007" i="1"/>
  <c r="F2007" i="1"/>
  <c r="G2007" i="1"/>
  <c r="H2007" i="1"/>
  <c r="C2008" i="1"/>
  <c r="D2008" i="1"/>
  <c r="E2008" i="1"/>
  <c r="F2008" i="1"/>
  <c r="G2008" i="1"/>
  <c r="H2008" i="1"/>
  <c r="C2009" i="1"/>
  <c r="D2009" i="1"/>
  <c r="E2009" i="1"/>
  <c r="F2009" i="1"/>
  <c r="G2009" i="1"/>
  <c r="H2009" i="1"/>
  <c r="C2010" i="1"/>
  <c r="D2010" i="1"/>
  <c r="E2010" i="1"/>
  <c r="F2010" i="1"/>
  <c r="G2010" i="1"/>
  <c r="H2010" i="1"/>
  <c r="C2011" i="1"/>
  <c r="D2011" i="1"/>
  <c r="E2011" i="1"/>
  <c r="F2011" i="1"/>
  <c r="G2011" i="1"/>
  <c r="H2011" i="1"/>
  <c r="C2012" i="1"/>
  <c r="D2012" i="1"/>
  <c r="E2012" i="1"/>
  <c r="F2012" i="1"/>
  <c r="G2012" i="1"/>
  <c r="H2012" i="1"/>
  <c r="C2013" i="1"/>
  <c r="D2013" i="1"/>
  <c r="E2013" i="1"/>
  <c r="F2013" i="1"/>
  <c r="G2013" i="1"/>
  <c r="H2013" i="1"/>
  <c r="C2014" i="1"/>
  <c r="D2014" i="1"/>
  <c r="E2014" i="1"/>
  <c r="F2014" i="1"/>
  <c r="G2014" i="1"/>
  <c r="H2014" i="1"/>
  <c r="C2015" i="1"/>
  <c r="D2015" i="1"/>
  <c r="E2015" i="1"/>
  <c r="F2015" i="1"/>
  <c r="G2015" i="1"/>
  <c r="H2015" i="1"/>
  <c r="C2016" i="1"/>
  <c r="D2016" i="1"/>
  <c r="E2016" i="1"/>
  <c r="F2016" i="1"/>
  <c r="G2016" i="1"/>
  <c r="H2016" i="1"/>
  <c r="C2017" i="1"/>
  <c r="D2017" i="1"/>
  <c r="E2017" i="1"/>
  <c r="F2017" i="1"/>
  <c r="G2017" i="1"/>
  <c r="H2017" i="1"/>
  <c r="C2018" i="1"/>
  <c r="D2018" i="1"/>
  <c r="E2018" i="1"/>
  <c r="F2018" i="1"/>
  <c r="G2018" i="1"/>
  <c r="H2018" i="1"/>
  <c r="C2019" i="1"/>
  <c r="D2019" i="1"/>
  <c r="E2019" i="1"/>
  <c r="F2019" i="1"/>
  <c r="G2019" i="1"/>
  <c r="H2019" i="1"/>
  <c r="C2020" i="1"/>
  <c r="D2020" i="1"/>
  <c r="E2020" i="1"/>
  <c r="F2020" i="1"/>
  <c r="G2020" i="1"/>
  <c r="H2020" i="1"/>
  <c r="C2021" i="1"/>
  <c r="D2021" i="1"/>
  <c r="E2021" i="1"/>
  <c r="F2021" i="1"/>
  <c r="G2021" i="1"/>
  <c r="H2021" i="1"/>
  <c r="C2022" i="1"/>
  <c r="D2022" i="1"/>
  <c r="E2022" i="1"/>
  <c r="F2022" i="1"/>
  <c r="G2022" i="1"/>
  <c r="H2022" i="1"/>
  <c r="C2023" i="1"/>
  <c r="D2023" i="1"/>
  <c r="E2023" i="1"/>
  <c r="F2023" i="1"/>
  <c r="G2023" i="1"/>
  <c r="H2023" i="1"/>
  <c r="C2024" i="1"/>
  <c r="D2024" i="1"/>
  <c r="E2024" i="1"/>
  <c r="F2024" i="1"/>
  <c r="G2024" i="1"/>
  <c r="H2024" i="1"/>
  <c r="C2025" i="1"/>
  <c r="D2025" i="1"/>
  <c r="E2025" i="1"/>
  <c r="F2025" i="1"/>
  <c r="G2025" i="1"/>
  <c r="H2025" i="1"/>
  <c r="C2026" i="1"/>
  <c r="D2026" i="1"/>
  <c r="E2026" i="1"/>
  <c r="F2026" i="1"/>
  <c r="G2026" i="1"/>
  <c r="H2026" i="1"/>
  <c r="C2027" i="1"/>
  <c r="D2027" i="1"/>
  <c r="E2027" i="1"/>
  <c r="F2027" i="1"/>
  <c r="G2027" i="1"/>
  <c r="H2027" i="1"/>
  <c r="C2028" i="1"/>
  <c r="D2028" i="1"/>
  <c r="E2028" i="1"/>
  <c r="F2028" i="1"/>
  <c r="G2028" i="1"/>
  <c r="H2028" i="1"/>
  <c r="C2029" i="1"/>
  <c r="D2029" i="1"/>
  <c r="E2029" i="1"/>
  <c r="F2029" i="1"/>
  <c r="G2029" i="1"/>
  <c r="H2029" i="1"/>
  <c r="C2030" i="1"/>
  <c r="D2030" i="1"/>
  <c r="E2030" i="1"/>
  <c r="F2030" i="1"/>
  <c r="G2030" i="1"/>
  <c r="H2030" i="1"/>
  <c r="C2031" i="1"/>
  <c r="D2031" i="1"/>
  <c r="E2031" i="1"/>
  <c r="F2031" i="1"/>
  <c r="G2031" i="1"/>
  <c r="H2031" i="1"/>
  <c r="C2032" i="1"/>
  <c r="D2032" i="1"/>
  <c r="E2032" i="1"/>
  <c r="F2032" i="1"/>
  <c r="G2032" i="1"/>
  <c r="H2032" i="1"/>
  <c r="C2033" i="1"/>
  <c r="D2033" i="1"/>
  <c r="E2033" i="1"/>
  <c r="F2033" i="1"/>
  <c r="G2033" i="1"/>
  <c r="H2033" i="1"/>
  <c r="C2034" i="1"/>
  <c r="D2034" i="1"/>
  <c r="E2034" i="1"/>
  <c r="F2034" i="1"/>
  <c r="G2034" i="1"/>
  <c r="H2034" i="1"/>
  <c r="C2035" i="1"/>
  <c r="D2035" i="1"/>
  <c r="E2035" i="1"/>
  <c r="F2035" i="1"/>
  <c r="G2035" i="1"/>
  <c r="H2035" i="1"/>
  <c r="C2036" i="1"/>
  <c r="D2036" i="1"/>
  <c r="E2036" i="1"/>
  <c r="F2036" i="1"/>
  <c r="G2036" i="1"/>
  <c r="H2036" i="1"/>
  <c r="C2037" i="1"/>
  <c r="D2037" i="1"/>
  <c r="E2037" i="1"/>
  <c r="F2037" i="1"/>
  <c r="G2037" i="1"/>
  <c r="H2037" i="1"/>
  <c r="C2038" i="1"/>
  <c r="D2038" i="1"/>
  <c r="E2038" i="1"/>
  <c r="F2038" i="1"/>
  <c r="G2038" i="1"/>
  <c r="H2038" i="1"/>
  <c r="C2039" i="1"/>
  <c r="D2039" i="1"/>
  <c r="E2039" i="1"/>
  <c r="F2039" i="1"/>
  <c r="G2039" i="1"/>
  <c r="H2039" i="1"/>
  <c r="C2040" i="1"/>
  <c r="D2040" i="1"/>
  <c r="E2040" i="1"/>
  <c r="F2040" i="1"/>
  <c r="G2040" i="1"/>
  <c r="H2040" i="1"/>
  <c r="C2041" i="1"/>
  <c r="D2041" i="1"/>
  <c r="E2041" i="1"/>
  <c r="F2041" i="1"/>
  <c r="G2041" i="1"/>
  <c r="H2041" i="1"/>
  <c r="C2042" i="1"/>
  <c r="D2042" i="1"/>
  <c r="E2042" i="1"/>
  <c r="F2042" i="1"/>
  <c r="G2042" i="1"/>
  <c r="H2042" i="1"/>
  <c r="C2043" i="1"/>
  <c r="D2043" i="1"/>
  <c r="E2043" i="1"/>
  <c r="F2043" i="1"/>
  <c r="G2043" i="1"/>
  <c r="H2043" i="1"/>
  <c r="C2044" i="1"/>
  <c r="D2044" i="1"/>
  <c r="E2044" i="1"/>
  <c r="F2044" i="1"/>
  <c r="G2044" i="1"/>
  <c r="H2044" i="1"/>
  <c r="C2045" i="1"/>
  <c r="D2045" i="1"/>
  <c r="E2045" i="1"/>
  <c r="F2045" i="1"/>
  <c r="G2045" i="1"/>
  <c r="H2045" i="1"/>
  <c r="C2046" i="1"/>
  <c r="D2046" i="1"/>
  <c r="E2046" i="1"/>
  <c r="F2046" i="1"/>
  <c r="G2046" i="1"/>
  <c r="H2046" i="1"/>
  <c r="C2047" i="1"/>
  <c r="D2047" i="1"/>
  <c r="E2047" i="1"/>
  <c r="F2047" i="1"/>
  <c r="G2047" i="1"/>
  <c r="H2047" i="1"/>
  <c r="C2048" i="1"/>
  <c r="D2048" i="1"/>
  <c r="E2048" i="1"/>
  <c r="F2048" i="1"/>
  <c r="G2048" i="1"/>
  <c r="H2048" i="1"/>
  <c r="C2049" i="1"/>
  <c r="D2049" i="1"/>
  <c r="E2049" i="1"/>
  <c r="F2049" i="1"/>
  <c r="G2049" i="1"/>
  <c r="H2049" i="1"/>
  <c r="C2050" i="1"/>
  <c r="D2050" i="1"/>
  <c r="E2050" i="1"/>
  <c r="F2050" i="1"/>
  <c r="G2050" i="1"/>
  <c r="H2050" i="1"/>
  <c r="C2051" i="1"/>
  <c r="D2051" i="1"/>
  <c r="E2051" i="1"/>
  <c r="F2051" i="1"/>
  <c r="G2051" i="1"/>
  <c r="H2051" i="1"/>
  <c r="C2052" i="1"/>
  <c r="D2052" i="1"/>
  <c r="E2052" i="1"/>
  <c r="F2052" i="1"/>
  <c r="G2052" i="1"/>
  <c r="H2052" i="1"/>
  <c r="C2053" i="1"/>
  <c r="D2053" i="1"/>
  <c r="E2053" i="1"/>
  <c r="F2053" i="1"/>
  <c r="G2053" i="1"/>
  <c r="H2053" i="1"/>
  <c r="C2054" i="1"/>
  <c r="D2054" i="1"/>
  <c r="E2054" i="1"/>
  <c r="F2054" i="1"/>
  <c r="G2054" i="1"/>
  <c r="H2054" i="1"/>
  <c r="C2055" i="1"/>
  <c r="D2055" i="1"/>
  <c r="E2055" i="1"/>
  <c r="F2055" i="1"/>
  <c r="G2055" i="1"/>
  <c r="H2055" i="1"/>
  <c r="C2056" i="1"/>
  <c r="D2056" i="1"/>
  <c r="E2056" i="1"/>
  <c r="F2056" i="1"/>
  <c r="G2056" i="1"/>
  <c r="H2056" i="1"/>
  <c r="C2057" i="1"/>
  <c r="D2057" i="1"/>
  <c r="E2057" i="1"/>
  <c r="F2057" i="1"/>
  <c r="G2057" i="1"/>
  <c r="H2057" i="1"/>
  <c r="C2058" i="1"/>
  <c r="D2058" i="1"/>
  <c r="E2058" i="1"/>
  <c r="F2058" i="1"/>
  <c r="G2058" i="1"/>
  <c r="H2058" i="1"/>
  <c r="C2059" i="1"/>
  <c r="D2059" i="1"/>
  <c r="E2059" i="1"/>
  <c r="F2059" i="1"/>
  <c r="G2059" i="1"/>
  <c r="H2059" i="1"/>
  <c r="C2060" i="1"/>
  <c r="D2060" i="1"/>
  <c r="E2060" i="1"/>
  <c r="F2060" i="1"/>
  <c r="G2060" i="1"/>
  <c r="H2060" i="1"/>
  <c r="C2061" i="1"/>
  <c r="D2061" i="1"/>
  <c r="E2061" i="1"/>
  <c r="F2061" i="1"/>
  <c r="G2061" i="1"/>
  <c r="H2061" i="1"/>
  <c r="C2062" i="1"/>
  <c r="D2062" i="1"/>
  <c r="E2062" i="1"/>
  <c r="F2062" i="1"/>
  <c r="G2062" i="1"/>
  <c r="H2062" i="1"/>
  <c r="C2063" i="1"/>
  <c r="D2063" i="1"/>
  <c r="E2063" i="1"/>
  <c r="F2063" i="1"/>
  <c r="G2063" i="1"/>
  <c r="H2063" i="1"/>
  <c r="C2064" i="1"/>
  <c r="D2064" i="1"/>
  <c r="E2064" i="1"/>
  <c r="F2064" i="1"/>
  <c r="G2064" i="1"/>
  <c r="H2064" i="1"/>
  <c r="C2065" i="1"/>
  <c r="D2065" i="1"/>
  <c r="E2065" i="1"/>
  <c r="F2065" i="1"/>
  <c r="G2065" i="1"/>
  <c r="H2065" i="1"/>
  <c r="C2066" i="1"/>
  <c r="D2066" i="1"/>
  <c r="E2066" i="1"/>
  <c r="F2066" i="1"/>
  <c r="G2066" i="1"/>
  <c r="H2066" i="1"/>
  <c r="C2067" i="1"/>
  <c r="D2067" i="1"/>
  <c r="E2067" i="1"/>
  <c r="F2067" i="1"/>
  <c r="G2067" i="1"/>
  <c r="H2067" i="1"/>
  <c r="C2068" i="1"/>
  <c r="D2068" i="1"/>
  <c r="E2068" i="1"/>
  <c r="F2068" i="1"/>
  <c r="G2068" i="1"/>
  <c r="H2068" i="1"/>
  <c r="C2069" i="1"/>
  <c r="D2069" i="1"/>
  <c r="E2069" i="1"/>
  <c r="F2069" i="1"/>
  <c r="G2069" i="1"/>
  <c r="H2069" i="1"/>
  <c r="C2070" i="1"/>
  <c r="D2070" i="1"/>
  <c r="E2070" i="1"/>
  <c r="F2070" i="1"/>
  <c r="G2070" i="1"/>
  <c r="H2070" i="1"/>
  <c r="C2071" i="1"/>
  <c r="D2071" i="1"/>
  <c r="E2071" i="1"/>
  <c r="F2071" i="1"/>
  <c r="G2071" i="1"/>
  <c r="H2071" i="1"/>
  <c r="C2072" i="1"/>
  <c r="D2072" i="1"/>
  <c r="E2072" i="1"/>
  <c r="F2072" i="1"/>
  <c r="G2072" i="1"/>
  <c r="H2072" i="1"/>
  <c r="C2073" i="1"/>
  <c r="D2073" i="1"/>
  <c r="E2073" i="1"/>
  <c r="F2073" i="1"/>
  <c r="G2073" i="1"/>
  <c r="H2073" i="1"/>
  <c r="C2074" i="1"/>
  <c r="D2074" i="1"/>
  <c r="E2074" i="1"/>
  <c r="F2074" i="1"/>
  <c r="G2074" i="1"/>
  <c r="H2074" i="1"/>
  <c r="C2075" i="1"/>
  <c r="D2075" i="1"/>
  <c r="E2075" i="1"/>
  <c r="F2075" i="1"/>
  <c r="G2075" i="1"/>
  <c r="H2075" i="1"/>
  <c r="C2076" i="1"/>
  <c r="D2076" i="1"/>
  <c r="E2076" i="1"/>
  <c r="F2076" i="1"/>
  <c r="G2076" i="1"/>
  <c r="H2076" i="1"/>
  <c r="C2077" i="1"/>
  <c r="D2077" i="1"/>
  <c r="E2077" i="1"/>
  <c r="F2077" i="1"/>
  <c r="G2077" i="1"/>
  <c r="H2077" i="1"/>
  <c r="C2078" i="1"/>
  <c r="D2078" i="1"/>
  <c r="E2078" i="1"/>
  <c r="F2078" i="1"/>
  <c r="G2078" i="1"/>
  <c r="H2078" i="1"/>
  <c r="C2079" i="1"/>
  <c r="D2079" i="1"/>
  <c r="E2079" i="1"/>
  <c r="F2079" i="1"/>
  <c r="G2079" i="1"/>
  <c r="H2079" i="1"/>
  <c r="C2080" i="1"/>
  <c r="D2080" i="1"/>
  <c r="E2080" i="1"/>
  <c r="F2080" i="1"/>
  <c r="G2080" i="1"/>
  <c r="H2080" i="1"/>
  <c r="C2081" i="1"/>
  <c r="D2081" i="1"/>
  <c r="E2081" i="1"/>
  <c r="F2081" i="1"/>
  <c r="G2081" i="1"/>
  <c r="H2081" i="1"/>
  <c r="C2082" i="1"/>
  <c r="D2082" i="1"/>
  <c r="E2082" i="1"/>
  <c r="F2082" i="1"/>
  <c r="G2082" i="1"/>
  <c r="H2082" i="1"/>
  <c r="C2083" i="1"/>
  <c r="D2083" i="1"/>
  <c r="E2083" i="1"/>
  <c r="F2083" i="1"/>
  <c r="G2083" i="1"/>
  <c r="H2083" i="1"/>
  <c r="C2084" i="1"/>
  <c r="D2084" i="1"/>
  <c r="E2084" i="1"/>
  <c r="F2084" i="1"/>
  <c r="G2084" i="1"/>
  <c r="H2084" i="1"/>
  <c r="C2085" i="1"/>
  <c r="D2085" i="1"/>
  <c r="E2085" i="1"/>
  <c r="F2085" i="1"/>
  <c r="G2085" i="1"/>
  <c r="H2085" i="1"/>
  <c r="C2086" i="1"/>
  <c r="D2086" i="1"/>
  <c r="E2086" i="1"/>
  <c r="F2086" i="1"/>
  <c r="G2086" i="1"/>
  <c r="H2086" i="1"/>
  <c r="C2087" i="1"/>
  <c r="D2087" i="1"/>
  <c r="E2087" i="1"/>
  <c r="F2087" i="1"/>
  <c r="G2087" i="1"/>
  <c r="H2087" i="1"/>
  <c r="C2088" i="1"/>
  <c r="D2088" i="1"/>
  <c r="E2088" i="1"/>
  <c r="F2088" i="1"/>
  <c r="G2088" i="1"/>
  <c r="H2088" i="1"/>
  <c r="C2089" i="1"/>
  <c r="D2089" i="1"/>
  <c r="E2089" i="1"/>
  <c r="F2089" i="1"/>
  <c r="G2089" i="1"/>
  <c r="H2089" i="1"/>
  <c r="C2090" i="1"/>
  <c r="D2090" i="1"/>
  <c r="E2090" i="1"/>
  <c r="F2090" i="1"/>
  <c r="G2090" i="1"/>
  <c r="H2090" i="1"/>
  <c r="C2091" i="1"/>
  <c r="D2091" i="1"/>
  <c r="E2091" i="1"/>
  <c r="F2091" i="1"/>
  <c r="G2091" i="1"/>
  <c r="H2091" i="1"/>
  <c r="C2092" i="1"/>
  <c r="D2092" i="1"/>
  <c r="E2092" i="1"/>
  <c r="F2092" i="1"/>
  <c r="G2092" i="1"/>
  <c r="H2092" i="1"/>
  <c r="C2093" i="1"/>
  <c r="D2093" i="1"/>
  <c r="E2093" i="1"/>
  <c r="F2093" i="1"/>
  <c r="G2093" i="1"/>
  <c r="H2093" i="1"/>
  <c r="C2094" i="1"/>
  <c r="D2094" i="1"/>
  <c r="E2094" i="1"/>
  <c r="F2094" i="1"/>
  <c r="G2094" i="1"/>
  <c r="H2094" i="1"/>
  <c r="C2095" i="1"/>
  <c r="D2095" i="1"/>
  <c r="E2095" i="1"/>
  <c r="F2095" i="1"/>
  <c r="G2095" i="1"/>
  <c r="H2095" i="1"/>
  <c r="C2096" i="1"/>
  <c r="D2096" i="1"/>
  <c r="E2096" i="1"/>
  <c r="F2096" i="1"/>
  <c r="G2096" i="1"/>
  <c r="H2096" i="1"/>
  <c r="C2097" i="1"/>
  <c r="D2097" i="1"/>
  <c r="E2097" i="1"/>
  <c r="F2097" i="1"/>
  <c r="G2097" i="1"/>
  <c r="H2097" i="1"/>
  <c r="C2098" i="1"/>
  <c r="D2098" i="1"/>
  <c r="E2098" i="1"/>
  <c r="F2098" i="1"/>
  <c r="G2098" i="1"/>
  <c r="H2098" i="1"/>
  <c r="C2099" i="1"/>
  <c r="D2099" i="1"/>
  <c r="E2099" i="1"/>
  <c r="F2099" i="1"/>
  <c r="G2099" i="1"/>
  <c r="H2099" i="1"/>
  <c r="C2100" i="1"/>
  <c r="D2100" i="1"/>
  <c r="E2100" i="1"/>
  <c r="F2100" i="1"/>
  <c r="G2100" i="1"/>
  <c r="H2100" i="1"/>
  <c r="C2101" i="1"/>
  <c r="D2101" i="1"/>
  <c r="E2101" i="1"/>
  <c r="F2101" i="1"/>
  <c r="G2101" i="1"/>
  <c r="H2101" i="1"/>
  <c r="C2102" i="1"/>
  <c r="D2102" i="1"/>
  <c r="E2102" i="1"/>
  <c r="F2102" i="1"/>
  <c r="G2102" i="1"/>
  <c r="H2102" i="1"/>
  <c r="C2103" i="1"/>
  <c r="D2103" i="1"/>
  <c r="E2103" i="1"/>
  <c r="F2103" i="1"/>
  <c r="G2103" i="1"/>
  <c r="H2103" i="1"/>
  <c r="C2104" i="1"/>
  <c r="D2104" i="1"/>
  <c r="E2104" i="1"/>
  <c r="F2104" i="1"/>
  <c r="G2104" i="1"/>
  <c r="H2104" i="1"/>
  <c r="C2105" i="1"/>
  <c r="D2105" i="1"/>
  <c r="E2105" i="1"/>
  <c r="F2105" i="1"/>
  <c r="G2105" i="1"/>
  <c r="H2105" i="1"/>
  <c r="C2106" i="1"/>
  <c r="D2106" i="1"/>
  <c r="E2106" i="1"/>
  <c r="F2106" i="1"/>
  <c r="G2106" i="1"/>
  <c r="H2106" i="1"/>
  <c r="C2107" i="1"/>
  <c r="D2107" i="1"/>
  <c r="E2107" i="1"/>
  <c r="F2107" i="1"/>
  <c r="G2107" i="1"/>
  <c r="H2107" i="1"/>
  <c r="C2108" i="1"/>
  <c r="D2108" i="1"/>
  <c r="E2108" i="1"/>
  <c r="F2108" i="1"/>
  <c r="G2108" i="1"/>
  <c r="H2108" i="1"/>
  <c r="C2109" i="1"/>
  <c r="D2109" i="1"/>
  <c r="E2109" i="1"/>
  <c r="F2109" i="1"/>
  <c r="G2109" i="1"/>
  <c r="H2109" i="1"/>
  <c r="C2110" i="1"/>
  <c r="D2110" i="1"/>
  <c r="E2110" i="1"/>
  <c r="F2110" i="1"/>
  <c r="G2110" i="1"/>
  <c r="H2110" i="1"/>
  <c r="C2111" i="1"/>
  <c r="D2111" i="1"/>
  <c r="E2111" i="1"/>
  <c r="F2111" i="1"/>
  <c r="G2111" i="1"/>
  <c r="H2111" i="1"/>
  <c r="C2112" i="1"/>
  <c r="D2112" i="1"/>
  <c r="E2112" i="1"/>
  <c r="F2112" i="1"/>
  <c r="G2112" i="1"/>
  <c r="H2112" i="1"/>
  <c r="C2113" i="1"/>
  <c r="D2113" i="1"/>
  <c r="E2113" i="1"/>
  <c r="F2113" i="1"/>
  <c r="G2113" i="1"/>
  <c r="H2113" i="1"/>
  <c r="C2114" i="1"/>
  <c r="D2114" i="1"/>
  <c r="E2114" i="1"/>
  <c r="F2114" i="1"/>
  <c r="G2114" i="1"/>
  <c r="H2114" i="1"/>
  <c r="C2115" i="1"/>
  <c r="D2115" i="1"/>
  <c r="E2115" i="1"/>
  <c r="F2115" i="1"/>
  <c r="G2115" i="1"/>
  <c r="H2115" i="1"/>
  <c r="C2116" i="1"/>
  <c r="D2116" i="1"/>
  <c r="E2116" i="1"/>
  <c r="F2116" i="1"/>
  <c r="G2116" i="1"/>
  <c r="H2116" i="1"/>
  <c r="C2117" i="1"/>
  <c r="D2117" i="1"/>
  <c r="E2117" i="1"/>
  <c r="F2117" i="1"/>
  <c r="G2117" i="1"/>
  <c r="H2117" i="1"/>
  <c r="C2118" i="1"/>
  <c r="D2118" i="1"/>
  <c r="E2118" i="1"/>
  <c r="F2118" i="1"/>
  <c r="G2118" i="1"/>
  <c r="H2118" i="1"/>
  <c r="C2119" i="1"/>
  <c r="D2119" i="1"/>
  <c r="E2119" i="1"/>
  <c r="F2119" i="1"/>
  <c r="G2119" i="1"/>
  <c r="H2119" i="1"/>
  <c r="C2120" i="1"/>
  <c r="D2120" i="1"/>
  <c r="E2120" i="1"/>
  <c r="F2120" i="1"/>
  <c r="G2120" i="1"/>
  <c r="H2120" i="1"/>
  <c r="C2121" i="1"/>
  <c r="D2121" i="1"/>
  <c r="E2121" i="1"/>
  <c r="F2121" i="1"/>
  <c r="G2121" i="1"/>
  <c r="H2121" i="1"/>
  <c r="C2122" i="1"/>
  <c r="D2122" i="1"/>
  <c r="E2122" i="1"/>
  <c r="F2122" i="1"/>
  <c r="G2122" i="1"/>
  <c r="H2122" i="1"/>
  <c r="C2123" i="1"/>
  <c r="D2123" i="1"/>
  <c r="E2123" i="1"/>
  <c r="F2123" i="1"/>
  <c r="G2123" i="1"/>
  <c r="H2123" i="1"/>
  <c r="C2124" i="1"/>
  <c r="D2124" i="1"/>
  <c r="E2124" i="1"/>
  <c r="F2124" i="1"/>
  <c r="G2124" i="1"/>
  <c r="H2124" i="1"/>
  <c r="C2125" i="1"/>
  <c r="D2125" i="1"/>
  <c r="E2125" i="1"/>
  <c r="F2125" i="1"/>
  <c r="G2125" i="1"/>
  <c r="H2125" i="1"/>
  <c r="C2126" i="1"/>
  <c r="D2126" i="1"/>
  <c r="E2126" i="1"/>
  <c r="F2126" i="1"/>
  <c r="G2126" i="1"/>
  <c r="H2126" i="1"/>
  <c r="C2127" i="1"/>
  <c r="D2127" i="1"/>
  <c r="E2127" i="1"/>
  <c r="F2127" i="1"/>
  <c r="G2127" i="1"/>
  <c r="H2127" i="1"/>
  <c r="C2128" i="1"/>
  <c r="D2128" i="1"/>
  <c r="E2128" i="1"/>
  <c r="F2128" i="1"/>
  <c r="G2128" i="1"/>
  <c r="H2128" i="1"/>
  <c r="C2129" i="1"/>
  <c r="D2129" i="1"/>
  <c r="E2129" i="1"/>
  <c r="F2129" i="1"/>
  <c r="G2129" i="1"/>
  <c r="H2129" i="1"/>
  <c r="C2130" i="1"/>
  <c r="D2130" i="1"/>
  <c r="E2130" i="1"/>
  <c r="F2130" i="1"/>
  <c r="G2130" i="1"/>
  <c r="H2130" i="1"/>
  <c r="C2131" i="1"/>
  <c r="D2131" i="1"/>
  <c r="E2131" i="1"/>
  <c r="F2131" i="1"/>
  <c r="G2131" i="1"/>
  <c r="H2131" i="1"/>
  <c r="C2132" i="1"/>
  <c r="D2132" i="1"/>
  <c r="E2132" i="1"/>
  <c r="F2132" i="1"/>
  <c r="G2132" i="1"/>
  <c r="H2132" i="1"/>
  <c r="C2133" i="1"/>
  <c r="D2133" i="1"/>
  <c r="E2133" i="1"/>
  <c r="F2133" i="1"/>
  <c r="G2133" i="1"/>
  <c r="H2133" i="1"/>
  <c r="C2134" i="1"/>
  <c r="D2134" i="1"/>
  <c r="E2134" i="1"/>
  <c r="F2134" i="1"/>
  <c r="G2134" i="1"/>
  <c r="H2134" i="1"/>
  <c r="C2135" i="1"/>
  <c r="D2135" i="1"/>
  <c r="E2135" i="1"/>
  <c r="F2135" i="1"/>
  <c r="G2135" i="1"/>
  <c r="H2135" i="1"/>
  <c r="C2136" i="1"/>
  <c r="D2136" i="1"/>
  <c r="E2136" i="1"/>
  <c r="F2136" i="1"/>
  <c r="G2136" i="1"/>
  <c r="H2136" i="1"/>
  <c r="C2137" i="1"/>
  <c r="D2137" i="1"/>
  <c r="E2137" i="1"/>
  <c r="F2137" i="1"/>
  <c r="G2137" i="1"/>
  <c r="H2137" i="1"/>
  <c r="C2138" i="1"/>
  <c r="D2138" i="1"/>
  <c r="E2138" i="1"/>
  <c r="F2138" i="1"/>
  <c r="G2138" i="1"/>
  <c r="H2138" i="1"/>
  <c r="C2139" i="1"/>
  <c r="D2139" i="1"/>
  <c r="E2139" i="1"/>
  <c r="F2139" i="1"/>
  <c r="G2139" i="1"/>
  <c r="H2139" i="1"/>
  <c r="C2140" i="1"/>
  <c r="D2140" i="1"/>
  <c r="E2140" i="1"/>
  <c r="F2140" i="1"/>
  <c r="G2140" i="1"/>
  <c r="H2140" i="1"/>
  <c r="C2141" i="1"/>
  <c r="D2141" i="1"/>
  <c r="E2141" i="1"/>
  <c r="F2141" i="1"/>
  <c r="G2141" i="1"/>
  <c r="H2141" i="1"/>
  <c r="C2142" i="1"/>
  <c r="D2142" i="1"/>
  <c r="E2142" i="1"/>
  <c r="F2142" i="1"/>
  <c r="G2142" i="1"/>
  <c r="H2142" i="1"/>
  <c r="C2143" i="1"/>
  <c r="D2143" i="1"/>
  <c r="E2143" i="1"/>
  <c r="F2143" i="1"/>
  <c r="G2143" i="1"/>
  <c r="H2143" i="1"/>
  <c r="C2144" i="1"/>
  <c r="D2144" i="1"/>
  <c r="E2144" i="1"/>
  <c r="F2144" i="1"/>
  <c r="G2144" i="1"/>
  <c r="H2144" i="1"/>
  <c r="C2145" i="1"/>
  <c r="D2145" i="1"/>
  <c r="E2145" i="1"/>
  <c r="F2145" i="1"/>
  <c r="G2145" i="1"/>
  <c r="H2145" i="1"/>
  <c r="C2146" i="1"/>
  <c r="D2146" i="1"/>
  <c r="E2146" i="1"/>
  <c r="F2146" i="1"/>
  <c r="G2146" i="1"/>
  <c r="H2146" i="1"/>
  <c r="C2147" i="1"/>
  <c r="D2147" i="1"/>
  <c r="E2147" i="1"/>
  <c r="F2147" i="1"/>
  <c r="G2147" i="1"/>
  <c r="H2147" i="1"/>
  <c r="C2148" i="1"/>
  <c r="D2148" i="1"/>
  <c r="E2148" i="1"/>
  <c r="F2148" i="1"/>
  <c r="G2148" i="1"/>
  <c r="H2148" i="1"/>
  <c r="C2149" i="1"/>
  <c r="D2149" i="1"/>
  <c r="E2149" i="1"/>
  <c r="F2149" i="1"/>
  <c r="G2149" i="1"/>
  <c r="H2149" i="1"/>
  <c r="C2150" i="1"/>
  <c r="D2150" i="1"/>
  <c r="E2150" i="1"/>
  <c r="F2150" i="1"/>
  <c r="G2150" i="1"/>
  <c r="H2150" i="1"/>
  <c r="C2151" i="1"/>
  <c r="D2151" i="1"/>
  <c r="E2151" i="1"/>
  <c r="F2151" i="1"/>
  <c r="G2151" i="1"/>
  <c r="H2151" i="1"/>
  <c r="C2152" i="1"/>
  <c r="D2152" i="1"/>
  <c r="E2152" i="1"/>
  <c r="F2152" i="1"/>
  <c r="G2152" i="1"/>
  <c r="H2152" i="1"/>
  <c r="C2153" i="1"/>
  <c r="D2153" i="1"/>
  <c r="E2153" i="1"/>
  <c r="F2153" i="1"/>
  <c r="G2153" i="1"/>
  <c r="H2153" i="1"/>
  <c r="C2154" i="1"/>
  <c r="D2154" i="1"/>
  <c r="E2154" i="1"/>
  <c r="F2154" i="1"/>
  <c r="G2154" i="1"/>
  <c r="H2154" i="1"/>
  <c r="C2155" i="1"/>
  <c r="D2155" i="1"/>
  <c r="E2155" i="1"/>
  <c r="F2155" i="1"/>
  <c r="G2155" i="1"/>
  <c r="H2155" i="1"/>
  <c r="C2156" i="1"/>
  <c r="D2156" i="1"/>
  <c r="E2156" i="1"/>
  <c r="F2156" i="1"/>
  <c r="G2156" i="1"/>
  <c r="H2156" i="1"/>
  <c r="C2157" i="1"/>
  <c r="D2157" i="1"/>
  <c r="E2157" i="1"/>
  <c r="F2157" i="1"/>
  <c r="G2157" i="1"/>
  <c r="H2157" i="1"/>
  <c r="C2158" i="1"/>
  <c r="D2158" i="1"/>
  <c r="E2158" i="1"/>
  <c r="F2158" i="1"/>
  <c r="G2158" i="1"/>
  <c r="H2158" i="1"/>
  <c r="C2159" i="1"/>
  <c r="D2159" i="1"/>
  <c r="E2159" i="1"/>
  <c r="F2159" i="1"/>
  <c r="G2159" i="1"/>
  <c r="H2159" i="1"/>
  <c r="C2160" i="1"/>
  <c r="D2160" i="1"/>
  <c r="E2160" i="1"/>
  <c r="F2160" i="1"/>
  <c r="G2160" i="1"/>
  <c r="H2160" i="1"/>
  <c r="C2161" i="1"/>
  <c r="D2161" i="1"/>
  <c r="E2161" i="1"/>
  <c r="F2161" i="1"/>
  <c r="G2161" i="1"/>
  <c r="H2161" i="1"/>
  <c r="C2162" i="1"/>
  <c r="D2162" i="1"/>
  <c r="E2162" i="1"/>
  <c r="F2162" i="1"/>
  <c r="G2162" i="1"/>
  <c r="H2162" i="1"/>
  <c r="C2163" i="1"/>
  <c r="D2163" i="1"/>
  <c r="E2163" i="1"/>
  <c r="F2163" i="1"/>
  <c r="G2163" i="1"/>
  <c r="H2163" i="1"/>
  <c r="C2164" i="1"/>
  <c r="D2164" i="1"/>
  <c r="E2164" i="1"/>
  <c r="F2164" i="1"/>
  <c r="G2164" i="1"/>
  <c r="H2164" i="1"/>
  <c r="C2165" i="1"/>
  <c r="D2165" i="1"/>
  <c r="E2165" i="1"/>
  <c r="F2165" i="1"/>
  <c r="G2165" i="1"/>
  <c r="H2165" i="1"/>
  <c r="C2166" i="1"/>
  <c r="D2166" i="1"/>
  <c r="E2166" i="1"/>
  <c r="F2166" i="1"/>
  <c r="G2166" i="1"/>
  <c r="H2166" i="1"/>
  <c r="C2167" i="1"/>
  <c r="D2167" i="1"/>
  <c r="E2167" i="1"/>
  <c r="F2167" i="1"/>
  <c r="G2167" i="1"/>
  <c r="H2167" i="1"/>
  <c r="C2168" i="1"/>
  <c r="D2168" i="1"/>
  <c r="E2168" i="1"/>
  <c r="F2168" i="1"/>
  <c r="G2168" i="1"/>
  <c r="H2168" i="1"/>
  <c r="C2169" i="1"/>
  <c r="D2169" i="1"/>
  <c r="E2169" i="1"/>
  <c r="F2169" i="1"/>
  <c r="G2169" i="1"/>
  <c r="H2169" i="1"/>
  <c r="C2170" i="1"/>
  <c r="D2170" i="1"/>
  <c r="E2170" i="1"/>
  <c r="F2170" i="1"/>
  <c r="G2170" i="1"/>
  <c r="H2170" i="1"/>
  <c r="C2171" i="1"/>
  <c r="D2171" i="1"/>
  <c r="E2171" i="1"/>
  <c r="F2171" i="1"/>
  <c r="G2171" i="1"/>
  <c r="H2171" i="1"/>
  <c r="C2172" i="1"/>
  <c r="D2172" i="1"/>
  <c r="E2172" i="1"/>
  <c r="F2172" i="1"/>
  <c r="G2172" i="1"/>
  <c r="H2172" i="1"/>
  <c r="C2173" i="1"/>
  <c r="D2173" i="1"/>
  <c r="E2173" i="1"/>
  <c r="F2173" i="1"/>
  <c r="G2173" i="1"/>
  <c r="H2173" i="1"/>
  <c r="C2174" i="1"/>
  <c r="D2174" i="1"/>
  <c r="E2174" i="1"/>
  <c r="F2174" i="1"/>
  <c r="G2174" i="1"/>
  <c r="H2174" i="1"/>
  <c r="C2175" i="1"/>
  <c r="D2175" i="1"/>
  <c r="E2175" i="1"/>
  <c r="F2175" i="1"/>
  <c r="G2175" i="1"/>
  <c r="H2175" i="1"/>
  <c r="C2176" i="1"/>
  <c r="D2176" i="1"/>
  <c r="E2176" i="1"/>
  <c r="F2176" i="1"/>
  <c r="G2176" i="1"/>
  <c r="H2176" i="1"/>
  <c r="C2177" i="1"/>
  <c r="D2177" i="1"/>
  <c r="E2177" i="1"/>
  <c r="F2177" i="1"/>
  <c r="G2177" i="1"/>
  <c r="H2177" i="1"/>
  <c r="C2178" i="1"/>
  <c r="D2178" i="1"/>
  <c r="E2178" i="1"/>
  <c r="F2178" i="1"/>
  <c r="G2178" i="1"/>
  <c r="H2178" i="1"/>
  <c r="C2179" i="1"/>
  <c r="D2179" i="1"/>
  <c r="E2179" i="1"/>
  <c r="F2179" i="1"/>
  <c r="G2179" i="1"/>
  <c r="H2179" i="1"/>
  <c r="C2180" i="1"/>
  <c r="D2180" i="1"/>
  <c r="E2180" i="1"/>
  <c r="F2180" i="1"/>
  <c r="G2180" i="1"/>
  <c r="H2180" i="1"/>
  <c r="C2181" i="1"/>
  <c r="D2181" i="1"/>
  <c r="E2181" i="1"/>
  <c r="F2181" i="1"/>
  <c r="G2181" i="1"/>
  <c r="H2181" i="1"/>
  <c r="C2182" i="1"/>
  <c r="D2182" i="1"/>
  <c r="E2182" i="1"/>
  <c r="F2182" i="1"/>
  <c r="G2182" i="1"/>
  <c r="H2182" i="1"/>
  <c r="C2183" i="1"/>
  <c r="D2183" i="1"/>
  <c r="E2183" i="1"/>
  <c r="F2183" i="1"/>
  <c r="G2183" i="1"/>
  <c r="H2183" i="1"/>
  <c r="C2184" i="1"/>
  <c r="D2184" i="1"/>
  <c r="E2184" i="1"/>
  <c r="F2184" i="1"/>
  <c r="G2184" i="1"/>
  <c r="H2184" i="1"/>
  <c r="C2185" i="1"/>
  <c r="D2185" i="1"/>
  <c r="E2185" i="1"/>
  <c r="F2185" i="1"/>
  <c r="G2185" i="1"/>
  <c r="H2185" i="1"/>
  <c r="C2186" i="1"/>
  <c r="D2186" i="1"/>
  <c r="E2186" i="1"/>
  <c r="F2186" i="1"/>
  <c r="G2186" i="1"/>
  <c r="H2186" i="1"/>
  <c r="C2187" i="1"/>
  <c r="D2187" i="1"/>
  <c r="E2187" i="1"/>
  <c r="F2187" i="1"/>
  <c r="G2187" i="1"/>
  <c r="H2187" i="1"/>
  <c r="C2188" i="1"/>
  <c r="D2188" i="1"/>
  <c r="E2188" i="1"/>
  <c r="F2188" i="1"/>
  <c r="G2188" i="1"/>
  <c r="H2188" i="1"/>
  <c r="C2189" i="1"/>
  <c r="D2189" i="1"/>
  <c r="E2189" i="1"/>
  <c r="F2189" i="1"/>
  <c r="G2189" i="1"/>
  <c r="H2189" i="1"/>
  <c r="C2190" i="1"/>
  <c r="D2190" i="1"/>
  <c r="E2190" i="1"/>
  <c r="F2190" i="1"/>
  <c r="G2190" i="1"/>
  <c r="H2190" i="1"/>
  <c r="C2191" i="1"/>
  <c r="D2191" i="1"/>
  <c r="E2191" i="1"/>
  <c r="F2191" i="1"/>
  <c r="G2191" i="1"/>
  <c r="H2191" i="1"/>
  <c r="C2192" i="1"/>
  <c r="D2192" i="1"/>
  <c r="E2192" i="1"/>
  <c r="F2192" i="1"/>
  <c r="G2192" i="1"/>
  <c r="H2192" i="1"/>
  <c r="C2193" i="1"/>
  <c r="D2193" i="1"/>
  <c r="E2193" i="1"/>
  <c r="F2193" i="1"/>
  <c r="G2193" i="1"/>
  <c r="H2193" i="1"/>
  <c r="C2194" i="1"/>
  <c r="D2194" i="1"/>
  <c r="E2194" i="1"/>
  <c r="F2194" i="1"/>
  <c r="G2194" i="1"/>
  <c r="H2194" i="1"/>
  <c r="C2195" i="1"/>
  <c r="D2195" i="1"/>
  <c r="E2195" i="1"/>
  <c r="F2195" i="1"/>
  <c r="G2195" i="1"/>
  <c r="H2195" i="1"/>
  <c r="C2196" i="1"/>
  <c r="D2196" i="1"/>
  <c r="E2196" i="1"/>
  <c r="F2196" i="1"/>
  <c r="G2196" i="1"/>
  <c r="H2196" i="1"/>
  <c r="C2197" i="1"/>
  <c r="D2197" i="1"/>
  <c r="E2197" i="1"/>
  <c r="F2197" i="1"/>
  <c r="G2197" i="1"/>
  <c r="H2197" i="1"/>
  <c r="C2198" i="1"/>
  <c r="D2198" i="1"/>
  <c r="E2198" i="1"/>
  <c r="F2198" i="1"/>
  <c r="G2198" i="1"/>
  <c r="H2198" i="1"/>
  <c r="C2199" i="1"/>
  <c r="D2199" i="1"/>
  <c r="E2199" i="1"/>
  <c r="F2199" i="1"/>
  <c r="G2199" i="1"/>
  <c r="H2199" i="1"/>
  <c r="C2200" i="1"/>
  <c r="D2200" i="1"/>
  <c r="E2200" i="1"/>
  <c r="F2200" i="1"/>
  <c r="G2200" i="1"/>
  <c r="H2200" i="1"/>
  <c r="C2201" i="1"/>
  <c r="D2201" i="1"/>
  <c r="E2201" i="1"/>
  <c r="F2201" i="1"/>
  <c r="G2201" i="1"/>
  <c r="H2201" i="1"/>
  <c r="C2202" i="1"/>
  <c r="D2202" i="1"/>
  <c r="E2202" i="1"/>
  <c r="F2202" i="1"/>
  <c r="G2202" i="1"/>
  <c r="H2202" i="1"/>
  <c r="C2203" i="1"/>
  <c r="D2203" i="1"/>
  <c r="E2203" i="1"/>
  <c r="F2203" i="1"/>
  <c r="G2203" i="1"/>
  <c r="H2203" i="1"/>
  <c r="C2204" i="1"/>
  <c r="D2204" i="1"/>
  <c r="E2204" i="1"/>
  <c r="F2204" i="1"/>
  <c r="G2204" i="1"/>
  <c r="H2204" i="1"/>
  <c r="C2205" i="1"/>
  <c r="D2205" i="1"/>
  <c r="E2205" i="1"/>
  <c r="F2205" i="1"/>
  <c r="G2205" i="1"/>
  <c r="H2205" i="1"/>
  <c r="C2206" i="1"/>
  <c r="D2206" i="1"/>
  <c r="E2206" i="1"/>
  <c r="F2206" i="1"/>
  <c r="G2206" i="1"/>
  <c r="H2206" i="1"/>
  <c r="C2207" i="1"/>
  <c r="D2207" i="1"/>
  <c r="E2207" i="1"/>
  <c r="F2207" i="1"/>
  <c r="G2207" i="1"/>
  <c r="H2207" i="1"/>
  <c r="C2208" i="1"/>
  <c r="D2208" i="1"/>
  <c r="E2208" i="1"/>
  <c r="F2208" i="1"/>
  <c r="G2208" i="1"/>
  <c r="H2208" i="1"/>
  <c r="C2209" i="1"/>
  <c r="D2209" i="1"/>
  <c r="E2209" i="1"/>
  <c r="F2209" i="1"/>
  <c r="G2209" i="1"/>
  <c r="H2209" i="1"/>
  <c r="C2210" i="1"/>
  <c r="D2210" i="1"/>
  <c r="E2210" i="1"/>
  <c r="F2210" i="1"/>
  <c r="G2210" i="1"/>
  <c r="H2210" i="1"/>
  <c r="C2211" i="1"/>
  <c r="D2211" i="1"/>
  <c r="E2211" i="1"/>
  <c r="F2211" i="1"/>
  <c r="G2211" i="1"/>
  <c r="H2211" i="1"/>
  <c r="C2212" i="1"/>
  <c r="D2212" i="1"/>
  <c r="E2212" i="1"/>
  <c r="F2212" i="1"/>
  <c r="G2212" i="1"/>
  <c r="H2212" i="1"/>
  <c r="C2213" i="1"/>
  <c r="D2213" i="1"/>
  <c r="E2213" i="1"/>
  <c r="F2213" i="1"/>
  <c r="G2213" i="1"/>
  <c r="H2213" i="1"/>
  <c r="C2214" i="1"/>
  <c r="D2214" i="1"/>
  <c r="E2214" i="1"/>
  <c r="F2214" i="1"/>
  <c r="G2214" i="1"/>
  <c r="H2214" i="1"/>
  <c r="C2215" i="1"/>
  <c r="D2215" i="1"/>
  <c r="E2215" i="1"/>
  <c r="F2215" i="1"/>
  <c r="G2215" i="1"/>
  <c r="H2215" i="1"/>
  <c r="C2216" i="1"/>
  <c r="D2216" i="1"/>
  <c r="E2216" i="1"/>
  <c r="F2216" i="1"/>
  <c r="G2216" i="1"/>
  <c r="H2216" i="1"/>
  <c r="C2217" i="1"/>
  <c r="D2217" i="1"/>
  <c r="E2217" i="1"/>
  <c r="F2217" i="1"/>
  <c r="G2217" i="1"/>
  <c r="H2217" i="1"/>
  <c r="C2218" i="1"/>
  <c r="D2218" i="1"/>
  <c r="E2218" i="1"/>
  <c r="F2218" i="1"/>
  <c r="G2218" i="1"/>
  <c r="H2218" i="1"/>
  <c r="C2219" i="1"/>
  <c r="D2219" i="1"/>
  <c r="E2219" i="1"/>
  <c r="F2219" i="1"/>
  <c r="G2219" i="1"/>
  <c r="H2219" i="1"/>
  <c r="C2220" i="1"/>
  <c r="D2220" i="1"/>
  <c r="E2220" i="1"/>
  <c r="F2220" i="1"/>
  <c r="G2220" i="1"/>
  <c r="H2220" i="1"/>
  <c r="C2221" i="1"/>
  <c r="D2221" i="1"/>
  <c r="E2221" i="1"/>
  <c r="F2221" i="1"/>
  <c r="G2221" i="1"/>
  <c r="H2221" i="1"/>
  <c r="C2222" i="1"/>
  <c r="D2222" i="1"/>
  <c r="E2222" i="1"/>
  <c r="F2222" i="1"/>
  <c r="G2222" i="1"/>
  <c r="H2222" i="1"/>
  <c r="C2223" i="1"/>
  <c r="D2223" i="1"/>
  <c r="E2223" i="1"/>
  <c r="F2223" i="1"/>
  <c r="G2223" i="1"/>
  <c r="H2223" i="1"/>
  <c r="C2224" i="1"/>
  <c r="D2224" i="1"/>
  <c r="E2224" i="1"/>
  <c r="F2224" i="1"/>
  <c r="G2224" i="1"/>
  <c r="H2224" i="1"/>
  <c r="C2225" i="1"/>
  <c r="D2225" i="1"/>
  <c r="E2225" i="1"/>
  <c r="F2225" i="1"/>
  <c r="G2225" i="1"/>
  <c r="H2225" i="1"/>
  <c r="C2226" i="1"/>
  <c r="D2226" i="1"/>
  <c r="E2226" i="1"/>
  <c r="F2226" i="1"/>
  <c r="G2226" i="1"/>
  <c r="H2226" i="1"/>
  <c r="C2227" i="1"/>
  <c r="D2227" i="1"/>
  <c r="E2227" i="1"/>
  <c r="F2227" i="1"/>
  <c r="G2227" i="1"/>
  <c r="H2227" i="1"/>
  <c r="C2228" i="1"/>
  <c r="D2228" i="1"/>
  <c r="E2228" i="1"/>
  <c r="F2228" i="1"/>
  <c r="G2228" i="1"/>
  <c r="H2228" i="1"/>
  <c r="C2229" i="1"/>
  <c r="D2229" i="1"/>
  <c r="E2229" i="1"/>
  <c r="F2229" i="1"/>
  <c r="G2229" i="1"/>
  <c r="H2229" i="1"/>
  <c r="C2230" i="1"/>
  <c r="D2230" i="1"/>
  <c r="E2230" i="1"/>
  <c r="F2230" i="1"/>
  <c r="G2230" i="1"/>
  <c r="H2230" i="1"/>
  <c r="C2231" i="1"/>
  <c r="D2231" i="1"/>
  <c r="E2231" i="1"/>
  <c r="F2231" i="1"/>
  <c r="G2231" i="1"/>
  <c r="H2231" i="1"/>
  <c r="C2232" i="1"/>
  <c r="D2232" i="1"/>
  <c r="E2232" i="1"/>
  <c r="F2232" i="1"/>
  <c r="G2232" i="1"/>
  <c r="H2232" i="1"/>
  <c r="C2233" i="1"/>
  <c r="D2233" i="1"/>
  <c r="E2233" i="1"/>
  <c r="F2233" i="1"/>
  <c r="G2233" i="1"/>
  <c r="H2233" i="1"/>
  <c r="C2234" i="1"/>
  <c r="D2234" i="1"/>
  <c r="E2234" i="1"/>
  <c r="F2234" i="1"/>
  <c r="G2234" i="1"/>
  <c r="H2234" i="1"/>
  <c r="C2235" i="1"/>
  <c r="D2235" i="1"/>
  <c r="E2235" i="1"/>
  <c r="F2235" i="1"/>
  <c r="G2235" i="1"/>
  <c r="H2235" i="1"/>
  <c r="C2236" i="1"/>
  <c r="D2236" i="1"/>
  <c r="E2236" i="1"/>
  <c r="F2236" i="1"/>
  <c r="G2236" i="1"/>
  <c r="H2236" i="1"/>
  <c r="C2237" i="1"/>
  <c r="D2237" i="1"/>
  <c r="E2237" i="1"/>
  <c r="F2237" i="1"/>
  <c r="G2237" i="1"/>
  <c r="H2237" i="1"/>
  <c r="C2238" i="1"/>
  <c r="D2238" i="1"/>
  <c r="E2238" i="1"/>
  <c r="F2238" i="1"/>
  <c r="G2238" i="1"/>
  <c r="H2238" i="1"/>
  <c r="C2239" i="1"/>
  <c r="D2239" i="1"/>
  <c r="E2239" i="1"/>
  <c r="F2239" i="1"/>
  <c r="G2239" i="1"/>
  <c r="H2239" i="1"/>
  <c r="C2240" i="1"/>
  <c r="D2240" i="1"/>
  <c r="E2240" i="1"/>
  <c r="F2240" i="1"/>
  <c r="G2240" i="1"/>
  <c r="H2240" i="1"/>
  <c r="C2241" i="1"/>
  <c r="D2241" i="1"/>
  <c r="E2241" i="1"/>
  <c r="F2241" i="1"/>
  <c r="G2241" i="1"/>
  <c r="H2241" i="1"/>
  <c r="C2242" i="1"/>
  <c r="D2242" i="1"/>
  <c r="E2242" i="1"/>
  <c r="F2242" i="1"/>
  <c r="G2242" i="1"/>
  <c r="H2242" i="1"/>
  <c r="C2243" i="1"/>
  <c r="D2243" i="1"/>
  <c r="E2243" i="1"/>
  <c r="F2243" i="1"/>
  <c r="G2243" i="1"/>
  <c r="H2243" i="1"/>
  <c r="C2244" i="1"/>
  <c r="D2244" i="1"/>
  <c r="E2244" i="1"/>
  <c r="F2244" i="1"/>
  <c r="G2244" i="1"/>
  <c r="H2244" i="1"/>
  <c r="C2245" i="1"/>
  <c r="D2245" i="1"/>
  <c r="E2245" i="1"/>
  <c r="F2245" i="1"/>
  <c r="G2245" i="1"/>
  <c r="H2245" i="1"/>
  <c r="C2246" i="1"/>
  <c r="D2246" i="1"/>
  <c r="E2246" i="1"/>
  <c r="F2246" i="1"/>
  <c r="G2246" i="1"/>
  <c r="H2246" i="1"/>
  <c r="C2247" i="1"/>
  <c r="D2247" i="1"/>
  <c r="E2247" i="1"/>
  <c r="F2247" i="1"/>
  <c r="G2247" i="1"/>
  <c r="H2247" i="1"/>
  <c r="C2248" i="1"/>
  <c r="D2248" i="1"/>
  <c r="E2248" i="1"/>
  <c r="F2248" i="1"/>
  <c r="G2248" i="1"/>
  <c r="H2248" i="1"/>
  <c r="C2249" i="1"/>
  <c r="D2249" i="1"/>
  <c r="E2249" i="1"/>
  <c r="F2249" i="1"/>
  <c r="G2249" i="1"/>
  <c r="H2249" i="1"/>
  <c r="C2250" i="1"/>
  <c r="D2250" i="1"/>
  <c r="E2250" i="1"/>
  <c r="F2250" i="1"/>
  <c r="G2250" i="1"/>
  <c r="H2250" i="1"/>
  <c r="C2251" i="1"/>
  <c r="D2251" i="1"/>
  <c r="E2251" i="1"/>
  <c r="F2251" i="1"/>
  <c r="G2251" i="1"/>
  <c r="H2251" i="1"/>
  <c r="C2252" i="1"/>
  <c r="D2252" i="1"/>
  <c r="E2252" i="1"/>
  <c r="F2252" i="1"/>
  <c r="G2252" i="1"/>
  <c r="H2252" i="1"/>
  <c r="C2253" i="1"/>
  <c r="D2253" i="1"/>
  <c r="E2253" i="1"/>
  <c r="F2253" i="1"/>
  <c r="G2253" i="1"/>
  <c r="H2253" i="1"/>
  <c r="C2254" i="1"/>
  <c r="D2254" i="1"/>
  <c r="E2254" i="1"/>
  <c r="F2254" i="1"/>
  <c r="G2254" i="1"/>
  <c r="H2254" i="1"/>
  <c r="C2255" i="1"/>
  <c r="D2255" i="1"/>
  <c r="E2255" i="1"/>
  <c r="F2255" i="1"/>
  <c r="G2255" i="1"/>
  <c r="H2255" i="1"/>
  <c r="C2256" i="1"/>
  <c r="D2256" i="1"/>
  <c r="E2256" i="1"/>
  <c r="F2256" i="1"/>
  <c r="G2256" i="1"/>
  <c r="H2256" i="1"/>
  <c r="C2257" i="1"/>
  <c r="D2257" i="1"/>
  <c r="E2257" i="1"/>
  <c r="F2257" i="1"/>
  <c r="G2257" i="1"/>
  <c r="H2257" i="1"/>
  <c r="C2258" i="1"/>
  <c r="D2258" i="1"/>
  <c r="E2258" i="1"/>
  <c r="F2258" i="1"/>
  <c r="G2258" i="1"/>
  <c r="H2258" i="1"/>
  <c r="C2259" i="1"/>
  <c r="D2259" i="1"/>
  <c r="E2259" i="1"/>
  <c r="F2259" i="1"/>
  <c r="G2259" i="1"/>
  <c r="H2259" i="1"/>
  <c r="C2260" i="1"/>
  <c r="D2260" i="1"/>
  <c r="E2260" i="1"/>
  <c r="F2260" i="1"/>
  <c r="G2260" i="1"/>
  <c r="H2260" i="1"/>
  <c r="C2261" i="1"/>
  <c r="D2261" i="1"/>
  <c r="E2261" i="1"/>
  <c r="F2261" i="1"/>
  <c r="G2261" i="1"/>
  <c r="H2261" i="1"/>
  <c r="C2262" i="1"/>
  <c r="D2262" i="1"/>
  <c r="E2262" i="1"/>
  <c r="F2262" i="1"/>
  <c r="G2262" i="1"/>
  <c r="H2262" i="1"/>
  <c r="C2263" i="1"/>
  <c r="D2263" i="1"/>
  <c r="E2263" i="1"/>
  <c r="F2263" i="1"/>
  <c r="G2263" i="1"/>
  <c r="H2263" i="1"/>
  <c r="C2264" i="1"/>
  <c r="D2264" i="1"/>
  <c r="E2264" i="1"/>
  <c r="F2264" i="1"/>
  <c r="G2264" i="1"/>
  <c r="H2264" i="1"/>
  <c r="C2265" i="1"/>
  <c r="D2265" i="1"/>
  <c r="E2265" i="1"/>
  <c r="F2265" i="1"/>
  <c r="G2265" i="1"/>
  <c r="H2265" i="1"/>
  <c r="C2266" i="1"/>
  <c r="D2266" i="1"/>
  <c r="E2266" i="1"/>
  <c r="F2266" i="1"/>
  <c r="G2266" i="1"/>
  <c r="H2266" i="1"/>
  <c r="C2267" i="1"/>
  <c r="D2267" i="1"/>
  <c r="E2267" i="1"/>
  <c r="F2267" i="1"/>
  <c r="G2267" i="1"/>
  <c r="H2267" i="1"/>
  <c r="C2268" i="1"/>
  <c r="D2268" i="1"/>
  <c r="E2268" i="1"/>
  <c r="F2268" i="1"/>
  <c r="G2268" i="1"/>
  <c r="H2268" i="1"/>
  <c r="C2269" i="1"/>
  <c r="D2269" i="1"/>
  <c r="E2269" i="1"/>
  <c r="F2269" i="1"/>
  <c r="G2269" i="1"/>
  <c r="H2269" i="1"/>
  <c r="C2270" i="1"/>
  <c r="D2270" i="1"/>
  <c r="E2270" i="1"/>
  <c r="F2270" i="1"/>
  <c r="G2270" i="1"/>
  <c r="H2270" i="1"/>
  <c r="C2271" i="1"/>
  <c r="D2271" i="1"/>
  <c r="E2271" i="1"/>
  <c r="F2271" i="1"/>
  <c r="G2271" i="1"/>
  <c r="H2271" i="1"/>
  <c r="C2272" i="1"/>
  <c r="D2272" i="1"/>
  <c r="E2272" i="1"/>
  <c r="F2272" i="1"/>
  <c r="G2272" i="1"/>
  <c r="H2272" i="1"/>
  <c r="C2273" i="1"/>
  <c r="D2273" i="1"/>
  <c r="E2273" i="1"/>
  <c r="F2273" i="1"/>
  <c r="G2273" i="1"/>
  <c r="H2273" i="1"/>
  <c r="C2274" i="1"/>
  <c r="D2274" i="1"/>
  <c r="E2274" i="1"/>
  <c r="F2274" i="1"/>
  <c r="G2274" i="1"/>
  <c r="H2274" i="1"/>
  <c r="C2275" i="1"/>
  <c r="D2275" i="1"/>
  <c r="E2275" i="1"/>
  <c r="F2275" i="1"/>
  <c r="G2275" i="1"/>
  <c r="H2275" i="1"/>
  <c r="C2276" i="1"/>
  <c r="D2276" i="1"/>
  <c r="E2276" i="1"/>
  <c r="F2276" i="1"/>
  <c r="G2276" i="1"/>
  <c r="H2276" i="1"/>
  <c r="C2277" i="1"/>
  <c r="D2277" i="1"/>
  <c r="E2277" i="1"/>
  <c r="F2277" i="1"/>
  <c r="G2277" i="1"/>
  <c r="H2277" i="1"/>
  <c r="C2278" i="1"/>
  <c r="D2278" i="1"/>
  <c r="E2278" i="1"/>
  <c r="F2278" i="1"/>
  <c r="G2278" i="1"/>
  <c r="H2278" i="1"/>
  <c r="C2279" i="1"/>
  <c r="D2279" i="1"/>
  <c r="E2279" i="1"/>
  <c r="F2279" i="1"/>
  <c r="G2279" i="1"/>
  <c r="H2279" i="1"/>
  <c r="C2280" i="1"/>
  <c r="D2280" i="1"/>
  <c r="E2280" i="1"/>
  <c r="F2280" i="1"/>
  <c r="G2280" i="1"/>
  <c r="H2280" i="1"/>
  <c r="C2281" i="1"/>
  <c r="D2281" i="1"/>
  <c r="E2281" i="1"/>
  <c r="F2281" i="1"/>
  <c r="G2281" i="1"/>
  <c r="H2281" i="1"/>
  <c r="C2282" i="1"/>
  <c r="D2282" i="1"/>
  <c r="E2282" i="1"/>
  <c r="F2282" i="1"/>
  <c r="G2282" i="1"/>
  <c r="H2282" i="1"/>
  <c r="C2283" i="1"/>
  <c r="D2283" i="1"/>
  <c r="E2283" i="1"/>
  <c r="F2283" i="1"/>
  <c r="G2283" i="1"/>
  <c r="H2283" i="1"/>
  <c r="C2284" i="1"/>
  <c r="D2284" i="1"/>
  <c r="E2284" i="1"/>
  <c r="F2284" i="1"/>
  <c r="G2284" i="1"/>
  <c r="H2284" i="1"/>
  <c r="C2285" i="1"/>
  <c r="D2285" i="1"/>
  <c r="E2285" i="1"/>
  <c r="F2285" i="1"/>
  <c r="G2285" i="1"/>
  <c r="H2285" i="1"/>
  <c r="C2286" i="1"/>
  <c r="D2286" i="1"/>
  <c r="E2286" i="1"/>
  <c r="F2286" i="1"/>
  <c r="G2286" i="1"/>
  <c r="H2286" i="1"/>
  <c r="C2287" i="1"/>
  <c r="D2287" i="1"/>
  <c r="E2287" i="1"/>
  <c r="F2287" i="1"/>
  <c r="G2287" i="1"/>
  <c r="H2287" i="1"/>
  <c r="C2288" i="1"/>
  <c r="D2288" i="1"/>
  <c r="E2288" i="1"/>
  <c r="F2288" i="1"/>
  <c r="G2288" i="1"/>
  <c r="H2288" i="1"/>
  <c r="C2289" i="1"/>
  <c r="D2289" i="1"/>
  <c r="E2289" i="1"/>
  <c r="F2289" i="1"/>
  <c r="G2289" i="1"/>
  <c r="H2289" i="1"/>
  <c r="C2290" i="1"/>
  <c r="D2290" i="1"/>
  <c r="E2290" i="1"/>
  <c r="F2290" i="1"/>
  <c r="G2290" i="1"/>
  <c r="H2290" i="1"/>
  <c r="C2291" i="1"/>
  <c r="D2291" i="1"/>
  <c r="E2291" i="1"/>
  <c r="F2291" i="1"/>
  <c r="G2291" i="1"/>
  <c r="H2291" i="1"/>
  <c r="C2292" i="1"/>
  <c r="D2292" i="1"/>
  <c r="E2292" i="1"/>
  <c r="F2292" i="1"/>
  <c r="G2292" i="1"/>
  <c r="H2292" i="1"/>
  <c r="C2293" i="1"/>
  <c r="D2293" i="1"/>
  <c r="E2293" i="1"/>
  <c r="F2293" i="1"/>
  <c r="G2293" i="1"/>
  <c r="H2293" i="1"/>
  <c r="C2294" i="1"/>
  <c r="D2294" i="1"/>
  <c r="E2294" i="1"/>
  <c r="F2294" i="1"/>
  <c r="G2294" i="1"/>
  <c r="H2294" i="1"/>
  <c r="C2295" i="1"/>
  <c r="D2295" i="1"/>
  <c r="E2295" i="1"/>
  <c r="F2295" i="1"/>
  <c r="G2295" i="1"/>
  <c r="H2295" i="1"/>
  <c r="C2296" i="1"/>
  <c r="D2296" i="1"/>
  <c r="E2296" i="1"/>
  <c r="F2296" i="1"/>
  <c r="G2296" i="1"/>
  <c r="H2296" i="1"/>
  <c r="C2297" i="1"/>
  <c r="D2297" i="1"/>
  <c r="E2297" i="1"/>
  <c r="F2297" i="1"/>
  <c r="G2297" i="1"/>
  <c r="H2297" i="1"/>
  <c r="C2298" i="1"/>
  <c r="D2298" i="1"/>
  <c r="E2298" i="1"/>
  <c r="F2298" i="1"/>
  <c r="G2298" i="1"/>
  <c r="H2298" i="1"/>
  <c r="C2299" i="1"/>
  <c r="D2299" i="1"/>
  <c r="E2299" i="1"/>
  <c r="F2299" i="1"/>
  <c r="G2299" i="1"/>
  <c r="H2299" i="1"/>
  <c r="C2300" i="1"/>
  <c r="D2300" i="1"/>
  <c r="E2300" i="1"/>
  <c r="F2300" i="1"/>
  <c r="G2300" i="1"/>
  <c r="H2300" i="1"/>
  <c r="C2301" i="1"/>
  <c r="D2301" i="1"/>
  <c r="E2301" i="1"/>
  <c r="F2301" i="1"/>
  <c r="G2301" i="1"/>
  <c r="H2301" i="1"/>
  <c r="C2302" i="1"/>
  <c r="D2302" i="1"/>
  <c r="E2302" i="1"/>
  <c r="F2302" i="1"/>
  <c r="G2302" i="1"/>
  <c r="H2302" i="1"/>
  <c r="C2303" i="1"/>
  <c r="D2303" i="1"/>
  <c r="E2303" i="1"/>
  <c r="F2303" i="1"/>
  <c r="G2303" i="1"/>
  <c r="H2303" i="1"/>
  <c r="C2304" i="1"/>
  <c r="D2304" i="1"/>
  <c r="E2304" i="1"/>
  <c r="F2304" i="1"/>
  <c r="G2304" i="1"/>
  <c r="H2304" i="1"/>
  <c r="C2305" i="1"/>
  <c r="D2305" i="1"/>
  <c r="E2305" i="1"/>
  <c r="F2305" i="1"/>
  <c r="G2305" i="1"/>
  <c r="H2305" i="1"/>
  <c r="C2306" i="1"/>
  <c r="D2306" i="1"/>
  <c r="E2306" i="1"/>
  <c r="F2306" i="1"/>
  <c r="G2306" i="1"/>
  <c r="H2306" i="1"/>
  <c r="C2307" i="1"/>
  <c r="D2307" i="1"/>
  <c r="E2307" i="1"/>
  <c r="F2307" i="1"/>
  <c r="G2307" i="1"/>
  <c r="H2307" i="1"/>
  <c r="C2308" i="1"/>
  <c r="D2308" i="1"/>
  <c r="E2308" i="1"/>
  <c r="F2308" i="1"/>
  <c r="G2308" i="1"/>
  <c r="H2308" i="1"/>
  <c r="C2309" i="1"/>
  <c r="D2309" i="1"/>
  <c r="E2309" i="1"/>
  <c r="F2309" i="1"/>
  <c r="G2309" i="1"/>
  <c r="H2309" i="1"/>
  <c r="C2310" i="1"/>
  <c r="D2310" i="1"/>
  <c r="E2310" i="1"/>
  <c r="F2310" i="1"/>
  <c r="G2310" i="1"/>
  <c r="H2310" i="1"/>
  <c r="C2311" i="1"/>
  <c r="D2311" i="1"/>
  <c r="E2311" i="1"/>
  <c r="F2311" i="1"/>
  <c r="G2311" i="1"/>
  <c r="H2311" i="1"/>
  <c r="C2312" i="1"/>
  <c r="D2312" i="1"/>
  <c r="E2312" i="1"/>
  <c r="F2312" i="1"/>
  <c r="G2312" i="1"/>
  <c r="H2312" i="1"/>
  <c r="C2313" i="1"/>
  <c r="D2313" i="1"/>
  <c r="E2313" i="1"/>
  <c r="F2313" i="1"/>
  <c r="G2313" i="1"/>
  <c r="H2313" i="1"/>
  <c r="C2314" i="1"/>
  <c r="D2314" i="1"/>
  <c r="E2314" i="1"/>
  <c r="F2314" i="1"/>
  <c r="G2314" i="1"/>
  <c r="H2314" i="1"/>
  <c r="C2315" i="1"/>
  <c r="D2315" i="1"/>
  <c r="E2315" i="1"/>
  <c r="F2315" i="1"/>
  <c r="G2315" i="1"/>
  <c r="H2315" i="1"/>
  <c r="C2316" i="1"/>
  <c r="D2316" i="1"/>
  <c r="E2316" i="1"/>
  <c r="F2316" i="1"/>
  <c r="G2316" i="1"/>
  <c r="H2316" i="1"/>
  <c r="C2317" i="1"/>
  <c r="D2317" i="1"/>
  <c r="E2317" i="1"/>
  <c r="F2317" i="1"/>
  <c r="G2317" i="1"/>
  <c r="H2317" i="1"/>
  <c r="C2318" i="1"/>
  <c r="D2318" i="1"/>
  <c r="E2318" i="1"/>
  <c r="F2318" i="1"/>
  <c r="G2318" i="1"/>
  <c r="H2318" i="1"/>
  <c r="C2319" i="1"/>
  <c r="D2319" i="1"/>
  <c r="E2319" i="1"/>
  <c r="F2319" i="1"/>
  <c r="G2319" i="1"/>
  <c r="H2319" i="1"/>
  <c r="C2320" i="1"/>
  <c r="D2320" i="1"/>
  <c r="E2320" i="1"/>
  <c r="F2320" i="1"/>
  <c r="G2320" i="1"/>
  <c r="H2320" i="1"/>
  <c r="C2321" i="1"/>
  <c r="D2321" i="1"/>
  <c r="E2321" i="1"/>
  <c r="F2321" i="1"/>
  <c r="G2321" i="1"/>
  <c r="H2321" i="1"/>
  <c r="C2322" i="1"/>
  <c r="D2322" i="1"/>
  <c r="E2322" i="1"/>
  <c r="F2322" i="1"/>
  <c r="G2322" i="1"/>
  <c r="H2322" i="1"/>
  <c r="C2323" i="1"/>
  <c r="D2323" i="1"/>
  <c r="E2323" i="1"/>
  <c r="F2323" i="1"/>
  <c r="G2323" i="1"/>
  <c r="H2323" i="1"/>
  <c r="C2324" i="1"/>
  <c r="D2324" i="1"/>
  <c r="E2324" i="1"/>
  <c r="F2324" i="1"/>
  <c r="G2324" i="1"/>
  <c r="H2324" i="1"/>
  <c r="C2325" i="1"/>
  <c r="D2325" i="1"/>
  <c r="E2325" i="1"/>
  <c r="F2325" i="1"/>
  <c r="G2325" i="1"/>
  <c r="H2325" i="1"/>
  <c r="C2326" i="1"/>
  <c r="D2326" i="1"/>
  <c r="E2326" i="1"/>
  <c r="F2326" i="1"/>
  <c r="G2326" i="1"/>
  <c r="H2326" i="1"/>
  <c r="C2327" i="1"/>
  <c r="D2327" i="1"/>
  <c r="E2327" i="1"/>
  <c r="F2327" i="1"/>
  <c r="G2327" i="1"/>
  <c r="H2327" i="1"/>
  <c r="C2328" i="1"/>
  <c r="D2328" i="1"/>
  <c r="E2328" i="1"/>
  <c r="F2328" i="1"/>
  <c r="G2328" i="1"/>
  <c r="H2328" i="1"/>
  <c r="C2329" i="1"/>
  <c r="D2329" i="1"/>
  <c r="E2329" i="1"/>
  <c r="F2329" i="1"/>
  <c r="G2329" i="1"/>
  <c r="H2329" i="1"/>
  <c r="C2330" i="1"/>
  <c r="D2330" i="1"/>
  <c r="E2330" i="1"/>
  <c r="F2330" i="1"/>
  <c r="G2330" i="1"/>
  <c r="H2330" i="1"/>
  <c r="C2331" i="1"/>
  <c r="D2331" i="1"/>
  <c r="E2331" i="1"/>
  <c r="F2331" i="1"/>
  <c r="G2331" i="1"/>
  <c r="H2331" i="1"/>
  <c r="C2332" i="1"/>
  <c r="D2332" i="1"/>
  <c r="E2332" i="1"/>
  <c r="F2332" i="1"/>
  <c r="G2332" i="1"/>
  <c r="H2332" i="1"/>
  <c r="C2333" i="1"/>
  <c r="D2333" i="1"/>
  <c r="E2333" i="1"/>
  <c r="F2333" i="1"/>
  <c r="G2333" i="1"/>
  <c r="H2333" i="1"/>
  <c r="C2334" i="1"/>
  <c r="D2334" i="1"/>
  <c r="E2334" i="1"/>
  <c r="F2334" i="1"/>
  <c r="G2334" i="1"/>
  <c r="H2334" i="1"/>
  <c r="C2335" i="1"/>
  <c r="D2335" i="1"/>
  <c r="E2335" i="1"/>
  <c r="F2335" i="1"/>
  <c r="G2335" i="1"/>
  <c r="H2335" i="1"/>
  <c r="C2336" i="1"/>
  <c r="D2336" i="1"/>
  <c r="E2336" i="1"/>
  <c r="F2336" i="1"/>
  <c r="G2336" i="1"/>
  <c r="H2336" i="1"/>
  <c r="C2337" i="1"/>
  <c r="D2337" i="1"/>
  <c r="E2337" i="1"/>
  <c r="F2337" i="1"/>
  <c r="G2337" i="1"/>
  <c r="H2337" i="1"/>
  <c r="C2338" i="1"/>
  <c r="D2338" i="1"/>
  <c r="E2338" i="1"/>
  <c r="F2338" i="1"/>
  <c r="G2338" i="1"/>
  <c r="H2338" i="1"/>
  <c r="C2339" i="1"/>
  <c r="D2339" i="1"/>
  <c r="E2339" i="1"/>
  <c r="F2339" i="1"/>
  <c r="G2339" i="1"/>
  <c r="H2339" i="1"/>
  <c r="C2340" i="1"/>
  <c r="D2340" i="1"/>
  <c r="E2340" i="1"/>
  <c r="F2340" i="1"/>
  <c r="G2340" i="1"/>
  <c r="H2340" i="1"/>
  <c r="C2341" i="1"/>
  <c r="D2341" i="1"/>
  <c r="E2341" i="1"/>
  <c r="F2341" i="1"/>
  <c r="G2341" i="1"/>
  <c r="H2341" i="1"/>
  <c r="C2342" i="1"/>
  <c r="D2342" i="1"/>
  <c r="E2342" i="1"/>
  <c r="F2342" i="1"/>
  <c r="G2342" i="1"/>
  <c r="H2342" i="1"/>
  <c r="C2343" i="1"/>
  <c r="D2343" i="1"/>
  <c r="E2343" i="1"/>
  <c r="F2343" i="1"/>
  <c r="G2343" i="1"/>
  <c r="H2343" i="1"/>
  <c r="C2344" i="1"/>
  <c r="D2344" i="1"/>
  <c r="E2344" i="1"/>
  <c r="F2344" i="1"/>
  <c r="G2344" i="1"/>
  <c r="H2344" i="1"/>
  <c r="C2345" i="1"/>
  <c r="D2345" i="1"/>
  <c r="E2345" i="1"/>
  <c r="F2345" i="1"/>
  <c r="G2345" i="1"/>
  <c r="H2345" i="1"/>
  <c r="C2346" i="1"/>
  <c r="D2346" i="1"/>
  <c r="E2346" i="1"/>
  <c r="F2346" i="1"/>
  <c r="G2346" i="1"/>
  <c r="H2346" i="1"/>
  <c r="C2347" i="1"/>
  <c r="D2347" i="1"/>
  <c r="E2347" i="1"/>
  <c r="F2347" i="1"/>
  <c r="G2347" i="1"/>
  <c r="H2347" i="1"/>
  <c r="C2348" i="1"/>
  <c r="D2348" i="1"/>
  <c r="E2348" i="1"/>
  <c r="F2348" i="1"/>
  <c r="G2348" i="1"/>
  <c r="H2348" i="1"/>
  <c r="C2349" i="1"/>
  <c r="D2349" i="1"/>
  <c r="E2349" i="1"/>
  <c r="F2349" i="1"/>
  <c r="G2349" i="1"/>
  <c r="H2349" i="1"/>
  <c r="C2350" i="1"/>
  <c r="D2350" i="1"/>
  <c r="E2350" i="1"/>
  <c r="F2350" i="1"/>
  <c r="G2350" i="1"/>
  <c r="H2350" i="1"/>
  <c r="C2351" i="1"/>
  <c r="D2351" i="1"/>
  <c r="E2351" i="1"/>
  <c r="F2351" i="1"/>
  <c r="G2351" i="1"/>
  <c r="H2351" i="1"/>
  <c r="C2352" i="1"/>
  <c r="D2352" i="1"/>
  <c r="E2352" i="1"/>
  <c r="F2352" i="1"/>
  <c r="G2352" i="1"/>
  <c r="H2352" i="1"/>
  <c r="C2353" i="1"/>
  <c r="D2353" i="1"/>
  <c r="E2353" i="1"/>
  <c r="F2353" i="1"/>
  <c r="G2353" i="1"/>
  <c r="H2353" i="1"/>
  <c r="C2354" i="1"/>
  <c r="D2354" i="1"/>
  <c r="E2354" i="1"/>
  <c r="F2354" i="1"/>
  <c r="G2354" i="1"/>
  <c r="H2354" i="1"/>
  <c r="C2355" i="1"/>
  <c r="D2355" i="1"/>
  <c r="E2355" i="1"/>
  <c r="F2355" i="1"/>
  <c r="G2355" i="1"/>
  <c r="H2355" i="1"/>
  <c r="C2356" i="1"/>
  <c r="D2356" i="1"/>
  <c r="E2356" i="1"/>
  <c r="F2356" i="1"/>
  <c r="G2356" i="1"/>
  <c r="H2356" i="1"/>
  <c r="C2357" i="1"/>
  <c r="D2357" i="1"/>
  <c r="E2357" i="1"/>
  <c r="F2357" i="1"/>
  <c r="G2357" i="1"/>
  <c r="H2357" i="1"/>
  <c r="C2358" i="1"/>
  <c r="D2358" i="1"/>
  <c r="E2358" i="1"/>
  <c r="F2358" i="1"/>
  <c r="G2358" i="1"/>
  <c r="H2358" i="1"/>
  <c r="C2359" i="1"/>
  <c r="D2359" i="1"/>
  <c r="E2359" i="1"/>
  <c r="F2359" i="1"/>
  <c r="G2359" i="1"/>
  <c r="H2359" i="1"/>
  <c r="C2360" i="1"/>
  <c r="D2360" i="1"/>
  <c r="E2360" i="1"/>
  <c r="F2360" i="1"/>
  <c r="G2360" i="1"/>
  <c r="H2360" i="1"/>
  <c r="C2361" i="1"/>
  <c r="D2361" i="1"/>
  <c r="E2361" i="1"/>
  <c r="F2361" i="1"/>
  <c r="G2361" i="1"/>
  <c r="H2361" i="1"/>
  <c r="C2362" i="1"/>
  <c r="D2362" i="1"/>
  <c r="E2362" i="1"/>
  <c r="F2362" i="1"/>
  <c r="G2362" i="1"/>
  <c r="H2362" i="1"/>
  <c r="C2363" i="1"/>
  <c r="D2363" i="1"/>
  <c r="E2363" i="1"/>
  <c r="F2363" i="1"/>
  <c r="G2363" i="1"/>
  <c r="H2363" i="1"/>
  <c r="C2364" i="1"/>
  <c r="D2364" i="1"/>
  <c r="E2364" i="1"/>
  <c r="F2364" i="1"/>
  <c r="G2364" i="1"/>
  <c r="H2364" i="1"/>
  <c r="C2365" i="1"/>
  <c r="D2365" i="1"/>
  <c r="E2365" i="1"/>
  <c r="F2365" i="1"/>
  <c r="G2365" i="1"/>
  <c r="H2365" i="1"/>
  <c r="C2366" i="1"/>
  <c r="D2366" i="1"/>
  <c r="E2366" i="1"/>
  <c r="F2366" i="1"/>
  <c r="G2366" i="1"/>
  <c r="H2366" i="1"/>
  <c r="C2367" i="1"/>
  <c r="D2367" i="1"/>
  <c r="E2367" i="1"/>
  <c r="F2367" i="1"/>
  <c r="G2367" i="1"/>
  <c r="H2367" i="1"/>
  <c r="C2368" i="1"/>
  <c r="D2368" i="1"/>
  <c r="E2368" i="1"/>
  <c r="F2368" i="1"/>
  <c r="G2368" i="1"/>
  <c r="H2368" i="1"/>
  <c r="C2369" i="1"/>
  <c r="D2369" i="1"/>
  <c r="E2369" i="1"/>
  <c r="F2369" i="1"/>
  <c r="G2369" i="1"/>
  <c r="H2369" i="1"/>
  <c r="C2370" i="1"/>
  <c r="D2370" i="1"/>
  <c r="E2370" i="1"/>
  <c r="F2370" i="1"/>
  <c r="G2370" i="1"/>
  <c r="H2370" i="1"/>
  <c r="C2371" i="1"/>
  <c r="D2371" i="1"/>
  <c r="E2371" i="1"/>
  <c r="F2371" i="1"/>
  <c r="G2371" i="1"/>
  <c r="H2371" i="1"/>
  <c r="C2372" i="1"/>
  <c r="D2372" i="1"/>
  <c r="E2372" i="1"/>
  <c r="F2372" i="1"/>
  <c r="G2372" i="1"/>
  <c r="H2372" i="1"/>
  <c r="C2373" i="1"/>
  <c r="D2373" i="1"/>
  <c r="E2373" i="1"/>
  <c r="F2373" i="1"/>
  <c r="G2373" i="1"/>
  <c r="H2373" i="1"/>
  <c r="C2374" i="1"/>
  <c r="D2374" i="1"/>
  <c r="E2374" i="1"/>
  <c r="F2374" i="1"/>
  <c r="G2374" i="1"/>
  <c r="H2374" i="1"/>
  <c r="C2375" i="1"/>
  <c r="D2375" i="1"/>
  <c r="E2375" i="1"/>
  <c r="F2375" i="1"/>
  <c r="G2375" i="1"/>
  <c r="H2375" i="1"/>
  <c r="C2376" i="1"/>
  <c r="D2376" i="1"/>
  <c r="E2376" i="1"/>
  <c r="F2376" i="1"/>
  <c r="G2376" i="1"/>
  <c r="H2376" i="1"/>
  <c r="C2377" i="1"/>
  <c r="D2377" i="1"/>
  <c r="E2377" i="1"/>
  <c r="F2377" i="1"/>
  <c r="G2377" i="1"/>
  <c r="H2377" i="1"/>
  <c r="C2378" i="1"/>
  <c r="D2378" i="1"/>
  <c r="E2378" i="1"/>
  <c r="F2378" i="1"/>
  <c r="G2378" i="1"/>
  <c r="H2378" i="1"/>
  <c r="C2379" i="1"/>
  <c r="D2379" i="1"/>
  <c r="E2379" i="1"/>
  <c r="F2379" i="1"/>
  <c r="G2379" i="1"/>
  <c r="H2379" i="1"/>
  <c r="C2380" i="1"/>
  <c r="D2380" i="1"/>
  <c r="E2380" i="1"/>
  <c r="F2380" i="1"/>
  <c r="G2380" i="1"/>
  <c r="H2380" i="1"/>
  <c r="C2381" i="1"/>
  <c r="D2381" i="1"/>
  <c r="E2381" i="1"/>
  <c r="F2381" i="1"/>
  <c r="G2381" i="1"/>
  <c r="H2381" i="1"/>
  <c r="C2382" i="1"/>
  <c r="D2382" i="1"/>
  <c r="E2382" i="1"/>
  <c r="F2382" i="1"/>
  <c r="G2382" i="1"/>
  <c r="H2382" i="1"/>
  <c r="C2383" i="1"/>
  <c r="D2383" i="1"/>
  <c r="E2383" i="1"/>
  <c r="F2383" i="1"/>
  <c r="G2383" i="1"/>
  <c r="H2383" i="1"/>
  <c r="C2384" i="1"/>
  <c r="D2384" i="1"/>
  <c r="E2384" i="1"/>
  <c r="F2384" i="1"/>
  <c r="G2384" i="1"/>
  <c r="H2384" i="1"/>
  <c r="C2385" i="1"/>
  <c r="D2385" i="1"/>
  <c r="E2385" i="1"/>
  <c r="F2385" i="1"/>
  <c r="G2385" i="1"/>
  <c r="H2385" i="1"/>
  <c r="C2386" i="1"/>
  <c r="D2386" i="1"/>
  <c r="E2386" i="1"/>
  <c r="F2386" i="1"/>
  <c r="G2386" i="1"/>
  <c r="H2386" i="1"/>
  <c r="C2387" i="1"/>
  <c r="D2387" i="1"/>
  <c r="E2387" i="1"/>
  <c r="F2387" i="1"/>
  <c r="G2387" i="1"/>
  <c r="H2387" i="1"/>
  <c r="C2388" i="1"/>
  <c r="D2388" i="1"/>
  <c r="E2388" i="1"/>
  <c r="F2388" i="1"/>
  <c r="G2388" i="1"/>
  <c r="H2388" i="1"/>
  <c r="C2389" i="1"/>
  <c r="D2389" i="1"/>
  <c r="E2389" i="1"/>
  <c r="F2389" i="1"/>
  <c r="G2389" i="1"/>
  <c r="H2389" i="1"/>
  <c r="C2390" i="1"/>
  <c r="D2390" i="1"/>
  <c r="E2390" i="1"/>
  <c r="F2390" i="1"/>
  <c r="G2390" i="1"/>
  <c r="H2390" i="1"/>
  <c r="C2391" i="1"/>
  <c r="D2391" i="1"/>
  <c r="E2391" i="1"/>
  <c r="F2391" i="1"/>
  <c r="G2391" i="1"/>
  <c r="H2391" i="1"/>
  <c r="C2392" i="1"/>
  <c r="D2392" i="1"/>
  <c r="E2392" i="1"/>
  <c r="F2392" i="1"/>
  <c r="G2392" i="1"/>
  <c r="H2392" i="1"/>
  <c r="C2393" i="1"/>
  <c r="D2393" i="1"/>
  <c r="E2393" i="1"/>
  <c r="F2393" i="1"/>
  <c r="G2393" i="1"/>
  <c r="H2393" i="1"/>
  <c r="C2394" i="1"/>
  <c r="D2394" i="1"/>
  <c r="E2394" i="1"/>
  <c r="F2394" i="1"/>
  <c r="G2394" i="1"/>
  <c r="H2394" i="1"/>
  <c r="C2395" i="1"/>
  <c r="D2395" i="1"/>
  <c r="E2395" i="1"/>
  <c r="F2395" i="1"/>
  <c r="G2395" i="1"/>
  <c r="H2395" i="1"/>
  <c r="C2396" i="1"/>
  <c r="D2396" i="1"/>
  <c r="E2396" i="1"/>
  <c r="F2396" i="1"/>
  <c r="G2396" i="1"/>
  <c r="H2396" i="1"/>
  <c r="C2397" i="1"/>
  <c r="D2397" i="1"/>
  <c r="E2397" i="1"/>
  <c r="F2397" i="1"/>
  <c r="G2397" i="1"/>
  <c r="H2397" i="1"/>
  <c r="C2398" i="1"/>
  <c r="D2398" i="1"/>
  <c r="E2398" i="1"/>
  <c r="F2398" i="1"/>
  <c r="G2398" i="1"/>
  <c r="H2398" i="1"/>
  <c r="C2399" i="1"/>
  <c r="D2399" i="1"/>
  <c r="E2399" i="1"/>
  <c r="F2399" i="1"/>
  <c r="G2399" i="1"/>
  <c r="H2399" i="1"/>
  <c r="C2400" i="1"/>
  <c r="D2400" i="1"/>
  <c r="E2400" i="1"/>
  <c r="F2400" i="1"/>
  <c r="G2400" i="1"/>
  <c r="H2400" i="1"/>
  <c r="C2401" i="1"/>
  <c r="D2401" i="1"/>
  <c r="E2401" i="1"/>
  <c r="F2401" i="1"/>
  <c r="G2401" i="1"/>
  <c r="H2401" i="1"/>
  <c r="C2402" i="1"/>
  <c r="D2402" i="1"/>
  <c r="E2402" i="1"/>
  <c r="F2402" i="1"/>
  <c r="G2402" i="1"/>
  <c r="H2402" i="1"/>
  <c r="C2403" i="1"/>
  <c r="D2403" i="1"/>
  <c r="E2403" i="1"/>
  <c r="F2403" i="1"/>
  <c r="G2403" i="1"/>
  <c r="H2403" i="1"/>
  <c r="C2404" i="1"/>
  <c r="D2404" i="1"/>
  <c r="E2404" i="1"/>
  <c r="F2404" i="1"/>
  <c r="G2404" i="1"/>
  <c r="H2404" i="1"/>
  <c r="C2405" i="1"/>
  <c r="D2405" i="1"/>
  <c r="E2405" i="1"/>
  <c r="F2405" i="1"/>
  <c r="G2405" i="1"/>
  <c r="H2405" i="1"/>
  <c r="C2406" i="1"/>
  <c r="D2406" i="1"/>
  <c r="E2406" i="1"/>
  <c r="F2406" i="1"/>
  <c r="G2406" i="1"/>
  <c r="H2406" i="1"/>
  <c r="C2407" i="1"/>
  <c r="D2407" i="1"/>
  <c r="E2407" i="1"/>
  <c r="F2407" i="1"/>
  <c r="G2407" i="1"/>
  <c r="H2407" i="1"/>
  <c r="C2408" i="1"/>
  <c r="D2408" i="1"/>
  <c r="E2408" i="1"/>
  <c r="F2408" i="1"/>
  <c r="G2408" i="1"/>
  <c r="H2408" i="1"/>
  <c r="C2409" i="1"/>
  <c r="D2409" i="1"/>
  <c r="E2409" i="1"/>
  <c r="F2409" i="1"/>
  <c r="G2409" i="1"/>
  <c r="H2409" i="1"/>
  <c r="C2410" i="1"/>
  <c r="D2410" i="1"/>
  <c r="E2410" i="1"/>
  <c r="F2410" i="1"/>
  <c r="G2410" i="1"/>
  <c r="H2410" i="1"/>
  <c r="C2411" i="1"/>
  <c r="D2411" i="1"/>
  <c r="E2411" i="1"/>
  <c r="F2411" i="1"/>
  <c r="G2411" i="1"/>
  <c r="H2411" i="1"/>
  <c r="C2412" i="1"/>
  <c r="D2412" i="1"/>
  <c r="E2412" i="1"/>
  <c r="F2412" i="1"/>
  <c r="G2412" i="1"/>
  <c r="H2412" i="1"/>
  <c r="C2413" i="1"/>
  <c r="D2413" i="1"/>
  <c r="E2413" i="1"/>
  <c r="F2413" i="1"/>
  <c r="G2413" i="1"/>
  <c r="H2413" i="1"/>
  <c r="C2414" i="1"/>
  <c r="D2414" i="1"/>
  <c r="E2414" i="1"/>
  <c r="F2414" i="1"/>
  <c r="G2414" i="1"/>
  <c r="H2414" i="1"/>
  <c r="C2415" i="1"/>
  <c r="D2415" i="1"/>
  <c r="E2415" i="1"/>
  <c r="F2415" i="1"/>
  <c r="G2415" i="1"/>
  <c r="H2415" i="1"/>
  <c r="C2416" i="1"/>
  <c r="D2416" i="1"/>
  <c r="E2416" i="1"/>
  <c r="F2416" i="1"/>
  <c r="G2416" i="1"/>
  <c r="H2416" i="1"/>
  <c r="C2417" i="1"/>
  <c r="D2417" i="1"/>
  <c r="E2417" i="1"/>
  <c r="F2417" i="1"/>
  <c r="G2417" i="1"/>
  <c r="H2417" i="1"/>
  <c r="C2418" i="1"/>
  <c r="D2418" i="1"/>
  <c r="E2418" i="1"/>
  <c r="F2418" i="1"/>
  <c r="G2418" i="1"/>
  <c r="H2418" i="1"/>
  <c r="C2419" i="1"/>
  <c r="D2419" i="1"/>
  <c r="E2419" i="1"/>
  <c r="F2419" i="1"/>
  <c r="G2419" i="1"/>
  <c r="H2419" i="1"/>
  <c r="C2420" i="1"/>
  <c r="D2420" i="1"/>
  <c r="E2420" i="1"/>
  <c r="F2420" i="1"/>
  <c r="G2420" i="1"/>
  <c r="H2420" i="1"/>
  <c r="C2421" i="1"/>
  <c r="D2421" i="1"/>
  <c r="E2421" i="1"/>
  <c r="F2421" i="1"/>
  <c r="G2421" i="1"/>
  <c r="H2421" i="1"/>
  <c r="C2422" i="1"/>
  <c r="D2422" i="1"/>
  <c r="E2422" i="1"/>
  <c r="F2422" i="1"/>
  <c r="G2422" i="1"/>
  <c r="H2422" i="1"/>
  <c r="C2423" i="1"/>
  <c r="D2423" i="1"/>
  <c r="E2423" i="1"/>
  <c r="F2423" i="1"/>
  <c r="G2423" i="1"/>
  <c r="H2423" i="1"/>
  <c r="C2424" i="1"/>
  <c r="D2424" i="1"/>
  <c r="E2424" i="1"/>
  <c r="F2424" i="1"/>
  <c r="G2424" i="1"/>
  <c r="H2424" i="1"/>
  <c r="C2425" i="1"/>
  <c r="D2425" i="1"/>
  <c r="E2425" i="1"/>
  <c r="F2425" i="1"/>
  <c r="G2425" i="1"/>
  <c r="H2425" i="1"/>
  <c r="C2426" i="1"/>
  <c r="D2426" i="1"/>
  <c r="E2426" i="1"/>
  <c r="F2426" i="1"/>
  <c r="G2426" i="1"/>
  <c r="H2426" i="1"/>
  <c r="C2427" i="1"/>
  <c r="D2427" i="1"/>
  <c r="E2427" i="1"/>
  <c r="F2427" i="1"/>
  <c r="G2427" i="1"/>
  <c r="H2427" i="1"/>
  <c r="C2428" i="1"/>
  <c r="D2428" i="1"/>
  <c r="E2428" i="1"/>
  <c r="F2428" i="1"/>
  <c r="G2428" i="1"/>
  <c r="H2428" i="1"/>
  <c r="C2429" i="1"/>
  <c r="D2429" i="1"/>
  <c r="E2429" i="1"/>
  <c r="F2429" i="1"/>
  <c r="G2429" i="1"/>
  <c r="H2429" i="1"/>
  <c r="C2430" i="1"/>
  <c r="D2430" i="1"/>
  <c r="E2430" i="1"/>
  <c r="F2430" i="1"/>
  <c r="G2430" i="1"/>
  <c r="H2430" i="1"/>
  <c r="C2431" i="1"/>
  <c r="D2431" i="1"/>
  <c r="E2431" i="1"/>
  <c r="F2431" i="1"/>
  <c r="G2431" i="1"/>
  <c r="H2431" i="1"/>
  <c r="C2432" i="1"/>
  <c r="D2432" i="1"/>
  <c r="E2432" i="1"/>
  <c r="F2432" i="1"/>
  <c r="G2432" i="1"/>
  <c r="H2432" i="1"/>
  <c r="C2433" i="1"/>
  <c r="D2433" i="1"/>
  <c r="E2433" i="1"/>
  <c r="F2433" i="1"/>
  <c r="G2433" i="1"/>
  <c r="H2433" i="1"/>
  <c r="C2434" i="1"/>
  <c r="D2434" i="1"/>
  <c r="E2434" i="1"/>
  <c r="F2434" i="1"/>
  <c r="G2434" i="1"/>
  <c r="H2434" i="1"/>
  <c r="C2435" i="1"/>
  <c r="D2435" i="1"/>
  <c r="E2435" i="1"/>
  <c r="F2435" i="1"/>
  <c r="G2435" i="1"/>
  <c r="H2435" i="1"/>
  <c r="C2436" i="1"/>
  <c r="D2436" i="1"/>
  <c r="E2436" i="1"/>
  <c r="F2436" i="1"/>
  <c r="G2436" i="1"/>
  <c r="H2436" i="1"/>
  <c r="C2437" i="1"/>
  <c r="D2437" i="1"/>
  <c r="E2437" i="1"/>
  <c r="F2437" i="1"/>
  <c r="G2437" i="1"/>
  <c r="H2437" i="1"/>
  <c r="C2438" i="1"/>
  <c r="D2438" i="1"/>
  <c r="E2438" i="1"/>
  <c r="F2438" i="1"/>
  <c r="G2438" i="1"/>
  <c r="H2438" i="1"/>
  <c r="C2439" i="1"/>
  <c r="D2439" i="1"/>
  <c r="E2439" i="1"/>
  <c r="F2439" i="1"/>
  <c r="G2439" i="1"/>
  <c r="H2439" i="1"/>
  <c r="C2440" i="1"/>
  <c r="D2440" i="1"/>
  <c r="E2440" i="1"/>
  <c r="F2440" i="1"/>
  <c r="G2440" i="1"/>
  <c r="H2440" i="1"/>
  <c r="C2441" i="1"/>
  <c r="D2441" i="1"/>
  <c r="E2441" i="1"/>
  <c r="F2441" i="1"/>
  <c r="G2441" i="1"/>
  <c r="H2441" i="1"/>
  <c r="C2442" i="1"/>
  <c r="D2442" i="1"/>
  <c r="E2442" i="1"/>
  <c r="F2442" i="1"/>
  <c r="G2442" i="1"/>
  <c r="H2442" i="1"/>
  <c r="C2443" i="1"/>
  <c r="D2443" i="1"/>
  <c r="E2443" i="1"/>
  <c r="F2443" i="1"/>
  <c r="G2443" i="1"/>
  <c r="H2443" i="1"/>
  <c r="C2444" i="1"/>
  <c r="D2444" i="1"/>
  <c r="E2444" i="1"/>
  <c r="F2444" i="1"/>
  <c r="G2444" i="1"/>
  <c r="H2444" i="1"/>
  <c r="C2445" i="1"/>
  <c r="D2445" i="1"/>
  <c r="E2445" i="1"/>
  <c r="F2445" i="1"/>
  <c r="G2445" i="1"/>
  <c r="H2445" i="1"/>
  <c r="C2446" i="1"/>
  <c r="D2446" i="1"/>
  <c r="E2446" i="1"/>
  <c r="F2446" i="1"/>
  <c r="G2446" i="1"/>
  <c r="H2446" i="1"/>
  <c r="C2447" i="1"/>
  <c r="D2447" i="1"/>
  <c r="E2447" i="1"/>
  <c r="F2447" i="1"/>
  <c r="G2447" i="1"/>
  <c r="H2447" i="1"/>
  <c r="C2448" i="1"/>
  <c r="D2448" i="1"/>
  <c r="E2448" i="1"/>
  <c r="F2448" i="1"/>
  <c r="G2448" i="1"/>
  <c r="H2448" i="1"/>
  <c r="C2449" i="1"/>
  <c r="D2449" i="1"/>
  <c r="E2449" i="1"/>
  <c r="F2449" i="1"/>
  <c r="G2449" i="1"/>
  <c r="H2449" i="1"/>
  <c r="C2450" i="1"/>
  <c r="D2450" i="1"/>
  <c r="E2450" i="1"/>
  <c r="F2450" i="1"/>
  <c r="G2450" i="1"/>
  <c r="H2450" i="1"/>
  <c r="C2451" i="1"/>
  <c r="D2451" i="1"/>
  <c r="E2451" i="1"/>
  <c r="F2451" i="1"/>
  <c r="G2451" i="1"/>
  <c r="H2451" i="1"/>
  <c r="C2452" i="1"/>
  <c r="D2452" i="1"/>
  <c r="E2452" i="1"/>
  <c r="F2452" i="1"/>
  <c r="G2452" i="1"/>
  <c r="H2452" i="1"/>
  <c r="C2453" i="1"/>
  <c r="D2453" i="1"/>
  <c r="E2453" i="1"/>
  <c r="F2453" i="1"/>
  <c r="G2453" i="1"/>
  <c r="H2453" i="1"/>
  <c r="C2454" i="1"/>
  <c r="D2454" i="1"/>
  <c r="E2454" i="1"/>
  <c r="F2454" i="1"/>
  <c r="G2454" i="1"/>
  <c r="H2454" i="1"/>
  <c r="C2455" i="1"/>
  <c r="D2455" i="1"/>
  <c r="E2455" i="1"/>
  <c r="F2455" i="1"/>
  <c r="G2455" i="1"/>
  <c r="H2455" i="1"/>
  <c r="C2456" i="1"/>
  <c r="D2456" i="1"/>
  <c r="E2456" i="1"/>
  <c r="F2456" i="1"/>
  <c r="G2456" i="1"/>
  <c r="H2456" i="1"/>
  <c r="C2457" i="1"/>
  <c r="D2457" i="1"/>
  <c r="E2457" i="1"/>
  <c r="F2457" i="1"/>
  <c r="G2457" i="1"/>
  <c r="H2457" i="1"/>
  <c r="C2458" i="1"/>
  <c r="D2458" i="1"/>
  <c r="E2458" i="1"/>
  <c r="F2458" i="1"/>
  <c r="G2458" i="1"/>
  <c r="H2458" i="1"/>
  <c r="C2459" i="1"/>
  <c r="D2459" i="1"/>
  <c r="E2459" i="1"/>
  <c r="F2459" i="1"/>
  <c r="G2459" i="1"/>
  <c r="H2459" i="1"/>
  <c r="C2460" i="1"/>
  <c r="D2460" i="1"/>
  <c r="E2460" i="1"/>
  <c r="F2460" i="1"/>
  <c r="G2460" i="1"/>
  <c r="H2460" i="1"/>
  <c r="C2461" i="1"/>
  <c r="D2461" i="1"/>
  <c r="E2461" i="1"/>
  <c r="F2461" i="1"/>
  <c r="G2461" i="1"/>
  <c r="H2461" i="1"/>
  <c r="C2462" i="1"/>
  <c r="D2462" i="1"/>
  <c r="E2462" i="1"/>
  <c r="F2462" i="1"/>
  <c r="G2462" i="1"/>
  <c r="H2462" i="1"/>
  <c r="C2463" i="1"/>
  <c r="D2463" i="1"/>
  <c r="E2463" i="1"/>
  <c r="F2463" i="1"/>
  <c r="G2463" i="1"/>
  <c r="H2463" i="1"/>
  <c r="C2464" i="1"/>
  <c r="D2464" i="1"/>
  <c r="E2464" i="1"/>
  <c r="F2464" i="1"/>
  <c r="G2464" i="1"/>
  <c r="H2464" i="1"/>
  <c r="C2465" i="1"/>
  <c r="D2465" i="1"/>
  <c r="E2465" i="1"/>
  <c r="F2465" i="1"/>
  <c r="G2465" i="1"/>
  <c r="H2465" i="1"/>
  <c r="C2466" i="1"/>
  <c r="D2466" i="1"/>
  <c r="E2466" i="1"/>
  <c r="F2466" i="1"/>
  <c r="G2466" i="1"/>
  <c r="H2466" i="1"/>
  <c r="C2467" i="1"/>
  <c r="D2467" i="1"/>
  <c r="E2467" i="1"/>
  <c r="F2467" i="1"/>
  <c r="G2467" i="1"/>
  <c r="H2467" i="1"/>
  <c r="C2468" i="1"/>
  <c r="D2468" i="1"/>
  <c r="E2468" i="1"/>
  <c r="F2468" i="1"/>
  <c r="G2468" i="1"/>
  <c r="H2468" i="1"/>
  <c r="C2469" i="1"/>
  <c r="D2469" i="1"/>
  <c r="E2469" i="1"/>
  <c r="F2469" i="1"/>
  <c r="G2469" i="1"/>
  <c r="H2469" i="1"/>
  <c r="C2470" i="1"/>
  <c r="D2470" i="1"/>
  <c r="E2470" i="1"/>
  <c r="F2470" i="1"/>
  <c r="G2470" i="1"/>
  <c r="H2470" i="1"/>
  <c r="C2471" i="1"/>
  <c r="D2471" i="1"/>
  <c r="E2471" i="1"/>
  <c r="F2471" i="1"/>
  <c r="G2471" i="1"/>
  <c r="H2471" i="1"/>
  <c r="C2472" i="1"/>
  <c r="D2472" i="1"/>
  <c r="E2472" i="1"/>
  <c r="F2472" i="1"/>
  <c r="G2472" i="1"/>
  <c r="H2472" i="1"/>
  <c r="C2473" i="1"/>
  <c r="D2473" i="1"/>
  <c r="E2473" i="1"/>
  <c r="F2473" i="1"/>
  <c r="G2473" i="1"/>
  <c r="H2473" i="1"/>
  <c r="C2474" i="1"/>
  <c r="D2474" i="1"/>
  <c r="E2474" i="1"/>
  <c r="F2474" i="1"/>
  <c r="G2474" i="1"/>
  <c r="H2474" i="1"/>
  <c r="C2475" i="1"/>
  <c r="D2475" i="1"/>
  <c r="E2475" i="1"/>
  <c r="F2475" i="1"/>
  <c r="G2475" i="1"/>
  <c r="H2475" i="1"/>
  <c r="C2476" i="1"/>
  <c r="D2476" i="1"/>
  <c r="E2476" i="1"/>
  <c r="F2476" i="1"/>
  <c r="G2476" i="1"/>
  <c r="H2476" i="1"/>
  <c r="C2477" i="1"/>
  <c r="D2477" i="1"/>
  <c r="E2477" i="1"/>
  <c r="F2477" i="1"/>
  <c r="G2477" i="1"/>
  <c r="H2477" i="1"/>
  <c r="C2478" i="1"/>
  <c r="D2478" i="1"/>
  <c r="E2478" i="1"/>
  <c r="F2478" i="1"/>
  <c r="G2478" i="1"/>
  <c r="H2478" i="1"/>
  <c r="C2479" i="1"/>
  <c r="D2479" i="1"/>
  <c r="E2479" i="1"/>
  <c r="F2479" i="1"/>
  <c r="G2479" i="1"/>
  <c r="H2479" i="1"/>
  <c r="C2480" i="1"/>
  <c r="D2480" i="1"/>
  <c r="E2480" i="1"/>
  <c r="F2480" i="1"/>
  <c r="G2480" i="1"/>
  <c r="H2480" i="1"/>
  <c r="C2481" i="1"/>
  <c r="D2481" i="1"/>
  <c r="E2481" i="1"/>
  <c r="F2481" i="1"/>
  <c r="G2481" i="1"/>
  <c r="H2481" i="1"/>
  <c r="C2482" i="1"/>
  <c r="D2482" i="1"/>
  <c r="E2482" i="1"/>
  <c r="F2482" i="1"/>
  <c r="G2482" i="1"/>
  <c r="H2482" i="1"/>
  <c r="C2483" i="1"/>
  <c r="D2483" i="1"/>
  <c r="E2483" i="1"/>
  <c r="F2483" i="1"/>
  <c r="G2483" i="1"/>
  <c r="H2483" i="1"/>
  <c r="C2484" i="1"/>
  <c r="D2484" i="1"/>
  <c r="E2484" i="1"/>
  <c r="F2484" i="1"/>
  <c r="G2484" i="1"/>
  <c r="H2484" i="1"/>
  <c r="C2485" i="1"/>
  <c r="D2485" i="1"/>
  <c r="E2485" i="1"/>
  <c r="F2485" i="1"/>
  <c r="G2485" i="1"/>
  <c r="H2485" i="1"/>
  <c r="C2486" i="1"/>
  <c r="D2486" i="1"/>
  <c r="E2486" i="1"/>
  <c r="F2486" i="1"/>
  <c r="G2486" i="1"/>
  <c r="H2486" i="1"/>
  <c r="C2487" i="1"/>
  <c r="D2487" i="1"/>
  <c r="E2487" i="1"/>
  <c r="F2487" i="1"/>
  <c r="G2487" i="1"/>
  <c r="H2487" i="1"/>
  <c r="C2488" i="1"/>
  <c r="D2488" i="1"/>
  <c r="E2488" i="1"/>
  <c r="F2488" i="1"/>
  <c r="G2488" i="1"/>
  <c r="H2488" i="1"/>
  <c r="C2489" i="1"/>
  <c r="D2489" i="1"/>
  <c r="E2489" i="1"/>
  <c r="F2489" i="1"/>
  <c r="G2489" i="1"/>
  <c r="H2489" i="1"/>
  <c r="C2490" i="1"/>
  <c r="D2490" i="1"/>
  <c r="E2490" i="1"/>
  <c r="F2490" i="1"/>
  <c r="G2490" i="1"/>
  <c r="H2490" i="1"/>
  <c r="C2491" i="1"/>
  <c r="D2491" i="1"/>
  <c r="E2491" i="1"/>
  <c r="F2491" i="1"/>
  <c r="G2491" i="1"/>
  <c r="H2491" i="1"/>
  <c r="C2492" i="1"/>
  <c r="D2492" i="1"/>
  <c r="E2492" i="1"/>
  <c r="F2492" i="1"/>
  <c r="G2492" i="1"/>
  <c r="H2492" i="1"/>
  <c r="C2493" i="1"/>
  <c r="D2493" i="1"/>
  <c r="E2493" i="1"/>
  <c r="F2493" i="1"/>
  <c r="G2493" i="1"/>
  <c r="H2493" i="1"/>
  <c r="C2494" i="1"/>
  <c r="D2494" i="1"/>
  <c r="E2494" i="1"/>
  <c r="F2494" i="1"/>
  <c r="G2494" i="1"/>
  <c r="H2494" i="1"/>
  <c r="C2495" i="1"/>
  <c r="D2495" i="1"/>
  <c r="E2495" i="1"/>
  <c r="F2495" i="1"/>
  <c r="G2495" i="1"/>
  <c r="H2495" i="1"/>
  <c r="C2496" i="1"/>
  <c r="D2496" i="1"/>
  <c r="E2496" i="1"/>
  <c r="F2496" i="1"/>
  <c r="G2496" i="1"/>
  <c r="H2496" i="1"/>
  <c r="C2497" i="1"/>
  <c r="D2497" i="1"/>
  <c r="E2497" i="1"/>
  <c r="F2497" i="1"/>
  <c r="G2497" i="1"/>
  <c r="H2497" i="1"/>
  <c r="C2498" i="1"/>
  <c r="D2498" i="1"/>
  <c r="E2498" i="1"/>
  <c r="F2498" i="1"/>
  <c r="G2498" i="1"/>
  <c r="H2498" i="1"/>
  <c r="C2499" i="1"/>
  <c r="D2499" i="1"/>
  <c r="E2499" i="1"/>
  <c r="F2499" i="1"/>
  <c r="G2499" i="1"/>
  <c r="H2499" i="1"/>
  <c r="C2500" i="1"/>
  <c r="D2500" i="1"/>
  <c r="E2500" i="1"/>
  <c r="F2500" i="1"/>
  <c r="G2500" i="1"/>
  <c r="H2500" i="1"/>
  <c r="C2501" i="1"/>
  <c r="D2501" i="1"/>
  <c r="E2501" i="1"/>
  <c r="F2501" i="1"/>
  <c r="G2501" i="1"/>
  <c r="H2501" i="1"/>
  <c r="C2502" i="1"/>
  <c r="D2502" i="1"/>
  <c r="E2502" i="1"/>
  <c r="F2502" i="1"/>
  <c r="G2502" i="1"/>
  <c r="H2502" i="1"/>
  <c r="C2503" i="1"/>
  <c r="D2503" i="1"/>
  <c r="E2503" i="1"/>
  <c r="F2503" i="1"/>
  <c r="G2503" i="1"/>
  <c r="H2503" i="1"/>
  <c r="C2504" i="1"/>
  <c r="D2504" i="1"/>
  <c r="E2504" i="1"/>
  <c r="F2504" i="1"/>
  <c r="G2504" i="1"/>
  <c r="H2504" i="1"/>
  <c r="C2505" i="1"/>
  <c r="D2505" i="1"/>
  <c r="E2505" i="1"/>
  <c r="F2505" i="1"/>
  <c r="G2505" i="1"/>
  <c r="H2505" i="1"/>
  <c r="C2506" i="1"/>
  <c r="D2506" i="1"/>
  <c r="E2506" i="1"/>
  <c r="F2506" i="1"/>
  <c r="G2506" i="1"/>
  <c r="H2506" i="1"/>
  <c r="C2507" i="1"/>
  <c r="D2507" i="1"/>
  <c r="E2507" i="1"/>
  <c r="F2507" i="1"/>
  <c r="G2507" i="1"/>
  <c r="H2507" i="1"/>
  <c r="C2508" i="1"/>
  <c r="D2508" i="1"/>
  <c r="E2508" i="1"/>
  <c r="F2508" i="1"/>
  <c r="G2508" i="1"/>
  <c r="H2508" i="1"/>
  <c r="C2509" i="1"/>
  <c r="D2509" i="1"/>
  <c r="E2509" i="1"/>
  <c r="F2509" i="1"/>
  <c r="G2509" i="1"/>
  <c r="H2509" i="1"/>
  <c r="C2510" i="1"/>
  <c r="D2510" i="1"/>
  <c r="E2510" i="1"/>
  <c r="F2510" i="1"/>
  <c r="G2510" i="1"/>
  <c r="H2510" i="1"/>
  <c r="C2511" i="1"/>
  <c r="D2511" i="1"/>
  <c r="E2511" i="1"/>
  <c r="F2511" i="1"/>
  <c r="G2511" i="1"/>
  <c r="H2511" i="1"/>
  <c r="C2512" i="1"/>
  <c r="D2512" i="1"/>
  <c r="E2512" i="1"/>
  <c r="F2512" i="1"/>
  <c r="G2512" i="1"/>
  <c r="H2512" i="1"/>
  <c r="C2513" i="1"/>
  <c r="D2513" i="1"/>
  <c r="E2513" i="1"/>
  <c r="F2513" i="1"/>
  <c r="G2513" i="1"/>
  <c r="H2513" i="1"/>
  <c r="C2514" i="1"/>
  <c r="D2514" i="1"/>
  <c r="E2514" i="1"/>
  <c r="F2514" i="1"/>
  <c r="G2514" i="1"/>
  <c r="H2514" i="1"/>
  <c r="C2515" i="1"/>
  <c r="D2515" i="1"/>
  <c r="E2515" i="1"/>
  <c r="F2515" i="1"/>
  <c r="G2515" i="1"/>
  <c r="H2515" i="1"/>
  <c r="C2516" i="1"/>
  <c r="D2516" i="1"/>
  <c r="E2516" i="1"/>
  <c r="F2516" i="1"/>
  <c r="G2516" i="1"/>
  <c r="H2516" i="1"/>
  <c r="C2517" i="1"/>
  <c r="D2517" i="1"/>
  <c r="E2517" i="1"/>
  <c r="F2517" i="1"/>
  <c r="G2517" i="1"/>
  <c r="H2517" i="1"/>
  <c r="C2518" i="1"/>
  <c r="D2518" i="1"/>
  <c r="E2518" i="1"/>
  <c r="F2518" i="1"/>
  <c r="G2518" i="1"/>
  <c r="H2518" i="1"/>
  <c r="C2519" i="1"/>
  <c r="D2519" i="1"/>
  <c r="E2519" i="1"/>
  <c r="F2519" i="1"/>
  <c r="G2519" i="1"/>
  <c r="H2519" i="1"/>
  <c r="C2520" i="1"/>
  <c r="D2520" i="1"/>
  <c r="E2520" i="1"/>
  <c r="F2520" i="1"/>
  <c r="G2520" i="1"/>
  <c r="H2520" i="1"/>
  <c r="C2521" i="1"/>
  <c r="D2521" i="1"/>
  <c r="E2521" i="1"/>
  <c r="F2521" i="1"/>
  <c r="G2521" i="1"/>
  <c r="H2521" i="1"/>
  <c r="C2522" i="1"/>
  <c r="D2522" i="1"/>
  <c r="E2522" i="1"/>
  <c r="F2522" i="1"/>
  <c r="G2522" i="1"/>
  <c r="H2522" i="1"/>
  <c r="C2523" i="1"/>
  <c r="D2523" i="1"/>
  <c r="E2523" i="1"/>
  <c r="F2523" i="1"/>
  <c r="G2523" i="1"/>
  <c r="H2523" i="1"/>
  <c r="C2524" i="1"/>
  <c r="D2524" i="1"/>
  <c r="E2524" i="1"/>
  <c r="F2524" i="1"/>
  <c r="G2524" i="1"/>
  <c r="H2524" i="1"/>
  <c r="C2525" i="1"/>
  <c r="D2525" i="1"/>
  <c r="E2525" i="1"/>
  <c r="F2525" i="1"/>
  <c r="G2525" i="1"/>
  <c r="H2525" i="1"/>
  <c r="C2526" i="1"/>
  <c r="D2526" i="1"/>
  <c r="E2526" i="1"/>
  <c r="F2526" i="1"/>
  <c r="G2526" i="1"/>
  <c r="H2526" i="1"/>
  <c r="C2527" i="1"/>
  <c r="D2527" i="1"/>
  <c r="E2527" i="1"/>
  <c r="F2527" i="1"/>
  <c r="G2527" i="1"/>
  <c r="H2527" i="1"/>
  <c r="C2528" i="1"/>
  <c r="D2528" i="1"/>
  <c r="E2528" i="1"/>
  <c r="F2528" i="1"/>
  <c r="G2528" i="1"/>
  <c r="H2528" i="1"/>
  <c r="C2529" i="1"/>
  <c r="D2529" i="1"/>
  <c r="E2529" i="1"/>
  <c r="F2529" i="1"/>
  <c r="G2529" i="1"/>
  <c r="H2529" i="1"/>
  <c r="C2530" i="1"/>
  <c r="D2530" i="1"/>
  <c r="E2530" i="1"/>
  <c r="F2530" i="1"/>
  <c r="G2530" i="1"/>
  <c r="H2530" i="1"/>
  <c r="C2531" i="1"/>
  <c r="D2531" i="1"/>
  <c r="E2531" i="1"/>
  <c r="F2531" i="1"/>
  <c r="G2531" i="1"/>
  <c r="H2531" i="1"/>
  <c r="C2532" i="1"/>
  <c r="D2532" i="1"/>
  <c r="E2532" i="1"/>
  <c r="F2532" i="1"/>
  <c r="G2532" i="1"/>
  <c r="H2532" i="1"/>
  <c r="C2533" i="1"/>
  <c r="D2533" i="1"/>
  <c r="E2533" i="1"/>
  <c r="F2533" i="1"/>
  <c r="G2533" i="1"/>
  <c r="H2533" i="1"/>
  <c r="C2534" i="1"/>
  <c r="D2534" i="1"/>
  <c r="E2534" i="1"/>
  <c r="F2534" i="1"/>
  <c r="G2534" i="1"/>
  <c r="H2534" i="1"/>
  <c r="C2535" i="1"/>
  <c r="D2535" i="1"/>
  <c r="E2535" i="1"/>
  <c r="F2535" i="1"/>
  <c r="G2535" i="1"/>
  <c r="H2535" i="1"/>
  <c r="C2536" i="1"/>
  <c r="D2536" i="1"/>
  <c r="E2536" i="1"/>
  <c r="F2536" i="1"/>
  <c r="G2536" i="1"/>
  <c r="H2536" i="1"/>
  <c r="C2537" i="1"/>
  <c r="D2537" i="1"/>
  <c r="E2537" i="1"/>
  <c r="F2537" i="1"/>
  <c r="G2537" i="1"/>
  <c r="H2537" i="1"/>
  <c r="C2538" i="1"/>
  <c r="D2538" i="1"/>
  <c r="E2538" i="1"/>
  <c r="F2538" i="1"/>
  <c r="G2538" i="1"/>
  <c r="H2538" i="1"/>
  <c r="C2539" i="1"/>
  <c r="D2539" i="1"/>
  <c r="E2539" i="1"/>
  <c r="F2539" i="1"/>
  <c r="G2539" i="1"/>
  <c r="H2539" i="1"/>
  <c r="C2540" i="1"/>
  <c r="D2540" i="1"/>
  <c r="E2540" i="1"/>
  <c r="F2540" i="1"/>
  <c r="G2540" i="1"/>
  <c r="H2540" i="1"/>
  <c r="C2541" i="1"/>
  <c r="D2541" i="1"/>
  <c r="E2541" i="1"/>
  <c r="F2541" i="1"/>
  <c r="G2541" i="1"/>
  <c r="H2541" i="1"/>
  <c r="C2542" i="1"/>
  <c r="D2542" i="1"/>
  <c r="E2542" i="1"/>
  <c r="F2542" i="1"/>
  <c r="G2542" i="1"/>
  <c r="H2542" i="1"/>
  <c r="C2543" i="1"/>
  <c r="D2543" i="1"/>
  <c r="E2543" i="1"/>
  <c r="F2543" i="1"/>
  <c r="G2543" i="1"/>
  <c r="H2543" i="1"/>
  <c r="C2544" i="1"/>
  <c r="D2544" i="1"/>
  <c r="E2544" i="1"/>
  <c r="F2544" i="1"/>
  <c r="G2544" i="1"/>
  <c r="H2544" i="1"/>
  <c r="C2545" i="1"/>
  <c r="D2545" i="1"/>
  <c r="E2545" i="1"/>
  <c r="F2545" i="1"/>
  <c r="G2545" i="1"/>
  <c r="H2545" i="1"/>
  <c r="C2546" i="1"/>
  <c r="D2546" i="1"/>
  <c r="E2546" i="1"/>
  <c r="F2546" i="1"/>
  <c r="G2546" i="1"/>
  <c r="H2546" i="1"/>
  <c r="C2547" i="1"/>
  <c r="D2547" i="1"/>
  <c r="E2547" i="1"/>
  <c r="F2547" i="1"/>
  <c r="G2547" i="1"/>
  <c r="H2547" i="1"/>
  <c r="C2548" i="1"/>
  <c r="D2548" i="1"/>
  <c r="E2548" i="1"/>
  <c r="F2548" i="1"/>
  <c r="G2548" i="1"/>
  <c r="H2548" i="1"/>
  <c r="C2549" i="1"/>
  <c r="D2549" i="1"/>
  <c r="E2549" i="1"/>
  <c r="F2549" i="1"/>
  <c r="G2549" i="1"/>
  <c r="H2549" i="1"/>
  <c r="C2550" i="1"/>
  <c r="D2550" i="1"/>
  <c r="E2550" i="1"/>
  <c r="F2550" i="1"/>
  <c r="G2550" i="1"/>
  <c r="H2550" i="1"/>
  <c r="C2551" i="1"/>
  <c r="D2551" i="1"/>
  <c r="E2551" i="1"/>
  <c r="F2551" i="1"/>
  <c r="G2551" i="1"/>
  <c r="H2551" i="1"/>
  <c r="C2552" i="1"/>
  <c r="D2552" i="1"/>
  <c r="E2552" i="1"/>
  <c r="F2552" i="1"/>
  <c r="G2552" i="1"/>
  <c r="H2552" i="1"/>
  <c r="C2553" i="1"/>
  <c r="D2553" i="1"/>
  <c r="E2553" i="1"/>
  <c r="F2553" i="1"/>
  <c r="G2553" i="1"/>
  <c r="H2553" i="1"/>
  <c r="C2554" i="1"/>
  <c r="D2554" i="1"/>
  <c r="E2554" i="1"/>
  <c r="F2554" i="1"/>
  <c r="G2554" i="1"/>
  <c r="H2554" i="1"/>
  <c r="C2555" i="1"/>
  <c r="D2555" i="1"/>
  <c r="E2555" i="1"/>
  <c r="F2555" i="1"/>
  <c r="G2555" i="1"/>
  <c r="H2555" i="1"/>
  <c r="C2556" i="1"/>
  <c r="D2556" i="1"/>
  <c r="E2556" i="1"/>
  <c r="F2556" i="1"/>
  <c r="G2556" i="1"/>
  <c r="H2556" i="1"/>
  <c r="C2557" i="1"/>
  <c r="D2557" i="1"/>
  <c r="E2557" i="1"/>
  <c r="F2557" i="1"/>
  <c r="G2557" i="1"/>
  <c r="H2557" i="1"/>
  <c r="C2558" i="1"/>
  <c r="D2558" i="1"/>
  <c r="E2558" i="1"/>
  <c r="F2558" i="1"/>
  <c r="G2558" i="1"/>
  <c r="H2558" i="1"/>
  <c r="C2559" i="1"/>
  <c r="D2559" i="1"/>
  <c r="E2559" i="1"/>
  <c r="F2559" i="1"/>
  <c r="G2559" i="1"/>
  <c r="H2559" i="1"/>
  <c r="C2560" i="1"/>
  <c r="D2560" i="1"/>
  <c r="E2560" i="1"/>
  <c r="F2560" i="1"/>
  <c r="G2560" i="1"/>
  <c r="H2560" i="1"/>
  <c r="C2561" i="1"/>
  <c r="D2561" i="1"/>
  <c r="E2561" i="1"/>
  <c r="F2561" i="1"/>
  <c r="G2561" i="1"/>
  <c r="H2561" i="1"/>
  <c r="C2562" i="1"/>
  <c r="D2562" i="1"/>
  <c r="E2562" i="1"/>
  <c r="F2562" i="1"/>
  <c r="G2562" i="1"/>
  <c r="H2562" i="1"/>
  <c r="C2563" i="1"/>
  <c r="D2563" i="1"/>
  <c r="E2563" i="1"/>
  <c r="F2563" i="1"/>
  <c r="G2563" i="1"/>
  <c r="H2563" i="1"/>
  <c r="C2564" i="1"/>
  <c r="D2564" i="1"/>
  <c r="E2564" i="1"/>
  <c r="F2564" i="1"/>
  <c r="G2564" i="1"/>
  <c r="H2564" i="1"/>
  <c r="C2565" i="1"/>
  <c r="D2565" i="1"/>
  <c r="E2565" i="1"/>
  <c r="F2565" i="1"/>
  <c r="G2565" i="1"/>
  <c r="H2565" i="1"/>
  <c r="C2566" i="1"/>
  <c r="D2566" i="1"/>
  <c r="E2566" i="1"/>
  <c r="F2566" i="1"/>
  <c r="G2566" i="1"/>
  <c r="H2566" i="1"/>
  <c r="C2567" i="1"/>
  <c r="D2567" i="1"/>
  <c r="E2567" i="1"/>
  <c r="F2567" i="1"/>
  <c r="G2567" i="1"/>
  <c r="H2567" i="1"/>
  <c r="C2568" i="1"/>
  <c r="D2568" i="1"/>
  <c r="E2568" i="1"/>
  <c r="F2568" i="1"/>
  <c r="G2568" i="1"/>
  <c r="H2568" i="1"/>
  <c r="C2569" i="1"/>
  <c r="D2569" i="1"/>
  <c r="E2569" i="1"/>
  <c r="F2569" i="1"/>
  <c r="G2569" i="1"/>
  <c r="H2569" i="1"/>
  <c r="C2570" i="1"/>
  <c r="D2570" i="1"/>
  <c r="E2570" i="1"/>
  <c r="F2570" i="1"/>
  <c r="G2570" i="1"/>
  <c r="H2570" i="1"/>
  <c r="C2571" i="1"/>
  <c r="D2571" i="1"/>
  <c r="E2571" i="1"/>
  <c r="F2571" i="1"/>
  <c r="G2571" i="1"/>
  <c r="H2571" i="1"/>
  <c r="C2572" i="1"/>
  <c r="D2572" i="1"/>
  <c r="E2572" i="1"/>
  <c r="F2572" i="1"/>
  <c r="G2572" i="1"/>
  <c r="H2572" i="1"/>
  <c r="C2573" i="1"/>
  <c r="D2573" i="1"/>
  <c r="E2573" i="1"/>
  <c r="F2573" i="1"/>
  <c r="G2573" i="1"/>
  <c r="H2573" i="1"/>
  <c r="C2574" i="1"/>
  <c r="D2574" i="1"/>
  <c r="E2574" i="1"/>
  <c r="F2574" i="1"/>
  <c r="G2574" i="1"/>
  <c r="H2574" i="1"/>
  <c r="C2575" i="1"/>
  <c r="D2575" i="1"/>
  <c r="E2575" i="1"/>
  <c r="F2575" i="1"/>
  <c r="G2575" i="1"/>
  <c r="H2575" i="1"/>
  <c r="C2576" i="1"/>
  <c r="D2576" i="1"/>
  <c r="E2576" i="1"/>
  <c r="F2576" i="1"/>
  <c r="G2576" i="1"/>
  <c r="H2576" i="1"/>
  <c r="C2577" i="1"/>
  <c r="D2577" i="1"/>
  <c r="E2577" i="1"/>
  <c r="F2577" i="1"/>
  <c r="G2577" i="1"/>
  <c r="H2577" i="1"/>
  <c r="C2578" i="1"/>
  <c r="D2578" i="1"/>
  <c r="E2578" i="1"/>
  <c r="F2578" i="1"/>
  <c r="G2578" i="1"/>
  <c r="H2578" i="1"/>
  <c r="C2579" i="1"/>
  <c r="D2579" i="1"/>
  <c r="E2579" i="1"/>
  <c r="F2579" i="1"/>
  <c r="G2579" i="1"/>
  <c r="H2579" i="1"/>
  <c r="C2580" i="1"/>
  <c r="D2580" i="1"/>
  <c r="E2580" i="1"/>
  <c r="F2580" i="1"/>
  <c r="G2580" i="1"/>
  <c r="H2580" i="1"/>
  <c r="C2581" i="1"/>
  <c r="D2581" i="1"/>
  <c r="E2581" i="1"/>
  <c r="F2581" i="1"/>
  <c r="G2581" i="1"/>
  <c r="H2581" i="1"/>
  <c r="C2582" i="1"/>
  <c r="D2582" i="1"/>
  <c r="E2582" i="1"/>
  <c r="F2582" i="1"/>
  <c r="G2582" i="1"/>
  <c r="H2582" i="1"/>
  <c r="C2583" i="1"/>
  <c r="D2583" i="1"/>
  <c r="E2583" i="1"/>
  <c r="F2583" i="1"/>
  <c r="G2583" i="1"/>
  <c r="H2583" i="1"/>
  <c r="C2584" i="1"/>
  <c r="D2584" i="1"/>
  <c r="E2584" i="1"/>
  <c r="F2584" i="1"/>
  <c r="G2584" i="1"/>
  <c r="H2584" i="1"/>
  <c r="C2585" i="1"/>
  <c r="D2585" i="1"/>
  <c r="E2585" i="1"/>
  <c r="F2585" i="1"/>
  <c r="G2585" i="1"/>
  <c r="H2585" i="1"/>
  <c r="C2586" i="1"/>
  <c r="D2586" i="1"/>
  <c r="E2586" i="1"/>
  <c r="F2586" i="1"/>
  <c r="G2586" i="1"/>
  <c r="H2586" i="1"/>
  <c r="C2587" i="1"/>
  <c r="D2587" i="1"/>
  <c r="E2587" i="1"/>
  <c r="F2587" i="1"/>
  <c r="G2587" i="1"/>
  <c r="H2587" i="1"/>
  <c r="C2588" i="1"/>
  <c r="D2588" i="1"/>
  <c r="E2588" i="1"/>
  <c r="F2588" i="1"/>
  <c r="G2588" i="1"/>
  <c r="H2588" i="1"/>
  <c r="C2589" i="1"/>
  <c r="D2589" i="1"/>
  <c r="E2589" i="1"/>
  <c r="F2589" i="1"/>
  <c r="G2589" i="1"/>
  <c r="H2589" i="1"/>
  <c r="C2590" i="1"/>
  <c r="D2590" i="1"/>
  <c r="E2590" i="1"/>
  <c r="F2590" i="1"/>
  <c r="G2590" i="1"/>
  <c r="H2590" i="1"/>
  <c r="C2591" i="1"/>
  <c r="D2591" i="1"/>
  <c r="E2591" i="1"/>
  <c r="F2591" i="1"/>
  <c r="G2591" i="1"/>
  <c r="H2591" i="1"/>
  <c r="C2592" i="1"/>
  <c r="D2592" i="1"/>
  <c r="E2592" i="1"/>
  <c r="F2592" i="1"/>
  <c r="G2592" i="1"/>
  <c r="H2592" i="1"/>
  <c r="C2593" i="1"/>
  <c r="D2593" i="1"/>
  <c r="E2593" i="1"/>
  <c r="F2593" i="1"/>
  <c r="G2593" i="1"/>
  <c r="H2593" i="1"/>
  <c r="C2594" i="1"/>
  <c r="D2594" i="1"/>
  <c r="E2594" i="1"/>
  <c r="F2594" i="1"/>
  <c r="G2594" i="1"/>
  <c r="H2594" i="1"/>
  <c r="C2595" i="1"/>
  <c r="D2595" i="1"/>
  <c r="E2595" i="1"/>
  <c r="F2595" i="1"/>
  <c r="G2595" i="1"/>
  <c r="H2595" i="1"/>
  <c r="C2596" i="1"/>
  <c r="D2596" i="1"/>
  <c r="E2596" i="1"/>
  <c r="F2596" i="1"/>
  <c r="G2596" i="1"/>
  <c r="H2596" i="1"/>
  <c r="C2597" i="1"/>
  <c r="D2597" i="1"/>
  <c r="E2597" i="1"/>
  <c r="F2597" i="1"/>
  <c r="G2597" i="1"/>
  <c r="H2597" i="1"/>
  <c r="C2598" i="1"/>
  <c r="D2598" i="1"/>
  <c r="E2598" i="1"/>
  <c r="F2598" i="1"/>
  <c r="G2598" i="1"/>
  <c r="H2598" i="1"/>
  <c r="C2599" i="1"/>
  <c r="D2599" i="1"/>
  <c r="E2599" i="1"/>
  <c r="F2599" i="1"/>
  <c r="G2599" i="1"/>
  <c r="H2599" i="1"/>
  <c r="C2600" i="1"/>
  <c r="D2600" i="1"/>
  <c r="E2600" i="1"/>
  <c r="F2600" i="1"/>
  <c r="G2600" i="1"/>
  <c r="H2600" i="1"/>
  <c r="C2601" i="1"/>
  <c r="D2601" i="1"/>
  <c r="E2601" i="1"/>
  <c r="F2601" i="1"/>
  <c r="G2601" i="1"/>
  <c r="H2601" i="1"/>
  <c r="C2602" i="1"/>
  <c r="D2602" i="1"/>
  <c r="E2602" i="1"/>
  <c r="F2602" i="1"/>
  <c r="G2602" i="1"/>
  <c r="H2602" i="1"/>
  <c r="C2603" i="1"/>
  <c r="D2603" i="1"/>
  <c r="E2603" i="1"/>
  <c r="F2603" i="1"/>
  <c r="G2603" i="1"/>
  <c r="H2603" i="1"/>
  <c r="C2604" i="1"/>
  <c r="D2604" i="1"/>
  <c r="E2604" i="1"/>
  <c r="F2604" i="1"/>
  <c r="G2604" i="1"/>
  <c r="H2604" i="1"/>
  <c r="C2605" i="1"/>
  <c r="D2605" i="1"/>
  <c r="E2605" i="1"/>
  <c r="F2605" i="1"/>
  <c r="G2605" i="1"/>
  <c r="H2605" i="1"/>
  <c r="C2606" i="1"/>
  <c r="D2606" i="1"/>
  <c r="E2606" i="1"/>
  <c r="F2606" i="1"/>
  <c r="G2606" i="1"/>
  <c r="H2606" i="1"/>
  <c r="C2607" i="1"/>
  <c r="D2607" i="1"/>
  <c r="E2607" i="1"/>
  <c r="F2607" i="1"/>
  <c r="G2607" i="1"/>
  <c r="H2607" i="1"/>
  <c r="C2608" i="1"/>
  <c r="D2608" i="1"/>
  <c r="E2608" i="1"/>
  <c r="F2608" i="1"/>
  <c r="G2608" i="1"/>
  <c r="H2608" i="1"/>
  <c r="C2609" i="1"/>
  <c r="D2609" i="1"/>
  <c r="E2609" i="1"/>
  <c r="F2609" i="1"/>
  <c r="G2609" i="1"/>
  <c r="H2609" i="1"/>
  <c r="C2610" i="1"/>
  <c r="D2610" i="1"/>
  <c r="E2610" i="1"/>
  <c r="F2610" i="1"/>
  <c r="G2610" i="1"/>
  <c r="H2610" i="1"/>
  <c r="C2611" i="1"/>
  <c r="D2611" i="1"/>
  <c r="E2611" i="1"/>
  <c r="F2611" i="1"/>
  <c r="G2611" i="1"/>
  <c r="H2611" i="1"/>
  <c r="C2612" i="1"/>
  <c r="D2612" i="1"/>
  <c r="E2612" i="1"/>
  <c r="F2612" i="1"/>
  <c r="G2612" i="1"/>
  <c r="H2612" i="1"/>
  <c r="C2613" i="1"/>
  <c r="D2613" i="1"/>
  <c r="E2613" i="1"/>
  <c r="F2613" i="1"/>
  <c r="G2613" i="1"/>
  <c r="H2613" i="1"/>
  <c r="C2614" i="1"/>
  <c r="D2614" i="1"/>
  <c r="E2614" i="1"/>
  <c r="F2614" i="1"/>
  <c r="G2614" i="1"/>
  <c r="H2614" i="1"/>
  <c r="C2615" i="1"/>
  <c r="D2615" i="1"/>
  <c r="E2615" i="1"/>
  <c r="F2615" i="1"/>
  <c r="G2615" i="1"/>
  <c r="H2615" i="1"/>
  <c r="C2616" i="1"/>
  <c r="D2616" i="1"/>
  <c r="E2616" i="1"/>
  <c r="F2616" i="1"/>
  <c r="G2616" i="1"/>
  <c r="H2616" i="1"/>
  <c r="C2617" i="1"/>
  <c r="D2617" i="1"/>
  <c r="E2617" i="1"/>
  <c r="F2617" i="1"/>
  <c r="G2617" i="1"/>
  <c r="H2617" i="1"/>
  <c r="C2618" i="1"/>
  <c r="D2618" i="1"/>
  <c r="E2618" i="1"/>
  <c r="F2618" i="1"/>
  <c r="G2618" i="1"/>
  <c r="H2618" i="1"/>
  <c r="C2619" i="1"/>
  <c r="D2619" i="1"/>
  <c r="E2619" i="1"/>
  <c r="F2619" i="1"/>
  <c r="G2619" i="1"/>
  <c r="H2619" i="1"/>
  <c r="C2620" i="1"/>
  <c r="D2620" i="1"/>
  <c r="E2620" i="1"/>
  <c r="F2620" i="1"/>
  <c r="G2620" i="1"/>
  <c r="H2620" i="1"/>
  <c r="C2621" i="1"/>
  <c r="D2621" i="1"/>
  <c r="E2621" i="1"/>
  <c r="F2621" i="1"/>
  <c r="G2621" i="1"/>
  <c r="H2621" i="1"/>
  <c r="C2622" i="1"/>
  <c r="D2622" i="1"/>
  <c r="E2622" i="1"/>
  <c r="F2622" i="1"/>
  <c r="G2622" i="1"/>
  <c r="H2622" i="1"/>
  <c r="C2623" i="1"/>
  <c r="D2623" i="1"/>
  <c r="E2623" i="1"/>
  <c r="F2623" i="1"/>
  <c r="G2623" i="1"/>
  <c r="H2623" i="1"/>
  <c r="C2624" i="1"/>
  <c r="D2624" i="1"/>
  <c r="E2624" i="1"/>
  <c r="F2624" i="1"/>
  <c r="G2624" i="1"/>
  <c r="H2624" i="1"/>
  <c r="C2625" i="1"/>
  <c r="D2625" i="1"/>
  <c r="E2625" i="1"/>
  <c r="F2625" i="1"/>
  <c r="G2625" i="1"/>
  <c r="H2625" i="1"/>
  <c r="C2626" i="1"/>
  <c r="D2626" i="1"/>
  <c r="E2626" i="1"/>
  <c r="F2626" i="1"/>
  <c r="G2626" i="1"/>
  <c r="H2626" i="1"/>
  <c r="C2627" i="1"/>
  <c r="D2627" i="1"/>
  <c r="E2627" i="1"/>
  <c r="F2627" i="1"/>
  <c r="G2627" i="1"/>
  <c r="H2627" i="1"/>
  <c r="C2628" i="1"/>
  <c r="D2628" i="1"/>
  <c r="E2628" i="1"/>
  <c r="F2628" i="1"/>
  <c r="G2628" i="1"/>
  <c r="H2628" i="1"/>
  <c r="C2629" i="1"/>
  <c r="D2629" i="1"/>
  <c r="E2629" i="1"/>
  <c r="F2629" i="1"/>
  <c r="G2629" i="1"/>
  <c r="H2629" i="1"/>
  <c r="C2630" i="1"/>
  <c r="D2630" i="1"/>
  <c r="E2630" i="1"/>
  <c r="F2630" i="1"/>
  <c r="G2630" i="1"/>
  <c r="H2630" i="1"/>
  <c r="C2631" i="1"/>
  <c r="D2631" i="1"/>
  <c r="E2631" i="1"/>
  <c r="F2631" i="1"/>
  <c r="G2631" i="1"/>
  <c r="H2631" i="1"/>
  <c r="C2632" i="1"/>
  <c r="D2632" i="1"/>
  <c r="E2632" i="1"/>
  <c r="F2632" i="1"/>
  <c r="G2632" i="1"/>
  <c r="H2632" i="1"/>
  <c r="C2633" i="1"/>
  <c r="D2633" i="1"/>
  <c r="E2633" i="1"/>
  <c r="F2633" i="1"/>
  <c r="G2633" i="1"/>
  <c r="H2633" i="1"/>
  <c r="C2634" i="1"/>
  <c r="D2634" i="1"/>
  <c r="E2634" i="1"/>
  <c r="F2634" i="1"/>
  <c r="G2634" i="1"/>
  <c r="H2634" i="1"/>
  <c r="C2635" i="1"/>
  <c r="D2635" i="1"/>
  <c r="E2635" i="1"/>
  <c r="F2635" i="1"/>
  <c r="G2635" i="1"/>
  <c r="H2635" i="1"/>
  <c r="C2636" i="1"/>
  <c r="D2636" i="1"/>
  <c r="E2636" i="1"/>
  <c r="F2636" i="1"/>
  <c r="G2636" i="1"/>
  <c r="H2636" i="1"/>
  <c r="C2637" i="1"/>
  <c r="D2637" i="1"/>
  <c r="E2637" i="1"/>
  <c r="F2637" i="1"/>
  <c r="G2637" i="1"/>
  <c r="H2637" i="1"/>
  <c r="C2638" i="1"/>
  <c r="D2638" i="1"/>
  <c r="E2638" i="1"/>
  <c r="F2638" i="1"/>
  <c r="G2638" i="1"/>
  <c r="H2638" i="1"/>
  <c r="C2639" i="1"/>
  <c r="D2639" i="1"/>
  <c r="E2639" i="1"/>
  <c r="F2639" i="1"/>
  <c r="G2639" i="1"/>
  <c r="H2639" i="1"/>
  <c r="C2640" i="1"/>
  <c r="D2640" i="1"/>
  <c r="E2640" i="1"/>
  <c r="F2640" i="1"/>
  <c r="G2640" i="1"/>
  <c r="H2640" i="1"/>
  <c r="C2641" i="1"/>
  <c r="D2641" i="1"/>
  <c r="E2641" i="1"/>
  <c r="F2641" i="1"/>
  <c r="G2641" i="1"/>
  <c r="H2641" i="1"/>
  <c r="C2642" i="1"/>
  <c r="D2642" i="1"/>
  <c r="E2642" i="1"/>
  <c r="F2642" i="1"/>
  <c r="G2642" i="1"/>
  <c r="H2642" i="1"/>
  <c r="C2643" i="1"/>
  <c r="D2643" i="1"/>
  <c r="E2643" i="1"/>
  <c r="F2643" i="1"/>
  <c r="G2643" i="1"/>
  <c r="H2643" i="1"/>
  <c r="C2644" i="1"/>
  <c r="D2644" i="1"/>
  <c r="E2644" i="1"/>
  <c r="F2644" i="1"/>
  <c r="G2644" i="1"/>
  <c r="H2644" i="1"/>
  <c r="C2645" i="1"/>
  <c r="D2645" i="1"/>
  <c r="E2645" i="1"/>
  <c r="F2645" i="1"/>
  <c r="G2645" i="1"/>
  <c r="H2645" i="1"/>
  <c r="C2646" i="1"/>
  <c r="D2646" i="1"/>
  <c r="E2646" i="1"/>
  <c r="F2646" i="1"/>
  <c r="G2646" i="1"/>
  <c r="H2646" i="1"/>
  <c r="C2647" i="1"/>
  <c r="D2647" i="1"/>
  <c r="E2647" i="1"/>
  <c r="F2647" i="1"/>
  <c r="G2647" i="1"/>
  <c r="H2647" i="1"/>
  <c r="C2648" i="1"/>
  <c r="D2648" i="1"/>
  <c r="E2648" i="1"/>
  <c r="F2648" i="1"/>
  <c r="G2648" i="1"/>
  <c r="H2648" i="1"/>
  <c r="C2649" i="1"/>
  <c r="D2649" i="1"/>
  <c r="E2649" i="1"/>
  <c r="F2649" i="1"/>
  <c r="G2649" i="1"/>
  <c r="H2649" i="1"/>
  <c r="C2650" i="1"/>
  <c r="D2650" i="1"/>
  <c r="E2650" i="1"/>
  <c r="F2650" i="1"/>
  <c r="G2650" i="1"/>
  <c r="H2650" i="1"/>
  <c r="C2651" i="1"/>
  <c r="D2651" i="1"/>
  <c r="E2651" i="1"/>
  <c r="F2651" i="1"/>
  <c r="G2651" i="1"/>
  <c r="H2651" i="1"/>
  <c r="C2652" i="1"/>
  <c r="D2652" i="1"/>
  <c r="E2652" i="1"/>
  <c r="F2652" i="1"/>
  <c r="G2652" i="1"/>
  <c r="H2652" i="1"/>
  <c r="C2653" i="1"/>
  <c r="D2653" i="1"/>
  <c r="E2653" i="1"/>
  <c r="F2653" i="1"/>
  <c r="G2653" i="1"/>
  <c r="H2653" i="1"/>
  <c r="C2654" i="1"/>
  <c r="D2654" i="1"/>
  <c r="E2654" i="1"/>
  <c r="F2654" i="1"/>
  <c r="G2654" i="1"/>
  <c r="H2654" i="1"/>
  <c r="C2655" i="1"/>
  <c r="D2655" i="1"/>
  <c r="E2655" i="1"/>
  <c r="F2655" i="1"/>
  <c r="G2655" i="1"/>
  <c r="H2655" i="1"/>
  <c r="C2656" i="1"/>
  <c r="D2656" i="1"/>
  <c r="E2656" i="1"/>
  <c r="F2656" i="1"/>
  <c r="G2656" i="1"/>
  <c r="H2656" i="1"/>
  <c r="C2657" i="1"/>
  <c r="D2657" i="1"/>
  <c r="E2657" i="1"/>
  <c r="F2657" i="1"/>
  <c r="G2657" i="1"/>
  <c r="H2657" i="1"/>
  <c r="C2658" i="1"/>
  <c r="D2658" i="1"/>
  <c r="E2658" i="1"/>
  <c r="F2658" i="1"/>
  <c r="G2658" i="1"/>
  <c r="H2658" i="1"/>
  <c r="C2659" i="1"/>
  <c r="D2659" i="1"/>
  <c r="E2659" i="1"/>
  <c r="F2659" i="1"/>
  <c r="G2659" i="1"/>
  <c r="H2659" i="1"/>
  <c r="C2660" i="1"/>
  <c r="D2660" i="1"/>
  <c r="E2660" i="1"/>
  <c r="F2660" i="1"/>
  <c r="G2660" i="1"/>
  <c r="H2660" i="1"/>
  <c r="C2661" i="1"/>
  <c r="D2661" i="1"/>
  <c r="E2661" i="1"/>
  <c r="F2661" i="1"/>
  <c r="G2661" i="1"/>
  <c r="H2661" i="1"/>
  <c r="C2662" i="1"/>
  <c r="D2662" i="1"/>
  <c r="E2662" i="1"/>
  <c r="F2662" i="1"/>
  <c r="G2662" i="1"/>
  <c r="H2662" i="1"/>
  <c r="C2663" i="1"/>
  <c r="D2663" i="1"/>
  <c r="E2663" i="1"/>
  <c r="F2663" i="1"/>
  <c r="G2663" i="1"/>
  <c r="H2663" i="1"/>
  <c r="C2664" i="1"/>
  <c r="D2664" i="1"/>
  <c r="E2664" i="1"/>
  <c r="F2664" i="1"/>
  <c r="G2664" i="1"/>
  <c r="H2664" i="1"/>
  <c r="C2665" i="1"/>
  <c r="D2665" i="1"/>
  <c r="E2665" i="1"/>
  <c r="F2665" i="1"/>
  <c r="G2665" i="1"/>
  <c r="H2665" i="1"/>
  <c r="C2666" i="1"/>
  <c r="D2666" i="1"/>
  <c r="E2666" i="1"/>
  <c r="F2666" i="1"/>
  <c r="G2666" i="1"/>
  <c r="H2666" i="1"/>
  <c r="C2667" i="1"/>
  <c r="D2667" i="1"/>
  <c r="E2667" i="1"/>
  <c r="F2667" i="1"/>
  <c r="G2667" i="1"/>
  <c r="H2667" i="1"/>
  <c r="C2668" i="1"/>
  <c r="D2668" i="1"/>
  <c r="E2668" i="1"/>
  <c r="F2668" i="1"/>
  <c r="G2668" i="1"/>
  <c r="H2668" i="1"/>
  <c r="C2669" i="1"/>
  <c r="D2669" i="1"/>
  <c r="E2669" i="1"/>
  <c r="F2669" i="1"/>
  <c r="G2669" i="1"/>
  <c r="H2669" i="1"/>
  <c r="C2670" i="1"/>
  <c r="D2670" i="1"/>
  <c r="E2670" i="1"/>
  <c r="F2670" i="1"/>
  <c r="G2670" i="1"/>
  <c r="H2670" i="1"/>
  <c r="C2671" i="1"/>
  <c r="D2671" i="1"/>
  <c r="E2671" i="1"/>
  <c r="F2671" i="1"/>
  <c r="G2671" i="1"/>
  <c r="H2671" i="1"/>
  <c r="C2672" i="1"/>
  <c r="D2672" i="1"/>
  <c r="E2672" i="1"/>
  <c r="F2672" i="1"/>
  <c r="G2672" i="1"/>
  <c r="H2672" i="1"/>
  <c r="C2673" i="1"/>
  <c r="D2673" i="1"/>
  <c r="E2673" i="1"/>
  <c r="F2673" i="1"/>
  <c r="G2673" i="1"/>
  <c r="H2673" i="1"/>
  <c r="C2674" i="1"/>
  <c r="D2674" i="1"/>
  <c r="E2674" i="1"/>
  <c r="F2674" i="1"/>
  <c r="G2674" i="1"/>
  <c r="H2674" i="1"/>
  <c r="C2675" i="1"/>
  <c r="D2675" i="1"/>
  <c r="E2675" i="1"/>
  <c r="F2675" i="1"/>
  <c r="G2675" i="1"/>
  <c r="H2675" i="1"/>
  <c r="C2676" i="1"/>
  <c r="D2676" i="1"/>
  <c r="E2676" i="1"/>
  <c r="F2676" i="1"/>
  <c r="G2676" i="1"/>
  <c r="H2676" i="1"/>
  <c r="C2677" i="1"/>
  <c r="D2677" i="1"/>
  <c r="E2677" i="1"/>
  <c r="F2677" i="1"/>
  <c r="G2677" i="1"/>
  <c r="H2677" i="1"/>
  <c r="C2678" i="1"/>
  <c r="D2678" i="1"/>
  <c r="E2678" i="1"/>
  <c r="F2678" i="1"/>
  <c r="G2678" i="1"/>
  <c r="H2678" i="1"/>
  <c r="C2679" i="1"/>
  <c r="D2679" i="1"/>
  <c r="E2679" i="1"/>
  <c r="F2679" i="1"/>
  <c r="G2679" i="1"/>
  <c r="H2679" i="1"/>
  <c r="C2680" i="1"/>
  <c r="D2680" i="1"/>
  <c r="E2680" i="1"/>
  <c r="F2680" i="1"/>
  <c r="G2680" i="1"/>
  <c r="H2680" i="1"/>
  <c r="C2681" i="1"/>
  <c r="D2681" i="1"/>
  <c r="E2681" i="1"/>
  <c r="F2681" i="1"/>
  <c r="G2681" i="1"/>
  <c r="H2681" i="1"/>
  <c r="C2682" i="1"/>
  <c r="D2682" i="1"/>
  <c r="E2682" i="1"/>
  <c r="F2682" i="1"/>
  <c r="G2682" i="1"/>
  <c r="H2682" i="1"/>
  <c r="C2683" i="1"/>
  <c r="D2683" i="1"/>
  <c r="E2683" i="1"/>
  <c r="F2683" i="1"/>
  <c r="G2683" i="1"/>
  <c r="H2683" i="1"/>
  <c r="C2684" i="1"/>
  <c r="D2684" i="1"/>
  <c r="E2684" i="1"/>
  <c r="F2684" i="1"/>
  <c r="G2684" i="1"/>
  <c r="H2684" i="1"/>
  <c r="C2685" i="1"/>
  <c r="D2685" i="1"/>
  <c r="E2685" i="1"/>
  <c r="F2685" i="1"/>
  <c r="G2685" i="1"/>
  <c r="H2685" i="1"/>
  <c r="C2686" i="1"/>
  <c r="D2686" i="1"/>
  <c r="E2686" i="1"/>
  <c r="F2686" i="1"/>
  <c r="G2686" i="1"/>
  <c r="H2686" i="1"/>
  <c r="C2687" i="1"/>
  <c r="D2687" i="1"/>
  <c r="E2687" i="1"/>
  <c r="F2687" i="1"/>
  <c r="G2687" i="1"/>
  <c r="H2687" i="1"/>
  <c r="C2688" i="1"/>
  <c r="D2688" i="1"/>
  <c r="E2688" i="1"/>
  <c r="F2688" i="1"/>
  <c r="G2688" i="1"/>
  <c r="H2688" i="1"/>
  <c r="C2689" i="1"/>
  <c r="D2689" i="1"/>
  <c r="E2689" i="1"/>
  <c r="F2689" i="1"/>
  <c r="G2689" i="1"/>
  <c r="H2689" i="1"/>
  <c r="C2690" i="1"/>
  <c r="D2690" i="1"/>
  <c r="E2690" i="1"/>
  <c r="F2690" i="1"/>
  <c r="G2690" i="1"/>
  <c r="H2690" i="1"/>
  <c r="C2691" i="1"/>
  <c r="D2691" i="1"/>
  <c r="E2691" i="1"/>
  <c r="F2691" i="1"/>
  <c r="G2691" i="1"/>
  <c r="H2691" i="1"/>
  <c r="C2692" i="1"/>
  <c r="D2692" i="1"/>
  <c r="E2692" i="1"/>
  <c r="F2692" i="1"/>
  <c r="G2692" i="1"/>
  <c r="H2692" i="1"/>
  <c r="C2693" i="1"/>
  <c r="D2693" i="1"/>
  <c r="E2693" i="1"/>
  <c r="F2693" i="1"/>
  <c r="G2693" i="1"/>
  <c r="H2693" i="1"/>
  <c r="C2694" i="1"/>
  <c r="D2694" i="1"/>
  <c r="E2694" i="1"/>
  <c r="F2694" i="1"/>
  <c r="G2694" i="1"/>
  <c r="H2694" i="1"/>
  <c r="C2695" i="1"/>
  <c r="D2695" i="1"/>
  <c r="E2695" i="1"/>
  <c r="F2695" i="1"/>
  <c r="G2695" i="1"/>
  <c r="H2695" i="1"/>
  <c r="C2696" i="1"/>
  <c r="D2696" i="1"/>
  <c r="E2696" i="1"/>
  <c r="F2696" i="1"/>
  <c r="G2696" i="1"/>
  <c r="H2696" i="1"/>
  <c r="C2697" i="1"/>
  <c r="D2697" i="1"/>
  <c r="E2697" i="1"/>
  <c r="F2697" i="1"/>
  <c r="G2697" i="1"/>
  <c r="H2697" i="1"/>
  <c r="C2698" i="1"/>
  <c r="D2698" i="1"/>
  <c r="E2698" i="1"/>
  <c r="F2698" i="1"/>
  <c r="G2698" i="1"/>
  <c r="H2698" i="1"/>
  <c r="C2699" i="1"/>
  <c r="D2699" i="1"/>
  <c r="E2699" i="1"/>
  <c r="F2699" i="1"/>
  <c r="G2699" i="1"/>
  <c r="H2699" i="1"/>
  <c r="C2700" i="1"/>
  <c r="D2700" i="1"/>
  <c r="E2700" i="1"/>
  <c r="F2700" i="1"/>
  <c r="G2700" i="1"/>
  <c r="H2700" i="1"/>
  <c r="C2701" i="1"/>
  <c r="D2701" i="1"/>
  <c r="E2701" i="1"/>
  <c r="F2701" i="1"/>
  <c r="G2701" i="1"/>
  <c r="H2701" i="1"/>
  <c r="C2702" i="1"/>
  <c r="D2702" i="1"/>
  <c r="E2702" i="1"/>
  <c r="F2702" i="1"/>
  <c r="G2702" i="1"/>
  <c r="H2702" i="1"/>
  <c r="C2703" i="1"/>
  <c r="D2703" i="1"/>
  <c r="E2703" i="1"/>
  <c r="F2703" i="1"/>
  <c r="G2703" i="1"/>
  <c r="H2703" i="1"/>
  <c r="C2704" i="1"/>
  <c r="D2704" i="1"/>
  <c r="E2704" i="1"/>
  <c r="F2704" i="1"/>
  <c r="G2704" i="1"/>
  <c r="H2704" i="1"/>
  <c r="C2705" i="1"/>
  <c r="D2705" i="1"/>
  <c r="E2705" i="1"/>
  <c r="F2705" i="1"/>
  <c r="G2705" i="1"/>
  <c r="H2705" i="1"/>
  <c r="C2706" i="1"/>
  <c r="D2706" i="1"/>
  <c r="E2706" i="1"/>
  <c r="F2706" i="1"/>
  <c r="G2706" i="1"/>
  <c r="H2706" i="1"/>
  <c r="C2707" i="1"/>
  <c r="D2707" i="1"/>
  <c r="E2707" i="1"/>
  <c r="F2707" i="1"/>
  <c r="G2707" i="1"/>
  <c r="H2707" i="1"/>
  <c r="C2708" i="1"/>
  <c r="D2708" i="1"/>
  <c r="E2708" i="1"/>
  <c r="F2708" i="1"/>
  <c r="G2708" i="1"/>
  <c r="H2708" i="1"/>
  <c r="C2709" i="1"/>
  <c r="D2709" i="1"/>
  <c r="E2709" i="1"/>
  <c r="F2709" i="1"/>
  <c r="G2709" i="1"/>
  <c r="H2709" i="1"/>
  <c r="C2710" i="1"/>
  <c r="D2710" i="1"/>
  <c r="E2710" i="1"/>
  <c r="F2710" i="1"/>
  <c r="G2710" i="1"/>
  <c r="H2710" i="1"/>
  <c r="C2711" i="1"/>
  <c r="D2711" i="1"/>
  <c r="E2711" i="1"/>
  <c r="F2711" i="1"/>
  <c r="G2711" i="1"/>
  <c r="H2711" i="1"/>
  <c r="C2712" i="1"/>
  <c r="D2712" i="1"/>
  <c r="E2712" i="1"/>
  <c r="F2712" i="1"/>
  <c r="G2712" i="1"/>
  <c r="H2712" i="1"/>
  <c r="C2713" i="1"/>
  <c r="D2713" i="1"/>
  <c r="E2713" i="1"/>
  <c r="F2713" i="1"/>
  <c r="G2713" i="1"/>
  <c r="H2713" i="1"/>
  <c r="C2714" i="1"/>
  <c r="D2714" i="1"/>
  <c r="E2714" i="1"/>
  <c r="F2714" i="1"/>
  <c r="G2714" i="1"/>
  <c r="H2714" i="1"/>
  <c r="C2715" i="1"/>
  <c r="D2715" i="1"/>
  <c r="E2715" i="1"/>
  <c r="F2715" i="1"/>
  <c r="G2715" i="1"/>
  <c r="H2715" i="1"/>
  <c r="C2716" i="1"/>
  <c r="D2716" i="1"/>
  <c r="E2716" i="1"/>
  <c r="F2716" i="1"/>
  <c r="G2716" i="1"/>
  <c r="H2716" i="1"/>
  <c r="C2717" i="1"/>
  <c r="D2717" i="1"/>
  <c r="E2717" i="1"/>
  <c r="F2717" i="1"/>
  <c r="G2717" i="1"/>
  <c r="H2717" i="1"/>
  <c r="C2718" i="1"/>
  <c r="D2718" i="1"/>
  <c r="E2718" i="1"/>
  <c r="F2718" i="1"/>
  <c r="G2718" i="1"/>
  <c r="H2718" i="1"/>
  <c r="C2719" i="1"/>
  <c r="D2719" i="1"/>
  <c r="E2719" i="1"/>
  <c r="F2719" i="1"/>
  <c r="G2719" i="1"/>
  <c r="H2719" i="1"/>
  <c r="C2720" i="1"/>
  <c r="D2720" i="1"/>
  <c r="E2720" i="1"/>
  <c r="F2720" i="1"/>
  <c r="G2720" i="1"/>
  <c r="H2720" i="1"/>
  <c r="C2721" i="1"/>
  <c r="D2721" i="1"/>
  <c r="E2721" i="1"/>
  <c r="F2721" i="1"/>
  <c r="G2721" i="1"/>
  <c r="H2721" i="1"/>
  <c r="C2722" i="1"/>
  <c r="D2722" i="1"/>
  <c r="E2722" i="1"/>
  <c r="F2722" i="1"/>
  <c r="G2722" i="1"/>
  <c r="H2722" i="1"/>
  <c r="C2723" i="1"/>
  <c r="D2723" i="1"/>
  <c r="E2723" i="1"/>
  <c r="F2723" i="1"/>
  <c r="G2723" i="1"/>
  <c r="H2723" i="1"/>
  <c r="C2724" i="1"/>
  <c r="D2724" i="1"/>
  <c r="E2724" i="1"/>
  <c r="F2724" i="1"/>
  <c r="G2724" i="1"/>
  <c r="H2724" i="1"/>
  <c r="C2725" i="1"/>
  <c r="D2725" i="1"/>
  <c r="E2725" i="1"/>
  <c r="F2725" i="1"/>
  <c r="G2725" i="1"/>
  <c r="H2725" i="1"/>
  <c r="C2726" i="1"/>
  <c r="D2726" i="1"/>
  <c r="E2726" i="1"/>
  <c r="F2726" i="1"/>
  <c r="G2726" i="1"/>
  <c r="H2726" i="1"/>
  <c r="C2727" i="1"/>
  <c r="D2727" i="1"/>
  <c r="E2727" i="1"/>
  <c r="F2727" i="1"/>
  <c r="G2727" i="1"/>
  <c r="H2727" i="1"/>
  <c r="C2728" i="1"/>
  <c r="D2728" i="1"/>
  <c r="E2728" i="1"/>
  <c r="F2728" i="1"/>
  <c r="G2728" i="1"/>
  <c r="H2728" i="1"/>
  <c r="C2729" i="1"/>
  <c r="D2729" i="1"/>
  <c r="E2729" i="1"/>
  <c r="F2729" i="1"/>
  <c r="G2729" i="1"/>
  <c r="H2729" i="1"/>
  <c r="C2730" i="1"/>
  <c r="D2730" i="1"/>
  <c r="E2730" i="1"/>
  <c r="F2730" i="1"/>
  <c r="G2730" i="1"/>
  <c r="H2730" i="1"/>
  <c r="C2731" i="1"/>
  <c r="D2731" i="1"/>
  <c r="E2731" i="1"/>
  <c r="F2731" i="1"/>
  <c r="G2731" i="1"/>
  <c r="H2731" i="1"/>
  <c r="C2732" i="1"/>
  <c r="D2732" i="1"/>
  <c r="E2732" i="1"/>
  <c r="F2732" i="1"/>
  <c r="G2732" i="1"/>
  <c r="H2732" i="1"/>
  <c r="C2733" i="1"/>
  <c r="D2733" i="1"/>
  <c r="E2733" i="1"/>
  <c r="F2733" i="1"/>
  <c r="G2733" i="1"/>
  <c r="H2733" i="1"/>
  <c r="C2734" i="1"/>
  <c r="D2734" i="1"/>
  <c r="E2734" i="1"/>
  <c r="F2734" i="1"/>
  <c r="G2734" i="1"/>
  <c r="H2734" i="1"/>
  <c r="C2735" i="1"/>
  <c r="D2735" i="1"/>
  <c r="E2735" i="1"/>
  <c r="F2735" i="1"/>
  <c r="G2735" i="1"/>
  <c r="H2735" i="1"/>
  <c r="C2736" i="1"/>
  <c r="D2736" i="1"/>
  <c r="E2736" i="1"/>
  <c r="F2736" i="1"/>
  <c r="G2736" i="1"/>
  <c r="H2736" i="1"/>
  <c r="C2737" i="1"/>
  <c r="D2737" i="1"/>
  <c r="E2737" i="1"/>
  <c r="F2737" i="1"/>
  <c r="G2737" i="1"/>
  <c r="H2737" i="1"/>
  <c r="C2738" i="1"/>
  <c r="D2738" i="1"/>
  <c r="E2738" i="1"/>
  <c r="F2738" i="1"/>
  <c r="G2738" i="1"/>
  <c r="H2738" i="1"/>
  <c r="C2739" i="1"/>
  <c r="D2739" i="1"/>
  <c r="E2739" i="1"/>
  <c r="F2739" i="1"/>
  <c r="G2739" i="1"/>
  <c r="H2739" i="1"/>
  <c r="C2740" i="1"/>
  <c r="D2740" i="1"/>
  <c r="E2740" i="1"/>
  <c r="F2740" i="1"/>
  <c r="G2740" i="1"/>
  <c r="H2740" i="1"/>
  <c r="C2741" i="1"/>
  <c r="D2741" i="1"/>
  <c r="E2741" i="1"/>
  <c r="F2741" i="1"/>
  <c r="G2741" i="1"/>
  <c r="H2741" i="1"/>
  <c r="C2742" i="1"/>
  <c r="D2742" i="1"/>
  <c r="E2742" i="1"/>
  <c r="F2742" i="1"/>
  <c r="G2742" i="1"/>
  <c r="H2742" i="1"/>
  <c r="C2743" i="1"/>
  <c r="D2743" i="1"/>
  <c r="E2743" i="1"/>
  <c r="F2743" i="1"/>
  <c r="G2743" i="1"/>
  <c r="H2743" i="1"/>
  <c r="C2744" i="1"/>
  <c r="D2744" i="1"/>
  <c r="E2744" i="1"/>
  <c r="F2744" i="1"/>
  <c r="G2744" i="1"/>
  <c r="H2744" i="1"/>
  <c r="C2745" i="1"/>
  <c r="D2745" i="1"/>
  <c r="E2745" i="1"/>
  <c r="F2745" i="1"/>
  <c r="G2745" i="1"/>
  <c r="H2745" i="1"/>
  <c r="C2746" i="1"/>
  <c r="D2746" i="1"/>
  <c r="E2746" i="1"/>
  <c r="F2746" i="1"/>
  <c r="G2746" i="1"/>
  <c r="H2746" i="1"/>
  <c r="C2747" i="1"/>
  <c r="D2747" i="1"/>
  <c r="E2747" i="1"/>
  <c r="F2747" i="1"/>
  <c r="G2747" i="1"/>
  <c r="H2747" i="1"/>
  <c r="C2748" i="1"/>
  <c r="D2748" i="1"/>
  <c r="E2748" i="1"/>
  <c r="F2748" i="1"/>
  <c r="G2748" i="1"/>
  <c r="H2748" i="1"/>
  <c r="C2749" i="1"/>
  <c r="D2749" i="1"/>
  <c r="E2749" i="1"/>
  <c r="F2749" i="1"/>
  <c r="G2749" i="1"/>
  <c r="H2749" i="1"/>
  <c r="C2750" i="1"/>
  <c r="D2750" i="1"/>
  <c r="E2750" i="1"/>
  <c r="F2750" i="1"/>
  <c r="G2750" i="1"/>
  <c r="H2750" i="1"/>
  <c r="C2751" i="1"/>
  <c r="D2751" i="1"/>
  <c r="E2751" i="1"/>
  <c r="F2751" i="1"/>
  <c r="G2751" i="1"/>
  <c r="H2751" i="1"/>
  <c r="C2752" i="1"/>
  <c r="D2752" i="1"/>
  <c r="E2752" i="1"/>
  <c r="F2752" i="1"/>
  <c r="G2752" i="1"/>
  <c r="H2752" i="1"/>
  <c r="C2753" i="1"/>
  <c r="D2753" i="1"/>
  <c r="E2753" i="1"/>
  <c r="F2753" i="1"/>
  <c r="G2753" i="1"/>
  <c r="H2753" i="1"/>
  <c r="C2754" i="1"/>
  <c r="D2754" i="1"/>
  <c r="E2754" i="1"/>
  <c r="F2754" i="1"/>
  <c r="G2754" i="1"/>
  <c r="H2754" i="1"/>
  <c r="C2755" i="1"/>
  <c r="D2755" i="1"/>
  <c r="E2755" i="1"/>
  <c r="F2755" i="1"/>
  <c r="G2755" i="1"/>
  <c r="H2755" i="1"/>
  <c r="C2756" i="1"/>
  <c r="D2756" i="1"/>
  <c r="E2756" i="1"/>
  <c r="F2756" i="1"/>
  <c r="G2756" i="1"/>
  <c r="H2756" i="1"/>
  <c r="C2757" i="1"/>
  <c r="D2757" i="1"/>
  <c r="E2757" i="1"/>
  <c r="F2757" i="1"/>
  <c r="G2757" i="1"/>
  <c r="H2757" i="1"/>
  <c r="C2758" i="1"/>
  <c r="D2758" i="1"/>
  <c r="E2758" i="1"/>
  <c r="F2758" i="1"/>
  <c r="G2758" i="1"/>
  <c r="H2758" i="1"/>
  <c r="C2759" i="1"/>
  <c r="D2759" i="1"/>
  <c r="E2759" i="1"/>
  <c r="F2759" i="1"/>
  <c r="G2759" i="1"/>
  <c r="H2759" i="1"/>
  <c r="C2760" i="1"/>
  <c r="D2760" i="1"/>
  <c r="E2760" i="1"/>
  <c r="F2760" i="1"/>
  <c r="G2760" i="1"/>
  <c r="H2760" i="1"/>
  <c r="C2761" i="1"/>
  <c r="D2761" i="1"/>
  <c r="E2761" i="1"/>
  <c r="F2761" i="1"/>
  <c r="G2761" i="1"/>
  <c r="H2761" i="1"/>
  <c r="C2762" i="1"/>
  <c r="D2762" i="1"/>
  <c r="E2762" i="1"/>
  <c r="F2762" i="1"/>
  <c r="G2762" i="1"/>
  <c r="H2762" i="1"/>
  <c r="C2763" i="1"/>
  <c r="D2763" i="1"/>
  <c r="E2763" i="1"/>
  <c r="F2763" i="1"/>
  <c r="G2763" i="1"/>
  <c r="H2763" i="1"/>
  <c r="C2764" i="1"/>
  <c r="D2764" i="1"/>
  <c r="E2764" i="1"/>
  <c r="F2764" i="1"/>
  <c r="G2764" i="1"/>
  <c r="H2764" i="1"/>
  <c r="C2765" i="1"/>
  <c r="D2765" i="1"/>
  <c r="E2765" i="1"/>
  <c r="F2765" i="1"/>
  <c r="G2765" i="1"/>
  <c r="H2765" i="1"/>
  <c r="C2766" i="1"/>
  <c r="D2766" i="1"/>
  <c r="E2766" i="1"/>
  <c r="F2766" i="1"/>
  <c r="G2766" i="1"/>
  <c r="H2766" i="1"/>
  <c r="C2767" i="1"/>
  <c r="D2767" i="1"/>
  <c r="E2767" i="1"/>
  <c r="F2767" i="1"/>
  <c r="G2767" i="1"/>
  <c r="H2767" i="1"/>
  <c r="C2768" i="1"/>
  <c r="D2768" i="1"/>
  <c r="E2768" i="1"/>
  <c r="F2768" i="1"/>
  <c r="G2768" i="1"/>
  <c r="H2768" i="1"/>
  <c r="C2769" i="1"/>
  <c r="D2769" i="1"/>
  <c r="E2769" i="1"/>
  <c r="F2769" i="1"/>
  <c r="G2769" i="1"/>
  <c r="H2769" i="1"/>
  <c r="C2770" i="1"/>
  <c r="D2770" i="1"/>
  <c r="E2770" i="1"/>
  <c r="F2770" i="1"/>
  <c r="G2770" i="1"/>
  <c r="H2770" i="1"/>
  <c r="C2771" i="1"/>
  <c r="D2771" i="1"/>
  <c r="E2771" i="1"/>
  <c r="F2771" i="1"/>
  <c r="G2771" i="1"/>
  <c r="H2771" i="1"/>
  <c r="C2772" i="1"/>
  <c r="D2772" i="1"/>
  <c r="E2772" i="1"/>
  <c r="F2772" i="1"/>
  <c r="G2772" i="1"/>
  <c r="H2772" i="1"/>
  <c r="C2773" i="1"/>
  <c r="D2773" i="1"/>
  <c r="E2773" i="1"/>
  <c r="F2773" i="1"/>
  <c r="G2773" i="1"/>
  <c r="H2773" i="1"/>
  <c r="C2774" i="1"/>
  <c r="D2774" i="1"/>
  <c r="E2774" i="1"/>
  <c r="F2774" i="1"/>
  <c r="G2774" i="1"/>
  <c r="H2774" i="1"/>
  <c r="C2775" i="1"/>
  <c r="D2775" i="1"/>
  <c r="E2775" i="1"/>
  <c r="F2775" i="1"/>
  <c r="G2775" i="1"/>
  <c r="H2775" i="1"/>
  <c r="C2776" i="1"/>
  <c r="D2776" i="1"/>
  <c r="E2776" i="1"/>
  <c r="F2776" i="1"/>
  <c r="G2776" i="1"/>
  <c r="H2776" i="1"/>
  <c r="C2777" i="1"/>
  <c r="D2777" i="1"/>
  <c r="E2777" i="1"/>
  <c r="F2777" i="1"/>
  <c r="G2777" i="1"/>
  <c r="H2777" i="1"/>
  <c r="C2778" i="1"/>
  <c r="D2778" i="1"/>
  <c r="E2778" i="1"/>
  <c r="F2778" i="1"/>
  <c r="G2778" i="1"/>
  <c r="H2778" i="1"/>
  <c r="C2779" i="1"/>
  <c r="D2779" i="1"/>
  <c r="E2779" i="1"/>
  <c r="F2779" i="1"/>
  <c r="G2779" i="1"/>
  <c r="H2779" i="1"/>
  <c r="C2780" i="1"/>
  <c r="D2780" i="1"/>
  <c r="E2780" i="1"/>
  <c r="F2780" i="1"/>
  <c r="G2780" i="1"/>
  <c r="H2780" i="1"/>
  <c r="C2781" i="1"/>
  <c r="D2781" i="1"/>
  <c r="E2781" i="1"/>
  <c r="F2781" i="1"/>
  <c r="G2781" i="1"/>
  <c r="H2781" i="1"/>
  <c r="C2782" i="1"/>
  <c r="D2782" i="1"/>
  <c r="E2782" i="1"/>
  <c r="F2782" i="1"/>
  <c r="G2782" i="1"/>
  <c r="H2782" i="1"/>
  <c r="C2783" i="1"/>
  <c r="D2783" i="1"/>
  <c r="E2783" i="1"/>
  <c r="F2783" i="1"/>
  <c r="G2783" i="1"/>
  <c r="H2783" i="1"/>
  <c r="C2784" i="1"/>
  <c r="D2784" i="1"/>
  <c r="E2784" i="1"/>
  <c r="F2784" i="1"/>
  <c r="G2784" i="1"/>
  <c r="H2784" i="1"/>
  <c r="C2785" i="1"/>
  <c r="D2785" i="1"/>
  <c r="E2785" i="1"/>
  <c r="F2785" i="1"/>
  <c r="G2785" i="1"/>
  <c r="H2785" i="1"/>
  <c r="C2786" i="1"/>
  <c r="D2786" i="1"/>
  <c r="E2786" i="1"/>
  <c r="F2786" i="1"/>
  <c r="G2786" i="1"/>
  <c r="H2786" i="1"/>
  <c r="C2787" i="1"/>
  <c r="D2787" i="1"/>
  <c r="E2787" i="1"/>
  <c r="F2787" i="1"/>
  <c r="G2787" i="1"/>
  <c r="H2787" i="1"/>
  <c r="C2788" i="1"/>
  <c r="D2788" i="1"/>
  <c r="E2788" i="1"/>
  <c r="F2788" i="1"/>
  <c r="G2788" i="1"/>
  <c r="H2788" i="1"/>
  <c r="C2789" i="1"/>
  <c r="D2789" i="1"/>
  <c r="E2789" i="1"/>
  <c r="F2789" i="1"/>
  <c r="G2789" i="1"/>
  <c r="H2789" i="1"/>
  <c r="C2790" i="1"/>
  <c r="D2790" i="1"/>
  <c r="E2790" i="1"/>
  <c r="F2790" i="1"/>
  <c r="G2790" i="1"/>
  <c r="H2790" i="1"/>
  <c r="C2791" i="1"/>
  <c r="D2791" i="1"/>
  <c r="E2791" i="1"/>
  <c r="F2791" i="1"/>
  <c r="G2791" i="1"/>
  <c r="H2791" i="1"/>
  <c r="C2792" i="1"/>
  <c r="D2792" i="1"/>
  <c r="E2792" i="1"/>
  <c r="F2792" i="1"/>
  <c r="G2792" i="1"/>
  <c r="H2792" i="1"/>
  <c r="C2793" i="1"/>
  <c r="D2793" i="1"/>
  <c r="E2793" i="1"/>
  <c r="F2793" i="1"/>
  <c r="G2793" i="1"/>
  <c r="H2793" i="1"/>
  <c r="C2794" i="1"/>
  <c r="D2794" i="1"/>
  <c r="E2794" i="1"/>
  <c r="F2794" i="1"/>
  <c r="G2794" i="1"/>
  <c r="H2794" i="1"/>
  <c r="C2795" i="1"/>
  <c r="D2795" i="1"/>
  <c r="E2795" i="1"/>
  <c r="F2795" i="1"/>
  <c r="G2795" i="1"/>
  <c r="H2795" i="1"/>
  <c r="C2796" i="1"/>
  <c r="D2796" i="1"/>
  <c r="E2796" i="1"/>
  <c r="F2796" i="1"/>
  <c r="G2796" i="1"/>
  <c r="H2796" i="1"/>
  <c r="C2797" i="1"/>
  <c r="D2797" i="1"/>
  <c r="E2797" i="1"/>
  <c r="F2797" i="1"/>
  <c r="G2797" i="1"/>
  <c r="H2797" i="1"/>
  <c r="C2798" i="1"/>
  <c r="D2798" i="1"/>
  <c r="E2798" i="1"/>
  <c r="F2798" i="1"/>
  <c r="G2798" i="1"/>
  <c r="H2798" i="1"/>
  <c r="C2799" i="1"/>
  <c r="D2799" i="1"/>
  <c r="E2799" i="1"/>
  <c r="F2799" i="1"/>
  <c r="G2799" i="1"/>
  <c r="H2799" i="1"/>
  <c r="C2800" i="1"/>
  <c r="D2800" i="1"/>
  <c r="E2800" i="1"/>
  <c r="F2800" i="1"/>
  <c r="G2800" i="1"/>
  <c r="H2800" i="1"/>
  <c r="C2801" i="1"/>
  <c r="D2801" i="1"/>
  <c r="E2801" i="1"/>
  <c r="F2801" i="1"/>
  <c r="G2801" i="1"/>
  <c r="H2801" i="1"/>
  <c r="C2802" i="1"/>
  <c r="D2802" i="1"/>
  <c r="E2802" i="1"/>
  <c r="F2802" i="1"/>
  <c r="G2802" i="1"/>
  <c r="H2802" i="1"/>
  <c r="C2803" i="1"/>
  <c r="D2803" i="1"/>
  <c r="E2803" i="1"/>
  <c r="F2803" i="1"/>
  <c r="G2803" i="1"/>
  <c r="H2803" i="1"/>
  <c r="C2804" i="1"/>
  <c r="D2804" i="1"/>
  <c r="E2804" i="1"/>
  <c r="F2804" i="1"/>
  <c r="G2804" i="1"/>
  <c r="H2804" i="1"/>
  <c r="C2805" i="1"/>
  <c r="D2805" i="1"/>
  <c r="E2805" i="1"/>
  <c r="F2805" i="1"/>
  <c r="G2805" i="1"/>
  <c r="H2805" i="1"/>
  <c r="C2806" i="1"/>
  <c r="D2806" i="1"/>
  <c r="E2806" i="1"/>
  <c r="F2806" i="1"/>
  <c r="G2806" i="1"/>
  <c r="H2806" i="1"/>
  <c r="C2807" i="1"/>
  <c r="D2807" i="1"/>
  <c r="E2807" i="1"/>
  <c r="F2807" i="1"/>
  <c r="G2807" i="1"/>
  <c r="H2807" i="1"/>
  <c r="C2808" i="1"/>
  <c r="D2808" i="1"/>
  <c r="E2808" i="1"/>
  <c r="F2808" i="1"/>
  <c r="G2808" i="1"/>
  <c r="H2808" i="1"/>
  <c r="C2809" i="1"/>
  <c r="D2809" i="1"/>
  <c r="E2809" i="1"/>
  <c r="F2809" i="1"/>
  <c r="G2809" i="1"/>
  <c r="H2809" i="1"/>
  <c r="C2810" i="1"/>
  <c r="D2810" i="1"/>
  <c r="E2810" i="1"/>
  <c r="F2810" i="1"/>
  <c r="G2810" i="1"/>
  <c r="H2810" i="1"/>
  <c r="C2811" i="1"/>
  <c r="D2811" i="1"/>
  <c r="E2811" i="1"/>
  <c r="F2811" i="1"/>
  <c r="G2811" i="1"/>
  <c r="H2811" i="1"/>
  <c r="C2812" i="1"/>
  <c r="D2812" i="1"/>
  <c r="E2812" i="1"/>
  <c r="F2812" i="1"/>
  <c r="G2812" i="1"/>
  <c r="H2812" i="1"/>
  <c r="C2813" i="1"/>
  <c r="D2813" i="1"/>
  <c r="E2813" i="1"/>
  <c r="F2813" i="1"/>
  <c r="G2813" i="1"/>
  <c r="H2813" i="1"/>
  <c r="C2814" i="1"/>
  <c r="D2814" i="1"/>
  <c r="E2814" i="1"/>
  <c r="F2814" i="1"/>
  <c r="G2814" i="1"/>
  <c r="H2814" i="1"/>
  <c r="C2815" i="1"/>
  <c r="D2815" i="1"/>
  <c r="E2815" i="1"/>
  <c r="F2815" i="1"/>
  <c r="G2815" i="1"/>
  <c r="H2815" i="1"/>
  <c r="C2816" i="1"/>
  <c r="D2816" i="1"/>
  <c r="E2816" i="1"/>
  <c r="F2816" i="1"/>
  <c r="G2816" i="1"/>
  <c r="H2816" i="1"/>
  <c r="C2817" i="1"/>
  <c r="D2817" i="1"/>
  <c r="E2817" i="1"/>
  <c r="F2817" i="1"/>
  <c r="G2817" i="1"/>
  <c r="H2817" i="1"/>
  <c r="C2818" i="1"/>
  <c r="D2818" i="1"/>
  <c r="E2818" i="1"/>
  <c r="F2818" i="1"/>
  <c r="G2818" i="1"/>
  <c r="H2818" i="1"/>
  <c r="C2819" i="1"/>
  <c r="D2819" i="1"/>
  <c r="E2819" i="1"/>
  <c r="F2819" i="1"/>
  <c r="G2819" i="1"/>
  <c r="H2819" i="1"/>
  <c r="C2820" i="1"/>
  <c r="D2820" i="1"/>
  <c r="E2820" i="1"/>
  <c r="F2820" i="1"/>
  <c r="G2820" i="1"/>
  <c r="H2820" i="1"/>
  <c r="C2821" i="1"/>
  <c r="D2821" i="1"/>
  <c r="E2821" i="1"/>
  <c r="F2821" i="1"/>
  <c r="G2821" i="1"/>
  <c r="H2821" i="1"/>
  <c r="C2822" i="1"/>
  <c r="D2822" i="1"/>
  <c r="E2822" i="1"/>
  <c r="F2822" i="1"/>
  <c r="G2822" i="1"/>
  <c r="H2822" i="1"/>
  <c r="C2823" i="1"/>
  <c r="D2823" i="1"/>
  <c r="E2823" i="1"/>
  <c r="F2823" i="1"/>
  <c r="G2823" i="1"/>
  <c r="H2823" i="1"/>
  <c r="C2824" i="1"/>
  <c r="D2824" i="1"/>
  <c r="E2824" i="1"/>
  <c r="F2824" i="1"/>
  <c r="G2824" i="1"/>
  <c r="H2824" i="1"/>
  <c r="C2825" i="1"/>
  <c r="D2825" i="1"/>
  <c r="E2825" i="1"/>
  <c r="F2825" i="1"/>
  <c r="G2825" i="1"/>
  <c r="H2825" i="1"/>
  <c r="C2826" i="1"/>
  <c r="D2826" i="1"/>
  <c r="E2826" i="1"/>
  <c r="F2826" i="1"/>
  <c r="G2826" i="1"/>
  <c r="H2826" i="1"/>
  <c r="C2827" i="1"/>
  <c r="D2827" i="1"/>
  <c r="E2827" i="1"/>
  <c r="F2827" i="1"/>
  <c r="G2827" i="1"/>
  <c r="H2827" i="1"/>
  <c r="C2828" i="1"/>
  <c r="D2828" i="1"/>
  <c r="E2828" i="1"/>
  <c r="F2828" i="1"/>
  <c r="G2828" i="1"/>
  <c r="H2828" i="1"/>
  <c r="C2829" i="1"/>
  <c r="D2829" i="1"/>
  <c r="E2829" i="1"/>
  <c r="F2829" i="1"/>
  <c r="G2829" i="1"/>
  <c r="H2829" i="1"/>
  <c r="C2830" i="1"/>
  <c r="D2830" i="1"/>
  <c r="E2830" i="1"/>
  <c r="F2830" i="1"/>
  <c r="G2830" i="1"/>
  <c r="H2830" i="1"/>
  <c r="C2831" i="1"/>
  <c r="D2831" i="1"/>
  <c r="E2831" i="1"/>
  <c r="F2831" i="1"/>
  <c r="G2831" i="1"/>
  <c r="H2831" i="1"/>
  <c r="C2832" i="1"/>
  <c r="D2832" i="1"/>
  <c r="E2832" i="1"/>
  <c r="F2832" i="1"/>
  <c r="G2832" i="1"/>
  <c r="H2832" i="1"/>
  <c r="C2833" i="1"/>
  <c r="D2833" i="1"/>
  <c r="E2833" i="1"/>
  <c r="F2833" i="1"/>
  <c r="G2833" i="1"/>
  <c r="H2833" i="1"/>
  <c r="C2834" i="1"/>
  <c r="D2834" i="1"/>
  <c r="E2834" i="1"/>
  <c r="F2834" i="1"/>
  <c r="G2834" i="1"/>
  <c r="H2834" i="1"/>
  <c r="C2835" i="1"/>
  <c r="D2835" i="1"/>
  <c r="E2835" i="1"/>
  <c r="F2835" i="1"/>
  <c r="G2835" i="1"/>
  <c r="H2835" i="1"/>
  <c r="C2836" i="1"/>
  <c r="D2836" i="1"/>
  <c r="E2836" i="1"/>
  <c r="F2836" i="1"/>
  <c r="G2836" i="1"/>
  <c r="H2836" i="1"/>
  <c r="C2837" i="1"/>
  <c r="D2837" i="1"/>
  <c r="E2837" i="1"/>
  <c r="F2837" i="1"/>
  <c r="G2837" i="1"/>
  <c r="H2837" i="1"/>
  <c r="C2838" i="1"/>
  <c r="D2838" i="1"/>
  <c r="E2838" i="1"/>
  <c r="F2838" i="1"/>
  <c r="G2838" i="1"/>
  <c r="H2838" i="1"/>
  <c r="C2839" i="1"/>
  <c r="D2839" i="1"/>
  <c r="E2839" i="1"/>
  <c r="F2839" i="1"/>
  <c r="G2839" i="1"/>
  <c r="H2839" i="1"/>
  <c r="C2840" i="1"/>
  <c r="D2840" i="1"/>
  <c r="E2840" i="1"/>
  <c r="F2840" i="1"/>
  <c r="G2840" i="1"/>
  <c r="H2840" i="1"/>
  <c r="C2841" i="1"/>
  <c r="D2841" i="1"/>
  <c r="E2841" i="1"/>
  <c r="F2841" i="1"/>
  <c r="G2841" i="1"/>
  <c r="H2841" i="1"/>
  <c r="C2842" i="1"/>
  <c r="D2842" i="1"/>
  <c r="E2842" i="1"/>
  <c r="F2842" i="1"/>
  <c r="G2842" i="1"/>
  <c r="H2842" i="1"/>
  <c r="C2843" i="1"/>
  <c r="D2843" i="1"/>
  <c r="E2843" i="1"/>
  <c r="F2843" i="1"/>
  <c r="G2843" i="1"/>
  <c r="H2843" i="1"/>
  <c r="C2844" i="1"/>
  <c r="D2844" i="1"/>
  <c r="E2844" i="1"/>
  <c r="F2844" i="1"/>
  <c r="G2844" i="1"/>
  <c r="H2844" i="1"/>
  <c r="C2845" i="1"/>
  <c r="D2845" i="1"/>
  <c r="E2845" i="1"/>
  <c r="F2845" i="1"/>
  <c r="G2845" i="1"/>
  <c r="H2845" i="1"/>
  <c r="C2846" i="1"/>
  <c r="D2846" i="1"/>
  <c r="E2846" i="1"/>
  <c r="F2846" i="1"/>
  <c r="G2846" i="1"/>
  <c r="H2846" i="1"/>
  <c r="C2847" i="1"/>
  <c r="D2847" i="1"/>
  <c r="E2847" i="1"/>
  <c r="F2847" i="1"/>
  <c r="G2847" i="1"/>
  <c r="H2847" i="1"/>
  <c r="C2848" i="1"/>
  <c r="D2848" i="1"/>
  <c r="E2848" i="1"/>
  <c r="F2848" i="1"/>
  <c r="G2848" i="1"/>
  <c r="H2848" i="1"/>
  <c r="C2849" i="1"/>
  <c r="D2849" i="1"/>
  <c r="E2849" i="1"/>
  <c r="F2849" i="1"/>
  <c r="G2849" i="1"/>
  <c r="H2849" i="1"/>
  <c r="C2850" i="1"/>
  <c r="D2850" i="1"/>
  <c r="E2850" i="1"/>
  <c r="F2850" i="1"/>
  <c r="G2850" i="1"/>
  <c r="H2850" i="1"/>
  <c r="C2851" i="1"/>
  <c r="D2851" i="1"/>
  <c r="E2851" i="1"/>
  <c r="F2851" i="1"/>
  <c r="G2851" i="1"/>
  <c r="H2851" i="1"/>
  <c r="C2852" i="1"/>
  <c r="D2852" i="1"/>
  <c r="E2852" i="1"/>
  <c r="F2852" i="1"/>
  <c r="G2852" i="1"/>
  <c r="H2852" i="1"/>
  <c r="C2853" i="1"/>
  <c r="D2853" i="1"/>
  <c r="E2853" i="1"/>
  <c r="F2853" i="1"/>
  <c r="G2853" i="1"/>
  <c r="H2853" i="1"/>
  <c r="C2854" i="1"/>
  <c r="D2854" i="1"/>
  <c r="E2854" i="1"/>
  <c r="F2854" i="1"/>
  <c r="G2854" i="1"/>
  <c r="H2854" i="1"/>
  <c r="C2855" i="1"/>
  <c r="D2855" i="1"/>
  <c r="E2855" i="1"/>
  <c r="F2855" i="1"/>
  <c r="G2855" i="1"/>
  <c r="H2855" i="1"/>
  <c r="C2856" i="1"/>
  <c r="D2856" i="1"/>
  <c r="E2856" i="1"/>
  <c r="F2856" i="1"/>
  <c r="G2856" i="1"/>
  <c r="H2856" i="1"/>
  <c r="C2857" i="1"/>
  <c r="D2857" i="1"/>
  <c r="E2857" i="1"/>
  <c r="F2857" i="1"/>
  <c r="G2857" i="1"/>
  <c r="H2857" i="1"/>
  <c r="C2858" i="1"/>
  <c r="D2858" i="1"/>
  <c r="E2858" i="1"/>
  <c r="F2858" i="1"/>
  <c r="G2858" i="1"/>
  <c r="H2858" i="1"/>
  <c r="C2859" i="1"/>
  <c r="D2859" i="1"/>
  <c r="E2859" i="1"/>
  <c r="F2859" i="1"/>
  <c r="G2859" i="1"/>
  <c r="H2859" i="1"/>
  <c r="C2860" i="1"/>
  <c r="D2860" i="1"/>
  <c r="E2860" i="1"/>
  <c r="F2860" i="1"/>
  <c r="G2860" i="1"/>
  <c r="H2860" i="1"/>
  <c r="C2861" i="1"/>
  <c r="D2861" i="1"/>
  <c r="E2861" i="1"/>
  <c r="F2861" i="1"/>
  <c r="G2861" i="1"/>
  <c r="H2861" i="1"/>
  <c r="C2862" i="1"/>
  <c r="D2862" i="1"/>
  <c r="E2862" i="1"/>
  <c r="F2862" i="1"/>
  <c r="G2862" i="1"/>
  <c r="H2862" i="1"/>
  <c r="C2863" i="1"/>
  <c r="D2863" i="1"/>
  <c r="E2863" i="1"/>
  <c r="F2863" i="1"/>
  <c r="G2863" i="1"/>
  <c r="H2863" i="1"/>
  <c r="C2864" i="1"/>
  <c r="D2864" i="1"/>
  <c r="E2864" i="1"/>
  <c r="F2864" i="1"/>
  <c r="G2864" i="1"/>
  <c r="H2864" i="1"/>
  <c r="C2865" i="1"/>
  <c r="D2865" i="1"/>
  <c r="E2865" i="1"/>
  <c r="F2865" i="1"/>
  <c r="G2865" i="1"/>
  <c r="H2865" i="1"/>
  <c r="C2866" i="1"/>
  <c r="D2866" i="1"/>
  <c r="E2866" i="1"/>
  <c r="F2866" i="1"/>
  <c r="G2866" i="1"/>
  <c r="H2866" i="1"/>
  <c r="C2867" i="1"/>
  <c r="D2867" i="1"/>
  <c r="E2867" i="1"/>
  <c r="F2867" i="1"/>
  <c r="G2867" i="1"/>
  <c r="H2867" i="1"/>
  <c r="C2868" i="1"/>
  <c r="D2868" i="1"/>
  <c r="E2868" i="1"/>
  <c r="F2868" i="1"/>
  <c r="G2868" i="1"/>
  <c r="H2868" i="1"/>
  <c r="C2869" i="1"/>
  <c r="D2869" i="1"/>
  <c r="E2869" i="1"/>
  <c r="F2869" i="1"/>
  <c r="G2869" i="1"/>
  <c r="H2869" i="1"/>
  <c r="C2870" i="1"/>
  <c r="D2870" i="1"/>
  <c r="E2870" i="1"/>
  <c r="F2870" i="1"/>
  <c r="G2870" i="1"/>
  <c r="H2870" i="1"/>
  <c r="C2871" i="1"/>
  <c r="D2871" i="1"/>
  <c r="E2871" i="1"/>
  <c r="F2871" i="1"/>
  <c r="G2871" i="1"/>
  <c r="H2871" i="1"/>
  <c r="C2872" i="1"/>
  <c r="D2872" i="1"/>
  <c r="E2872" i="1"/>
  <c r="F2872" i="1"/>
  <c r="G2872" i="1"/>
  <c r="H2872" i="1"/>
  <c r="C2873" i="1"/>
  <c r="D2873" i="1"/>
  <c r="E2873" i="1"/>
  <c r="F2873" i="1"/>
  <c r="G2873" i="1"/>
  <c r="H2873" i="1"/>
  <c r="C2874" i="1"/>
  <c r="D2874" i="1"/>
  <c r="E2874" i="1"/>
  <c r="F2874" i="1"/>
  <c r="G2874" i="1"/>
  <c r="H2874" i="1"/>
  <c r="C2875" i="1"/>
  <c r="D2875" i="1"/>
  <c r="E2875" i="1"/>
  <c r="F2875" i="1"/>
  <c r="G2875" i="1"/>
  <c r="H2875" i="1"/>
  <c r="C2876" i="1"/>
  <c r="D2876" i="1"/>
  <c r="E2876" i="1"/>
  <c r="F2876" i="1"/>
  <c r="G2876" i="1"/>
  <c r="H2876" i="1"/>
  <c r="C2877" i="1"/>
  <c r="D2877" i="1"/>
  <c r="E2877" i="1"/>
  <c r="F2877" i="1"/>
  <c r="G2877" i="1"/>
  <c r="H2877" i="1"/>
  <c r="C2878" i="1"/>
  <c r="D2878" i="1"/>
  <c r="E2878" i="1"/>
  <c r="F2878" i="1"/>
  <c r="G2878" i="1"/>
  <c r="H2878" i="1"/>
  <c r="C2879" i="1"/>
  <c r="D2879" i="1"/>
  <c r="E2879" i="1"/>
  <c r="F2879" i="1"/>
  <c r="G2879" i="1"/>
  <c r="H2879" i="1"/>
  <c r="C2880" i="1"/>
  <c r="D2880" i="1"/>
  <c r="E2880" i="1"/>
  <c r="F2880" i="1"/>
  <c r="G2880" i="1"/>
  <c r="H2880" i="1"/>
  <c r="C2881" i="1"/>
  <c r="D2881" i="1"/>
  <c r="E2881" i="1"/>
  <c r="F2881" i="1"/>
  <c r="G2881" i="1"/>
  <c r="H2881" i="1"/>
  <c r="C2882" i="1"/>
  <c r="D2882" i="1"/>
  <c r="E2882" i="1"/>
  <c r="F2882" i="1"/>
  <c r="G2882" i="1"/>
  <c r="H2882" i="1"/>
  <c r="C2883" i="1"/>
  <c r="D2883" i="1"/>
  <c r="E2883" i="1"/>
  <c r="F2883" i="1"/>
  <c r="G2883" i="1"/>
  <c r="H2883" i="1"/>
  <c r="C2884" i="1"/>
  <c r="D2884" i="1"/>
  <c r="E2884" i="1"/>
  <c r="F2884" i="1"/>
  <c r="G2884" i="1"/>
  <c r="H2884" i="1"/>
  <c r="C2885" i="1"/>
  <c r="D2885" i="1"/>
  <c r="E2885" i="1"/>
  <c r="F2885" i="1"/>
  <c r="G2885" i="1"/>
  <c r="H2885" i="1"/>
  <c r="C2886" i="1"/>
  <c r="D2886" i="1"/>
  <c r="E2886" i="1"/>
  <c r="F2886" i="1"/>
  <c r="G2886" i="1"/>
  <c r="H2886" i="1"/>
  <c r="C2887" i="1"/>
  <c r="D2887" i="1"/>
  <c r="E2887" i="1"/>
  <c r="F2887" i="1"/>
  <c r="G2887" i="1"/>
  <c r="H2887" i="1"/>
  <c r="C2888" i="1"/>
  <c r="D2888" i="1"/>
  <c r="E2888" i="1"/>
  <c r="F2888" i="1"/>
  <c r="G2888" i="1"/>
  <c r="H2888" i="1"/>
  <c r="C2889" i="1"/>
  <c r="D2889" i="1"/>
  <c r="E2889" i="1"/>
  <c r="F2889" i="1"/>
  <c r="G2889" i="1"/>
  <c r="H2889" i="1"/>
  <c r="C2890" i="1"/>
  <c r="D2890" i="1"/>
  <c r="E2890" i="1"/>
  <c r="F2890" i="1"/>
  <c r="G2890" i="1"/>
  <c r="H2890" i="1"/>
  <c r="C2891" i="1"/>
  <c r="D2891" i="1"/>
  <c r="E2891" i="1"/>
  <c r="F2891" i="1"/>
  <c r="G2891" i="1"/>
  <c r="H2891" i="1"/>
  <c r="C2892" i="1"/>
  <c r="D2892" i="1"/>
  <c r="E2892" i="1"/>
  <c r="F2892" i="1"/>
  <c r="G2892" i="1"/>
  <c r="H2892" i="1"/>
  <c r="C2893" i="1"/>
  <c r="D2893" i="1"/>
  <c r="E2893" i="1"/>
  <c r="F2893" i="1"/>
  <c r="G2893" i="1"/>
  <c r="H2893" i="1"/>
  <c r="C2894" i="1"/>
  <c r="D2894" i="1"/>
  <c r="E2894" i="1"/>
  <c r="F2894" i="1"/>
  <c r="G2894" i="1"/>
  <c r="H2894" i="1"/>
  <c r="C2895" i="1"/>
  <c r="D2895" i="1"/>
  <c r="E2895" i="1"/>
  <c r="F2895" i="1"/>
  <c r="G2895" i="1"/>
  <c r="H2895" i="1"/>
  <c r="C2896" i="1"/>
  <c r="D2896" i="1"/>
  <c r="E2896" i="1"/>
  <c r="F2896" i="1"/>
  <c r="G2896" i="1"/>
  <c r="H2896" i="1"/>
  <c r="C2897" i="1"/>
  <c r="D2897" i="1"/>
  <c r="E2897" i="1"/>
  <c r="F2897" i="1"/>
  <c r="G2897" i="1"/>
  <c r="H2897" i="1"/>
  <c r="C2898" i="1"/>
  <c r="D2898" i="1"/>
  <c r="E2898" i="1"/>
  <c r="F2898" i="1"/>
  <c r="G2898" i="1"/>
  <c r="H2898" i="1"/>
  <c r="C2899" i="1"/>
  <c r="D2899" i="1"/>
  <c r="E2899" i="1"/>
  <c r="F2899" i="1"/>
  <c r="G2899" i="1"/>
  <c r="H2899" i="1"/>
  <c r="C2900" i="1"/>
  <c r="D2900" i="1"/>
  <c r="E2900" i="1"/>
  <c r="F2900" i="1"/>
  <c r="G2900" i="1"/>
  <c r="H2900" i="1"/>
  <c r="C2901" i="1"/>
  <c r="D2901" i="1"/>
  <c r="E2901" i="1"/>
  <c r="F2901" i="1"/>
  <c r="G2901" i="1"/>
  <c r="H2901" i="1"/>
  <c r="C2902" i="1"/>
  <c r="D2902" i="1"/>
  <c r="E2902" i="1"/>
  <c r="F2902" i="1"/>
  <c r="G2902" i="1"/>
  <c r="H2902" i="1"/>
  <c r="C2903" i="1"/>
  <c r="D2903" i="1"/>
  <c r="E2903" i="1"/>
  <c r="F2903" i="1"/>
  <c r="G2903" i="1"/>
  <c r="H2903" i="1"/>
  <c r="C2904" i="1"/>
  <c r="D2904" i="1"/>
  <c r="E2904" i="1"/>
  <c r="F2904" i="1"/>
  <c r="G2904" i="1"/>
  <c r="H2904" i="1"/>
  <c r="C2905" i="1"/>
  <c r="D2905" i="1"/>
  <c r="E2905" i="1"/>
  <c r="F2905" i="1"/>
  <c r="G2905" i="1"/>
  <c r="H2905" i="1"/>
  <c r="C2906" i="1"/>
  <c r="D2906" i="1"/>
  <c r="E2906" i="1"/>
  <c r="F2906" i="1"/>
  <c r="G2906" i="1"/>
  <c r="H2906" i="1"/>
  <c r="C2907" i="1"/>
  <c r="D2907" i="1"/>
  <c r="E2907" i="1"/>
  <c r="F2907" i="1"/>
  <c r="G2907" i="1"/>
  <c r="H2907" i="1"/>
  <c r="C2908" i="1"/>
  <c r="D2908" i="1"/>
  <c r="E2908" i="1"/>
  <c r="F2908" i="1"/>
  <c r="G2908" i="1"/>
  <c r="H2908" i="1"/>
  <c r="C2909" i="1"/>
  <c r="D2909" i="1"/>
  <c r="E2909" i="1"/>
  <c r="F2909" i="1"/>
  <c r="G2909" i="1"/>
  <c r="H2909" i="1"/>
  <c r="C2910" i="1"/>
  <c r="D2910" i="1"/>
  <c r="E2910" i="1"/>
  <c r="F2910" i="1"/>
  <c r="G2910" i="1"/>
  <c r="H2910" i="1"/>
  <c r="C2911" i="1"/>
  <c r="D2911" i="1"/>
  <c r="E2911" i="1"/>
  <c r="F2911" i="1"/>
  <c r="G2911" i="1"/>
  <c r="H2911" i="1"/>
  <c r="C2912" i="1"/>
  <c r="D2912" i="1"/>
  <c r="E2912" i="1"/>
  <c r="F2912" i="1"/>
  <c r="G2912" i="1"/>
  <c r="H2912" i="1"/>
  <c r="C2913" i="1"/>
  <c r="D2913" i="1"/>
  <c r="E2913" i="1"/>
  <c r="F2913" i="1"/>
  <c r="G2913" i="1"/>
  <c r="H2913" i="1"/>
  <c r="C2914" i="1"/>
  <c r="D2914" i="1"/>
  <c r="E2914" i="1"/>
  <c r="F2914" i="1"/>
  <c r="G2914" i="1"/>
  <c r="H2914" i="1"/>
  <c r="C2915" i="1"/>
  <c r="D2915" i="1"/>
  <c r="E2915" i="1"/>
  <c r="F2915" i="1"/>
  <c r="G2915" i="1"/>
  <c r="H2915" i="1"/>
  <c r="C2916" i="1"/>
  <c r="D2916" i="1"/>
  <c r="E2916" i="1"/>
  <c r="F2916" i="1"/>
  <c r="G2916" i="1"/>
  <c r="H2916" i="1"/>
  <c r="C2917" i="1"/>
  <c r="D2917" i="1"/>
  <c r="E2917" i="1"/>
  <c r="F2917" i="1"/>
  <c r="G2917" i="1"/>
  <c r="H2917" i="1"/>
  <c r="C2918" i="1"/>
  <c r="D2918" i="1"/>
  <c r="E2918" i="1"/>
  <c r="F2918" i="1"/>
  <c r="G2918" i="1"/>
  <c r="H2918" i="1"/>
  <c r="C2919" i="1"/>
  <c r="D2919" i="1"/>
  <c r="E2919" i="1"/>
  <c r="F2919" i="1"/>
  <c r="G2919" i="1"/>
  <c r="H2919" i="1"/>
  <c r="C2920" i="1"/>
  <c r="D2920" i="1"/>
  <c r="E2920" i="1"/>
  <c r="F2920" i="1"/>
  <c r="G2920" i="1"/>
  <c r="H2920" i="1"/>
  <c r="C2921" i="1"/>
  <c r="D2921" i="1"/>
  <c r="E2921" i="1"/>
  <c r="F2921" i="1"/>
  <c r="G2921" i="1"/>
  <c r="H2921" i="1"/>
  <c r="C2922" i="1"/>
  <c r="D2922" i="1"/>
  <c r="E2922" i="1"/>
  <c r="F2922" i="1"/>
  <c r="G2922" i="1"/>
  <c r="H2922" i="1"/>
  <c r="C2923" i="1"/>
  <c r="D2923" i="1"/>
  <c r="E2923" i="1"/>
  <c r="F2923" i="1"/>
  <c r="G2923" i="1"/>
  <c r="H2923" i="1"/>
  <c r="C2924" i="1"/>
  <c r="D2924" i="1"/>
  <c r="E2924" i="1"/>
  <c r="F2924" i="1"/>
  <c r="G2924" i="1"/>
  <c r="H2924" i="1"/>
  <c r="C2925" i="1"/>
  <c r="D2925" i="1"/>
  <c r="E2925" i="1"/>
  <c r="F2925" i="1"/>
  <c r="G2925" i="1"/>
  <c r="H2925" i="1"/>
  <c r="C2926" i="1"/>
  <c r="D2926" i="1"/>
  <c r="E2926" i="1"/>
  <c r="F2926" i="1"/>
  <c r="G2926" i="1"/>
  <c r="H2926" i="1"/>
  <c r="C2927" i="1"/>
  <c r="D2927" i="1"/>
  <c r="E2927" i="1"/>
  <c r="F2927" i="1"/>
  <c r="G2927" i="1"/>
  <c r="H2927" i="1"/>
  <c r="C2928" i="1"/>
  <c r="D2928" i="1"/>
  <c r="E2928" i="1"/>
  <c r="F2928" i="1"/>
  <c r="G2928" i="1"/>
  <c r="H2928" i="1"/>
  <c r="C2929" i="1"/>
  <c r="D2929" i="1"/>
  <c r="E2929" i="1"/>
  <c r="F2929" i="1"/>
  <c r="G2929" i="1"/>
  <c r="H2929" i="1"/>
  <c r="C2930" i="1"/>
  <c r="D2930" i="1"/>
  <c r="E2930" i="1"/>
  <c r="F2930" i="1"/>
  <c r="G2930" i="1"/>
  <c r="H2930" i="1"/>
  <c r="C2931" i="1"/>
  <c r="D2931" i="1"/>
  <c r="E2931" i="1"/>
  <c r="F2931" i="1"/>
  <c r="G2931" i="1"/>
  <c r="H2931" i="1"/>
  <c r="C2932" i="1"/>
  <c r="D2932" i="1"/>
  <c r="E2932" i="1"/>
  <c r="F2932" i="1"/>
  <c r="G2932" i="1"/>
  <c r="H2932" i="1"/>
  <c r="C2933" i="1"/>
  <c r="D2933" i="1"/>
  <c r="E2933" i="1"/>
  <c r="F2933" i="1"/>
  <c r="G2933" i="1"/>
  <c r="H2933" i="1"/>
  <c r="C2934" i="1"/>
  <c r="D2934" i="1"/>
  <c r="E2934" i="1"/>
  <c r="F2934" i="1"/>
  <c r="G2934" i="1"/>
  <c r="H2934" i="1"/>
  <c r="C2935" i="1"/>
  <c r="D2935" i="1"/>
  <c r="E2935" i="1"/>
  <c r="F2935" i="1"/>
  <c r="G2935" i="1"/>
  <c r="H2935" i="1"/>
  <c r="C2936" i="1"/>
  <c r="D2936" i="1"/>
  <c r="E2936" i="1"/>
  <c r="F2936" i="1"/>
  <c r="G2936" i="1"/>
  <c r="H2936" i="1"/>
  <c r="C2937" i="1"/>
  <c r="D2937" i="1"/>
  <c r="E2937" i="1"/>
  <c r="F2937" i="1"/>
  <c r="G2937" i="1"/>
  <c r="H2937" i="1"/>
  <c r="C2938" i="1"/>
  <c r="D2938" i="1"/>
  <c r="E2938" i="1"/>
  <c r="F2938" i="1"/>
  <c r="G2938" i="1"/>
  <c r="H2938" i="1"/>
  <c r="C2939" i="1"/>
  <c r="D2939" i="1"/>
  <c r="E2939" i="1"/>
  <c r="F2939" i="1"/>
  <c r="G2939" i="1"/>
  <c r="H2939" i="1"/>
  <c r="C2940" i="1"/>
  <c r="D2940" i="1"/>
  <c r="E2940" i="1"/>
  <c r="F2940" i="1"/>
  <c r="G2940" i="1"/>
  <c r="H2940" i="1"/>
  <c r="C2941" i="1"/>
  <c r="D2941" i="1"/>
  <c r="E2941" i="1"/>
  <c r="F2941" i="1"/>
  <c r="G2941" i="1"/>
  <c r="H2941" i="1"/>
  <c r="C2942" i="1"/>
  <c r="D2942" i="1"/>
  <c r="E2942" i="1"/>
  <c r="F2942" i="1"/>
  <c r="G2942" i="1"/>
  <c r="H2942" i="1"/>
  <c r="C2943" i="1"/>
  <c r="D2943" i="1"/>
  <c r="E2943" i="1"/>
  <c r="F2943" i="1"/>
  <c r="G2943" i="1"/>
  <c r="H2943" i="1"/>
  <c r="C2944" i="1"/>
  <c r="D2944" i="1"/>
  <c r="E2944" i="1"/>
  <c r="F2944" i="1"/>
  <c r="G2944" i="1"/>
  <c r="H2944" i="1"/>
  <c r="C2945" i="1"/>
  <c r="D2945" i="1"/>
  <c r="E2945" i="1"/>
  <c r="F2945" i="1"/>
  <c r="G2945" i="1"/>
  <c r="H2945" i="1"/>
  <c r="C2946" i="1"/>
  <c r="D2946" i="1"/>
  <c r="E2946" i="1"/>
  <c r="F2946" i="1"/>
  <c r="G2946" i="1"/>
  <c r="H2946" i="1"/>
  <c r="C2947" i="1"/>
  <c r="D2947" i="1"/>
  <c r="E2947" i="1"/>
  <c r="F2947" i="1"/>
  <c r="G2947" i="1"/>
  <c r="H2947" i="1"/>
  <c r="C2948" i="1"/>
  <c r="D2948" i="1"/>
  <c r="E2948" i="1"/>
  <c r="F2948" i="1"/>
  <c r="G2948" i="1"/>
  <c r="H2948" i="1"/>
  <c r="C2949" i="1"/>
  <c r="D2949" i="1"/>
  <c r="E2949" i="1"/>
  <c r="F2949" i="1"/>
  <c r="G2949" i="1"/>
  <c r="H2949" i="1"/>
  <c r="C2950" i="1"/>
  <c r="D2950" i="1"/>
  <c r="E2950" i="1"/>
  <c r="F2950" i="1"/>
  <c r="G2950" i="1"/>
  <c r="H2950" i="1"/>
  <c r="C2951" i="1"/>
  <c r="D2951" i="1"/>
  <c r="E2951" i="1"/>
  <c r="F2951" i="1"/>
  <c r="G2951" i="1"/>
  <c r="H2951" i="1"/>
  <c r="C2952" i="1"/>
  <c r="D2952" i="1"/>
  <c r="E2952" i="1"/>
  <c r="F2952" i="1"/>
  <c r="G2952" i="1"/>
  <c r="H2952" i="1"/>
  <c r="C2953" i="1"/>
  <c r="D2953" i="1"/>
  <c r="E2953" i="1"/>
  <c r="F2953" i="1"/>
  <c r="G2953" i="1"/>
  <c r="H2953" i="1"/>
  <c r="C2954" i="1"/>
  <c r="D2954" i="1"/>
  <c r="E2954" i="1"/>
  <c r="F2954" i="1"/>
  <c r="G2954" i="1"/>
  <c r="H2954" i="1"/>
  <c r="C2955" i="1"/>
  <c r="D2955" i="1"/>
  <c r="E2955" i="1"/>
  <c r="F2955" i="1"/>
  <c r="G2955" i="1"/>
  <c r="H2955" i="1"/>
  <c r="C2956" i="1"/>
  <c r="D2956" i="1"/>
  <c r="E2956" i="1"/>
  <c r="F2956" i="1"/>
  <c r="G2956" i="1"/>
  <c r="H2956" i="1"/>
  <c r="C2957" i="1"/>
  <c r="D2957" i="1"/>
  <c r="E2957" i="1"/>
  <c r="F2957" i="1"/>
  <c r="G2957" i="1"/>
  <c r="H2957" i="1"/>
  <c r="C2958" i="1"/>
  <c r="D2958" i="1"/>
  <c r="E2958" i="1"/>
  <c r="F2958" i="1"/>
  <c r="G2958" i="1"/>
  <c r="H2958" i="1"/>
  <c r="C2959" i="1"/>
  <c r="D2959" i="1"/>
  <c r="E2959" i="1"/>
  <c r="F2959" i="1"/>
  <c r="G2959" i="1"/>
  <c r="H2959" i="1"/>
  <c r="C2960" i="1"/>
  <c r="D2960" i="1"/>
  <c r="E2960" i="1"/>
  <c r="F2960" i="1"/>
  <c r="G2960" i="1"/>
  <c r="H2960" i="1"/>
  <c r="C2961" i="1"/>
  <c r="D2961" i="1"/>
  <c r="E2961" i="1"/>
  <c r="F2961" i="1"/>
  <c r="G2961" i="1"/>
  <c r="H2961" i="1"/>
  <c r="C2962" i="1"/>
  <c r="D2962" i="1"/>
  <c r="E2962" i="1"/>
  <c r="F2962" i="1"/>
  <c r="G2962" i="1"/>
  <c r="H2962" i="1"/>
  <c r="C2963" i="1"/>
  <c r="D2963" i="1"/>
  <c r="E2963" i="1"/>
  <c r="F2963" i="1"/>
  <c r="G2963" i="1"/>
  <c r="H2963" i="1"/>
  <c r="C2964" i="1"/>
  <c r="D2964" i="1"/>
  <c r="E2964" i="1"/>
  <c r="F2964" i="1"/>
  <c r="G2964" i="1"/>
  <c r="H2964" i="1"/>
  <c r="C2965" i="1"/>
  <c r="D2965" i="1"/>
  <c r="E2965" i="1"/>
  <c r="F2965" i="1"/>
  <c r="G2965" i="1"/>
  <c r="H2965" i="1"/>
  <c r="C2966" i="1"/>
  <c r="D2966" i="1"/>
  <c r="E2966" i="1"/>
  <c r="F2966" i="1"/>
  <c r="G2966" i="1"/>
  <c r="H2966" i="1"/>
  <c r="C2967" i="1"/>
  <c r="D2967" i="1"/>
  <c r="E2967" i="1"/>
  <c r="F2967" i="1"/>
  <c r="G2967" i="1"/>
  <c r="H2967" i="1"/>
  <c r="C2968" i="1"/>
  <c r="D2968" i="1"/>
  <c r="E2968" i="1"/>
  <c r="F2968" i="1"/>
  <c r="G2968" i="1"/>
  <c r="H2968" i="1"/>
  <c r="C2969" i="1"/>
  <c r="D2969" i="1"/>
  <c r="E2969" i="1"/>
  <c r="F2969" i="1"/>
  <c r="G2969" i="1"/>
  <c r="H2969" i="1"/>
  <c r="C2970" i="1"/>
  <c r="D2970" i="1"/>
  <c r="E2970" i="1"/>
  <c r="F2970" i="1"/>
  <c r="G2970" i="1"/>
  <c r="H2970" i="1"/>
  <c r="C2971" i="1"/>
  <c r="D2971" i="1"/>
  <c r="E2971" i="1"/>
  <c r="F2971" i="1"/>
  <c r="G2971" i="1"/>
  <c r="H2971" i="1"/>
  <c r="C2972" i="1"/>
  <c r="D2972" i="1"/>
  <c r="E2972" i="1"/>
  <c r="F2972" i="1"/>
  <c r="G2972" i="1"/>
  <c r="H2972" i="1"/>
  <c r="C2973" i="1"/>
  <c r="D2973" i="1"/>
  <c r="E2973" i="1"/>
  <c r="F2973" i="1"/>
  <c r="G2973" i="1"/>
  <c r="H2973" i="1"/>
  <c r="C2974" i="1"/>
  <c r="D2974" i="1"/>
  <c r="E2974" i="1"/>
  <c r="F2974" i="1"/>
  <c r="G2974" i="1"/>
  <c r="H2974" i="1"/>
  <c r="C2975" i="1"/>
  <c r="D2975" i="1"/>
  <c r="E2975" i="1"/>
  <c r="F2975" i="1"/>
  <c r="G2975" i="1"/>
  <c r="H2975" i="1"/>
  <c r="C2976" i="1"/>
  <c r="D2976" i="1"/>
  <c r="E2976" i="1"/>
  <c r="F2976" i="1"/>
  <c r="G2976" i="1"/>
  <c r="H2976" i="1"/>
  <c r="C2977" i="1"/>
  <c r="D2977" i="1"/>
  <c r="E2977" i="1"/>
  <c r="F2977" i="1"/>
  <c r="G2977" i="1"/>
  <c r="H2977" i="1"/>
  <c r="C2978" i="1"/>
  <c r="D2978" i="1"/>
  <c r="E2978" i="1"/>
  <c r="F2978" i="1"/>
  <c r="G2978" i="1"/>
  <c r="H2978" i="1"/>
  <c r="C2979" i="1"/>
  <c r="D2979" i="1"/>
  <c r="E2979" i="1"/>
  <c r="F2979" i="1"/>
  <c r="G2979" i="1"/>
  <c r="H2979" i="1"/>
  <c r="C2980" i="1"/>
  <c r="D2980" i="1"/>
  <c r="E2980" i="1"/>
  <c r="F2980" i="1"/>
  <c r="G2980" i="1"/>
  <c r="H2980" i="1"/>
  <c r="C2981" i="1"/>
  <c r="D2981" i="1"/>
  <c r="E2981" i="1"/>
  <c r="F2981" i="1"/>
  <c r="G2981" i="1"/>
  <c r="H2981" i="1"/>
  <c r="C2982" i="1"/>
  <c r="D2982" i="1"/>
  <c r="E2982" i="1"/>
  <c r="F2982" i="1"/>
  <c r="G2982" i="1"/>
  <c r="H2982" i="1"/>
  <c r="C2983" i="1"/>
  <c r="D2983" i="1"/>
  <c r="E2983" i="1"/>
  <c r="F2983" i="1"/>
  <c r="G2983" i="1"/>
  <c r="H2983" i="1"/>
  <c r="C2984" i="1"/>
  <c r="D2984" i="1"/>
  <c r="E2984" i="1"/>
  <c r="F2984" i="1"/>
  <c r="G2984" i="1"/>
  <c r="H2984" i="1"/>
  <c r="C2985" i="1"/>
  <c r="D2985" i="1"/>
  <c r="E2985" i="1"/>
  <c r="F2985" i="1"/>
  <c r="G2985" i="1"/>
  <c r="H2985" i="1"/>
  <c r="C2986" i="1"/>
  <c r="D2986" i="1"/>
  <c r="E2986" i="1"/>
  <c r="F2986" i="1"/>
  <c r="G2986" i="1"/>
  <c r="H2986" i="1"/>
  <c r="C2987" i="1"/>
  <c r="D2987" i="1"/>
  <c r="E2987" i="1"/>
  <c r="F2987" i="1"/>
  <c r="G2987" i="1"/>
  <c r="H2987" i="1"/>
  <c r="C2988" i="1"/>
  <c r="D2988" i="1"/>
  <c r="E2988" i="1"/>
  <c r="F2988" i="1"/>
  <c r="G2988" i="1"/>
  <c r="H2988" i="1"/>
  <c r="C2989" i="1"/>
  <c r="D2989" i="1"/>
  <c r="E2989" i="1"/>
  <c r="F2989" i="1"/>
  <c r="G2989" i="1"/>
  <c r="H2989" i="1"/>
  <c r="C2990" i="1"/>
  <c r="D2990" i="1"/>
  <c r="E2990" i="1"/>
  <c r="F2990" i="1"/>
  <c r="G2990" i="1"/>
  <c r="H2990" i="1"/>
  <c r="C2991" i="1"/>
  <c r="D2991" i="1"/>
  <c r="E2991" i="1"/>
  <c r="F2991" i="1"/>
  <c r="G2991" i="1"/>
  <c r="H2991" i="1"/>
  <c r="C2992" i="1"/>
  <c r="D2992" i="1"/>
  <c r="E2992" i="1"/>
  <c r="F2992" i="1"/>
  <c r="G2992" i="1"/>
  <c r="H2992" i="1"/>
  <c r="C2993" i="1"/>
  <c r="D2993" i="1"/>
  <c r="E2993" i="1"/>
  <c r="F2993" i="1"/>
  <c r="G2993" i="1"/>
  <c r="H2993" i="1"/>
  <c r="C2994" i="1"/>
  <c r="D2994" i="1"/>
  <c r="E2994" i="1"/>
  <c r="F2994" i="1"/>
  <c r="G2994" i="1"/>
  <c r="H2994" i="1"/>
  <c r="C2995" i="1"/>
  <c r="D2995" i="1"/>
  <c r="E2995" i="1"/>
  <c r="F2995" i="1"/>
  <c r="G2995" i="1"/>
  <c r="H2995" i="1"/>
  <c r="C2996" i="1"/>
  <c r="D2996" i="1"/>
  <c r="E2996" i="1"/>
  <c r="F2996" i="1"/>
  <c r="G2996" i="1"/>
  <c r="H2996" i="1"/>
  <c r="C2997" i="1"/>
  <c r="D2997" i="1"/>
  <c r="E2997" i="1"/>
  <c r="F2997" i="1"/>
  <c r="G2997" i="1"/>
  <c r="H2997" i="1"/>
  <c r="C2998" i="1"/>
  <c r="D2998" i="1"/>
  <c r="E2998" i="1"/>
  <c r="F2998" i="1"/>
  <c r="G2998" i="1"/>
  <c r="H2998" i="1"/>
  <c r="C2999" i="1"/>
  <c r="D2999" i="1"/>
  <c r="E2999" i="1"/>
  <c r="F2999" i="1"/>
  <c r="G2999" i="1"/>
  <c r="H2999" i="1"/>
  <c r="C3000" i="1"/>
  <c r="D3000" i="1"/>
  <c r="E3000" i="1"/>
  <c r="F3000" i="1"/>
  <c r="G3000" i="1"/>
  <c r="H3000" i="1"/>
  <c r="C3001" i="1"/>
  <c r="D3001" i="1"/>
  <c r="E3001" i="1"/>
  <c r="F3001" i="1"/>
  <c r="G3001" i="1"/>
  <c r="H300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Q_STREAM</t>
        </is>
      </c>
      <c r="C1" t="inlineStr">
        <is>
          <t>passes_workbook_filters</t>
        </is>
      </c>
      <c r="D1" t="inlineStr">
        <is>
          <t>F_Custom1_match</t>
        </is>
      </c>
      <c r="E1" t="inlineStr">
        <is>
          <t>F_Custom2_match</t>
        </is>
      </c>
      <c r="F1" t="inlineStr">
        <is>
          <t>passes_workbook_custom_filters</t>
        </is>
      </c>
      <c r="G1" t="inlineStr">
        <is>
          <t>All_Questions_passes_local_filters</t>
        </is>
      </c>
      <c r="H1" t="inlineStr">
        <is>
          <t>All_Questions_Q_STREAM_F_passes_per_q_filter</t>
        </is>
      </c>
    </row>
    <row r="2">
      <c r="A2" t="n">
        <v>1</v>
      </c>
      <c r="B2" t="inlineStr">
        <is>
          <t>A</t>
        </is>
      </c>
      <c r="C2">
        <f>1</f>
        <v>1</v>
      </c>
      <c r="D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E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F2">
        <f>D2*E2*1</f>
        <v>1</v>
      </c>
      <c r="G2">
        <f>1</f>
        <v>1</v>
      </c>
      <c r="H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1)&amp;"|",All_Questions_Q_STREAM_F_wrapped)),1,0),0))*1</f>
        <v>1</v>
      </c>
    </row>
    <row r="3">
      <c r="A3" t="n">
        <v>2</v>
      </c>
      <c r="B3" t="inlineStr">
        <is>
          <t>B</t>
        </is>
      </c>
      <c r="C3">
        <f>1</f>
        <v>1</v>
      </c>
      <c r="D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E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F3">
        <f>D3*E3*1</f>
        <v>1</v>
      </c>
      <c r="G3">
        <f>1</f>
        <v>1</v>
      </c>
      <c r="H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2)&amp;"|",All_Questions_Q_STREAM_F_wrapped)),1,0),0))*1</f>
        <v>1</v>
      </c>
    </row>
    <row r="4">
      <c r="A4" t="n">
        <v>3</v>
      </c>
      <c r="B4" t="inlineStr">
        <is>
          <t>A</t>
        </is>
      </c>
      <c r="C4">
        <f>1</f>
        <v>1</v>
      </c>
      <c r="D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E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F4">
        <f>D4*E4*1</f>
        <v>1</v>
      </c>
      <c r="G4">
        <f>1</f>
        <v>1</v>
      </c>
      <c r="H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3)&amp;"|",All_Questions_Q_STREAM_F_wrapped)),1,0),0))*1</f>
        <v>1</v>
      </c>
    </row>
    <row r="5">
      <c r="A5" t="n">
        <v>4</v>
      </c>
      <c r="B5" t="inlineStr">
        <is>
          <t>B</t>
        </is>
      </c>
      <c r="C5">
        <f>1</f>
        <v>1</v>
      </c>
      <c r="D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E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F5">
        <f>D5*E5*1</f>
        <v>1</v>
      </c>
      <c r="G5">
        <f>1</f>
        <v>1</v>
      </c>
      <c r="H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4)&amp;"|",All_Questions_Q_STREAM_F_wrapped)),1,0),0))*1</f>
        <v>1</v>
      </c>
    </row>
    <row r="6">
      <c r="A6" t="n">
        <v>5</v>
      </c>
      <c r="B6" t="inlineStr">
        <is>
          <t>A</t>
        </is>
      </c>
      <c r="C6">
        <f>1</f>
        <v>1</v>
      </c>
      <c r="D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E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F6">
        <f>D6*E6*1</f>
        <v>1</v>
      </c>
      <c r="G6">
        <f>1</f>
        <v>1</v>
      </c>
      <c r="H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5)&amp;"|",All_Questions_Q_STREAM_F_wrapped)),1,0),0))*1</f>
        <v>1</v>
      </c>
    </row>
    <row r="7">
      <c r="A7" t="n">
        <v>6</v>
      </c>
      <c r="B7" t="inlineStr">
        <is>
          <t>B</t>
        </is>
      </c>
      <c r="C7">
        <f>1</f>
        <v>1</v>
      </c>
      <c r="D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E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F7">
        <f>D7*E7*1</f>
        <v>1</v>
      </c>
      <c r="G7">
        <f>1</f>
        <v>1</v>
      </c>
      <c r="H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6)&amp;"|",All_Questions_Q_STREAM_F_wrapped)),1,0),0))*1</f>
        <v>1</v>
      </c>
    </row>
    <row r="8">
      <c r="A8" t="n">
        <v>7</v>
      </c>
      <c r="B8" t="inlineStr">
        <is>
          <t>A</t>
        </is>
      </c>
      <c r="C8">
        <f>1</f>
        <v>1</v>
      </c>
      <c r="D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E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F8">
        <f>D8*E8*1</f>
        <v>1</v>
      </c>
      <c r="G8">
        <f>1</f>
        <v>1</v>
      </c>
      <c r="H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7)&amp;"|",All_Questions_Q_STREAM_F_wrapped)),1,0),0))*1</f>
        <v>1</v>
      </c>
    </row>
    <row r="9">
      <c r="A9" t="n">
        <v>8</v>
      </c>
      <c r="B9" t="inlineStr">
        <is>
          <t>B</t>
        </is>
      </c>
      <c r="C9">
        <f>1</f>
        <v>1</v>
      </c>
      <c r="D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E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F9">
        <f>D9*E9*1</f>
        <v>1</v>
      </c>
      <c r="G9">
        <f>1</f>
        <v>1</v>
      </c>
      <c r="H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8)&amp;"|",All_Questions_Q_STREAM_F_wrapped)),1,0),0))*1</f>
        <v>1</v>
      </c>
    </row>
    <row r="10">
      <c r="A10" t="n">
        <v>9</v>
      </c>
      <c r="B10" t="inlineStr">
        <is>
          <t>A</t>
        </is>
      </c>
      <c r="C10">
        <f>1</f>
        <v>1</v>
      </c>
      <c r="D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E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F10">
        <f>D10*E10*1</f>
        <v>1</v>
      </c>
      <c r="G10">
        <f>1</f>
        <v>1</v>
      </c>
      <c r="H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9)&amp;"|",All_Questions_Q_STREAM_F_wrapped)),1,0),0))*1</f>
        <v>1</v>
      </c>
    </row>
    <row r="11">
      <c r="A11" t="n">
        <v>10</v>
      </c>
      <c r="B11" t="inlineStr">
        <is>
          <t>B</t>
        </is>
      </c>
      <c r="C11">
        <f>1</f>
        <v>1</v>
      </c>
      <c r="D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E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F11">
        <f>D11*E11*1</f>
        <v>1</v>
      </c>
      <c r="G11">
        <f>1</f>
        <v>1</v>
      </c>
      <c r="H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10)&amp;"|",All_Questions_Q_STREAM_F_wrapped)),1,0),0))*1</f>
        <v>1</v>
      </c>
    </row>
    <row r="12">
      <c r="A12" t="n">
        <v>11</v>
      </c>
      <c r="B12" t="inlineStr">
        <is>
          <t>A</t>
        </is>
      </c>
      <c r="C12">
        <f>1</f>
        <v>1</v>
      </c>
      <c r="D12">
        <f>IF(OR(F_Custom1_Q="(None)",F_Custom1_Q="",ISBLANK(F_Custom1_Q),F_Custom1_V="(All)",F_Custom1_V="",ISBLANK(F_Custom1_V)),1,IFERROR(IF(ISNUMBER(SEARCH("|"&amp;INDEX(INDIRECT(F_Custom1_resolved_column),11)&amp;"|",F_Custom1_wrapped)),1,0),0))</f>
        <v>1</v>
      </c>
      <c r="E12">
        <f>IF(OR(F_Custom2_Q="(None)",F_Custom2_Q="",ISBLANK(F_Custom2_Q),F_Custom2_V="(All)",F_Custom2_V="",ISBLANK(F_Custom2_V)),1,IFERROR(IF(ISNUMBER(SEARCH("|"&amp;INDEX(INDIRECT(F_Custom2_resolved_column),11)&amp;"|",F_Custom2_wrapped)),1,0),0))</f>
        <v>1</v>
      </c>
      <c r="F12">
        <f>D12*E12*1</f>
        <v>1</v>
      </c>
      <c r="G12">
        <f>1</f>
        <v>1</v>
      </c>
      <c r="H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11)&amp;"|",All_Questions_Q_STREAM_F_wrapped)),1,0),0))*1</f>
        <v>1</v>
      </c>
    </row>
    <row r="13">
      <c r="A13" t="n">
        <v>12</v>
      </c>
      <c r="B13" t="inlineStr">
        <is>
          <t>B</t>
        </is>
      </c>
      <c r="C13">
        <f>1</f>
        <v>1</v>
      </c>
      <c r="D13">
        <f>IF(OR(F_Custom1_Q="(None)",F_Custom1_Q="",ISBLANK(F_Custom1_Q),F_Custom1_V="(All)",F_Custom1_V="",ISBLANK(F_Custom1_V)),1,IFERROR(IF(ISNUMBER(SEARCH("|"&amp;INDEX(INDIRECT(F_Custom1_resolved_column),12)&amp;"|",F_Custom1_wrapped)),1,0),0))</f>
        <v>1</v>
      </c>
      <c r="E13">
        <f>IF(OR(F_Custom2_Q="(None)",F_Custom2_Q="",ISBLANK(F_Custom2_Q),F_Custom2_V="(All)",F_Custom2_V="",ISBLANK(F_Custom2_V)),1,IFERROR(IF(ISNUMBER(SEARCH("|"&amp;INDEX(INDIRECT(F_Custom2_resolved_column),12)&amp;"|",F_Custom2_wrapped)),1,0),0))</f>
        <v>1</v>
      </c>
      <c r="F13">
        <f>D13*E13*1</f>
        <v>1</v>
      </c>
      <c r="G13">
        <f>1</f>
        <v>1</v>
      </c>
      <c r="H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12)&amp;"|",All_Questions_Q_STREAM_F_wrapped)),1,0),0))*1</f>
        <v>1</v>
      </c>
    </row>
    <row r="14">
      <c r="A14" t="n">
        <v>13</v>
      </c>
      <c r="B14" t="inlineStr">
        <is>
          <t>A</t>
        </is>
      </c>
      <c r="C14">
        <f>1</f>
        <v>1</v>
      </c>
      <c r="D14">
        <f>IF(OR(F_Custom1_Q="(None)",F_Custom1_Q="",ISBLANK(F_Custom1_Q),F_Custom1_V="(All)",F_Custom1_V="",ISBLANK(F_Custom1_V)),1,IFERROR(IF(ISNUMBER(SEARCH("|"&amp;INDEX(INDIRECT(F_Custom1_resolved_column),13)&amp;"|",F_Custom1_wrapped)),1,0),0))</f>
        <v>1</v>
      </c>
      <c r="E14">
        <f>IF(OR(F_Custom2_Q="(None)",F_Custom2_Q="",ISBLANK(F_Custom2_Q),F_Custom2_V="(All)",F_Custom2_V="",ISBLANK(F_Custom2_V)),1,IFERROR(IF(ISNUMBER(SEARCH("|"&amp;INDEX(INDIRECT(F_Custom2_resolved_column),13)&amp;"|",F_Custom2_wrapped)),1,0),0))</f>
        <v>1</v>
      </c>
      <c r="F14">
        <f>D14*E14*1</f>
        <v>1</v>
      </c>
      <c r="G14">
        <f>1</f>
        <v>1</v>
      </c>
      <c r="H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13)&amp;"|",All_Questions_Q_STREAM_F_wrapped)),1,0),0))*1</f>
        <v>1</v>
      </c>
    </row>
    <row r="15">
      <c r="A15" t="n">
        <v>14</v>
      </c>
      <c r="B15" t="inlineStr">
        <is>
          <t>B</t>
        </is>
      </c>
      <c r="C15">
        <f>1</f>
        <v>1</v>
      </c>
      <c r="D15">
        <f>IF(OR(F_Custom1_Q="(None)",F_Custom1_Q="",ISBLANK(F_Custom1_Q),F_Custom1_V="(All)",F_Custom1_V="",ISBLANK(F_Custom1_V)),1,IFERROR(IF(ISNUMBER(SEARCH("|"&amp;INDEX(INDIRECT(F_Custom1_resolved_column),14)&amp;"|",F_Custom1_wrapped)),1,0),0))</f>
        <v>1</v>
      </c>
      <c r="E15">
        <f>IF(OR(F_Custom2_Q="(None)",F_Custom2_Q="",ISBLANK(F_Custom2_Q),F_Custom2_V="(All)",F_Custom2_V="",ISBLANK(F_Custom2_V)),1,IFERROR(IF(ISNUMBER(SEARCH("|"&amp;INDEX(INDIRECT(F_Custom2_resolved_column),14)&amp;"|",F_Custom2_wrapped)),1,0),0))</f>
        <v>1</v>
      </c>
      <c r="F15">
        <f>D15*E15*1</f>
        <v>1</v>
      </c>
      <c r="G15">
        <f>1</f>
        <v>1</v>
      </c>
      <c r="H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14)&amp;"|",All_Questions_Q_STREAM_F_wrapped)),1,0),0))*1</f>
        <v>1</v>
      </c>
    </row>
    <row r="16">
      <c r="A16" t="n">
        <v>15</v>
      </c>
      <c r="B16" t="inlineStr">
        <is>
          <t>A</t>
        </is>
      </c>
      <c r="C16">
        <f>1</f>
        <v>1</v>
      </c>
      <c r="D16">
        <f>IF(OR(F_Custom1_Q="(None)",F_Custom1_Q="",ISBLANK(F_Custom1_Q),F_Custom1_V="(All)",F_Custom1_V="",ISBLANK(F_Custom1_V)),1,IFERROR(IF(ISNUMBER(SEARCH("|"&amp;INDEX(INDIRECT(F_Custom1_resolved_column),15)&amp;"|",F_Custom1_wrapped)),1,0),0))</f>
        <v>1</v>
      </c>
      <c r="E16">
        <f>IF(OR(F_Custom2_Q="(None)",F_Custom2_Q="",ISBLANK(F_Custom2_Q),F_Custom2_V="(All)",F_Custom2_V="",ISBLANK(F_Custom2_V)),1,IFERROR(IF(ISNUMBER(SEARCH("|"&amp;INDEX(INDIRECT(F_Custom2_resolved_column),15)&amp;"|",F_Custom2_wrapped)),1,0),0))</f>
        <v>1</v>
      </c>
      <c r="F16">
        <f>D16*E16*1</f>
        <v>1</v>
      </c>
      <c r="G16">
        <f>1</f>
        <v>1</v>
      </c>
      <c r="H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15)&amp;"|",All_Questions_Q_STREAM_F_wrapped)),1,0),0))*1</f>
        <v>1</v>
      </c>
    </row>
    <row r="17">
      <c r="A17" t="n">
        <v>16</v>
      </c>
      <c r="B17" t="inlineStr">
        <is>
          <t>B</t>
        </is>
      </c>
      <c r="C17">
        <f>1</f>
        <v>1</v>
      </c>
      <c r="D17">
        <f>IF(OR(F_Custom1_Q="(None)",F_Custom1_Q="",ISBLANK(F_Custom1_Q),F_Custom1_V="(All)",F_Custom1_V="",ISBLANK(F_Custom1_V)),1,IFERROR(IF(ISNUMBER(SEARCH("|"&amp;INDEX(INDIRECT(F_Custom1_resolved_column),16)&amp;"|",F_Custom1_wrapped)),1,0),0))</f>
        <v>1</v>
      </c>
      <c r="E17">
        <f>IF(OR(F_Custom2_Q="(None)",F_Custom2_Q="",ISBLANK(F_Custom2_Q),F_Custom2_V="(All)",F_Custom2_V="",ISBLANK(F_Custom2_V)),1,IFERROR(IF(ISNUMBER(SEARCH("|"&amp;INDEX(INDIRECT(F_Custom2_resolved_column),16)&amp;"|",F_Custom2_wrapped)),1,0),0))</f>
        <v>1</v>
      </c>
      <c r="F17">
        <f>D17*E17*1</f>
        <v>1</v>
      </c>
      <c r="G17">
        <f>1</f>
        <v>1</v>
      </c>
      <c r="H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16)&amp;"|",All_Questions_Q_STREAM_F_wrapped)),1,0),0))*1</f>
        <v>1</v>
      </c>
    </row>
    <row r="18">
      <c r="A18" t="n">
        <v>17</v>
      </c>
      <c r="B18" t="inlineStr">
        <is>
          <t>A</t>
        </is>
      </c>
      <c r="C18">
        <f>1</f>
        <v>1</v>
      </c>
      <c r="D18">
        <f>IF(OR(F_Custom1_Q="(None)",F_Custom1_Q="",ISBLANK(F_Custom1_Q),F_Custom1_V="(All)",F_Custom1_V="",ISBLANK(F_Custom1_V)),1,IFERROR(IF(ISNUMBER(SEARCH("|"&amp;INDEX(INDIRECT(F_Custom1_resolved_column),17)&amp;"|",F_Custom1_wrapped)),1,0),0))</f>
        <v>1</v>
      </c>
      <c r="E18">
        <f>IF(OR(F_Custom2_Q="(None)",F_Custom2_Q="",ISBLANK(F_Custom2_Q),F_Custom2_V="(All)",F_Custom2_V="",ISBLANK(F_Custom2_V)),1,IFERROR(IF(ISNUMBER(SEARCH("|"&amp;INDEX(INDIRECT(F_Custom2_resolved_column),17)&amp;"|",F_Custom2_wrapped)),1,0),0))</f>
        <v>1</v>
      </c>
      <c r="F18">
        <f>D18*E18*1</f>
        <v>1</v>
      </c>
      <c r="G18">
        <f>1</f>
        <v>1</v>
      </c>
      <c r="H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17)&amp;"|",All_Questions_Q_STREAM_F_wrapped)),1,0),0))*1</f>
        <v>1</v>
      </c>
    </row>
    <row r="19">
      <c r="A19" t="n">
        <v>18</v>
      </c>
      <c r="B19" t="inlineStr">
        <is>
          <t>B</t>
        </is>
      </c>
      <c r="C19">
        <f>1</f>
        <v>1</v>
      </c>
      <c r="D19">
        <f>IF(OR(F_Custom1_Q="(None)",F_Custom1_Q="",ISBLANK(F_Custom1_Q),F_Custom1_V="(All)",F_Custom1_V="",ISBLANK(F_Custom1_V)),1,IFERROR(IF(ISNUMBER(SEARCH("|"&amp;INDEX(INDIRECT(F_Custom1_resolved_column),18)&amp;"|",F_Custom1_wrapped)),1,0),0))</f>
        <v>1</v>
      </c>
      <c r="E19">
        <f>IF(OR(F_Custom2_Q="(None)",F_Custom2_Q="",ISBLANK(F_Custom2_Q),F_Custom2_V="(All)",F_Custom2_V="",ISBLANK(F_Custom2_V)),1,IFERROR(IF(ISNUMBER(SEARCH("|"&amp;INDEX(INDIRECT(F_Custom2_resolved_column),18)&amp;"|",F_Custom2_wrapped)),1,0),0))</f>
        <v>1</v>
      </c>
      <c r="F19">
        <f>D19*E19*1</f>
        <v>1</v>
      </c>
      <c r="G19">
        <f>1</f>
        <v>1</v>
      </c>
      <c r="H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18)&amp;"|",All_Questions_Q_STREAM_F_wrapped)),1,0),0))*1</f>
        <v>1</v>
      </c>
    </row>
    <row r="20">
      <c r="A20" t="n">
        <v>19</v>
      </c>
      <c r="B20" t="inlineStr">
        <is>
          <t>A</t>
        </is>
      </c>
      <c r="C20">
        <f>1</f>
        <v>1</v>
      </c>
      <c r="D20">
        <f>IF(OR(F_Custom1_Q="(None)",F_Custom1_Q="",ISBLANK(F_Custom1_Q),F_Custom1_V="(All)",F_Custom1_V="",ISBLANK(F_Custom1_V)),1,IFERROR(IF(ISNUMBER(SEARCH("|"&amp;INDEX(INDIRECT(F_Custom1_resolved_column),19)&amp;"|",F_Custom1_wrapped)),1,0),0))</f>
        <v>1</v>
      </c>
      <c r="E20">
        <f>IF(OR(F_Custom2_Q="(None)",F_Custom2_Q="",ISBLANK(F_Custom2_Q),F_Custom2_V="(All)",F_Custom2_V="",ISBLANK(F_Custom2_V)),1,IFERROR(IF(ISNUMBER(SEARCH("|"&amp;INDEX(INDIRECT(F_Custom2_resolved_column),19)&amp;"|",F_Custom2_wrapped)),1,0),0))</f>
        <v>1</v>
      </c>
      <c r="F20">
        <f>D20*E20*1</f>
        <v>1</v>
      </c>
      <c r="G20">
        <f>1</f>
        <v>1</v>
      </c>
      <c r="H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19)&amp;"|",All_Questions_Q_STREAM_F_wrapped)),1,0),0))*1</f>
        <v>1</v>
      </c>
    </row>
    <row r="21">
      <c r="A21" t="n">
        <v>20</v>
      </c>
      <c r="B21" t="inlineStr">
        <is>
          <t>B</t>
        </is>
      </c>
      <c r="C21">
        <f>1</f>
        <v>1</v>
      </c>
      <c r="D21">
        <f>IF(OR(F_Custom1_Q="(None)",F_Custom1_Q="",ISBLANK(F_Custom1_Q),F_Custom1_V="(All)",F_Custom1_V="",ISBLANK(F_Custom1_V)),1,IFERROR(IF(ISNUMBER(SEARCH("|"&amp;INDEX(INDIRECT(F_Custom1_resolved_column),20)&amp;"|",F_Custom1_wrapped)),1,0),0))</f>
        <v>1</v>
      </c>
      <c r="E21">
        <f>IF(OR(F_Custom2_Q="(None)",F_Custom2_Q="",ISBLANK(F_Custom2_Q),F_Custom2_V="(All)",F_Custom2_V="",ISBLANK(F_Custom2_V)),1,IFERROR(IF(ISNUMBER(SEARCH("|"&amp;INDEX(INDIRECT(F_Custom2_resolved_column),20)&amp;"|",F_Custom2_wrapped)),1,0),0))</f>
        <v>1</v>
      </c>
      <c r="F21">
        <f>D21*E21*1</f>
        <v>1</v>
      </c>
      <c r="G21">
        <f>1</f>
        <v>1</v>
      </c>
      <c r="H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20)&amp;"|",All_Questions_Q_STREAM_F_wrapped)),1,0),0))*1</f>
        <v>1</v>
      </c>
    </row>
    <row r="22">
      <c r="A22" t="n">
        <v>21</v>
      </c>
      <c r="B22" t="inlineStr">
        <is>
          <t>A</t>
        </is>
      </c>
      <c r="C22">
        <f>1</f>
        <v>1</v>
      </c>
      <c r="D22">
        <f>IF(OR(F_Custom1_Q="(None)",F_Custom1_Q="",ISBLANK(F_Custom1_Q),F_Custom1_V="(All)",F_Custom1_V="",ISBLANK(F_Custom1_V)),1,IFERROR(IF(ISNUMBER(SEARCH("|"&amp;INDEX(INDIRECT(F_Custom1_resolved_column),21)&amp;"|",F_Custom1_wrapped)),1,0),0))</f>
        <v>1</v>
      </c>
      <c r="E22">
        <f>IF(OR(F_Custom2_Q="(None)",F_Custom2_Q="",ISBLANK(F_Custom2_Q),F_Custom2_V="(All)",F_Custom2_V="",ISBLANK(F_Custom2_V)),1,IFERROR(IF(ISNUMBER(SEARCH("|"&amp;INDEX(INDIRECT(F_Custom2_resolved_column),21)&amp;"|",F_Custom2_wrapped)),1,0),0))</f>
        <v>1</v>
      </c>
      <c r="F22">
        <f>D22*E22*1</f>
        <v>1</v>
      </c>
      <c r="G22">
        <f>1</f>
        <v>1</v>
      </c>
      <c r="H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21)&amp;"|",All_Questions_Q_STREAM_F_wrapped)),1,0),0))*1</f>
        <v>1</v>
      </c>
    </row>
    <row r="23">
      <c r="A23" t="n">
        <v>22</v>
      </c>
      <c r="B23" t="inlineStr">
        <is>
          <t>B</t>
        </is>
      </c>
      <c r="C23">
        <f>1</f>
        <v>1</v>
      </c>
      <c r="D23">
        <f>IF(OR(F_Custom1_Q="(None)",F_Custom1_Q="",ISBLANK(F_Custom1_Q),F_Custom1_V="(All)",F_Custom1_V="",ISBLANK(F_Custom1_V)),1,IFERROR(IF(ISNUMBER(SEARCH("|"&amp;INDEX(INDIRECT(F_Custom1_resolved_column),22)&amp;"|",F_Custom1_wrapped)),1,0),0))</f>
        <v>1</v>
      </c>
      <c r="E23">
        <f>IF(OR(F_Custom2_Q="(None)",F_Custom2_Q="",ISBLANK(F_Custom2_Q),F_Custom2_V="(All)",F_Custom2_V="",ISBLANK(F_Custom2_V)),1,IFERROR(IF(ISNUMBER(SEARCH("|"&amp;INDEX(INDIRECT(F_Custom2_resolved_column),22)&amp;"|",F_Custom2_wrapped)),1,0),0))</f>
        <v>1</v>
      </c>
      <c r="F23">
        <f>D23*E23*1</f>
        <v>1</v>
      </c>
      <c r="G23">
        <f>1</f>
        <v>1</v>
      </c>
      <c r="H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22)&amp;"|",All_Questions_Q_STREAM_F_wrapped)),1,0),0))*1</f>
        <v>1</v>
      </c>
    </row>
    <row r="24">
      <c r="A24" t="n">
        <v>23</v>
      </c>
      <c r="B24" t="inlineStr">
        <is>
          <t>A</t>
        </is>
      </c>
      <c r="C24">
        <f>1</f>
        <v>1</v>
      </c>
      <c r="D24">
        <f>IF(OR(F_Custom1_Q="(None)",F_Custom1_Q="",ISBLANK(F_Custom1_Q),F_Custom1_V="(All)",F_Custom1_V="",ISBLANK(F_Custom1_V)),1,IFERROR(IF(ISNUMBER(SEARCH("|"&amp;INDEX(INDIRECT(F_Custom1_resolved_column),23)&amp;"|",F_Custom1_wrapped)),1,0),0))</f>
        <v>1</v>
      </c>
      <c r="E24">
        <f>IF(OR(F_Custom2_Q="(None)",F_Custom2_Q="",ISBLANK(F_Custom2_Q),F_Custom2_V="(All)",F_Custom2_V="",ISBLANK(F_Custom2_V)),1,IFERROR(IF(ISNUMBER(SEARCH("|"&amp;INDEX(INDIRECT(F_Custom2_resolved_column),23)&amp;"|",F_Custom2_wrapped)),1,0),0))</f>
        <v>1</v>
      </c>
      <c r="F24">
        <f>D24*E24*1</f>
        <v>1</v>
      </c>
      <c r="G24">
        <f>1</f>
        <v>1</v>
      </c>
      <c r="H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23)&amp;"|",All_Questions_Q_STREAM_F_wrapped)),1,0),0))*1</f>
        <v>1</v>
      </c>
    </row>
    <row r="25">
      <c r="A25" t="n">
        <v>24</v>
      </c>
      <c r="B25" t="inlineStr">
        <is>
          <t>B</t>
        </is>
      </c>
      <c r="C25">
        <f>1</f>
        <v>1</v>
      </c>
      <c r="D25">
        <f>IF(OR(F_Custom1_Q="(None)",F_Custom1_Q="",ISBLANK(F_Custom1_Q),F_Custom1_V="(All)",F_Custom1_V="",ISBLANK(F_Custom1_V)),1,IFERROR(IF(ISNUMBER(SEARCH("|"&amp;INDEX(INDIRECT(F_Custom1_resolved_column),24)&amp;"|",F_Custom1_wrapped)),1,0),0))</f>
        <v>1</v>
      </c>
      <c r="E25">
        <f>IF(OR(F_Custom2_Q="(None)",F_Custom2_Q="",ISBLANK(F_Custom2_Q),F_Custom2_V="(All)",F_Custom2_V="",ISBLANK(F_Custom2_V)),1,IFERROR(IF(ISNUMBER(SEARCH("|"&amp;INDEX(INDIRECT(F_Custom2_resolved_column),24)&amp;"|",F_Custom2_wrapped)),1,0),0))</f>
        <v>1</v>
      </c>
      <c r="F25">
        <f>D25*E25*1</f>
        <v>1</v>
      </c>
      <c r="G25">
        <f>1</f>
        <v>1</v>
      </c>
      <c r="H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24)&amp;"|",All_Questions_Q_STREAM_F_wrapped)),1,0),0))*1</f>
        <v>1</v>
      </c>
    </row>
    <row r="26">
      <c r="A26" t="n">
        <v>25</v>
      </c>
      <c r="B26" t="inlineStr">
        <is>
          <t>A</t>
        </is>
      </c>
      <c r="C26">
        <f>1</f>
        <v>1</v>
      </c>
      <c r="D26">
        <f>IF(OR(F_Custom1_Q="(None)",F_Custom1_Q="",ISBLANK(F_Custom1_Q),F_Custom1_V="(All)",F_Custom1_V="",ISBLANK(F_Custom1_V)),1,IFERROR(IF(ISNUMBER(SEARCH("|"&amp;INDEX(INDIRECT(F_Custom1_resolved_column),25)&amp;"|",F_Custom1_wrapped)),1,0),0))</f>
        <v>1</v>
      </c>
      <c r="E26">
        <f>IF(OR(F_Custom2_Q="(None)",F_Custom2_Q="",ISBLANK(F_Custom2_Q),F_Custom2_V="(All)",F_Custom2_V="",ISBLANK(F_Custom2_V)),1,IFERROR(IF(ISNUMBER(SEARCH("|"&amp;INDEX(INDIRECT(F_Custom2_resolved_column),25)&amp;"|",F_Custom2_wrapped)),1,0),0))</f>
        <v>1</v>
      </c>
      <c r="F26">
        <f>D26*E26*1</f>
        <v>1</v>
      </c>
      <c r="G26">
        <f>1</f>
        <v>1</v>
      </c>
      <c r="H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25)&amp;"|",All_Questions_Q_STREAM_F_wrapped)),1,0),0))*1</f>
        <v>1</v>
      </c>
    </row>
    <row r="27">
      <c r="A27" t="n">
        <v>26</v>
      </c>
      <c r="B27" t="inlineStr">
        <is>
          <t>B</t>
        </is>
      </c>
      <c r="C27">
        <f>1</f>
        <v>1</v>
      </c>
      <c r="D27">
        <f>IF(OR(F_Custom1_Q="(None)",F_Custom1_Q="",ISBLANK(F_Custom1_Q),F_Custom1_V="(All)",F_Custom1_V="",ISBLANK(F_Custom1_V)),1,IFERROR(IF(ISNUMBER(SEARCH("|"&amp;INDEX(INDIRECT(F_Custom1_resolved_column),26)&amp;"|",F_Custom1_wrapped)),1,0),0))</f>
        <v>1</v>
      </c>
      <c r="E27">
        <f>IF(OR(F_Custom2_Q="(None)",F_Custom2_Q="",ISBLANK(F_Custom2_Q),F_Custom2_V="(All)",F_Custom2_V="",ISBLANK(F_Custom2_V)),1,IFERROR(IF(ISNUMBER(SEARCH("|"&amp;INDEX(INDIRECT(F_Custom2_resolved_column),26)&amp;"|",F_Custom2_wrapped)),1,0),0))</f>
        <v>1</v>
      </c>
      <c r="F27">
        <f>D27*E27*1</f>
        <v>1</v>
      </c>
      <c r="G27">
        <f>1</f>
        <v>1</v>
      </c>
      <c r="H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26)&amp;"|",All_Questions_Q_STREAM_F_wrapped)),1,0),0))*1</f>
        <v>1</v>
      </c>
    </row>
    <row r="28">
      <c r="A28" t="n">
        <v>27</v>
      </c>
      <c r="B28" t="inlineStr">
        <is>
          <t>A</t>
        </is>
      </c>
      <c r="C28">
        <f>1</f>
        <v>1</v>
      </c>
      <c r="D28">
        <f>IF(OR(F_Custom1_Q="(None)",F_Custom1_Q="",ISBLANK(F_Custom1_Q),F_Custom1_V="(All)",F_Custom1_V="",ISBLANK(F_Custom1_V)),1,IFERROR(IF(ISNUMBER(SEARCH("|"&amp;INDEX(INDIRECT(F_Custom1_resolved_column),27)&amp;"|",F_Custom1_wrapped)),1,0),0))</f>
        <v>1</v>
      </c>
      <c r="E28">
        <f>IF(OR(F_Custom2_Q="(None)",F_Custom2_Q="",ISBLANK(F_Custom2_Q),F_Custom2_V="(All)",F_Custom2_V="",ISBLANK(F_Custom2_V)),1,IFERROR(IF(ISNUMBER(SEARCH("|"&amp;INDEX(INDIRECT(F_Custom2_resolved_column),27)&amp;"|",F_Custom2_wrapped)),1,0),0))</f>
        <v>1</v>
      </c>
      <c r="F28">
        <f>D28*E28*1</f>
        <v>1</v>
      </c>
      <c r="G28">
        <f>1</f>
        <v>1</v>
      </c>
      <c r="H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27)&amp;"|",All_Questions_Q_STREAM_F_wrapped)),1,0),0))*1</f>
        <v>1</v>
      </c>
    </row>
    <row r="29">
      <c r="A29" t="n">
        <v>28</v>
      </c>
      <c r="B29" t="inlineStr">
        <is>
          <t>B</t>
        </is>
      </c>
      <c r="C29">
        <f>1</f>
        <v>1</v>
      </c>
      <c r="D29">
        <f>IF(OR(F_Custom1_Q="(None)",F_Custom1_Q="",ISBLANK(F_Custom1_Q),F_Custom1_V="(All)",F_Custom1_V="",ISBLANK(F_Custom1_V)),1,IFERROR(IF(ISNUMBER(SEARCH("|"&amp;INDEX(INDIRECT(F_Custom1_resolved_column),28)&amp;"|",F_Custom1_wrapped)),1,0),0))</f>
        <v>1</v>
      </c>
      <c r="E29">
        <f>IF(OR(F_Custom2_Q="(None)",F_Custom2_Q="",ISBLANK(F_Custom2_Q),F_Custom2_V="(All)",F_Custom2_V="",ISBLANK(F_Custom2_V)),1,IFERROR(IF(ISNUMBER(SEARCH("|"&amp;INDEX(INDIRECT(F_Custom2_resolved_column),28)&amp;"|",F_Custom2_wrapped)),1,0),0))</f>
        <v>1</v>
      </c>
      <c r="F29">
        <f>D29*E29*1</f>
        <v>1</v>
      </c>
      <c r="G29">
        <f>1</f>
        <v>1</v>
      </c>
      <c r="H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28)&amp;"|",All_Questions_Q_STREAM_F_wrapped)),1,0),0))*1</f>
        <v>1</v>
      </c>
    </row>
    <row r="30">
      <c r="A30" t="n">
        <v>29</v>
      </c>
      <c r="B30" t="inlineStr">
        <is>
          <t>A</t>
        </is>
      </c>
      <c r="C30">
        <f>1</f>
        <v>1</v>
      </c>
      <c r="D30">
        <f>IF(OR(F_Custom1_Q="(None)",F_Custom1_Q="",ISBLANK(F_Custom1_Q),F_Custom1_V="(All)",F_Custom1_V="",ISBLANK(F_Custom1_V)),1,IFERROR(IF(ISNUMBER(SEARCH("|"&amp;INDEX(INDIRECT(F_Custom1_resolved_column),29)&amp;"|",F_Custom1_wrapped)),1,0),0))</f>
        <v>1</v>
      </c>
      <c r="E30">
        <f>IF(OR(F_Custom2_Q="(None)",F_Custom2_Q="",ISBLANK(F_Custom2_Q),F_Custom2_V="(All)",F_Custom2_V="",ISBLANK(F_Custom2_V)),1,IFERROR(IF(ISNUMBER(SEARCH("|"&amp;INDEX(INDIRECT(F_Custom2_resolved_column),29)&amp;"|",F_Custom2_wrapped)),1,0),0))</f>
        <v>1</v>
      </c>
      <c r="F30">
        <f>D30*E30*1</f>
        <v>1</v>
      </c>
      <c r="G30">
        <f>1</f>
        <v>1</v>
      </c>
      <c r="H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29)&amp;"|",All_Questions_Q_STREAM_F_wrapped)),1,0),0))*1</f>
        <v>1</v>
      </c>
    </row>
    <row r="31">
      <c r="A31" t="n">
        <v>30</v>
      </c>
      <c r="B31" t="inlineStr">
        <is>
          <t>B</t>
        </is>
      </c>
      <c r="C31">
        <f>1</f>
        <v>1</v>
      </c>
      <c r="D31">
        <f>IF(OR(F_Custom1_Q="(None)",F_Custom1_Q="",ISBLANK(F_Custom1_Q),F_Custom1_V="(All)",F_Custom1_V="",ISBLANK(F_Custom1_V)),1,IFERROR(IF(ISNUMBER(SEARCH("|"&amp;INDEX(INDIRECT(F_Custom1_resolved_column),30)&amp;"|",F_Custom1_wrapped)),1,0),0))</f>
        <v>1</v>
      </c>
      <c r="E31">
        <f>IF(OR(F_Custom2_Q="(None)",F_Custom2_Q="",ISBLANK(F_Custom2_Q),F_Custom2_V="(All)",F_Custom2_V="",ISBLANK(F_Custom2_V)),1,IFERROR(IF(ISNUMBER(SEARCH("|"&amp;INDEX(INDIRECT(F_Custom2_resolved_column),30)&amp;"|",F_Custom2_wrapped)),1,0),0))</f>
        <v>1</v>
      </c>
      <c r="F31">
        <f>D31*E31*1</f>
        <v>1</v>
      </c>
      <c r="G31">
        <f>1</f>
        <v>1</v>
      </c>
      <c r="H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30)&amp;"|",All_Questions_Q_STREAM_F_wrapped)),1,0),0))*1</f>
        <v>1</v>
      </c>
    </row>
    <row r="32">
      <c r="A32" t="n">
        <v>31</v>
      </c>
      <c r="B32" t="inlineStr">
        <is>
          <t>A</t>
        </is>
      </c>
      <c r="C32">
        <f>1</f>
        <v>1</v>
      </c>
      <c r="D32">
        <f>IF(OR(F_Custom1_Q="(None)",F_Custom1_Q="",ISBLANK(F_Custom1_Q),F_Custom1_V="(All)",F_Custom1_V="",ISBLANK(F_Custom1_V)),1,IFERROR(IF(ISNUMBER(SEARCH("|"&amp;INDEX(INDIRECT(F_Custom1_resolved_column),31)&amp;"|",F_Custom1_wrapped)),1,0),0))</f>
        <v>1</v>
      </c>
      <c r="E32">
        <f>IF(OR(F_Custom2_Q="(None)",F_Custom2_Q="",ISBLANK(F_Custom2_Q),F_Custom2_V="(All)",F_Custom2_V="",ISBLANK(F_Custom2_V)),1,IFERROR(IF(ISNUMBER(SEARCH("|"&amp;INDEX(INDIRECT(F_Custom2_resolved_column),31)&amp;"|",F_Custom2_wrapped)),1,0),0))</f>
        <v>1</v>
      </c>
      <c r="F32">
        <f>D32*E32*1</f>
        <v>1</v>
      </c>
      <c r="G32">
        <f>1</f>
        <v>1</v>
      </c>
      <c r="H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31)&amp;"|",All_Questions_Q_STREAM_F_wrapped)),1,0),0))*1</f>
        <v>1</v>
      </c>
    </row>
    <row r="33">
      <c r="A33" t="n">
        <v>32</v>
      </c>
      <c r="B33" t="inlineStr">
        <is>
          <t>B</t>
        </is>
      </c>
      <c r="C33">
        <f>1</f>
        <v>1</v>
      </c>
      <c r="D33">
        <f>IF(OR(F_Custom1_Q="(None)",F_Custom1_Q="",ISBLANK(F_Custom1_Q),F_Custom1_V="(All)",F_Custom1_V="",ISBLANK(F_Custom1_V)),1,IFERROR(IF(ISNUMBER(SEARCH("|"&amp;INDEX(INDIRECT(F_Custom1_resolved_column),32)&amp;"|",F_Custom1_wrapped)),1,0),0))</f>
        <v>1</v>
      </c>
      <c r="E33">
        <f>IF(OR(F_Custom2_Q="(None)",F_Custom2_Q="",ISBLANK(F_Custom2_Q),F_Custom2_V="(All)",F_Custom2_V="",ISBLANK(F_Custom2_V)),1,IFERROR(IF(ISNUMBER(SEARCH("|"&amp;INDEX(INDIRECT(F_Custom2_resolved_column),32)&amp;"|",F_Custom2_wrapped)),1,0),0))</f>
        <v>1</v>
      </c>
      <c r="F33">
        <f>D33*E33*1</f>
        <v>1</v>
      </c>
      <c r="G33">
        <f>1</f>
        <v>1</v>
      </c>
      <c r="H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32)&amp;"|",All_Questions_Q_STREAM_F_wrapped)),1,0),0))*1</f>
        <v>1</v>
      </c>
    </row>
    <row r="34">
      <c r="A34" t="n">
        <v>33</v>
      </c>
      <c r="B34" t="inlineStr">
        <is>
          <t>A</t>
        </is>
      </c>
      <c r="C34">
        <f>1</f>
        <v>1</v>
      </c>
      <c r="D34">
        <f>IF(OR(F_Custom1_Q="(None)",F_Custom1_Q="",ISBLANK(F_Custom1_Q),F_Custom1_V="(All)",F_Custom1_V="",ISBLANK(F_Custom1_V)),1,IFERROR(IF(ISNUMBER(SEARCH("|"&amp;INDEX(INDIRECT(F_Custom1_resolved_column),33)&amp;"|",F_Custom1_wrapped)),1,0),0))</f>
        <v>1</v>
      </c>
      <c r="E34">
        <f>IF(OR(F_Custom2_Q="(None)",F_Custom2_Q="",ISBLANK(F_Custom2_Q),F_Custom2_V="(All)",F_Custom2_V="",ISBLANK(F_Custom2_V)),1,IFERROR(IF(ISNUMBER(SEARCH("|"&amp;INDEX(INDIRECT(F_Custom2_resolved_column),33)&amp;"|",F_Custom2_wrapped)),1,0),0))</f>
        <v>1</v>
      </c>
      <c r="F34">
        <f>D34*E34*1</f>
        <v>1</v>
      </c>
      <c r="G34">
        <f>1</f>
        <v>1</v>
      </c>
      <c r="H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33)&amp;"|",All_Questions_Q_STREAM_F_wrapped)),1,0),0))*1</f>
        <v>1</v>
      </c>
    </row>
    <row r="35">
      <c r="A35" t="n">
        <v>34</v>
      </c>
      <c r="B35" t="inlineStr">
        <is>
          <t>B</t>
        </is>
      </c>
      <c r="C35">
        <f>1</f>
        <v>1</v>
      </c>
      <c r="D35">
        <f>IF(OR(F_Custom1_Q="(None)",F_Custom1_Q="",ISBLANK(F_Custom1_Q),F_Custom1_V="(All)",F_Custom1_V="",ISBLANK(F_Custom1_V)),1,IFERROR(IF(ISNUMBER(SEARCH("|"&amp;INDEX(INDIRECT(F_Custom1_resolved_column),34)&amp;"|",F_Custom1_wrapped)),1,0),0))</f>
        <v>1</v>
      </c>
      <c r="E35">
        <f>IF(OR(F_Custom2_Q="(None)",F_Custom2_Q="",ISBLANK(F_Custom2_Q),F_Custom2_V="(All)",F_Custom2_V="",ISBLANK(F_Custom2_V)),1,IFERROR(IF(ISNUMBER(SEARCH("|"&amp;INDEX(INDIRECT(F_Custom2_resolved_column),34)&amp;"|",F_Custom2_wrapped)),1,0),0))</f>
        <v>1</v>
      </c>
      <c r="F35">
        <f>D35*E35*1</f>
        <v>1</v>
      </c>
      <c r="G35">
        <f>1</f>
        <v>1</v>
      </c>
      <c r="H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34)&amp;"|",All_Questions_Q_STREAM_F_wrapped)),1,0),0))*1</f>
        <v>1</v>
      </c>
    </row>
    <row r="36">
      <c r="A36" t="n">
        <v>35</v>
      </c>
      <c r="B36" t="inlineStr">
        <is>
          <t>A</t>
        </is>
      </c>
      <c r="C36">
        <f>1</f>
        <v>1</v>
      </c>
      <c r="D36">
        <f>IF(OR(F_Custom1_Q="(None)",F_Custom1_Q="",ISBLANK(F_Custom1_Q),F_Custom1_V="(All)",F_Custom1_V="",ISBLANK(F_Custom1_V)),1,IFERROR(IF(ISNUMBER(SEARCH("|"&amp;INDEX(INDIRECT(F_Custom1_resolved_column),35)&amp;"|",F_Custom1_wrapped)),1,0),0))</f>
        <v>1</v>
      </c>
      <c r="E36">
        <f>IF(OR(F_Custom2_Q="(None)",F_Custom2_Q="",ISBLANK(F_Custom2_Q),F_Custom2_V="(All)",F_Custom2_V="",ISBLANK(F_Custom2_V)),1,IFERROR(IF(ISNUMBER(SEARCH("|"&amp;INDEX(INDIRECT(F_Custom2_resolved_column),35)&amp;"|",F_Custom2_wrapped)),1,0),0))</f>
        <v>1</v>
      </c>
      <c r="F36">
        <f>D36*E36*1</f>
        <v>1</v>
      </c>
      <c r="G36">
        <f>1</f>
        <v>1</v>
      </c>
      <c r="H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35)&amp;"|",All_Questions_Q_STREAM_F_wrapped)),1,0),0))*1</f>
        <v>1</v>
      </c>
    </row>
    <row r="37">
      <c r="A37" t="n">
        <v>36</v>
      </c>
      <c r="B37" t="inlineStr">
        <is>
          <t>B</t>
        </is>
      </c>
      <c r="C37">
        <f>1</f>
        <v>1</v>
      </c>
      <c r="D37">
        <f>IF(OR(F_Custom1_Q="(None)",F_Custom1_Q="",ISBLANK(F_Custom1_Q),F_Custom1_V="(All)",F_Custom1_V="",ISBLANK(F_Custom1_V)),1,IFERROR(IF(ISNUMBER(SEARCH("|"&amp;INDEX(INDIRECT(F_Custom1_resolved_column),36)&amp;"|",F_Custom1_wrapped)),1,0),0))</f>
        <v>1</v>
      </c>
      <c r="E37">
        <f>IF(OR(F_Custom2_Q="(None)",F_Custom2_Q="",ISBLANK(F_Custom2_Q),F_Custom2_V="(All)",F_Custom2_V="",ISBLANK(F_Custom2_V)),1,IFERROR(IF(ISNUMBER(SEARCH("|"&amp;INDEX(INDIRECT(F_Custom2_resolved_column),36)&amp;"|",F_Custom2_wrapped)),1,0),0))</f>
        <v>1</v>
      </c>
      <c r="F37">
        <f>D37*E37*1</f>
        <v>1</v>
      </c>
      <c r="G37">
        <f>1</f>
        <v>1</v>
      </c>
      <c r="H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36)&amp;"|",All_Questions_Q_STREAM_F_wrapped)),1,0),0))*1</f>
        <v>1</v>
      </c>
    </row>
    <row r="38">
      <c r="A38" t="n">
        <v>37</v>
      </c>
      <c r="B38" t="inlineStr">
        <is>
          <t>A</t>
        </is>
      </c>
      <c r="C38">
        <f>1</f>
        <v>1</v>
      </c>
      <c r="D38">
        <f>IF(OR(F_Custom1_Q="(None)",F_Custom1_Q="",ISBLANK(F_Custom1_Q),F_Custom1_V="(All)",F_Custom1_V="",ISBLANK(F_Custom1_V)),1,IFERROR(IF(ISNUMBER(SEARCH("|"&amp;INDEX(INDIRECT(F_Custom1_resolved_column),37)&amp;"|",F_Custom1_wrapped)),1,0),0))</f>
        <v>1</v>
      </c>
      <c r="E38">
        <f>IF(OR(F_Custom2_Q="(None)",F_Custom2_Q="",ISBLANK(F_Custom2_Q),F_Custom2_V="(All)",F_Custom2_V="",ISBLANK(F_Custom2_V)),1,IFERROR(IF(ISNUMBER(SEARCH("|"&amp;INDEX(INDIRECT(F_Custom2_resolved_column),37)&amp;"|",F_Custom2_wrapped)),1,0),0))</f>
        <v>1</v>
      </c>
      <c r="F38">
        <f>D38*E38*1</f>
        <v>1</v>
      </c>
      <c r="G38">
        <f>1</f>
        <v>1</v>
      </c>
      <c r="H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37)&amp;"|",All_Questions_Q_STREAM_F_wrapped)),1,0),0))*1</f>
        <v>1</v>
      </c>
    </row>
    <row r="39">
      <c r="A39" t="n">
        <v>38</v>
      </c>
      <c r="B39" t="inlineStr">
        <is>
          <t>B</t>
        </is>
      </c>
      <c r="C39">
        <f>1</f>
        <v>1</v>
      </c>
      <c r="D39">
        <f>IF(OR(F_Custom1_Q="(None)",F_Custom1_Q="",ISBLANK(F_Custom1_Q),F_Custom1_V="(All)",F_Custom1_V="",ISBLANK(F_Custom1_V)),1,IFERROR(IF(ISNUMBER(SEARCH("|"&amp;INDEX(INDIRECT(F_Custom1_resolved_column),38)&amp;"|",F_Custom1_wrapped)),1,0),0))</f>
        <v>1</v>
      </c>
      <c r="E39">
        <f>IF(OR(F_Custom2_Q="(None)",F_Custom2_Q="",ISBLANK(F_Custom2_Q),F_Custom2_V="(All)",F_Custom2_V="",ISBLANK(F_Custom2_V)),1,IFERROR(IF(ISNUMBER(SEARCH("|"&amp;INDEX(INDIRECT(F_Custom2_resolved_column),38)&amp;"|",F_Custom2_wrapped)),1,0),0))</f>
        <v>1</v>
      </c>
      <c r="F39">
        <f>D39*E39*1</f>
        <v>1</v>
      </c>
      <c r="G39">
        <f>1</f>
        <v>1</v>
      </c>
      <c r="H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38)&amp;"|",All_Questions_Q_STREAM_F_wrapped)),1,0),0))*1</f>
        <v>1</v>
      </c>
    </row>
    <row r="40">
      <c r="A40" t="n">
        <v>39</v>
      </c>
      <c r="B40" t="inlineStr">
        <is>
          <t>A</t>
        </is>
      </c>
      <c r="C40">
        <f>1</f>
        <v>1</v>
      </c>
      <c r="D40">
        <f>IF(OR(F_Custom1_Q="(None)",F_Custom1_Q="",ISBLANK(F_Custom1_Q),F_Custom1_V="(All)",F_Custom1_V="",ISBLANK(F_Custom1_V)),1,IFERROR(IF(ISNUMBER(SEARCH("|"&amp;INDEX(INDIRECT(F_Custom1_resolved_column),39)&amp;"|",F_Custom1_wrapped)),1,0),0))</f>
        <v>1</v>
      </c>
      <c r="E40">
        <f>IF(OR(F_Custom2_Q="(None)",F_Custom2_Q="",ISBLANK(F_Custom2_Q),F_Custom2_V="(All)",F_Custom2_V="",ISBLANK(F_Custom2_V)),1,IFERROR(IF(ISNUMBER(SEARCH("|"&amp;INDEX(INDIRECT(F_Custom2_resolved_column),39)&amp;"|",F_Custom2_wrapped)),1,0),0))</f>
        <v>1</v>
      </c>
      <c r="F40">
        <f>D40*E40*1</f>
        <v>1</v>
      </c>
      <c r="G40">
        <f>1</f>
        <v>1</v>
      </c>
      <c r="H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39)&amp;"|",All_Questions_Q_STREAM_F_wrapped)),1,0),0))*1</f>
        <v>1</v>
      </c>
    </row>
    <row r="41">
      <c r="A41" t="n">
        <v>40</v>
      </c>
      <c r="B41" t="inlineStr">
        <is>
          <t>B</t>
        </is>
      </c>
      <c r="C41">
        <f>1</f>
        <v>1</v>
      </c>
      <c r="D41">
        <f>IF(OR(F_Custom1_Q="(None)",F_Custom1_Q="",ISBLANK(F_Custom1_Q),F_Custom1_V="(All)",F_Custom1_V="",ISBLANK(F_Custom1_V)),1,IFERROR(IF(ISNUMBER(SEARCH("|"&amp;INDEX(INDIRECT(F_Custom1_resolved_column),40)&amp;"|",F_Custom1_wrapped)),1,0),0))</f>
        <v>1</v>
      </c>
      <c r="E41">
        <f>IF(OR(F_Custom2_Q="(None)",F_Custom2_Q="",ISBLANK(F_Custom2_Q),F_Custom2_V="(All)",F_Custom2_V="",ISBLANK(F_Custom2_V)),1,IFERROR(IF(ISNUMBER(SEARCH("|"&amp;INDEX(INDIRECT(F_Custom2_resolved_column),40)&amp;"|",F_Custom2_wrapped)),1,0),0))</f>
        <v>1</v>
      </c>
      <c r="F41">
        <f>D41*E41*1</f>
        <v>1</v>
      </c>
      <c r="G41">
        <f>1</f>
        <v>1</v>
      </c>
      <c r="H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40)&amp;"|",All_Questions_Q_STREAM_F_wrapped)),1,0),0))*1</f>
        <v>1</v>
      </c>
    </row>
    <row r="42">
      <c r="A42" t="n">
        <v>41</v>
      </c>
      <c r="B42" t="inlineStr">
        <is>
          <t>A</t>
        </is>
      </c>
      <c r="C42">
        <f>1</f>
        <v>1</v>
      </c>
      <c r="D42">
        <f>IF(OR(F_Custom1_Q="(None)",F_Custom1_Q="",ISBLANK(F_Custom1_Q),F_Custom1_V="(All)",F_Custom1_V="",ISBLANK(F_Custom1_V)),1,IFERROR(IF(ISNUMBER(SEARCH("|"&amp;INDEX(INDIRECT(F_Custom1_resolved_column),41)&amp;"|",F_Custom1_wrapped)),1,0),0))</f>
        <v>1</v>
      </c>
      <c r="E42">
        <f>IF(OR(F_Custom2_Q="(None)",F_Custom2_Q="",ISBLANK(F_Custom2_Q),F_Custom2_V="(All)",F_Custom2_V="",ISBLANK(F_Custom2_V)),1,IFERROR(IF(ISNUMBER(SEARCH("|"&amp;INDEX(INDIRECT(F_Custom2_resolved_column),41)&amp;"|",F_Custom2_wrapped)),1,0),0))</f>
        <v>1</v>
      </c>
      <c r="F42">
        <f>D42*E42*1</f>
        <v>1</v>
      </c>
      <c r="G42">
        <f>1</f>
        <v>1</v>
      </c>
      <c r="H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41)&amp;"|",All_Questions_Q_STREAM_F_wrapped)),1,0),0))*1</f>
        <v>1</v>
      </c>
    </row>
    <row r="43">
      <c r="A43" t="n">
        <v>42</v>
      </c>
      <c r="B43" t="inlineStr">
        <is>
          <t>B</t>
        </is>
      </c>
      <c r="C43">
        <f>1</f>
        <v>1</v>
      </c>
      <c r="D43">
        <f>IF(OR(F_Custom1_Q="(None)",F_Custom1_Q="",ISBLANK(F_Custom1_Q),F_Custom1_V="(All)",F_Custom1_V="",ISBLANK(F_Custom1_V)),1,IFERROR(IF(ISNUMBER(SEARCH("|"&amp;INDEX(INDIRECT(F_Custom1_resolved_column),42)&amp;"|",F_Custom1_wrapped)),1,0),0))</f>
        <v>1</v>
      </c>
      <c r="E43">
        <f>IF(OR(F_Custom2_Q="(None)",F_Custom2_Q="",ISBLANK(F_Custom2_Q),F_Custom2_V="(All)",F_Custom2_V="",ISBLANK(F_Custom2_V)),1,IFERROR(IF(ISNUMBER(SEARCH("|"&amp;INDEX(INDIRECT(F_Custom2_resolved_column),42)&amp;"|",F_Custom2_wrapped)),1,0),0))</f>
        <v>1</v>
      </c>
      <c r="F43">
        <f>D43*E43*1</f>
        <v>1</v>
      </c>
      <c r="G43">
        <f>1</f>
        <v>1</v>
      </c>
      <c r="H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42)&amp;"|",All_Questions_Q_STREAM_F_wrapped)),1,0),0))*1</f>
        <v>1</v>
      </c>
    </row>
    <row r="44">
      <c r="A44" t="n">
        <v>43</v>
      </c>
      <c r="B44" t="inlineStr">
        <is>
          <t>A</t>
        </is>
      </c>
      <c r="C44">
        <f>1</f>
        <v>1</v>
      </c>
      <c r="D44">
        <f>IF(OR(F_Custom1_Q="(None)",F_Custom1_Q="",ISBLANK(F_Custom1_Q),F_Custom1_V="(All)",F_Custom1_V="",ISBLANK(F_Custom1_V)),1,IFERROR(IF(ISNUMBER(SEARCH("|"&amp;INDEX(INDIRECT(F_Custom1_resolved_column),43)&amp;"|",F_Custom1_wrapped)),1,0),0))</f>
        <v>1</v>
      </c>
      <c r="E44">
        <f>IF(OR(F_Custom2_Q="(None)",F_Custom2_Q="",ISBLANK(F_Custom2_Q),F_Custom2_V="(All)",F_Custom2_V="",ISBLANK(F_Custom2_V)),1,IFERROR(IF(ISNUMBER(SEARCH("|"&amp;INDEX(INDIRECT(F_Custom2_resolved_column),43)&amp;"|",F_Custom2_wrapped)),1,0),0))</f>
        <v>1</v>
      </c>
      <c r="F44">
        <f>D44*E44*1</f>
        <v>1</v>
      </c>
      <c r="G44">
        <f>1</f>
        <v>1</v>
      </c>
      <c r="H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43)&amp;"|",All_Questions_Q_STREAM_F_wrapped)),1,0),0))*1</f>
        <v>1</v>
      </c>
    </row>
    <row r="45">
      <c r="A45" t="n">
        <v>44</v>
      </c>
      <c r="B45" t="inlineStr">
        <is>
          <t>B</t>
        </is>
      </c>
      <c r="C45">
        <f>1</f>
        <v>1</v>
      </c>
      <c r="D45">
        <f>IF(OR(F_Custom1_Q="(None)",F_Custom1_Q="",ISBLANK(F_Custom1_Q),F_Custom1_V="(All)",F_Custom1_V="",ISBLANK(F_Custom1_V)),1,IFERROR(IF(ISNUMBER(SEARCH("|"&amp;INDEX(INDIRECT(F_Custom1_resolved_column),44)&amp;"|",F_Custom1_wrapped)),1,0),0))</f>
        <v>1</v>
      </c>
      <c r="E45">
        <f>IF(OR(F_Custom2_Q="(None)",F_Custom2_Q="",ISBLANK(F_Custom2_Q),F_Custom2_V="(All)",F_Custom2_V="",ISBLANK(F_Custom2_V)),1,IFERROR(IF(ISNUMBER(SEARCH("|"&amp;INDEX(INDIRECT(F_Custom2_resolved_column),44)&amp;"|",F_Custom2_wrapped)),1,0),0))</f>
        <v>1</v>
      </c>
      <c r="F45">
        <f>D45*E45*1</f>
        <v>1</v>
      </c>
      <c r="G45">
        <f>1</f>
        <v>1</v>
      </c>
      <c r="H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44)&amp;"|",All_Questions_Q_STREAM_F_wrapped)),1,0),0))*1</f>
        <v>1</v>
      </c>
    </row>
    <row r="46">
      <c r="A46" t="n">
        <v>45</v>
      </c>
      <c r="B46" t="inlineStr">
        <is>
          <t>A</t>
        </is>
      </c>
      <c r="C46">
        <f>1</f>
        <v>1</v>
      </c>
      <c r="D46">
        <f>IF(OR(F_Custom1_Q="(None)",F_Custom1_Q="",ISBLANK(F_Custom1_Q),F_Custom1_V="(All)",F_Custom1_V="",ISBLANK(F_Custom1_V)),1,IFERROR(IF(ISNUMBER(SEARCH("|"&amp;INDEX(INDIRECT(F_Custom1_resolved_column),45)&amp;"|",F_Custom1_wrapped)),1,0),0))</f>
        <v>1</v>
      </c>
      <c r="E46">
        <f>IF(OR(F_Custom2_Q="(None)",F_Custom2_Q="",ISBLANK(F_Custom2_Q),F_Custom2_V="(All)",F_Custom2_V="",ISBLANK(F_Custom2_V)),1,IFERROR(IF(ISNUMBER(SEARCH("|"&amp;INDEX(INDIRECT(F_Custom2_resolved_column),45)&amp;"|",F_Custom2_wrapped)),1,0),0))</f>
        <v>1</v>
      </c>
      <c r="F46">
        <f>D46*E46*1</f>
        <v>1</v>
      </c>
      <c r="G46">
        <f>1</f>
        <v>1</v>
      </c>
      <c r="H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45)&amp;"|",All_Questions_Q_STREAM_F_wrapped)),1,0),0))*1</f>
        <v>1</v>
      </c>
    </row>
    <row r="47">
      <c r="A47" t="n">
        <v>46</v>
      </c>
      <c r="B47" t="inlineStr">
        <is>
          <t>B</t>
        </is>
      </c>
      <c r="C47">
        <f>1</f>
        <v>1</v>
      </c>
      <c r="D47">
        <f>IF(OR(F_Custom1_Q="(None)",F_Custom1_Q="",ISBLANK(F_Custom1_Q),F_Custom1_V="(All)",F_Custom1_V="",ISBLANK(F_Custom1_V)),1,IFERROR(IF(ISNUMBER(SEARCH("|"&amp;INDEX(INDIRECT(F_Custom1_resolved_column),46)&amp;"|",F_Custom1_wrapped)),1,0),0))</f>
        <v>1</v>
      </c>
      <c r="E47">
        <f>IF(OR(F_Custom2_Q="(None)",F_Custom2_Q="",ISBLANK(F_Custom2_Q),F_Custom2_V="(All)",F_Custom2_V="",ISBLANK(F_Custom2_V)),1,IFERROR(IF(ISNUMBER(SEARCH("|"&amp;INDEX(INDIRECT(F_Custom2_resolved_column),46)&amp;"|",F_Custom2_wrapped)),1,0),0))</f>
        <v>1</v>
      </c>
      <c r="F47">
        <f>D47*E47*1</f>
        <v>1</v>
      </c>
      <c r="G47">
        <f>1</f>
        <v>1</v>
      </c>
      <c r="H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46)&amp;"|",All_Questions_Q_STREAM_F_wrapped)),1,0),0))*1</f>
        <v>1</v>
      </c>
    </row>
    <row r="48">
      <c r="A48" t="n">
        <v>47</v>
      </c>
      <c r="B48" t="inlineStr">
        <is>
          <t>A</t>
        </is>
      </c>
      <c r="C48">
        <f>1</f>
        <v>1</v>
      </c>
      <c r="D48">
        <f>IF(OR(F_Custom1_Q="(None)",F_Custom1_Q="",ISBLANK(F_Custom1_Q),F_Custom1_V="(All)",F_Custom1_V="",ISBLANK(F_Custom1_V)),1,IFERROR(IF(ISNUMBER(SEARCH("|"&amp;INDEX(INDIRECT(F_Custom1_resolved_column),47)&amp;"|",F_Custom1_wrapped)),1,0),0))</f>
        <v>1</v>
      </c>
      <c r="E48">
        <f>IF(OR(F_Custom2_Q="(None)",F_Custom2_Q="",ISBLANK(F_Custom2_Q),F_Custom2_V="(All)",F_Custom2_V="",ISBLANK(F_Custom2_V)),1,IFERROR(IF(ISNUMBER(SEARCH("|"&amp;INDEX(INDIRECT(F_Custom2_resolved_column),47)&amp;"|",F_Custom2_wrapped)),1,0),0))</f>
        <v>1</v>
      </c>
      <c r="F48">
        <f>D48*E48*1</f>
        <v>1</v>
      </c>
      <c r="G48">
        <f>1</f>
        <v>1</v>
      </c>
      <c r="H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47)&amp;"|",All_Questions_Q_STREAM_F_wrapped)),1,0),0))*1</f>
        <v>1</v>
      </c>
    </row>
    <row r="49">
      <c r="A49" t="n">
        <v>48</v>
      </c>
      <c r="B49" t="inlineStr">
        <is>
          <t>B</t>
        </is>
      </c>
      <c r="C49">
        <f>1</f>
        <v>1</v>
      </c>
      <c r="D49">
        <f>IF(OR(F_Custom1_Q="(None)",F_Custom1_Q="",ISBLANK(F_Custom1_Q),F_Custom1_V="(All)",F_Custom1_V="",ISBLANK(F_Custom1_V)),1,IFERROR(IF(ISNUMBER(SEARCH("|"&amp;INDEX(INDIRECT(F_Custom1_resolved_column),48)&amp;"|",F_Custom1_wrapped)),1,0),0))</f>
        <v>1</v>
      </c>
      <c r="E49">
        <f>IF(OR(F_Custom2_Q="(None)",F_Custom2_Q="",ISBLANK(F_Custom2_Q),F_Custom2_V="(All)",F_Custom2_V="",ISBLANK(F_Custom2_V)),1,IFERROR(IF(ISNUMBER(SEARCH("|"&amp;INDEX(INDIRECT(F_Custom2_resolved_column),48)&amp;"|",F_Custom2_wrapped)),1,0),0))</f>
        <v>1</v>
      </c>
      <c r="F49">
        <f>D49*E49*1</f>
        <v>1</v>
      </c>
      <c r="G49">
        <f>1</f>
        <v>1</v>
      </c>
      <c r="H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48)&amp;"|",All_Questions_Q_STREAM_F_wrapped)),1,0),0))*1</f>
        <v>1</v>
      </c>
    </row>
    <row r="50">
      <c r="A50" t="n">
        <v>49</v>
      </c>
      <c r="B50" t="inlineStr">
        <is>
          <t>A</t>
        </is>
      </c>
      <c r="C50">
        <f>1</f>
        <v>1</v>
      </c>
      <c r="D50">
        <f>IF(OR(F_Custom1_Q="(None)",F_Custom1_Q="",ISBLANK(F_Custom1_Q),F_Custom1_V="(All)",F_Custom1_V="",ISBLANK(F_Custom1_V)),1,IFERROR(IF(ISNUMBER(SEARCH("|"&amp;INDEX(INDIRECT(F_Custom1_resolved_column),49)&amp;"|",F_Custom1_wrapped)),1,0),0))</f>
        <v>1</v>
      </c>
      <c r="E50">
        <f>IF(OR(F_Custom2_Q="(None)",F_Custom2_Q="",ISBLANK(F_Custom2_Q),F_Custom2_V="(All)",F_Custom2_V="",ISBLANK(F_Custom2_V)),1,IFERROR(IF(ISNUMBER(SEARCH("|"&amp;INDEX(INDIRECT(F_Custom2_resolved_column),49)&amp;"|",F_Custom2_wrapped)),1,0),0))</f>
        <v>1</v>
      </c>
      <c r="F50">
        <f>D50*E50*1</f>
        <v>1</v>
      </c>
      <c r="G50">
        <f>1</f>
        <v>1</v>
      </c>
      <c r="H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49)&amp;"|",All_Questions_Q_STREAM_F_wrapped)),1,0),0))*1</f>
        <v>1</v>
      </c>
    </row>
    <row r="51">
      <c r="A51" t="n">
        <v>50</v>
      </c>
      <c r="B51" t="inlineStr">
        <is>
          <t>B</t>
        </is>
      </c>
      <c r="C51">
        <f>1</f>
        <v>1</v>
      </c>
      <c r="D51">
        <f>IF(OR(F_Custom1_Q="(None)",F_Custom1_Q="",ISBLANK(F_Custom1_Q),F_Custom1_V="(All)",F_Custom1_V="",ISBLANK(F_Custom1_V)),1,IFERROR(IF(ISNUMBER(SEARCH("|"&amp;INDEX(INDIRECT(F_Custom1_resolved_column),50)&amp;"|",F_Custom1_wrapped)),1,0),0))</f>
        <v>1</v>
      </c>
      <c r="E51">
        <f>IF(OR(F_Custom2_Q="(None)",F_Custom2_Q="",ISBLANK(F_Custom2_Q),F_Custom2_V="(All)",F_Custom2_V="",ISBLANK(F_Custom2_V)),1,IFERROR(IF(ISNUMBER(SEARCH("|"&amp;INDEX(INDIRECT(F_Custom2_resolved_column),50)&amp;"|",F_Custom2_wrapped)),1,0),0))</f>
        <v>1</v>
      </c>
      <c r="F51">
        <f>D51*E51*1</f>
        <v>1</v>
      </c>
      <c r="G51">
        <f>1</f>
        <v>1</v>
      </c>
      <c r="H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50)&amp;"|",All_Questions_Q_STREAM_F_wrapped)),1,0),0))*1</f>
        <v>1</v>
      </c>
    </row>
    <row r="52">
      <c r="A52" t="n">
        <v>51</v>
      </c>
      <c r="B52" t="inlineStr">
        <is>
          <t>A</t>
        </is>
      </c>
      <c r="C52">
        <f>1</f>
        <v>1</v>
      </c>
      <c r="D52">
        <f>IF(OR(F_Custom1_Q="(None)",F_Custom1_Q="",ISBLANK(F_Custom1_Q),F_Custom1_V="(All)",F_Custom1_V="",ISBLANK(F_Custom1_V)),1,IFERROR(IF(ISNUMBER(SEARCH("|"&amp;INDEX(INDIRECT(F_Custom1_resolved_column),51)&amp;"|",F_Custom1_wrapped)),1,0),0))</f>
        <v>1</v>
      </c>
      <c r="E52">
        <f>IF(OR(F_Custom2_Q="(None)",F_Custom2_Q="",ISBLANK(F_Custom2_Q),F_Custom2_V="(All)",F_Custom2_V="",ISBLANK(F_Custom2_V)),1,IFERROR(IF(ISNUMBER(SEARCH("|"&amp;INDEX(INDIRECT(F_Custom2_resolved_column),51)&amp;"|",F_Custom2_wrapped)),1,0),0))</f>
        <v>1</v>
      </c>
      <c r="F52">
        <f>D52*E52*1</f>
        <v>1</v>
      </c>
      <c r="G52">
        <f>1</f>
        <v>1</v>
      </c>
      <c r="H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51)&amp;"|",All_Questions_Q_STREAM_F_wrapped)),1,0),0))*1</f>
        <v>1</v>
      </c>
    </row>
    <row r="53">
      <c r="A53" t="n">
        <v>52</v>
      </c>
      <c r="B53" t="inlineStr">
        <is>
          <t>B</t>
        </is>
      </c>
      <c r="C53">
        <f>1</f>
        <v>1</v>
      </c>
      <c r="D53">
        <f>IF(OR(F_Custom1_Q="(None)",F_Custom1_Q="",ISBLANK(F_Custom1_Q),F_Custom1_V="(All)",F_Custom1_V="",ISBLANK(F_Custom1_V)),1,IFERROR(IF(ISNUMBER(SEARCH("|"&amp;INDEX(INDIRECT(F_Custom1_resolved_column),52)&amp;"|",F_Custom1_wrapped)),1,0),0))</f>
        <v>1</v>
      </c>
      <c r="E53">
        <f>IF(OR(F_Custom2_Q="(None)",F_Custom2_Q="",ISBLANK(F_Custom2_Q),F_Custom2_V="(All)",F_Custom2_V="",ISBLANK(F_Custom2_V)),1,IFERROR(IF(ISNUMBER(SEARCH("|"&amp;INDEX(INDIRECT(F_Custom2_resolved_column),52)&amp;"|",F_Custom2_wrapped)),1,0),0))</f>
        <v>1</v>
      </c>
      <c r="F53">
        <f>D53*E53*1</f>
        <v>1</v>
      </c>
      <c r="G53">
        <f>1</f>
        <v>1</v>
      </c>
      <c r="H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52)&amp;"|",All_Questions_Q_STREAM_F_wrapped)),1,0),0))*1</f>
        <v>1</v>
      </c>
    </row>
    <row r="54">
      <c r="A54" t="n">
        <v>53</v>
      </c>
      <c r="B54" t="inlineStr">
        <is>
          <t>A</t>
        </is>
      </c>
      <c r="C54">
        <f>1</f>
        <v>1</v>
      </c>
      <c r="D54">
        <f>IF(OR(F_Custom1_Q="(None)",F_Custom1_Q="",ISBLANK(F_Custom1_Q),F_Custom1_V="(All)",F_Custom1_V="",ISBLANK(F_Custom1_V)),1,IFERROR(IF(ISNUMBER(SEARCH("|"&amp;INDEX(INDIRECT(F_Custom1_resolved_column),53)&amp;"|",F_Custom1_wrapped)),1,0),0))</f>
        <v>1</v>
      </c>
      <c r="E54">
        <f>IF(OR(F_Custom2_Q="(None)",F_Custom2_Q="",ISBLANK(F_Custom2_Q),F_Custom2_V="(All)",F_Custom2_V="",ISBLANK(F_Custom2_V)),1,IFERROR(IF(ISNUMBER(SEARCH("|"&amp;INDEX(INDIRECT(F_Custom2_resolved_column),53)&amp;"|",F_Custom2_wrapped)),1,0),0))</f>
        <v>1</v>
      </c>
      <c r="F54">
        <f>D54*E54*1</f>
        <v>1</v>
      </c>
      <c r="G54">
        <f>1</f>
        <v>1</v>
      </c>
      <c r="H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53)&amp;"|",All_Questions_Q_STREAM_F_wrapped)),1,0),0))*1</f>
        <v>1</v>
      </c>
    </row>
    <row r="55">
      <c r="A55" t="n">
        <v>54</v>
      </c>
      <c r="B55" t="inlineStr">
        <is>
          <t>B</t>
        </is>
      </c>
      <c r="C55">
        <f>1</f>
        <v>1</v>
      </c>
      <c r="D55">
        <f>IF(OR(F_Custom1_Q="(None)",F_Custom1_Q="",ISBLANK(F_Custom1_Q),F_Custom1_V="(All)",F_Custom1_V="",ISBLANK(F_Custom1_V)),1,IFERROR(IF(ISNUMBER(SEARCH("|"&amp;INDEX(INDIRECT(F_Custom1_resolved_column),54)&amp;"|",F_Custom1_wrapped)),1,0),0))</f>
        <v>1</v>
      </c>
      <c r="E55">
        <f>IF(OR(F_Custom2_Q="(None)",F_Custom2_Q="",ISBLANK(F_Custom2_Q),F_Custom2_V="(All)",F_Custom2_V="",ISBLANK(F_Custom2_V)),1,IFERROR(IF(ISNUMBER(SEARCH("|"&amp;INDEX(INDIRECT(F_Custom2_resolved_column),54)&amp;"|",F_Custom2_wrapped)),1,0),0))</f>
        <v>1</v>
      </c>
      <c r="F55">
        <f>D55*E55*1</f>
        <v>1</v>
      </c>
      <c r="G55">
        <f>1</f>
        <v>1</v>
      </c>
      <c r="H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54)&amp;"|",All_Questions_Q_STREAM_F_wrapped)),1,0),0))*1</f>
        <v>1</v>
      </c>
    </row>
    <row r="56">
      <c r="A56" t="n">
        <v>55</v>
      </c>
      <c r="B56" t="inlineStr">
        <is>
          <t>A</t>
        </is>
      </c>
      <c r="C56">
        <f>1</f>
        <v>1</v>
      </c>
      <c r="D56">
        <f>IF(OR(F_Custom1_Q="(None)",F_Custom1_Q="",ISBLANK(F_Custom1_Q),F_Custom1_V="(All)",F_Custom1_V="",ISBLANK(F_Custom1_V)),1,IFERROR(IF(ISNUMBER(SEARCH("|"&amp;INDEX(INDIRECT(F_Custom1_resolved_column),55)&amp;"|",F_Custom1_wrapped)),1,0),0))</f>
        <v>1</v>
      </c>
      <c r="E56">
        <f>IF(OR(F_Custom2_Q="(None)",F_Custom2_Q="",ISBLANK(F_Custom2_Q),F_Custom2_V="(All)",F_Custom2_V="",ISBLANK(F_Custom2_V)),1,IFERROR(IF(ISNUMBER(SEARCH("|"&amp;INDEX(INDIRECT(F_Custom2_resolved_column),55)&amp;"|",F_Custom2_wrapped)),1,0),0))</f>
        <v>1</v>
      </c>
      <c r="F56">
        <f>D56*E56*1</f>
        <v>1</v>
      </c>
      <c r="G56">
        <f>1</f>
        <v>1</v>
      </c>
      <c r="H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55)&amp;"|",All_Questions_Q_STREAM_F_wrapped)),1,0),0))*1</f>
        <v>1</v>
      </c>
    </row>
    <row r="57">
      <c r="A57" t="n">
        <v>56</v>
      </c>
      <c r="B57" t="inlineStr">
        <is>
          <t>B</t>
        </is>
      </c>
      <c r="C57">
        <f>1</f>
        <v>1</v>
      </c>
      <c r="D57">
        <f>IF(OR(F_Custom1_Q="(None)",F_Custom1_Q="",ISBLANK(F_Custom1_Q),F_Custom1_V="(All)",F_Custom1_V="",ISBLANK(F_Custom1_V)),1,IFERROR(IF(ISNUMBER(SEARCH("|"&amp;INDEX(INDIRECT(F_Custom1_resolved_column),56)&amp;"|",F_Custom1_wrapped)),1,0),0))</f>
        <v>1</v>
      </c>
      <c r="E57">
        <f>IF(OR(F_Custom2_Q="(None)",F_Custom2_Q="",ISBLANK(F_Custom2_Q),F_Custom2_V="(All)",F_Custom2_V="",ISBLANK(F_Custom2_V)),1,IFERROR(IF(ISNUMBER(SEARCH("|"&amp;INDEX(INDIRECT(F_Custom2_resolved_column),56)&amp;"|",F_Custom2_wrapped)),1,0),0))</f>
        <v>1</v>
      </c>
      <c r="F57">
        <f>D57*E57*1</f>
        <v>1</v>
      </c>
      <c r="G57">
        <f>1</f>
        <v>1</v>
      </c>
      <c r="H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56)&amp;"|",All_Questions_Q_STREAM_F_wrapped)),1,0),0))*1</f>
        <v>1</v>
      </c>
    </row>
    <row r="58">
      <c r="A58" t="n">
        <v>57</v>
      </c>
      <c r="B58" t="inlineStr">
        <is>
          <t>A</t>
        </is>
      </c>
      <c r="C58">
        <f>1</f>
        <v>1</v>
      </c>
      <c r="D58">
        <f>IF(OR(F_Custom1_Q="(None)",F_Custom1_Q="",ISBLANK(F_Custom1_Q),F_Custom1_V="(All)",F_Custom1_V="",ISBLANK(F_Custom1_V)),1,IFERROR(IF(ISNUMBER(SEARCH("|"&amp;INDEX(INDIRECT(F_Custom1_resolved_column),57)&amp;"|",F_Custom1_wrapped)),1,0),0))</f>
        <v>1</v>
      </c>
      <c r="E58">
        <f>IF(OR(F_Custom2_Q="(None)",F_Custom2_Q="",ISBLANK(F_Custom2_Q),F_Custom2_V="(All)",F_Custom2_V="",ISBLANK(F_Custom2_V)),1,IFERROR(IF(ISNUMBER(SEARCH("|"&amp;INDEX(INDIRECT(F_Custom2_resolved_column),57)&amp;"|",F_Custom2_wrapped)),1,0),0))</f>
        <v>1</v>
      </c>
      <c r="F58">
        <f>D58*E58*1</f>
        <v>1</v>
      </c>
      <c r="G58">
        <f>1</f>
        <v>1</v>
      </c>
      <c r="H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57)&amp;"|",All_Questions_Q_STREAM_F_wrapped)),1,0),0))*1</f>
        <v>1</v>
      </c>
    </row>
    <row r="59">
      <c r="A59" t="n">
        <v>58</v>
      </c>
      <c r="B59" t="inlineStr">
        <is>
          <t>B</t>
        </is>
      </c>
      <c r="C59">
        <f>1</f>
        <v>1</v>
      </c>
      <c r="D59">
        <f>IF(OR(F_Custom1_Q="(None)",F_Custom1_Q="",ISBLANK(F_Custom1_Q),F_Custom1_V="(All)",F_Custom1_V="",ISBLANK(F_Custom1_V)),1,IFERROR(IF(ISNUMBER(SEARCH("|"&amp;INDEX(INDIRECT(F_Custom1_resolved_column),58)&amp;"|",F_Custom1_wrapped)),1,0),0))</f>
        <v>1</v>
      </c>
      <c r="E59">
        <f>IF(OR(F_Custom2_Q="(None)",F_Custom2_Q="",ISBLANK(F_Custom2_Q),F_Custom2_V="(All)",F_Custom2_V="",ISBLANK(F_Custom2_V)),1,IFERROR(IF(ISNUMBER(SEARCH("|"&amp;INDEX(INDIRECT(F_Custom2_resolved_column),58)&amp;"|",F_Custom2_wrapped)),1,0),0))</f>
        <v>1</v>
      </c>
      <c r="F59">
        <f>D59*E59*1</f>
        <v>1</v>
      </c>
      <c r="G59">
        <f>1</f>
        <v>1</v>
      </c>
      <c r="H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58)&amp;"|",All_Questions_Q_STREAM_F_wrapped)),1,0),0))*1</f>
        <v>1</v>
      </c>
    </row>
    <row r="60">
      <c r="A60" t="n">
        <v>59</v>
      </c>
      <c r="B60" t="inlineStr">
        <is>
          <t>A</t>
        </is>
      </c>
      <c r="C60">
        <f>1</f>
        <v>1</v>
      </c>
      <c r="D60">
        <f>IF(OR(F_Custom1_Q="(None)",F_Custom1_Q="",ISBLANK(F_Custom1_Q),F_Custom1_V="(All)",F_Custom1_V="",ISBLANK(F_Custom1_V)),1,IFERROR(IF(ISNUMBER(SEARCH("|"&amp;INDEX(INDIRECT(F_Custom1_resolved_column),59)&amp;"|",F_Custom1_wrapped)),1,0),0))</f>
        <v>1</v>
      </c>
      <c r="E60">
        <f>IF(OR(F_Custom2_Q="(None)",F_Custom2_Q="",ISBLANK(F_Custom2_Q),F_Custom2_V="(All)",F_Custom2_V="",ISBLANK(F_Custom2_V)),1,IFERROR(IF(ISNUMBER(SEARCH("|"&amp;INDEX(INDIRECT(F_Custom2_resolved_column),59)&amp;"|",F_Custom2_wrapped)),1,0),0))</f>
        <v>1</v>
      </c>
      <c r="F60">
        <f>D60*E60*1</f>
        <v>1</v>
      </c>
      <c r="G60">
        <f>1</f>
        <v>1</v>
      </c>
      <c r="H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59)&amp;"|",All_Questions_Q_STREAM_F_wrapped)),1,0),0))*1</f>
        <v>1</v>
      </c>
    </row>
    <row r="61">
      <c r="A61" t="n">
        <v>60</v>
      </c>
      <c r="B61" t="inlineStr">
        <is>
          <t>B</t>
        </is>
      </c>
      <c r="C61">
        <f>1</f>
        <v>1</v>
      </c>
      <c r="D61">
        <f>IF(OR(F_Custom1_Q="(None)",F_Custom1_Q="",ISBLANK(F_Custom1_Q),F_Custom1_V="(All)",F_Custom1_V="",ISBLANK(F_Custom1_V)),1,IFERROR(IF(ISNUMBER(SEARCH("|"&amp;INDEX(INDIRECT(F_Custom1_resolved_column),60)&amp;"|",F_Custom1_wrapped)),1,0),0))</f>
        <v>1</v>
      </c>
      <c r="E61">
        <f>IF(OR(F_Custom2_Q="(None)",F_Custom2_Q="",ISBLANK(F_Custom2_Q),F_Custom2_V="(All)",F_Custom2_V="",ISBLANK(F_Custom2_V)),1,IFERROR(IF(ISNUMBER(SEARCH("|"&amp;INDEX(INDIRECT(F_Custom2_resolved_column),60)&amp;"|",F_Custom2_wrapped)),1,0),0))</f>
        <v>1</v>
      </c>
      <c r="F61">
        <f>D61*E61*1</f>
        <v>1</v>
      </c>
      <c r="G61">
        <f>1</f>
        <v>1</v>
      </c>
      <c r="H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60)&amp;"|",All_Questions_Q_STREAM_F_wrapped)),1,0),0))*1</f>
        <v>1</v>
      </c>
    </row>
    <row r="62">
      <c r="A62" t="n">
        <v>61</v>
      </c>
      <c r="B62" t="inlineStr">
        <is>
          <t>A</t>
        </is>
      </c>
      <c r="C62">
        <f>1</f>
        <v>1</v>
      </c>
      <c r="D62">
        <f>IF(OR(F_Custom1_Q="(None)",F_Custom1_Q="",ISBLANK(F_Custom1_Q),F_Custom1_V="(All)",F_Custom1_V="",ISBLANK(F_Custom1_V)),1,IFERROR(IF(ISNUMBER(SEARCH("|"&amp;INDEX(INDIRECT(F_Custom1_resolved_column),61)&amp;"|",F_Custom1_wrapped)),1,0),0))</f>
        <v>1</v>
      </c>
      <c r="E62">
        <f>IF(OR(F_Custom2_Q="(None)",F_Custom2_Q="",ISBLANK(F_Custom2_Q),F_Custom2_V="(All)",F_Custom2_V="",ISBLANK(F_Custom2_V)),1,IFERROR(IF(ISNUMBER(SEARCH("|"&amp;INDEX(INDIRECT(F_Custom2_resolved_column),61)&amp;"|",F_Custom2_wrapped)),1,0),0))</f>
        <v>1</v>
      </c>
      <c r="F62">
        <f>D62*E62*1</f>
        <v>1</v>
      </c>
      <c r="G62">
        <f>1</f>
        <v>1</v>
      </c>
      <c r="H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61)&amp;"|",All_Questions_Q_STREAM_F_wrapped)),1,0),0))*1</f>
        <v>1</v>
      </c>
    </row>
    <row r="63">
      <c r="A63" t="n">
        <v>62</v>
      </c>
      <c r="B63" t="inlineStr">
        <is>
          <t>B</t>
        </is>
      </c>
      <c r="C63">
        <f>1</f>
        <v>1</v>
      </c>
      <c r="D63">
        <f>IF(OR(F_Custom1_Q="(None)",F_Custom1_Q="",ISBLANK(F_Custom1_Q),F_Custom1_V="(All)",F_Custom1_V="",ISBLANK(F_Custom1_V)),1,IFERROR(IF(ISNUMBER(SEARCH("|"&amp;INDEX(INDIRECT(F_Custom1_resolved_column),62)&amp;"|",F_Custom1_wrapped)),1,0),0))</f>
        <v>1</v>
      </c>
      <c r="E63">
        <f>IF(OR(F_Custom2_Q="(None)",F_Custom2_Q="",ISBLANK(F_Custom2_Q),F_Custom2_V="(All)",F_Custom2_V="",ISBLANK(F_Custom2_V)),1,IFERROR(IF(ISNUMBER(SEARCH("|"&amp;INDEX(INDIRECT(F_Custom2_resolved_column),62)&amp;"|",F_Custom2_wrapped)),1,0),0))</f>
        <v>1</v>
      </c>
      <c r="F63">
        <f>D63*E63*1</f>
        <v>1</v>
      </c>
      <c r="G63">
        <f>1</f>
        <v>1</v>
      </c>
      <c r="H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62)&amp;"|",All_Questions_Q_STREAM_F_wrapped)),1,0),0))*1</f>
        <v>1</v>
      </c>
    </row>
    <row r="64">
      <c r="A64" t="n">
        <v>63</v>
      </c>
      <c r="B64" t="inlineStr">
        <is>
          <t>A</t>
        </is>
      </c>
      <c r="C64">
        <f>1</f>
        <v>1</v>
      </c>
      <c r="D64">
        <f>IF(OR(F_Custom1_Q="(None)",F_Custom1_Q="",ISBLANK(F_Custom1_Q),F_Custom1_V="(All)",F_Custom1_V="",ISBLANK(F_Custom1_V)),1,IFERROR(IF(ISNUMBER(SEARCH("|"&amp;INDEX(INDIRECT(F_Custom1_resolved_column),63)&amp;"|",F_Custom1_wrapped)),1,0),0))</f>
        <v>1</v>
      </c>
      <c r="E64">
        <f>IF(OR(F_Custom2_Q="(None)",F_Custom2_Q="",ISBLANK(F_Custom2_Q),F_Custom2_V="(All)",F_Custom2_V="",ISBLANK(F_Custom2_V)),1,IFERROR(IF(ISNUMBER(SEARCH("|"&amp;INDEX(INDIRECT(F_Custom2_resolved_column),63)&amp;"|",F_Custom2_wrapped)),1,0),0))</f>
        <v>1</v>
      </c>
      <c r="F64">
        <f>D64*E64*1</f>
        <v>1</v>
      </c>
      <c r="G64">
        <f>1</f>
        <v>1</v>
      </c>
      <c r="H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63)&amp;"|",All_Questions_Q_STREAM_F_wrapped)),1,0),0))*1</f>
        <v>1</v>
      </c>
    </row>
    <row r="65">
      <c r="A65" t="n">
        <v>64</v>
      </c>
      <c r="B65" t="inlineStr">
        <is>
          <t>B</t>
        </is>
      </c>
      <c r="C65">
        <f>1</f>
        <v>1</v>
      </c>
      <c r="D65">
        <f>IF(OR(F_Custom1_Q="(None)",F_Custom1_Q="",ISBLANK(F_Custom1_Q),F_Custom1_V="(All)",F_Custom1_V="",ISBLANK(F_Custom1_V)),1,IFERROR(IF(ISNUMBER(SEARCH("|"&amp;INDEX(INDIRECT(F_Custom1_resolved_column),64)&amp;"|",F_Custom1_wrapped)),1,0),0))</f>
        <v>1</v>
      </c>
      <c r="E65">
        <f>IF(OR(F_Custom2_Q="(None)",F_Custom2_Q="",ISBLANK(F_Custom2_Q),F_Custom2_V="(All)",F_Custom2_V="",ISBLANK(F_Custom2_V)),1,IFERROR(IF(ISNUMBER(SEARCH("|"&amp;INDEX(INDIRECT(F_Custom2_resolved_column),64)&amp;"|",F_Custom2_wrapped)),1,0),0))</f>
        <v>1</v>
      </c>
      <c r="F65">
        <f>D65*E65*1</f>
        <v>1</v>
      </c>
      <c r="G65">
        <f>1</f>
        <v>1</v>
      </c>
      <c r="H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64)&amp;"|",All_Questions_Q_STREAM_F_wrapped)),1,0),0))*1</f>
        <v>1</v>
      </c>
    </row>
    <row r="66">
      <c r="A66" t="n">
        <v>65</v>
      </c>
      <c r="B66" t="inlineStr">
        <is>
          <t>A</t>
        </is>
      </c>
      <c r="C66">
        <f>1</f>
        <v>1</v>
      </c>
      <c r="D66">
        <f>IF(OR(F_Custom1_Q="(None)",F_Custom1_Q="",ISBLANK(F_Custom1_Q),F_Custom1_V="(All)",F_Custom1_V="",ISBLANK(F_Custom1_V)),1,IFERROR(IF(ISNUMBER(SEARCH("|"&amp;INDEX(INDIRECT(F_Custom1_resolved_column),65)&amp;"|",F_Custom1_wrapped)),1,0),0))</f>
        <v>1</v>
      </c>
      <c r="E66">
        <f>IF(OR(F_Custom2_Q="(None)",F_Custom2_Q="",ISBLANK(F_Custom2_Q),F_Custom2_V="(All)",F_Custom2_V="",ISBLANK(F_Custom2_V)),1,IFERROR(IF(ISNUMBER(SEARCH("|"&amp;INDEX(INDIRECT(F_Custom2_resolved_column),65)&amp;"|",F_Custom2_wrapped)),1,0),0))</f>
        <v>1</v>
      </c>
      <c r="F66">
        <f>D66*E66*1</f>
        <v>1</v>
      </c>
      <c r="G66">
        <f>1</f>
        <v>1</v>
      </c>
      <c r="H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65)&amp;"|",All_Questions_Q_STREAM_F_wrapped)),1,0),0))*1</f>
        <v>1</v>
      </c>
    </row>
    <row r="67">
      <c r="A67" t="n">
        <v>66</v>
      </c>
      <c r="B67" t="inlineStr">
        <is>
          <t>B</t>
        </is>
      </c>
      <c r="C67">
        <f>1</f>
        <v>1</v>
      </c>
      <c r="D67">
        <f>IF(OR(F_Custom1_Q="(None)",F_Custom1_Q="",ISBLANK(F_Custom1_Q),F_Custom1_V="(All)",F_Custom1_V="",ISBLANK(F_Custom1_V)),1,IFERROR(IF(ISNUMBER(SEARCH("|"&amp;INDEX(INDIRECT(F_Custom1_resolved_column),66)&amp;"|",F_Custom1_wrapped)),1,0),0))</f>
        <v>1</v>
      </c>
      <c r="E67">
        <f>IF(OR(F_Custom2_Q="(None)",F_Custom2_Q="",ISBLANK(F_Custom2_Q),F_Custom2_V="(All)",F_Custom2_V="",ISBLANK(F_Custom2_V)),1,IFERROR(IF(ISNUMBER(SEARCH("|"&amp;INDEX(INDIRECT(F_Custom2_resolved_column),66)&amp;"|",F_Custom2_wrapped)),1,0),0))</f>
        <v>1</v>
      </c>
      <c r="F67">
        <f>D67*E67*1</f>
        <v>1</v>
      </c>
      <c r="G67">
        <f>1</f>
        <v>1</v>
      </c>
      <c r="H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66)&amp;"|",All_Questions_Q_STREAM_F_wrapped)),1,0),0))*1</f>
        <v>1</v>
      </c>
    </row>
    <row r="68">
      <c r="A68" t="n">
        <v>67</v>
      </c>
      <c r="B68" t="inlineStr">
        <is>
          <t>A</t>
        </is>
      </c>
      <c r="C68">
        <f>1</f>
        <v>1</v>
      </c>
      <c r="D68">
        <f>IF(OR(F_Custom1_Q="(None)",F_Custom1_Q="",ISBLANK(F_Custom1_Q),F_Custom1_V="(All)",F_Custom1_V="",ISBLANK(F_Custom1_V)),1,IFERROR(IF(ISNUMBER(SEARCH("|"&amp;INDEX(INDIRECT(F_Custom1_resolved_column),67)&amp;"|",F_Custom1_wrapped)),1,0),0))</f>
        <v>1</v>
      </c>
      <c r="E68">
        <f>IF(OR(F_Custom2_Q="(None)",F_Custom2_Q="",ISBLANK(F_Custom2_Q),F_Custom2_V="(All)",F_Custom2_V="",ISBLANK(F_Custom2_V)),1,IFERROR(IF(ISNUMBER(SEARCH("|"&amp;INDEX(INDIRECT(F_Custom2_resolved_column),67)&amp;"|",F_Custom2_wrapped)),1,0),0))</f>
        <v>1</v>
      </c>
      <c r="F68">
        <f>D68*E68*1</f>
        <v>1</v>
      </c>
      <c r="G68">
        <f>1</f>
        <v>1</v>
      </c>
      <c r="H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67)&amp;"|",All_Questions_Q_STREAM_F_wrapped)),1,0),0))*1</f>
        <v>1</v>
      </c>
    </row>
    <row r="69">
      <c r="A69" t="n">
        <v>68</v>
      </c>
      <c r="B69" t="inlineStr">
        <is>
          <t>B</t>
        </is>
      </c>
      <c r="C69">
        <f>1</f>
        <v>1</v>
      </c>
      <c r="D69">
        <f>IF(OR(F_Custom1_Q="(None)",F_Custom1_Q="",ISBLANK(F_Custom1_Q),F_Custom1_V="(All)",F_Custom1_V="",ISBLANK(F_Custom1_V)),1,IFERROR(IF(ISNUMBER(SEARCH("|"&amp;INDEX(INDIRECT(F_Custom1_resolved_column),68)&amp;"|",F_Custom1_wrapped)),1,0),0))</f>
        <v>1</v>
      </c>
      <c r="E69">
        <f>IF(OR(F_Custom2_Q="(None)",F_Custom2_Q="",ISBLANK(F_Custom2_Q),F_Custom2_V="(All)",F_Custom2_V="",ISBLANK(F_Custom2_V)),1,IFERROR(IF(ISNUMBER(SEARCH("|"&amp;INDEX(INDIRECT(F_Custom2_resolved_column),68)&amp;"|",F_Custom2_wrapped)),1,0),0))</f>
        <v>1</v>
      </c>
      <c r="F69">
        <f>D69*E69*1</f>
        <v>1</v>
      </c>
      <c r="G69">
        <f>1</f>
        <v>1</v>
      </c>
      <c r="H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68)&amp;"|",All_Questions_Q_STREAM_F_wrapped)),1,0),0))*1</f>
        <v>1</v>
      </c>
    </row>
    <row r="70">
      <c r="A70" t="n">
        <v>69</v>
      </c>
      <c r="B70" t="inlineStr">
        <is>
          <t>A</t>
        </is>
      </c>
      <c r="C70">
        <f>1</f>
        <v>1</v>
      </c>
      <c r="D70">
        <f>IF(OR(F_Custom1_Q="(None)",F_Custom1_Q="",ISBLANK(F_Custom1_Q),F_Custom1_V="(All)",F_Custom1_V="",ISBLANK(F_Custom1_V)),1,IFERROR(IF(ISNUMBER(SEARCH("|"&amp;INDEX(INDIRECT(F_Custom1_resolved_column),69)&amp;"|",F_Custom1_wrapped)),1,0),0))</f>
        <v>1</v>
      </c>
      <c r="E70">
        <f>IF(OR(F_Custom2_Q="(None)",F_Custom2_Q="",ISBLANK(F_Custom2_Q),F_Custom2_V="(All)",F_Custom2_V="",ISBLANK(F_Custom2_V)),1,IFERROR(IF(ISNUMBER(SEARCH("|"&amp;INDEX(INDIRECT(F_Custom2_resolved_column),69)&amp;"|",F_Custom2_wrapped)),1,0),0))</f>
        <v>1</v>
      </c>
      <c r="F70">
        <f>D70*E70*1</f>
        <v>1</v>
      </c>
      <c r="G70">
        <f>1</f>
        <v>1</v>
      </c>
      <c r="H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69)&amp;"|",All_Questions_Q_STREAM_F_wrapped)),1,0),0))*1</f>
        <v>1</v>
      </c>
    </row>
    <row r="71">
      <c r="A71" t="n">
        <v>70</v>
      </c>
      <c r="B71" t="inlineStr">
        <is>
          <t>B</t>
        </is>
      </c>
      <c r="C71">
        <f>1</f>
        <v>1</v>
      </c>
      <c r="D71">
        <f>IF(OR(F_Custom1_Q="(None)",F_Custom1_Q="",ISBLANK(F_Custom1_Q),F_Custom1_V="(All)",F_Custom1_V="",ISBLANK(F_Custom1_V)),1,IFERROR(IF(ISNUMBER(SEARCH("|"&amp;INDEX(INDIRECT(F_Custom1_resolved_column),70)&amp;"|",F_Custom1_wrapped)),1,0),0))</f>
        <v>1</v>
      </c>
      <c r="E71">
        <f>IF(OR(F_Custom2_Q="(None)",F_Custom2_Q="",ISBLANK(F_Custom2_Q),F_Custom2_V="(All)",F_Custom2_V="",ISBLANK(F_Custom2_V)),1,IFERROR(IF(ISNUMBER(SEARCH("|"&amp;INDEX(INDIRECT(F_Custom2_resolved_column),70)&amp;"|",F_Custom2_wrapped)),1,0),0))</f>
        <v>1</v>
      </c>
      <c r="F71">
        <f>D71*E71*1</f>
        <v>1</v>
      </c>
      <c r="G71">
        <f>1</f>
        <v>1</v>
      </c>
      <c r="H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70)&amp;"|",All_Questions_Q_STREAM_F_wrapped)),1,0),0))*1</f>
        <v>1</v>
      </c>
    </row>
    <row r="72">
      <c r="A72" t="n">
        <v>71</v>
      </c>
      <c r="B72" t="inlineStr">
        <is>
          <t>A</t>
        </is>
      </c>
      <c r="C72">
        <f>1</f>
        <v>1</v>
      </c>
      <c r="D72">
        <f>IF(OR(F_Custom1_Q="(None)",F_Custom1_Q="",ISBLANK(F_Custom1_Q),F_Custom1_V="(All)",F_Custom1_V="",ISBLANK(F_Custom1_V)),1,IFERROR(IF(ISNUMBER(SEARCH("|"&amp;INDEX(INDIRECT(F_Custom1_resolved_column),71)&amp;"|",F_Custom1_wrapped)),1,0),0))</f>
        <v>1</v>
      </c>
      <c r="E72">
        <f>IF(OR(F_Custom2_Q="(None)",F_Custom2_Q="",ISBLANK(F_Custom2_Q),F_Custom2_V="(All)",F_Custom2_V="",ISBLANK(F_Custom2_V)),1,IFERROR(IF(ISNUMBER(SEARCH("|"&amp;INDEX(INDIRECT(F_Custom2_resolved_column),71)&amp;"|",F_Custom2_wrapped)),1,0),0))</f>
        <v>1</v>
      </c>
      <c r="F72">
        <f>D72*E72*1</f>
        <v>1</v>
      </c>
      <c r="G72">
        <f>1</f>
        <v>1</v>
      </c>
      <c r="H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71)&amp;"|",All_Questions_Q_STREAM_F_wrapped)),1,0),0))*1</f>
        <v>1</v>
      </c>
    </row>
    <row r="73">
      <c r="A73" t="n">
        <v>72</v>
      </c>
      <c r="B73" t="inlineStr">
        <is>
          <t>B</t>
        </is>
      </c>
      <c r="C73">
        <f>1</f>
        <v>1</v>
      </c>
      <c r="D73">
        <f>IF(OR(F_Custom1_Q="(None)",F_Custom1_Q="",ISBLANK(F_Custom1_Q),F_Custom1_V="(All)",F_Custom1_V="",ISBLANK(F_Custom1_V)),1,IFERROR(IF(ISNUMBER(SEARCH("|"&amp;INDEX(INDIRECT(F_Custom1_resolved_column),72)&amp;"|",F_Custom1_wrapped)),1,0),0))</f>
        <v>1</v>
      </c>
      <c r="E73">
        <f>IF(OR(F_Custom2_Q="(None)",F_Custom2_Q="",ISBLANK(F_Custom2_Q),F_Custom2_V="(All)",F_Custom2_V="",ISBLANK(F_Custom2_V)),1,IFERROR(IF(ISNUMBER(SEARCH("|"&amp;INDEX(INDIRECT(F_Custom2_resolved_column),72)&amp;"|",F_Custom2_wrapped)),1,0),0))</f>
        <v>1</v>
      </c>
      <c r="F73">
        <f>D73*E73*1</f>
        <v>1</v>
      </c>
      <c r="G73">
        <f>1</f>
        <v>1</v>
      </c>
      <c r="H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72)&amp;"|",All_Questions_Q_STREAM_F_wrapped)),1,0),0))*1</f>
        <v>1</v>
      </c>
    </row>
    <row r="74">
      <c r="A74" t="n">
        <v>73</v>
      </c>
      <c r="B74" t="inlineStr">
        <is>
          <t>A</t>
        </is>
      </c>
      <c r="C74">
        <f>1</f>
        <v>1</v>
      </c>
      <c r="D74">
        <f>IF(OR(F_Custom1_Q="(None)",F_Custom1_Q="",ISBLANK(F_Custom1_Q),F_Custom1_V="(All)",F_Custom1_V="",ISBLANK(F_Custom1_V)),1,IFERROR(IF(ISNUMBER(SEARCH("|"&amp;INDEX(INDIRECT(F_Custom1_resolved_column),73)&amp;"|",F_Custom1_wrapped)),1,0),0))</f>
        <v>1</v>
      </c>
      <c r="E74">
        <f>IF(OR(F_Custom2_Q="(None)",F_Custom2_Q="",ISBLANK(F_Custom2_Q),F_Custom2_V="(All)",F_Custom2_V="",ISBLANK(F_Custom2_V)),1,IFERROR(IF(ISNUMBER(SEARCH("|"&amp;INDEX(INDIRECT(F_Custom2_resolved_column),73)&amp;"|",F_Custom2_wrapped)),1,0),0))</f>
        <v>1</v>
      </c>
      <c r="F74">
        <f>D74*E74*1</f>
        <v>1</v>
      </c>
      <c r="G74">
        <f>1</f>
        <v>1</v>
      </c>
      <c r="H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73)&amp;"|",All_Questions_Q_STREAM_F_wrapped)),1,0),0))*1</f>
        <v>1</v>
      </c>
    </row>
    <row r="75">
      <c r="A75" t="n">
        <v>74</v>
      </c>
      <c r="B75" t="inlineStr">
        <is>
          <t>B</t>
        </is>
      </c>
      <c r="C75">
        <f>1</f>
        <v>1</v>
      </c>
      <c r="D75">
        <f>IF(OR(F_Custom1_Q="(None)",F_Custom1_Q="",ISBLANK(F_Custom1_Q),F_Custom1_V="(All)",F_Custom1_V="",ISBLANK(F_Custom1_V)),1,IFERROR(IF(ISNUMBER(SEARCH("|"&amp;INDEX(INDIRECT(F_Custom1_resolved_column),74)&amp;"|",F_Custom1_wrapped)),1,0),0))</f>
        <v>1</v>
      </c>
      <c r="E75">
        <f>IF(OR(F_Custom2_Q="(None)",F_Custom2_Q="",ISBLANK(F_Custom2_Q),F_Custom2_V="(All)",F_Custom2_V="",ISBLANK(F_Custom2_V)),1,IFERROR(IF(ISNUMBER(SEARCH("|"&amp;INDEX(INDIRECT(F_Custom2_resolved_column),74)&amp;"|",F_Custom2_wrapped)),1,0),0))</f>
        <v>1</v>
      </c>
      <c r="F75">
        <f>D75*E75*1</f>
        <v>1</v>
      </c>
      <c r="G75">
        <f>1</f>
        <v>1</v>
      </c>
      <c r="H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74)&amp;"|",All_Questions_Q_STREAM_F_wrapped)),1,0),0))*1</f>
        <v>1</v>
      </c>
    </row>
    <row r="76">
      <c r="A76" t="n">
        <v>75</v>
      </c>
      <c r="B76" t="inlineStr">
        <is>
          <t>A</t>
        </is>
      </c>
      <c r="C76">
        <f>1</f>
        <v>1</v>
      </c>
      <c r="D76">
        <f>IF(OR(F_Custom1_Q="(None)",F_Custom1_Q="",ISBLANK(F_Custom1_Q),F_Custom1_V="(All)",F_Custom1_V="",ISBLANK(F_Custom1_V)),1,IFERROR(IF(ISNUMBER(SEARCH("|"&amp;INDEX(INDIRECT(F_Custom1_resolved_column),75)&amp;"|",F_Custom1_wrapped)),1,0),0))</f>
        <v>1</v>
      </c>
      <c r="E76">
        <f>IF(OR(F_Custom2_Q="(None)",F_Custom2_Q="",ISBLANK(F_Custom2_Q),F_Custom2_V="(All)",F_Custom2_V="",ISBLANK(F_Custom2_V)),1,IFERROR(IF(ISNUMBER(SEARCH("|"&amp;INDEX(INDIRECT(F_Custom2_resolved_column),75)&amp;"|",F_Custom2_wrapped)),1,0),0))</f>
        <v>1</v>
      </c>
      <c r="F76">
        <f>D76*E76*1</f>
        <v>1</v>
      </c>
      <c r="G76">
        <f>1</f>
        <v>1</v>
      </c>
      <c r="H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75)&amp;"|",All_Questions_Q_STREAM_F_wrapped)),1,0),0))*1</f>
        <v>1</v>
      </c>
    </row>
    <row r="77">
      <c r="A77" t="n">
        <v>76</v>
      </c>
      <c r="B77" t="inlineStr">
        <is>
          <t>B</t>
        </is>
      </c>
      <c r="C77">
        <f>1</f>
        <v>1</v>
      </c>
      <c r="D77">
        <f>IF(OR(F_Custom1_Q="(None)",F_Custom1_Q="",ISBLANK(F_Custom1_Q),F_Custom1_V="(All)",F_Custom1_V="",ISBLANK(F_Custom1_V)),1,IFERROR(IF(ISNUMBER(SEARCH("|"&amp;INDEX(INDIRECT(F_Custom1_resolved_column),76)&amp;"|",F_Custom1_wrapped)),1,0),0))</f>
        <v>1</v>
      </c>
      <c r="E77">
        <f>IF(OR(F_Custom2_Q="(None)",F_Custom2_Q="",ISBLANK(F_Custom2_Q),F_Custom2_V="(All)",F_Custom2_V="",ISBLANK(F_Custom2_V)),1,IFERROR(IF(ISNUMBER(SEARCH("|"&amp;INDEX(INDIRECT(F_Custom2_resolved_column),76)&amp;"|",F_Custom2_wrapped)),1,0),0))</f>
        <v>1</v>
      </c>
      <c r="F77">
        <f>D77*E77*1</f>
        <v>1</v>
      </c>
      <c r="G77">
        <f>1</f>
        <v>1</v>
      </c>
      <c r="H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76)&amp;"|",All_Questions_Q_STREAM_F_wrapped)),1,0),0))*1</f>
        <v>1</v>
      </c>
    </row>
    <row r="78">
      <c r="A78" t="n">
        <v>77</v>
      </c>
      <c r="B78" t="inlineStr">
        <is>
          <t>A</t>
        </is>
      </c>
      <c r="C78">
        <f>1</f>
        <v>1</v>
      </c>
      <c r="D78">
        <f>IF(OR(F_Custom1_Q="(None)",F_Custom1_Q="",ISBLANK(F_Custom1_Q),F_Custom1_V="(All)",F_Custom1_V="",ISBLANK(F_Custom1_V)),1,IFERROR(IF(ISNUMBER(SEARCH("|"&amp;INDEX(INDIRECT(F_Custom1_resolved_column),77)&amp;"|",F_Custom1_wrapped)),1,0),0))</f>
        <v>1</v>
      </c>
      <c r="E78">
        <f>IF(OR(F_Custom2_Q="(None)",F_Custom2_Q="",ISBLANK(F_Custom2_Q),F_Custom2_V="(All)",F_Custom2_V="",ISBLANK(F_Custom2_V)),1,IFERROR(IF(ISNUMBER(SEARCH("|"&amp;INDEX(INDIRECT(F_Custom2_resolved_column),77)&amp;"|",F_Custom2_wrapped)),1,0),0))</f>
        <v>1</v>
      </c>
      <c r="F78">
        <f>D78*E78*1</f>
        <v>1</v>
      </c>
      <c r="G78">
        <f>1</f>
        <v>1</v>
      </c>
      <c r="H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77)&amp;"|",All_Questions_Q_STREAM_F_wrapped)),1,0),0))*1</f>
        <v>1</v>
      </c>
    </row>
    <row r="79">
      <c r="A79" t="n">
        <v>78</v>
      </c>
      <c r="B79" t="inlineStr">
        <is>
          <t>B</t>
        </is>
      </c>
      <c r="C79">
        <f>1</f>
        <v>1</v>
      </c>
      <c r="D79">
        <f>IF(OR(F_Custom1_Q="(None)",F_Custom1_Q="",ISBLANK(F_Custom1_Q),F_Custom1_V="(All)",F_Custom1_V="",ISBLANK(F_Custom1_V)),1,IFERROR(IF(ISNUMBER(SEARCH("|"&amp;INDEX(INDIRECT(F_Custom1_resolved_column),78)&amp;"|",F_Custom1_wrapped)),1,0),0))</f>
        <v>1</v>
      </c>
      <c r="E79">
        <f>IF(OR(F_Custom2_Q="(None)",F_Custom2_Q="",ISBLANK(F_Custom2_Q),F_Custom2_V="(All)",F_Custom2_V="",ISBLANK(F_Custom2_V)),1,IFERROR(IF(ISNUMBER(SEARCH("|"&amp;INDEX(INDIRECT(F_Custom2_resolved_column),78)&amp;"|",F_Custom2_wrapped)),1,0),0))</f>
        <v>1</v>
      </c>
      <c r="F79">
        <f>D79*E79*1</f>
        <v>1</v>
      </c>
      <c r="G79">
        <f>1</f>
        <v>1</v>
      </c>
      <c r="H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78)&amp;"|",All_Questions_Q_STREAM_F_wrapped)),1,0),0))*1</f>
        <v>1</v>
      </c>
    </row>
    <row r="80">
      <c r="A80" t="n">
        <v>79</v>
      </c>
      <c r="B80" t="inlineStr">
        <is>
          <t>A</t>
        </is>
      </c>
      <c r="C80">
        <f>1</f>
        <v>1</v>
      </c>
      <c r="D80">
        <f>IF(OR(F_Custom1_Q="(None)",F_Custom1_Q="",ISBLANK(F_Custom1_Q),F_Custom1_V="(All)",F_Custom1_V="",ISBLANK(F_Custom1_V)),1,IFERROR(IF(ISNUMBER(SEARCH("|"&amp;INDEX(INDIRECT(F_Custom1_resolved_column),79)&amp;"|",F_Custom1_wrapped)),1,0),0))</f>
        <v>1</v>
      </c>
      <c r="E80">
        <f>IF(OR(F_Custom2_Q="(None)",F_Custom2_Q="",ISBLANK(F_Custom2_Q),F_Custom2_V="(All)",F_Custom2_V="",ISBLANK(F_Custom2_V)),1,IFERROR(IF(ISNUMBER(SEARCH("|"&amp;INDEX(INDIRECT(F_Custom2_resolved_column),79)&amp;"|",F_Custom2_wrapped)),1,0),0))</f>
        <v>1</v>
      </c>
      <c r="F80">
        <f>D80*E80*1</f>
        <v>1</v>
      </c>
      <c r="G80">
        <f>1</f>
        <v>1</v>
      </c>
      <c r="H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79)&amp;"|",All_Questions_Q_STREAM_F_wrapped)),1,0),0))*1</f>
        <v>1</v>
      </c>
    </row>
    <row r="81">
      <c r="A81" t="n">
        <v>80</v>
      </c>
      <c r="B81" t="inlineStr">
        <is>
          <t>B</t>
        </is>
      </c>
      <c r="C81">
        <f>1</f>
        <v>1</v>
      </c>
      <c r="D81">
        <f>IF(OR(F_Custom1_Q="(None)",F_Custom1_Q="",ISBLANK(F_Custom1_Q),F_Custom1_V="(All)",F_Custom1_V="",ISBLANK(F_Custom1_V)),1,IFERROR(IF(ISNUMBER(SEARCH("|"&amp;INDEX(INDIRECT(F_Custom1_resolved_column),80)&amp;"|",F_Custom1_wrapped)),1,0),0))</f>
        <v>1</v>
      </c>
      <c r="E81">
        <f>IF(OR(F_Custom2_Q="(None)",F_Custom2_Q="",ISBLANK(F_Custom2_Q),F_Custom2_V="(All)",F_Custom2_V="",ISBLANK(F_Custom2_V)),1,IFERROR(IF(ISNUMBER(SEARCH("|"&amp;INDEX(INDIRECT(F_Custom2_resolved_column),80)&amp;"|",F_Custom2_wrapped)),1,0),0))</f>
        <v>1</v>
      </c>
      <c r="F81">
        <f>D81*E81*1</f>
        <v>1</v>
      </c>
      <c r="G81">
        <f>1</f>
        <v>1</v>
      </c>
      <c r="H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80)&amp;"|",All_Questions_Q_STREAM_F_wrapped)),1,0),0))*1</f>
        <v>1</v>
      </c>
    </row>
    <row r="82">
      <c r="A82" t="n">
        <v>81</v>
      </c>
      <c r="B82" t="inlineStr">
        <is>
          <t>A</t>
        </is>
      </c>
      <c r="C82">
        <f>1</f>
        <v>1</v>
      </c>
      <c r="D82">
        <f>IF(OR(F_Custom1_Q="(None)",F_Custom1_Q="",ISBLANK(F_Custom1_Q),F_Custom1_V="(All)",F_Custom1_V="",ISBLANK(F_Custom1_V)),1,IFERROR(IF(ISNUMBER(SEARCH("|"&amp;INDEX(INDIRECT(F_Custom1_resolved_column),81)&amp;"|",F_Custom1_wrapped)),1,0),0))</f>
        <v>1</v>
      </c>
      <c r="E82">
        <f>IF(OR(F_Custom2_Q="(None)",F_Custom2_Q="",ISBLANK(F_Custom2_Q),F_Custom2_V="(All)",F_Custom2_V="",ISBLANK(F_Custom2_V)),1,IFERROR(IF(ISNUMBER(SEARCH("|"&amp;INDEX(INDIRECT(F_Custom2_resolved_column),81)&amp;"|",F_Custom2_wrapped)),1,0),0))</f>
        <v>1</v>
      </c>
      <c r="F82">
        <f>D82*E82*1</f>
        <v>1</v>
      </c>
      <c r="G82">
        <f>1</f>
        <v>1</v>
      </c>
      <c r="H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81)&amp;"|",All_Questions_Q_STREAM_F_wrapped)),1,0),0))*1</f>
        <v>1</v>
      </c>
    </row>
    <row r="83">
      <c r="A83" t="n">
        <v>82</v>
      </c>
      <c r="B83" t="inlineStr">
        <is>
          <t>B</t>
        </is>
      </c>
      <c r="C83">
        <f>1</f>
        <v>1</v>
      </c>
      <c r="D83">
        <f>IF(OR(F_Custom1_Q="(None)",F_Custom1_Q="",ISBLANK(F_Custom1_Q),F_Custom1_V="(All)",F_Custom1_V="",ISBLANK(F_Custom1_V)),1,IFERROR(IF(ISNUMBER(SEARCH("|"&amp;INDEX(INDIRECT(F_Custom1_resolved_column),82)&amp;"|",F_Custom1_wrapped)),1,0),0))</f>
        <v>1</v>
      </c>
      <c r="E83">
        <f>IF(OR(F_Custom2_Q="(None)",F_Custom2_Q="",ISBLANK(F_Custom2_Q),F_Custom2_V="(All)",F_Custom2_V="",ISBLANK(F_Custom2_V)),1,IFERROR(IF(ISNUMBER(SEARCH("|"&amp;INDEX(INDIRECT(F_Custom2_resolved_column),82)&amp;"|",F_Custom2_wrapped)),1,0),0))</f>
        <v>1</v>
      </c>
      <c r="F83">
        <f>D83*E83*1</f>
        <v>1</v>
      </c>
      <c r="G83">
        <f>1</f>
        <v>1</v>
      </c>
      <c r="H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82)&amp;"|",All_Questions_Q_STREAM_F_wrapped)),1,0),0))*1</f>
        <v>1</v>
      </c>
    </row>
    <row r="84">
      <c r="A84" t="n">
        <v>83</v>
      </c>
      <c r="B84" t="inlineStr">
        <is>
          <t>A</t>
        </is>
      </c>
      <c r="C84">
        <f>1</f>
        <v>1</v>
      </c>
      <c r="D84">
        <f>IF(OR(F_Custom1_Q="(None)",F_Custom1_Q="",ISBLANK(F_Custom1_Q),F_Custom1_V="(All)",F_Custom1_V="",ISBLANK(F_Custom1_V)),1,IFERROR(IF(ISNUMBER(SEARCH("|"&amp;INDEX(INDIRECT(F_Custom1_resolved_column),83)&amp;"|",F_Custom1_wrapped)),1,0),0))</f>
        <v>1</v>
      </c>
      <c r="E84">
        <f>IF(OR(F_Custom2_Q="(None)",F_Custom2_Q="",ISBLANK(F_Custom2_Q),F_Custom2_V="(All)",F_Custom2_V="",ISBLANK(F_Custom2_V)),1,IFERROR(IF(ISNUMBER(SEARCH("|"&amp;INDEX(INDIRECT(F_Custom2_resolved_column),83)&amp;"|",F_Custom2_wrapped)),1,0),0))</f>
        <v>1</v>
      </c>
      <c r="F84">
        <f>D84*E84*1</f>
        <v>1</v>
      </c>
      <c r="G84">
        <f>1</f>
        <v>1</v>
      </c>
      <c r="H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83)&amp;"|",All_Questions_Q_STREAM_F_wrapped)),1,0),0))*1</f>
        <v>1</v>
      </c>
    </row>
    <row r="85">
      <c r="A85" t="n">
        <v>84</v>
      </c>
      <c r="B85" t="inlineStr">
        <is>
          <t>B</t>
        </is>
      </c>
      <c r="C85">
        <f>1</f>
        <v>1</v>
      </c>
      <c r="D85">
        <f>IF(OR(F_Custom1_Q="(None)",F_Custom1_Q="",ISBLANK(F_Custom1_Q),F_Custom1_V="(All)",F_Custom1_V="",ISBLANK(F_Custom1_V)),1,IFERROR(IF(ISNUMBER(SEARCH("|"&amp;INDEX(INDIRECT(F_Custom1_resolved_column),84)&amp;"|",F_Custom1_wrapped)),1,0),0))</f>
        <v>1</v>
      </c>
      <c r="E85">
        <f>IF(OR(F_Custom2_Q="(None)",F_Custom2_Q="",ISBLANK(F_Custom2_Q),F_Custom2_V="(All)",F_Custom2_V="",ISBLANK(F_Custom2_V)),1,IFERROR(IF(ISNUMBER(SEARCH("|"&amp;INDEX(INDIRECT(F_Custom2_resolved_column),84)&amp;"|",F_Custom2_wrapped)),1,0),0))</f>
        <v>1</v>
      </c>
      <c r="F85">
        <f>D85*E85*1</f>
        <v>1</v>
      </c>
      <c r="G85">
        <f>1</f>
        <v>1</v>
      </c>
      <c r="H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84)&amp;"|",All_Questions_Q_STREAM_F_wrapped)),1,0),0))*1</f>
        <v>1</v>
      </c>
    </row>
    <row r="86">
      <c r="A86" t="n">
        <v>85</v>
      </c>
      <c r="B86" t="inlineStr">
        <is>
          <t>A</t>
        </is>
      </c>
      <c r="C86">
        <f>1</f>
        <v>1</v>
      </c>
      <c r="D86">
        <f>IF(OR(F_Custom1_Q="(None)",F_Custom1_Q="",ISBLANK(F_Custom1_Q),F_Custom1_V="(All)",F_Custom1_V="",ISBLANK(F_Custom1_V)),1,IFERROR(IF(ISNUMBER(SEARCH("|"&amp;INDEX(INDIRECT(F_Custom1_resolved_column),85)&amp;"|",F_Custom1_wrapped)),1,0),0))</f>
        <v>1</v>
      </c>
      <c r="E86">
        <f>IF(OR(F_Custom2_Q="(None)",F_Custom2_Q="",ISBLANK(F_Custom2_Q),F_Custom2_V="(All)",F_Custom2_V="",ISBLANK(F_Custom2_V)),1,IFERROR(IF(ISNUMBER(SEARCH("|"&amp;INDEX(INDIRECT(F_Custom2_resolved_column),85)&amp;"|",F_Custom2_wrapped)),1,0),0))</f>
        <v>1</v>
      </c>
      <c r="F86">
        <f>D86*E86*1</f>
        <v>1</v>
      </c>
      <c r="G86">
        <f>1</f>
        <v>1</v>
      </c>
      <c r="H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85)&amp;"|",All_Questions_Q_STREAM_F_wrapped)),1,0),0))*1</f>
        <v>1</v>
      </c>
    </row>
    <row r="87">
      <c r="A87" t="n">
        <v>86</v>
      </c>
      <c r="B87" t="inlineStr">
        <is>
          <t>B</t>
        </is>
      </c>
      <c r="C87">
        <f>1</f>
        <v>1</v>
      </c>
      <c r="D87">
        <f>IF(OR(F_Custom1_Q="(None)",F_Custom1_Q="",ISBLANK(F_Custom1_Q),F_Custom1_V="(All)",F_Custom1_V="",ISBLANK(F_Custom1_V)),1,IFERROR(IF(ISNUMBER(SEARCH("|"&amp;INDEX(INDIRECT(F_Custom1_resolved_column),86)&amp;"|",F_Custom1_wrapped)),1,0),0))</f>
        <v>1</v>
      </c>
      <c r="E87">
        <f>IF(OR(F_Custom2_Q="(None)",F_Custom2_Q="",ISBLANK(F_Custom2_Q),F_Custom2_V="(All)",F_Custom2_V="",ISBLANK(F_Custom2_V)),1,IFERROR(IF(ISNUMBER(SEARCH("|"&amp;INDEX(INDIRECT(F_Custom2_resolved_column),86)&amp;"|",F_Custom2_wrapped)),1,0),0))</f>
        <v>1</v>
      </c>
      <c r="F87">
        <f>D87*E87*1</f>
        <v>1</v>
      </c>
      <c r="G87">
        <f>1</f>
        <v>1</v>
      </c>
      <c r="H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86)&amp;"|",All_Questions_Q_STREAM_F_wrapped)),1,0),0))*1</f>
        <v>1</v>
      </c>
    </row>
    <row r="88">
      <c r="A88" t="n">
        <v>87</v>
      </c>
      <c r="B88" t="inlineStr">
        <is>
          <t>A</t>
        </is>
      </c>
      <c r="C88">
        <f>1</f>
        <v>1</v>
      </c>
      <c r="D88">
        <f>IF(OR(F_Custom1_Q="(None)",F_Custom1_Q="",ISBLANK(F_Custom1_Q),F_Custom1_V="(All)",F_Custom1_V="",ISBLANK(F_Custom1_V)),1,IFERROR(IF(ISNUMBER(SEARCH("|"&amp;INDEX(INDIRECT(F_Custom1_resolved_column),87)&amp;"|",F_Custom1_wrapped)),1,0),0))</f>
        <v>1</v>
      </c>
      <c r="E88">
        <f>IF(OR(F_Custom2_Q="(None)",F_Custom2_Q="",ISBLANK(F_Custom2_Q),F_Custom2_V="(All)",F_Custom2_V="",ISBLANK(F_Custom2_V)),1,IFERROR(IF(ISNUMBER(SEARCH("|"&amp;INDEX(INDIRECT(F_Custom2_resolved_column),87)&amp;"|",F_Custom2_wrapped)),1,0),0))</f>
        <v>1</v>
      </c>
      <c r="F88">
        <f>D88*E88*1</f>
        <v>1</v>
      </c>
      <c r="G88">
        <f>1</f>
        <v>1</v>
      </c>
      <c r="H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87)&amp;"|",All_Questions_Q_STREAM_F_wrapped)),1,0),0))*1</f>
        <v>1</v>
      </c>
    </row>
    <row r="89">
      <c r="A89" t="n">
        <v>88</v>
      </c>
      <c r="B89" t="inlineStr">
        <is>
          <t>B</t>
        </is>
      </c>
      <c r="C89">
        <f>1</f>
        <v>1</v>
      </c>
      <c r="D89">
        <f>IF(OR(F_Custom1_Q="(None)",F_Custom1_Q="",ISBLANK(F_Custom1_Q),F_Custom1_V="(All)",F_Custom1_V="",ISBLANK(F_Custom1_V)),1,IFERROR(IF(ISNUMBER(SEARCH("|"&amp;INDEX(INDIRECT(F_Custom1_resolved_column),88)&amp;"|",F_Custom1_wrapped)),1,0),0))</f>
        <v>1</v>
      </c>
      <c r="E89">
        <f>IF(OR(F_Custom2_Q="(None)",F_Custom2_Q="",ISBLANK(F_Custom2_Q),F_Custom2_V="(All)",F_Custom2_V="",ISBLANK(F_Custom2_V)),1,IFERROR(IF(ISNUMBER(SEARCH("|"&amp;INDEX(INDIRECT(F_Custom2_resolved_column),88)&amp;"|",F_Custom2_wrapped)),1,0),0))</f>
        <v>1</v>
      </c>
      <c r="F89">
        <f>D89*E89*1</f>
        <v>1</v>
      </c>
      <c r="G89">
        <f>1</f>
        <v>1</v>
      </c>
      <c r="H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88)&amp;"|",All_Questions_Q_STREAM_F_wrapped)),1,0),0))*1</f>
        <v>1</v>
      </c>
    </row>
    <row r="90">
      <c r="A90" t="n">
        <v>89</v>
      </c>
      <c r="B90" t="inlineStr">
        <is>
          <t>A</t>
        </is>
      </c>
      <c r="C90">
        <f>1</f>
        <v>1</v>
      </c>
      <c r="D90">
        <f>IF(OR(F_Custom1_Q="(None)",F_Custom1_Q="",ISBLANK(F_Custom1_Q),F_Custom1_V="(All)",F_Custom1_V="",ISBLANK(F_Custom1_V)),1,IFERROR(IF(ISNUMBER(SEARCH("|"&amp;INDEX(INDIRECT(F_Custom1_resolved_column),89)&amp;"|",F_Custom1_wrapped)),1,0),0))</f>
        <v>1</v>
      </c>
      <c r="E90">
        <f>IF(OR(F_Custom2_Q="(None)",F_Custom2_Q="",ISBLANK(F_Custom2_Q),F_Custom2_V="(All)",F_Custom2_V="",ISBLANK(F_Custom2_V)),1,IFERROR(IF(ISNUMBER(SEARCH("|"&amp;INDEX(INDIRECT(F_Custom2_resolved_column),89)&amp;"|",F_Custom2_wrapped)),1,0),0))</f>
        <v>1</v>
      </c>
      <c r="F90">
        <f>D90*E90*1</f>
        <v>1</v>
      </c>
      <c r="G90">
        <f>1</f>
        <v>1</v>
      </c>
      <c r="H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89)&amp;"|",All_Questions_Q_STREAM_F_wrapped)),1,0),0))*1</f>
        <v>1</v>
      </c>
    </row>
    <row r="91">
      <c r="A91" t="n">
        <v>90</v>
      </c>
      <c r="B91" t="inlineStr">
        <is>
          <t>B</t>
        </is>
      </c>
      <c r="C91">
        <f>1</f>
        <v>1</v>
      </c>
      <c r="D91">
        <f>IF(OR(F_Custom1_Q="(None)",F_Custom1_Q="",ISBLANK(F_Custom1_Q),F_Custom1_V="(All)",F_Custom1_V="",ISBLANK(F_Custom1_V)),1,IFERROR(IF(ISNUMBER(SEARCH("|"&amp;INDEX(INDIRECT(F_Custom1_resolved_column),90)&amp;"|",F_Custom1_wrapped)),1,0),0))</f>
        <v>1</v>
      </c>
      <c r="E91">
        <f>IF(OR(F_Custom2_Q="(None)",F_Custom2_Q="",ISBLANK(F_Custom2_Q),F_Custom2_V="(All)",F_Custom2_V="",ISBLANK(F_Custom2_V)),1,IFERROR(IF(ISNUMBER(SEARCH("|"&amp;INDEX(INDIRECT(F_Custom2_resolved_column),90)&amp;"|",F_Custom2_wrapped)),1,0),0))</f>
        <v>1</v>
      </c>
      <c r="F91">
        <f>D91*E91*1</f>
        <v>1</v>
      </c>
      <c r="G91">
        <f>1</f>
        <v>1</v>
      </c>
      <c r="H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90)&amp;"|",All_Questions_Q_STREAM_F_wrapped)),1,0),0))*1</f>
        <v>1</v>
      </c>
    </row>
    <row r="92">
      <c r="A92" t="n">
        <v>91</v>
      </c>
      <c r="B92" t="inlineStr">
        <is>
          <t>A</t>
        </is>
      </c>
      <c r="C92">
        <f>1</f>
        <v>1</v>
      </c>
      <c r="D92">
        <f>IF(OR(F_Custom1_Q="(None)",F_Custom1_Q="",ISBLANK(F_Custom1_Q),F_Custom1_V="(All)",F_Custom1_V="",ISBLANK(F_Custom1_V)),1,IFERROR(IF(ISNUMBER(SEARCH("|"&amp;INDEX(INDIRECT(F_Custom1_resolved_column),91)&amp;"|",F_Custom1_wrapped)),1,0),0))</f>
        <v>1</v>
      </c>
      <c r="E92">
        <f>IF(OR(F_Custom2_Q="(None)",F_Custom2_Q="",ISBLANK(F_Custom2_Q),F_Custom2_V="(All)",F_Custom2_V="",ISBLANK(F_Custom2_V)),1,IFERROR(IF(ISNUMBER(SEARCH("|"&amp;INDEX(INDIRECT(F_Custom2_resolved_column),91)&amp;"|",F_Custom2_wrapped)),1,0),0))</f>
        <v>1</v>
      </c>
      <c r="F92">
        <f>D92*E92*1</f>
        <v>1</v>
      </c>
      <c r="G92">
        <f>1</f>
        <v>1</v>
      </c>
      <c r="H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91)&amp;"|",All_Questions_Q_STREAM_F_wrapped)),1,0),0))*1</f>
        <v>1</v>
      </c>
    </row>
    <row r="93">
      <c r="A93" t="n">
        <v>92</v>
      </c>
      <c r="B93" t="inlineStr">
        <is>
          <t>B</t>
        </is>
      </c>
      <c r="C93">
        <f>1</f>
        <v>1</v>
      </c>
      <c r="D93">
        <f>IF(OR(F_Custom1_Q="(None)",F_Custom1_Q="",ISBLANK(F_Custom1_Q),F_Custom1_V="(All)",F_Custom1_V="",ISBLANK(F_Custom1_V)),1,IFERROR(IF(ISNUMBER(SEARCH("|"&amp;INDEX(INDIRECT(F_Custom1_resolved_column),92)&amp;"|",F_Custom1_wrapped)),1,0),0))</f>
        <v>1</v>
      </c>
      <c r="E93">
        <f>IF(OR(F_Custom2_Q="(None)",F_Custom2_Q="",ISBLANK(F_Custom2_Q),F_Custom2_V="(All)",F_Custom2_V="",ISBLANK(F_Custom2_V)),1,IFERROR(IF(ISNUMBER(SEARCH("|"&amp;INDEX(INDIRECT(F_Custom2_resolved_column),92)&amp;"|",F_Custom2_wrapped)),1,0),0))</f>
        <v>1</v>
      </c>
      <c r="F93">
        <f>D93*E93*1</f>
        <v>1</v>
      </c>
      <c r="G93">
        <f>1</f>
        <v>1</v>
      </c>
      <c r="H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92)&amp;"|",All_Questions_Q_STREAM_F_wrapped)),1,0),0))*1</f>
        <v>1</v>
      </c>
    </row>
    <row r="94">
      <c r="A94" t="n">
        <v>93</v>
      </c>
      <c r="B94" t="inlineStr">
        <is>
          <t>A</t>
        </is>
      </c>
      <c r="C94">
        <f>1</f>
        <v>1</v>
      </c>
      <c r="D94">
        <f>IF(OR(F_Custom1_Q="(None)",F_Custom1_Q="",ISBLANK(F_Custom1_Q),F_Custom1_V="(All)",F_Custom1_V="",ISBLANK(F_Custom1_V)),1,IFERROR(IF(ISNUMBER(SEARCH("|"&amp;INDEX(INDIRECT(F_Custom1_resolved_column),93)&amp;"|",F_Custom1_wrapped)),1,0),0))</f>
        <v>1</v>
      </c>
      <c r="E94">
        <f>IF(OR(F_Custom2_Q="(None)",F_Custom2_Q="",ISBLANK(F_Custom2_Q),F_Custom2_V="(All)",F_Custom2_V="",ISBLANK(F_Custom2_V)),1,IFERROR(IF(ISNUMBER(SEARCH("|"&amp;INDEX(INDIRECT(F_Custom2_resolved_column),93)&amp;"|",F_Custom2_wrapped)),1,0),0))</f>
        <v>1</v>
      </c>
      <c r="F94">
        <f>D94*E94*1</f>
        <v>1</v>
      </c>
      <c r="G94">
        <f>1</f>
        <v>1</v>
      </c>
      <c r="H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93)&amp;"|",All_Questions_Q_STREAM_F_wrapped)),1,0),0))*1</f>
        <v>1</v>
      </c>
    </row>
    <row r="95">
      <c r="A95" t="n">
        <v>94</v>
      </c>
      <c r="B95" t="inlineStr">
        <is>
          <t>B</t>
        </is>
      </c>
      <c r="C95">
        <f>1</f>
        <v>1</v>
      </c>
      <c r="D95">
        <f>IF(OR(F_Custom1_Q="(None)",F_Custom1_Q="",ISBLANK(F_Custom1_Q),F_Custom1_V="(All)",F_Custom1_V="",ISBLANK(F_Custom1_V)),1,IFERROR(IF(ISNUMBER(SEARCH("|"&amp;INDEX(INDIRECT(F_Custom1_resolved_column),94)&amp;"|",F_Custom1_wrapped)),1,0),0))</f>
        <v>1</v>
      </c>
      <c r="E95">
        <f>IF(OR(F_Custom2_Q="(None)",F_Custom2_Q="",ISBLANK(F_Custom2_Q),F_Custom2_V="(All)",F_Custom2_V="",ISBLANK(F_Custom2_V)),1,IFERROR(IF(ISNUMBER(SEARCH("|"&amp;INDEX(INDIRECT(F_Custom2_resolved_column),94)&amp;"|",F_Custom2_wrapped)),1,0),0))</f>
        <v>1</v>
      </c>
      <c r="F95">
        <f>D95*E95*1</f>
        <v>1</v>
      </c>
      <c r="G95">
        <f>1</f>
        <v>1</v>
      </c>
      <c r="H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94)&amp;"|",All_Questions_Q_STREAM_F_wrapped)),1,0),0))*1</f>
        <v>1</v>
      </c>
    </row>
    <row r="96">
      <c r="A96" t="n">
        <v>95</v>
      </c>
      <c r="B96" t="inlineStr">
        <is>
          <t>A</t>
        </is>
      </c>
      <c r="C96">
        <f>1</f>
        <v>1</v>
      </c>
      <c r="D96">
        <f>IF(OR(F_Custom1_Q="(None)",F_Custom1_Q="",ISBLANK(F_Custom1_Q),F_Custom1_V="(All)",F_Custom1_V="",ISBLANK(F_Custom1_V)),1,IFERROR(IF(ISNUMBER(SEARCH("|"&amp;INDEX(INDIRECT(F_Custom1_resolved_column),95)&amp;"|",F_Custom1_wrapped)),1,0),0))</f>
        <v>1</v>
      </c>
      <c r="E96">
        <f>IF(OR(F_Custom2_Q="(None)",F_Custom2_Q="",ISBLANK(F_Custom2_Q),F_Custom2_V="(All)",F_Custom2_V="",ISBLANK(F_Custom2_V)),1,IFERROR(IF(ISNUMBER(SEARCH("|"&amp;INDEX(INDIRECT(F_Custom2_resolved_column),95)&amp;"|",F_Custom2_wrapped)),1,0),0))</f>
        <v>1</v>
      </c>
      <c r="F96">
        <f>D96*E96*1</f>
        <v>1</v>
      </c>
      <c r="G96">
        <f>1</f>
        <v>1</v>
      </c>
      <c r="H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95)&amp;"|",All_Questions_Q_STREAM_F_wrapped)),1,0),0))*1</f>
        <v>1</v>
      </c>
    </row>
    <row r="97">
      <c r="A97" t="n">
        <v>96</v>
      </c>
      <c r="B97" t="inlineStr">
        <is>
          <t>B</t>
        </is>
      </c>
      <c r="C97">
        <f>1</f>
        <v>1</v>
      </c>
      <c r="D97">
        <f>IF(OR(F_Custom1_Q="(None)",F_Custom1_Q="",ISBLANK(F_Custom1_Q),F_Custom1_V="(All)",F_Custom1_V="",ISBLANK(F_Custom1_V)),1,IFERROR(IF(ISNUMBER(SEARCH("|"&amp;INDEX(INDIRECT(F_Custom1_resolved_column),96)&amp;"|",F_Custom1_wrapped)),1,0),0))</f>
        <v>1</v>
      </c>
      <c r="E97">
        <f>IF(OR(F_Custom2_Q="(None)",F_Custom2_Q="",ISBLANK(F_Custom2_Q),F_Custom2_V="(All)",F_Custom2_V="",ISBLANK(F_Custom2_V)),1,IFERROR(IF(ISNUMBER(SEARCH("|"&amp;INDEX(INDIRECT(F_Custom2_resolved_column),96)&amp;"|",F_Custom2_wrapped)),1,0),0))</f>
        <v>1</v>
      </c>
      <c r="F97">
        <f>D97*E97*1</f>
        <v>1</v>
      </c>
      <c r="G97">
        <f>1</f>
        <v>1</v>
      </c>
      <c r="H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96)&amp;"|",All_Questions_Q_STREAM_F_wrapped)),1,0),0))*1</f>
        <v>1</v>
      </c>
    </row>
    <row r="98">
      <c r="A98" t="n">
        <v>97</v>
      </c>
      <c r="B98" t="inlineStr">
        <is>
          <t>A</t>
        </is>
      </c>
      <c r="C98">
        <f>1</f>
        <v>1</v>
      </c>
      <c r="D98">
        <f>IF(OR(F_Custom1_Q="(None)",F_Custom1_Q="",ISBLANK(F_Custom1_Q),F_Custom1_V="(All)",F_Custom1_V="",ISBLANK(F_Custom1_V)),1,IFERROR(IF(ISNUMBER(SEARCH("|"&amp;INDEX(INDIRECT(F_Custom1_resolved_column),97)&amp;"|",F_Custom1_wrapped)),1,0),0))</f>
        <v>1</v>
      </c>
      <c r="E98">
        <f>IF(OR(F_Custom2_Q="(None)",F_Custom2_Q="",ISBLANK(F_Custom2_Q),F_Custom2_V="(All)",F_Custom2_V="",ISBLANK(F_Custom2_V)),1,IFERROR(IF(ISNUMBER(SEARCH("|"&amp;INDEX(INDIRECT(F_Custom2_resolved_column),97)&amp;"|",F_Custom2_wrapped)),1,0),0))</f>
        <v>1</v>
      </c>
      <c r="F98">
        <f>D98*E98*1</f>
        <v>1</v>
      </c>
      <c r="G98">
        <f>1</f>
        <v>1</v>
      </c>
      <c r="H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97)&amp;"|",All_Questions_Q_STREAM_F_wrapped)),1,0),0))*1</f>
        <v>1</v>
      </c>
    </row>
    <row r="99">
      <c r="A99" t="n">
        <v>98</v>
      </c>
      <c r="B99" t="inlineStr">
        <is>
          <t>B</t>
        </is>
      </c>
      <c r="C99">
        <f>1</f>
        <v>1</v>
      </c>
      <c r="D99">
        <f>IF(OR(F_Custom1_Q="(None)",F_Custom1_Q="",ISBLANK(F_Custom1_Q),F_Custom1_V="(All)",F_Custom1_V="",ISBLANK(F_Custom1_V)),1,IFERROR(IF(ISNUMBER(SEARCH("|"&amp;INDEX(INDIRECT(F_Custom1_resolved_column),98)&amp;"|",F_Custom1_wrapped)),1,0),0))</f>
        <v>1</v>
      </c>
      <c r="E99">
        <f>IF(OR(F_Custom2_Q="(None)",F_Custom2_Q="",ISBLANK(F_Custom2_Q),F_Custom2_V="(All)",F_Custom2_V="",ISBLANK(F_Custom2_V)),1,IFERROR(IF(ISNUMBER(SEARCH("|"&amp;INDEX(INDIRECT(F_Custom2_resolved_column),98)&amp;"|",F_Custom2_wrapped)),1,0),0))</f>
        <v>1</v>
      </c>
      <c r="F99">
        <f>D99*E99*1</f>
        <v>1</v>
      </c>
      <c r="G99">
        <f>1</f>
        <v>1</v>
      </c>
      <c r="H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98)&amp;"|",All_Questions_Q_STREAM_F_wrapped)),1,0),0))*1</f>
        <v>1</v>
      </c>
    </row>
    <row r="100">
      <c r="A100" t="n">
        <v>99</v>
      </c>
      <c r="B100" t="inlineStr">
        <is>
          <t>A</t>
        </is>
      </c>
      <c r="C100">
        <f>1</f>
        <v>1</v>
      </c>
      <c r="D100">
        <f>IF(OR(F_Custom1_Q="(None)",F_Custom1_Q="",ISBLANK(F_Custom1_Q),F_Custom1_V="(All)",F_Custom1_V="",ISBLANK(F_Custom1_V)),1,IFERROR(IF(ISNUMBER(SEARCH("|"&amp;INDEX(INDIRECT(F_Custom1_resolved_column),99)&amp;"|",F_Custom1_wrapped)),1,0),0))</f>
        <v>1</v>
      </c>
      <c r="E100">
        <f>IF(OR(F_Custom2_Q="(None)",F_Custom2_Q="",ISBLANK(F_Custom2_Q),F_Custom2_V="(All)",F_Custom2_V="",ISBLANK(F_Custom2_V)),1,IFERROR(IF(ISNUMBER(SEARCH("|"&amp;INDEX(INDIRECT(F_Custom2_resolved_column),99)&amp;"|",F_Custom2_wrapped)),1,0),0))</f>
        <v>1</v>
      </c>
      <c r="F100">
        <f>D100*E100*1</f>
        <v>1</v>
      </c>
      <c r="G100">
        <f>1</f>
        <v>1</v>
      </c>
      <c r="H1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99)&amp;"|",All_Questions_Q_STREAM_F_wrapped)),1,0),0))*1</f>
        <v>1</v>
      </c>
    </row>
    <row r="101">
      <c r="A101" t="n">
        <v>100</v>
      </c>
      <c r="B101" t="inlineStr">
        <is>
          <t>B</t>
        </is>
      </c>
      <c r="C101">
        <f>1</f>
        <v>1</v>
      </c>
      <c r="D101">
        <f>IF(OR(F_Custom1_Q="(None)",F_Custom1_Q="",ISBLANK(F_Custom1_Q),F_Custom1_V="(All)",F_Custom1_V="",ISBLANK(F_Custom1_V)),1,IFERROR(IF(ISNUMBER(SEARCH("|"&amp;INDEX(INDIRECT(F_Custom1_resolved_column),100)&amp;"|",F_Custom1_wrapped)),1,0),0))</f>
        <v>1</v>
      </c>
      <c r="E101">
        <f>IF(OR(F_Custom2_Q="(None)",F_Custom2_Q="",ISBLANK(F_Custom2_Q),F_Custom2_V="(All)",F_Custom2_V="",ISBLANK(F_Custom2_V)),1,IFERROR(IF(ISNUMBER(SEARCH("|"&amp;INDEX(INDIRECT(F_Custom2_resolved_column),100)&amp;"|",F_Custom2_wrapped)),1,0),0))</f>
        <v>1</v>
      </c>
      <c r="F101">
        <f>D101*E101*1</f>
        <v>1</v>
      </c>
      <c r="G101">
        <f>1</f>
        <v>1</v>
      </c>
      <c r="H1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100)&amp;"|",All_Questions_Q_STREAM_F_wrapped)),1,0),0))*1</f>
        <v>1</v>
      </c>
    </row>
    <row r="102">
      <c r="A102" t="n">
        <v>101</v>
      </c>
      <c r="B102" t="inlineStr">
        <is>
          <t>A</t>
        </is>
      </c>
      <c r="C102">
        <f>1</f>
        <v>1</v>
      </c>
      <c r="D102">
        <f>IF(OR(F_Custom1_Q="(None)",F_Custom1_Q="",ISBLANK(F_Custom1_Q),F_Custom1_V="(All)",F_Custom1_V="",ISBLANK(F_Custom1_V)),1,IFERROR(IF(ISNUMBER(SEARCH("|"&amp;INDEX(INDIRECT(F_Custom1_resolved_column),101)&amp;"|",F_Custom1_wrapped)),1,0),0))</f>
        <v>1</v>
      </c>
      <c r="E102">
        <f>IF(OR(F_Custom2_Q="(None)",F_Custom2_Q="",ISBLANK(F_Custom2_Q),F_Custom2_V="(All)",F_Custom2_V="",ISBLANK(F_Custom2_V)),1,IFERROR(IF(ISNUMBER(SEARCH("|"&amp;INDEX(INDIRECT(F_Custom2_resolved_column),101)&amp;"|",F_Custom2_wrapped)),1,0),0))</f>
        <v>1</v>
      </c>
      <c r="F102">
        <f>D102*E102*1</f>
        <v>1</v>
      </c>
      <c r="G102">
        <f>1</f>
        <v>1</v>
      </c>
      <c r="H1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101)&amp;"|",All_Questions_Q_STREAM_F_wrapped)),1,0),0))*1</f>
        <v>1</v>
      </c>
    </row>
    <row r="103">
      <c r="A103" t="n">
        <v>102</v>
      </c>
      <c r="B103" t="inlineStr">
        <is>
          <t>B</t>
        </is>
      </c>
      <c r="C103">
        <f>1</f>
        <v>1</v>
      </c>
      <c r="D103">
        <f>IF(OR(F_Custom1_Q="(None)",F_Custom1_Q="",ISBLANK(F_Custom1_Q),F_Custom1_V="(All)",F_Custom1_V="",ISBLANK(F_Custom1_V)),1,IFERROR(IF(ISNUMBER(SEARCH("|"&amp;INDEX(INDIRECT(F_Custom1_resolved_column),102)&amp;"|",F_Custom1_wrapped)),1,0),0))</f>
        <v>1</v>
      </c>
      <c r="E103">
        <f>IF(OR(F_Custom2_Q="(None)",F_Custom2_Q="",ISBLANK(F_Custom2_Q),F_Custom2_V="(All)",F_Custom2_V="",ISBLANK(F_Custom2_V)),1,IFERROR(IF(ISNUMBER(SEARCH("|"&amp;INDEX(INDIRECT(F_Custom2_resolved_column),102)&amp;"|",F_Custom2_wrapped)),1,0),0))</f>
        <v>1</v>
      </c>
      <c r="F103">
        <f>D103*E103*1</f>
        <v>1</v>
      </c>
      <c r="G103">
        <f>1</f>
        <v>1</v>
      </c>
      <c r="H1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102)&amp;"|",All_Questions_Q_STREAM_F_wrapped)),1,0),0))*1</f>
        <v>1</v>
      </c>
    </row>
    <row r="104">
      <c r="A104" t="n">
        <v>103</v>
      </c>
      <c r="B104" t="inlineStr">
        <is>
          <t>A</t>
        </is>
      </c>
      <c r="C104">
        <f>1</f>
        <v>1</v>
      </c>
      <c r="D104">
        <f>IF(OR(F_Custom1_Q="(None)",F_Custom1_Q="",ISBLANK(F_Custom1_Q),F_Custom1_V="(All)",F_Custom1_V="",ISBLANK(F_Custom1_V)),1,IFERROR(IF(ISNUMBER(SEARCH("|"&amp;INDEX(INDIRECT(F_Custom1_resolved_column),103)&amp;"|",F_Custom1_wrapped)),1,0),0))</f>
        <v>1</v>
      </c>
      <c r="E104">
        <f>IF(OR(F_Custom2_Q="(None)",F_Custom2_Q="",ISBLANK(F_Custom2_Q),F_Custom2_V="(All)",F_Custom2_V="",ISBLANK(F_Custom2_V)),1,IFERROR(IF(ISNUMBER(SEARCH("|"&amp;INDEX(INDIRECT(F_Custom2_resolved_column),103)&amp;"|",F_Custom2_wrapped)),1,0),0))</f>
        <v>1</v>
      </c>
      <c r="F104">
        <f>D104*E104*1</f>
        <v>1</v>
      </c>
      <c r="G104">
        <f>1</f>
        <v>1</v>
      </c>
      <c r="H1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103)&amp;"|",All_Questions_Q_STREAM_F_wrapped)),1,0),0))*1</f>
        <v>1</v>
      </c>
    </row>
    <row r="105">
      <c r="A105" t="n">
        <v>104</v>
      </c>
      <c r="B105" t="inlineStr">
        <is>
          <t>B</t>
        </is>
      </c>
      <c r="C105">
        <f>1</f>
        <v>1</v>
      </c>
      <c r="D105">
        <f>IF(OR(F_Custom1_Q="(None)",F_Custom1_Q="",ISBLANK(F_Custom1_Q),F_Custom1_V="(All)",F_Custom1_V="",ISBLANK(F_Custom1_V)),1,IFERROR(IF(ISNUMBER(SEARCH("|"&amp;INDEX(INDIRECT(F_Custom1_resolved_column),104)&amp;"|",F_Custom1_wrapped)),1,0),0))</f>
        <v>1</v>
      </c>
      <c r="E105">
        <f>IF(OR(F_Custom2_Q="(None)",F_Custom2_Q="",ISBLANK(F_Custom2_Q),F_Custom2_V="(All)",F_Custom2_V="",ISBLANK(F_Custom2_V)),1,IFERROR(IF(ISNUMBER(SEARCH("|"&amp;INDEX(INDIRECT(F_Custom2_resolved_column),104)&amp;"|",F_Custom2_wrapped)),1,0),0))</f>
        <v>1</v>
      </c>
      <c r="F105">
        <f>D105*E105*1</f>
        <v>1</v>
      </c>
      <c r="G105">
        <f>1</f>
        <v>1</v>
      </c>
      <c r="H1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104)&amp;"|",All_Questions_Q_STREAM_F_wrapped)),1,0),0))*1</f>
        <v>1</v>
      </c>
    </row>
    <row r="106">
      <c r="A106" t="n">
        <v>105</v>
      </c>
      <c r="B106" t="inlineStr">
        <is>
          <t>A</t>
        </is>
      </c>
      <c r="C106">
        <f>1</f>
        <v>1</v>
      </c>
      <c r="D106">
        <f>IF(OR(F_Custom1_Q="(None)",F_Custom1_Q="",ISBLANK(F_Custom1_Q),F_Custom1_V="(All)",F_Custom1_V="",ISBLANK(F_Custom1_V)),1,IFERROR(IF(ISNUMBER(SEARCH("|"&amp;INDEX(INDIRECT(F_Custom1_resolved_column),105)&amp;"|",F_Custom1_wrapped)),1,0),0))</f>
        <v>1</v>
      </c>
      <c r="E106">
        <f>IF(OR(F_Custom2_Q="(None)",F_Custom2_Q="",ISBLANK(F_Custom2_Q),F_Custom2_V="(All)",F_Custom2_V="",ISBLANK(F_Custom2_V)),1,IFERROR(IF(ISNUMBER(SEARCH("|"&amp;INDEX(INDIRECT(F_Custom2_resolved_column),105)&amp;"|",F_Custom2_wrapped)),1,0),0))</f>
        <v>1</v>
      </c>
      <c r="F106">
        <f>D106*E106*1</f>
        <v>1</v>
      </c>
      <c r="G106">
        <f>1</f>
        <v>1</v>
      </c>
      <c r="H1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105)&amp;"|",All_Questions_Q_STREAM_F_wrapped)),1,0),0))*1</f>
        <v>1</v>
      </c>
    </row>
    <row r="107">
      <c r="A107" t="n">
        <v>106</v>
      </c>
      <c r="B107" t="inlineStr">
        <is>
          <t>B</t>
        </is>
      </c>
      <c r="C107">
        <f>1</f>
        <v>1</v>
      </c>
      <c r="D107">
        <f>IF(OR(F_Custom1_Q="(None)",F_Custom1_Q="",ISBLANK(F_Custom1_Q),F_Custom1_V="(All)",F_Custom1_V="",ISBLANK(F_Custom1_V)),1,IFERROR(IF(ISNUMBER(SEARCH("|"&amp;INDEX(INDIRECT(F_Custom1_resolved_column),106)&amp;"|",F_Custom1_wrapped)),1,0),0))</f>
        <v>1</v>
      </c>
      <c r="E107">
        <f>IF(OR(F_Custom2_Q="(None)",F_Custom2_Q="",ISBLANK(F_Custom2_Q),F_Custom2_V="(All)",F_Custom2_V="",ISBLANK(F_Custom2_V)),1,IFERROR(IF(ISNUMBER(SEARCH("|"&amp;INDEX(INDIRECT(F_Custom2_resolved_column),106)&amp;"|",F_Custom2_wrapped)),1,0),0))</f>
        <v>1</v>
      </c>
      <c r="F107">
        <f>D107*E107*1</f>
        <v>1</v>
      </c>
      <c r="G107">
        <f>1</f>
        <v>1</v>
      </c>
      <c r="H1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106)&amp;"|",All_Questions_Q_STREAM_F_wrapped)),1,0),0))*1</f>
        <v>1</v>
      </c>
    </row>
    <row r="108">
      <c r="A108" t="n">
        <v>107</v>
      </c>
      <c r="B108" t="inlineStr">
        <is>
          <t>A</t>
        </is>
      </c>
      <c r="C108">
        <f>1</f>
        <v>1</v>
      </c>
      <c r="D108">
        <f>IF(OR(F_Custom1_Q="(None)",F_Custom1_Q="",ISBLANK(F_Custom1_Q),F_Custom1_V="(All)",F_Custom1_V="",ISBLANK(F_Custom1_V)),1,IFERROR(IF(ISNUMBER(SEARCH("|"&amp;INDEX(INDIRECT(F_Custom1_resolved_column),107)&amp;"|",F_Custom1_wrapped)),1,0),0))</f>
        <v>1</v>
      </c>
      <c r="E108">
        <f>IF(OR(F_Custom2_Q="(None)",F_Custom2_Q="",ISBLANK(F_Custom2_Q),F_Custom2_V="(All)",F_Custom2_V="",ISBLANK(F_Custom2_V)),1,IFERROR(IF(ISNUMBER(SEARCH("|"&amp;INDEX(INDIRECT(F_Custom2_resolved_column),107)&amp;"|",F_Custom2_wrapped)),1,0),0))</f>
        <v>1</v>
      </c>
      <c r="F108">
        <f>D108*E108*1</f>
        <v>1</v>
      </c>
      <c r="G108">
        <f>1</f>
        <v>1</v>
      </c>
      <c r="H1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107)&amp;"|",All_Questions_Q_STREAM_F_wrapped)),1,0),0))*1</f>
        <v>1</v>
      </c>
    </row>
    <row r="109">
      <c r="A109" t="n">
        <v>108</v>
      </c>
      <c r="B109" t="inlineStr">
        <is>
          <t>B</t>
        </is>
      </c>
      <c r="C109">
        <f>1</f>
        <v>1</v>
      </c>
      <c r="D109">
        <f>IF(OR(F_Custom1_Q="(None)",F_Custom1_Q="",ISBLANK(F_Custom1_Q),F_Custom1_V="(All)",F_Custom1_V="",ISBLANK(F_Custom1_V)),1,IFERROR(IF(ISNUMBER(SEARCH("|"&amp;INDEX(INDIRECT(F_Custom1_resolved_column),108)&amp;"|",F_Custom1_wrapped)),1,0),0))</f>
        <v>1</v>
      </c>
      <c r="E109">
        <f>IF(OR(F_Custom2_Q="(None)",F_Custom2_Q="",ISBLANK(F_Custom2_Q),F_Custom2_V="(All)",F_Custom2_V="",ISBLANK(F_Custom2_V)),1,IFERROR(IF(ISNUMBER(SEARCH("|"&amp;INDEX(INDIRECT(F_Custom2_resolved_column),108)&amp;"|",F_Custom2_wrapped)),1,0),0))</f>
        <v>1</v>
      </c>
      <c r="F109">
        <f>D109*E109*1</f>
        <v>1</v>
      </c>
      <c r="G109">
        <f>1</f>
        <v>1</v>
      </c>
      <c r="H1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108)&amp;"|",All_Questions_Q_STREAM_F_wrapped)),1,0),0))*1</f>
        <v>1</v>
      </c>
    </row>
    <row r="110">
      <c r="A110" t="n">
        <v>109</v>
      </c>
      <c r="B110" t="inlineStr">
        <is>
          <t>A</t>
        </is>
      </c>
      <c r="C110">
        <f>1</f>
        <v>1</v>
      </c>
      <c r="D110">
        <f>IF(OR(F_Custom1_Q="(None)",F_Custom1_Q="",ISBLANK(F_Custom1_Q),F_Custom1_V="(All)",F_Custom1_V="",ISBLANK(F_Custom1_V)),1,IFERROR(IF(ISNUMBER(SEARCH("|"&amp;INDEX(INDIRECT(F_Custom1_resolved_column),109)&amp;"|",F_Custom1_wrapped)),1,0),0))</f>
        <v>1</v>
      </c>
      <c r="E110">
        <f>IF(OR(F_Custom2_Q="(None)",F_Custom2_Q="",ISBLANK(F_Custom2_Q),F_Custom2_V="(All)",F_Custom2_V="",ISBLANK(F_Custom2_V)),1,IFERROR(IF(ISNUMBER(SEARCH("|"&amp;INDEX(INDIRECT(F_Custom2_resolved_column),109)&amp;"|",F_Custom2_wrapped)),1,0),0))</f>
        <v>1</v>
      </c>
      <c r="F110">
        <f>D110*E110*1</f>
        <v>1</v>
      </c>
      <c r="G110">
        <f>1</f>
        <v>1</v>
      </c>
      <c r="H1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109)&amp;"|",All_Questions_Q_STREAM_F_wrapped)),1,0),0))*1</f>
        <v>1</v>
      </c>
    </row>
    <row r="111">
      <c r="A111" t="n">
        <v>110</v>
      </c>
      <c r="B111" t="inlineStr">
        <is>
          <t>B</t>
        </is>
      </c>
      <c r="C111">
        <f>1</f>
        <v>1</v>
      </c>
      <c r="D111">
        <f>IF(OR(F_Custom1_Q="(None)",F_Custom1_Q="",ISBLANK(F_Custom1_Q),F_Custom1_V="(All)",F_Custom1_V="",ISBLANK(F_Custom1_V)),1,IFERROR(IF(ISNUMBER(SEARCH("|"&amp;INDEX(INDIRECT(F_Custom1_resolved_column),110)&amp;"|",F_Custom1_wrapped)),1,0),0))</f>
        <v>1</v>
      </c>
      <c r="E111">
        <f>IF(OR(F_Custom2_Q="(None)",F_Custom2_Q="",ISBLANK(F_Custom2_Q),F_Custom2_V="(All)",F_Custom2_V="",ISBLANK(F_Custom2_V)),1,IFERROR(IF(ISNUMBER(SEARCH("|"&amp;INDEX(INDIRECT(F_Custom2_resolved_column),110)&amp;"|",F_Custom2_wrapped)),1,0),0))</f>
        <v>1</v>
      </c>
      <c r="F111">
        <f>D111*E111*1</f>
        <v>1</v>
      </c>
      <c r="G111">
        <f>1</f>
        <v>1</v>
      </c>
      <c r="H1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110)&amp;"|",All_Questions_Q_STREAM_F_wrapped)),1,0),0))*1</f>
        <v>1</v>
      </c>
    </row>
    <row r="112">
      <c r="A112" t="n">
        <v>111</v>
      </c>
      <c r="B112" t="inlineStr">
        <is>
          <t>A</t>
        </is>
      </c>
      <c r="C112">
        <f>1</f>
        <v>1</v>
      </c>
      <c r="D112">
        <f>IF(OR(F_Custom1_Q="(None)",F_Custom1_Q="",ISBLANK(F_Custom1_Q),F_Custom1_V="(All)",F_Custom1_V="",ISBLANK(F_Custom1_V)),1,IFERROR(IF(ISNUMBER(SEARCH("|"&amp;INDEX(INDIRECT(F_Custom1_resolved_column),111)&amp;"|",F_Custom1_wrapped)),1,0),0))</f>
        <v>1</v>
      </c>
      <c r="E112">
        <f>IF(OR(F_Custom2_Q="(None)",F_Custom2_Q="",ISBLANK(F_Custom2_Q),F_Custom2_V="(All)",F_Custom2_V="",ISBLANK(F_Custom2_V)),1,IFERROR(IF(ISNUMBER(SEARCH("|"&amp;INDEX(INDIRECT(F_Custom2_resolved_column),111)&amp;"|",F_Custom2_wrapped)),1,0),0))</f>
        <v>1</v>
      </c>
      <c r="F112">
        <f>D112*E112*1</f>
        <v>1</v>
      </c>
      <c r="G112">
        <f>1</f>
        <v>1</v>
      </c>
      <c r="H1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111)&amp;"|",All_Questions_Q_STREAM_F_wrapped)),1,0),0))*1</f>
        <v>1</v>
      </c>
    </row>
    <row r="113">
      <c r="A113" t="n">
        <v>112</v>
      </c>
      <c r="B113" t="inlineStr">
        <is>
          <t>B</t>
        </is>
      </c>
      <c r="C113">
        <f>1</f>
        <v>1</v>
      </c>
      <c r="D113">
        <f>IF(OR(F_Custom1_Q="(None)",F_Custom1_Q="",ISBLANK(F_Custom1_Q),F_Custom1_V="(All)",F_Custom1_V="",ISBLANK(F_Custom1_V)),1,IFERROR(IF(ISNUMBER(SEARCH("|"&amp;INDEX(INDIRECT(F_Custom1_resolved_column),112)&amp;"|",F_Custom1_wrapped)),1,0),0))</f>
        <v>1</v>
      </c>
      <c r="E113">
        <f>IF(OR(F_Custom2_Q="(None)",F_Custom2_Q="",ISBLANK(F_Custom2_Q),F_Custom2_V="(All)",F_Custom2_V="",ISBLANK(F_Custom2_V)),1,IFERROR(IF(ISNUMBER(SEARCH("|"&amp;INDEX(INDIRECT(F_Custom2_resolved_column),112)&amp;"|",F_Custom2_wrapped)),1,0),0))</f>
        <v>1</v>
      </c>
      <c r="F113">
        <f>D113*E113*1</f>
        <v>1</v>
      </c>
      <c r="G113">
        <f>1</f>
        <v>1</v>
      </c>
      <c r="H1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112)&amp;"|",All_Questions_Q_STREAM_F_wrapped)),1,0),0))*1</f>
        <v>1</v>
      </c>
    </row>
    <row r="114">
      <c r="A114" t="n">
        <v>113</v>
      </c>
      <c r="B114" t="inlineStr">
        <is>
          <t>A</t>
        </is>
      </c>
      <c r="C114">
        <f>1</f>
        <v>1</v>
      </c>
      <c r="D114">
        <f>IF(OR(F_Custom1_Q="(None)",F_Custom1_Q="",ISBLANK(F_Custom1_Q),F_Custom1_V="(All)",F_Custom1_V="",ISBLANK(F_Custom1_V)),1,IFERROR(IF(ISNUMBER(SEARCH("|"&amp;INDEX(INDIRECT(F_Custom1_resolved_column),113)&amp;"|",F_Custom1_wrapped)),1,0),0))</f>
        <v>1</v>
      </c>
      <c r="E114">
        <f>IF(OR(F_Custom2_Q="(None)",F_Custom2_Q="",ISBLANK(F_Custom2_Q),F_Custom2_V="(All)",F_Custom2_V="",ISBLANK(F_Custom2_V)),1,IFERROR(IF(ISNUMBER(SEARCH("|"&amp;INDEX(INDIRECT(F_Custom2_resolved_column),113)&amp;"|",F_Custom2_wrapped)),1,0),0))</f>
        <v>1</v>
      </c>
      <c r="F114">
        <f>D114*E114*1</f>
        <v>1</v>
      </c>
      <c r="G114">
        <f>1</f>
        <v>1</v>
      </c>
      <c r="H1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113)&amp;"|",All_Questions_Q_STREAM_F_wrapped)),1,0),0))*1</f>
        <v>1</v>
      </c>
    </row>
    <row r="115">
      <c r="A115" t="n">
        <v>114</v>
      </c>
      <c r="B115" t="inlineStr">
        <is>
          <t>B</t>
        </is>
      </c>
      <c r="C115">
        <f>1</f>
        <v>1</v>
      </c>
      <c r="D115">
        <f>IF(OR(F_Custom1_Q="(None)",F_Custom1_Q="",ISBLANK(F_Custom1_Q),F_Custom1_V="(All)",F_Custom1_V="",ISBLANK(F_Custom1_V)),1,IFERROR(IF(ISNUMBER(SEARCH("|"&amp;INDEX(INDIRECT(F_Custom1_resolved_column),114)&amp;"|",F_Custom1_wrapped)),1,0),0))</f>
        <v>1</v>
      </c>
      <c r="E115">
        <f>IF(OR(F_Custom2_Q="(None)",F_Custom2_Q="",ISBLANK(F_Custom2_Q),F_Custom2_V="(All)",F_Custom2_V="",ISBLANK(F_Custom2_V)),1,IFERROR(IF(ISNUMBER(SEARCH("|"&amp;INDEX(INDIRECT(F_Custom2_resolved_column),114)&amp;"|",F_Custom2_wrapped)),1,0),0))</f>
        <v>1</v>
      </c>
      <c r="F115">
        <f>D115*E115*1</f>
        <v>1</v>
      </c>
      <c r="G115">
        <f>1</f>
        <v>1</v>
      </c>
      <c r="H1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114)&amp;"|",All_Questions_Q_STREAM_F_wrapped)),1,0),0))*1</f>
        <v>1</v>
      </c>
    </row>
    <row r="116">
      <c r="A116" t="n">
        <v>115</v>
      </c>
      <c r="B116" t="inlineStr">
        <is>
          <t>A</t>
        </is>
      </c>
      <c r="C116">
        <f>1</f>
        <v>1</v>
      </c>
      <c r="D116">
        <f>IF(OR(F_Custom1_Q="(None)",F_Custom1_Q="",ISBLANK(F_Custom1_Q),F_Custom1_V="(All)",F_Custom1_V="",ISBLANK(F_Custom1_V)),1,IFERROR(IF(ISNUMBER(SEARCH("|"&amp;INDEX(INDIRECT(F_Custom1_resolved_column),115)&amp;"|",F_Custom1_wrapped)),1,0),0))</f>
        <v>1</v>
      </c>
      <c r="E116">
        <f>IF(OR(F_Custom2_Q="(None)",F_Custom2_Q="",ISBLANK(F_Custom2_Q),F_Custom2_V="(All)",F_Custom2_V="",ISBLANK(F_Custom2_V)),1,IFERROR(IF(ISNUMBER(SEARCH("|"&amp;INDEX(INDIRECT(F_Custom2_resolved_column),115)&amp;"|",F_Custom2_wrapped)),1,0),0))</f>
        <v>1</v>
      </c>
      <c r="F116">
        <f>D116*E116*1</f>
        <v>1</v>
      </c>
      <c r="G116">
        <f>1</f>
        <v>1</v>
      </c>
      <c r="H1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115)&amp;"|",All_Questions_Q_STREAM_F_wrapped)),1,0),0))*1</f>
        <v>1</v>
      </c>
    </row>
    <row r="117">
      <c r="A117" t="n">
        <v>116</v>
      </c>
      <c r="B117" t="inlineStr">
        <is>
          <t>B</t>
        </is>
      </c>
      <c r="C117">
        <f>1</f>
        <v>1</v>
      </c>
      <c r="D117">
        <f>IF(OR(F_Custom1_Q="(None)",F_Custom1_Q="",ISBLANK(F_Custom1_Q),F_Custom1_V="(All)",F_Custom1_V="",ISBLANK(F_Custom1_V)),1,IFERROR(IF(ISNUMBER(SEARCH("|"&amp;INDEX(INDIRECT(F_Custom1_resolved_column),116)&amp;"|",F_Custom1_wrapped)),1,0),0))</f>
        <v>1</v>
      </c>
      <c r="E117">
        <f>IF(OR(F_Custom2_Q="(None)",F_Custom2_Q="",ISBLANK(F_Custom2_Q),F_Custom2_V="(All)",F_Custom2_V="",ISBLANK(F_Custom2_V)),1,IFERROR(IF(ISNUMBER(SEARCH("|"&amp;INDEX(INDIRECT(F_Custom2_resolved_column),116)&amp;"|",F_Custom2_wrapped)),1,0),0))</f>
        <v>1</v>
      </c>
      <c r="F117">
        <f>D117*E117*1</f>
        <v>1</v>
      </c>
      <c r="G117">
        <f>1</f>
        <v>1</v>
      </c>
      <c r="H1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116)&amp;"|",All_Questions_Q_STREAM_F_wrapped)),1,0),0))*1</f>
        <v>1</v>
      </c>
    </row>
    <row r="118">
      <c r="A118" t="n">
        <v>117</v>
      </c>
      <c r="B118" t="inlineStr">
        <is>
          <t>A</t>
        </is>
      </c>
      <c r="C118">
        <f>1</f>
        <v>1</v>
      </c>
      <c r="D118">
        <f>IF(OR(F_Custom1_Q="(None)",F_Custom1_Q="",ISBLANK(F_Custom1_Q),F_Custom1_V="(All)",F_Custom1_V="",ISBLANK(F_Custom1_V)),1,IFERROR(IF(ISNUMBER(SEARCH("|"&amp;INDEX(INDIRECT(F_Custom1_resolved_column),117)&amp;"|",F_Custom1_wrapped)),1,0),0))</f>
        <v>1</v>
      </c>
      <c r="E118">
        <f>IF(OR(F_Custom2_Q="(None)",F_Custom2_Q="",ISBLANK(F_Custom2_Q),F_Custom2_V="(All)",F_Custom2_V="",ISBLANK(F_Custom2_V)),1,IFERROR(IF(ISNUMBER(SEARCH("|"&amp;INDEX(INDIRECT(F_Custom2_resolved_column),117)&amp;"|",F_Custom2_wrapped)),1,0),0))</f>
        <v>1</v>
      </c>
      <c r="F118">
        <f>D118*E118*1</f>
        <v>1</v>
      </c>
      <c r="G118">
        <f>1</f>
        <v>1</v>
      </c>
      <c r="H1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117)&amp;"|",All_Questions_Q_STREAM_F_wrapped)),1,0),0))*1</f>
        <v>1</v>
      </c>
    </row>
    <row r="119">
      <c r="A119" t="n">
        <v>118</v>
      </c>
      <c r="B119" t="inlineStr">
        <is>
          <t>B</t>
        </is>
      </c>
      <c r="C119">
        <f>1</f>
        <v>1</v>
      </c>
      <c r="D119">
        <f>IF(OR(F_Custom1_Q="(None)",F_Custom1_Q="",ISBLANK(F_Custom1_Q),F_Custom1_V="(All)",F_Custom1_V="",ISBLANK(F_Custom1_V)),1,IFERROR(IF(ISNUMBER(SEARCH("|"&amp;INDEX(INDIRECT(F_Custom1_resolved_column),118)&amp;"|",F_Custom1_wrapped)),1,0),0))</f>
        <v>1</v>
      </c>
      <c r="E119">
        <f>IF(OR(F_Custom2_Q="(None)",F_Custom2_Q="",ISBLANK(F_Custom2_Q),F_Custom2_V="(All)",F_Custom2_V="",ISBLANK(F_Custom2_V)),1,IFERROR(IF(ISNUMBER(SEARCH("|"&amp;INDEX(INDIRECT(F_Custom2_resolved_column),118)&amp;"|",F_Custom2_wrapped)),1,0),0))</f>
        <v>1</v>
      </c>
      <c r="F119">
        <f>D119*E119*1</f>
        <v>1</v>
      </c>
      <c r="G119">
        <f>1</f>
        <v>1</v>
      </c>
      <c r="H1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118)&amp;"|",All_Questions_Q_STREAM_F_wrapped)),1,0),0))*1</f>
        <v>1</v>
      </c>
    </row>
    <row r="120">
      <c r="A120" t="n">
        <v>119</v>
      </c>
      <c r="B120" t="inlineStr">
        <is>
          <t>A</t>
        </is>
      </c>
      <c r="C120">
        <f>1</f>
        <v>1</v>
      </c>
      <c r="D120">
        <f>IF(OR(F_Custom1_Q="(None)",F_Custom1_Q="",ISBLANK(F_Custom1_Q),F_Custom1_V="(All)",F_Custom1_V="",ISBLANK(F_Custom1_V)),1,IFERROR(IF(ISNUMBER(SEARCH("|"&amp;INDEX(INDIRECT(F_Custom1_resolved_column),119)&amp;"|",F_Custom1_wrapped)),1,0),0))</f>
        <v>1</v>
      </c>
      <c r="E120">
        <f>IF(OR(F_Custom2_Q="(None)",F_Custom2_Q="",ISBLANK(F_Custom2_Q),F_Custom2_V="(All)",F_Custom2_V="",ISBLANK(F_Custom2_V)),1,IFERROR(IF(ISNUMBER(SEARCH("|"&amp;INDEX(INDIRECT(F_Custom2_resolved_column),119)&amp;"|",F_Custom2_wrapped)),1,0),0))</f>
        <v>1</v>
      </c>
      <c r="F120">
        <f>D120*E120*1</f>
        <v>1</v>
      </c>
      <c r="G120">
        <f>1</f>
        <v>1</v>
      </c>
      <c r="H1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119)&amp;"|",All_Questions_Q_STREAM_F_wrapped)),1,0),0))*1</f>
        <v>1</v>
      </c>
    </row>
    <row r="121">
      <c r="A121" t="n">
        <v>120</v>
      </c>
      <c r="B121" t="inlineStr">
        <is>
          <t>B</t>
        </is>
      </c>
      <c r="C121">
        <f>1</f>
        <v>1</v>
      </c>
      <c r="D121">
        <f>IF(OR(F_Custom1_Q="(None)",F_Custom1_Q="",ISBLANK(F_Custom1_Q),F_Custom1_V="(All)",F_Custom1_V="",ISBLANK(F_Custom1_V)),1,IFERROR(IF(ISNUMBER(SEARCH("|"&amp;INDEX(INDIRECT(F_Custom1_resolved_column),120)&amp;"|",F_Custom1_wrapped)),1,0),0))</f>
        <v>1</v>
      </c>
      <c r="E121">
        <f>IF(OR(F_Custom2_Q="(None)",F_Custom2_Q="",ISBLANK(F_Custom2_Q),F_Custom2_V="(All)",F_Custom2_V="",ISBLANK(F_Custom2_V)),1,IFERROR(IF(ISNUMBER(SEARCH("|"&amp;INDEX(INDIRECT(F_Custom2_resolved_column),120)&amp;"|",F_Custom2_wrapped)),1,0),0))</f>
        <v>1</v>
      </c>
      <c r="F121">
        <f>D121*E121*1</f>
        <v>1</v>
      </c>
      <c r="G121">
        <f>1</f>
        <v>1</v>
      </c>
      <c r="H1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120)&amp;"|",All_Questions_Q_STREAM_F_wrapped)),1,0),0))*1</f>
        <v>1</v>
      </c>
    </row>
    <row r="122">
      <c r="A122" t="n">
        <v>121</v>
      </c>
      <c r="B122" t="inlineStr">
        <is>
          <t>A</t>
        </is>
      </c>
      <c r="C122">
        <f>1</f>
        <v>1</v>
      </c>
      <c r="D122">
        <f>IF(OR(F_Custom1_Q="(None)",F_Custom1_Q="",ISBLANK(F_Custom1_Q),F_Custom1_V="(All)",F_Custom1_V="",ISBLANK(F_Custom1_V)),1,IFERROR(IF(ISNUMBER(SEARCH("|"&amp;INDEX(INDIRECT(F_Custom1_resolved_column),121)&amp;"|",F_Custom1_wrapped)),1,0),0))</f>
        <v>1</v>
      </c>
      <c r="E122">
        <f>IF(OR(F_Custom2_Q="(None)",F_Custom2_Q="",ISBLANK(F_Custom2_Q),F_Custom2_V="(All)",F_Custom2_V="",ISBLANK(F_Custom2_V)),1,IFERROR(IF(ISNUMBER(SEARCH("|"&amp;INDEX(INDIRECT(F_Custom2_resolved_column),121)&amp;"|",F_Custom2_wrapped)),1,0),0))</f>
        <v>1</v>
      </c>
      <c r="F122">
        <f>D122*E122*1</f>
        <v>1</v>
      </c>
      <c r="G122">
        <f>1</f>
        <v>1</v>
      </c>
      <c r="H1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121)&amp;"|",All_Questions_Q_STREAM_F_wrapped)),1,0),0))*1</f>
        <v>1</v>
      </c>
    </row>
    <row r="123">
      <c r="A123" t="n">
        <v>122</v>
      </c>
      <c r="B123" t="inlineStr">
        <is>
          <t>B</t>
        </is>
      </c>
      <c r="C123">
        <f>1</f>
        <v>1</v>
      </c>
      <c r="D123">
        <f>IF(OR(F_Custom1_Q="(None)",F_Custom1_Q="",ISBLANK(F_Custom1_Q),F_Custom1_V="(All)",F_Custom1_V="",ISBLANK(F_Custom1_V)),1,IFERROR(IF(ISNUMBER(SEARCH("|"&amp;INDEX(INDIRECT(F_Custom1_resolved_column),122)&amp;"|",F_Custom1_wrapped)),1,0),0))</f>
        <v>1</v>
      </c>
      <c r="E123">
        <f>IF(OR(F_Custom2_Q="(None)",F_Custom2_Q="",ISBLANK(F_Custom2_Q),F_Custom2_V="(All)",F_Custom2_V="",ISBLANK(F_Custom2_V)),1,IFERROR(IF(ISNUMBER(SEARCH("|"&amp;INDEX(INDIRECT(F_Custom2_resolved_column),122)&amp;"|",F_Custom2_wrapped)),1,0),0))</f>
        <v>1</v>
      </c>
      <c r="F123">
        <f>D123*E123*1</f>
        <v>1</v>
      </c>
      <c r="G123">
        <f>1</f>
        <v>1</v>
      </c>
      <c r="H1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122)&amp;"|",All_Questions_Q_STREAM_F_wrapped)),1,0),0))*1</f>
        <v>1</v>
      </c>
    </row>
    <row r="124">
      <c r="A124" t="n">
        <v>123</v>
      </c>
      <c r="B124" t="inlineStr">
        <is>
          <t>A</t>
        </is>
      </c>
      <c r="C124">
        <f>1</f>
        <v>1</v>
      </c>
      <c r="D124">
        <f>IF(OR(F_Custom1_Q="(None)",F_Custom1_Q="",ISBLANK(F_Custom1_Q),F_Custom1_V="(All)",F_Custom1_V="",ISBLANK(F_Custom1_V)),1,IFERROR(IF(ISNUMBER(SEARCH("|"&amp;INDEX(INDIRECT(F_Custom1_resolved_column),123)&amp;"|",F_Custom1_wrapped)),1,0),0))</f>
        <v>1</v>
      </c>
      <c r="E124">
        <f>IF(OR(F_Custom2_Q="(None)",F_Custom2_Q="",ISBLANK(F_Custom2_Q),F_Custom2_V="(All)",F_Custom2_V="",ISBLANK(F_Custom2_V)),1,IFERROR(IF(ISNUMBER(SEARCH("|"&amp;INDEX(INDIRECT(F_Custom2_resolved_column),123)&amp;"|",F_Custom2_wrapped)),1,0),0))</f>
        <v>1</v>
      </c>
      <c r="F124">
        <f>D124*E124*1</f>
        <v>1</v>
      </c>
      <c r="G124">
        <f>1</f>
        <v>1</v>
      </c>
      <c r="H1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123)&amp;"|",All_Questions_Q_STREAM_F_wrapped)),1,0),0))*1</f>
        <v>1</v>
      </c>
    </row>
    <row r="125">
      <c r="A125" t="n">
        <v>124</v>
      </c>
      <c r="B125" t="inlineStr">
        <is>
          <t>B</t>
        </is>
      </c>
      <c r="C125">
        <f>1</f>
        <v>1</v>
      </c>
      <c r="D125">
        <f>IF(OR(F_Custom1_Q="(None)",F_Custom1_Q="",ISBLANK(F_Custom1_Q),F_Custom1_V="(All)",F_Custom1_V="",ISBLANK(F_Custom1_V)),1,IFERROR(IF(ISNUMBER(SEARCH("|"&amp;INDEX(INDIRECT(F_Custom1_resolved_column),124)&amp;"|",F_Custom1_wrapped)),1,0),0))</f>
        <v>1</v>
      </c>
      <c r="E125">
        <f>IF(OR(F_Custom2_Q="(None)",F_Custom2_Q="",ISBLANK(F_Custom2_Q),F_Custom2_V="(All)",F_Custom2_V="",ISBLANK(F_Custom2_V)),1,IFERROR(IF(ISNUMBER(SEARCH("|"&amp;INDEX(INDIRECT(F_Custom2_resolved_column),124)&amp;"|",F_Custom2_wrapped)),1,0),0))</f>
        <v>1</v>
      </c>
      <c r="F125">
        <f>D125*E125*1</f>
        <v>1</v>
      </c>
      <c r="G125">
        <f>1</f>
        <v>1</v>
      </c>
      <c r="H1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124)&amp;"|",All_Questions_Q_STREAM_F_wrapped)),1,0),0))*1</f>
        <v>1</v>
      </c>
    </row>
    <row r="126">
      <c r="A126" t="n">
        <v>125</v>
      </c>
      <c r="B126" t="inlineStr">
        <is>
          <t>A</t>
        </is>
      </c>
      <c r="C126">
        <f>1</f>
        <v>1</v>
      </c>
      <c r="D126">
        <f>IF(OR(F_Custom1_Q="(None)",F_Custom1_Q="",ISBLANK(F_Custom1_Q),F_Custom1_V="(All)",F_Custom1_V="",ISBLANK(F_Custom1_V)),1,IFERROR(IF(ISNUMBER(SEARCH("|"&amp;INDEX(INDIRECT(F_Custom1_resolved_column),125)&amp;"|",F_Custom1_wrapped)),1,0),0))</f>
        <v>1</v>
      </c>
      <c r="E126">
        <f>IF(OR(F_Custom2_Q="(None)",F_Custom2_Q="",ISBLANK(F_Custom2_Q),F_Custom2_V="(All)",F_Custom2_V="",ISBLANK(F_Custom2_V)),1,IFERROR(IF(ISNUMBER(SEARCH("|"&amp;INDEX(INDIRECT(F_Custom2_resolved_column),125)&amp;"|",F_Custom2_wrapped)),1,0),0))</f>
        <v>1</v>
      </c>
      <c r="F126">
        <f>D126*E126*1</f>
        <v>1</v>
      </c>
      <c r="G126">
        <f>1</f>
        <v>1</v>
      </c>
      <c r="H1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125)&amp;"|",All_Questions_Q_STREAM_F_wrapped)),1,0),0))*1</f>
        <v>1</v>
      </c>
    </row>
    <row r="127">
      <c r="A127" t="n">
        <v>126</v>
      </c>
      <c r="B127" t="inlineStr">
        <is>
          <t>B</t>
        </is>
      </c>
      <c r="C127">
        <f>1</f>
        <v>1</v>
      </c>
      <c r="D127">
        <f>IF(OR(F_Custom1_Q="(None)",F_Custom1_Q="",ISBLANK(F_Custom1_Q),F_Custom1_V="(All)",F_Custom1_V="",ISBLANK(F_Custom1_V)),1,IFERROR(IF(ISNUMBER(SEARCH("|"&amp;INDEX(INDIRECT(F_Custom1_resolved_column),126)&amp;"|",F_Custom1_wrapped)),1,0),0))</f>
        <v>1</v>
      </c>
      <c r="E127">
        <f>IF(OR(F_Custom2_Q="(None)",F_Custom2_Q="",ISBLANK(F_Custom2_Q),F_Custom2_V="(All)",F_Custom2_V="",ISBLANK(F_Custom2_V)),1,IFERROR(IF(ISNUMBER(SEARCH("|"&amp;INDEX(INDIRECT(F_Custom2_resolved_column),126)&amp;"|",F_Custom2_wrapped)),1,0),0))</f>
        <v>1</v>
      </c>
      <c r="F127">
        <f>D127*E127*1</f>
        <v>1</v>
      </c>
      <c r="G127">
        <f>1</f>
        <v>1</v>
      </c>
      <c r="H1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126)&amp;"|",All_Questions_Q_STREAM_F_wrapped)),1,0),0))*1</f>
        <v>1</v>
      </c>
    </row>
    <row r="128">
      <c r="A128" t="n">
        <v>127</v>
      </c>
      <c r="B128" t="inlineStr">
        <is>
          <t>A</t>
        </is>
      </c>
      <c r="C128">
        <f>1</f>
        <v>1</v>
      </c>
      <c r="D128">
        <f>IF(OR(F_Custom1_Q="(None)",F_Custom1_Q="",ISBLANK(F_Custom1_Q),F_Custom1_V="(All)",F_Custom1_V="",ISBLANK(F_Custom1_V)),1,IFERROR(IF(ISNUMBER(SEARCH("|"&amp;INDEX(INDIRECT(F_Custom1_resolved_column),127)&amp;"|",F_Custom1_wrapped)),1,0),0))</f>
        <v>1</v>
      </c>
      <c r="E128">
        <f>IF(OR(F_Custom2_Q="(None)",F_Custom2_Q="",ISBLANK(F_Custom2_Q),F_Custom2_V="(All)",F_Custom2_V="",ISBLANK(F_Custom2_V)),1,IFERROR(IF(ISNUMBER(SEARCH("|"&amp;INDEX(INDIRECT(F_Custom2_resolved_column),127)&amp;"|",F_Custom2_wrapped)),1,0),0))</f>
        <v>1</v>
      </c>
      <c r="F128">
        <f>D128*E128*1</f>
        <v>1</v>
      </c>
      <c r="G128">
        <f>1</f>
        <v>1</v>
      </c>
      <c r="H1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127)&amp;"|",All_Questions_Q_STREAM_F_wrapped)),1,0),0))*1</f>
        <v>1</v>
      </c>
    </row>
    <row r="129">
      <c r="A129" t="n">
        <v>128</v>
      </c>
      <c r="B129" t="inlineStr">
        <is>
          <t>B</t>
        </is>
      </c>
      <c r="C129">
        <f>1</f>
        <v>1</v>
      </c>
      <c r="D129">
        <f>IF(OR(F_Custom1_Q="(None)",F_Custom1_Q="",ISBLANK(F_Custom1_Q),F_Custom1_V="(All)",F_Custom1_V="",ISBLANK(F_Custom1_V)),1,IFERROR(IF(ISNUMBER(SEARCH("|"&amp;INDEX(INDIRECT(F_Custom1_resolved_column),128)&amp;"|",F_Custom1_wrapped)),1,0),0))</f>
        <v>1</v>
      </c>
      <c r="E129">
        <f>IF(OR(F_Custom2_Q="(None)",F_Custom2_Q="",ISBLANK(F_Custom2_Q),F_Custom2_V="(All)",F_Custom2_V="",ISBLANK(F_Custom2_V)),1,IFERROR(IF(ISNUMBER(SEARCH("|"&amp;INDEX(INDIRECT(F_Custom2_resolved_column),128)&amp;"|",F_Custom2_wrapped)),1,0),0))</f>
        <v>1</v>
      </c>
      <c r="F129">
        <f>D129*E129*1</f>
        <v>1</v>
      </c>
      <c r="G129">
        <f>1</f>
        <v>1</v>
      </c>
      <c r="H1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128)&amp;"|",All_Questions_Q_STREAM_F_wrapped)),1,0),0))*1</f>
        <v>1</v>
      </c>
    </row>
    <row r="130">
      <c r="A130" t="n">
        <v>129</v>
      </c>
      <c r="B130" t="inlineStr">
        <is>
          <t>A</t>
        </is>
      </c>
      <c r="C130">
        <f>1</f>
        <v>1</v>
      </c>
      <c r="D130">
        <f>IF(OR(F_Custom1_Q="(None)",F_Custom1_Q="",ISBLANK(F_Custom1_Q),F_Custom1_V="(All)",F_Custom1_V="",ISBLANK(F_Custom1_V)),1,IFERROR(IF(ISNUMBER(SEARCH("|"&amp;INDEX(INDIRECT(F_Custom1_resolved_column),129)&amp;"|",F_Custom1_wrapped)),1,0),0))</f>
        <v>1</v>
      </c>
      <c r="E130">
        <f>IF(OR(F_Custom2_Q="(None)",F_Custom2_Q="",ISBLANK(F_Custom2_Q),F_Custom2_V="(All)",F_Custom2_V="",ISBLANK(F_Custom2_V)),1,IFERROR(IF(ISNUMBER(SEARCH("|"&amp;INDEX(INDIRECT(F_Custom2_resolved_column),129)&amp;"|",F_Custom2_wrapped)),1,0),0))</f>
        <v>1</v>
      </c>
      <c r="F130">
        <f>D130*E130*1</f>
        <v>1</v>
      </c>
      <c r="G130">
        <f>1</f>
        <v>1</v>
      </c>
      <c r="H1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129)&amp;"|",All_Questions_Q_STREAM_F_wrapped)),1,0),0))*1</f>
        <v>1</v>
      </c>
    </row>
    <row r="131">
      <c r="A131" t="n">
        <v>130</v>
      </c>
      <c r="B131" t="inlineStr">
        <is>
          <t>B</t>
        </is>
      </c>
      <c r="C131">
        <f>1</f>
        <v>1</v>
      </c>
      <c r="D131">
        <f>IF(OR(F_Custom1_Q="(None)",F_Custom1_Q="",ISBLANK(F_Custom1_Q),F_Custom1_V="(All)",F_Custom1_V="",ISBLANK(F_Custom1_V)),1,IFERROR(IF(ISNUMBER(SEARCH("|"&amp;INDEX(INDIRECT(F_Custom1_resolved_column),130)&amp;"|",F_Custom1_wrapped)),1,0),0))</f>
        <v>1</v>
      </c>
      <c r="E131">
        <f>IF(OR(F_Custom2_Q="(None)",F_Custom2_Q="",ISBLANK(F_Custom2_Q),F_Custom2_V="(All)",F_Custom2_V="",ISBLANK(F_Custom2_V)),1,IFERROR(IF(ISNUMBER(SEARCH("|"&amp;INDEX(INDIRECT(F_Custom2_resolved_column),130)&amp;"|",F_Custom2_wrapped)),1,0),0))</f>
        <v>1</v>
      </c>
      <c r="F131">
        <f>D131*E131*1</f>
        <v>1</v>
      </c>
      <c r="G131">
        <f>1</f>
        <v>1</v>
      </c>
      <c r="H1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130)&amp;"|",All_Questions_Q_STREAM_F_wrapped)),1,0),0))*1</f>
        <v>1</v>
      </c>
    </row>
    <row r="132">
      <c r="A132" t="n">
        <v>131</v>
      </c>
      <c r="B132" t="inlineStr">
        <is>
          <t>A</t>
        </is>
      </c>
      <c r="C132">
        <f>1</f>
        <v>1</v>
      </c>
      <c r="D132">
        <f>IF(OR(F_Custom1_Q="(None)",F_Custom1_Q="",ISBLANK(F_Custom1_Q),F_Custom1_V="(All)",F_Custom1_V="",ISBLANK(F_Custom1_V)),1,IFERROR(IF(ISNUMBER(SEARCH("|"&amp;INDEX(INDIRECT(F_Custom1_resolved_column),131)&amp;"|",F_Custom1_wrapped)),1,0),0))</f>
        <v>1</v>
      </c>
      <c r="E132">
        <f>IF(OR(F_Custom2_Q="(None)",F_Custom2_Q="",ISBLANK(F_Custom2_Q),F_Custom2_V="(All)",F_Custom2_V="",ISBLANK(F_Custom2_V)),1,IFERROR(IF(ISNUMBER(SEARCH("|"&amp;INDEX(INDIRECT(F_Custom2_resolved_column),131)&amp;"|",F_Custom2_wrapped)),1,0),0))</f>
        <v>1</v>
      </c>
      <c r="F132">
        <f>D132*E132*1</f>
        <v>1</v>
      </c>
      <c r="G132">
        <f>1</f>
        <v>1</v>
      </c>
      <c r="H1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131)&amp;"|",All_Questions_Q_STREAM_F_wrapped)),1,0),0))*1</f>
        <v>1</v>
      </c>
    </row>
    <row r="133">
      <c r="A133" t="n">
        <v>132</v>
      </c>
      <c r="B133" t="inlineStr">
        <is>
          <t>B</t>
        </is>
      </c>
      <c r="C133">
        <f>1</f>
        <v>1</v>
      </c>
      <c r="D133">
        <f>IF(OR(F_Custom1_Q="(None)",F_Custom1_Q="",ISBLANK(F_Custom1_Q),F_Custom1_V="(All)",F_Custom1_V="",ISBLANK(F_Custom1_V)),1,IFERROR(IF(ISNUMBER(SEARCH("|"&amp;INDEX(INDIRECT(F_Custom1_resolved_column),132)&amp;"|",F_Custom1_wrapped)),1,0),0))</f>
        <v>1</v>
      </c>
      <c r="E133">
        <f>IF(OR(F_Custom2_Q="(None)",F_Custom2_Q="",ISBLANK(F_Custom2_Q),F_Custom2_V="(All)",F_Custom2_V="",ISBLANK(F_Custom2_V)),1,IFERROR(IF(ISNUMBER(SEARCH("|"&amp;INDEX(INDIRECT(F_Custom2_resolved_column),132)&amp;"|",F_Custom2_wrapped)),1,0),0))</f>
        <v>1</v>
      </c>
      <c r="F133">
        <f>D133*E133*1</f>
        <v>1</v>
      </c>
      <c r="G133">
        <f>1</f>
        <v>1</v>
      </c>
      <c r="H1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132)&amp;"|",All_Questions_Q_STREAM_F_wrapped)),1,0),0))*1</f>
        <v>1</v>
      </c>
    </row>
    <row r="134">
      <c r="A134" t="n">
        <v>133</v>
      </c>
      <c r="B134" t="inlineStr">
        <is>
          <t>A</t>
        </is>
      </c>
      <c r="C134">
        <f>1</f>
        <v>1</v>
      </c>
      <c r="D134">
        <f>IF(OR(F_Custom1_Q="(None)",F_Custom1_Q="",ISBLANK(F_Custom1_Q),F_Custom1_V="(All)",F_Custom1_V="",ISBLANK(F_Custom1_V)),1,IFERROR(IF(ISNUMBER(SEARCH("|"&amp;INDEX(INDIRECT(F_Custom1_resolved_column),133)&amp;"|",F_Custom1_wrapped)),1,0),0))</f>
        <v>1</v>
      </c>
      <c r="E134">
        <f>IF(OR(F_Custom2_Q="(None)",F_Custom2_Q="",ISBLANK(F_Custom2_Q),F_Custom2_V="(All)",F_Custom2_V="",ISBLANK(F_Custom2_V)),1,IFERROR(IF(ISNUMBER(SEARCH("|"&amp;INDEX(INDIRECT(F_Custom2_resolved_column),133)&amp;"|",F_Custom2_wrapped)),1,0),0))</f>
        <v>1</v>
      </c>
      <c r="F134">
        <f>D134*E134*1</f>
        <v>1</v>
      </c>
      <c r="G134">
        <f>1</f>
        <v>1</v>
      </c>
      <c r="H1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133)&amp;"|",All_Questions_Q_STREAM_F_wrapped)),1,0),0))*1</f>
        <v>1</v>
      </c>
    </row>
    <row r="135">
      <c r="A135" t="n">
        <v>134</v>
      </c>
      <c r="B135" t="inlineStr">
        <is>
          <t>B</t>
        </is>
      </c>
      <c r="C135">
        <f>1</f>
        <v>1</v>
      </c>
      <c r="D135">
        <f>IF(OR(F_Custom1_Q="(None)",F_Custom1_Q="",ISBLANK(F_Custom1_Q),F_Custom1_V="(All)",F_Custom1_V="",ISBLANK(F_Custom1_V)),1,IFERROR(IF(ISNUMBER(SEARCH("|"&amp;INDEX(INDIRECT(F_Custom1_resolved_column),134)&amp;"|",F_Custom1_wrapped)),1,0),0))</f>
        <v>1</v>
      </c>
      <c r="E135">
        <f>IF(OR(F_Custom2_Q="(None)",F_Custom2_Q="",ISBLANK(F_Custom2_Q),F_Custom2_V="(All)",F_Custom2_V="",ISBLANK(F_Custom2_V)),1,IFERROR(IF(ISNUMBER(SEARCH("|"&amp;INDEX(INDIRECT(F_Custom2_resolved_column),134)&amp;"|",F_Custom2_wrapped)),1,0),0))</f>
        <v>1</v>
      </c>
      <c r="F135">
        <f>D135*E135*1</f>
        <v>1</v>
      </c>
      <c r="G135">
        <f>1</f>
        <v>1</v>
      </c>
      <c r="H1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134)&amp;"|",All_Questions_Q_STREAM_F_wrapped)),1,0),0))*1</f>
        <v>1</v>
      </c>
    </row>
    <row r="136">
      <c r="A136" t="n">
        <v>135</v>
      </c>
      <c r="B136" t="inlineStr">
        <is>
          <t>A</t>
        </is>
      </c>
      <c r="C136">
        <f>1</f>
        <v>1</v>
      </c>
      <c r="D136">
        <f>IF(OR(F_Custom1_Q="(None)",F_Custom1_Q="",ISBLANK(F_Custom1_Q),F_Custom1_V="(All)",F_Custom1_V="",ISBLANK(F_Custom1_V)),1,IFERROR(IF(ISNUMBER(SEARCH("|"&amp;INDEX(INDIRECT(F_Custom1_resolved_column),135)&amp;"|",F_Custom1_wrapped)),1,0),0))</f>
        <v>1</v>
      </c>
      <c r="E136">
        <f>IF(OR(F_Custom2_Q="(None)",F_Custom2_Q="",ISBLANK(F_Custom2_Q),F_Custom2_V="(All)",F_Custom2_V="",ISBLANK(F_Custom2_V)),1,IFERROR(IF(ISNUMBER(SEARCH("|"&amp;INDEX(INDIRECT(F_Custom2_resolved_column),135)&amp;"|",F_Custom2_wrapped)),1,0),0))</f>
        <v>1</v>
      </c>
      <c r="F136">
        <f>D136*E136*1</f>
        <v>1</v>
      </c>
      <c r="G136">
        <f>1</f>
        <v>1</v>
      </c>
      <c r="H1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135)&amp;"|",All_Questions_Q_STREAM_F_wrapped)),1,0),0))*1</f>
        <v>1</v>
      </c>
    </row>
    <row r="137">
      <c r="A137" t="n">
        <v>136</v>
      </c>
      <c r="B137" t="inlineStr">
        <is>
          <t>B</t>
        </is>
      </c>
      <c r="C137">
        <f>1</f>
        <v>1</v>
      </c>
      <c r="D137">
        <f>IF(OR(F_Custom1_Q="(None)",F_Custom1_Q="",ISBLANK(F_Custom1_Q),F_Custom1_V="(All)",F_Custom1_V="",ISBLANK(F_Custom1_V)),1,IFERROR(IF(ISNUMBER(SEARCH("|"&amp;INDEX(INDIRECT(F_Custom1_resolved_column),136)&amp;"|",F_Custom1_wrapped)),1,0),0))</f>
        <v>1</v>
      </c>
      <c r="E137">
        <f>IF(OR(F_Custom2_Q="(None)",F_Custom2_Q="",ISBLANK(F_Custom2_Q),F_Custom2_V="(All)",F_Custom2_V="",ISBLANK(F_Custom2_V)),1,IFERROR(IF(ISNUMBER(SEARCH("|"&amp;INDEX(INDIRECT(F_Custom2_resolved_column),136)&amp;"|",F_Custom2_wrapped)),1,0),0))</f>
        <v>1</v>
      </c>
      <c r="F137">
        <f>D137*E137*1</f>
        <v>1</v>
      </c>
      <c r="G137">
        <f>1</f>
        <v>1</v>
      </c>
      <c r="H1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136)&amp;"|",All_Questions_Q_STREAM_F_wrapped)),1,0),0))*1</f>
        <v>1</v>
      </c>
    </row>
    <row r="138">
      <c r="A138" t="n">
        <v>137</v>
      </c>
      <c r="B138" t="inlineStr">
        <is>
          <t>A</t>
        </is>
      </c>
      <c r="C138">
        <f>1</f>
        <v>1</v>
      </c>
      <c r="D138">
        <f>IF(OR(F_Custom1_Q="(None)",F_Custom1_Q="",ISBLANK(F_Custom1_Q),F_Custom1_V="(All)",F_Custom1_V="",ISBLANK(F_Custom1_V)),1,IFERROR(IF(ISNUMBER(SEARCH("|"&amp;INDEX(INDIRECT(F_Custom1_resolved_column),137)&amp;"|",F_Custom1_wrapped)),1,0),0))</f>
        <v>1</v>
      </c>
      <c r="E138">
        <f>IF(OR(F_Custom2_Q="(None)",F_Custom2_Q="",ISBLANK(F_Custom2_Q),F_Custom2_V="(All)",F_Custom2_V="",ISBLANK(F_Custom2_V)),1,IFERROR(IF(ISNUMBER(SEARCH("|"&amp;INDEX(INDIRECT(F_Custom2_resolved_column),137)&amp;"|",F_Custom2_wrapped)),1,0),0))</f>
        <v>1</v>
      </c>
      <c r="F138">
        <f>D138*E138*1</f>
        <v>1</v>
      </c>
      <c r="G138">
        <f>1</f>
        <v>1</v>
      </c>
      <c r="H1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137)&amp;"|",All_Questions_Q_STREAM_F_wrapped)),1,0),0))*1</f>
        <v>1</v>
      </c>
    </row>
    <row r="139">
      <c r="A139" t="n">
        <v>138</v>
      </c>
      <c r="B139" t="inlineStr">
        <is>
          <t>B</t>
        </is>
      </c>
      <c r="C139">
        <f>1</f>
        <v>1</v>
      </c>
      <c r="D139">
        <f>IF(OR(F_Custom1_Q="(None)",F_Custom1_Q="",ISBLANK(F_Custom1_Q),F_Custom1_V="(All)",F_Custom1_V="",ISBLANK(F_Custom1_V)),1,IFERROR(IF(ISNUMBER(SEARCH("|"&amp;INDEX(INDIRECT(F_Custom1_resolved_column),138)&amp;"|",F_Custom1_wrapped)),1,0),0))</f>
        <v>1</v>
      </c>
      <c r="E139">
        <f>IF(OR(F_Custom2_Q="(None)",F_Custom2_Q="",ISBLANK(F_Custom2_Q),F_Custom2_V="(All)",F_Custom2_V="",ISBLANK(F_Custom2_V)),1,IFERROR(IF(ISNUMBER(SEARCH("|"&amp;INDEX(INDIRECT(F_Custom2_resolved_column),138)&amp;"|",F_Custom2_wrapped)),1,0),0))</f>
        <v>1</v>
      </c>
      <c r="F139">
        <f>D139*E139*1</f>
        <v>1</v>
      </c>
      <c r="G139">
        <f>1</f>
        <v>1</v>
      </c>
      <c r="H1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138)&amp;"|",All_Questions_Q_STREAM_F_wrapped)),1,0),0))*1</f>
        <v>1</v>
      </c>
    </row>
    <row r="140">
      <c r="A140" t="n">
        <v>139</v>
      </c>
      <c r="B140" t="inlineStr">
        <is>
          <t>A</t>
        </is>
      </c>
      <c r="C140">
        <f>1</f>
        <v>1</v>
      </c>
      <c r="D140">
        <f>IF(OR(F_Custom1_Q="(None)",F_Custom1_Q="",ISBLANK(F_Custom1_Q),F_Custom1_V="(All)",F_Custom1_V="",ISBLANK(F_Custom1_V)),1,IFERROR(IF(ISNUMBER(SEARCH("|"&amp;INDEX(INDIRECT(F_Custom1_resolved_column),139)&amp;"|",F_Custom1_wrapped)),1,0),0))</f>
        <v>1</v>
      </c>
      <c r="E140">
        <f>IF(OR(F_Custom2_Q="(None)",F_Custom2_Q="",ISBLANK(F_Custom2_Q),F_Custom2_V="(All)",F_Custom2_V="",ISBLANK(F_Custom2_V)),1,IFERROR(IF(ISNUMBER(SEARCH("|"&amp;INDEX(INDIRECT(F_Custom2_resolved_column),139)&amp;"|",F_Custom2_wrapped)),1,0),0))</f>
        <v>1</v>
      </c>
      <c r="F140">
        <f>D140*E140*1</f>
        <v>1</v>
      </c>
      <c r="G140">
        <f>1</f>
        <v>1</v>
      </c>
      <c r="H1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139)&amp;"|",All_Questions_Q_STREAM_F_wrapped)),1,0),0))*1</f>
        <v>1</v>
      </c>
    </row>
    <row r="141">
      <c r="A141" t="n">
        <v>140</v>
      </c>
      <c r="B141" t="inlineStr">
        <is>
          <t>B</t>
        </is>
      </c>
      <c r="C141">
        <f>1</f>
        <v>1</v>
      </c>
      <c r="D141">
        <f>IF(OR(F_Custom1_Q="(None)",F_Custom1_Q="",ISBLANK(F_Custom1_Q),F_Custom1_V="(All)",F_Custom1_V="",ISBLANK(F_Custom1_V)),1,IFERROR(IF(ISNUMBER(SEARCH("|"&amp;INDEX(INDIRECT(F_Custom1_resolved_column),140)&amp;"|",F_Custom1_wrapped)),1,0),0))</f>
        <v>1</v>
      </c>
      <c r="E141">
        <f>IF(OR(F_Custom2_Q="(None)",F_Custom2_Q="",ISBLANK(F_Custom2_Q),F_Custom2_V="(All)",F_Custom2_V="",ISBLANK(F_Custom2_V)),1,IFERROR(IF(ISNUMBER(SEARCH("|"&amp;INDEX(INDIRECT(F_Custom2_resolved_column),140)&amp;"|",F_Custom2_wrapped)),1,0),0))</f>
        <v>1</v>
      </c>
      <c r="F141">
        <f>D141*E141*1</f>
        <v>1</v>
      </c>
      <c r="G141">
        <f>1</f>
        <v>1</v>
      </c>
      <c r="H1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140)&amp;"|",All_Questions_Q_STREAM_F_wrapped)),1,0),0))*1</f>
        <v>1</v>
      </c>
    </row>
    <row r="142">
      <c r="A142" t="n">
        <v>141</v>
      </c>
      <c r="B142" t="inlineStr">
        <is>
          <t>A</t>
        </is>
      </c>
      <c r="C142">
        <f>1</f>
        <v>1</v>
      </c>
      <c r="D142">
        <f>IF(OR(F_Custom1_Q="(None)",F_Custom1_Q="",ISBLANK(F_Custom1_Q),F_Custom1_V="(All)",F_Custom1_V="",ISBLANK(F_Custom1_V)),1,IFERROR(IF(ISNUMBER(SEARCH("|"&amp;INDEX(INDIRECT(F_Custom1_resolved_column),141)&amp;"|",F_Custom1_wrapped)),1,0),0))</f>
        <v>1</v>
      </c>
      <c r="E142">
        <f>IF(OR(F_Custom2_Q="(None)",F_Custom2_Q="",ISBLANK(F_Custom2_Q),F_Custom2_V="(All)",F_Custom2_V="",ISBLANK(F_Custom2_V)),1,IFERROR(IF(ISNUMBER(SEARCH("|"&amp;INDEX(INDIRECT(F_Custom2_resolved_column),141)&amp;"|",F_Custom2_wrapped)),1,0),0))</f>
        <v>1</v>
      </c>
      <c r="F142">
        <f>D142*E142*1</f>
        <v>1</v>
      </c>
      <c r="G142">
        <f>1</f>
        <v>1</v>
      </c>
      <c r="H1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141)&amp;"|",All_Questions_Q_STREAM_F_wrapped)),1,0),0))*1</f>
        <v>1</v>
      </c>
    </row>
    <row r="143">
      <c r="A143" t="n">
        <v>142</v>
      </c>
      <c r="B143" t="inlineStr">
        <is>
          <t>B</t>
        </is>
      </c>
      <c r="C143">
        <f>1</f>
        <v>1</v>
      </c>
      <c r="D143">
        <f>IF(OR(F_Custom1_Q="(None)",F_Custom1_Q="",ISBLANK(F_Custom1_Q),F_Custom1_V="(All)",F_Custom1_V="",ISBLANK(F_Custom1_V)),1,IFERROR(IF(ISNUMBER(SEARCH("|"&amp;INDEX(INDIRECT(F_Custom1_resolved_column),142)&amp;"|",F_Custom1_wrapped)),1,0),0))</f>
        <v>1</v>
      </c>
      <c r="E143">
        <f>IF(OR(F_Custom2_Q="(None)",F_Custom2_Q="",ISBLANK(F_Custom2_Q),F_Custom2_V="(All)",F_Custom2_V="",ISBLANK(F_Custom2_V)),1,IFERROR(IF(ISNUMBER(SEARCH("|"&amp;INDEX(INDIRECT(F_Custom2_resolved_column),142)&amp;"|",F_Custom2_wrapped)),1,0),0))</f>
        <v>1</v>
      </c>
      <c r="F143">
        <f>D143*E143*1</f>
        <v>1</v>
      </c>
      <c r="G143">
        <f>1</f>
        <v>1</v>
      </c>
      <c r="H1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142)&amp;"|",All_Questions_Q_STREAM_F_wrapped)),1,0),0))*1</f>
        <v>1</v>
      </c>
    </row>
    <row r="144">
      <c r="A144" t="n">
        <v>143</v>
      </c>
      <c r="B144" t="inlineStr">
        <is>
          <t>A</t>
        </is>
      </c>
      <c r="C144">
        <f>1</f>
        <v>1</v>
      </c>
      <c r="D144">
        <f>IF(OR(F_Custom1_Q="(None)",F_Custom1_Q="",ISBLANK(F_Custom1_Q),F_Custom1_V="(All)",F_Custom1_V="",ISBLANK(F_Custom1_V)),1,IFERROR(IF(ISNUMBER(SEARCH("|"&amp;INDEX(INDIRECT(F_Custom1_resolved_column),143)&amp;"|",F_Custom1_wrapped)),1,0),0))</f>
        <v>1</v>
      </c>
      <c r="E144">
        <f>IF(OR(F_Custom2_Q="(None)",F_Custom2_Q="",ISBLANK(F_Custom2_Q),F_Custom2_V="(All)",F_Custom2_V="",ISBLANK(F_Custom2_V)),1,IFERROR(IF(ISNUMBER(SEARCH("|"&amp;INDEX(INDIRECT(F_Custom2_resolved_column),143)&amp;"|",F_Custom2_wrapped)),1,0),0))</f>
        <v>1</v>
      </c>
      <c r="F144">
        <f>D144*E144*1</f>
        <v>1</v>
      </c>
      <c r="G144">
        <f>1</f>
        <v>1</v>
      </c>
      <c r="H1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143)&amp;"|",All_Questions_Q_STREAM_F_wrapped)),1,0),0))*1</f>
        <v>1</v>
      </c>
    </row>
    <row r="145">
      <c r="A145" t="n">
        <v>144</v>
      </c>
      <c r="B145" t="inlineStr">
        <is>
          <t>B</t>
        </is>
      </c>
      <c r="C145">
        <f>1</f>
        <v>1</v>
      </c>
      <c r="D145">
        <f>IF(OR(F_Custom1_Q="(None)",F_Custom1_Q="",ISBLANK(F_Custom1_Q),F_Custom1_V="(All)",F_Custom1_V="",ISBLANK(F_Custom1_V)),1,IFERROR(IF(ISNUMBER(SEARCH("|"&amp;INDEX(INDIRECT(F_Custom1_resolved_column),144)&amp;"|",F_Custom1_wrapped)),1,0),0))</f>
        <v>1</v>
      </c>
      <c r="E145">
        <f>IF(OR(F_Custom2_Q="(None)",F_Custom2_Q="",ISBLANK(F_Custom2_Q),F_Custom2_V="(All)",F_Custom2_V="",ISBLANK(F_Custom2_V)),1,IFERROR(IF(ISNUMBER(SEARCH("|"&amp;INDEX(INDIRECT(F_Custom2_resolved_column),144)&amp;"|",F_Custom2_wrapped)),1,0),0))</f>
        <v>1</v>
      </c>
      <c r="F145">
        <f>D145*E145*1</f>
        <v>1</v>
      </c>
      <c r="G145">
        <f>1</f>
        <v>1</v>
      </c>
      <c r="H1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144)&amp;"|",All_Questions_Q_STREAM_F_wrapped)),1,0),0))*1</f>
        <v>1</v>
      </c>
    </row>
    <row r="146">
      <c r="A146" t="n">
        <v>145</v>
      </c>
      <c r="B146" t="inlineStr">
        <is>
          <t>A</t>
        </is>
      </c>
      <c r="C146">
        <f>1</f>
        <v>1</v>
      </c>
      <c r="D146">
        <f>IF(OR(F_Custom1_Q="(None)",F_Custom1_Q="",ISBLANK(F_Custom1_Q),F_Custom1_V="(All)",F_Custom1_V="",ISBLANK(F_Custom1_V)),1,IFERROR(IF(ISNUMBER(SEARCH("|"&amp;INDEX(INDIRECT(F_Custom1_resolved_column),145)&amp;"|",F_Custom1_wrapped)),1,0),0))</f>
        <v>1</v>
      </c>
      <c r="E146">
        <f>IF(OR(F_Custom2_Q="(None)",F_Custom2_Q="",ISBLANK(F_Custom2_Q),F_Custom2_V="(All)",F_Custom2_V="",ISBLANK(F_Custom2_V)),1,IFERROR(IF(ISNUMBER(SEARCH("|"&amp;INDEX(INDIRECT(F_Custom2_resolved_column),145)&amp;"|",F_Custom2_wrapped)),1,0),0))</f>
        <v>1</v>
      </c>
      <c r="F146">
        <f>D146*E146*1</f>
        <v>1</v>
      </c>
      <c r="G146">
        <f>1</f>
        <v>1</v>
      </c>
      <c r="H1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145)&amp;"|",All_Questions_Q_STREAM_F_wrapped)),1,0),0))*1</f>
        <v>1</v>
      </c>
    </row>
    <row r="147">
      <c r="A147" t="n">
        <v>146</v>
      </c>
      <c r="B147" t="inlineStr">
        <is>
          <t>B</t>
        </is>
      </c>
      <c r="C147">
        <f>1</f>
        <v>1</v>
      </c>
      <c r="D147">
        <f>IF(OR(F_Custom1_Q="(None)",F_Custom1_Q="",ISBLANK(F_Custom1_Q),F_Custom1_V="(All)",F_Custom1_V="",ISBLANK(F_Custom1_V)),1,IFERROR(IF(ISNUMBER(SEARCH("|"&amp;INDEX(INDIRECT(F_Custom1_resolved_column),146)&amp;"|",F_Custom1_wrapped)),1,0),0))</f>
        <v>1</v>
      </c>
      <c r="E147">
        <f>IF(OR(F_Custom2_Q="(None)",F_Custom2_Q="",ISBLANK(F_Custom2_Q),F_Custom2_V="(All)",F_Custom2_V="",ISBLANK(F_Custom2_V)),1,IFERROR(IF(ISNUMBER(SEARCH("|"&amp;INDEX(INDIRECT(F_Custom2_resolved_column),146)&amp;"|",F_Custom2_wrapped)),1,0),0))</f>
        <v>1</v>
      </c>
      <c r="F147">
        <f>D147*E147*1</f>
        <v>1</v>
      </c>
      <c r="G147">
        <f>1</f>
        <v>1</v>
      </c>
      <c r="H1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146)&amp;"|",All_Questions_Q_STREAM_F_wrapped)),1,0),0))*1</f>
        <v>1</v>
      </c>
    </row>
    <row r="148">
      <c r="A148" t="n">
        <v>147</v>
      </c>
      <c r="B148" t="inlineStr">
        <is>
          <t>A</t>
        </is>
      </c>
      <c r="C148">
        <f>1</f>
        <v>1</v>
      </c>
      <c r="D148">
        <f>IF(OR(F_Custom1_Q="(None)",F_Custom1_Q="",ISBLANK(F_Custom1_Q),F_Custom1_V="(All)",F_Custom1_V="",ISBLANK(F_Custom1_V)),1,IFERROR(IF(ISNUMBER(SEARCH("|"&amp;INDEX(INDIRECT(F_Custom1_resolved_column),147)&amp;"|",F_Custom1_wrapped)),1,0),0))</f>
        <v>1</v>
      </c>
      <c r="E148">
        <f>IF(OR(F_Custom2_Q="(None)",F_Custom2_Q="",ISBLANK(F_Custom2_Q),F_Custom2_V="(All)",F_Custom2_V="",ISBLANK(F_Custom2_V)),1,IFERROR(IF(ISNUMBER(SEARCH("|"&amp;INDEX(INDIRECT(F_Custom2_resolved_column),147)&amp;"|",F_Custom2_wrapped)),1,0),0))</f>
        <v>1</v>
      </c>
      <c r="F148">
        <f>D148*E148*1</f>
        <v>1</v>
      </c>
      <c r="G148">
        <f>1</f>
        <v>1</v>
      </c>
      <c r="H1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147)&amp;"|",All_Questions_Q_STREAM_F_wrapped)),1,0),0))*1</f>
        <v>1</v>
      </c>
    </row>
    <row r="149">
      <c r="A149" t="n">
        <v>148</v>
      </c>
      <c r="B149" t="inlineStr">
        <is>
          <t>B</t>
        </is>
      </c>
      <c r="C149">
        <f>1</f>
        <v>1</v>
      </c>
      <c r="D149">
        <f>IF(OR(F_Custom1_Q="(None)",F_Custom1_Q="",ISBLANK(F_Custom1_Q),F_Custom1_V="(All)",F_Custom1_V="",ISBLANK(F_Custom1_V)),1,IFERROR(IF(ISNUMBER(SEARCH("|"&amp;INDEX(INDIRECT(F_Custom1_resolved_column),148)&amp;"|",F_Custom1_wrapped)),1,0),0))</f>
        <v>1</v>
      </c>
      <c r="E149">
        <f>IF(OR(F_Custom2_Q="(None)",F_Custom2_Q="",ISBLANK(F_Custom2_Q),F_Custom2_V="(All)",F_Custom2_V="",ISBLANK(F_Custom2_V)),1,IFERROR(IF(ISNUMBER(SEARCH("|"&amp;INDEX(INDIRECT(F_Custom2_resolved_column),148)&amp;"|",F_Custom2_wrapped)),1,0),0))</f>
        <v>1</v>
      </c>
      <c r="F149">
        <f>D149*E149*1</f>
        <v>1</v>
      </c>
      <c r="G149">
        <f>1</f>
        <v>1</v>
      </c>
      <c r="H1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148)&amp;"|",All_Questions_Q_STREAM_F_wrapped)),1,0),0))*1</f>
        <v>1</v>
      </c>
    </row>
    <row r="150">
      <c r="A150" t="n">
        <v>149</v>
      </c>
      <c r="B150" t="inlineStr">
        <is>
          <t>A</t>
        </is>
      </c>
      <c r="C150">
        <f>1</f>
        <v>1</v>
      </c>
      <c r="D150">
        <f>IF(OR(F_Custom1_Q="(None)",F_Custom1_Q="",ISBLANK(F_Custom1_Q),F_Custom1_V="(All)",F_Custom1_V="",ISBLANK(F_Custom1_V)),1,IFERROR(IF(ISNUMBER(SEARCH("|"&amp;INDEX(INDIRECT(F_Custom1_resolved_column),149)&amp;"|",F_Custom1_wrapped)),1,0),0))</f>
        <v>1</v>
      </c>
      <c r="E150">
        <f>IF(OR(F_Custom2_Q="(None)",F_Custom2_Q="",ISBLANK(F_Custom2_Q),F_Custom2_V="(All)",F_Custom2_V="",ISBLANK(F_Custom2_V)),1,IFERROR(IF(ISNUMBER(SEARCH("|"&amp;INDEX(INDIRECT(F_Custom2_resolved_column),149)&amp;"|",F_Custom2_wrapped)),1,0),0))</f>
        <v>1</v>
      </c>
      <c r="F150">
        <f>D150*E150*1</f>
        <v>1</v>
      </c>
      <c r="G150">
        <f>1</f>
        <v>1</v>
      </c>
      <c r="H1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149)&amp;"|",All_Questions_Q_STREAM_F_wrapped)),1,0),0))*1</f>
        <v>1</v>
      </c>
    </row>
    <row r="151">
      <c r="A151" t="n">
        <v>150</v>
      </c>
      <c r="B151" t="inlineStr">
        <is>
          <t>B</t>
        </is>
      </c>
      <c r="C151">
        <f>1</f>
        <v>1</v>
      </c>
      <c r="D151">
        <f>IF(OR(F_Custom1_Q="(None)",F_Custom1_Q="",ISBLANK(F_Custom1_Q),F_Custom1_V="(All)",F_Custom1_V="",ISBLANK(F_Custom1_V)),1,IFERROR(IF(ISNUMBER(SEARCH("|"&amp;INDEX(INDIRECT(F_Custom1_resolved_column),150)&amp;"|",F_Custom1_wrapped)),1,0),0))</f>
        <v>1</v>
      </c>
      <c r="E151">
        <f>IF(OR(F_Custom2_Q="(None)",F_Custom2_Q="",ISBLANK(F_Custom2_Q),F_Custom2_V="(All)",F_Custom2_V="",ISBLANK(F_Custom2_V)),1,IFERROR(IF(ISNUMBER(SEARCH("|"&amp;INDEX(INDIRECT(F_Custom2_resolved_column),150)&amp;"|",F_Custom2_wrapped)),1,0),0))</f>
        <v>1</v>
      </c>
      <c r="F151">
        <f>D151*E151*1</f>
        <v>1</v>
      </c>
      <c r="G151">
        <f>1</f>
        <v>1</v>
      </c>
      <c r="H1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150)&amp;"|",All_Questions_Q_STREAM_F_wrapped)),1,0),0))*1</f>
        <v>1</v>
      </c>
    </row>
    <row r="152">
      <c r="A152" t="n">
        <v>151</v>
      </c>
      <c r="B152" t="inlineStr">
        <is>
          <t>A</t>
        </is>
      </c>
      <c r="C152">
        <f>1</f>
        <v>1</v>
      </c>
      <c r="D152">
        <f>IF(OR(F_Custom1_Q="(None)",F_Custom1_Q="",ISBLANK(F_Custom1_Q),F_Custom1_V="(All)",F_Custom1_V="",ISBLANK(F_Custom1_V)),1,IFERROR(IF(ISNUMBER(SEARCH("|"&amp;INDEX(INDIRECT(F_Custom1_resolved_column),151)&amp;"|",F_Custom1_wrapped)),1,0),0))</f>
        <v>1</v>
      </c>
      <c r="E152">
        <f>IF(OR(F_Custom2_Q="(None)",F_Custom2_Q="",ISBLANK(F_Custom2_Q),F_Custom2_V="(All)",F_Custom2_V="",ISBLANK(F_Custom2_V)),1,IFERROR(IF(ISNUMBER(SEARCH("|"&amp;INDEX(INDIRECT(F_Custom2_resolved_column),151)&amp;"|",F_Custom2_wrapped)),1,0),0))</f>
        <v>1</v>
      </c>
      <c r="F152">
        <f>D152*E152*1</f>
        <v>1</v>
      </c>
      <c r="G152">
        <f>1</f>
        <v>1</v>
      </c>
      <c r="H1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151)&amp;"|",All_Questions_Q_STREAM_F_wrapped)),1,0),0))*1</f>
        <v>1</v>
      </c>
    </row>
    <row r="153">
      <c r="A153" t="n">
        <v>152</v>
      </c>
      <c r="B153" t="inlineStr">
        <is>
          <t>B</t>
        </is>
      </c>
      <c r="C153">
        <f>1</f>
        <v>1</v>
      </c>
      <c r="D153">
        <f>IF(OR(F_Custom1_Q="(None)",F_Custom1_Q="",ISBLANK(F_Custom1_Q),F_Custom1_V="(All)",F_Custom1_V="",ISBLANK(F_Custom1_V)),1,IFERROR(IF(ISNUMBER(SEARCH("|"&amp;INDEX(INDIRECT(F_Custom1_resolved_column),152)&amp;"|",F_Custom1_wrapped)),1,0),0))</f>
        <v>1</v>
      </c>
      <c r="E153">
        <f>IF(OR(F_Custom2_Q="(None)",F_Custom2_Q="",ISBLANK(F_Custom2_Q),F_Custom2_V="(All)",F_Custom2_V="",ISBLANK(F_Custom2_V)),1,IFERROR(IF(ISNUMBER(SEARCH("|"&amp;INDEX(INDIRECT(F_Custom2_resolved_column),152)&amp;"|",F_Custom2_wrapped)),1,0),0))</f>
        <v>1</v>
      </c>
      <c r="F153">
        <f>D153*E153*1</f>
        <v>1</v>
      </c>
      <c r="G153">
        <f>1</f>
        <v>1</v>
      </c>
      <c r="H1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152)&amp;"|",All_Questions_Q_STREAM_F_wrapped)),1,0),0))*1</f>
        <v>1</v>
      </c>
    </row>
    <row r="154">
      <c r="A154" t="n">
        <v>153</v>
      </c>
      <c r="B154" t="inlineStr">
        <is>
          <t>A</t>
        </is>
      </c>
      <c r="C154">
        <f>1</f>
        <v>1</v>
      </c>
      <c r="D154">
        <f>IF(OR(F_Custom1_Q="(None)",F_Custom1_Q="",ISBLANK(F_Custom1_Q),F_Custom1_V="(All)",F_Custom1_V="",ISBLANK(F_Custom1_V)),1,IFERROR(IF(ISNUMBER(SEARCH("|"&amp;INDEX(INDIRECT(F_Custom1_resolved_column),153)&amp;"|",F_Custom1_wrapped)),1,0),0))</f>
        <v>1</v>
      </c>
      <c r="E154">
        <f>IF(OR(F_Custom2_Q="(None)",F_Custom2_Q="",ISBLANK(F_Custom2_Q),F_Custom2_V="(All)",F_Custom2_V="",ISBLANK(F_Custom2_V)),1,IFERROR(IF(ISNUMBER(SEARCH("|"&amp;INDEX(INDIRECT(F_Custom2_resolved_column),153)&amp;"|",F_Custom2_wrapped)),1,0),0))</f>
        <v>1</v>
      </c>
      <c r="F154">
        <f>D154*E154*1</f>
        <v>1</v>
      </c>
      <c r="G154">
        <f>1</f>
        <v>1</v>
      </c>
      <c r="H1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153)&amp;"|",All_Questions_Q_STREAM_F_wrapped)),1,0),0))*1</f>
        <v>1</v>
      </c>
    </row>
    <row r="155">
      <c r="A155" t="n">
        <v>154</v>
      </c>
      <c r="B155" t="inlineStr">
        <is>
          <t>B</t>
        </is>
      </c>
      <c r="C155">
        <f>1</f>
        <v>1</v>
      </c>
      <c r="D155">
        <f>IF(OR(F_Custom1_Q="(None)",F_Custom1_Q="",ISBLANK(F_Custom1_Q),F_Custom1_V="(All)",F_Custom1_V="",ISBLANK(F_Custom1_V)),1,IFERROR(IF(ISNUMBER(SEARCH("|"&amp;INDEX(INDIRECT(F_Custom1_resolved_column),154)&amp;"|",F_Custom1_wrapped)),1,0),0))</f>
        <v>1</v>
      </c>
      <c r="E155">
        <f>IF(OR(F_Custom2_Q="(None)",F_Custom2_Q="",ISBLANK(F_Custom2_Q),F_Custom2_V="(All)",F_Custom2_V="",ISBLANK(F_Custom2_V)),1,IFERROR(IF(ISNUMBER(SEARCH("|"&amp;INDEX(INDIRECT(F_Custom2_resolved_column),154)&amp;"|",F_Custom2_wrapped)),1,0),0))</f>
        <v>1</v>
      </c>
      <c r="F155">
        <f>D155*E155*1</f>
        <v>1</v>
      </c>
      <c r="G155">
        <f>1</f>
        <v>1</v>
      </c>
      <c r="H1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154)&amp;"|",All_Questions_Q_STREAM_F_wrapped)),1,0),0))*1</f>
        <v>1</v>
      </c>
    </row>
    <row r="156">
      <c r="A156" t="n">
        <v>155</v>
      </c>
      <c r="B156" t="inlineStr">
        <is>
          <t>A</t>
        </is>
      </c>
      <c r="C156">
        <f>1</f>
        <v>1</v>
      </c>
      <c r="D156">
        <f>IF(OR(F_Custom1_Q="(None)",F_Custom1_Q="",ISBLANK(F_Custom1_Q),F_Custom1_V="(All)",F_Custom1_V="",ISBLANK(F_Custom1_V)),1,IFERROR(IF(ISNUMBER(SEARCH("|"&amp;INDEX(INDIRECT(F_Custom1_resolved_column),155)&amp;"|",F_Custom1_wrapped)),1,0),0))</f>
        <v>1</v>
      </c>
      <c r="E156">
        <f>IF(OR(F_Custom2_Q="(None)",F_Custom2_Q="",ISBLANK(F_Custom2_Q),F_Custom2_V="(All)",F_Custom2_V="",ISBLANK(F_Custom2_V)),1,IFERROR(IF(ISNUMBER(SEARCH("|"&amp;INDEX(INDIRECT(F_Custom2_resolved_column),155)&amp;"|",F_Custom2_wrapped)),1,0),0))</f>
        <v>1</v>
      </c>
      <c r="F156">
        <f>D156*E156*1</f>
        <v>1</v>
      </c>
      <c r="G156">
        <f>1</f>
        <v>1</v>
      </c>
      <c r="H1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155)&amp;"|",All_Questions_Q_STREAM_F_wrapped)),1,0),0))*1</f>
        <v>1</v>
      </c>
    </row>
    <row r="157">
      <c r="A157" t="n">
        <v>156</v>
      </c>
      <c r="B157" t="inlineStr">
        <is>
          <t>B</t>
        </is>
      </c>
      <c r="C157">
        <f>1</f>
        <v>1</v>
      </c>
      <c r="D157">
        <f>IF(OR(F_Custom1_Q="(None)",F_Custom1_Q="",ISBLANK(F_Custom1_Q),F_Custom1_V="(All)",F_Custom1_V="",ISBLANK(F_Custom1_V)),1,IFERROR(IF(ISNUMBER(SEARCH("|"&amp;INDEX(INDIRECT(F_Custom1_resolved_column),156)&amp;"|",F_Custom1_wrapped)),1,0),0))</f>
        <v>1</v>
      </c>
      <c r="E157">
        <f>IF(OR(F_Custom2_Q="(None)",F_Custom2_Q="",ISBLANK(F_Custom2_Q),F_Custom2_V="(All)",F_Custom2_V="",ISBLANK(F_Custom2_V)),1,IFERROR(IF(ISNUMBER(SEARCH("|"&amp;INDEX(INDIRECT(F_Custom2_resolved_column),156)&amp;"|",F_Custom2_wrapped)),1,0),0))</f>
        <v>1</v>
      </c>
      <c r="F157">
        <f>D157*E157*1</f>
        <v>1</v>
      </c>
      <c r="G157">
        <f>1</f>
        <v>1</v>
      </c>
      <c r="H1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156)&amp;"|",All_Questions_Q_STREAM_F_wrapped)),1,0),0))*1</f>
        <v>1</v>
      </c>
    </row>
    <row r="158">
      <c r="A158" t="n">
        <v>157</v>
      </c>
      <c r="B158" t="inlineStr">
        <is>
          <t>A</t>
        </is>
      </c>
      <c r="C158">
        <f>1</f>
        <v>1</v>
      </c>
      <c r="D158">
        <f>IF(OR(F_Custom1_Q="(None)",F_Custom1_Q="",ISBLANK(F_Custom1_Q),F_Custom1_V="(All)",F_Custom1_V="",ISBLANK(F_Custom1_V)),1,IFERROR(IF(ISNUMBER(SEARCH("|"&amp;INDEX(INDIRECT(F_Custom1_resolved_column),157)&amp;"|",F_Custom1_wrapped)),1,0),0))</f>
        <v>1</v>
      </c>
      <c r="E158">
        <f>IF(OR(F_Custom2_Q="(None)",F_Custom2_Q="",ISBLANK(F_Custom2_Q),F_Custom2_V="(All)",F_Custom2_V="",ISBLANK(F_Custom2_V)),1,IFERROR(IF(ISNUMBER(SEARCH("|"&amp;INDEX(INDIRECT(F_Custom2_resolved_column),157)&amp;"|",F_Custom2_wrapped)),1,0),0))</f>
        <v>1</v>
      </c>
      <c r="F158">
        <f>D158*E158*1</f>
        <v>1</v>
      </c>
      <c r="G158">
        <f>1</f>
        <v>1</v>
      </c>
      <c r="H1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157)&amp;"|",All_Questions_Q_STREAM_F_wrapped)),1,0),0))*1</f>
        <v>1</v>
      </c>
    </row>
    <row r="159">
      <c r="A159" t="n">
        <v>158</v>
      </c>
      <c r="B159" t="inlineStr">
        <is>
          <t>B</t>
        </is>
      </c>
      <c r="C159">
        <f>1</f>
        <v>1</v>
      </c>
      <c r="D159">
        <f>IF(OR(F_Custom1_Q="(None)",F_Custom1_Q="",ISBLANK(F_Custom1_Q),F_Custom1_V="(All)",F_Custom1_V="",ISBLANK(F_Custom1_V)),1,IFERROR(IF(ISNUMBER(SEARCH("|"&amp;INDEX(INDIRECT(F_Custom1_resolved_column),158)&amp;"|",F_Custom1_wrapped)),1,0),0))</f>
        <v>1</v>
      </c>
      <c r="E159">
        <f>IF(OR(F_Custom2_Q="(None)",F_Custom2_Q="",ISBLANK(F_Custom2_Q),F_Custom2_V="(All)",F_Custom2_V="",ISBLANK(F_Custom2_V)),1,IFERROR(IF(ISNUMBER(SEARCH("|"&amp;INDEX(INDIRECT(F_Custom2_resolved_column),158)&amp;"|",F_Custom2_wrapped)),1,0),0))</f>
        <v>1</v>
      </c>
      <c r="F159">
        <f>D159*E159*1</f>
        <v>1</v>
      </c>
      <c r="G159">
        <f>1</f>
        <v>1</v>
      </c>
      <c r="H1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158)&amp;"|",All_Questions_Q_STREAM_F_wrapped)),1,0),0))*1</f>
        <v>1</v>
      </c>
    </row>
    <row r="160">
      <c r="A160" t="n">
        <v>159</v>
      </c>
      <c r="B160" t="inlineStr">
        <is>
          <t>A</t>
        </is>
      </c>
      <c r="C160">
        <f>1</f>
        <v>1</v>
      </c>
      <c r="D160">
        <f>IF(OR(F_Custom1_Q="(None)",F_Custom1_Q="",ISBLANK(F_Custom1_Q),F_Custom1_V="(All)",F_Custom1_V="",ISBLANK(F_Custom1_V)),1,IFERROR(IF(ISNUMBER(SEARCH("|"&amp;INDEX(INDIRECT(F_Custom1_resolved_column),159)&amp;"|",F_Custom1_wrapped)),1,0),0))</f>
        <v>1</v>
      </c>
      <c r="E160">
        <f>IF(OR(F_Custom2_Q="(None)",F_Custom2_Q="",ISBLANK(F_Custom2_Q),F_Custom2_V="(All)",F_Custom2_V="",ISBLANK(F_Custom2_V)),1,IFERROR(IF(ISNUMBER(SEARCH("|"&amp;INDEX(INDIRECT(F_Custom2_resolved_column),159)&amp;"|",F_Custom2_wrapped)),1,0),0))</f>
        <v>1</v>
      </c>
      <c r="F160">
        <f>D160*E160*1</f>
        <v>1</v>
      </c>
      <c r="G160">
        <f>1</f>
        <v>1</v>
      </c>
      <c r="H1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159)&amp;"|",All_Questions_Q_STREAM_F_wrapped)),1,0),0))*1</f>
        <v>1</v>
      </c>
    </row>
    <row r="161">
      <c r="A161" t="n">
        <v>160</v>
      </c>
      <c r="B161" t="inlineStr">
        <is>
          <t>B</t>
        </is>
      </c>
      <c r="C161">
        <f>1</f>
        <v>1</v>
      </c>
      <c r="D161">
        <f>IF(OR(F_Custom1_Q="(None)",F_Custom1_Q="",ISBLANK(F_Custom1_Q),F_Custom1_V="(All)",F_Custom1_V="",ISBLANK(F_Custom1_V)),1,IFERROR(IF(ISNUMBER(SEARCH("|"&amp;INDEX(INDIRECT(F_Custom1_resolved_column),160)&amp;"|",F_Custom1_wrapped)),1,0),0))</f>
        <v>1</v>
      </c>
      <c r="E161">
        <f>IF(OR(F_Custom2_Q="(None)",F_Custom2_Q="",ISBLANK(F_Custom2_Q),F_Custom2_V="(All)",F_Custom2_V="",ISBLANK(F_Custom2_V)),1,IFERROR(IF(ISNUMBER(SEARCH("|"&amp;INDEX(INDIRECT(F_Custom2_resolved_column),160)&amp;"|",F_Custom2_wrapped)),1,0),0))</f>
        <v>1</v>
      </c>
      <c r="F161">
        <f>D161*E161*1</f>
        <v>1</v>
      </c>
      <c r="G161">
        <f>1</f>
        <v>1</v>
      </c>
      <c r="H1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160)&amp;"|",All_Questions_Q_STREAM_F_wrapped)),1,0),0))*1</f>
        <v>1</v>
      </c>
    </row>
    <row r="162">
      <c r="A162" t="n">
        <v>161</v>
      </c>
      <c r="B162" t="inlineStr">
        <is>
          <t>A</t>
        </is>
      </c>
      <c r="C162">
        <f>1</f>
        <v>1</v>
      </c>
      <c r="D162">
        <f>IF(OR(F_Custom1_Q="(None)",F_Custom1_Q="",ISBLANK(F_Custom1_Q),F_Custom1_V="(All)",F_Custom1_V="",ISBLANK(F_Custom1_V)),1,IFERROR(IF(ISNUMBER(SEARCH("|"&amp;INDEX(INDIRECT(F_Custom1_resolved_column),161)&amp;"|",F_Custom1_wrapped)),1,0),0))</f>
        <v>1</v>
      </c>
      <c r="E162">
        <f>IF(OR(F_Custom2_Q="(None)",F_Custom2_Q="",ISBLANK(F_Custom2_Q),F_Custom2_V="(All)",F_Custom2_V="",ISBLANK(F_Custom2_V)),1,IFERROR(IF(ISNUMBER(SEARCH("|"&amp;INDEX(INDIRECT(F_Custom2_resolved_column),161)&amp;"|",F_Custom2_wrapped)),1,0),0))</f>
        <v>1</v>
      </c>
      <c r="F162">
        <f>D162*E162*1</f>
        <v>1</v>
      </c>
      <c r="G162">
        <f>1</f>
        <v>1</v>
      </c>
      <c r="H1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161)&amp;"|",All_Questions_Q_STREAM_F_wrapped)),1,0),0))*1</f>
        <v>1</v>
      </c>
    </row>
    <row r="163">
      <c r="A163" t="n">
        <v>162</v>
      </c>
      <c r="B163" t="inlineStr">
        <is>
          <t>B</t>
        </is>
      </c>
      <c r="C163">
        <f>1</f>
        <v>1</v>
      </c>
      <c r="D163">
        <f>IF(OR(F_Custom1_Q="(None)",F_Custom1_Q="",ISBLANK(F_Custom1_Q),F_Custom1_V="(All)",F_Custom1_V="",ISBLANK(F_Custom1_V)),1,IFERROR(IF(ISNUMBER(SEARCH("|"&amp;INDEX(INDIRECT(F_Custom1_resolved_column),162)&amp;"|",F_Custom1_wrapped)),1,0),0))</f>
        <v>1</v>
      </c>
      <c r="E163">
        <f>IF(OR(F_Custom2_Q="(None)",F_Custom2_Q="",ISBLANK(F_Custom2_Q),F_Custom2_V="(All)",F_Custom2_V="",ISBLANK(F_Custom2_V)),1,IFERROR(IF(ISNUMBER(SEARCH("|"&amp;INDEX(INDIRECT(F_Custom2_resolved_column),162)&amp;"|",F_Custom2_wrapped)),1,0),0))</f>
        <v>1</v>
      </c>
      <c r="F163">
        <f>D163*E163*1</f>
        <v>1</v>
      </c>
      <c r="G163">
        <f>1</f>
        <v>1</v>
      </c>
      <c r="H1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162)&amp;"|",All_Questions_Q_STREAM_F_wrapped)),1,0),0))*1</f>
        <v>1</v>
      </c>
    </row>
    <row r="164">
      <c r="A164" t="n">
        <v>163</v>
      </c>
      <c r="B164" t="inlineStr">
        <is>
          <t>A</t>
        </is>
      </c>
      <c r="C164">
        <f>1</f>
        <v>1</v>
      </c>
      <c r="D164">
        <f>IF(OR(F_Custom1_Q="(None)",F_Custom1_Q="",ISBLANK(F_Custom1_Q),F_Custom1_V="(All)",F_Custom1_V="",ISBLANK(F_Custom1_V)),1,IFERROR(IF(ISNUMBER(SEARCH("|"&amp;INDEX(INDIRECT(F_Custom1_resolved_column),163)&amp;"|",F_Custom1_wrapped)),1,0),0))</f>
        <v>1</v>
      </c>
      <c r="E164">
        <f>IF(OR(F_Custom2_Q="(None)",F_Custom2_Q="",ISBLANK(F_Custom2_Q),F_Custom2_V="(All)",F_Custom2_V="",ISBLANK(F_Custom2_V)),1,IFERROR(IF(ISNUMBER(SEARCH("|"&amp;INDEX(INDIRECT(F_Custom2_resolved_column),163)&amp;"|",F_Custom2_wrapped)),1,0),0))</f>
        <v>1</v>
      </c>
      <c r="F164">
        <f>D164*E164*1</f>
        <v>1</v>
      </c>
      <c r="G164">
        <f>1</f>
        <v>1</v>
      </c>
      <c r="H1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163)&amp;"|",All_Questions_Q_STREAM_F_wrapped)),1,0),0))*1</f>
        <v>1</v>
      </c>
    </row>
    <row r="165">
      <c r="A165" t="n">
        <v>164</v>
      </c>
      <c r="B165" t="inlineStr">
        <is>
          <t>B</t>
        </is>
      </c>
      <c r="C165">
        <f>1</f>
        <v>1</v>
      </c>
      <c r="D165">
        <f>IF(OR(F_Custom1_Q="(None)",F_Custom1_Q="",ISBLANK(F_Custom1_Q),F_Custom1_V="(All)",F_Custom1_V="",ISBLANK(F_Custom1_V)),1,IFERROR(IF(ISNUMBER(SEARCH("|"&amp;INDEX(INDIRECT(F_Custom1_resolved_column),164)&amp;"|",F_Custom1_wrapped)),1,0),0))</f>
        <v>1</v>
      </c>
      <c r="E165">
        <f>IF(OR(F_Custom2_Q="(None)",F_Custom2_Q="",ISBLANK(F_Custom2_Q),F_Custom2_V="(All)",F_Custom2_V="",ISBLANK(F_Custom2_V)),1,IFERROR(IF(ISNUMBER(SEARCH("|"&amp;INDEX(INDIRECT(F_Custom2_resolved_column),164)&amp;"|",F_Custom2_wrapped)),1,0),0))</f>
        <v>1</v>
      </c>
      <c r="F165">
        <f>D165*E165*1</f>
        <v>1</v>
      </c>
      <c r="G165">
        <f>1</f>
        <v>1</v>
      </c>
      <c r="H1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164)&amp;"|",All_Questions_Q_STREAM_F_wrapped)),1,0),0))*1</f>
        <v>1</v>
      </c>
    </row>
    <row r="166">
      <c r="A166" t="n">
        <v>165</v>
      </c>
      <c r="B166" t="inlineStr">
        <is>
          <t>A</t>
        </is>
      </c>
      <c r="C166">
        <f>1</f>
        <v>1</v>
      </c>
      <c r="D166">
        <f>IF(OR(F_Custom1_Q="(None)",F_Custom1_Q="",ISBLANK(F_Custom1_Q),F_Custom1_V="(All)",F_Custom1_V="",ISBLANK(F_Custom1_V)),1,IFERROR(IF(ISNUMBER(SEARCH("|"&amp;INDEX(INDIRECT(F_Custom1_resolved_column),165)&amp;"|",F_Custom1_wrapped)),1,0),0))</f>
        <v>1</v>
      </c>
      <c r="E166">
        <f>IF(OR(F_Custom2_Q="(None)",F_Custom2_Q="",ISBLANK(F_Custom2_Q),F_Custom2_V="(All)",F_Custom2_V="",ISBLANK(F_Custom2_V)),1,IFERROR(IF(ISNUMBER(SEARCH("|"&amp;INDEX(INDIRECT(F_Custom2_resolved_column),165)&amp;"|",F_Custom2_wrapped)),1,0),0))</f>
        <v>1</v>
      </c>
      <c r="F166">
        <f>D166*E166*1</f>
        <v>1</v>
      </c>
      <c r="G166">
        <f>1</f>
        <v>1</v>
      </c>
      <c r="H1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165)&amp;"|",All_Questions_Q_STREAM_F_wrapped)),1,0),0))*1</f>
        <v>1</v>
      </c>
    </row>
    <row r="167">
      <c r="A167" t="n">
        <v>166</v>
      </c>
      <c r="B167" t="inlineStr">
        <is>
          <t>B</t>
        </is>
      </c>
      <c r="C167">
        <f>1</f>
        <v>1</v>
      </c>
      <c r="D167">
        <f>IF(OR(F_Custom1_Q="(None)",F_Custom1_Q="",ISBLANK(F_Custom1_Q),F_Custom1_V="(All)",F_Custom1_V="",ISBLANK(F_Custom1_V)),1,IFERROR(IF(ISNUMBER(SEARCH("|"&amp;INDEX(INDIRECT(F_Custom1_resolved_column),166)&amp;"|",F_Custom1_wrapped)),1,0),0))</f>
        <v>1</v>
      </c>
      <c r="E167">
        <f>IF(OR(F_Custom2_Q="(None)",F_Custom2_Q="",ISBLANK(F_Custom2_Q),F_Custom2_V="(All)",F_Custom2_V="",ISBLANK(F_Custom2_V)),1,IFERROR(IF(ISNUMBER(SEARCH("|"&amp;INDEX(INDIRECT(F_Custom2_resolved_column),166)&amp;"|",F_Custom2_wrapped)),1,0),0))</f>
        <v>1</v>
      </c>
      <c r="F167">
        <f>D167*E167*1</f>
        <v>1</v>
      </c>
      <c r="G167">
        <f>1</f>
        <v>1</v>
      </c>
      <c r="H1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166)&amp;"|",All_Questions_Q_STREAM_F_wrapped)),1,0),0))*1</f>
        <v>1</v>
      </c>
    </row>
    <row r="168">
      <c r="A168" t="n">
        <v>167</v>
      </c>
      <c r="B168" t="inlineStr">
        <is>
          <t>A</t>
        </is>
      </c>
      <c r="C168">
        <f>1</f>
        <v>1</v>
      </c>
      <c r="D168">
        <f>IF(OR(F_Custom1_Q="(None)",F_Custom1_Q="",ISBLANK(F_Custom1_Q),F_Custom1_V="(All)",F_Custom1_V="",ISBLANK(F_Custom1_V)),1,IFERROR(IF(ISNUMBER(SEARCH("|"&amp;INDEX(INDIRECT(F_Custom1_resolved_column),167)&amp;"|",F_Custom1_wrapped)),1,0),0))</f>
        <v>1</v>
      </c>
      <c r="E168">
        <f>IF(OR(F_Custom2_Q="(None)",F_Custom2_Q="",ISBLANK(F_Custom2_Q),F_Custom2_V="(All)",F_Custom2_V="",ISBLANK(F_Custom2_V)),1,IFERROR(IF(ISNUMBER(SEARCH("|"&amp;INDEX(INDIRECT(F_Custom2_resolved_column),167)&amp;"|",F_Custom2_wrapped)),1,0),0))</f>
        <v>1</v>
      </c>
      <c r="F168">
        <f>D168*E168*1</f>
        <v>1</v>
      </c>
      <c r="G168">
        <f>1</f>
        <v>1</v>
      </c>
      <c r="H1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167)&amp;"|",All_Questions_Q_STREAM_F_wrapped)),1,0),0))*1</f>
        <v>1</v>
      </c>
    </row>
    <row r="169">
      <c r="A169" t="n">
        <v>168</v>
      </c>
      <c r="B169" t="inlineStr">
        <is>
          <t>B</t>
        </is>
      </c>
      <c r="C169">
        <f>1</f>
        <v>1</v>
      </c>
      <c r="D169">
        <f>IF(OR(F_Custom1_Q="(None)",F_Custom1_Q="",ISBLANK(F_Custom1_Q),F_Custom1_V="(All)",F_Custom1_V="",ISBLANK(F_Custom1_V)),1,IFERROR(IF(ISNUMBER(SEARCH("|"&amp;INDEX(INDIRECT(F_Custom1_resolved_column),168)&amp;"|",F_Custom1_wrapped)),1,0),0))</f>
        <v>1</v>
      </c>
      <c r="E169">
        <f>IF(OR(F_Custom2_Q="(None)",F_Custom2_Q="",ISBLANK(F_Custom2_Q),F_Custom2_V="(All)",F_Custom2_V="",ISBLANK(F_Custom2_V)),1,IFERROR(IF(ISNUMBER(SEARCH("|"&amp;INDEX(INDIRECT(F_Custom2_resolved_column),168)&amp;"|",F_Custom2_wrapped)),1,0),0))</f>
        <v>1</v>
      </c>
      <c r="F169">
        <f>D169*E169*1</f>
        <v>1</v>
      </c>
      <c r="G169">
        <f>1</f>
        <v>1</v>
      </c>
      <c r="H1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168)&amp;"|",All_Questions_Q_STREAM_F_wrapped)),1,0),0))*1</f>
        <v>1</v>
      </c>
    </row>
    <row r="170">
      <c r="A170" t="n">
        <v>169</v>
      </c>
      <c r="B170" t="inlineStr">
        <is>
          <t>A</t>
        </is>
      </c>
      <c r="C170">
        <f>1</f>
        <v>1</v>
      </c>
      <c r="D170">
        <f>IF(OR(F_Custom1_Q="(None)",F_Custom1_Q="",ISBLANK(F_Custom1_Q),F_Custom1_V="(All)",F_Custom1_V="",ISBLANK(F_Custom1_V)),1,IFERROR(IF(ISNUMBER(SEARCH("|"&amp;INDEX(INDIRECT(F_Custom1_resolved_column),169)&amp;"|",F_Custom1_wrapped)),1,0),0))</f>
        <v>1</v>
      </c>
      <c r="E170">
        <f>IF(OR(F_Custom2_Q="(None)",F_Custom2_Q="",ISBLANK(F_Custom2_Q),F_Custom2_V="(All)",F_Custom2_V="",ISBLANK(F_Custom2_V)),1,IFERROR(IF(ISNUMBER(SEARCH("|"&amp;INDEX(INDIRECT(F_Custom2_resolved_column),169)&amp;"|",F_Custom2_wrapped)),1,0),0))</f>
        <v>1</v>
      </c>
      <c r="F170">
        <f>D170*E170*1</f>
        <v>1</v>
      </c>
      <c r="G170">
        <f>1</f>
        <v>1</v>
      </c>
      <c r="H1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169)&amp;"|",All_Questions_Q_STREAM_F_wrapped)),1,0),0))*1</f>
        <v>1</v>
      </c>
    </row>
    <row r="171">
      <c r="A171" t="n">
        <v>170</v>
      </c>
      <c r="B171" t="inlineStr">
        <is>
          <t>B</t>
        </is>
      </c>
      <c r="C171">
        <f>1</f>
        <v>1</v>
      </c>
      <c r="D171">
        <f>IF(OR(F_Custom1_Q="(None)",F_Custom1_Q="",ISBLANK(F_Custom1_Q),F_Custom1_V="(All)",F_Custom1_V="",ISBLANK(F_Custom1_V)),1,IFERROR(IF(ISNUMBER(SEARCH("|"&amp;INDEX(INDIRECT(F_Custom1_resolved_column),170)&amp;"|",F_Custom1_wrapped)),1,0),0))</f>
        <v>1</v>
      </c>
      <c r="E171">
        <f>IF(OR(F_Custom2_Q="(None)",F_Custom2_Q="",ISBLANK(F_Custom2_Q),F_Custom2_V="(All)",F_Custom2_V="",ISBLANK(F_Custom2_V)),1,IFERROR(IF(ISNUMBER(SEARCH("|"&amp;INDEX(INDIRECT(F_Custom2_resolved_column),170)&amp;"|",F_Custom2_wrapped)),1,0),0))</f>
        <v>1</v>
      </c>
      <c r="F171">
        <f>D171*E171*1</f>
        <v>1</v>
      </c>
      <c r="G171">
        <f>1</f>
        <v>1</v>
      </c>
      <c r="H1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170)&amp;"|",All_Questions_Q_STREAM_F_wrapped)),1,0),0))*1</f>
        <v>1</v>
      </c>
    </row>
    <row r="172">
      <c r="A172" t="n">
        <v>171</v>
      </c>
      <c r="B172" t="inlineStr">
        <is>
          <t>A</t>
        </is>
      </c>
      <c r="C172">
        <f>1</f>
        <v>1</v>
      </c>
      <c r="D172">
        <f>IF(OR(F_Custom1_Q="(None)",F_Custom1_Q="",ISBLANK(F_Custom1_Q),F_Custom1_V="(All)",F_Custom1_V="",ISBLANK(F_Custom1_V)),1,IFERROR(IF(ISNUMBER(SEARCH("|"&amp;INDEX(INDIRECT(F_Custom1_resolved_column),171)&amp;"|",F_Custom1_wrapped)),1,0),0))</f>
        <v>1</v>
      </c>
      <c r="E172">
        <f>IF(OR(F_Custom2_Q="(None)",F_Custom2_Q="",ISBLANK(F_Custom2_Q),F_Custom2_V="(All)",F_Custom2_V="",ISBLANK(F_Custom2_V)),1,IFERROR(IF(ISNUMBER(SEARCH("|"&amp;INDEX(INDIRECT(F_Custom2_resolved_column),171)&amp;"|",F_Custom2_wrapped)),1,0),0))</f>
        <v>1</v>
      </c>
      <c r="F172">
        <f>D172*E172*1</f>
        <v>1</v>
      </c>
      <c r="G172">
        <f>1</f>
        <v>1</v>
      </c>
      <c r="H1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171)&amp;"|",All_Questions_Q_STREAM_F_wrapped)),1,0),0))*1</f>
        <v>1</v>
      </c>
    </row>
    <row r="173">
      <c r="A173" t="n">
        <v>172</v>
      </c>
      <c r="B173" t="inlineStr">
        <is>
          <t>B</t>
        </is>
      </c>
      <c r="C173">
        <f>1</f>
        <v>1</v>
      </c>
      <c r="D173">
        <f>IF(OR(F_Custom1_Q="(None)",F_Custom1_Q="",ISBLANK(F_Custom1_Q),F_Custom1_V="(All)",F_Custom1_V="",ISBLANK(F_Custom1_V)),1,IFERROR(IF(ISNUMBER(SEARCH("|"&amp;INDEX(INDIRECT(F_Custom1_resolved_column),172)&amp;"|",F_Custom1_wrapped)),1,0),0))</f>
        <v>1</v>
      </c>
      <c r="E173">
        <f>IF(OR(F_Custom2_Q="(None)",F_Custom2_Q="",ISBLANK(F_Custom2_Q),F_Custom2_V="(All)",F_Custom2_V="",ISBLANK(F_Custom2_V)),1,IFERROR(IF(ISNUMBER(SEARCH("|"&amp;INDEX(INDIRECT(F_Custom2_resolved_column),172)&amp;"|",F_Custom2_wrapped)),1,0),0))</f>
        <v>1</v>
      </c>
      <c r="F173">
        <f>D173*E173*1</f>
        <v>1</v>
      </c>
      <c r="G173">
        <f>1</f>
        <v>1</v>
      </c>
      <c r="H1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172)&amp;"|",All_Questions_Q_STREAM_F_wrapped)),1,0),0))*1</f>
        <v>1</v>
      </c>
    </row>
    <row r="174">
      <c r="A174" t="n">
        <v>173</v>
      </c>
      <c r="B174" t="inlineStr">
        <is>
          <t>A</t>
        </is>
      </c>
      <c r="C174">
        <f>1</f>
        <v>1</v>
      </c>
      <c r="D174">
        <f>IF(OR(F_Custom1_Q="(None)",F_Custom1_Q="",ISBLANK(F_Custom1_Q),F_Custom1_V="(All)",F_Custom1_V="",ISBLANK(F_Custom1_V)),1,IFERROR(IF(ISNUMBER(SEARCH("|"&amp;INDEX(INDIRECT(F_Custom1_resolved_column),173)&amp;"|",F_Custom1_wrapped)),1,0),0))</f>
        <v>1</v>
      </c>
      <c r="E174">
        <f>IF(OR(F_Custom2_Q="(None)",F_Custom2_Q="",ISBLANK(F_Custom2_Q),F_Custom2_V="(All)",F_Custom2_V="",ISBLANK(F_Custom2_V)),1,IFERROR(IF(ISNUMBER(SEARCH("|"&amp;INDEX(INDIRECT(F_Custom2_resolved_column),173)&amp;"|",F_Custom2_wrapped)),1,0),0))</f>
        <v>1</v>
      </c>
      <c r="F174">
        <f>D174*E174*1</f>
        <v>1</v>
      </c>
      <c r="G174">
        <f>1</f>
        <v>1</v>
      </c>
      <c r="H1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173)&amp;"|",All_Questions_Q_STREAM_F_wrapped)),1,0),0))*1</f>
        <v>1</v>
      </c>
    </row>
    <row r="175">
      <c r="A175" t="n">
        <v>174</v>
      </c>
      <c r="B175" t="inlineStr">
        <is>
          <t>B</t>
        </is>
      </c>
      <c r="C175">
        <f>1</f>
        <v>1</v>
      </c>
      <c r="D175">
        <f>IF(OR(F_Custom1_Q="(None)",F_Custom1_Q="",ISBLANK(F_Custom1_Q),F_Custom1_V="(All)",F_Custom1_V="",ISBLANK(F_Custom1_V)),1,IFERROR(IF(ISNUMBER(SEARCH("|"&amp;INDEX(INDIRECT(F_Custom1_resolved_column),174)&amp;"|",F_Custom1_wrapped)),1,0),0))</f>
        <v>1</v>
      </c>
      <c r="E175">
        <f>IF(OR(F_Custom2_Q="(None)",F_Custom2_Q="",ISBLANK(F_Custom2_Q),F_Custom2_V="(All)",F_Custom2_V="",ISBLANK(F_Custom2_V)),1,IFERROR(IF(ISNUMBER(SEARCH("|"&amp;INDEX(INDIRECT(F_Custom2_resolved_column),174)&amp;"|",F_Custom2_wrapped)),1,0),0))</f>
        <v>1</v>
      </c>
      <c r="F175">
        <f>D175*E175*1</f>
        <v>1</v>
      </c>
      <c r="G175">
        <f>1</f>
        <v>1</v>
      </c>
      <c r="H1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174)&amp;"|",All_Questions_Q_STREAM_F_wrapped)),1,0),0))*1</f>
        <v>1</v>
      </c>
    </row>
    <row r="176">
      <c r="A176" t="n">
        <v>175</v>
      </c>
      <c r="B176" t="inlineStr">
        <is>
          <t>A</t>
        </is>
      </c>
      <c r="C176">
        <f>1</f>
        <v>1</v>
      </c>
      <c r="D176">
        <f>IF(OR(F_Custom1_Q="(None)",F_Custom1_Q="",ISBLANK(F_Custom1_Q),F_Custom1_V="(All)",F_Custom1_V="",ISBLANK(F_Custom1_V)),1,IFERROR(IF(ISNUMBER(SEARCH("|"&amp;INDEX(INDIRECT(F_Custom1_resolved_column),175)&amp;"|",F_Custom1_wrapped)),1,0),0))</f>
        <v>1</v>
      </c>
      <c r="E176">
        <f>IF(OR(F_Custom2_Q="(None)",F_Custom2_Q="",ISBLANK(F_Custom2_Q),F_Custom2_V="(All)",F_Custom2_V="",ISBLANK(F_Custom2_V)),1,IFERROR(IF(ISNUMBER(SEARCH("|"&amp;INDEX(INDIRECT(F_Custom2_resolved_column),175)&amp;"|",F_Custom2_wrapped)),1,0),0))</f>
        <v>1</v>
      </c>
      <c r="F176">
        <f>D176*E176*1</f>
        <v>1</v>
      </c>
      <c r="G176">
        <f>1</f>
        <v>1</v>
      </c>
      <c r="H1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175)&amp;"|",All_Questions_Q_STREAM_F_wrapped)),1,0),0))*1</f>
        <v>1</v>
      </c>
    </row>
    <row r="177">
      <c r="A177" t="n">
        <v>176</v>
      </c>
      <c r="B177" t="inlineStr">
        <is>
          <t>B</t>
        </is>
      </c>
      <c r="C177">
        <f>1</f>
        <v>1</v>
      </c>
      <c r="D177">
        <f>IF(OR(F_Custom1_Q="(None)",F_Custom1_Q="",ISBLANK(F_Custom1_Q),F_Custom1_V="(All)",F_Custom1_V="",ISBLANK(F_Custom1_V)),1,IFERROR(IF(ISNUMBER(SEARCH("|"&amp;INDEX(INDIRECT(F_Custom1_resolved_column),176)&amp;"|",F_Custom1_wrapped)),1,0),0))</f>
        <v>1</v>
      </c>
      <c r="E177">
        <f>IF(OR(F_Custom2_Q="(None)",F_Custom2_Q="",ISBLANK(F_Custom2_Q),F_Custom2_V="(All)",F_Custom2_V="",ISBLANK(F_Custom2_V)),1,IFERROR(IF(ISNUMBER(SEARCH("|"&amp;INDEX(INDIRECT(F_Custom2_resolved_column),176)&amp;"|",F_Custom2_wrapped)),1,0),0))</f>
        <v>1</v>
      </c>
      <c r="F177">
        <f>D177*E177*1</f>
        <v>1</v>
      </c>
      <c r="G177">
        <f>1</f>
        <v>1</v>
      </c>
      <c r="H1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176)&amp;"|",All_Questions_Q_STREAM_F_wrapped)),1,0),0))*1</f>
        <v>1</v>
      </c>
    </row>
    <row r="178">
      <c r="A178" t="n">
        <v>177</v>
      </c>
      <c r="B178" t="inlineStr">
        <is>
          <t>A</t>
        </is>
      </c>
      <c r="C178">
        <f>1</f>
        <v>1</v>
      </c>
      <c r="D178">
        <f>IF(OR(F_Custom1_Q="(None)",F_Custom1_Q="",ISBLANK(F_Custom1_Q),F_Custom1_V="(All)",F_Custom1_V="",ISBLANK(F_Custom1_V)),1,IFERROR(IF(ISNUMBER(SEARCH("|"&amp;INDEX(INDIRECT(F_Custom1_resolved_column),177)&amp;"|",F_Custom1_wrapped)),1,0),0))</f>
        <v>1</v>
      </c>
      <c r="E178">
        <f>IF(OR(F_Custom2_Q="(None)",F_Custom2_Q="",ISBLANK(F_Custom2_Q),F_Custom2_V="(All)",F_Custom2_V="",ISBLANK(F_Custom2_V)),1,IFERROR(IF(ISNUMBER(SEARCH("|"&amp;INDEX(INDIRECT(F_Custom2_resolved_column),177)&amp;"|",F_Custom2_wrapped)),1,0),0))</f>
        <v>1</v>
      </c>
      <c r="F178">
        <f>D178*E178*1</f>
        <v>1</v>
      </c>
      <c r="G178">
        <f>1</f>
        <v>1</v>
      </c>
      <c r="H1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177)&amp;"|",All_Questions_Q_STREAM_F_wrapped)),1,0),0))*1</f>
        <v>1</v>
      </c>
    </row>
    <row r="179">
      <c r="A179" t="n">
        <v>178</v>
      </c>
      <c r="B179" t="inlineStr">
        <is>
          <t>B</t>
        </is>
      </c>
      <c r="C179">
        <f>1</f>
        <v>1</v>
      </c>
      <c r="D179">
        <f>IF(OR(F_Custom1_Q="(None)",F_Custom1_Q="",ISBLANK(F_Custom1_Q),F_Custom1_V="(All)",F_Custom1_V="",ISBLANK(F_Custom1_V)),1,IFERROR(IF(ISNUMBER(SEARCH("|"&amp;INDEX(INDIRECT(F_Custom1_resolved_column),178)&amp;"|",F_Custom1_wrapped)),1,0),0))</f>
        <v>1</v>
      </c>
      <c r="E179">
        <f>IF(OR(F_Custom2_Q="(None)",F_Custom2_Q="",ISBLANK(F_Custom2_Q),F_Custom2_V="(All)",F_Custom2_V="",ISBLANK(F_Custom2_V)),1,IFERROR(IF(ISNUMBER(SEARCH("|"&amp;INDEX(INDIRECT(F_Custom2_resolved_column),178)&amp;"|",F_Custom2_wrapped)),1,0),0))</f>
        <v>1</v>
      </c>
      <c r="F179">
        <f>D179*E179*1</f>
        <v>1</v>
      </c>
      <c r="G179">
        <f>1</f>
        <v>1</v>
      </c>
      <c r="H1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178)&amp;"|",All_Questions_Q_STREAM_F_wrapped)),1,0),0))*1</f>
        <v>1</v>
      </c>
    </row>
    <row r="180">
      <c r="A180" t="n">
        <v>179</v>
      </c>
      <c r="B180" t="inlineStr">
        <is>
          <t>A</t>
        </is>
      </c>
      <c r="C180">
        <f>1</f>
        <v>1</v>
      </c>
      <c r="D180">
        <f>IF(OR(F_Custom1_Q="(None)",F_Custom1_Q="",ISBLANK(F_Custom1_Q),F_Custom1_V="(All)",F_Custom1_V="",ISBLANK(F_Custom1_V)),1,IFERROR(IF(ISNUMBER(SEARCH("|"&amp;INDEX(INDIRECT(F_Custom1_resolved_column),179)&amp;"|",F_Custom1_wrapped)),1,0),0))</f>
        <v>1</v>
      </c>
      <c r="E180">
        <f>IF(OR(F_Custom2_Q="(None)",F_Custom2_Q="",ISBLANK(F_Custom2_Q),F_Custom2_V="(All)",F_Custom2_V="",ISBLANK(F_Custom2_V)),1,IFERROR(IF(ISNUMBER(SEARCH("|"&amp;INDEX(INDIRECT(F_Custom2_resolved_column),179)&amp;"|",F_Custom2_wrapped)),1,0),0))</f>
        <v>1</v>
      </c>
      <c r="F180">
        <f>D180*E180*1</f>
        <v>1</v>
      </c>
      <c r="G180">
        <f>1</f>
        <v>1</v>
      </c>
      <c r="H1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179)&amp;"|",All_Questions_Q_STREAM_F_wrapped)),1,0),0))*1</f>
        <v>1</v>
      </c>
    </row>
    <row r="181">
      <c r="A181" t="n">
        <v>180</v>
      </c>
      <c r="B181" t="inlineStr">
        <is>
          <t>B</t>
        </is>
      </c>
      <c r="C181">
        <f>1</f>
        <v>1</v>
      </c>
      <c r="D181">
        <f>IF(OR(F_Custom1_Q="(None)",F_Custom1_Q="",ISBLANK(F_Custom1_Q),F_Custom1_V="(All)",F_Custom1_V="",ISBLANK(F_Custom1_V)),1,IFERROR(IF(ISNUMBER(SEARCH("|"&amp;INDEX(INDIRECT(F_Custom1_resolved_column),180)&amp;"|",F_Custom1_wrapped)),1,0),0))</f>
        <v>1</v>
      </c>
      <c r="E181">
        <f>IF(OR(F_Custom2_Q="(None)",F_Custom2_Q="",ISBLANK(F_Custom2_Q),F_Custom2_V="(All)",F_Custom2_V="",ISBLANK(F_Custom2_V)),1,IFERROR(IF(ISNUMBER(SEARCH("|"&amp;INDEX(INDIRECT(F_Custom2_resolved_column),180)&amp;"|",F_Custom2_wrapped)),1,0),0))</f>
        <v>1</v>
      </c>
      <c r="F181">
        <f>D181*E181*1</f>
        <v>1</v>
      </c>
      <c r="G181">
        <f>1</f>
        <v>1</v>
      </c>
      <c r="H1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180)&amp;"|",All_Questions_Q_STREAM_F_wrapped)),1,0),0))*1</f>
        <v>1</v>
      </c>
    </row>
    <row r="182">
      <c r="A182" t="n">
        <v>181</v>
      </c>
      <c r="B182" t="inlineStr">
        <is>
          <t>A</t>
        </is>
      </c>
      <c r="C182">
        <f>1</f>
        <v>1</v>
      </c>
      <c r="D182">
        <f>IF(OR(F_Custom1_Q="(None)",F_Custom1_Q="",ISBLANK(F_Custom1_Q),F_Custom1_V="(All)",F_Custom1_V="",ISBLANK(F_Custom1_V)),1,IFERROR(IF(ISNUMBER(SEARCH("|"&amp;INDEX(INDIRECT(F_Custom1_resolved_column),181)&amp;"|",F_Custom1_wrapped)),1,0),0))</f>
        <v>1</v>
      </c>
      <c r="E182">
        <f>IF(OR(F_Custom2_Q="(None)",F_Custom2_Q="",ISBLANK(F_Custom2_Q),F_Custom2_V="(All)",F_Custom2_V="",ISBLANK(F_Custom2_V)),1,IFERROR(IF(ISNUMBER(SEARCH("|"&amp;INDEX(INDIRECT(F_Custom2_resolved_column),181)&amp;"|",F_Custom2_wrapped)),1,0),0))</f>
        <v>1</v>
      </c>
      <c r="F182">
        <f>D182*E182*1</f>
        <v>1</v>
      </c>
      <c r="G182">
        <f>1</f>
        <v>1</v>
      </c>
      <c r="H1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181)&amp;"|",All_Questions_Q_STREAM_F_wrapped)),1,0),0))*1</f>
        <v>1</v>
      </c>
    </row>
    <row r="183">
      <c r="A183" t="n">
        <v>182</v>
      </c>
      <c r="B183" t="inlineStr">
        <is>
          <t>B</t>
        </is>
      </c>
      <c r="C183">
        <f>1</f>
        <v>1</v>
      </c>
      <c r="D183">
        <f>IF(OR(F_Custom1_Q="(None)",F_Custom1_Q="",ISBLANK(F_Custom1_Q),F_Custom1_V="(All)",F_Custom1_V="",ISBLANK(F_Custom1_V)),1,IFERROR(IF(ISNUMBER(SEARCH("|"&amp;INDEX(INDIRECT(F_Custom1_resolved_column),182)&amp;"|",F_Custom1_wrapped)),1,0),0))</f>
        <v>1</v>
      </c>
      <c r="E183">
        <f>IF(OR(F_Custom2_Q="(None)",F_Custom2_Q="",ISBLANK(F_Custom2_Q),F_Custom2_V="(All)",F_Custom2_V="",ISBLANK(F_Custom2_V)),1,IFERROR(IF(ISNUMBER(SEARCH("|"&amp;INDEX(INDIRECT(F_Custom2_resolved_column),182)&amp;"|",F_Custom2_wrapped)),1,0),0))</f>
        <v>1</v>
      </c>
      <c r="F183">
        <f>D183*E183*1</f>
        <v>1</v>
      </c>
      <c r="G183">
        <f>1</f>
        <v>1</v>
      </c>
      <c r="H1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182)&amp;"|",All_Questions_Q_STREAM_F_wrapped)),1,0),0))*1</f>
        <v>1</v>
      </c>
    </row>
    <row r="184">
      <c r="A184" t="n">
        <v>183</v>
      </c>
      <c r="B184" t="inlineStr">
        <is>
          <t>A</t>
        </is>
      </c>
      <c r="C184">
        <f>1</f>
        <v>1</v>
      </c>
      <c r="D184">
        <f>IF(OR(F_Custom1_Q="(None)",F_Custom1_Q="",ISBLANK(F_Custom1_Q),F_Custom1_V="(All)",F_Custom1_V="",ISBLANK(F_Custom1_V)),1,IFERROR(IF(ISNUMBER(SEARCH("|"&amp;INDEX(INDIRECT(F_Custom1_resolved_column),183)&amp;"|",F_Custom1_wrapped)),1,0),0))</f>
        <v>1</v>
      </c>
      <c r="E184">
        <f>IF(OR(F_Custom2_Q="(None)",F_Custom2_Q="",ISBLANK(F_Custom2_Q),F_Custom2_V="(All)",F_Custom2_V="",ISBLANK(F_Custom2_V)),1,IFERROR(IF(ISNUMBER(SEARCH("|"&amp;INDEX(INDIRECT(F_Custom2_resolved_column),183)&amp;"|",F_Custom2_wrapped)),1,0),0))</f>
        <v>1</v>
      </c>
      <c r="F184">
        <f>D184*E184*1</f>
        <v>1</v>
      </c>
      <c r="G184">
        <f>1</f>
        <v>1</v>
      </c>
      <c r="H1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183)&amp;"|",All_Questions_Q_STREAM_F_wrapped)),1,0),0))*1</f>
        <v>1</v>
      </c>
    </row>
    <row r="185">
      <c r="A185" t="n">
        <v>184</v>
      </c>
      <c r="B185" t="inlineStr">
        <is>
          <t>B</t>
        </is>
      </c>
      <c r="C185">
        <f>1</f>
        <v>1</v>
      </c>
      <c r="D185">
        <f>IF(OR(F_Custom1_Q="(None)",F_Custom1_Q="",ISBLANK(F_Custom1_Q),F_Custom1_V="(All)",F_Custom1_V="",ISBLANK(F_Custom1_V)),1,IFERROR(IF(ISNUMBER(SEARCH("|"&amp;INDEX(INDIRECT(F_Custom1_resolved_column),184)&amp;"|",F_Custom1_wrapped)),1,0),0))</f>
        <v>1</v>
      </c>
      <c r="E185">
        <f>IF(OR(F_Custom2_Q="(None)",F_Custom2_Q="",ISBLANK(F_Custom2_Q),F_Custom2_V="(All)",F_Custom2_V="",ISBLANK(F_Custom2_V)),1,IFERROR(IF(ISNUMBER(SEARCH("|"&amp;INDEX(INDIRECT(F_Custom2_resolved_column),184)&amp;"|",F_Custom2_wrapped)),1,0),0))</f>
        <v>1</v>
      </c>
      <c r="F185">
        <f>D185*E185*1</f>
        <v>1</v>
      </c>
      <c r="G185">
        <f>1</f>
        <v>1</v>
      </c>
      <c r="H1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184)&amp;"|",All_Questions_Q_STREAM_F_wrapped)),1,0),0))*1</f>
        <v>1</v>
      </c>
    </row>
    <row r="186">
      <c r="A186" t="n">
        <v>185</v>
      </c>
      <c r="B186" t="inlineStr">
        <is>
          <t>A</t>
        </is>
      </c>
      <c r="C186">
        <f>1</f>
        <v>1</v>
      </c>
      <c r="D186">
        <f>IF(OR(F_Custom1_Q="(None)",F_Custom1_Q="",ISBLANK(F_Custom1_Q),F_Custom1_V="(All)",F_Custom1_V="",ISBLANK(F_Custom1_V)),1,IFERROR(IF(ISNUMBER(SEARCH("|"&amp;INDEX(INDIRECT(F_Custom1_resolved_column),185)&amp;"|",F_Custom1_wrapped)),1,0),0))</f>
        <v>1</v>
      </c>
      <c r="E186">
        <f>IF(OR(F_Custom2_Q="(None)",F_Custom2_Q="",ISBLANK(F_Custom2_Q),F_Custom2_V="(All)",F_Custom2_V="",ISBLANK(F_Custom2_V)),1,IFERROR(IF(ISNUMBER(SEARCH("|"&amp;INDEX(INDIRECT(F_Custom2_resolved_column),185)&amp;"|",F_Custom2_wrapped)),1,0),0))</f>
        <v>1</v>
      </c>
      <c r="F186">
        <f>D186*E186*1</f>
        <v>1</v>
      </c>
      <c r="G186">
        <f>1</f>
        <v>1</v>
      </c>
      <c r="H1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185)&amp;"|",All_Questions_Q_STREAM_F_wrapped)),1,0),0))*1</f>
        <v>1</v>
      </c>
    </row>
    <row r="187">
      <c r="A187" t="n">
        <v>186</v>
      </c>
      <c r="B187" t="inlineStr">
        <is>
          <t>B</t>
        </is>
      </c>
      <c r="C187">
        <f>1</f>
        <v>1</v>
      </c>
      <c r="D187">
        <f>IF(OR(F_Custom1_Q="(None)",F_Custom1_Q="",ISBLANK(F_Custom1_Q),F_Custom1_V="(All)",F_Custom1_V="",ISBLANK(F_Custom1_V)),1,IFERROR(IF(ISNUMBER(SEARCH("|"&amp;INDEX(INDIRECT(F_Custom1_resolved_column),186)&amp;"|",F_Custom1_wrapped)),1,0),0))</f>
        <v>1</v>
      </c>
      <c r="E187">
        <f>IF(OR(F_Custom2_Q="(None)",F_Custom2_Q="",ISBLANK(F_Custom2_Q),F_Custom2_V="(All)",F_Custom2_V="",ISBLANK(F_Custom2_V)),1,IFERROR(IF(ISNUMBER(SEARCH("|"&amp;INDEX(INDIRECT(F_Custom2_resolved_column),186)&amp;"|",F_Custom2_wrapped)),1,0),0))</f>
        <v>1</v>
      </c>
      <c r="F187">
        <f>D187*E187*1</f>
        <v>1</v>
      </c>
      <c r="G187">
        <f>1</f>
        <v>1</v>
      </c>
      <c r="H1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186)&amp;"|",All_Questions_Q_STREAM_F_wrapped)),1,0),0))*1</f>
        <v>1</v>
      </c>
    </row>
    <row r="188">
      <c r="A188" t="n">
        <v>187</v>
      </c>
      <c r="B188" t="inlineStr">
        <is>
          <t>A</t>
        </is>
      </c>
      <c r="C188">
        <f>1</f>
        <v>1</v>
      </c>
      <c r="D188">
        <f>IF(OR(F_Custom1_Q="(None)",F_Custom1_Q="",ISBLANK(F_Custom1_Q),F_Custom1_V="(All)",F_Custom1_V="",ISBLANK(F_Custom1_V)),1,IFERROR(IF(ISNUMBER(SEARCH("|"&amp;INDEX(INDIRECT(F_Custom1_resolved_column),187)&amp;"|",F_Custom1_wrapped)),1,0),0))</f>
        <v>1</v>
      </c>
      <c r="E188">
        <f>IF(OR(F_Custom2_Q="(None)",F_Custom2_Q="",ISBLANK(F_Custom2_Q),F_Custom2_V="(All)",F_Custom2_V="",ISBLANK(F_Custom2_V)),1,IFERROR(IF(ISNUMBER(SEARCH("|"&amp;INDEX(INDIRECT(F_Custom2_resolved_column),187)&amp;"|",F_Custom2_wrapped)),1,0),0))</f>
        <v>1</v>
      </c>
      <c r="F188">
        <f>D188*E188*1</f>
        <v>1</v>
      </c>
      <c r="G188">
        <f>1</f>
        <v>1</v>
      </c>
      <c r="H1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187)&amp;"|",All_Questions_Q_STREAM_F_wrapped)),1,0),0))*1</f>
        <v>1</v>
      </c>
    </row>
    <row r="189">
      <c r="A189" t="n">
        <v>188</v>
      </c>
      <c r="B189" t="inlineStr">
        <is>
          <t>B</t>
        </is>
      </c>
      <c r="C189">
        <f>1</f>
        <v>1</v>
      </c>
      <c r="D189">
        <f>IF(OR(F_Custom1_Q="(None)",F_Custom1_Q="",ISBLANK(F_Custom1_Q),F_Custom1_V="(All)",F_Custom1_V="",ISBLANK(F_Custom1_V)),1,IFERROR(IF(ISNUMBER(SEARCH("|"&amp;INDEX(INDIRECT(F_Custom1_resolved_column),188)&amp;"|",F_Custom1_wrapped)),1,0),0))</f>
        <v>1</v>
      </c>
      <c r="E189">
        <f>IF(OR(F_Custom2_Q="(None)",F_Custom2_Q="",ISBLANK(F_Custom2_Q),F_Custom2_V="(All)",F_Custom2_V="",ISBLANK(F_Custom2_V)),1,IFERROR(IF(ISNUMBER(SEARCH("|"&amp;INDEX(INDIRECT(F_Custom2_resolved_column),188)&amp;"|",F_Custom2_wrapped)),1,0),0))</f>
        <v>1</v>
      </c>
      <c r="F189">
        <f>D189*E189*1</f>
        <v>1</v>
      </c>
      <c r="G189">
        <f>1</f>
        <v>1</v>
      </c>
      <c r="H1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188)&amp;"|",All_Questions_Q_STREAM_F_wrapped)),1,0),0))*1</f>
        <v>1</v>
      </c>
    </row>
    <row r="190">
      <c r="A190" t="n">
        <v>189</v>
      </c>
      <c r="B190" t="inlineStr">
        <is>
          <t>A</t>
        </is>
      </c>
      <c r="C190">
        <f>1</f>
        <v>1</v>
      </c>
      <c r="D190">
        <f>IF(OR(F_Custom1_Q="(None)",F_Custom1_Q="",ISBLANK(F_Custom1_Q),F_Custom1_V="(All)",F_Custom1_V="",ISBLANK(F_Custom1_V)),1,IFERROR(IF(ISNUMBER(SEARCH("|"&amp;INDEX(INDIRECT(F_Custom1_resolved_column),189)&amp;"|",F_Custom1_wrapped)),1,0),0))</f>
        <v>1</v>
      </c>
      <c r="E190">
        <f>IF(OR(F_Custom2_Q="(None)",F_Custom2_Q="",ISBLANK(F_Custom2_Q),F_Custom2_V="(All)",F_Custom2_V="",ISBLANK(F_Custom2_V)),1,IFERROR(IF(ISNUMBER(SEARCH("|"&amp;INDEX(INDIRECT(F_Custom2_resolved_column),189)&amp;"|",F_Custom2_wrapped)),1,0),0))</f>
        <v>1</v>
      </c>
      <c r="F190">
        <f>D190*E190*1</f>
        <v>1</v>
      </c>
      <c r="G190">
        <f>1</f>
        <v>1</v>
      </c>
      <c r="H1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189)&amp;"|",All_Questions_Q_STREAM_F_wrapped)),1,0),0))*1</f>
        <v>1</v>
      </c>
    </row>
    <row r="191">
      <c r="A191" t="n">
        <v>190</v>
      </c>
      <c r="B191" t="inlineStr">
        <is>
          <t>B</t>
        </is>
      </c>
      <c r="C191">
        <f>1</f>
        <v>1</v>
      </c>
      <c r="D191">
        <f>IF(OR(F_Custom1_Q="(None)",F_Custom1_Q="",ISBLANK(F_Custom1_Q),F_Custom1_V="(All)",F_Custom1_V="",ISBLANK(F_Custom1_V)),1,IFERROR(IF(ISNUMBER(SEARCH("|"&amp;INDEX(INDIRECT(F_Custom1_resolved_column),190)&amp;"|",F_Custom1_wrapped)),1,0),0))</f>
        <v>1</v>
      </c>
      <c r="E191">
        <f>IF(OR(F_Custom2_Q="(None)",F_Custom2_Q="",ISBLANK(F_Custom2_Q),F_Custom2_V="(All)",F_Custom2_V="",ISBLANK(F_Custom2_V)),1,IFERROR(IF(ISNUMBER(SEARCH("|"&amp;INDEX(INDIRECT(F_Custom2_resolved_column),190)&amp;"|",F_Custom2_wrapped)),1,0),0))</f>
        <v>1</v>
      </c>
      <c r="F191">
        <f>D191*E191*1</f>
        <v>1</v>
      </c>
      <c r="G191">
        <f>1</f>
        <v>1</v>
      </c>
      <c r="H1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190)&amp;"|",All_Questions_Q_STREAM_F_wrapped)),1,0),0))*1</f>
        <v>1</v>
      </c>
    </row>
    <row r="192">
      <c r="A192" t="n">
        <v>191</v>
      </c>
      <c r="B192" t="inlineStr">
        <is>
          <t>A</t>
        </is>
      </c>
      <c r="C192">
        <f>1</f>
        <v>1</v>
      </c>
      <c r="D192">
        <f>IF(OR(F_Custom1_Q="(None)",F_Custom1_Q="",ISBLANK(F_Custom1_Q),F_Custom1_V="(All)",F_Custom1_V="",ISBLANK(F_Custom1_V)),1,IFERROR(IF(ISNUMBER(SEARCH("|"&amp;INDEX(INDIRECT(F_Custom1_resolved_column),191)&amp;"|",F_Custom1_wrapped)),1,0),0))</f>
        <v>1</v>
      </c>
      <c r="E192">
        <f>IF(OR(F_Custom2_Q="(None)",F_Custom2_Q="",ISBLANK(F_Custom2_Q),F_Custom2_V="(All)",F_Custom2_V="",ISBLANK(F_Custom2_V)),1,IFERROR(IF(ISNUMBER(SEARCH("|"&amp;INDEX(INDIRECT(F_Custom2_resolved_column),191)&amp;"|",F_Custom2_wrapped)),1,0),0))</f>
        <v>1</v>
      </c>
      <c r="F192">
        <f>D192*E192*1</f>
        <v>1</v>
      </c>
      <c r="G192">
        <f>1</f>
        <v>1</v>
      </c>
      <c r="H1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191)&amp;"|",All_Questions_Q_STREAM_F_wrapped)),1,0),0))*1</f>
        <v>1</v>
      </c>
    </row>
    <row r="193">
      <c r="A193" t="n">
        <v>192</v>
      </c>
      <c r="B193" t="inlineStr">
        <is>
          <t>B</t>
        </is>
      </c>
      <c r="C193">
        <f>1</f>
        <v>1</v>
      </c>
      <c r="D193">
        <f>IF(OR(F_Custom1_Q="(None)",F_Custom1_Q="",ISBLANK(F_Custom1_Q),F_Custom1_V="(All)",F_Custom1_V="",ISBLANK(F_Custom1_V)),1,IFERROR(IF(ISNUMBER(SEARCH("|"&amp;INDEX(INDIRECT(F_Custom1_resolved_column),192)&amp;"|",F_Custom1_wrapped)),1,0),0))</f>
        <v>1</v>
      </c>
      <c r="E193">
        <f>IF(OR(F_Custom2_Q="(None)",F_Custom2_Q="",ISBLANK(F_Custom2_Q),F_Custom2_V="(All)",F_Custom2_V="",ISBLANK(F_Custom2_V)),1,IFERROR(IF(ISNUMBER(SEARCH("|"&amp;INDEX(INDIRECT(F_Custom2_resolved_column),192)&amp;"|",F_Custom2_wrapped)),1,0),0))</f>
        <v>1</v>
      </c>
      <c r="F193">
        <f>D193*E193*1</f>
        <v>1</v>
      </c>
      <c r="G193">
        <f>1</f>
        <v>1</v>
      </c>
      <c r="H1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192)&amp;"|",All_Questions_Q_STREAM_F_wrapped)),1,0),0))*1</f>
        <v>1</v>
      </c>
    </row>
    <row r="194">
      <c r="A194" t="n">
        <v>193</v>
      </c>
      <c r="B194" t="inlineStr">
        <is>
          <t>A</t>
        </is>
      </c>
      <c r="C194">
        <f>1</f>
        <v>1</v>
      </c>
      <c r="D194">
        <f>IF(OR(F_Custom1_Q="(None)",F_Custom1_Q="",ISBLANK(F_Custom1_Q),F_Custom1_V="(All)",F_Custom1_V="",ISBLANK(F_Custom1_V)),1,IFERROR(IF(ISNUMBER(SEARCH("|"&amp;INDEX(INDIRECT(F_Custom1_resolved_column),193)&amp;"|",F_Custom1_wrapped)),1,0),0))</f>
        <v>1</v>
      </c>
      <c r="E194">
        <f>IF(OR(F_Custom2_Q="(None)",F_Custom2_Q="",ISBLANK(F_Custom2_Q),F_Custom2_V="(All)",F_Custom2_V="",ISBLANK(F_Custom2_V)),1,IFERROR(IF(ISNUMBER(SEARCH("|"&amp;INDEX(INDIRECT(F_Custom2_resolved_column),193)&amp;"|",F_Custom2_wrapped)),1,0),0))</f>
        <v>1</v>
      </c>
      <c r="F194">
        <f>D194*E194*1</f>
        <v>1</v>
      </c>
      <c r="G194">
        <f>1</f>
        <v>1</v>
      </c>
      <c r="H1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193)&amp;"|",All_Questions_Q_STREAM_F_wrapped)),1,0),0))*1</f>
        <v>1</v>
      </c>
    </row>
    <row r="195">
      <c r="A195" t="n">
        <v>194</v>
      </c>
      <c r="B195" t="inlineStr">
        <is>
          <t>B</t>
        </is>
      </c>
      <c r="C195">
        <f>1</f>
        <v>1</v>
      </c>
      <c r="D195">
        <f>IF(OR(F_Custom1_Q="(None)",F_Custom1_Q="",ISBLANK(F_Custom1_Q),F_Custom1_V="(All)",F_Custom1_V="",ISBLANK(F_Custom1_V)),1,IFERROR(IF(ISNUMBER(SEARCH("|"&amp;INDEX(INDIRECT(F_Custom1_resolved_column),194)&amp;"|",F_Custom1_wrapped)),1,0),0))</f>
        <v>1</v>
      </c>
      <c r="E195">
        <f>IF(OR(F_Custom2_Q="(None)",F_Custom2_Q="",ISBLANK(F_Custom2_Q),F_Custom2_V="(All)",F_Custom2_V="",ISBLANK(F_Custom2_V)),1,IFERROR(IF(ISNUMBER(SEARCH("|"&amp;INDEX(INDIRECT(F_Custom2_resolved_column),194)&amp;"|",F_Custom2_wrapped)),1,0),0))</f>
        <v>1</v>
      </c>
      <c r="F195">
        <f>D195*E195*1</f>
        <v>1</v>
      </c>
      <c r="G195">
        <f>1</f>
        <v>1</v>
      </c>
      <c r="H1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194)&amp;"|",All_Questions_Q_STREAM_F_wrapped)),1,0),0))*1</f>
        <v>1</v>
      </c>
    </row>
    <row r="196">
      <c r="A196" t="n">
        <v>195</v>
      </c>
      <c r="B196" t="inlineStr">
        <is>
          <t>A</t>
        </is>
      </c>
      <c r="C196">
        <f>1</f>
        <v>1</v>
      </c>
      <c r="D196">
        <f>IF(OR(F_Custom1_Q="(None)",F_Custom1_Q="",ISBLANK(F_Custom1_Q),F_Custom1_V="(All)",F_Custom1_V="",ISBLANK(F_Custom1_V)),1,IFERROR(IF(ISNUMBER(SEARCH("|"&amp;INDEX(INDIRECT(F_Custom1_resolved_column),195)&amp;"|",F_Custom1_wrapped)),1,0),0))</f>
        <v>1</v>
      </c>
      <c r="E196">
        <f>IF(OR(F_Custom2_Q="(None)",F_Custom2_Q="",ISBLANK(F_Custom2_Q),F_Custom2_V="(All)",F_Custom2_V="",ISBLANK(F_Custom2_V)),1,IFERROR(IF(ISNUMBER(SEARCH("|"&amp;INDEX(INDIRECT(F_Custom2_resolved_column),195)&amp;"|",F_Custom2_wrapped)),1,0),0))</f>
        <v>1</v>
      </c>
      <c r="F196">
        <f>D196*E196*1</f>
        <v>1</v>
      </c>
      <c r="G196">
        <f>1</f>
        <v>1</v>
      </c>
      <c r="H1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195)&amp;"|",All_Questions_Q_STREAM_F_wrapped)),1,0),0))*1</f>
        <v>1</v>
      </c>
    </row>
    <row r="197">
      <c r="A197" t="n">
        <v>196</v>
      </c>
      <c r="B197" t="inlineStr">
        <is>
          <t>B</t>
        </is>
      </c>
      <c r="C197">
        <f>1</f>
        <v>1</v>
      </c>
      <c r="D197">
        <f>IF(OR(F_Custom1_Q="(None)",F_Custom1_Q="",ISBLANK(F_Custom1_Q),F_Custom1_V="(All)",F_Custom1_V="",ISBLANK(F_Custom1_V)),1,IFERROR(IF(ISNUMBER(SEARCH("|"&amp;INDEX(INDIRECT(F_Custom1_resolved_column),196)&amp;"|",F_Custom1_wrapped)),1,0),0))</f>
        <v>1</v>
      </c>
      <c r="E197">
        <f>IF(OR(F_Custom2_Q="(None)",F_Custom2_Q="",ISBLANK(F_Custom2_Q),F_Custom2_V="(All)",F_Custom2_V="",ISBLANK(F_Custom2_V)),1,IFERROR(IF(ISNUMBER(SEARCH("|"&amp;INDEX(INDIRECT(F_Custom2_resolved_column),196)&amp;"|",F_Custom2_wrapped)),1,0),0))</f>
        <v>1</v>
      </c>
      <c r="F197">
        <f>D197*E197*1</f>
        <v>1</v>
      </c>
      <c r="G197">
        <f>1</f>
        <v>1</v>
      </c>
      <c r="H1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196)&amp;"|",All_Questions_Q_STREAM_F_wrapped)),1,0),0))*1</f>
        <v>1</v>
      </c>
    </row>
    <row r="198">
      <c r="A198" t="n">
        <v>197</v>
      </c>
      <c r="B198" t="inlineStr">
        <is>
          <t>A</t>
        </is>
      </c>
      <c r="C198">
        <f>1</f>
        <v>1</v>
      </c>
      <c r="D198">
        <f>IF(OR(F_Custom1_Q="(None)",F_Custom1_Q="",ISBLANK(F_Custom1_Q),F_Custom1_V="(All)",F_Custom1_V="",ISBLANK(F_Custom1_V)),1,IFERROR(IF(ISNUMBER(SEARCH("|"&amp;INDEX(INDIRECT(F_Custom1_resolved_column),197)&amp;"|",F_Custom1_wrapped)),1,0),0))</f>
        <v>1</v>
      </c>
      <c r="E198">
        <f>IF(OR(F_Custom2_Q="(None)",F_Custom2_Q="",ISBLANK(F_Custom2_Q),F_Custom2_V="(All)",F_Custom2_V="",ISBLANK(F_Custom2_V)),1,IFERROR(IF(ISNUMBER(SEARCH("|"&amp;INDEX(INDIRECT(F_Custom2_resolved_column),197)&amp;"|",F_Custom2_wrapped)),1,0),0))</f>
        <v>1</v>
      </c>
      <c r="F198">
        <f>D198*E198*1</f>
        <v>1</v>
      </c>
      <c r="G198">
        <f>1</f>
        <v>1</v>
      </c>
      <c r="H1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197)&amp;"|",All_Questions_Q_STREAM_F_wrapped)),1,0),0))*1</f>
        <v>1</v>
      </c>
    </row>
    <row r="199">
      <c r="A199" t="n">
        <v>198</v>
      </c>
      <c r="B199" t="inlineStr">
        <is>
          <t>B</t>
        </is>
      </c>
      <c r="C199">
        <f>1</f>
        <v>1</v>
      </c>
      <c r="D199">
        <f>IF(OR(F_Custom1_Q="(None)",F_Custom1_Q="",ISBLANK(F_Custom1_Q),F_Custom1_V="(All)",F_Custom1_V="",ISBLANK(F_Custom1_V)),1,IFERROR(IF(ISNUMBER(SEARCH("|"&amp;INDEX(INDIRECT(F_Custom1_resolved_column),198)&amp;"|",F_Custom1_wrapped)),1,0),0))</f>
        <v>1</v>
      </c>
      <c r="E199">
        <f>IF(OR(F_Custom2_Q="(None)",F_Custom2_Q="",ISBLANK(F_Custom2_Q),F_Custom2_V="(All)",F_Custom2_V="",ISBLANK(F_Custom2_V)),1,IFERROR(IF(ISNUMBER(SEARCH("|"&amp;INDEX(INDIRECT(F_Custom2_resolved_column),198)&amp;"|",F_Custom2_wrapped)),1,0),0))</f>
        <v>1</v>
      </c>
      <c r="F199">
        <f>D199*E199*1</f>
        <v>1</v>
      </c>
      <c r="G199">
        <f>1</f>
        <v>1</v>
      </c>
      <c r="H1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198)&amp;"|",All_Questions_Q_STREAM_F_wrapped)),1,0),0))*1</f>
        <v>1</v>
      </c>
    </row>
    <row r="200">
      <c r="A200" t="n">
        <v>199</v>
      </c>
      <c r="B200" t="inlineStr">
        <is>
          <t>A</t>
        </is>
      </c>
      <c r="C200">
        <f>1</f>
        <v>1</v>
      </c>
      <c r="D200">
        <f>IF(OR(F_Custom1_Q="(None)",F_Custom1_Q="",ISBLANK(F_Custom1_Q),F_Custom1_V="(All)",F_Custom1_V="",ISBLANK(F_Custom1_V)),1,IFERROR(IF(ISNUMBER(SEARCH("|"&amp;INDEX(INDIRECT(F_Custom1_resolved_column),199)&amp;"|",F_Custom1_wrapped)),1,0),0))</f>
        <v>1</v>
      </c>
      <c r="E200">
        <f>IF(OR(F_Custom2_Q="(None)",F_Custom2_Q="",ISBLANK(F_Custom2_Q),F_Custom2_V="(All)",F_Custom2_V="",ISBLANK(F_Custom2_V)),1,IFERROR(IF(ISNUMBER(SEARCH("|"&amp;INDEX(INDIRECT(F_Custom2_resolved_column),199)&amp;"|",F_Custom2_wrapped)),1,0),0))</f>
        <v>1</v>
      </c>
      <c r="F200">
        <f>D200*E200*1</f>
        <v>1</v>
      </c>
      <c r="G200">
        <f>1</f>
        <v>1</v>
      </c>
      <c r="H2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199)&amp;"|",All_Questions_Q_STREAM_F_wrapped)),1,0),0))*1</f>
        <v>1</v>
      </c>
    </row>
    <row r="201">
      <c r="A201" t="n">
        <v>200</v>
      </c>
      <c r="B201" t="inlineStr">
        <is>
          <t>B</t>
        </is>
      </c>
      <c r="C201">
        <f>1</f>
        <v>1</v>
      </c>
      <c r="D201">
        <f>IF(OR(F_Custom1_Q="(None)",F_Custom1_Q="",ISBLANK(F_Custom1_Q),F_Custom1_V="(All)",F_Custom1_V="",ISBLANK(F_Custom1_V)),1,IFERROR(IF(ISNUMBER(SEARCH("|"&amp;INDEX(INDIRECT(F_Custom1_resolved_column),200)&amp;"|",F_Custom1_wrapped)),1,0),0))</f>
        <v>1</v>
      </c>
      <c r="E201">
        <f>IF(OR(F_Custom2_Q="(None)",F_Custom2_Q="",ISBLANK(F_Custom2_Q),F_Custom2_V="(All)",F_Custom2_V="",ISBLANK(F_Custom2_V)),1,IFERROR(IF(ISNUMBER(SEARCH("|"&amp;INDEX(INDIRECT(F_Custom2_resolved_column),200)&amp;"|",F_Custom2_wrapped)),1,0),0))</f>
        <v>1</v>
      </c>
      <c r="F201">
        <f>D201*E201*1</f>
        <v>1</v>
      </c>
      <c r="G201">
        <f>1</f>
        <v>1</v>
      </c>
      <c r="H2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200)&amp;"|",All_Questions_Q_STREAM_F_wrapped)),1,0),0))*1</f>
        <v>1</v>
      </c>
    </row>
    <row r="202">
      <c r="A202" t="n">
        <v>201</v>
      </c>
      <c r="B202" t="inlineStr">
        <is>
          <t>A</t>
        </is>
      </c>
      <c r="C202">
        <f>1</f>
        <v>1</v>
      </c>
      <c r="D202">
        <f>IF(OR(F_Custom1_Q="(None)",F_Custom1_Q="",ISBLANK(F_Custom1_Q),F_Custom1_V="(All)",F_Custom1_V="",ISBLANK(F_Custom1_V)),1,IFERROR(IF(ISNUMBER(SEARCH("|"&amp;INDEX(INDIRECT(F_Custom1_resolved_column),201)&amp;"|",F_Custom1_wrapped)),1,0),0))</f>
        <v>1</v>
      </c>
      <c r="E202">
        <f>IF(OR(F_Custom2_Q="(None)",F_Custom2_Q="",ISBLANK(F_Custom2_Q),F_Custom2_V="(All)",F_Custom2_V="",ISBLANK(F_Custom2_V)),1,IFERROR(IF(ISNUMBER(SEARCH("|"&amp;INDEX(INDIRECT(F_Custom2_resolved_column),201)&amp;"|",F_Custom2_wrapped)),1,0),0))</f>
        <v>1</v>
      </c>
      <c r="F202">
        <f>D202*E202*1</f>
        <v>1</v>
      </c>
      <c r="G202">
        <f>1</f>
        <v>1</v>
      </c>
      <c r="H2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201)&amp;"|",All_Questions_Q_STREAM_F_wrapped)),1,0),0))*1</f>
        <v>1</v>
      </c>
    </row>
    <row r="203">
      <c r="A203" t="n">
        <v>202</v>
      </c>
      <c r="B203" t="inlineStr">
        <is>
          <t>B</t>
        </is>
      </c>
      <c r="C203">
        <f>1</f>
        <v>1</v>
      </c>
      <c r="D203">
        <f>IF(OR(F_Custom1_Q="(None)",F_Custom1_Q="",ISBLANK(F_Custom1_Q),F_Custom1_V="(All)",F_Custom1_V="",ISBLANK(F_Custom1_V)),1,IFERROR(IF(ISNUMBER(SEARCH("|"&amp;INDEX(INDIRECT(F_Custom1_resolved_column),202)&amp;"|",F_Custom1_wrapped)),1,0),0))</f>
        <v>1</v>
      </c>
      <c r="E203">
        <f>IF(OR(F_Custom2_Q="(None)",F_Custom2_Q="",ISBLANK(F_Custom2_Q),F_Custom2_V="(All)",F_Custom2_V="",ISBLANK(F_Custom2_V)),1,IFERROR(IF(ISNUMBER(SEARCH("|"&amp;INDEX(INDIRECT(F_Custom2_resolved_column),202)&amp;"|",F_Custom2_wrapped)),1,0),0))</f>
        <v>1</v>
      </c>
      <c r="F203">
        <f>D203*E203*1</f>
        <v>1</v>
      </c>
      <c r="G203">
        <f>1</f>
        <v>1</v>
      </c>
      <c r="H2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202)&amp;"|",All_Questions_Q_STREAM_F_wrapped)),1,0),0))*1</f>
        <v>1</v>
      </c>
    </row>
    <row r="204">
      <c r="A204" t="n">
        <v>203</v>
      </c>
      <c r="B204" t="inlineStr">
        <is>
          <t>A</t>
        </is>
      </c>
      <c r="C204">
        <f>1</f>
        <v>1</v>
      </c>
      <c r="D204">
        <f>IF(OR(F_Custom1_Q="(None)",F_Custom1_Q="",ISBLANK(F_Custom1_Q),F_Custom1_V="(All)",F_Custom1_V="",ISBLANK(F_Custom1_V)),1,IFERROR(IF(ISNUMBER(SEARCH("|"&amp;INDEX(INDIRECT(F_Custom1_resolved_column),203)&amp;"|",F_Custom1_wrapped)),1,0),0))</f>
        <v>1</v>
      </c>
      <c r="E204">
        <f>IF(OR(F_Custom2_Q="(None)",F_Custom2_Q="",ISBLANK(F_Custom2_Q),F_Custom2_V="(All)",F_Custom2_V="",ISBLANK(F_Custom2_V)),1,IFERROR(IF(ISNUMBER(SEARCH("|"&amp;INDEX(INDIRECT(F_Custom2_resolved_column),203)&amp;"|",F_Custom2_wrapped)),1,0),0))</f>
        <v>1</v>
      </c>
      <c r="F204">
        <f>D204*E204*1</f>
        <v>1</v>
      </c>
      <c r="G204">
        <f>1</f>
        <v>1</v>
      </c>
      <c r="H2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203)&amp;"|",All_Questions_Q_STREAM_F_wrapped)),1,0),0))*1</f>
        <v>1</v>
      </c>
    </row>
    <row r="205">
      <c r="A205" t="n">
        <v>204</v>
      </c>
      <c r="B205" t="inlineStr">
        <is>
          <t>B</t>
        </is>
      </c>
      <c r="C205">
        <f>1</f>
        <v>1</v>
      </c>
      <c r="D205">
        <f>IF(OR(F_Custom1_Q="(None)",F_Custom1_Q="",ISBLANK(F_Custom1_Q),F_Custom1_V="(All)",F_Custom1_V="",ISBLANK(F_Custom1_V)),1,IFERROR(IF(ISNUMBER(SEARCH("|"&amp;INDEX(INDIRECT(F_Custom1_resolved_column),204)&amp;"|",F_Custom1_wrapped)),1,0),0))</f>
        <v>1</v>
      </c>
      <c r="E205">
        <f>IF(OR(F_Custom2_Q="(None)",F_Custom2_Q="",ISBLANK(F_Custom2_Q),F_Custom2_V="(All)",F_Custom2_V="",ISBLANK(F_Custom2_V)),1,IFERROR(IF(ISNUMBER(SEARCH("|"&amp;INDEX(INDIRECT(F_Custom2_resolved_column),204)&amp;"|",F_Custom2_wrapped)),1,0),0))</f>
        <v>1</v>
      </c>
      <c r="F205">
        <f>D205*E205*1</f>
        <v>1</v>
      </c>
      <c r="G205">
        <f>1</f>
        <v>1</v>
      </c>
      <c r="H2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204)&amp;"|",All_Questions_Q_STREAM_F_wrapped)),1,0),0))*1</f>
        <v>1</v>
      </c>
    </row>
    <row r="206">
      <c r="A206" t="n">
        <v>205</v>
      </c>
      <c r="B206" t="inlineStr">
        <is>
          <t>A</t>
        </is>
      </c>
      <c r="C206">
        <f>1</f>
        <v>1</v>
      </c>
      <c r="D206">
        <f>IF(OR(F_Custom1_Q="(None)",F_Custom1_Q="",ISBLANK(F_Custom1_Q),F_Custom1_V="(All)",F_Custom1_V="",ISBLANK(F_Custom1_V)),1,IFERROR(IF(ISNUMBER(SEARCH("|"&amp;INDEX(INDIRECT(F_Custom1_resolved_column),205)&amp;"|",F_Custom1_wrapped)),1,0),0))</f>
        <v>1</v>
      </c>
      <c r="E206">
        <f>IF(OR(F_Custom2_Q="(None)",F_Custom2_Q="",ISBLANK(F_Custom2_Q),F_Custom2_V="(All)",F_Custom2_V="",ISBLANK(F_Custom2_V)),1,IFERROR(IF(ISNUMBER(SEARCH("|"&amp;INDEX(INDIRECT(F_Custom2_resolved_column),205)&amp;"|",F_Custom2_wrapped)),1,0),0))</f>
        <v>1</v>
      </c>
      <c r="F206">
        <f>D206*E206*1</f>
        <v>1</v>
      </c>
      <c r="G206">
        <f>1</f>
        <v>1</v>
      </c>
      <c r="H2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205)&amp;"|",All_Questions_Q_STREAM_F_wrapped)),1,0),0))*1</f>
        <v>1</v>
      </c>
    </row>
    <row r="207">
      <c r="A207" t="n">
        <v>206</v>
      </c>
      <c r="B207" t="inlineStr">
        <is>
          <t>B</t>
        </is>
      </c>
      <c r="C207">
        <f>1</f>
        <v>1</v>
      </c>
      <c r="D207">
        <f>IF(OR(F_Custom1_Q="(None)",F_Custom1_Q="",ISBLANK(F_Custom1_Q),F_Custom1_V="(All)",F_Custom1_V="",ISBLANK(F_Custom1_V)),1,IFERROR(IF(ISNUMBER(SEARCH("|"&amp;INDEX(INDIRECT(F_Custom1_resolved_column),206)&amp;"|",F_Custom1_wrapped)),1,0),0))</f>
        <v>1</v>
      </c>
      <c r="E207">
        <f>IF(OR(F_Custom2_Q="(None)",F_Custom2_Q="",ISBLANK(F_Custom2_Q),F_Custom2_V="(All)",F_Custom2_V="",ISBLANK(F_Custom2_V)),1,IFERROR(IF(ISNUMBER(SEARCH("|"&amp;INDEX(INDIRECT(F_Custom2_resolved_column),206)&amp;"|",F_Custom2_wrapped)),1,0),0))</f>
        <v>1</v>
      </c>
      <c r="F207">
        <f>D207*E207*1</f>
        <v>1</v>
      </c>
      <c r="G207">
        <f>1</f>
        <v>1</v>
      </c>
      <c r="H2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206)&amp;"|",All_Questions_Q_STREAM_F_wrapped)),1,0),0))*1</f>
        <v>1</v>
      </c>
    </row>
    <row r="208">
      <c r="A208" t="n">
        <v>207</v>
      </c>
      <c r="B208" t="inlineStr">
        <is>
          <t>A</t>
        </is>
      </c>
      <c r="C208">
        <f>1</f>
        <v>1</v>
      </c>
      <c r="D208">
        <f>IF(OR(F_Custom1_Q="(None)",F_Custom1_Q="",ISBLANK(F_Custom1_Q),F_Custom1_V="(All)",F_Custom1_V="",ISBLANK(F_Custom1_V)),1,IFERROR(IF(ISNUMBER(SEARCH("|"&amp;INDEX(INDIRECT(F_Custom1_resolved_column),207)&amp;"|",F_Custom1_wrapped)),1,0),0))</f>
        <v>1</v>
      </c>
      <c r="E208">
        <f>IF(OR(F_Custom2_Q="(None)",F_Custom2_Q="",ISBLANK(F_Custom2_Q),F_Custom2_V="(All)",F_Custom2_V="",ISBLANK(F_Custom2_V)),1,IFERROR(IF(ISNUMBER(SEARCH("|"&amp;INDEX(INDIRECT(F_Custom2_resolved_column),207)&amp;"|",F_Custom2_wrapped)),1,0),0))</f>
        <v>1</v>
      </c>
      <c r="F208">
        <f>D208*E208*1</f>
        <v>1</v>
      </c>
      <c r="G208">
        <f>1</f>
        <v>1</v>
      </c>
      <c r="H2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207)&amp;"|",All_Questions_Q_STREAM_F_wrapped)),1,0),0))*1</f>
        <v>1</v>
      </c>
    </row>
    <row r="209">
      <c r="A209" t="n">
        <v>208</v>
      </c>
      <c r="B209" t="inlineStr">
        <is>
          <t>B</t>
        </is>
      </c>
      <c r="C209">
        <f>1</f>
        <v>1</v>
      </c>
      <c r="D209">
        <f>IF(OR(F_Custom1_Q="(None)",F_Custom1_Q="",ISBLANK(F_Custom1_Q),F_Custom1_V="(All)",F_Custom1_V="",ISBLANK(F_Custom1_V)),1,IFERROR(IF(ISNUMBER(SEARCH("|"&amp;INDEX(INDIRECT(F_Custom1_resolved_column),208)&amp;"|",F_Custom1_wrapped)),1,0),0))</f>
        <v>1</v>
      </c>
      <c r="E209">
        <f>IF(OR(F_Custom2_Q="(None)",F_Custom2_Q="",ISBLANK(F_Custom2_Q),F_Custom2_V="(All)",F_Custom2_V="",ISBLANK(F_Custom2_V)),1,IFERROR(IF(ISNUMBER(SEARCH("|"&amp;INDEX(INDIRECT(F_Custom2_resolved_column),208)&amp;"|",F_Custom2_wrapped)),1,0),0))</f>
        <v>1</v>
      </c>
      <c r="F209">
        <f>D209*E209*1</f>
        <v>1</v>
      </c>
      <c r="G209">
        <f>1</f>
        <v>1</v>
      </c>
      <c r="H2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208)&amp;"|",All_Questions_Q_STREAM_F_wrapped)),1,0),0))*1</f>
        <v>1</v>
      </c>
    </row>
    <row r="210">
      <c r="A210" t="n">
        <v>209</v>
      </c>
      <c r="B210" t="inlineStr">
        <is>
          <t>A</t>
        </is>
      </c>
      <c r="C210">
        <f>1</f>
        <v>1</v>
      </c>
      <c r="D210">
        <f>IF(OR(F_Custom1_Q="(None)",F_Custom1_Q="",ISBLANK(F_Custom1_Q),F_Custom1_V="(All)",F_Custom1_V="",ISBLANK(F_Custom1_V)),1,IFERROR(IF(ISNUMBER(SEARCH("|"&amp;INDEX(INDIRECT(F_Custom1_resolved_column),209)&amp;"|",F_Custom1_wrapped)),1,0),0))</f>
        <v>1</v>
      </c>
      <c r="E210">
        <f>IF(OR(F_Custom2_Q="(None)",F_Custom2_Q="",ISBLANK(F_Custom2_Q),F_Custom2_V="(All)",F_Custom2_V="",ISBLANK(F_Custom2_V)),1,IFERROR(IF(ISNUMBER(SEARCH("|"&amp;INDEX(INDIRECT(F_Custom2_resolved_column),209)&amp;"|",F_Custom2_wrapped)),1,0),0))</f>
        <v>1</v>
      </c>
      <c r="F210">
        <f>D210*E210*1</f>
        <v>1</v>
      </c>
      <c r="G210">
        <f>1</f>
        <v>1</v>
      </c>
      <c r="H2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209)&amp;"|",All_Questions_Q_STREAM_F_wrapped)),1,0),0))*1</f>
        <v>1</v>
      </c>
    </row>
    <row r="211">
      <c r="A211" t="n">
        <v>210</v>
      </c>
      <c r="B211" t="inlineStr">
        <is>
          <t>B</t>
        </is>
      </c>
      <c r="C211">
        <f>1</f>
        <v>1</v>
      </c>
      <c r="D211">
        <f>IF(OR(F_Custom1_Q="(None)",F_Custom1_Q="",ISBLANK(F_Custom1_Q),F_Custom1_V="(All)",F_Custom1_V="",ISBLANK(F_Custom1_V)),1,IFERROR(IF(ISNUMBER(SEARCH("|"&amp;INDEX(INDIRECT(F_Custom1_resolved_column),210)&amp;"|",F_Custom1_wrapped)),1,0),0))</f>
        <v>1</v>
      </c>
      <c r="E211">
        <f>IF(OR(F_Custom2_Q="(None)",F_Custom2_Q="",ISBLANK(F_Custom2_Q),F_Custom2_V="(All)",F_Custom2_V="",ISBLANK(F_Custom2_V)),1,IFERROR(IF(ISNUMBER(SEARCH("|"&amp;INDEX(INDIRECT(F_Custom2_resolved_column),210)&amp;"|",F_Custom2_wrapped)),1,0),0))</f>
        <v>1</v>
      </c>
      <c r="F211">
        <f>D211*E211*1</f>
        <v>1</v>
      </c>
      <c r="G211">
        <f>1</f>
        <v>1</v>
      </c>
      <c r="H2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210)&amp;"|",All_Questions_Q_STREAM_F_wrapped)),1,0),0))*1</f>
        <v>1</v>
      </c>
    </row>
    <row r="212">
      <c r="A212" t="n">
        <v>211</v>
      </c>
      <c r="B212" t="inlineStr">
        <is>
          <t>A</t>
        </is>
      </c>
      <c r="C212">
        <f>1</f>
        <v>1</v>
      </c>
      <c r="D212">
        <f>IF(OR(F_Custom1_Q="(None)",F_Custom1_Q="",ISBLANK(F_Custom1_Q),F_Custom1_V="(All)",F_Custom1_V="",ISBLANK(F_Custom1_V)),1,IFERROR(IF(ISNUMBER(SEARCH("|"&amp;INDEX(INDIRECT(F_Custom1_resolved_column),211)&amp;"|",F_Custom1_wrapped)),1,0),0))</f>
        <v>1</v>
      </c>
      <c r="E212">
        <f>IF(OR(F_Custom2_Q="(None)",F_Custom2_Q="",ISBLANK(F_Custom2_Q),F_Custom2_V="(All)",F_Custom2_V="",ISBLANK(F_Custom2_V)),1,IFERROR(IF(ISNUMBER(SEARCH("|"&amp;INDEX(INDIRECT(F_Custom2_resolved_column),211)&amp;"|",F_Custom2_wrapped)),1,0),0))</f>
        <v>1</v>
      </c>
      <c r="F212">
        <f>D212*E212*1</f>
        <v>1</v>
      </c>
      <c r="G212">
        <f>1</f>
        <v>1</v>
      </c>
      <c r="H2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211)&amp;"|",All_Questions_Q_STREAM_F_wrapped)),1,0),0))*1</f>
        <v>1</v>
      </c>
    </row>
    <row r="213">
      <c r="A213" t="n">
        <v>212</v>
      </c>
      <c r="B213" t="inlineStr">
        <is>
          <t>B</t>
        </is>
      </c>
      <c r="C213">
        <f>1</f>
        <v>1</v>
      </c>
      <c r="D213">
        <f>IF(OR(F_Custom1_Q="(None)",F_Custom1_Q="",ISBLANK(F_Custom1_Q),F_Custom1_V="(All)",F_Custom1_V="",ISBLANK(F_Custom1_V)),1,IFERROR(IF(ISNUMBER(SEARCH("|"&amp;INDEX(INDIRECT(F_Custom1_resolved_column),212)&amp;"|",F_Custom1_wrapped)),1,0),0))</f>
        <v>1</v>
      </c>
      <c r="E213">
        <f>IF(OR(F_Custom2_Q="(None)",F_Custom2_Q="",ISBLANK(F_Custom2_Q),F_Custom2_V="(All)",F_Custom2_V="",ISBLANK(F_Custom2_V)),1,IFERROR(IF(ISNUMBER(SEARCH("|"&amp;INDEX(INDIRECT(F_Custom2_resolved_column),212)&amp;"|",F_Custom2_wrapped)),1,0),0))</f>
        <v>1</v>
      </c>
      <c r="F213">
        <f>D213*E213*1</f>
        <v>1</v>
      </c>
      <c r="G213">
        <f>1</f>
        <v>1</v>
      </c>
      <c r="H2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212)&amp;"|",All_Questions_Q_STREAM_F_wrapped)),1,0),0))*1</f>
        <v>1</v>
      </c>
    </row>
    <row r="214">
      <c r="A214" t="n">
        <v>213</v>
      </c>
      <c r="B214" t="inlineStr">
        <is>
          <t>A</t>
        </is>
      </c>
      <c r="C214">
        <f>1</f>
        <v>1</v>
      </c>
      <c r="D214">
        <f>IF(OR(F_Custom1_Q="(None)",F_Custom1_Q="",ISBLANK(F_Custom1_Q),F_Custom1_V="(All)",F_Custom1_V="",ISBLANK(F_Custom1_V)),1,IFERROR(IF(ISNUMBER(SEARCH("|"&amp;INDEX(INDIRECT(F_Custom1_resolved_column),213)&amp;"|",F_Custom1_wrapped)),1,0),0))</f>
        <v>1</v>
      </c>
      <c r="E214">
        <f>IF(OR(F_Custom2_Q="(None)",F_Custom2_Q="",ISBLANK(F_Custom2_Q),F_Custom2_V="(All)",F_Custom2_V="",ISBLANK(F_Custom2_V)),1,IFERROR(IF(ISNUMBER(SEARCH("|"&amp;INDEX(INDIRECT(F_Custom2_resolved_column),213)&amp;"|",F_Custom2_wrapped)),1,0),0))</f>
        <v>1</v>
      </c>
      <c r="F214">
        <f>D214*E214*1</f>
        <v>1</v>
      </c>
      <c r="G214">
        <f>1</f>
        <v>1</v>
      </c>
      <c r="H2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213)&amp;"|",All_Questions_Q_STREAM_F_wrapped)),1,0),0))*1</f>
        <v>1</v>
      </c>
    </row>
    <row r="215">
      <c r="A215" t="n">
        <v>214</v>
      </c>
      <c r="B215" t="inlineStr">
        <is>
          <t>B</t>
        </is>
      </c>
      <c r="C215">
        <f>1</f>
        <v>1</v>
      </c>
      <c r="D215">
        <f>IF(OR(F_Custom1_Q="(None)",F_Custom1_Q="",ISBLANK(F_Custom1_Q),F_Custom1_V="(All)",F_Custom1_V="",ISBLANK(F_Custom1_V)),1,IFERROR(IF(ISNUMBER(SEARCH("|"&amp;INDEX(INDIRECT(F_Custom1_resolved_column),214)&amp;"|",F_Custom1_wrapped)),1,0),0))</f>
        <v>1</v>
      </c>
      <c r="E215">
        <f>IF(OR(F_Custom2_Q="(None)",F_Custom2_Q="",ISBLANK(F_Custom2_Q),F_Custom2_V="(All)",F_Custom2_V="",ISBLANK(F_Custom2_V)),1,IFERROR(IF(ISNUMBER(SEARCH("|"&amp;INDEX(INDIRECT(F_Custom2_resolved_column),214)&amp;"|",F_Custom2_wrapped)),1,0),0))</f>
        <v>1</v>
      </c>
      <c r="F215">
        <f>D215*E215*1</f>
        <v>1</v>
      </c>
      <c r="G215">
        <f>1</f>
        <v>1</v>
      </c>
      <c r="H2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214)&amp;"|",All_Questions_Q_STREAM_F_wrapped)),1,0),0))*1</f>
        <v>1</v>
      </c>
    </row>
    <row r="216">
      <c r="A216" t="n">
        <v>215</v>
      </c>
      <c r="B216" t="inlineStr">
        <is>
          <t>A</t>
        </is>
      </c>
      <c r="C216">
        <f>1</f>
        <v>1</v>
      </c>
      <c r="D216">
        <f>IF(OR(F_Custom1_Q="(None)",F_Custom1_Q="",ISBLANK(F_Custom1_Q),F_Custom1_V="(All)",F_Custom1_V="",ISBLANK(F_Custom1_V)),1,IFERROR(IF(ISNUMBER(SEARCH("|"&amp;INDEX(INDIRECT(F_Custom1_resolved_column),215)&amp;"|",F_Custom1_wrapped)),1,0),0))</f>
        <v>1</v>
      </c>
      <c r="E216">
        <f>IF(OR(F_Custom2_Q="(None)",F_Custom2_Q="",ISBLANK(F_Custom2_Q),F_Custom2_V="(All)",F_Custom2_V="",ISBLANK(F_Custom2_V)),1,IFERROR(IF(ISNUMBER(SEARCH("|"&amp;INDEX(INDIRECT(F_Custom2_resolved_column),215)&amp;"|",F_Custom2_wrapped)),1,0),0))</f>
        <v>1</v>
      </c>
      <c r="F216">
        <f>D216*E216*1</f>
        <v>1</v>
      </c>
      <c r="G216">
        <f>1</f>
        <v>1</v>
      </c>
      <c r="H2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215)&amp;"|",All_Questions_Q_STREAM_F_wrapped)),1,0),0))*1</f>
        <v>1</v>
      </c>
    </row>
    <row r="217">
      <c r="A217" t="n">
        <v>216</v>
      </c>
      <c r="B217" t="inlineStr">
        <is>
          <t>B</t>
        </is>
      </c>
      <c r="C217">
        <f>1</f>
        <v>1</v>
      </c>
      <c r="D217">
        <f>IF(OR(F_Custom1_Q="(None)",F_Custom1_Q="",ISBLANK(F_Custom1_Q),F_Custom1_V="(All)",F_Custom1_V="",ISBLANK(F_Custom1_V)),1,IFERROR(IF(ISNUMBER(SEARCH("|"&amp;INDEX(INDIRECT(F_Custom1_resolved_column),216)&amp;"|",F_Custom1_wrapped)),1,0),0))</f>
        <v>1</v>
      </c>
      <c r="E217">
        <f>IF(OR(F_Custom2_Q="(None)",F_Custom2_Q="",ISBLANK(F_Custom2_Q),F_Custom2_V="(All)",F_Custom2_V="",ISBLANK(F_Custom2_V)),1,IFERROR(IF(ISNUMBER(SEARCH("|"&amp;INDEX(INDIRECT(F_Custom2_resolved_column),216)&amp;"|",F_Custom2_wrapped)),1,0),0))</f>
        <v>1</v>
      </c>
      <c r="F217">
        <f>D217*E217*1</f>
        <v>1</v>
      </c>
      <c r="G217">
        <f>1</f>
        <v>1</v>
      </c>
      <c r="H2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216)&amp;"|",All_Questions_Q_STREAM_F_wrapped)),1,0),0))*1</f>
        <v>1</v>
      </c>
    </row>
    <row r="218">
      <c r="A218" t="n">
        <v>217</v>
      </c>
      <c r="B218" t="inlineStr">
        <is>
          <t>A</t>
        </is>
      </c>
      <c r="C218">
        <f>1</f>
        <v>1</v>
      </c>
      <c r="D218">
        <f>IF(OR(F_Custom1_Q="(None)",F_Custom1_Q="",ISBLANK(F_Custom1_Q),F_Custom1_V="(All)",F_Custom1_V="",ISBLANK(F_Custom1_V)),1,IFERROR(IF(ISNUMBER(SEARCH("|"&amp;INDEX(INDIRECT(F_Custom1_resolved_column),217)&amp;"|",F_Custom1_wrapped)),1,0),0))</f>
        <v>1</v>
      </c>
      <c r="E218">
        <f>IF(OR(F_Custom2_Q="(None)",F_Custom2_Q="",ISBLANK(F_Custom2_Q),F_Custom2_V="(All)",F_Custom2_V="",ISBLANK(F_Custom2_V)),1,IFERROR(IF(ISNUMBER(SEARCH("|"&amp;INDEX(INDIRECT(F_Custom2_resolved_column),217)&amp;"|",F_Custom2_wrapped)),1,0),0))</f>
        <v>1</v>
      </c>
      <c r="F218">
        <f>D218*E218*1</f>
        <v>1</v>
      </c>
      <c r="G218">
        <f>1</f>
        <v>1</v>
      </c>
      <c r="H2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217)&amp;"|",All_Questions_Q_STREAM_F_wrapped)),1,0),0))*1</f>
        <v>1</v>
      </c>
    </row>
    <row r="219">
      <c r="A219" t="n">
        <v>218</v>
      </c>
      <c r="B219" t="inlineStr">
        <is>
          <t>B</t>
        </is>
      </c>
      <c r="C219">
        <f>1</f>
        <v>1</v>
      </c>
      <c r="D219">
        <f>IF(OR(F_Custom1_Q="(None)",F_Custom1_Q="",ISBLANK(F_Custom1_Q),F_Custom1_V="(All)",F_Custom1_V="",ISBLANK(F_Custom1_V)),1,IFERROR(IF(ISNUMBER(SEARCH("|"&amp;INDEX(INDIRECT(F_Custom1_resolved_column),218)&amp;"|",F_Custom1_wrapped)),1,0),0))</f>
        <v>1</v>
      </c>
      <c r="E219">
        <f>IF(OR(F_Custom2_Q="(None)",F_Custom2_Q="",ISBLANK(F_Custom2_Q),F_Custom2_V="(All)",F_Custom2_V="",ISBLANK(F_Custom2_V)),1,IFERROR(IF(ISNUMBER(SEARCH("|"&amp;INDEX(INDIRECT(F_Custom2_resolved_column),218)&amp;"|",F_Custom2_wrapped)),1,0),0))</f>
        <v>1</v>
      </c>
      <c r="F219">
        <f>D219*E219*1</f>
        <v>1</v>
      </c>
      <c r="G219">
        <f>1</f>
        <v>1</v>
      </c>
      <c r="H2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218)&amp;"|",All_Questions_Q_STREAM_F_wrapped)),1,0),0))*1</f>
        <v>1</v>
      </c>
    </row>
    <row r="220">
      <c r="A220" t="n">
        <v>219</v>
      </c>
      <c r="B220" t="inlineStr">
        <is>
          <t>A</t>
        </is>
      </c>
      <c r="C220">
        <f>1</f>
        <v>1</v>
      </c>
      <c r="D220">
        <f>IF(OR(F_Custom1_Q="(None)",F_Custom1_Q="",ISBLANK(F_Custom1_Q),F_Custom1_V="(All)",F_Custom1_V="",ISBLANK(F_Custom1_V)),1,IFERROR(IF(ISNUMBER(SEARCH("|"&amp;INDEX(INDIRECT(F_Custom1_resolved_column),219)&amp;"|",F_Custom1_wrapped)),1,0),0))</f>
        <v>1</v>
      </c>
      <c r="E220">
        <f>IF(OR(F_Custom2_Q="(None)",F_Custom2_Q="",ISBLANK(F_Custom2_Q),F_Custom2_V="(All)",F_Custom2_V="",ISBLANK(F_Custom2_V)),1,IFERROR(IF(ISNUMBER(SEARCH("|"&amp;INDEX(INDIRECT(F_Custom2_resolved_column),219)&amp;"|",F_Custom2_wrapped)),1,0),0))</f>
        <v>1</v>
      </c>
      <c r="F220">
        <f>D220*E220*1</f>
        <v>1</v>
      </c>
      <c r="G220">
        <f>1</f>
        <v>1</v>
      </c>
      <c r="H2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219)&amp;"|",All_Questions_Q_STREAM_F_wrapped)),1,0),0))*1</f>
        <v>1</v>
      </c>
    </row>
    <row r="221">
      <c r="A221" t="n">
        <v>220</v>
      </c>
      <c r="B221" t="inlineStr">
        <is>
          <t>B</t>
        </is>
      </c>
      <c r="C221">
        <f>1</f>
        <v>1</v>
      </c>
      <c r="D221">
        <f>IF(OR(F_Custom1_Q="(None)",F_Custom1_Q="",ISBLANK(F_Custom1_Q),F_Custom1_V="(All)",F_Custom1_V="",ISBLANK(F_Custom1_V)),1,IFERROR(IF(ISNUMBER(SEARCH("|"&amp;INDEX(INDIRECT(F_Custom1_resolved_column),220)&amp;"|",F_Custom1_wrapped)),1,0),0))</f>
        <v>1</v>
      </c>
      <c r="E221">
        <f>IF(OR(F_Custom2_Q="(None)",F_Custom2_Q="",ISBLANK(F_Custom2_Q),F_Custom2_V="(All)",F_Custom2_V="",ISBLANK(F_Custom2_V)),1,IFERROR(IF(ISNUMBER(SEARCH("|"&amp;INDEX(INDIRECT(F_Custom2_resolved_column),220)&amp;"|",F_Custom2_wrapped)),1,0),0))</f>
        <v>1</v>
      </c>
      <c r="F221">
        <f>D221*E221*1</f>
        <v>1</v>
      </c>
      <c r="G221">
        <f>1</f>
        <v>1</v>
      </c>
      <c r="H2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220)&amp;"|",All_Questions_Q_STREAM_F_wrapped)),1,0),0))*1</f>
        <v>1</v>
      </c>
    </row>
    <row r="222">
      <c r="A222" t="n">
        <v>221</v>
      </c>
      <c r="B222" t="inlineStr">
        <is>
          <t>A</t>
        </is>
      </c>
      <c r="C222">
        <f>1</f>
        <v>1</v>
      </c>
      <c r="D222">
        <f>IF(OR(F_Custom1_Q="(None)",F_Custom1_Q="",ISBLANK(F_Custom1_Q),F_Custom1_V="(All)",F_Custom1_V="",ISBLANK(F_Custom1_V)),1,IFERROR(IF(ISNUMBER(SEARCH("|"&amp;INDEX(INDIRECT(F_Custom1_resolved_column),221)&amp;"|",F_Custom1_wrapped)),1,0),0))</f>
        <v>1</v>
      </c>
      <c r="E222">
        <f>IF(OR(F_Custom2_Q="(None)",F_Custom2_Q="",ISBLANK(F_Custom2_Q),F_Custom2_V="(All)",F_Custom2_V="",ISBLANK(F_Custom2_V)),1,IFERROR(IF(ISNUMBER(SEARCH("|"&amp;INDEX(INDIRECT(F_Custom2_resolved_column),221)&amp;"|",F_Custom2_wrapped)),1,0),0))</f>
        <v>1</v>
      </c>
      <c r="F222">
        <f>D222*E222*1</f>
        <v>1</v>
      </c>
      <c r="G222">
        <f>1</f>
        <v>1</v>
      </c>
      <c r="H2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221)&amp;"|",All_Questions_Q_STREAM_F_wrapped)),1,0),0))*1</f>
        <v>1</v>
      </c>
    </row>
    <row r="223">
      <c r="A223" t="n">
        <v>222</v>
      </c>
      <c r="B223" t="inlineStr">
        <is>
          <t>B</t>
        </is>
      </c>
      <c r="C223">
        <f>1</f>
        <v>1</v>
      </c>
      <c r="D223">
        <f>IF(OR(F_Custom1_Q="(None)",F_Custom1_Q="",ISBLANK(F_Custom1_Q),F_Custom1_V="(All)",F_Custom1_V="",ISBLANK(F_Custom1_V)),1,IFERROR(IF(ISNUMBER(SEARCH("|"&amp;INDEX(INDIRECT(F_Custom1_resolved_column),222)&amp;"|",F_Custom1_wrapped)),1,0),0))</f>
        <v>1</v>
      </c>
      <c r="E223">
        <f>IF(OR(F_Custom2_Q="(None)",F_Custom2_Q="",ISBLANK(F_Custom2_Q),F_Custom2_V="(All)",F_Custom2_V="",ISBLANK(F_Custom2_V)),1,IFERROR(IF(ISNUMBER(SEARCH("|"&amp;INDEX(INDIRECT(F_Custom2_resolved_column),222)&amp;"|",F_Custom2_wrapped)),1,0),0))</f>
        <v>1</v>
      </c>
      <c r="F223">
        <f>D223*E223*1</f>
        <v>1</v>
      </c>
      <c r="G223">
        <f>1</f>
        <v>1</v>
      </c>
      <c r="H2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222)&amp;"|",All_Questions_Q_STREAM_F_wrapped)),1,0),0))*1</f>
        <v>1</v>
      </c>
    </row>
    <row r="224">
      <c r="A224" t="n">
        <v>223</v>
      </c>
      <c r="B224" t="inlineStr">
        <is>
          <t>A</t>
        </is>
      </c>
      <c r="C224">
        <f>1</f>
        <v>1</v>
      </c>
      <c r="D224">
        <f>IF(OR(F_Custom1_Q="(None)",F_Custom1_Q="",ISBLANK(F_Custom1_Q),F_Custom1_V="(All)",F_Custom1_V="",ISBLANK(F_Custom1_V)),1,IFERROR(IF(ISNUMBER(SEARCH("|"&amp;INDEX(INDIRECT(F_Custom1_resolved_column),223)&amp;"|",F_Custom1_wrapped)),1,0),0))</f>
        <v>1</v>
      </c>
      <c r="E224">
        <f>IF(OR(F_Custom2_Q="(None)",F_Custom2_Q="",ISBLANK(F_Custom2_Q),F_Custom2_V="(All)",F_Custom2_V="",ISBLANK(F_Custom2_V)),1,IFERROR(IF(ISNUMBER(SEARCH("|"&amp;INDEX(INDIRECT(F_Custom2_resolved_column),223)&amp;"|",F_Custom2_wrapped)),1,0),0))</f>
        <v>1</v>
      </c>
      <c r="F224">
        <f>D224*E224*1</f>
        <v>1</v>
      </c>
      <c r="G224">
        <f>1</f>
        <v>1</v>
      </c>
      <c r="H2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223)&amp;"|",All_Questions_Q_STREAM_F_wrapped)),1,0),0))*1</f>
        <v>1</v>
      </c>
    </row>
    <row r="225">
      <c r="A225" t="n">
        <v>224</v>
      </c>
      <c r="B225" t="inlineStr">
        <is>
          <t>B</t>
        </is>
      </c>
      <c r="C225">
        <f>1</f>
        <v>1</v>
      </c>
      <c r="D225">
        <f>IF(OR(F_Custom1_Q="(None)",F_Custom1_Q="",ISBLANK(F_Custom1_Q),F_Custom1_V="(All)",F_Custom1_V="",ISBLANK(F_Custom1_V)),1,IFERROR(IF(ISNUMBER(SEARCH("|"&amp;INDEX(INDIRECT(F_Custom1_resolved_column),224)&amp;"|",F_Custom1_wrapped)),1,0),0))</f>
        <v>1</v>
      </c>
      <c r="E225">
        <f>IF(OR(F_Custom2_Q="(None)",F_Custom2_Q="",ISBLANK(F_Custom2_Q),F_Custom2_V="(All)",F_Custom2_V="",ISBLANK(F_Custom2_V)),1,IFERROR(IF(ISNUMBER(SEARCH("|"&amp;INDEX(INDIRECT(F_Custom2_resolved_column),224)&amp;"|",F_Custom2_wrapped)),1,0),0))</f>
        <v>1</v>
      </c>
      <c r="F225">
        <f>D225*E225*1</f>
        <v>1</v>
      </c>
      <c r="G225">
        <f>1</f>
        <v>1</v>
      </c>
      <c r="H2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224)&amp;"|",All_Questions_Q_STREAM_F_wrapped)),1,0),0))*1</f>
        <v>1</v>
      </c>
    </row>
    <row r="226">
      <c r="A226" t="n">
        <v>225</v>
      </c>
      <c r="B226" t="inlineStr">
        <is>
          <t>A</t>
        </is>
      </c>
      <c r="C226">
        <f>1</f>
        <v>1</v>
      </c>
      <c r="D226">
        <f>IF(OR(F_Custom1_Q="(None)",F_Custom1_Q="",ISBLANK(F_Custom1_Q),F_Custom1_V="(All)",F_Custom1_V="",ISBLANK(F_Custom1_V)),1,IFERROR(IF(ISNUMBER(SEARCH("|"&amp;INDEX(INDIRECT(F_Custom1_resolved_column),225)&amp;"|",F_Custom1_wrapped)),1,0),0))</f>
        <v>1</v>
      </c>
      <c r="E226">
        <f>IF(OR(F_Custom2_Q="(None)",F_Custom2_Q="",ISBLANK(F_Custom2_Q),F_Custom2_V="(All)",F_Custom2_V="",ISBLANK(F_Custom2_V)),1,IFERROR(IF(ISNUMBER(SEARCH("|"&amp;INDEX(INDIRECT(F_Custom2_resolved_column),225)&amp;"|",F_Custom2_wrapped)),1,0),0))</f>
        <v>1</v>
      </c>
      <c r="F226">
        <f>D226*E226*1</f>
        <v>1</v>
      </c>
      <c r="G226">
        <f>1</f>
        <v>1</v>
      </c>
      <c r="H2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225)&amp;"|",All_Questions_Q_STREAM_F_wrapped)),1,0),0))*1</f>
        <v>1</v>
      </c>
    </row>
    <row r="227">
      <c r="A227" t="n">
        <v>226</v>
      </c>
      <c r="B227" t="inlineStr">
        <is>
          <t>B</t>
        </is>
      </c>
      <c r="C227">
        <f>1</f>
        <v>1</v>
      </c>
      <c r="D227">
        <f>IF(OR(F_Custom1_Q="(None)",F_Custom1_Q="",ISBLANK(F_Custom1_Q),F_Custom1_V="(All)",F_Custom1_V="",ISBLANK(F_Custom1_V)),1,IFERROR(IF(ISNUMBER(SEARCH("|"&amp;INDEX(INDIRECT(F_Custom1_resolved_column),226)&amp;"|",F_Custom1_wrapped)),1,0),0))</f>
        <v>1</v>
      </c>
      <c r="E227">
        <f>IF(OR(F_Custom2_Q="(None)",F_Custom2_Q="",ISBLANK(F_Custom2_Q),F_Custom2_V="(All)",F_Custom2_V="",ISBLANK(F_Custom2_V)),1,IFERROR(IF(ISNUMBER(SEARCH("|"&amp;INDEX(INDIRECT(F_Custom2_resolved_column),226)&amp;"|",F_Custom2_wrapped)),1,0),0))</f>
        <v>1</v>
      </c>
      <c r="F227">
        <f>D227*E227*1</f>
        <v>1</v>
      </c>
      <c r="G227">
        <f>1</f>
        <v>1</v>
      </c>
      <c r="H2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226)&amp;"|",All_Questions_Q_STREAM_F_wrapped)),1,0),0))*1</f>
        <v>1</v>
      </c>
    </row>
    <row r="228">
      <c r="A228" t="n">
        <v>227</v>
      </c>
      <c r="B228" t="inlineStr">
        <is>
          <t>A</t>
        </is>
      </c>
      <c r="C228">
        <f>1</f>
        <v>1</v>
      </c>
      <c r="D228">
        <f>IF(OR(F_Custom1_Q="(None)",F_Custom1_Q="",ISBLANK(F_Custom1_Q),F_Custom1_V="(All)",F_Custom1_V="",ISBLANK(F_Custom1_V)),1,IFERROR(IF(ISNUMBER(SEARCH("|"&amp;INDEX(INDIRECT(F_Custom1_resolved_column),227)&amp;"|",F_Custom1_wrapped)),1,0),0))</f>
        <v>1</v>
      </c>
      <c r="E228">
        <f>IF(OR(F_Custom2_Q="(None)",F_Custom2_Q="",ISBLANK(F_Custom2_Q),F_Custom2_V="(All)",F_Custom2_V="",ISBLANK(F_Custom2_V)),1,IFERROR(IF(ISNUMBER(SEARCH("|"&amp;INDEX(INDIRECT(F_Custom2_resolved_column),227)&amp;"|",F_Custom2_wrapped)),1,0),0))</f>
        <v>1</v>
      </c>
      <c r="F228">
        <f>D228*E228*1</f>
        <v>1</v>
      </c>
      <c r="G228">
        <f>1</f>
        <v>1</v>
      </c>
      <c r="H2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227)&amp;"|",All_Questions_Q_STREAM_F_wrapped)),1,0),0))*1</f>
        <v>1</v>
      </c>
    </row>
    <row r="229">
      <c r="A229" t="n">
        <v>228</v>
      </c>
      <c r="B229" t="inlineStr">
        <is>
          <t>B</t>
        </is>
      </c>
      <c r="C229">
        <f>1</f>
        <v>1</v>
      </c>
      <c r="D229">
        <f>IF(OR(F_Custom1_Q="(None)",F_Custom1_Q="",ISBLANK(F_Custom1_Q),F_Custom1_V="(All)",F_Custom1_V="",ISBLANK(F_Custom1_V)),1,IFERROR(IF(ISNUMBER(SEARCH("|"&amp;INDEX(INDIRECT(F_Custom1_resolved_column),228)&amp;"|",F_Custom1_wrapped)),1,0),0))</f>
        <v>1</v>
      </c>
      <c r="E229">
        <f>IF(OR(F_Custom2_Q="(None)",F_Custom2_Q="",ISBLANK(F_Custom2_Q),F_Custom2_V="(All)",F_Custom2_V="",ISBLANK(F_Custom2_V)),1,IFERROR(IF(ISNUMBER(SEARCH("|"&amp;INDEX(INDIRECT(F_Custom2_resolved_column),228)&amp;"|",F_Custom2_wrapped)),1,0),0))</f>
        <v>1</v>
      </c>
      <c r="F229">
        <f>D229*E229*1</f>
        <v>1</v>
      </c>
      <c r="G229">
        <f>1</f>
        <v>1</v>
      </c>
      <c r="H2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228)&amp;"|",All_Questions_Q_STREAM_F_wrapped)),1,0),0))*1</f>
        <v>1</v>
      </c>
    </row>
    <row r="230">
      <c r="A230" t="n">
        <v>229</v>
      </c>
      <c r="B230" t="inlineStr">
        <is>
          <t>A</t>
        </is>
      </c>
      <c r="C230">
        <f>1</f>
        <v>1</v>
      </c>
      <c r="D230">
        <f>IF(OR(F_Custom1_Q="(None)",F_Custom1_Q="",ISBLANK(F_Custom1_Q),F_Custom1_V="(All)",F_Custom1_V="",ISBLANK(F_Custom1_V)),1,IFERROR(IF(ISNUMBER(SEARCH("|"&amp;INDEX(INDIRECT(F_Custom1_resolved_column),229)&amp;"|",F_Custom1_wrapped)),1,0),0))</f>
        <v>1</v>
      </c>
      <c r="E230">
        <f>IF(OR(F_Custom2_Q="(None)",F_Custom2_Q="",ISBLANK(F_Custom2_Q),F_Custom2_V="(All)",F_Custom2_V="",ISBLANK(F_Custom2_V)),1,IFERROR(IF(ISNUMBER(SEARCH("|"&amp;INDEX(INDIRECT(F_Custom2_resolved_column),229)&amp;"|",F_Custom2_wrapped)),1,0),0))</f>
        <v>1</v>
      </c>
      <c r="F230">
        <f>D230*E230*1</f>
        <v>1</v>
      </c>
      <c r="G230">
        <f>1</f>
        <v>1</v>
      </c>
      <c r="H2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229)&amp;"|",All_Questions_Q_STREAM_F_wrapped)),1,0),0))*1</f>
        <v>1</v>
      </c>
    </row>
    <row r="231">
      <c r="A231" t="n">
        <v>230</v>
      </c>
      <c r="B231" t="inlineStr">
        <is>
          <t>B</t>
        </is>
      </c>
      <c r="C231">
        <f>1</f>
        <v>1</v>
      </c>
      <c r="D231">
        <f>IF(OR(F_Custom1_Q="(None)",F_Custom1_Q="",ISBLANK(F_Custom1_Q),F_Custom1_V="(All)",F_Custom1_V="",ISBLANK(F_Custom1_V)),1,IFERROR(IF(ISNUMBER(SEARCH("|"&amp;INDEX(INDIRECT(F_Custom1_resolved_column),230)&amp;"|",F_Custom1_wrapped)),1,0),0))</f>
        <v>1</v>
      </c>
      <c r="E231">
        <f>IF(OR(F_Custom2_Q="(None)",F_Custom2_Q="",ISBLANK(F_Custom2_Q),F_Custom2_V="(All)",F_Custom2_V="",ISBLANK(F_Custom2_V)),1,IFERROR(IF(ISNUMBER(SEARCH("|"&amp;INDEX(INDIRECT(F_Custom2_resolved_column),230)&amp;"|",F_Custom2_wrapped)),1,0),0))</f>
        <v>1</v>
      </c>
      <c r="F231">
        <f>D231*E231*1</f>
        <v>1</v>
      </c>
      <c r="G231">
        <f>1</f>
        <v>1</v>
      </c>
      <c r="H2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230)&amp;"|",All_Questions_Q_STREAM_F_wrapped)),1,0),0))*1</f>
        <v>1</v>
      </c>
    </row>
    <row r="232">
      <c r="A232" t="n">
        <v>231</v>
      </c>
      <c r="B232" t="inlineStr">
        <is>
          <t>A</t>
        </is>
      </c>
      <c r="C232">
        <f>1</f>
        <v>1</v>
      </c>
      <c r="D232">
        <f>IF(OR(F_Custom1_Q="(None)",F_Custom1_Q="",ISBLANK(F_Custom1_Q),F_Custom1_V="(All)",F_Custom1_V="",ISBLANK(F_Custom1_V)),1,IFERROR(IF(ISNUMBER(SEARCH("|"&amp;INDEX(INDIRECT(F_Custom1_resolved_column),231)&amp;"|",F_Custom1_wrapped)),1,0),0))</f>
        <v>1</v>
      </c>
      <c r="E232">
        <f>IF(OR(F_Custom2_Q="(None)",F_Custom2_Q="",ISBLANK(F_Custom2_Q),F_Custom2_V="(All)",F_Custom2_V="",ISBLANK(F_Custom2_V)),1,IFERROR(IF(ISNUMBER(SEARCH("|"&amp;INDEX(INDIRECT(F_Custom2_resolved_column),231)&amp;"|",F_Custom2_wrapped)),1,0),0))</f>
        <v>1</v>
      </c>
      <c r="F232">
        <f>D232*E232*1</f>
        <v>1</v>
      </c>
      <c r="G232">
        <f>1</f>
        <v>1</v>
      </c>
      <c r="H2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231)&amp;"|",All_Questions_Q_STREAM_F_wrapped)),1,0),0))*1</f>
        <v>1</v>
      </c>
    </row>
    <row r="233">
      <c r="A233" t="n">
        <v>232</v>
      </c>
      <c r="B233" t="inlineStr">
        <is>
          <t>B</t>
        </is>
      </c>
      <c r="C233">
        <f>1</f>
        <v>1</v>
      </c>
      <c r="D233">
        <f>IF(OR(F_Custom1_Q="(None)",F_Custom1_Q="",ISBLANK(F_Custom1_Q),F_Custom1_V="(All)",F_Custom1_V="",ISBLANK(F_Custom1_V)),1,IFERROR(IF(ISNUMBER(SEARCH("|"&amp;INDEX(INDIRECT(F_Custom1_resolved_column),232)&amp;"|",F_Custom1_wrapped)),1,0),0))</f>
        <v>1</v>
      </c>
      <c r="E233">
        <f>IF(OR(F_Custom2_Q="(None)",F_Custom2_Q="",ISBLANK(F_Custom2_Q),F_Custom2_V="(All)",F_Custom2_V="",ISBLANK(F_Custom2_V)),1,IFERROR(IF(ISNUMBER(SEARCH("|"&amp;INDEX(INDIRECT(F_Custom2_resolved_column),232)&amp;"|",F_Custom2_wrapped)),1,0),0))</f>
        <v>1</v>
      </c>
      <c r="F233">
        <f>D233*E233*1</f>
        <v>1</v>
      </c>
      <c r="G233">
        <f>1</f>
        <v>1</v>
      </c>
      <c r="H2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232)&amp;"|",All_Questions_Q_STREAM_F_wrapped)),1,0),0))*1</f>
        <v>1</v>
      </c>
    </row>
    <row r="234">
      <c r="A234" t="n">
        <v>233</v>
      </c>
      <c r="B234" t="inlineStr">
        <is>
          <t>A</t>
        </is>
      </c>
      <c r="C234">
        <f>1</f>
        <v>1</v>
      </c>
      <c r="D234">
        <f>IF(OR(F_Custom1_Q="(None)",F_Custom1_Q="",ISBLANK(F_Custom1_Q),F_Custom1_V="(All)",F_Custom1_V="",ISBLANK(F_Custom1_V)),1,IFERROR(IF(ISNUMBER(SEARCH("|"&amp;INDEX(INDIRECT(F_Custom1_resolved_column),233)&amp;"|",F_Custom1_wrapped)),1,0),0))</f>
        <v>1</v>
      </c>
      <c r="E234">
        <f>IF(OR(F_Custom2_Q="(None)",F_Custom2_Q="",ISBLANK(F_Custom2_Q),F_Custom2_V="(All)",F_Custom2_V="",ISBLANK(F_Custom2_V)),1,IFERROR(IF(ISNUMBER(SEARCH("|"&amp;INDEX(INDIRECT(F_Custom2_resolved_column),233)&amp;"|",F_Custom2_wrapped)),1,0),0))</f>
        <v>1</v>
      </c>
      <c r="F234">
        <f>D234*E234*1</f>
        <v>1</v>
      </c>
      <c r="G234">
        <f>1</f>
        <v>1</v>
      </c>
      <c r="H2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233)&amp;"|",All_Questions_Q_STREAM_F_wrapped)),1,0),0))*1</f>
        <v>1</v>
      </c>
    </row>
    <row r="235">
      <c r="A235" t="n">
        <v>234</v>
      </c>
      <c r="B235" t="inlineStr">
        <is>
          <t>B</t>
        </is>
      </c>
      <c r="C235">
        <f>1</f>
        <v>1</v>
      </c>
      <c r="D235">
        <f>IF(OR(F_Custom1_Q="(None)",F_Custom1_Q="",ISBLANK(F_Custom1_Q),F_Custom1_V="(All)",F_Custom1_V="",ISBLANK(F_Custom1_V)),1,IFERROR(IF(ISNUMBER(SEARCH("|"&amp;INDEX(INDIRECT(F_Custom1_resolved_column),234)&amp;"|",F_Custom1_wrapped)),1,0),0))</f>
        <v>1</v>
      </c>
      <c r="E235">
        <f>IF(OR(F_Custom2_Q="(None)",F_Custom2_Q="",ISBLANK(F_Custom2_Q),F_Custom2_V="(All)",F_Custom2_V="",ISBLANK(F_Custom2_V)),1,IFERROR(IF(ISNUMBER(SEARCH("|"&amp;INDEX(INDIRECT(F_Custom2_resolved_column),234)&amp;"|",F_Custom2_wrapped)),1,0),0))</f>
        <v>1</v>
      </c>
      <c r="F235">
        <f>D235*E235*1</f>
        <v>1</v>
      </c>
      <c r="G235">
        <f>1</f>
        <v>1</v>
      </c>
      <c r="H2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234)&amp;"|",All_Questions_Q_STREAM_F_wrapped)),1,0),0))*1</f>
        <v>1</v>
      </c>
    </row>
    <row r="236">
      <c r="A236" t="n">
        <v>235</v>
      </c>
      <c r="B236" t="inlineStr">
        <is>
          <t>A</t>
        </is>
      </c>
      <c r="C236">
        <f>1</f>
        <v>1</v>
      </c>
      <c r="D236">
        <f>IF(OR(F_Custom1_Q="(None)",F_Custom1_Q="",ISBLANK(F_Custom1_Q),F_Custom1_V="(All)",F_Custom1_V="",ISBLANK(F_Custom1_V)),1,IFERROR(IF(ISNUMBER(SEARCH("|"&amp;INDEX(INDIRECT(F_Custom1_resolved_column),235)&amp;"|",F_Custom1_wrapped)),1,0),0))</f>
        <v>1</v>
      </c>
      <c r="E236">
        <f>IF(OR(F_Custom2_Q="(None)",F_Custom2_Q="",ISBLANK(F_Custom2_Q),F_Custom2_V="(All)",F_Custom2_V="",ISBLANK(F_Custom2_V)),1,IFERROR(IF(ISNUMBER(SEARCH("|"&amp;INDEX(INDIRECT(F_Custom2_resolved_column),235)&amp;"|",F_Custom2_wrapped)),1,0),0))</f>
        <v>1</v>
      </c>
      <c r="F236">
        <f>D236*E236*1</f>
        <v>1</v>
      </c>
      <c r="G236">
        <f>1</f>
        <v>1</v>
      </c>
      <c r="H2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235)&amp;"|",All_Questions_Q_STREAM_F_wrapped)),1,0),0))*1</f>
        <v>1</v>
      </c>
    </row>
    <row r="237">
      <c r="A237" t="n">
        <v>236</v>
      </c>
      <c r="B237" t="inlineStr">
        <is>
          <t>B</t>
        </is>
      </c>
      <c r="C237">
        <f>1</f>
        <v>1</v>
      </c>
      <c r="D237">
        <f>IF(OR(F_Custom1_Q="(None)",F_Custom1_Q="",ISBLANK(F_Custom1_Q),F_Custom1_V="(All)",F_Custom1_V="",ISBLANK(F_Custom1_V)),1,IFERROR(IF(ISNUMBER(SEARCH("|"&amp;INDEX(INDIRECT(F_Custom1_resolved_column),236)&amp;"|",F_Custom1_wrapped)),1,0),0))</f>
        <v>1</v>
      </c>
      <c r="E237">
        <f>IF(OR(F_Custom2_Q="(None)",F_Custom2_Q="",ISBLANK(F_Custom2_Q),F_Custom2_V="(All)",F_Custom2_V="",ISBLANK(F_Custom2_V)),1,IFERROR(IF(ISNUMBER(SEARCH("|"&amp;INDEX(INDIRECT(F_Custom2_resolved_column),236)&amp;"|",F_Custom2_wrapped)),1,0),0))</f>
        <v>1</v>
      </c>
      <c r="F237">
        <f>D237*E237*1</f>
        <v>1</v>
      </c>
      <c r="G237">
        <f>1</f>
        <v>1</v>
      </c>
      <c r="H2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236)&amp;"|",All_Questions_Q_STREAM_F_wrapped)),1,0),0))*1</f>
        <v>1</v>
      </c>
    </row>
    <row r="238">
      <c r="A238" t="n">
        <v>237</v>
      </c>
      <c r="B238" t="inlineStr">
        <is>
          <t>A</t>
        </is>
      </c>
      <c r="C238">
        <f>1</f>
        <v>1</v>
      </c>
      <c r="D238">
        <f>IF(OR(F_Custom1_Q="(None)",F_Custom1_Q="",ISBLANK(F_Custom1_Q),F_Custom1_V="(All)",F_Custom1_V="",ISBLANK(F_Custom1_V)),1,IFERROR(IF(ISNUMBER(SEARCH("|"&amp;INDEX(INDIRECT(F_Custom1_resolved_column),237)&amp;"|",F_Custom1_wrapped)),1,0),0))</f>
        <v>1</v>
      </c>
      <c r="E238">
        <f>IF(OR(F_Custom2_Q="(None)",F_Custom2_Q="",ISBLANK(F_Custom2_Q),F_Custom2_V="(All)",F_Custom2_V="",ISBLANK(F_Custom2_V)),1,IFERROR(IF(ISNUMBER(SEARCH("|"&amp;INDEX(INDIRECT(F_Custom2_resolved_column),237)&amp;"|",F_Custom2_wrapped)),1,0),0))</f>
        <v>1</v>
      </c>
      <c r="F238">
        <f>D238*E238*1</f>
        <v>1</v>
      </c>
      <c r="G238">
        <f>1</f>
        <v>1</v>
      </c>
      <c r="H2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237)&amp;"|",All_Questions_Q_STREAM_F_wrapped)),1,0),0))*1</f>
        <v>1</v>
      </c>
    </row>
    <row r="239">
      <c r="A239" t="n">
        <v>238</v>
      </c>
      <c r="B239" t="inlineStr">
        <is>
          <t>B</t>
        </is>
      </c>
      <c r="C239">
        <f>1</f>
        <v>1</v>
      </c>
      <c r="D239">
        <f>IF(OR(F_Custom1_Q="(None)",F_Custom1_Q="",ISBLANK(F_Custom1_Q),F_Custom1_V="(All)",F_Custom1_V="",ISBLANK(F_Custom1_V)),1,IFERROR(IF(ISNUMBER(SEARCH("|"&amp;INDEX(INDIRECT(F_Custom1_resolved_column),238)&amp;"|",F_Custom1_wrapped)),1,0),0))</f>
        <v>1</v>
      </c>
      <c r="E239">
        <f>IF(OR(F_Custom2_Q="(None)",F_Custom2_Q="",ISBLANK(F_Custom2_Q),F_Custom2_V="(All)",F_Custom2_V="",ISBLANK(F_Custom2_V)),1,IFERROR(IF(ISNUMBER(SEARCH("|"&amp;INDEX(INDIRECT(F_Custom2_resolved_column),238)&amp;"|",F_Custom2_wrapped)),1,0),0))</f>
        <v>1</v>
      </c>
      <c r="F239">
        <f>D239*E239*1</f>
        <v>1</v>
      </c>
      <c r="G239">
        <f>1</f>
        <v>1</v>
      </c>
      <c r="H2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238)&amp;"|",All_Questions_Q_STREAM_F_wrapped)),1,0),0))*1</f>
        <v>1</v>
      </c>
    </row>
    <row r="240">
      <c r="A240" t="n">
        <v>239</v>
      </c>
      <c r="B240" t="inlineStr">
        <is>
          <t>A</t>
        </is>
      </c>
      <c r="C240">
        <f>1</f>
        <v>1</v>
      </c>
      <c r="D240">
        <f>IF(OR(F_Custom1_Q="(None)",F_Custom1_Q="",ISBLANK(F_Custom1_Q),F_Custom1_V="(All)",F_Custom1_V="",ISBLANK(F_Custom1_V)),1,IFERROR(IF(ISNUMBER(SEARCH("|"&amp;INDEX(INDIRECT(F_Custom1_resolved_column),239)&amp;"|",F_Custom1_wrapped)),1,0),0))</f>
        <v>1</v>
      </c>
      <c r="E240">
        <f>IF(OR(F_Custom2_Q="(None)",F_Custom2_Q="",ISBLANK(F_Custom2_Q),F_Custom2_V="(All)",F_Custom2_V="",ISBLANK(F_Custom2_V)),1,IFERROR(IF(ISNUMBER(SEARCH("|"&amp;INDEX(INDIRECT(F_Custom2_resolved_column),239)&amp;"|",F_Custom2_wrapped)),1,0),0))</f>
        <v>1</v>
      </c>
      <c r="F240">
        <f>D240*E240*1</f>
        <v>1</v>
      </c>
      <c r="G240">
        <f>1</f>
        <v>1</v>
      </c>
      <c r="H2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239)&amp;"|",All_Questions_Q_STREAM_F_wrapped)),1,0),0))*1</f>
        <v>1</v>
      </c>
    </row>
    <row r="241">
      <c r="A241" t="n">
        <v>240</v>
      </c>
      <c r="B241" t="inlineStr">
        <is>
          <t>B</t>
        </is>
      </c>
      <c r="C241">
        <f>1</f>
        <v>1</v>
      </c>
      <c r="D241">
        <f>IF(OR(F_Custom1_Q="(None)",F_Custom1_Q="",ISBLANK(F_Custom1_Q),F_Custom1_V="(All)",F_Custom1_V="",ISBLANK(F_Custom1_V)),1,IFERROR(IF(ISNUMBER(SEARCH("|"&amp;INDEX(INDIRECT(F_Custom1_resolved_column),240)&amp;"|",F_Custom1_wrapped)),1,0),0))</f>
        <v>1</v>
      </c>
      <c r="E241">
        <f>IF(OR(F_Custom2_Q="(None)",F_Custom2_Q="",ISBLANK(F_Custom2_Q),F_Custom2_V="(All)",F_Custom2_V="",ISBLANK(F_Custom2_V)),1,IFERROR(IF(ISNUMBER(SEARCH("|"&amp;INDEX(INDIRECT(F_Custom2_resolved_column),240)&amp;"|",F_Custom2_wrapped)),1,0),0))</f>
        <v>1</v>
      </c>
      <c r="F241">
        <f>D241*E241*1</f>
        <v>1</v>
      </c>
      <c r="G241">
        <f>1</f>
        <v>1</v>
      </c>
      <c r="H2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240)&amp;"|",All_Questions_Q_STREAM_F_wrapped)),1,0),0))*1</f>
        <v>1</v>
      </c>
    </row>
    <row r="242">
      <c r="A242" t="n">
        <v>241</v>
      </c>
      <c r="B242" t="inlineStr">
        <is>
          <t>A</t>
        </is>
      </c>
      <c r="C242">
        <f>1</f>
        <v>1</v>
      </c>
      <c r="D242">
        <f>IF(OR(F_Custom1_Q="(None)",F_Custom1_Q="",ISBLANK(F_Custom1_Q),F_Custom1_V="(All)",F_Custom1_V="",ISBLANK(F_Custom1_V)),1,IFERROR(IF(ISNUMBER(SEARCH("|"&amp;INDEX(INDIRECT(F_Custom1_resolved_column),241)&amp;"|",F_Custom1_wrapped)),1,0),0))</f>
        <v>1</v>
      </c>
      <c r="E242">
        <f>IF(OR(F_Custom2_Q="(None)",F_Custom2_Q="",ISBLANK(F_Custom2_Q),F_Custom2_V="(All)",F_Custom2_V="",ISBLANK(F_Custom2_V)),1,IFERROR(IF(ISNUMBER(SEARCH("|"&amp;INDEX(INDIRECT(F_Custom2_resolved_column),241)&amp;"|",F_Custom2_wrapped)),1,0),0))</f>
        <v>1</v>
      </c>
      <c r="F242">
        <f>D242*E242*1</f>
        <v>1</v>
      </c>
      <c r="G242">
        <f>1</f>
        <v>1</v>
      </c>
      <c r="H2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241)&amp;"|",All_Questions_Q_STREAM_F_wrapped)),1,0),0))*1</f>
        <v>1</v>
      </c>
    </row>
    <row r="243">
      <c r="A243" t="n">
        <v>242</v>
      </c>
      <c r="B243" t="inlineStr">
        <is>
          <t>B</t>
        </is>
      </c>
      <c r="C243">
        <f>1</f>
        <v>1</v>
      </c>
      <c r="D243">
        <f>IF(OR(F_Custom1_Q="(None)",F_Custom1_Q="",ISBLANK(F_Custom1_Q),F_Custom1_V="(All)",F_Custom1_V="",ISBLANK(F_Custom1_V)),1,IFERROR(IF(ISNUMBER(SEARCH("|"&amp;INDEX(INDIRECT(F_Custom1_resolved_column),242)&amp;"|",F_Custom1_wrapped)),1,0),0))</f>
        <v>1</v>
      </c>
      <c r="E243">
        <f>IF(OR(F_Custom2_Q="(None)",F_Custom2_Q="",ISBLANK(F_Custom2_Q),F_Custom2_V="(All)",F_Custom2_V="",ISBLANK(F_Custom2_V)),1,IFERROR(IF(ISNUMBER(SEARCH("|"&amp;INDEX(INDIRECT(F_Custom2_resolved_column),242)&amp;"|",F_Custom2_wrapped)),1,0),0))</f>
        <v>1</v>
      </c>
      <c r="F243">
        <f>D243*E243*1</f>
        <v>1</v>
      </c>
      <c r="G243">
        <f>1</f>
        <v>1</v>
      </c>
      <c r="H2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242)&amp;"|",All_Questions_Q_STREAM_F_wrapped)),1,0),0))*1</f>
        <v>1</v>
      </c>
    </row>
    <row r="244">
      <c r="A244" t="n">
        <v>243</v>
      </c>
      <c r="B244" t="inlineStr">
        <is>
          <t>A</t>
        </is>
      </c>
      <c r="C244">
        <f>1</f>
        <v>1</v>
      </c>
      <c r="D244">
        <f>IF(OR(F_Custom1_Q="(None)",F_Custom1_Q="",ISBLANK(F_Custom1_Q),F_Custom1_V="(All)",F_Custom1_V="",ISBLANK(F_Custom1_V)),1,IFERROR(IF(ISNUMBER(SEARCH("|"&amp;INDEX(INDIRECT(F_Custom1_resolved_column),243)&amp;"|",F_Custom1_wrapped)),1,0),0))</f>
        <v>1</v>
      </c>
      <c r="E244">
        <f>IF(OR(F_Custom2_Q="(None)",F_Custom2_Q="",ISBLANK(F_Custom2_Q),F_Custom2_V="(All)",F_Custom2_V="",ISBLANK(F_Custom2_V)),1,IFERROR(IF(ISNUMBER(SEARCH("|"&amp;INDEX(INDIRECT(F_Custom2_resolved_column),243)&amp;"|",F_Custom2_wrapped)),1,0),0))</f>
        <v>1</v>
      </c>
      <c r="F244">
        <f>D244*E244*1</f>
        <v>1</v>
      </c>
      <c r="G244">
        <f>1</f>
        <v>1</v>
      </c>
      <c r="H2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243)&amp;"|",All_Questions_Q_STREAM_F_wrapped)),1,0),0))*1</f>
        <v>1</v>
      </c>
    </row>
    <row r="245">
      <c r="A245" t="n">
        <v>244</v>
      </c>
      <c r="B245" t="inlineStr">
        <is>
          <t>B</t>
        </is>
      </c>
      <c r="C245">
        <f>1</f>
        <v>1</v>
      </c>
      <c r="D245">
        <f>IF(OR(F_Custom1_Q="(None)",F_Custom1_Q="",ISBLANK(F_Custom1_Q),F_Custom1_V="(All)",F_Custom1_V="",ISBLANK(F_Custom1_V)),1,IFERROR(IF(ISNUMBER(SEARCH("|"&amp;INDEX(INDIRECT(F_Custom1_resolved_column),244)&amp;"|",F_Custom1_wrapped)),1,0),0))</f>
        <v>1</v>
      </c>
      <c r="E245">
        <f>IF(OR(F_Custom2_Q="(None)",F_Custom2_Q="",ISBLANK(F_Custom2_Q),F_Custom2_V="(All)",F_Custom2_V="",ISBLANK(F_Custom2_V)),1,IFERROR(IF(ISNUMBER(SEARCH("|"&amp;INDEX(INDIRECT(F_Custom2_resolved_column),244)&amp;"|",F_Custom2_wrapped)),1,0),0))</f>
        <v>1</v>
      </c>
      <c r="F245">
        <f>D245*E245*1</f>
        <v>1</v>
      </c>
      <c r="G245">
        <f>1</f>
        <v>1</v>
      </c>
      <c r="H2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244)&amp;"|",All_Questions_Q_STREAM_F_wrapped)),1,0),0))*1</f>
        <v>1</v>
      </c>
    </row>
    <row r="246">
      <c r="A246" t="n">
        <v>245</v>
      </c>
      <c r="B246" t="inlineStr">
        <is>
          <t>A</t>
        </is>
      </c>
      <c r="C246">
        <f>1</f>
        <v>1</v>
      </c>
      <c r="D246">
        <f>IF(OR(F_Custom1_Q="(None)",F_Custom1_Q="",ISBLANK(F_Custom1_Q),F_Custom1_V="(All)",F_Custom1_V="",ISBLANK(F_Custom1_V)),1,IFERROR(IF(ISNUMBER(SEARCH("|"&amp;INDEX(INDIRECT(F_Custom1_resolved_column),245)&amp;"|",F_Custom1_wrapped)),1,0),0))</f>
        <v>1</v>
      </c>
      <c r="E246">
        <f>IF(OR(F_Custom2_Q="(None)",F_Custom2_Q="",ISBLANK(F_Custom2_Q),F_Custom2_V="(All)",F_Custom2_V="",ISBLANK(F_Custom2_V)),1,IFERROR(IF(ISNUMBER(SEARCH("|"&amp;INDEX(INDIRECT(F_Custom2_resolved_column),245)&amp;"|",F_Custom2_wrapped)),1,0),0))</f>
        <v>1</v>
      </c>
      <c r="F246">
        <f>D246*E246*1</f>
        <v>1</v>
      </c>
      <c r="G246">
        <f>1</f>
        <v>1</v>
      </c>
      <c r="H2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245)&amp;"|",All_Questions_Q_STREAM_F_wrapped)),1,0),0))*1</f>
        <v>1</v>
      </c>
    </row>
    <row r="247">
      <c r="A247" t="n">
        <v>246</v>
      </c>
      <c r="B247" t="inlineStr">
        <is>
          <t>B</t>
        </is>
      </c>
      <c r="C247">
        <f>1</f>
        <v>1</v>
      </c>
      <c r="D247">
        <f>IF(OR(F_Custom1_Q="(None)",F_Custom1_Q="",ISBLANK(F_Custom1_Q),F_Custom1_V="(All)",F_Custom1_V="",ISBLANK(F_Custom1_V)),1,IFERROR(IF(ISNUMBER(SEARCH("|"&amp;INDEX(INDIRECT(F_Custom1_resolved_column),246)&amp;"|",F_Custom1_wrapped)),1,0),0))</f>
        <v>1</v>
      </c>
      <c r="E247">
        <f>IF(OR(F_Custom2_Q="(None)",F_Custom2_Q="",ISBLANK(F_Custom2_Q),F_Custom2_V="(All)",F_Custom2_V="",ISBLANK(F_Custom2_V)),1,IFERROR(IF(ISNUMBER(SEARCH("|"&amp;INDEX(INDIRECT(F_Custom2_resolved_column),246)&amp;"|",F_Custom2_wrapped)),1,0),0))</f>
        <v>1</v>
      </c>
      <c r="F247">
        <f>D247*E247*1</f>
        <v>1</v>
      </c>
      <c r="G247">
        <f>1</f>
        <v>1</v>
      </c>
      <c r="H2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246)&amp;"|",All_Questions_Q_STREAM_F_wrapped)),1,0),0))*1</f>
        <v>1</v>
      </c>
    </row>
    <row r="248">
      <c r="A248" t="n">
        <v>247</v>
      </c>
      <c r="B248" t="inlineStr">
        <is>
          <t>A</t>
        </is>
      </c>
      <c r="C248">
        <f>1</f>
        <v>1</v>
      </c>
      <c r="D248">
        <f>IF(OR(F_Custom1_Q="(None)",F_Custom1_Q="",ISBLANK(F_Custom1_Q),F_Custom1_V="(All)",F_Custom1_V="",ISBLANK(F_Custom1_V)),1,IFERROR(IF(ISNUMBER(SEARCH("|"&amp;INDEX(INDIRECT(F_Custom1_resolved_column),247)&amp;"|",F_Custom1_wrapped)),1,0),0))</f>
        <v>1</v>
      </c>
      <c r="E248">
        <f>IF(OR(F_Custom2_Q="(None)",F_Custom2_Q="",ISBLANK(F_Custom2_Q),F_Custom2_V="(All)",F_Custom2_V="",ISBLANK(F_Custom2_V)),1,IFERROR(IF(ISNUMBER(SEARCH("|"&amp;INDEX(INDIRECT(F_Custom2_resolved_column),247)&amp;"|",F_Custom2_wrapped)),1,0),0))</f>
        <v>1</v>
      </c>
      <c r="F248">
        <f>D248*E248*1</f>
        <v>1</v>
      </c>
      <c r="G248">
        <f>1</f>
        <v>1</v>
      </c>
      <c r="H2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247)&amp;"|",All_Questions_Q_STREAM_F_wrapped)),1,0),0))*1</f>
        <v>1</v>
      </c>
    </row>
    <row r="249">
      <c r="A249" t="n">
        <v>248</v>
      </c>
      <c r="B249" t="inlineStr">
        <is>
          <t>B</t>
        </is>
      </c>
      <c r="C249">
        <f>1</f>
        <v>1</v>
      </c>
      <c r="D249">
        <f>IF(OR(F_Custom1_Q="(None)",F_Custom1_Q="",ISBLANK(F_Custom1_Q),F_Custom1_V="(All)",F_Custom1_V="",ISBLANK(F_Custom1_V)),1,IFERROR(IF(ISNUMBER(SEARCH("|"&amp;INDEX(INDIRECT(F_Custom1_resolved_column),248)&amp;"|",F_Custom1_wrapped)),1,0),0))</f>
        <v>1</v>
      </c>
      <c r="E249">
        <f>IF(OR(F_Custom2_Q="(None)",F_Custom2_Q="",ISBLANK(F_Custom2_Q),F_Custom2_V="(All)",F_Custom2_V="",ISBLANK(F_Custom2_V)),1,IFERROR(IF(ISNUMBER(SEARCH("|"&amp;INDEX(INDIRECT(F_Custom2_resolved_column),248)&amp;"|",F_Custom2_wrapped)),1,0),0))</f>
        <v>1</v>
      </c>
      <c r="F249">
        <f>D249*E249*1</f>
        <v>1</v>
      </c>
      <c r="G249">
        <f>1</f>
        <v>1</v>
      </c>
      <c r="H2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248)&amp;"|",All_Questions_Q_STREAM_F_wrapped)),1,0),0))*1</f>
        <v>1</v>
      </c>
    </row>
    <row r="250">
      <c r="A250" t="n">
        <v>249</v>
      </c>
      <c r="B250" t="inlineStr">
        <is>
          <t>A</t>
        </is>
      </c>
      <c r="C250">
        <f>1</f>
        <v>1</v>
      </c>
      <c r="D250">
        <f>IF(OR(F_Custom1_Q="(None)",F_Custom1_Q="",ISBLANK(F_Custom1_Q),F_Custom1_V="(All)",F_Custom1_V="",ISBLANK(F_Custom1_V)),1,IFERROR(IF(ISNUMBER(SEARCH("|"&amp;INDEX(INDIRECT(F_Custom1_resolved_column),249)&amp;"|",F_Custom1_wrapped)),1,0),0))</f>
        <v>1</v>
      </c>
      <c r="E250">
        <f>IF(OR(F_Custom2_Q="(None)",F_Custom2_Q="",ISBLANK(F_Custom2_Q),F_Custom2_V="(All)",F_Custom2_V="",ISBLANK(F_Custom2_V)),1,IFERROR(IF(ISNUMBER(SEARCH("|"&amp;INDEX(INDIRECT(F_Custom2_resolved_column),249)&amp;"|",F_Custom2_wrapped)),1,0),0))</f>
        <v>1</v>
      </c>
      <c r="F250">
        <f>D250*E250*1</f>
        <v>1</v>
      </c>
      <c r="G250">
        <f>1</f>
        <v>1</v>
      </c>
      <c r="H2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249)&amp;"|",All_Questions_Q_STREAM_F_wrapped)),1,0),0))*1</f>
        <v>1</v>
      </c>
    </row>
    <row r="251">
      <c r="A251" t="n">
        <v>250</v>
      </c>
      <c r="B251" t="inlineStr">
        <is>
          <t>B</t>
        </is>
      </c>
      <c r="C251">
        <f>1</f>
        <v>1</v>
      </c>
      <c r="D251">
        <f>IF(OR(F_Custom1_Q="(None)",F_Custom1_Q="",ISBLANK(F_Custom1_Q),F_Custom1_V="(All)",F_Custom1_V="",ISBLANK(F_Custom1_V)),1,IFERROR(IF(ISNUMBER(SEARCH("|"&amp;INDEX(INDIRECT(F_Custom1_resolved_column),250)&amp;"|",F_Custom1_wrapped)),1,0),0))</f>
        <v>1</v>
      </c>
      <c r="E251">
        <f>IF(OR(F_Custom2_Q="(None)",F_Custom2_Q="",ISBLANK(F_Custom2_Q),F_Custom2_V="(All)",F_Custom2_V="",ISBLANK(F_Custom2_V)),1,IFERROR(IF(ISNUMBER(SEARCH("|"&amp;INDEX(INDIRECT(F_Custom2_resolved_column),250)&amp;"|",F_Custom2_wrapped)),1,0),0))</f>
        <v>1</v>
      </c>
      <c r="F251">
        <f>D251*E251*1</f>
        <v>1</v>
      </c>
      <c r="G251">
        <f>1</f>
        <v>1</v>
      </c>
      <c r="H2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250)&amp;"|",All_Questions_Q_STREAM_F_wrapped)),1,0),0))*1</f>
        <v>1</v>
      </c>
    </row>
    <row r="252">
      <c r="A252" t="n">
        <v>251</v>
      </c>
      <c r="B252" t="inlineStr">
        <is>
          <t>A</t>
        </is>
      </c>
      <c r="C252">
        <f>1</f>
        <v>1</v>
      </c>
      <c r="D252">
        <f>IF(OR(F_Custom1_Q="(None)",F_Custom1_Q="",ISBLANK(F_Custom1_Q),F_Custom1_V="(All)",F_Custom1_V="",ISBLANK(F_Custom1_V)),1,IFERROR(IF(ISNUMBER(SEARCH("|"&amp;INDEX(INDIRECT(F_Custom1_resolved_column),251)&amp;"|",F_Custom1_wrapped)),1,0),0))</f>
        <v>1</v>
      </c>
      <c r="E252">
        <f>IF(OR(F_Custom2_Q="(None)",F_Custom2_Q="",ISBLANK(F_Custom2_Q),F_Custom2_V="(All)",F_Custom2_V="",ISBLANK(F_Custom2_V)),1,IFERROR(IF(ISNUMBER(SEARCH("|"&amp;INDEX(INDIRECT(F_Custom2_resolved_column),251)&amp;"|",F_Custom2_wrapped)),1,0),0))</f>
        <v>1</v>
      </c>
      <c r="F252">
        <f>D252*E252*1</f>
        <v>1</v>
      </c>
      <c r="G252">
        <f>1</f>
        <v>1</v>
      </c>
      <c r="H2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251)&amp;"|",All_Questions_Q_STREAM_F_wrapped)),1,0),0))*1</f>
        <v>1</v>
      </c>
    </row>
    <row r="253">
      <c r="A253" t="n">
        <v>252</v>
      </c>
      <c r="B253" t="inlineStr">
        <is>
          <t>B</t>
        </is>
      </c>
      <c r="C253">
        <f>1</f>
        <v>1</v>
      </c>
      <c r="D253">
        <f>IF(OR(F_Custom1_Q="(None)",F_Custom1_Q="",ISBLANK(F_Custom1_Q),F_Custom1_V="(All)",F_Custom1_V="",ISBLANK(F_Custom1_V)),1,IFERROR(IF(ISNUMBER(SEARCH("|"&amp;INDEX(INDIRECT(F_Custom1_resolved_column),252)&amp;"|",F_Custom1_wrapped)),1,0),0))</f>
        <v>1</v>
      </c>
      <c r="E253">
        <f>IF(OR(F_Custom2_Q="(None)",F_Custom2_Q="",ISBLANK(F_Custom2_Q),F_Custom2_V="(All)",F_Custom2_V="",ISBLANK(F_Custom2_V)),1,IFERROR(IF(ISNUMBER(SEARCH("|"&amp;INDEX(INDIRECT(F_Custom2_resolved_column),252)&amp;"|",F_Custom2_wrapped)),1,0),0))</f>
        <v>1</v>
      </c>
      <c r="F253">
        <f>D253*E253*1</f>
        <v>1</v>
      </c>
      <c r="G253">
        <f>1</f>
        <v>1</v>
      </c>
      <c r="H2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252)&amp;"|",All_Questions_Q_STREAM_F_wrapped)),1,0),0))*1</f>
        <v>1</v>
      </c>
    </row>
    <row r="254">
      <c r="A254" t="n">
        <v>253</v>
      </c>
      <c r="B254" t="inlineStr">
        <is>
          <t>A</t>
        </is>
      </c>
      <c r="C254">
        <f>1</f>
        <v>1</v>
      </c>
      <c r="D254">
        <f>IF(OR(F_Custom1_Q="(None)",F_Custom1_Q="",ISBLANK(F_Custom1_Q),F_Custom1_V="(All)",F_Custom1_V="",ISBLANK(F_Custom1_V)),1,IFERROR(IF(ISNUMBER(SEARCH("|"&amp;INDEX(INDIRECT(F_Custom1_resolved_column),253)&amp;"|",F_Custom1_wrapped)),1,0),0))</f>
        <v>1</v>
      </c>
      <c r="E254">
        <f>IF(OR(F_Custom2_Q="(None)",F_Custom2_Q="",ISBLANK(F_Custom2_Q),F_Custom2_V="(All)",F_Custom2_V="",ISBLANK(F_Custom2_V)),1,IFERROR(IF(ISNUMBER(SEARCH("|"&amp;INDEX(INDIRECT(F_Custom2_resolved_column),253)&amp;"|",F_Custom2_wrapped)),1,0),0))</f>
        <v>1</v>
      </c>
      <c r="F254">
        <f>D254*E254*1</f>
        <v>1</v>
      </c>
      <c r="G254">
        <f>1</f>
        <v>1</v>
      </c>
      <c r="H2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253)&amp;"|",All_Questions_Q_STREAM_F_wrapped)),1,0),0))*1</f>
        <v>1</v>
      </c>
    </row>
    <row r="255">
      <c r="A255" t="n">
        <v>254</v>
      </c>
      <c r="B255" t="inlineStr">
        <is>
          <t>B</t>
        </is>
      </c>
      <c r="C255">
        <f>1</f>
        <v>1</v>
      </c>
      <c r="D255">
        <f>IF(OR(F_Custom1_Q="(None)",F_Custom1_Q="",ISBLANK(F_Custom1_Q),F_Custom1_V="(All)",F_Custom1_V="",ISBLANK(F_Custom1_V)),1,IFERROR(IF(ISNUMBER(SEARCH("|"&amp;INDEX(INDIRECT(F_Custom1_resolved_column),254)&amp;"|",F_Custom1_wrapped)),1,0),0))</f>
        <v>1</v>
      </c>
      <c r="E255">
        <f>IF(OR(F_Custom2_Q="(None)",F_Custom2_Q="",ISBLANK(F_Custom2_Q),F_Custom2_V="(All)",F_Custom2_V="",ISBLANK(F_Custom2_V)),1,IFERROR(IF(ISNUMBER(SEARCH("|"&amp;INDEX(INDIRECT(F_Custom2_resolved_column),254)&amp;"|",F_Custom2_wrapped)),1,0),0))</f>
        <v>1</v>
      </c>
      <c r="F255">
        <f>D255*E255*1</f>
        <v>1</v>
      </c>
      <c r="G255">
        <f>1</f>
        <v>1</v>
      </c>
      <c r="H2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254)&amp;"|",All_Questions_Q_STREAM_F_wrapped)),1,0),0))*1</f>
        <v>1</v>
      </c>
    </row>
    <row r="256">
      <c r="A256" t="n">
        <v>255</v>
      </c>
      <c r="B256" t="inlineStr">
        <is>
          <t>A</t>
        </is>
      </c>
      <c r="C256">
        <f>1</f>
        <v>1</v>
      </c>
      <c r="D256">
        <f>IF(OR(F_Custom1_Q="(None)",F_Custom1_Q="",ISBLANK(F_Custom1_Q),F_Custom1_V="(All)",F_Custom1_V="",ISBLANK(F_Custom1_V)),1,IFERROR(IF(ISNUMBER(SEARCH("|"&amp;INDEX(INDIRECT(F_Custom1_resolved_column),255)&amp;"|",F_Custom1_wrapped)),1,0),0))</f>
        <v>1</v>
      </c>
      <c r="E256">
        <f>IF(OR(F_Custom2_Q="(None)",F_Custom2_Q="",ISBLANK(F_Custom2_Q),F_Custom2_V="(All)",F_Custom2_V="",ISBLANK(F_Custom2_V)),1,IFERROR(IF(ISNUMBER(SEARCH("|"&amp;INDEX(INDIRECT(F_Custom2_resolved_column),255)&amp;"|",F_Custom2_wrapped)),1,0),0))</f>
        <v>1</v>
      </c>
      <c r="F256">
        <f>D256*E256*1</f>
        <v>1</v>
      </c>
      <c r="G256">
        <f>1</f>
        <v>1</v>
      </c>
      <c r="H2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255)&amp;"|",All_Questions_Q_STREAM_F_wrapped)),1,0),0))*1</f>
        <v>1</v>
      </c>
    </row>
    <row r="257">
      <c r="A257" t="n">
        <v>256</v>
      </c>
      <c r="B257" t="inlineStr">
        <is>
          <t>B</t>
        </is>
      </c>
      <c r="C257">
        <f>1</f>
        <v>1</v>
      </c>
      <c r="D257">
        <f>IF(OR(F_Custom1_Q="(None)",F_Custom1_Q="",ISBLANK(F_Custom1_Q),F_Custom1_V="(All)",F_Custom1_V="",ISBLANK(F_Custom1_V)),1,IFERROR(IF(ISNUMBER(SEARCH("|"&amp;INDEX(INDIRECT(F_Custom1_resolved_column),256)&amp;"|",F_Custom1_wrapped)),1,0),0))</f>
        <v>1</v>
      </c>
      <c r="E257">
        <f>IF(OR(F_Custom2_Q="(None)",F_Custom2_Q="",ISBLANK(F_Custom2_Q),F_Custom2_V="(All)",F_Custom2_V="",ISBLANK(F_Custom2_V)),1,IFERROR(IF(ISNUMBER(SEARCH("|"&amp;INDEX(INDIRECT(F_Custom2_resolved_column),256)&amp;"|",F_Custom2_wrapped)),1,0),0))</f>
        <v>1</v>
      </c>
      <c r="F257">
        <f>D257*E257*1</f>
        <v>1</v>
      </c>
      <c r="G257">
        <f>1</f>
        <v>1</v>
      </c>
      <c r="H2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256)&amp;"|",All_Questions_Q_STREAM_F_wrapped)),1,0),0))*1</f>
        <v>1</v>
      </c>
    </row>
    <row r="258">
      <c r="A258" t="n">
        <v>257</v>
      </c>
      <c r="B258" t="inlineStr">
        <is>
          <t>A</t>
        </is>
      </c>
      <c r="C258">
        <f>1</f>
        <v>1</v>
      </c>
      <c r="D258">
        <f>IF(OR(F_Custom1_Q="(None)",F_Custom1_Q="",ISBLANK(F_Custom1_Q),F_Custom1_V="(All)",F_Custom1_V="",ISBLANK(F_Custom1_V)),1,IFERROR(IF(ISNUMBER(SEARCH("|"&amp;INDEX(INDIRECT(F_Custom1_resolved_column),257)&amp;"|",F_Custom1_wrapped)),1,0),0))</f>
        <v>1</v>
      </c>
      <c r="E258">
        <f>IF(OR(F_Custom2_Q="(None)",F_Custom2_Q="",ISBLANK(F_Custom2_Q),F_Custom2_V="(All)",F_Custom2_V="",ISBLANK(F_Custom2_V)),1,IFERROR(IF(ISNUMBER(SEARCH("|"&amp;INDEX(INDIRECT(F_Custom2_resolved_column),257)&amp;"|",F_Custom2_wrapped)),1,0),0))</f>
        <v>1</v>
      </c>
      <c r="F258">
        <f>D258*E258*1</f>
        <v>1</v>
      </c>
      <c r="G258">
        <f>1</f>
        <v>1</v>
      </c>
      <c r="H2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257)&amp;"|",All_Questions_Q_STREAM_F_wrapped)),1,0),0))*1</f>
        <v>1</v>
      </c>
    </row>
    <row r="259">
      <c r="A259" t="n">
        <v>258</v>
      </c>
      <c r="B259" t="inlineStr">
        <is>
          <t>B</t>
        </is>
      </c>
      <c r="C259">
        <f>1</f>
        <v>1</v>
      </c>
      <c r="D259">
        <f>IF(OR(F_Custom1_Q="(None)",F_Custom1_Q="",ISBLANK(F_Custom1_Q),F_Custom1_V="(All)",F_Custom1_V="",ISBLANK(F_Custom1_V)),1,IFERROR(IF(ISNUMBER(SEARCH("|"&amp;INDEX(INDIRECT(F_Custom1_resolved_column),258)&amp;"|",F_Custom1_wrapped)),1,0),0))</f>
        <v>1</v>
      </c>
      <c r="E259">
        <f>IF(OR(F_Custom2_Q="(None)",F_Custom2_Q="",ISBLANK(F_Custom2_Q),F_Custom2_V="(All)",F_Custom2_V="",ISBLANK(F_Custom2_V)),1,IFERROR(IF(ISNUMBER(SEARCH("|"&amp;INDEX(INDIRECT(F_Custom2_resolved_column),258)&amp;"|",F_Custom2_wrapped)),1,0),0))</f>
        <v>1</v>
      </c>
      <c r="F259">
        <f>D259*E259*1</f>
        <v>1</v>
      </c>
      <c r="G259">
        <f>1</f>
        <v>1</v>
      </c>
      <c r="H2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258)&amp;"|",All_Questions_Q_STREAM_F_wrapped)),1,0),0))*1</f>
        <v>1</v>
      </c>
    </row>
    <row r="260">
      <c r="A260" t="n">
        <v>259</v>
      </c>
      <c r="B260" t="inlineStr">
        <is>
          <t>A</t>
        </is>
      </c>
      <c r="C260">
        <f>1</f>
        <v>1</v>
      </c>
      <c r="D260">
        <f>IF(OR(F_Custom1_Q="(None)",F_Custom1_Q="",ISBLANK(F_Custom1_Q),F_Custom1_V="(All)",F_Custom1_V="",ISBLANK(F_Custom1_V)),1,IFERROR(IF(ISNUMBER(SEARCH("|"&amp;INDEX(INDIRECT(F_Custom1_resolved_column),259)&amp;"|",F_Custom1_wrapped)),1,0),0))</f>
        <v>1</v>
      </c>
      <c r="E260">
        <f>IF(OR(F_Custom2_Q="(None)",F_Custom2_Q="",ISBLANK(F_Custom2_Q),F_Custom2_V="(All)",F_Custom2_V="",ISBLANK(F_Custom2_V)),1,IFERROR(IF(ISNUMBER(SEARCH("|"&amp;INDEX(INDIRECT(F_Custom2_resolved_column),259)&amp;"|",F_Custom2_wrapped)),1,0),0))</f>
        <v>1</v>
      </c>
      <c r="F260">
        <f>D260*E260*1</f>
        <v>1</v>
      </c>
      <c r="G260">
        <f>1</f>
        <v>1</v>
      </c>
      <c r="H2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259)&amp;"|",All_Questions_Q_STREAM_F_wrapped)),1,0),0))*1</f>
        <v>1</v>
      </c>
    </row>
    <row r="261">
      <c r="A261" t="n">
        <v>260</v>
      </c>
      <c r="B261" t="inlineStr">
        <is>
          <t>B</t>
        </is>
      </c>
      <c r="C261">
        <f>1</f>
        <v>1</v>
      </c>
      <c r="D261">
        <f>IF(OR(F_Custom1_Q="(None)",F_Custom1_Q="",ISBLANK(F_Custom1_Q),F_Custom1_V="(All)",F_Custom1_V="",ISBLANK(F_Custom1_V)),1,IFERROR(IF(ISNUMBER(SEARCH("|"&amp;INDEX(INDIRECT(F_Custom1_resolved_column),260)&amp;"|",F_Custom1_wrapped)),1,0),0))</f>
        <v>1</v>
      </c>
      <c r="E261">
        <f>IF(OR(F_Custom2_Q="(None)",F_Custom2_Q="",ISBLANK(F_Custom2_Q),F_Custom2_V="(All)",F_Custom2_V="",ISBLANK(F_Custom2_V)),1,IFERROR(IF(ISNUMBER(SEARCH("|"&amp;INDEX(INDIRECT(F_Custom2_resolved_column),260)&amp;"|",F_Custom2_wrapped)),1,0),0))</f>
        <v>1</v>
      </c>
      <c r="F261">
        <f>D261*E261*1</f>
        <v>1</v>
      </c>
      <c r="G261">
        <f>1</f>
        <v>1</v>
      </c>
      <c r="H2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260)&amp;"|",All_Questions_Q_STREAM_F_wrapped)),1,0),0))*1</f>
        <v>1</v>
      </c>
    </row>
    <row r="262">
      <c r="A262" t="n">
        <v>261</v>
      </c>
      <c r="B262" t="inlineStr">
        <is>
          <t>A</t>
        </is>
      </c>
      <c r="C262">
        <f>1</f>
        <v>1</v>
      </c>
      <c r="D262">
        <f>IF(OR(F_Custom1_Q="(None)",F_Custom1_Q="",ISBLANK(F_Custom1_Q),F_Custom1_V="(All)",F_Custom1_V="",ISBLANK(F_Custom1_V)),1,IFERROR(IF(ISNUMBER(SEARCH("|"&amp;INDEX(INDIRECT(F_Custom1_resolved_column),261)&amp;"|",F_Custom1_wrapped)),1,0),0))</f>
        <v>1</v>
      </c>
      <c r="E262">
        <f>IF(OR(F_Custom2_Q="(None)",F_Custom2_Q="",ISBLANK(F_Custom2_Q),F_Custom2_V="(All)",F_Custom2_V="",ISBLANK(F_Custom2_V)),1,IFERROR(IF(ISNUMBER(SEARCH("|"&amp;INDEX(INDIRECT(F_Custom2_resolved_column),261)&amp;"|",F_Custom2_wrapped)),1,0),0))</f>
        <v>1</v>
      </c>
      <c r="F262">
        <f>D262*E262*1</f>
        <v>1</v>
      </c>
      <c r="G262">
        <f>1</f>
        <v>1</v>
      </c>
      <c r="H2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261)&amp;"|",All_Questions_Q_STREAM_F_wrapped)),1,0),0))*1</f>
        <v>1</v>
      </c>
    </row>
    <row r="263">
      <c r="A263" t="n">
        <v>262</v>
      </c>
      <c r="B263" t="inlineStr">
        <is>
          <t>B</t>
        </is>
      </c>
      <c r="C263">
        <f>1</f>
        <v>1</v>
      </c>
      <c r="D263">
        <f>IF(OR(F_Custom1_Q="(None)",F_Custom1_Q="",ISBLANK(F_Custom1_Q),F_Custom1_V="(All)",F_Custom1_V="",ISBLANK(F_Custom1_V)),1,IFERROR(IF(ISNUMBER(SEARCH("|"&amp;INDEX(INDIRECT(F_Custom1_resolved_column),262)&amp;"|",F_Custom1_wrapped)),1,0),0))</f>
        <v>1</v>
      </c>
      <c r="E263">
        <f>IF(OR(F_Custom2_Q="(None)",F_Custom2_Q="",ISBLANK(F_Custom2_Q),F_Custom2_V="(All)",F_Custom2_V="",ISBLANK(F_Custom2_V)),1,IFERROR(IF(ISNUMBER(SEARCH("|"&amp;INDEX(INDIRECT(F_Custom2_resolved_column),262)&amp;"|",F_Custom2_wrapped)),1,0),0))</f>
        <v>1</v>
      </c>
      <c r="F263">
        <f>D263*E263*1</f>
        <v>1</v>
      </c>
      <c r="G263">
        <f>1</f>
        <v>1</v>
      </c>
      <c r="H2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262)&amp;"|",All_Questions_Q_STREAM_F_wrapped)),1,0),0))*1</f>
        <v>1</v>
      </c>
    </row>
    <row r="264">
      <c r="A264" t="n">
        <v>263</v>
      </c>
      <c r="B264" t="inlineStr">
        <is>
          <t>A</t>
        </is>
      </c>
      <c r="C264">
        <f>1</f>
        <v>1</v>
      </c>
      <c r="D264">
        <f>IF(OR(F_Custom1_Q="(None)",F_Custom1_Q="",ISBLANK(F_Custom1_Q),F_Custom1_V="(All)",F_Custom1_V="",ISBLANK(F_Custom1_V)),1,IFERROR(IF(ISNUMBER(SEARCH("|"&amp;INDEX(INDIRECT(F_Custom1_resolved_column),263)&amp;"|",F_Custom1_wrapped)),1,0),0))</f>
        <v>1</v>
      </c>
      <c r="E264">
        <f>IF(OR(F_Custom2_Q="(None)",F_Custom2_Q="",ISBLANK(F_Custom2_Q),F_Custom2_V="(All)",F_Custom2_V="",ISBLANK(F_Custom2_V)),1,IFERROR(IF(ISNUMBER(SEARCH("|"&amp;INDEX(INDIRECT(F_Custom2_resolved_column),263)&amp;"|",F_Custom2_wrapped)),1,0),0))</f>
        <v>1</v>
      </c>
      <c r="F264">
        <f>D264*E264*1</f>
        <v>1</v>
      </c>
      <c r="G264">
        <f>1</f>
        <v>1</v>
      </c>
      <c r="H2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263)&amp;"|",All_Questions_Q_STREAM_F_wrapped)),1,0),0))*1</f>
        <v>1</v>
      </c>
    </row>
    <row r="265">
      <c r="A265" t="n">
        <v>264</v>
      </c>
      <c r="B265" t="inlineStr">
        <is>
          <t>B</t>
        </is>
      </c>
      <c r="C265">
        <f>1</f>
        <v>1</v>
      </c>
      <c r="D265">
        <f>IF(OR(F_Custom1_Q="(None)",F_Custom1_Q="",ISBLANK(F_Custom1_Q),F_Custom1_V="(All)",F_Custom1_V="",ISBLANK(F_Custom1_V)),1,IFERROR(IF(ISNUMBER(SEARCH("|"&amp;INDEX(INDIRECT(F_Custom1_resolved_column),264)&amp;"|",F_Custom1_wrapped)),1,0),0))</f>
        <v>1</v>
      </c>
      <c r="E265">
        <f>IF(OR(F_Custom2_Q="(None)",F_Custom2_Q="",ISBLANK(F_Custom2_Q),F_Custom2_V="(All)",F_Custom2_V="",ISBLANK(F_Custom2_V)),1,IFERROR(IF(ISNUMBER(SEARCH("|"&amp;INDEX(INDIRECT(F_Custom2_resolved_column),264)&amp;"|",F_Custom2_wrapped)),1,0),0))</f>
        <v>1</v>
      </c>
      <c r="F265">
        <f>D265*E265*1</f>
        <v>1</v>
      </c>
      <c r="G265">
        <f>1</f>
        <v>1</v>
      </c>
      <c r="H2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264)&amp;"|",All_Questions_Q_STREAM_F_wrapped)),1,0),0))*1</f>
        <v>1</v>
      </c>
    </row>
    <row r="266">
      <c r="A266" t="n">
        <v>265</v>
      </c>
      <c r="B266" t="inlineStr">
        <is>
          <t>A</t>
        </is>
      </c>
      <c r="C266">
        <f>1</f>
        <v>1</v>
      </c>
      <c r="D266">
        <f>IF(OR(F_Custom1_Q="(None)",F_Custom1_Q="",ISBLANK(F_Custom1_Q),F_Custom1_V="(All)",F_Custom1_V="",ISBLANK(F_Custom1_V)),1,IFERROR(IF(ISNUMBER(SEARCH("|"&amp;INDEX(INDIRECT(F_Custom1_resolved_column),265)&amp;"|",F_Custom1_wrapped)),1,0),0))</f>
        <v>1</v>
      </c>
      <c r="E266">
        <f>IF(OR(F_Custom2_Q="(None)",F_Custom2_Q="",ISBLANK(F_Custom2_Q),F_Custom2_V="(All)",F_Custom2_V="",ISBLANK(F_Custom2_V)),1,IFERROR(IF(ISNUMBER(SEARCH("|"&amp;INDEX(INDIRECT(F_Custom2_resolved_column),265)&amp;"|",F_Custom2_wrapped)),1,0),0))</f>
        <v>1</v>
      </c>
      <c r="F266">
        <f>D266*E266*1</f>
        <v>1</v>
      </c>
      <c r="G266">
        <f>1</f>
        <v>1</v>
      </c>
      <c r="H2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265)&amp;"|",All_Questions_Q_STREAM_F_wrapped)),1,0),0))*1</f>
        <v>1</v>
      </c>
    </row>
    <row r="267">
      <c r="A267" t="n">
        <v>266</v>
      </c>
      <c r="B267" t="inlineStr">
        <is>
          <t>B</t>
        </is>
      </c>
      <c r="C267">
        <f>1</f>
        <v>1</v>
      </c>
      <c r="D267">
        <f>IF(OR(F_Custom1_Q="(None)",F_Custom1_Q="",ISBLANK(F_Custom1_Q),F_Custom1_V="(All)",F_Custom1_V="",ISBLANK(F_Custom1_V)),1,IFERROR(IF(ISNUMBER(SEARCH("|"&amp;INDEX(INDIRECT(F_Custom1_resolved_column),266)&amp;"|",F_Custom1_wrapped)),1,0),0))</f>
        <v>1</v>
      </c>
      <c r="E267">
        <f>IF(OR(F_Custom2_Q="(None)",F_Custom2_Q="",ISBLANK(F_Custom2_Q),F_Custom2_V="(All)",F_Custom2_V="",ISBLANK(F_Custom2_V)),1,IFERROR(IF(ISNUMBER(SEARCH("|"&amp;INDEX(INDIRECT(F_Custom2_resolved_column),266)&amp;"|",F_Custom2_wrapped)),1,0),0))</f>
        <v>1</v>
      </c>
      <c r="F267">
        <f>D267*E267*1</f>
        <v>1</v>
      </c>
      <c r="G267">
        <f>1</f>
        <v>1</v>
      </c>
      <c r="H2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266)&amp;"|",All_Questions_Q_STREAM_F_wrapped)),1,0),0))*1</f>
        <v>1</v>
      </c>
    </row>
    <row r="268">
      <c r="A268" t="n">
        <v>267</v>
      </c>
      <c r="B268" t="inlineStr">
        <is>
          <t>A</t>
        </is>
      </c>
      <c r="C268">
        <f>1</f>
        <v>1</v>
      </c>
      <c r="D268">
        <f>IF(OR(F_Custom1_Q="(None)",F_Custom1_Q="",ISBLANK(F_Custom1_Q),F_Custom1_V="(All)",F_Custom1_V="",ISBLANK(F_Custom1_V)),1,IFERROR(IF(ISNUMBER(SEARCH("|"&amp;INDEX(INDIRECT(F_Custom1_resolved_column),267)&amp;"|",F_Custom1_wrapped)),1,0),0))</f>
        <v>1</v>
      </c>
      <c r="E268">
        <f>IF(OR(F_Custom2_Q="(None)",F_Custom2_Q="",ISBLANK(F_Custom2_Q),F_Custom2_V="(All)",F_Custom2_V="",ISBLANK(F_Custom2_V)),1,IFERROR(IF(ISNUMBER(SEARCH("|"&amp;INDEX(INDIRECT(F_Custom2_resolved_column),267)&amp;"|",F_Custom2_wrapped)),1,0),0))</f>
        <v>1</v>
      </c>
      <c r="F268">
        <f>D268*E268*1</f>
        <v>1</v>
      </c>
      <c r="G268">
        <f>1</f>
        <v>1</v>
      </c>
      <c r="H2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267)&amp;"|",All_Questions_Q_STREAM_F_wrapped)),1,0),0))*1</f>
        <v>1</v>
      </c>
    </row>
    <row r="269">
      <c r="A269" t="n">
        <v>268</v>
      </c>
      <c r="B269" t="inlineStr">
        <is>
          <t>B</t>
        </is>
      </c>
      <c r="C269">
        <f>1</f>
        <v>1</v>
      </c>
      <c r="D269">
        <f>IF(OR(F_Custom1_Q="(None)",F_Custom1_Q="",ISBLANK(F_Custom1_Q),F_Custom1_V="(All)",F_Custom1_V="",ISBLANK(F_Custom1_V)),1,IFERROR(IF(ISNUMBER(SEARCH("|"&amp;INDEX(INDIRECT(F_Custom1_resolved_column),268)&amp;"|",F_Custom1_wrapped)),1,0),0))</f>
        <v>1</v>
      </c>
      <c r="E269">
        <f>IF(OR(F_Custom2_Q="(None)",F_Custom2_Q="",ISBLANK(F_Custom2_Q),F_Custom2_V="(All)",F_Custom2_V="",ISBLANK(F_Custom2_V)),1,IFERROR(IF(ISNUMBER(SEARCH("|"&amp;INDEX(INDIRECT(F_Custom2_resolved_column),268)&amp;"|",F_Custom2_wrapped)),1,0),0))</f>
        <v>1</v>
      </c>
      <c r="F269">
        <f>D269*E269*1</f>
        <v>1</v>
      </c>
      <c r="G269">
        <f>1</f>
        <v>1</v>
      </c>
      <c r="H2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268)&amp;"|",All_Questions_Q_STREAM_F_wrapped)),1,0),0))*1</f>
        <v>1</v>
      </c>
    </row>
    <row r="270">
      <c r="A270" t="n">
        <v>269</v>
      </c>
      <c r="B270" t="inlineStr">
        <is>
          <t>A</t>
        </is>
      </c>
      <c r="C270">
        <f>1</f>
        <v>1</v>
      </c>
      <c r="D270">
        <f>IF(OR(F_Custom1_Q="(None)",F_Custom1_Q="",ISBLANK(F_Custom1_Q),F_Custom1_V="(All)",F_Custom1_V="",ISBLANK(F_Custom1_V)),1,IFERROR(IF(ISNUMBER(SEARCH("|"&amp;INDEX(INDIRECT(F_Custom1_resolved_column),269)&amp;"|",F_Custom1_wrapped)),1,0),0))</f>
        <v>1</v>
      </c>
      <c r="E270">
        <f>IF(OR(F_Custom2_Q="(None)",F_Custom2_Q="",ISBLANK(F_Custom2_Q),F_Custom2_V="(All)",F_Custom2_V="",ISBLANK(F_Custom2_V)),1,IFERROR(IF(ISNUMBER(SEARCH("|"&amp;INDEX(INDIRECT(F_Custom2_resolved_column),269)&amp;"|",F_Custom2_wrapped)),1,0),0))</f>
        <v>1</v>
      </c>
      <c r="F270">
        <f>D270*E270*1</f>
        <v>1</v>
      </c>
      <c r="G270">
        <f>1</f>
        <v>1</v>
      </c>
      <c r="H2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269)&amp;"|",All_Questions_Q_STREAM_F_wrapped)),1,0),0))*1</f>
        <v>1</v>
      </c>
    </row>
    <row r="271">
      <c r="A271" t="n">
        <v>270</v>
      </c>
      <c r="B271" t="inlineStr">
        <is>
          <t>B</t>
        </is>
      </c>
      <c r="C271">
        <f>1</f>
        <v>1</v>
      </c>
      <c r="D271">
        <f>IF(OR(F_Custom1_Q="(None)",F_Custom1_Q="",ISBLANK(F_Custom1_Q),F_Custom1_V="(All)",F_Custom1_V="",ISBLANK(F_Custom1_V)),1,IFERROR(IF(ISNUMBER(SEARCH("|"&amp;INDEX(INDIRECT(F_Custom1_resolved_column),270)&amp;"|",F_Custom1_wrapped)),1,0),0))</f>
        <v>1</v>
      </c>
      <c r="E271">
        <f>IF(OR(F_Custom2_Q="(None)",F_Custom2_Q="",ISBLANK(F_Custom2_Q),F_Custom2_V="(All)",F_Custom2_V="",ISBLANK(F_Custom2_V)),1,IFERROR(IF(ISNUMBER(SEARCH("|"&amp;INDEX(INDIRECT(F_Custom2_resolved_column),270)&amp;"|",F_Custom2_wrapped)),1,0),0))</f>
        <v>1</v>
      </c>
      <c r="F271">
        <f>D271*E271*1</f>
        <v>1</v>
      </c>
      <c r="G271">
        <f>1</f>
        <v>1</v>
      </c>
      <c r="H2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270)&amp;"|",All_Questions_Q_STREAM_F_wrapped)),1,0),0))*1</f>
        <v>1</v>
      </c>
    </row>
    <row r="272">
      <c r="A272" t="n">
        <v>271</v>
      </c>
      <c r="B272" t="inlineStr">
        <is>
          <t>A</t>
        </is>
      </c>
      <c r="C272">
        <f>1</f>
        <v>1</v>
      </c>
      <c r="D272">
        <f>IF(OR(F_Custom1_Q="(None)",F_Custom1_Q="",ISBLANK(F_Custom1_Q),F_Custom1_V="(All)",F_Custom1_V="",ISBLANK(F_Custom1_V)),1,IFERROR(IF(ISNUMBER(SEARCH("|"&amp;INDEX(INDIRECT(F_Custom1_resolved_column),271)&amp;"|",F_Custom1_wrapped)),1,0),0))</f>
        <v>1</v>
      </c>
      <c r="E272">
        <f>IF(OR(F_Custom2_Q="(None)",F_Custom2_Q="",ISBLANK(F_Custom2_Q),F_Custom2_V="(All)",F_Custom2_V="",ISBLANK(F_Custom2_V)),1,IFERROR(IF(ISNUMBER(SEARCH("|"&amp;INDEX(INDIRECT(F_Custom2_resolved_column),271)&amp;"|",F_Custom2_wrapped)),1,0),0))</f>
        <v>1</v>
      </c>
      <c r="F272">
        <f>D272*E272*1</f>
        <v>1</v>
      </c>
      <c r="G272">
        <f>1</f>
        <v>1</v>
      </c>
      <c r="H2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271)&amp;"|",All_Questions_Q_STREAM_F_wrapped)),1,0),0))*1</f>
        <v>1</v>
      </c>
    </row>
    <row r="273">
      <c r="A273" t="n">
        <v>272</v>
      </c>
      <c r="B273" t="inlineStr">
        <is>
          <t>B</t>
        </is>
      </c>
      <c r="C273">
        <f>1</f>
        <v>1</v>
      </c>
      <c r="D273">
        <f>IF(OR(F_Custom1_Q="(None)",F_Custom1_Q="",ISBLANK(F_Custom1_Q),F_Custom1_V="(All)",F_Custom1_V="",ISBLANK(F_Custom1_V)),1,IFERROR(IF(ISNUMBER(SEARCH("|"&amp;INDEX(INDIRECT(F_Custom1_resolved_column),272)&amp;"|",F_Custom1_wrapped)),1,0),0))</f>
        <v>1</v>
      </c>
      <c r="E273">
        <f>IF(OR(F_Custom2_Q="(None)",F_Custom2_Q="",ISBLANK(F_Custom2_Q),F_Custom2_V="(All)",F_Custom2_V="",ISBLANK(F_Custom2_V)),1,IFERROR(IF(ISNUMBER(SEARCH("|"&amp;INDEX(INDIRECT(F_Custom2_resolved_column),272)&amp;"|",F_Custom2_wrapped)),1,0),0))</f>
        <v>1</v>
      </c>
      <c r="F273">
        <f>D273*E273*1</f>
        <v>1</v>
      </c>
      <c r="G273">
        <f>1</f>
        <v>1</v>
      </c>
      <c r="H2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272)&amp;"|",All_Questions_Q_STREAM_F_wrapped)),1,0),0))*1</f>
        <v>1</v>
      </c>
    </row>
    <row r="274">
      <c r="A274" t="n">
        <v>273</v>
      </c>
      <c r="B274" t="inlineStr">
        <is>
          <t>A</t>
        </is>
      </c>
      <c r="C274">
        <f>1</f>
        <v>1</v>
      </c>
      <c r="D274">
        <f>IF(OR(F_Custom1_Q="(None)",F_Custom1_Q="",ISBLANK(F_Custom1_Q),F_Custom1_V="(All)",F_Custom1_V="",ISBLANK(F_Custom1_V)),1,IFERROR(IF(ISNUMBER(SEARCH("|"&amp;INDEX(INDIRECT(F_Custom1_resolved_column),273)&amp;"|",F_Custom1_wrapped)),1,0),0))</f>
        <v>1</v>
      </c>
      <c r="E274">
        <f>IF(OR(F_Custom2_Q="(None)",F_Custom2_Q="",ISBLANK(F_Custom2_Q),F_Custom2_V="(All)",F_Custom2_V="",ISBLANK(F_Custom2_V)),1,IFERROR(IF(ISNUMBER(SEARCH("|"&amp;INDEX(INDIRECT(F_Custom2_resolved_column),273)&amp;"|",F_Custom2_wrapped)),1,0),0))</f>
        <v>1</v>
      </c>
      <c r="F274">
        <f>D274*E274*1</f>
        <v>1</v>
      </c>
      <c r="G274">
        <f>1</f>
        <v>1</v>
      </c>
      <c r="H2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273)&amp;"|",All_Questions_Q_STREAM_F_wrapped)),1,0),0))*1</f>
        <v>1</v>
      </c>
    </row>
    <row r="275">
      <c r="A275" t="n">
        <v>274</v>
      </c>
      <c r="B275" t="inlineStr">
        <is>
          <t>B</t>
        </is>
      </c>
      <c r="C275">
        <f>1</f>
        <v>1</v>
      </c>
      <c r="D275">
        <f>IF(OR(F_Custom1_Q="(None)",F_Custom1_Q="",ISBLANK(F_Custom1_Q),F_Custom1_V="(All)",F_Custom1_V="",ISBLANK(F_Custom1_V)),1,IFERROR(IF(ISNUMBER(SEARCH("|"&amp;INDEX(INDIRECT(F_Custom1_resolved_column),274)&amp;"|",F_Custom1_wrapped)),1,0),0))</f>
        <v>1</v>
      </c>
      <c r="E275">
        <f>IF(OR(F_Custom2_Q="(None)",F_Custom2_Q="",ISBLANK(F_Custom2_Q),F_Custom2_V="(All)",F_Custom2_V="",ISBLANK(F_Custom2_V)),1,IFERROR(IF(ISNUMBER(SEARCH("|"&amp;INDEX(INDIRECT(F_Custom2_resolved_column),274)&amp;"|",F_Custom2_wrapped)),1,0),0))</f>
        <v>1</v>
      </c>
      <c r="F275">
        <f>D275*E275*1</f>
        <v>1</v>
      </c>
      <c r="G275">
        <f>1</f>
        <v>1</v>
      </c>
      <c r="H2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274)&amp;"|",All_Questions_Q_STREAM_F_wrapped)),1,0),0))*1</f>
        <v>1</v>
      </c>
    </row>
    <row r="276">
      <c r="A276" t="n">
        <v>275</v>
      </c>
      <c r="B276" t="inlineStr">
        <is>
          <t>A</t>
        </is>
      </c>
      <c r="C276">
        <f>1</f>
        <v>1</v>
      </c>
      <c r="D276">
        <f>IF(OR(F_Custom1_Q="(None)",F_Custom1_Q="",ISBLANK(F_Custom1_Q),F_Custom1_V="(All)",F_Custom1_V="",ISBLANK(F_Custom1_V)),1,IFERROR(IF(ISNUMBER(SEARCH("|"&amp;INDEX(INDIRECT(F_Custom1_resolved_column),275)&amp;"|",F_Custom1_wrapped)),1,0),0))</f>
        <v>1</v>
      </c>
      <c r="E276">
        <f>IF(OR(F_Custom2_Q="(None)",F_Custom2_Q="",ISBLANK(F_Custom2_Q),F_Custom2_V="(All)",F_Custom2_V="",ISBLANK(F_Custom2_V)),1,IFERROR(IF(ISNUMBER(SEARCH("|"&amp;INDEX(INDIRECT(F_Custom2_resolved_column),275)&amp;"|",F_Custom2_wrapped)),1,0),0))</f>
        <v>1</v>
      </c>
      <c r="F276">
        <f>D276*E276*1</f>
        <v>1</v>
      </c>
      <c r="G276">
        <f>1</f>
        <v>1</v>
      </c>
      <c r="H2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275)&amp;"|",All_Questions_Q_STREAM_F_wrapped)),1,0),0))*1</f>
        <v>1</v>
      </c>
    </row>
    <row r="277">
      <c r="A277" t="n">
        <v>276</v>
      </c>
      <c r="B277" t="inlineStr">
        <is>
          <t>B</t>
        </is>
      </c>
      <c r="C277">
        <f>1</f>
        <v>1</v>
      </c>
      <c r="D277">
        <f>IF(OR(F_Custom1_Q="(None)",F_Custom1_Q="",ISBLANK(F_Custom1_Q),F_Custom1_V="(All)",F_Custom1_V="",ISBLANK(F_Custom1_V)),1,IFERROR(IF(ISNUMBER(SEARCH("|"&amp;INDEX(INDIRECT(F_Custom1_resolved_column),276)&amp;"|",F_Custom1_wrapped)),1,0),0))</f>
        <v>1</v>
      </c>
      <c r="E277">
        <f>IF(OR(F_Custom2_Q="(None)",F_Custom2_Q="",ISBLANK(F_Custom2_Q),F_Custom2_V="(All)",F_Custom2_V="",ISBLANK(F_Custom2_V)),1,IFERROR(IF(ISNUMBER(SEARCH("|"&amp;INDEX(INDIRECT(F_Custom2_resolved_column),276)&amp;"|",F_Custom2_wrapped)),1,0),0))</f>
        <v>1</v>
      </c>
      <c r="F277">
        <f>D277*E277*1</f>
        <v>1</v>
      </c>
      <c r="G277">
        <f>1</f>
        <v>1</v>
      </c>
      <c r="H2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276)&amp;"|",All_Questions_Q_STREAM_F_wrapped)),1,0),0))*1</f>
        <v>1</v>
      </c>
    </row>
    <row r="278">
      <c r="A278" t="n">
        <v>277</v>
      </c>
      <c r="B278" t="inlineStr">
        <is>
          <t>A</t>
        </is>
      </c>
      <c r="C278">
        <f>1</f>
        <v>1</v>
      </c>
      <c r="D278">
        <f>IF(OR(F_Custom1_Q="(None)",F_Custom1_Q="",ISBLANK(F_Custom1_Q),F_Custom1_V="(All)",F_Custom1_V="",ISBLANK(F_Custom1_V)),1,IFERROR(IF(ISNUMBER(SEARCH("|"&amp;INDEX(INDIRECT(F_Custom1_resolved_column),277)&amp;"|",F_Custom1_wrapped)),1,0),0))</f>
        <v>1</v>
      </c>
      <c r="E278">
        <f>IF(OR(F_Custom2_Q="(None)",F_Custom2_Q="",ISBLANK(F_Custom2_Q),F_Custom2_V="(All)",F_Custom2_V="",ISBLANK(F_Custom2_V)),1,IFERROR(IF(ISNUMBER(SEARCH("|"&amp;INDEX(INDIRECT(F_Custom2_resolved_column),277)&amp;"|",F_Custom2_wrapped)),1,0),0))</f>
        <v>1</v>
      </c>
      <c r="F278">
        <f>D278*E278*1</f>
        <v>1</v>
      </c>
      <c r="G278">
        <f>1</f>
        <v>1</v>
      </c>
      <c r="H2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277)&amp;"|",All_Questions_Q_STREAM_F_wrapped)),1,0),0))*1</f>
        <v>1</v>
      </c>
    </row>
    <row r="279">
      <c r="A279" t="n">
        <v>278</v>
      </c>
      <c r="B279" t="inlineStr">
        <is>
          <t>B</t>
        </is>
      </c>
      <c r="C279">
        <f>1</f>
        <v>1</v>
      </c>
      <c r="D279">
        <f>IF(OR(F_Custom1_Q="(None)",F_Custom1_Q="",ISBLANK(F_Custom1_Q),F_Custom1_V="(All)",F_Custom1_V="",ISBLANK(F_Custom1_V)),1,IFERROR(IF(ISNUMBER(SEARCH("|"&amp;INDEX(INDIRECT(F_Custom1_resolved_column),278)&amp;"|",F_Custom1_wrapped)),1,0),0))</f>
        <v>1</v>
      </c>
      <c r="E279">
        <f>IF(OR(F_Custom2_Q="(None)",F_Custom2_Q="",ISBLANK(F_Custom2_Q),F_Custom2_V="(All)",F_Custom2_V="",ISBLANK(F_Custom2_V)),1,IFERROR(IF(ISNUMBER(SEARCH("|"&amp;INDEX(INDIRECT(F_Custom2_resolved_column),278)&amp;"|",F_Custom2_wrapped)),1,0),0))</f>
        <v>1</v>
      </c>
      <c r="F279">
        <f>D279*E279*1</f>
        <v>1</v>
      </c>
      <c r="G279">
        <f>1</f>
        <v>1</v>
      </c>
      <c r="H2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278)&amp;"|",All_Questions_Q_STREAM_F_wrapped)),1,0),0))*1</f>
        <v>1</v>
      </c>
    </row>
    <row r="280">
      <c r="A280" t="n">
        <v>279</v>
      </c>
      <c r="B280" t="inlineStr">
        <is>
          <t>A</t>
        </is>
      </c>
      <c r="C280">
        <f>1</f>
        <v>1</v>
      </c>
      <c r="D280">
        <f>IF(OR(F_Custom1_Q="(None)",F_Custom1_Q="",ISBLANK(F_Custom1_Q),F_Custom1_V="(All)",F_Custom1_V="",ISBLANK(F_Custom1_V)),1,IFERROR(IF(ISNUMBER(SEARCH("|"&amp;INDEX(INDIRECT(F_Custom1_resolved_column),279)&amp;"|",F_Custom1_wrapped)),1,0),0))</f>
        <v>1</v>
      </c>
      <c r="E280">
        <f>IF(OR(F_Custom2_Q="(None)",F_Custom2_Q="",ISBLANK(F_Custom2_Q),F_Custom2_V="(All)",F_Custom2_V="",ISBLANK(F_Custom2_V)),1,IFERROR(IF(ISNUMBER(SEARCH("|"&amp;INDEX(INDIRECT(F_Custom2_resolved_column),279)&amp;"|",F_Custom2_wrapped)),1,0),0))</f>
        <v>1</v>
      </c>
      <c r="F280">
        <f>D280*E280*1</f>
        <v>1</v>
      </c>
      <c r="G280">
        <f>1</f>
        <v>1</v>
      </c>
      <c r="H2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279)&amp;"|",All_Questions_Q_STREAM_F_wrapped)),1,0),0))*1</f>
        <v>1</v>
      </c>
    </row>
    <row r="281">
      <c r="A281" t="n">
        <v>280</v>
      </c>
      <c r="B281" t="inlineStr">
        <is>
          <t>B</t>
        </is>
      </c>
      <c r="C281">
        <f>1</f>
        <v>1</v>
      </c>
      <c r="D281">
        <f>IF(OR(F_Custom1_Q="(None)",F_Custom1_Q="",ISBLANK(F_Custom1_Q),F_Custom1_V="(All)",F_Custom1_V="",ISBLANK(F_Custom1_V)),1,IFERROR(IF(ISNUMBER(SEARCH("|"&amp;INDEX(INDIRECT(F_Custom1_resolved_column),280)&amp;"|",F_Custom1_wrapped)),1,0),0))</f>
        <v>1</v>
      </c>
      <c r="E281">
        <f>IF(OR(F_Custom2_Q="(None)",F_Custom2_Q="",ISBLANK(F_Custom2_Q),F_Custom2_V="(All)",F_Custom2_V="",ISBLANK(F_Custom2_V)),1,IFERROR(IF(ISNUMBER(SEARCH("|"&amp;INDEX(INDIRECT(F_Custom2_resolved_column),280)&amp;"|",F_Custom2_wrapped)),1,0),0))</f>
        <v>1</v>
      </c>
      <c r="F281">
        <f>D281*E281*1</f>
        <v>1</v>
      </c>
      <c r="G281">
        <f>1</f>
        <v>1</v>
      </c>
      <c r="H2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280)&amp;"|",All_Questions_Q_STREAM_F_wrapped)),1,0),0))*1</f>
        <v>1</v>
      </c>
    </row>
    <row r="282">
      <c r="A282" t="n">
        <v>281</v>
      </c>
      <c r="B282" t="inlineStr">
        <is>
          <t>A</t>
        </is>
      </c>
      <c r="C282">
        <f>1</f>
        <v>1</v>
      </c>
      <c r="D282">
        <f>IF(OR(F_Custom1_Q="(None)",F_Custom1_Q="",ISBLANK(F_Custom1_Q),F_Custom1_V="(All)",F_Custom1_V="",ISBLANK(F_Custom1_V)),1,IFERROR(IF(ISNUMBER(SEARCH("|"&amp;INDEX(INDIRECT(F_Custom1_resolved_column),281)&amp;"|",F_Custom1_wrapped)),1,0),0))</f>
        <v>1</v>
      </c>
      <c r="E282">
        <f>IF(OR(F_Custom2_Q="(None)",F_Custom2_Q="",ISBLANK(F_Custom2_Q),F_Custom2_V="(All)",F_Custom2_V="",ISBLANK(F_Custom2_V)),1,IFERROR(IF(ISNUMBER(SEARCH("|"&amp;INDEX(INDIRECT(F_Custom2_resolved_column),281)&amp;"|",F_Custom2_wrapped)),1,0),0))</f>
        <v>1</v>
      </c>
      <c r="F282">
        <f>D282*E282*1</f>
        <v>1</v>
      </c>
      <c r="G282">
        <f>1</f>
        <v>1</v>
      </c>
      <c r="H2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281)&amp;"|",All_Questions_Q_STREAM_F_wrapped)),1,0),0))*1</f>
        <v>1</v>
      </c>
    </row>
    <row r="283">
      <c r="A283" t="n">
        <v>282</v>
      </c>
      <c r="B283" t="inlineStr">
        <is>
          <t>B</t>
        </is>
      </c>
      <c r="C283">
        <f>1</f>
        <v>1</v>
      </c>
      <c r="D283">
        <f>IF(OR(F_Custom1_Q="(None)",F_Custom1_Q="",ISBLANK(F_Custom1_Q),F_Custom1_V="(All)",F_Custom1_V="",ISBLANK(F_Custom1_V)),1,IFERROR(IF(ISNUMBER(SEARCH("|"&amp;INDEX(INDIRECT(F_Custom1_resolved_column),282)&amp;"|",F_Custom1_wrapped)),1,0),0))</f>
        <v>1</v>
      </c>
      <c r="E283">
        <f>IF(OR(F_Custom2_Q="(None)",F_Custom2_Q="",ISBLANK(F_Custom2_Q),F_Custom2_V="(All)",F_Custom2_V="",ISBLANK(F_Custom2_V)),1,IFERROR(IF(ISNUMBER(SEARCH("|"&amp;INDEX(INDIRECT(F_Custom2_resolved_column),282)&amp;"|",F_Custom2_wrapped)),1,0),0))</f>
        <v>1</v>
      </c>
      <c r="F283">
        <f>D283*E283*1</f>
        <v>1</v>
      </c>
      <c r="G283">
        <f>1</f>
        <v>1</v>
      </c>
      <c r="H2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282)&amp;"|",All_Questions_Q_STREAM_F_wrapped)),1,0),0))*1</f>
        <v>1</v>
      </c>
    </row>
    <row r="284">
      <c r="A284" t="n">
        <v>283</v>
      </c>
      <c r="B284" t="inlineStr">
        <is>
          <t>A</t>
        </is>
      </c>
      <c r="C284">
        <f>1</f>
        <v>1</v>
      </c>
      <c r="D284">
        <f>IF(OR(F_Custom1_Q="(None)",F_Custom1_Q="",ISBLANK(F_Custom1_Q),F_Custom1_V="(All)",F_Custom1_V="",ISBLANK(F_Custom1_V)),1,IFERROR(IF(ISNUMBER(SEARCH("|"&amp;INDEX(INDIRECT(F_Custom1_resolved_column),283)&amp;"|",F_Custom1_wrapped)),1,0),0))</f>
        <v>1</v>
      </c>
      <c r="E284">
        <f>IF(OR(F_Custom2_Q="(None)",F_Custom2_Q="",ISBLANK(F_Custom2_Q),F_Custom2_V="(All)",F_Custom2_V="",ISBLANK(F_Custom2_V)),1,IFERROR(IF(ISNUMBER(SEARCH("|"&amp;INDEX(INDIRECT(F_Custom2_resolved_column),283)&amp;"|",F_Custom2_wrapped)),1,0),0))</f>
        <v>1</v>
      </c>
      <c r="F284">
        <f>D284*E284*1</f>
        <v>1</v>
      </c>
      <c r="G284">
        <f>1</f>
        <v>1</v>
      </c>
      <c r="H2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283)&amp;"|",All_Questions_Q_STREAM_F_wrapped)),1,0),0))*1</f>
        <v>1</v>
      </c>
    </row>
    <row r="285">
      <c r="A285" t="n">
        <v>284</v>
      </c>
      <c r="B285" t="inlineStr">
        <is>
          <t>B</t>
        </is>
      </c>
      <c r="C285">
        <f>1</f>
        <v>1</v>
      </c>
      <c r="D285">
        <f>IF(OR(F_Custom1_Q="(None)",F_Custom1_Q="",ISBLANK(F_Custom1_Q),F_Custom1_V="(All)",F_Custom1_V="",ISBLANK(F_Custom1_V)),1,IFERROR(IF(ISNUMBER(SEARCH("|"&amp;INDEX(INDIRECT(F_Custom1_resolved_column),284)&amp;"|",F_Custom1_wrapped)),1,0),0))</f>
        <v>1</v>
      </c>
      <c r="E285">
        <f>IF(OR(F_Custom2_Q="(None)",F_Custom2_Q="",ISBLANK(F_Custom2_Q),F_Custom2_V="(All)",F_Custom2_V="",ISBLANK(F_Custom2_V)),1,IFERROR(IF(ISNUMBER(SEARCH("|"&amp;INDEX(INDIRECT(F_Custom2_resolved_column),284)&amp;"|",F_Custom2_wrapped)),1,0),0))</f>
        <v>1</v>
      </c>
      <c r="F285">
        <f>D285*E285*1</f>
        <v>1</v>
      </c>
      <c r="G285">
        <f>1</f>
        <v>1</v>
      </c>
      <c r="H2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284)&amp;"|",All_Questions_Q_STREAM_F_wrapped)),1,0),0))*1</f>
        <v>1</v>
      </c>
    </row>
    <row r="286">
      <c r="A286" t="n">
        <v>285</v>
      </c>
      <c r="B286" t="inlineStr">
        <is>
          <t>A</t>
        </is>
      </c>
      <c r="C286">
        <f>1</f>
        <v>1</v>
      </c>
      <c r="D286">
        <f>IF(OR(F_Custom1_Q="(None)",F_Custom1_Q="",ISBLANK(F_Custom1_Q),F_Custom1_V="(All)",F_Custom1_V="",ISBLANK(F_Custom1_V)),1,IFERROR(IF(ISNUMBER(SEARCH("|"&amp;INDEX(INDIRECT(F_Custom1_resolved_column),285)&amp;"|",F_Custom1_wrapped)),1,0),0))</f>
        <v>1</v>
      </c>
      <c r="E286">
        <f>IF(OR(F_Custom2_Q="(None)",F_Custom2_Q="",ISBLANK(F_Custom2_Q),F_Custom2_V="(All)",F_Custom2_V="",ISBLANK(F_Custom2_V)),1,IFERROR(IF(ISNUMBER(SEARCH("|"&amp;INDEX(INDIRECT(F_Custom2_resolved_column),285)&amp;"|",F_Custom2_wrapped)),1,0),0))</f>
        <v>1</v>
      </c>
      <c r="F286">
        <f>D286*E286*1</f>
        <v>1</v>
      </c>
      <c r="G286">
        <f>1</f>
        <v>1</v>
      </c>
      <c r="H2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285)&amp;"|",All_Questions_Q_STREAM_F_wrapped)),1,0),0))*1</f>
        <v>1</v>
      </c>
    </row>
    <row r="287">
      <c r="A287" t="n">
        <v>286</v>
      </c>
      <c r="B287" t="inlineStr">
        <is>
          <t>B</t>
        </is>
      </c>
      <c r="C287">
        <f>1</f>
        <v>1</v>
      </c>
      <c r="D287">
        <f>IF(OR(F_Custom1_Q="(None)",F_Custom1_Q="",ISBLANK(F_Custom1_Q),F_Custom1_V="(All)",F_Custom1_V="",ISBLANK(F_Custom1_V)),1,IFERROR(IF(ISNUMBER(SEARCH("|"&amp;INDEX(INDIRECT(F_Custom1_resolved_column),286)&amp;"|",F_Custom1_wrapped)),1,0),0))</f>
        <v>1</v>
      </c>
      <c r="E287">
        <f>IF(OR(F_Custom2_Q="(None)",F_Custom2_Q="",ISBLANK(F_Custom2_Q),F_Custom2_V="(All)",F_Custom2_V="",ISBLANK(F_Custom2_V)),1,IFERROR(IF(ISNUMBER(SEARCH("|"&amp;INDEX(INDIRECT(F_Custom2_resolved_column),286)&amp;"|",F_Custom2_wrapped)),1,0),0))</f>
        <v>1</v>
      </c>
      <c r="F287">
        <f>D287*E287*1</f>
        <v>1</v>
      </c>
      <c r="G287">
        <f>1</f>
        <v>1</v>
      </c>
      <c r="H2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286)&amp;"|",All_Questions_Q_STREAM_F_wrapped)),1,0),0))*1</f>
        <v>1</v>
      </c>
    </row>
    <row r="288">
      <c r="A288" t="n">
        <v>287</v>
      </c>
      <c r="B288" t="inlineStr">
        <is>
          <t>A</t>
        </is>
      </c>
      <c r="C288">
        <f>1</f>
        <v>1</v>
      </c>
      <c r="D288">
        <f>IF(OR(F_Custom1_Q="(None)",F_Custom1_Q="",ISBLANK(F_Custom1_Q),F_Custom1_V="(All)",F_Custom1_V="",ISBLANK(F_Custom1_V)),1,IFERROR(IF(ISNUMBER(SEARCH("|"&amp;INDEX(INDIRECT(F_Custom1_resolved_column),287)&amp;"|",F_Custom1_wrapped)),1,0),0))</f>
        <v>1</v>
      </c>
      <c r="E288">
        <f>IF(OR(F_Custom2_Q="(None)",F_Custom2_Q="",ISBLANK(F_Custom2_Q),F_Custom2_V="(All)",F_Custom2_V="",ISBLANK(F_Custom2_V)),1,IFERROR(IF(ISNUMBER(SEARCH("|"&amp;INDEX(INDIRECT(F_Custom2_resolved_column),287)&amp;"|",F_Custom2_wrapped)),1,0),0))</f>
        <v>1</v>
      </c>
      <c r="F288">
        <f>D288*E288*1</f>
        <v>1</v>
      </c>
      <c r="G288">
        <f>1</f>
        <v>1</v>
      </c>
      <c r="H2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287)&amp;"|",All_Questions_Q_STREAM_F_wrapped)),1,0),0))*1</f>
        <v>1</v>
      </c>
    </row>
    <row r="289">
      <c r="A289" t="n">
        <v>288</v>
      </c>
      <c r="B289" t="inlineStr">
        <is>
          <t>B</t>
        </is>
      </c>
      <c r="C289">
        <f>1</f>
        <v>1</v>
      </c>
      <c r="D289">
        <f>IF(OR(F_Custom1_Q="(None)",F_Custom1_Q="",ISBLANK(F_Custom1_Q),F_Custom1_V="(All)",F_Custom1_V="",ISBLANK(F_Custom1_V)),1,IFERROR(IF(ISNUMBER(SEARCH("|"&amp;INDEX(INDIRECT(F_Custom1_resolved_column),288)&amp;"|",F_Custom1_wrapped)),1,0),0))</f>
        <v>1</v>
      </c>
      <c r="E289">
        <f>IF(OR(F_Custom2_Q="(None)",F_Custom2_Q="",ISBLANK(F_Custom2_Q),F_Custom2_V="(All)",F_Custom2_V="",ISBLANK(F_Custom2_V)),1,IFERROR(IF(ISNUMBER(SEARCH("|"&amp;INDEX(INDIRECT(F_Custom2_resolved_column),288)&amp;"|",F_Custom2_wrapped)),1,0),0))</f>
        <v>1</v>
      </c>
      <c r="F289">
        <f>D289*E289*1</f>
        <v>1</v>
      </c>
      <c r="G289">
        <f>1</f>
        <v>1</v>
      </c>
      <c r="H2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288)&amp;"|",All_Questions_Q_STREAM_F_wrapped)),1,0),0))*1</f>
        <v>1</v>
      </c>
    </row>
    <row r="290">
      <c r="A290" t="n">
        <v>289</v>
      </c>
      <c r="B290" t="inlineStr">
        <is>
          <t>A</t>
        </is>
      </c>
      <c r="C290">
        <f>1</f>
        <v>1</v>
      </c>
      <c r="D290">
        <f>IF(OR(F_Custom1_Q="(None)",F_Custom1_Q="",ISBLANK(F_Custom1_Q),F_Custom1_V="(All)",F_Custom1_V="",ISBLANK(F_Custom1_V)),1,IFERROR(IF(ISNUMBER(SEARCH("|"&amp;INDEX(INDIRECT(F_Custom1_resolved_column),289)&amp;"|",F_Custom1_wrapped)),1,0),0))</f>
        <v>1</v>
      </c>
      <c r="E290">
        <f>IF(OR(F_Custom2_Q="(None)",F_Custom2_Q="",ISBLANK(F_Custom2_Q),F_Custom2_V="(All)",F_Custom2_V="",ISBLANK(F_Custom2_V)),1,IFERROR(IF(ISNUMBER(SEARCH("|"&amp;INDEX(INDIRECT(F_Custom2_resolved_column),289)&amp;"|",F_Custom2_wrapped)),1,0),0))</f>
        <v>1</v>
      </c>
      <c r="F290">
        <f>D290*E290*1</f>
        <v>1</v>
      </c>
      <c r="G290">
        <f>1</f>
        <v>1</v>
      </c>
      <c r="H2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289)&amp;"|",All_Questions_Q_STREAM_F_wrapped)),1,0),0))*1</f>
        <v>1</v>
      </c>
    </row>
    <row r="291">
      <c r="A291" t="n">
        <v>290</v>
      </c>
      <c r="B291" t="inlineStr">
        <is>
          <t>B</t>
        </is>
      </c>
      <c r="C291">
        <f>1</f>
        <v>1</v>
      </c>
      <c r="D291">
        <f>IF(OR(F_Custom1_Q="(None)",F_Custom1_Q="",ISBLANK(F_Custom1_Q),F_Custom1_V="(All)",F_Custom1_V="",ISBLANK(F_Custom1_V)),1,IFERROR(IF(ISNUMBER(SEARCH("|"&amp;INDEX(INDIRECT(F_Custom1_resolved_column),290)&amp;"|",F_Custom1_wrapped)),1,0),0))</f>
        <v>1</v>
      </c>
      <c r="E291">
        <f>IF(OR(F_Custom2_Q="(None)",F_Custom2_Q="",ISBLANK(F_Custom2_Q),F_Custom2_V="(All)",F_Custom2_V="",ISBLANK(F_Custom2_V)),1,IFERROR(IF(ISNUMBER(SEARCH("|"&amp;INDEX(INDIRECT(F_Custom2_resolved_column),290)&amp;"|",F_Custom2_wrapped)),1,0),0))</f>
        <v>1</v>
      </c>
      <c r="F291">
        <f>D291*E291*1</f>
        <v>1</v>
      </c>
      <c r="G291">
        <f>1</f>
        <v>1</v>
      </c>
      <c r="H2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290)&amp;"|",All_Questions_Q_STREAM_F_wrapped)),1,0),0))*1</f>
        <v>1</v>
      </c>
    </row>
    <row r="292">
      <c r="A292" t="n">
        <v>291</v>
      </c>
      <c r="B292" t="inlineStr">
        <is>
          <t>A</t>
        </is>
      </c>
      <c r="C292">
        <f>1</f>
        <v>1</v>
      </c>
      <c r="D292">
        <f>IF(OR(F_Custom1_Q="(None)",F_Custom1_Q="",ISBLANK(F_Custom1_Q),F_Custom1_V="(All)",F_Custom1_V="",ISBLANK(F_Custom1_V)),1,IFERROR(IF(ISNUMBER(SEARCH("|"&amp;INDEX(INDIRECT(F_Custom1_resolved_column),291)&amp;"|",F_Custom1_wrapped)),1,0),0))</f>
        <v>1</v>
      </c>
      <c r="E292">
        <f>IF(OR(F_Custom2_Q="(None)",F_Custom2_Q="",ISBLANK(F_Custom2_Q),F_Custom2_V="(All)",F_Custom2_V="",ISBLANK(F_Custom2_V)),1,IFERROR(IF(ISNUMBER(SEARCH("|"&amp;INDEX(INDIRECT(F_Custom2_resolved_column),291)&amp;"|",F_Custom2_wrapped)),1,0),0))</f>
        <v>1</v>
      </c>
      <c r="F292">
        <f>D292*E292*1</f>
        <v>1</v>
      </c>
      <c r="G292">
        <f>1</f>
        <v>1</v>
      </c>
      <c r="H2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291)&amp;"|",All_Questions_Q_STREAM_F_wrapped)),1,0),0))*1</f>
        <v>1</v>
      </c>
    </row>
    <row r="293">
      <c r="A293" t="n">
        <v>292</v>
      </c>
      <c r="B293" t="inlineStr">
        <is>
          <t>B</t>
        </is>
      </c>
      <c r="C293">
        <f>1</f>
        <v>1</v>
      </c>
      <c r="D293">
        <f>IF(OR(F_Custom1_Q="(None)",F_Custom1_Q="",ISBLANK(F_Custom1_Q),F_Custom1_V="(All)",F_Custom1_V="",ISBLANK(F_Custom1_V)),1,IFERROR(IF(ISNUMBER(SEARCH("|"&amp;INDEX(INDIRECT(F_Custom1_resolved_column),292)&amp;"|",F_Custom1_wrapped)),1,0),0))</f>
        <v>1</v>
      </c>
      <c r="E293">
        <f>IF(OR(F_Custom2_Q="(None)",F_Custom2_Q="",ISBLANK(F_Custom2_Q),F_Custom2_V="(All)",F_Custom2_V="",ISBLANK(F_Custom2_V)),1,IFERROR(IF(ISNUMBER(SEARCH("|"&amp;INDEX(INDIRECT(F_Custom2_resolved_column),292)&amp;"|",F_Custom2_wrapped)),1,0),0))</f>
        <v>1</v>
      </c>
      <c r="F293">
        <f>D293*E293*1</f>
        <v>1</v>
      </c>
      <c r="G293">
        <f>1</f>
        <v>1</v>
      </c>
      <c r="H2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292)&amp;"|",All_Questions_Q_STREAM_F_wrapped)),1,0),0))*1</f>
        <v>1</v>
      </c>
    </row>
    <row r="294">
      <c r="A294" t="n">
        <v>293</v>
      </c>
      <c r="B294" t="inlineStr">
        <is>
          <t>A</t>
        </is>
      </c>
      <c r="C294">
        <f>1</f>
        <v>1</v>
      </c>
      <c r="D294">
        <f>IF(OR(F_Custom1_Q="(None)",F_Custom1_Q="",ISBLANK(F_Custom1_Q),F_Custom1_V="(All)",F_Custom1_V="",ISBLANK(F_Custom1_V)),1,IFERROR(IF(ISNUMBER(SEARCH("|"&amp;INDEX(INDIRECT(F_Custom1_resolved_column),293)&amp;"|",F_Custom1_wrapped)),1,0),0))</f>
        <v>1</v>
      </c>
      <c r="E294">
        <f>IF(OR(F_Custom2_Q="(None)",F_Custom2_Q="",ISBLANK(F_Custom2_Q),F_Custom2_V="(All)",F_Custom2_V="",ISBLANK(F_Custom2_V)),1,IFERROR(IF(ISNUMBER(SEARCH("|"&amp;INDEX(INDIRECT(F_Custom2_resolved_column),293)&amp;"|",F_Custom2_wrapped)),1,0),0))</f>
        <v>1</v>
      </c>
      <c r="F294">
        <f>D294*E294*1</f>
        <v>1</v>
      </c>
      <c r="G294">
        <f>1</f>
        <v>1</v>
      </c>
      <c r="H2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293)&amp;"|",All_Questions_Q_STREAM_F_wrapped)),1,0),0))*1</f>
        <v>1</v>
      </c>
    </row>
    <row r="295">
      <c r="A295" t="n">
        <v>294</v>
      </c>
      <c r="B295" t="inlineStr">
        <is>
          <t>B</t>
        </is>
      </c>
      <c r="C295">
        <f>1</f>
        <v>1</v>
      </c>
      <c r="D295">
        <f>IF(OR(F_Custom1_Q="(None)",F_Custom1_Q="",ISBLANK(F_Custom1_Q),F_Custom1_V="(All)",F_Custom1_V="",ISBLANK(F_Custom1_V)),1,IFERROR(IF(ISNUMBER(SEARCH("|"&amp;INDEX(INDIRECT(F_Custom1_resolved_column),294)&amp;"|",F_Custom1_wrapped)),1,0),0))</f>
        <v>1</v>
      </c>
      <c r="E295">
        <f>IF(OR(F_Custom2_Q="(None)",F_Custom2_Q="",ISBLANK(F_Custom2_Q),F_Custom2_V="(All)",F_Custom2_V="",ISBLANK(F_Custom2_V)),1,IFERROR(IF(ISNUMBER(SEARCH("|"&amp;INDEX(INDIRECT(F_Custom2_resolved_column),294)&amp;"|",F_Custom2_wrapped)),1,0),0))</f>
        <v>1</v>
      </c>
      <c r="F295">
        <f>D295*E295*1</f>
        <v>1</v>
      </c>
      <c r="G295">
        <f>1</f>
        <v>1</v>
      </c>
      <c r="H2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294)&amp;"|",All_Questions_Q_STREAM_F_wrapped)),1,0),0))*1</f>
        <v>1</v>
      </c>
    </row>
    <row r="296">
      <c r="A296" t="n">
        <v>295</v>
      </c>
      <c r="B296" t="inlineStr">
        <is>
          <t>A</t>
        </is>
      </c>
      <c r="C296">
        <f>1</f>
        <v>1</v>
      </c>
      <c r="D296">
        <f>IF(OR(F_Custom1_Q="(None)",F_Custom1_Q="",ISBLANK(F_Custom1_Q),F_Custom1_V="(All)",F_Custom1_V="",ISBLANK(F_Custom1_V)),1,IFERROR(IF(ISNUMBER(SEARCH("|"&amp;INDEX(INDIRECT(F_Custom1_resolved_column),295)&amp;"|",F_Custom1_wrapped)),1,0),0))</f>
        <v>1</v>
      </c>
      <c r="E296">
        <f>IF(OR(F_Custom2_Q="(None)",F_Custom2_Q="",ISBLANK(F_Custom2_Q),F_Custom2_V="(All)",F_Custom2_V="",ISBLANK(F_Custom2_V)),1,IFERROR(IF(ISNUMBER(SEARCH("|"&amp;INDEX(INDIRECT(F_Custom2_resolved_column),295)&amp;"|",F_Custom2_wrapped)),1,0),0))</f>
        <v>1</v>
      </c>
      <c r="F296">
        <f>D296*E296*1</f>
        <v>1</v>
      </c>
      <c r="G296">
        <f>1</f>
        <v>1</v>
      </c>
      <c r="H2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295)&amp;"|",All_Questions_Q_STREAM_F_wrapped)),1,0),0))*1</f>
        <v>1</v>
      </c>
    </row>
    <row r="297">
      <c r="A297" t="n">
        <v>296</v>
      </c>
      <c r="B297" t="inlineStr">
        <is>
          <t>B</t>
        </is>
      </c>
      <c r="C297">
        <f>1</f>
        <v>1</v>
      </c>
      <c r="D297">
        <f>IF(OR(F_Custom1_Q="(None)",F_Custom1_Q="",ISBLANK(F_Custom1_Q),F_Custom1_V="(All)",F_Custom1_V="",ISBLANK(F_Custom1_V)),1,IFERROR(IF(ISNUMBER(SEARCH("|"&amp;INDEX(INDIRECT(F_Custom1_resolved_column),296)&amp;"|",F_Custom1_wrapped)),1,0),0))</f>
        <v>1</v>
      </c>
      <c r="E297">
        <f>IF(OR(F_Custom2_Q="(None)",F_Custom2_Q="",ISBLANK(F_Custom2_Q),F_Custom2_V="(All)",F_Custom2_V="",ISBLANK(F_Custom2_V)),1,IFERROR(IF(ISNUMBER(SEARCH("|"&amp;INDEX(INDIRECT(F_Custom2_resolved_column),296)&amp;"|",F_Custom2_wrapped)),1,0),0))</f>
        <v>1</v>
      </c>
      <c r="F297">
        <f>D297*E297*1</f>
        <v>1</v>
      </c>
      <c r="G297">
        <f>1</f>
        <v>1</v>
      </c>
      <c r="H2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296)&amp;"|",All_Questions_Q_STREAM_F_wrapped)),1,0),0))*1</f>
        <v>1</v>
      </c>
    </row>
    <row r="298">
      <c r="A298" t="n">
        <v>297</v>
      </c>
      <c r="B298" t="inlineStr">
        <is>
          <t>A</t>
        </is>
      </c>
      <c r="C298">
        <f>1</f>
        <v>1</v>
      </c>
      <c r="D298">
        <f>IF(OR(F_Custom1_Q="(None)",F_Custom1_Q="",ISBLANK(F_Custom1_Q),F_Custom1_V="(All)",F_Custom1_V="",ISBLANK(F_Custom1_V)),1,IFERROR(IF(ISNUMBER(SEARCH("|"&amp;INDEX(INDIRECT(F_Custom1_resolved_column),297)&amp;"|",F_Custom1_wrapped)),1,0),0))</f>
        <v>1</v>
      </c>
      <c r="E298">
        <f>IF(OR(F_Custom2_Q="(None)",F_Custom2_Q="",ISBLANK(F_Custom2_Q),F_Custom2_V="(All)",F_Custom2_V="",ISBLANK(F_Custom2_V)),1,IFERROR(IF(ISNUMBER(SEARCH("|"&amp;INDEX(INDIRECT(F_Custom2_resolved_column),297)&amp;"|",F_Custom2_wrapped)),1,0),0))</f>
        <v>1</v>
      </c>
      <c r="F298">
        <f>D298*E298*1</f>
        <v>1</v>
      </c>
      <c r="G298">
        <f>1</f>
        <v>1</v>
      </c>
      <c r="H2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297)&amp;"|",All_Questions_Q_STREAM_F_wrapped)),1,0),0))*1</f>
        <v>1</v>
      </c>
    </row>
    <row r="299">
      <c r="A299" t="n">
        <v>298</v>
      </c>
      <c r="B299" t="inlineStr">
        <is>
          <t>B</t>
        </is>
      </c>
      <c r="C299">
        <f>1</f>
        <v>1</v>
      </c>
      <c r="D299">
        <f>IF(OR(F_Custom1_Q="(None)",F_Custom1_Q="",ISBLANK(F_Custom1_Q),F_Custom1_V="(All)",F_Custom1_V="",ISBLANK(F_Custom1_V)),1,IFERROR(IF(ISNUMBER(SEARCH("|"&amp;INDEX(INDIRECT(F_Custom1_resolved_column),298)&amp;"|",F_Custom1_wrapped)),1,0),0))</f>
        <v>1</v>
      </c>
      <c r="E299">
        <f>IF(OR(F_Custom2_Q="(None)",F_Custom2_Q="",ISBLANK(F_Custom2_Q),F_Custom2_V="(All)",F_Custom2_V="",ISBLANK(F_Custom2_V)),1,IFERROR(IF(ISNUMBER(SEARCH("|"&amp;INDEX(INDIRECT(F_Custom2_resolved_column),298)&amp;"|",F_Custom2_wrapped)),1,0),0))</f>
        <v>1</v>
      </c>
      <c r="F299">
        <f>D299*E299*1</f>
        <v>1</v>
      </c>
      <c r="G299">
        <f>1</f>
        <v>1</v>
      </c>
      <c r="H2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298)&amp;"|",All_Questions_Q_STREAM_F_wrapped)),1,0),0))*1</f>
        <v>1</v>
      </c>
    </row>
    <row r="300">
      <c r="A300" t="n">
        <v>299</v>
      </c>
      <c r="B300" t="inlineStr">
        <is>
          <t>A</t>
        </is>
      </c>
      <c r="C300">
        <f>1</f>
        <v>1</v>
      </c>
      <c r="D300">
        <f>IF(OR(F_Custom1_Q="(None)",F_Custom1_Q="",ISBLANK(F_Custom1_Q),F_Custom1_V="(All)",F_Custom1_V="",ISBLANK(F_Custom1_V)),1,IFERROR(IF(ISNUMBER(SEARCH("|"&amp;INDEX(INDIRECT(F_Custom1_resolved_column),299)&amp;"|",F_Custom1_wrapped)),1,0),0))</f>
        <v>1</v>
      </c>
      <c r="E300">
        <f>IF(OR(F_Custom2_Q="(None)",F_Custom2_Q="",ISBLANK(F_Custom2_Q),F_Custom2_V="(All)",F_Custom2_V="",ISBLANK(F_Custom2_V)),1,IFERROR(IF(ISNUMBER(SEARCH("|"&amp;INDEX(INDIRECT(F_Custom2_resolved_column),299)&amp;"|",F_Custom2_wrapped)),1,0),0))</f>
        <v>1</v>
      </c>
      <c r="F300">
        <f>D300*E300*1</f>
        <v>1</v>
      </c>
      <c r="G300">
        <f>1</f>
        <v>1</v>
      </c>
      <c r="H3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299)&amp;"|",All_Questions_Q_STREAM_F_wrapped)),1,0),0))*1</f>
        <v>1</v>
      </c>
    </row>
    <row r="301">
      <c r="A301" t="n">
        <v>300</v>
      </c>
      <c r="B301" t="inlineStr">
        <is>
          <t>B</t>
        </is>
      </c>
      <c r="C301">
        <f>1</f>
        <v>1</v>
      </c>
      <c r="D301">
        <f>IF(OR(F_Custom1_Q="(None)",F_Custom1_Q="",ISBLANK(F_Custom1_Q),F_Custom1_V="(All)",F_Custom1_V="",ISBLANK(F_Custom1_V)),1,IFERROR(IF(ISNUMBER(SEARCH("|"&amp;INDEX(INDIRECT(F_Custom1_resolved_column),300)&amp;"|",F_Custom1_wrapped)),1,0),0))</f>
        <v>1</v>
      </c>
      <c r="E301">
        <f>IF(OR(F_Custom2_Q="(None)",F_Custom2_Q="",ISBLANK(F_Custom2_Q),F_Custom2_V="(All)",F_Custom2_V="",ISBLANK(F_Custom2_V)),1,IFERROR(IF(ISNUMBER(SEARCH("|"&amp;INDEX(INDIRECT(F_Custom2_resolved_column),300)&amp;"|",F_Custom2_wrapped)),1,0),0))</f>
        <v>1</v>
      </c>
      <c r="F301">
        <f>D301*E301*1</f>
        <v>1</v>
      </c>
      <c r="G301">
        <f>1</f>
        <v>1</v>
      </c>
      <c r="H3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300)&amp;"|",All_Questions_Q_STREAM_F_wrapped)),1,0),0))*1</f>
        <v>1</v>
      </c>
    </row>
    <row r="302">
      <c r="A302" t="n">
        <v>301</v>
      </c>
      <c r="B302" t="inlineStr">
        <is>
          <t>A</t>
        </is>
      </c>
      <c r="C302">
        <f>1</f>
        <v>1</v>
      </c>
      <c r="D302">
        <f>IF(OR(F_Custom1_Q="(None)",F_Custom1_Q="",ISBLANK(F_Custom1_Q),F_Custom1_V="(All)",F_Custom1_V="",ISBLANK(F_Custom1_V)),1,IFERROR(IF(ISNUMBER(SEARCH("|"&amp;INDEX(INDIRECT(F_Custom1_resolved_column),301)&amp;"|",F_Custom1_wrapped)),1,0),0))</f>
        <v>1</v>
      </c>
      <c r="E302">
        <f>IF(OR(F_Custom2_Q="(None)",F_Custom2_Q="",ISBLANK(F_Custom2_Q),F_Custom2_V="(All)",F_Custom2_V="",ISBLANK(F_Custom2_V)),1,IFERROR(IF(ISNUMBER(SEARCH("|"&amp;INDEX(INDIRECT(F_Custom2_resolved_column),301)&amp;"|",F_Custom2_wrapped)),1,0),0))</f>
        <v>1</v>
      </c>
      <c r="F302">
        <f>D302*E302*1</f>
        <v>1</v>
      </c>
      <c r="G302">
        <f>1</f>
        <v>1</v>
      </c>
      <c r="H3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301)&amp;"|",All_Questions_Q_STREAM_F_wrapped)),1,0),0))*1</f>
        <v>1</v>
      </c>
    </row>
    <row r="303">
      <c r="A303" t="n">
        <v>302</v>
      </c>
      <c r="B303" t="inlineStr">
        <is>
          <t>B</t>
        </is>
      </c>
      <c r="C303">
        <f>1</f>
        <v>1</v>
      </c>
      <c r="D303">
        <f>IF(OR(F_Custom1_Q="(None)",F_Custom1_Q="",ISBLANK(F_Custom1_Q),F_Custom1_V="(All)",F_Custom1_V="",ISBLANK(F_Custom1_V)),1,IFERROR(IF(ISNUMBER(SEARCH("|"&amp;INDEX(INDIRECT(F_Custom1_resolved_column),302)&amp;"|",F_Custom1_wrapped)),1,0),0))</f>
        <v>1</v>
      </c>
      <c r="E303">
        <f>IF(OR(F_Custom2_Q="(None)",F_Custom2_Q="",ISBLANK(F_Custom2_Q),F_Custom2_V="(All)",F_Custom2_V="",ISBLANK(F_Custom2_V)),1,IFERROR(IF(ISNUMBER(SEARCH("|"&amp;INDEX(INDIRECT(F_Custom2_resolved_column),302)&amp;"|",F_Custom2_wrapped)),1,0),0))</f>
        <v>1</v>
      </c>
      <c r="F303">
        <f>D303*E303*1</f>
        <v>1</v>
      </c>
      <c r="G303">
        <f>1</f>
        <v>1</v>
      </c>
      <c r="H3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302)&amp;"|",All_Questions_Q_STREAM_F_wrapped)),1,0),0))*1</f>
        <v>1</v>
      </c>
    </row>
    <row r="304">
      <c r="A304" t="n">
        <v>303</v>
      </c>
      <c r="B304" t="inlineStr">
        <is>
          <t>A</t>
        </is>
      </c>
      <c r="C304">
        <f>1</f>
        <v>1</v>
      </c>
      <c r="D304">
        <f>IF(OR(F_Custom1_Q="(None)",F_Custom1_Q="",ISBLANK(F_Custom1_Q),F_Custom1_V="(All)",F_Custom1_V="",ISBLANK(F_Custom1_V)),1,IFERROR(IF(ISNUMBER(SEARCH("|"&amp;INDEX(INDIRECT(F_Custom1_resolved_column),303)&amp;"|",F_Custom1_wrapped)),1,0),0))</f>
        <v>1</v>
      </c>
      <c r="E304">
        <f>IF(OR(F_Custom2_Q="(None)",F_Custom2_Q="",ISBLANK(F_Custom2_Q),F_Custom2_V="(All)",F_Custom2_V="",ISBLANK(F_Custom2_V)),1,IFERROR(IF(ISNUMBER(SEARCH("|"&amp;INDEX(INDIRECT(F_Custom2_resolved_column),303)&amp;"|",F_Custom2_wrapped)),1,0),0))</f>
        <v>1</v>
      </c>
      <c r="F304">
        <f>D304*E304*1</f>
        <v>1</v>
      </c>
      <c r="G304">
        <f>1</f>
        <v>1</v>
      </c>
      <c r="H3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303)&amp;"|",All_Questions_Q_STREAM_F_wrapped)),1,0),0))*1</f>
        <v>1</v>
      </c>
    </row>
    <row r="305">
      <c r="A305" t="n">
        <v>304</v>
      </c>
      <c r="B305" t="inlineStr">
        <is>
          <t>B</t>
        </is>
      </c>
      <c r="C305">
        <f>1</f>
        <v>1</v>
      </c>
      <c r="D305">
        <f>IF(OR(F_Custom1_Q="(None)",F_Custom1_Q="",ISBLANK(F_Custom1_Q),F_Custom1_V="(All)",F_Custom1_V="",ISBLANK(F_Custom1_V)),1,IFERROR(IF(ISNUMBER(SEARCH("|"&amp;INDEX(INDIRECT(F_Custom1_resolved_column),304)&amp;"|",F_Custom1_wrapped)),1,0),0))</f>
        <v>1</v>
      </c>
      <c r="E305">
        <f>IF(OR(F_Custom2_Q="(None)",F_Custom2_Q="",ISBLANK(F_Custom2_Q),F_Custom2_V="(All)",F_Custom2_V="",ISBLANK(F_Custom2_V)),1,IFERROR(IF(ISNUMBER(SEARCH("|"&amp;INDEX(INDIRECT(F_Custom2_resolved_column),304)&amp;"|",F_Custom2_wrapped)),1,0),0))</f>
        <v>1</v>
      </c>
      <c r="F305">
        <f>D305*E305*1</f>
        <v>1</v>
      </c>
      <c r="G305">
        <f>1</f>
        <v>1</v>
      </c>
      <c r="H3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304)&amp;"|",All_Questions_Q_STREAM_F_wrapped)),1,0),0))*1</f>
        <v>1</v>
      </c>
    </row>
    <row r="306">
      <c r="A306" t="n">
        <v>305</v>
      </c>
      <c r="B306" t="inlineStr">
        <is>
          <t>A</t>
        </is>
      </c>
      <c r="C306">
        <f>1</f>
        <v>1</v>
      </c>
      <c r="D306">
        <f>IF(OR(F_Custom1_Q="(None)",F_Custom1_Q="",ISBLANK(F_Custom1_Q),F_Custom1_V="(All)",F_Custom1_V="",ISBLANK(F_Custom1_V)),1,IFERROR(IF(ISNUMBER(SEARCH("|"&amp;INDEX(INDIRECT(F_Custom1_resolved_column),305)&amp;"|",F_Custom1_wrapped)),1,0),0))</f>
        <v>1</v>
      </c>
      <c r="E306">
        <f>IF(OR(F_Custom2_Q="(None)",F_Custom2_Q="",ISBLANK(F_Custom2_Q),F_Custom2_V="(All)",F_Custom2_V="",ISBLANK(F_Custom2_V)),1,IFERROR(IF(ISNUMBER(SEARCH("|"&amp;INDEX(INDIRECT(F_Custom2_resolved_column),305)&amp;"|",F_Custom2_wrapped)),1,0),0))</f>
        <v>1</v>
      </c>
      <c r="F306">
        <f>D306*E306*1</f>
        <v>1</v>
      </c>
      <c r="G306">
        <f>1</f>
        <v>1</v>
      </c>
      <c r="H3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305)&amp;"|",All_Questions_Q_STREAM_F_wrapped)),1,0),0))*1</f>
        <v>1</v>
      </c>
    </row>
    <row r="307">
      <c r="A307" t="n">
        <v>306</v>
      </c>
      <c r="B307" t="inlineStr">
        <is>
          <t>B</t>
        </is>
      </c>
      <c r="C307">
        <f>1</f>
        <v>1</v>
      </c>
      <c r="D307">
        <f>IF(OR(F_Custom1_Q="(None)",F_Custom1_Q="",ISBLANK(F_Custom1_Q),F_Custom1_V="(All)",F_Custom1_V="",ISBLANK(F_Custom1_V)),1,IFERROR(IF(ISNUMBER(SEARCH("|"&amp;INDEX(INDIRECT(F_Custom1_resolved_column),306)&amp;"|",F_Custom1_wrapped)),1,0),0))</f>
        <v>1</v>
      </c>
      <c r="E307">
        <f>IF(OR(F_Custom2_Q="(None)",F_Custom2_Q="",ISBLANK(F_Custom2_Q),F_Custom2_V="(All)",F_Custom2_V="",ISBLANK(F_Custom2_V)),1,IFERROR(IF(ISNUMBER(SEARCH("|"&amp;INDEX(INDIRECT(F_Custom2_resolved_column),306)&amp;"|",F_Custom2_wrapped)),1,0),0))</f>
        <v>1</v>
      </c>
      <c r="F307">
        <f>D307*E307*1</f>
        <v>1</v>
      </c>
      <c r="G307">
        <f>1</f>
        <v>1</v>
      </c>
      <c r="H3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306)&amp;"|",All_Questions_Q_STREAM_F_wrapped)),1,0),0))*1</f>
        <v>1</v>
      </c>
    </row>
    <row r="308">
      <c r="A308" t="n">
        <v>307</v>
      </c>
      <c r="B308" t="inlineStr">
        <is>
          <t>A</t>
        </is>
      </c>
      <c r="C308">
        <f>1</f>
        <v>1</v>
      </c>
      <c r="D308">
        <f>IF(OR(F_Custom1_Q="(None)",F_Custom1_Q="",ISBLANK(F_Custom1_Q),F_Custom1_V="(All)",F_Custom1_V="",ISBLANK(F_Custom1_V)),1,IFERROR(IF(ISNUMBER(SEARCH("|"&amp;INDEX(INDIRECT(F_Custom1_resolved_column),307)&amp;"|",F_Custom1_wrapped)),1,0),0))</f>
        <v>1</v>
      </c>
      <c r="E308">
        <f>IF(OR(F_Custom2_Q="(None)",F_Custom2_Q="",ISBLANK(F_Custom2_Q),F_Custom2_V="(All)",F_Custom2_V="",ISBLANK(F_Custom2_V)),1,IFERROR(IF(ISNUMBER(SEARCH("|"&amp;INDEX(INDIRECT(F_Custom2_resolved_column),307)&amp;"|",F_Custom2_wrapped)),1,0),0))</f>
        <v>1</v>
      </c>
      <c r="F308">
        <f>D308*E308*1</f>
        <v>1</v>
      </c>
      <c r="G308">
        <f>1</f>
        <v>1</v>
      </c>
      <c r="H3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307)&amp;"|",All_Questions_Q_STREAM_F_wrapped)),1,0),0))*1</f>
        <v>1</v>
      </c>
    </row>
    <row r="309">
      <c r="A309" t="n">
        <v>308</v>
      </c>
      <c r="B309" t="inlineStr">
        <is>
          <t>B</t>
        </is>
      </c>
      <c r="C309">
        <f>1</f>
        <v>1</v>
      </c>
      <c r="D309">
        <f>IF(OR(F_Custom1_Q="(None)",F_Custom1_Q="",ISBLANK(F_Custom1_Q),F_Custom1_V="(All)",F_Custom1_V="",ISBLANK(F_Custom1_V)),1,IFERROR(IF(ISNUMBER(SEARCH("|"&amp;INDEX(INDIRECT(F_Custom1_resolved_column),308)&amp;"|",F_Custom1_wrapped)),1,0),0))</f>
        <v>1</v>
      </c>
      <c r="E309">
        <f>IF(OR(F_Custom2_Q="(None)",F_Custom2_Q="",ISBLANK(F_Custom2_Q),F_Custom2_V="(All)",F_Custom2_V="",ISBLANK(F_Custom2_V)),1,IFERROR(IF(ISNUMBER(SEARCH("|"&amp;INDEX(INDIRECT(F_Custom2_resolved_column),308)&amp;"|",F_Custom2_wrapped)),1,0),0))</f>
        <v>1</v>
      </c>
      <c r="F309">
        <f>D309*E309*1</f>
        <v>1</v>
      </c>
      <c r="G309">
        <f>1</f>
        <v>1</v>
      </c>
      <c r="H3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308)&amp;"|",All_Questions_Q_STREAM_F_wrapped)),1,0),0))*1</f>
        <v>1</v>
      </c>
    </row>
    <row r="310">
      <c r="A310" t="n">
        <v>309</v>
      </c>
      <c r="B310" t="inlineStr">
        <is>
          <t>A</t>
        </is>
      </c>
      <c r="C310">
        <f>1</f>
        <v>1</v>
      </c>
      <c r="D310">
        <f>IF(OR(F_Custom1_Q="(None)",F_Custom1_Q="",ISBLANK(F_Custom1_Q),F_Custom1_V="(All)",F_Custom1_V="",ISBLANK(F_Custom1_V)),1,IFERROR(IF(ISNUMBER(SEARCH("|"&amp;INDEX(INDIRECT(F_Custom1_resolved_column),309)&amp;"|",F_Custom1_wrapped)),1,0),0))</f>
        <v>1</v>
      </c>
      <c r="E310">
        <f>IF(OR(F_Custom2_Q="(None)",F_Custom2_Q="",ISBLANK(F_Custom2_Q),F_Custom2_V="(All)",F_Custom2_V="",ISBLANK(F_Custom2_V)),1,IFERROR(IF(ISNUMBER(SEARCH("|"&amp;INDEX(INDIRECT(F_Custom2_resolved_column),309)&amp;"|",F_Custom2_wrapped)),1,0),0))</f>
        <v>1</v>
      </c>
      <c r="F310">
        <f>D310*E310*1</f>
        <v>1</v>
      </c>
      <c r="G310">
        <f>1</f>
        <v>1</v>
      </c>
      <c r="H3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309)&amp;"|",All_Questions_Q_STREAM_F_wrapped)),1,0),0))*1</f>
        <v>1</v>
      </c>
    </row>
    <row r="311">
      <c r="A311" t="n">
        <v>310</v>
      </c>
      <c r="B311" t="inlineStr">
        <is>
          <t>B</t>
        </is>
      </c>
      <c r="C311">
        <f>1</f>
        <v>1</v>
      </c>
      <c r="D311">
        <f>IF(OR(F_Custom1_Q="(None)",F_Custom1_Q="",ISBLANK(F_Custom1_Q),F_Custom1_V="(All)",F_Custom1_V="",ISBLANK(F_Custom1_V)),1,IFERROR(IF(ISNUMBER(SEARCH("|"&amp;INDEX(INDIRECT(F_Custom1_resolved_column),310)&amp;"|",F_Custom1_wrapped)),1,0),0))</f>
        <v>1</v>
      </c>
      <c r="E311">
        <f>IF(OR(F_Custom2_Q="(None)",F_Custom2_Q="",ISBLANK(F_Custom2_Q),F_Custom2_V="(All)",F_Custom2_V="",ISBLANK(F_Custom2_V)),1,IFERROR(IF(ISNUMBER(SEARCH("|"&amp;INDEX(INDIRECT(F_Custom2_resolved_column),310)&amp;"|",F_Custom2_wrapped)),1,0),0))</f>
        <v>1</v>
      </c>
      <c r="F311">
        <f>D311*E311*1</f>
        <v>1</v>
      </c>
      <c r="G311">
        <f>1</f>
        <v>1</v>
      </c>
      <c r="H3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310)&amp;"|",All_Questions_Q_STREAM_F_wrapped)),1,0),0))*1</f>
        <v>1</v>
      </c>
    </row>
    <row r="312">
      <c r="A312" t="n">
        <v>311</v>
      </c>
      <c r="B312" t="inlineStr">
        <is>
          <t>A</t>
        </is>
      </c>
      <c r="C312">
        <f>1</f>
        <v>1</v>
      </c>
      <c r="D312">
        <f>IF(OR(F_Custom1_Q="(None)",F_Custom1_Q="",ISBLANK(F_Custom1_Q),F_Custom1_V="(All)",F_Custom1_V="",ISBLANK(F_Custom1_V)),1,IFERROR(IF(ISNUMBER(SEARCH("|"&amp;INDEX(INDIRECT(F_Custom1_resolved_column),311)&amp;"|",F_Custom1_wrapped)),1,0),0))</f>
        <v>1</v>
      </c>
      <c r="E312">
        <f>IF(OR(F_Custom2_Q="(None)",F_Custom2_Q="",ISBLANK(F_Custom2_Q),F_Custom2_V="(All)",F_Custom2_V="",ISBLANK(F_Custom2_V)),1,IFERROR(IF(ISNUMBER(SEARCH("|"&amp;INDEX(INDIRECT(F_Custom2_resolved_column),311)&amp;"|",F_Custom2_wrapped)),1,0),0))</f>
        <v>1</v>
      </c>
      <c r="F312">
        <f>D312*E312*1</f>
        <v>1</v>
      </c>
      <c r="G312">
        <f>1</f>
        <v>1</v>
      </c>
      <c r="H3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311)&amp;"|",All_Questions_Q_STREAM_F_wrapped)),1,0),0))*1</f>
        <v>1</v>
      </c>
    </row>
    <row r="313">
      <c r="A313" t="n">
        <v>312</v>
      </c>
      <c r="B313" t="inlineStr">
        <is>
          <t>B</t>
        </is>
      </c>
      <c r="C313">
        <f>1</f>
        <v>1</v>
      </c>
      <c r="D313">
        <f>IF(OR(F_Custom1_Q="(None)",F_Custom1_Q="",ISBLANK(F_Custom1_Q),F_Custom1_V="(All)",F_Custom1_V="",ISBLANK(F_Custom1_V)),1,IFERROR(IF(ISNUMBER(SEARCH("|"&amp;INDEX(INDIRECT(F_Custom1_resolved_column),312)&amp;"|",F_Custom1_wrapped)),1,0),0))</f>
        <v>1</v>
      </c>
      <c r="E313">
        <f>IF(OR(F_Custom2_Q="(None)",F_Custom2_Q="",ISBLANK(F_Custom2_Q),F_Custom2_V="(All)",F_Custom2_V="",ISBLANK(F_Custom2_V)),1,IFERROR(IF(ISNUMBER(SEARCH("|"&amp;INDEX(INDIRECT(F_Custom2_resolved_column),312)&amp;"|",F_Custom2_wrapped)),1,0),0))</f>
        <v>1</v>
      </c>
      <c r="F313">
        <f>D313*E313*1</f>
        <v>1</v>
      </c>
      <c r="G313">
        <f>1</f>
        <v>1</v>
      </c>
      <c r="H3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312)&amp;"|",All_Questions_Q_STREAM_F_wrapped)),1,0),0))*1</f>
        <v>1</v>
      </c>
    </row>
    <row r="314">
      <c r="A314" t="n">
        <v>313</v>
      </c>
      <c r="B314" t="inlineStr">
        <is>
          <t>A</t>
        </is>
      </c>
      <c r="C314">
        <f>1</f>
        <v>1</v>
      </c>
      <c r="D314">
        <f>IF(OR(F_Custom1_Q="(None)",F_Custom1_Q="",ISBLANK(F_Custom1_Q),F_Custom1_V="(All)",F_Custom1_V="",ISBLANK(F_Custom1_V)),1,IFERROR(IF(ISNUMBER(SEARCH("|"&amp;INDEX(INDIRECT(F_Custom1_resolved_column),313)&amp;"|",F_Custom1_wrapped)),1,0),0))</f>
        <v>1</v>
      </c>
      <c r="E314">
        <f>IF(OR(F_Custom2_Q="(None)",F_Custom2_Q="",ISBLANK(F_Custom2_Q),F_Custom2_V="(All)",F_Custom2_V="",ISBLANK(F_Custom2_V)),1,IFERROR(IF(ISNUMBER(SEARCH("|"&amp;INDEX(INDIRECT(F_Custom2_resolved_column),313)&amp;"|",F_Custom2_wrapped)),1,0),0))</f>
        <v>1</v>
      </c>
      <c r="F314">
        <f>D314*E314*1</f>
        <v>1</v>
      </c>
      <c r="G314">
        <f>1</f>
        <v>1</v>
      </c>
      <c r="H3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313)&amp;"|",All_Questions_Q_STREAM_F_wrapped)),1,0),0))*1</f>
        <v>1</v>
      </c>
    </row>
    <row r="315">
      <c r="A315" t="n">
        <v>314</v>
      </c>
      <c r="B315" t="inlineStr">
        <is>
          <t>B</t>
        </is>
      </c>
      <c r="C315">
        <f>1</f>
        <v>1</v>
      </c>
      <c r="D315">
        <f>IF(OR(F_Custom1_Q="(None)",F_Custom1_Q="",ISBLANK(F_Custom1_Q),F_Custom1_V="(All)",F_Custom1_V="",ISBLANK(F_Custom1_V)),1,IFERROR(IF(ISNUMBER(SEARCH("|"&amp;INDEX(INDIRECT(F_Custom1_resolved_column),314)&amp;"|",F_Custom1_wrapped)),1,0),0))</f>
        <v>1</v>
      </c>
      <c r="E315">
        <f>IF(OR(F_Custom2_Q="(None)",F_Custom2_Q="",ISBLANK(F_Custom2_Q),F_Custom2_V="(All)",F_Custom2_V="",ISBLANK(F_Custom2_V)),1,IFERROR(IF(ISNUMBER(SEARCH("|"&amp;INDEX(INDIRECT(F_Custom2_resolved_column),314)&amp;"|",F_Custom2_wrapped)),1,0),0))</f>
        <v>1</v>
      </c>
      <c r="F315">
        <f>D315*E315*1</f>
        <v>1</v>
      </c>
      <c r="G315">
        <f>1</f>
        <v>1</v>
      </c>
      <c r="H3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314)&amp;"|",All_Questions_Q_STREAM_F_wrapped)),1,0),0))*1</f>
        <v>1</v>
      </c>
    </row>
    <row r="316">
      <c r="A316" t="n">
        <v>315</v>
      </c>
      <c r="B316" t="inlineStr">
        <is>
          <t>A</t>
        </is>
      </c>
      <c r="C316">
        <f>1</f>
        <v>1</v>
      </c>
      <c r="D316">
        <f>IF(OR(F_Custom1_Q="(None)",F_Custom1_Q="",ISBLANK(F_Custom1_Q),F_Custom1_V="(All)",F_Custom1_V="",ISBLANK(F_Custom1_V)),1,IFERROR(IF(ISNUMBER(SEARCH("|"&amp;INDEX(INDIRECT(F_Custom1_resolved_column),315)&amp;"|",F_Custom1_wrapped)),1,0),0))</f>
        <v>1</v>
      </c>
      <c r="E316">
        <f>IF(OR(F_Custom2_Q="(None)",F_Custom2_Q="",ISBLANK(F_Custom2_Q),F_Custom2_V="(All)",F_Custom2_V="",ISBLANK(F_Custom2_V)),1,IFERROR(IF(ISNUMBER(SEARCH("|"&amp;INDEX(INDIRECT(F_Custom2_resolved_column),315)&amp;"|",F_Custom2_wrapped)),1,0),0))</f>
        <v>1</v>
      </c>
      <c r="F316">
        <f>D316*E316*1</f>
        <v>1</v>
      </c>
      <c r="G316">
        <f>1</f>
        <v>1</v>
      </c>
      <c r="H3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315)&amp;"|",All_Questions_Q_STREAM_F_wrapped)),1,0),0))*1</f>
        <v>1</v>
      </c>
    </row>
    <row r="317">
      <c r="A317" t="n">
        <v>316</v>
      </c>
      <c r="B317" t="inlineStr">
        <is>
          <t>B</t>
        </is>
      </c>
      <c r="C317">
        <f>1</f>
        <v>1</v>
      </c>
      <c r="D317">
        <f>IF(OR(F_Custom1_Q="(None)",F_Custom1_Q="",ISBLANK(F_Custom1_Q),F_Custom1_V="(All)",F_Custom1_V="",ISBLANK(F_Custom1_V)),1,IFERROR(IF(ISNUMBER(SEARCH("|"&amp;INDEX(INDIRECT(F_Custom1_resolved_column),316)&amp;"|",F_Custom1_wrapped)),1,0),0))</f>
        <v>1</v>
      </c>
      <c r="E317">
        <f>IF(OR(F_Custom2_Q="(None)",F_Custom2_Q="",ISBLANK(F_Custom2_Q),F_Custom2_V="(All)",F_Custom2_V="",ISBLANK(F_Custom2_V)),1,IFERROR(IF(ISNUMBER(SEARCH("|"&amp;INDEX(INDIRECT(F_Custom2_resolved_column),316)&amp;"|",F_Custom2_wrapped)),1,0),0))</f>
        <v>1</v>
      </c>
      <c r="F317">
        <f>D317*E317*1</f>
        <v>1</v>
      </c>
      <c r="G317">
        <f>1</f>
        <v>1</v>
      </c>
      <c r="H3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316)&amp;"|",All_Questions_Q_STREAM_F_wrapped)),1,0),0))*1</f>
        <v>1</v>
      </c>
    </row>
    <row r="318">
      <c r="A318" t="n">
        <v>317</v>
      </c>
      <c r="B318" t="inlineStr">
        <is>
          <t>A</t>
        </is>
      </c>
      <c r="C318">
        <f>1</f>
        <v>1</v>
      </c>
      <c r="D318">
        <f>IF(OR(F_Custom1_Q="(None)",F_Custom1_Q="",ISBLANK(F_Custom1_Q),F_Custom1_V="(All)",F_Custom1_V="",ISBLANK(F_Custom1_V)),1,IFERROR(IF(ISNUMBER(SEARCH("|"&amp;INDEX(INDIRECT(F_Custom1_resolved_column),317)&amp;"|",F_Custom1_wrapped)),1,0),0))</f>
        <v>1</v>
      </c>
      <c r="E318">
        <f>IF(OR(F_Custom2_Q="(None)",F_Custom2_Q="",ISBLANK(F_Custom2_Q),F_Custom2_V="(All)",F_Custom2_V="",ISBLANK(F_Custom2_V)),1,IFERROR(IF(ISNUMBER(SEARCH("|"&amp;INDEX(INDIRECT(F_Custom2_resolved_column),317)&amp;"|",F_Custom2_wrapped)),1,0),0))</f>
        <v>1</v>
      </c>
      <c r="F318">
        <f>D318*E318*1</f>
        <v>1</v>
      </c>
      <c r="G318">
        <f>1</f>
        <v>1</v>
      </c>
      <c r="H3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317)&amp;"|",All_Questions_Q_STREAM_F_wrapped)),1,0),0))*1</f>
        <v>1</v>
      </c>
    </row>
    <row r="319">
      <c r="A319" t="n">
        <v>318</v>
      </c>
      <c r="B319" t="inlineStr">
        <is>
          <t>B</t>
        </is>
      </c>
      <c r="C319">
        <f>1</f>
        <v>1</v>
      </c>
      <c r="D319">
        <f>IF(OR(F_Custom1_Q="(None)",F_Custom1_Q="",ISBLANK(F_Custom1_Q),F_Custom1_V="(All)",F_Custom1_V="",ISBLANK(F_Custom1_V)),1,IFERROR(IF(ISNUMBER(SEARCH("|"&amp;INDEX(INDIRECT(F_Custom1_resolved_column),318)&amp;"|",F_Custom1_wrapped)),1,0),0))</f>
        <v>1</v>
      </c>
      <c r="E319">
        <f>IF(OR(F_Custom2_Q="(None)",F_Custom2_Q="",ISBLANK(F_Custom2_Q),F_Custom2_V="(All)",F_Custom2_V="",ISBLANK(F_Custom2_V)),1,IFERROR(IF(ISNUMBER(SEARCH("|"&amp;INDEX(INDIRECT(F_Custom2_resolved_column),318)&amp;"|",F_Custom2_wrapped)),1,0),0))</f>
        <v>1</v>
      </c>
      <c r="F319">
        <f>D319*E319*1</f>
        <v>1</v>
      </c>
      <c r="G319">
        <f>1</f>
        <v>1</v>
      </c>
      <c r="H3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318)&amp;"|",All_Questions_Q_STREAM_F_wrapped)),1,0),0))*1</f>
        <v>1</v>
      </c>
    </row>
    <row r="320">
      <c r="A320" t="n">
        <v>319</v>
      </c>
      <c r="B320" t="inlineStr">
        <is>
          <t>A</t>
        </is>
      </c>
      <c r="C320">
        <f>1</f>
        <v>1</v>
      </c>
      <c r="D320">
        <f>IF(OR(F_Custom1_Q="(None)",F_Custom1_Q="",ISBLANK(F_Custom1_Q),F_Custom1_V="(All)",F_Custom1_V="",ISBLANK(F_Custom1_V)),1,IFERROR(IF(ISNUMBER(SEARCH("|"&amp;INDEX(INDIRECT(F_Custom1_resolved_column),319)&amp;"|",F_Custom1_wrapped)),1,0),0))</f>
        <v>1</v>
      </c>
      <c r="E320">
        <f>IF(OR(F_Custom2_Q="(None)",F_Custom2_Q="",ISBLANK(F_Custom2_Q),F_Custom2_V="(All)",F_Custom2_V="",ISBLANK(F_Custom2_V)),1,IFERROR(IF(ISNUMBER(SEARCH("|"&amp;INDEX(INDIRECT(F_Custom2_resolved_column),319)&amp;"|",F_Custom2_wrapped)),1,0),0))</f>
        <v>1</v>
      </c>
      <c r="F320">
        <f>D320*E320*1</f>
        <v>1</v>
      </c>
      <c r="G320">
        <f>1</f>
        <v>1</v>
      </c>
      <c r="H3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319)&amp;"|",All_Questions_Q_STREAM_F_wrapped)),1,0),0))*1</f>
        <v>1</v>
      </c>
    </row>
    <row r="321">
      <c r="A321" t="n">
        <v>320</v>
      </c>
      <c r="B321" t="inlineStr">
        <is>
          <t>B</t>
        </is>
      </c>
      <c r="C321">
        <f>1</f>
        <v>1</v>
      </c>
      <c r="D321">
        <f>IF(OR(F_Custom1_Q="(None)",F_Custom1_Q="",ISBLANK(F_Custom1_Q),F_Custom1_V="(All)",F_Custom1_V="",ISBLANK(F_Custom1_V)),1,IFERROR(IF(ISNUMBER(SEARCH("|"&amp;INDEX(INDIRECT(F_Custom1_resolved_column),320)&amp;"|",F_Custom1_wrapped)),1,0),0))</f>
        <v>1</v>
      </c>
      <c r="E321">
        <f>IF(OR(F_Custom2_Q="(None)",F_Custom2_Q="",ISBLANK(F_Custom2_Q),F_Custom2_V="(All)",F_Custom2_V="",ISBLANK(F_Custom2_V)),1,IFERROR(IF(ISNUMBER(SEARCH("|"&amp;INDEX(INDIRECT(F_Custom2_resolved_column),320)&amp;"|",F_Custom2_wrapped)),1,0),0))</f>
        <v>1</v>
      </c>
      <c r="F321">
        <f>D321*E321*1</f>
        <v>1</v>
      </c>
      <c r="G321">
        <f>1</f>
        <v>1</v>
      </c>
      <c r="H3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320)&amp;"|",All_Questions_Q_STREAM_F_wrapped)),1,0),0))*1</f>
        <v>1</v>
      </c>
    </row>
    <row r="322">
      <c r="A322" t="n">
        <v>321</v>
      </c>
      <c r="B322" t="inlineStr">
        <is>
          <t>A</t>
        </is>
      </c>
      <c r="C322">
        <f>1</f>
        <v>1</v>
      </c>
      <c r="D322">
        <f>IF(OR(F_Custom1_Q="(None)",F_Custom1_Q="",ISBLANK(F_Custom1_Q),F_Custom1_V="(All)",F_Custom1_V="",ISBLANK(F_Custom1_V)),1,IFERROR(IF(ISNUMBER(SEARCH("|"&amp;INDEX(INDIRECT(F_Custom1_resolved_column),321)&amp;"|",F_Custom1_wrapped)),1,0),0))</f>
        <v>1</v>
      </c>
      <c r="E322">
        <f>IF(OR(F_Custom2_Q="(None)",F_Custom2_Q="",ISBLANK(F_Custom2_Q),F_Custom2_V="(All)",F_Custom2_V="",ISBLANK(F_Custom2_V)),1,IFERROR(IF(ISNUMBER(SEARCH("|"&amp;INDEX(INDIRECT(F_Custom2_resolved_column),321)&amp;"|",F_Custom2_wrapped)),1,0),0))</f>
        <v>1</v>
      </c>
      <c r="F322">
        <f>D322*E322*1</f>
        <v>1</v>
      </c>
      <c r="G322">
        <f>1</f>
        <v>1</v>
      </c>
      <c r="H3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321)&amp;"|",All_Questions_Q_STREAM_F_wrapped)),1,0),0))*1</f>
        <v>1</v>
      </c>
    </row>
    <row r="323">
      <c r="A323" t="n">
        <v>322</v>
      </c>
      <c r="B323" t="inlineStr">
        <is>
          <t>B</t>
        </is>
      </c>
      <c r="C323">
        <f>1</f>
        <v>1</v>
      </c>
      <c r="D323">
        <f>IF(OR(F_Custom1_Q="(None)",F_Custom1_Q="",ISBLANK(F_Custom1_Q),F_Custom1_V="(All)",F_Custom1_V="",ISBLANK(F_Custom1_V)),1,IFERROR(IF(ISNUMBER(SEARCH("|"&amp;INDEX(INDIRECT(F_Custom1_resolved_column),322)&amp;"|",F_Custom1_wrapped)),1,0),0))</f>
        <v>1</v>
      </c>
      <c r="E323">
        <f>IF(OR(F_Custom2_Q="(None)",F_Custom2_Q="",ISBLANK(F_Custom2_Q),F_Custom2_V="(All)",F_Custom2_V="",ISBLANK(F_Custom2_V)),1,IFERROR(IF(ISNUMBER(SEARCH("|"&amp;INDEX(INDIRECT(F_Custom2_resolved_column),322)&amp;"|",F_Custom2_wrapped)),1,0),0))</f>
        <v>1</v>
      </c>
      <c r="F323">
        <f>D323*E323*1</f>
        <v>1</v>
      </c>
      <c r="G323">
        <f>1</f>
        <v>1</v>
      </c>
      <c r="H3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322)&amp;"|",All_Questions_Q_STREAM_F_wrapped)),1,0),0))*1</f>
        <v>1</v>
      </c>
    </row>
    <row r="324">
      <c r="A324" t="n">
        <v>323</v>
      </c>
      <c r="B324" t="inlineStr">
        <is>
          <t>A</t>
        </is>
      </c>
      <c r="C324">
        <f>1</f>
        <v>1</v>
      </c>
      <c r="D324">
        <f>IF(OR(F_Custom1_Q="(None)",F_Custom1_Q="",ISBLANK(F_Custom1_Q),F_Custom1_V="(All)",F_Custom1_V="",ISBLANK(F_Custom1_V)),1,IFERROR(IF(ISNUMBER(SEARCH("|"&amp;INDEX(INDIRECT(F_Custom1_resolved_column),323)&amp;"|",F_Custom1_wrapped)),1,0),0))</f>
        <v>1</v>
      </c>
      <c r="E324">
        <f>IF(OR(F_Custom2_Q="(None)",F_Custom2_Q="",ISBLANK(F_Custom2_Q),F_Custom2_V="(All)",F_Custom2_V="",ISBLANK(F_Custom2_V)),1,IFERROR(IF(ISNUMBER(SEARCH("|"&amp;INDEX(INDIRECT(F_Custom2_resolved_column),323)&amp;"|",F_Custom2_wrapped)),1,0),0))</f>
        <v>1</v>
      </c>
      <c r="F324">
        <f>D324*E324*1</f>
        <v>1</v>
      </c>
      <c r="G324">
        <f>1</f>
        <v>1</v>
      </c>
      <c r="H3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323)&amp;"|",All_Questions_Q_STREAM_F_wrapped)),1,0),0))*1</f>
        <v>1</v>
      </c>
    </row>
    <row r="325">
      <c r="A325" t="n">
        <v>324</v>
      </c>
      <c r="B325" t="inlineStr">
        <is>
          <t>B</t>
        </is>
      </c>
      <c r="C325">
        <f>1</f>
        <v>1</v>
      </c>
      <c r="D325">
        <f>IF(OR(F_Custom1_Q="(None)",F_Custom1_Q="",ISBLANK(F_Custom1_Q),F_Custom1_V="(All)",F_Custom1_V="",ISBLANK(F_Custom1_V)),1,IFERROR(IF(ISNUMBER(SEARCH("|"&amp;INDEX(INDIRECT(F_Custom1_resolved_column),324)&amp;"|",F_Custom1_wrapped)),1,0),0))</f>
        <v>1</v>
      </c>
      <c r="E325">
        <f>IF(OR(F_Custom2_Q="(None)",F_Custom2_Q="",ISBLANK(F_Custom2_Q),F_Custom2_V="(All)",F_Custom2_V="",ISBLANK(F_Custom2_V)),1,IFERROR(IF(ISNUMBER(SEARCH("|"&amp;INDEX(INDIRECT(F_Custom2_resolved_column),324)&amp;"|",F_Custom2_wrapped)),1,0),0))</f>
        <v>1</v>
      </c>
      <c r="F325">
        <f>D325*E325*1</f>
        <v>1</v>
      </c>
      <c r="G325">
        <f>1</f>
        <v>1</v>
      </c>
      <c r="H3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324)&amp;"|",All_Questions_Q_STREAM_F_wrapped)),1,0),0))*1</f>
        <v>1</v>
      </c>
    </row>
    <row r="326">
      <c r="A326" t="n">
        <v>325</v>
      </c>
      <c r="B326" t="inlineStr">
        <is>
          <t>A</t>
        </is>
      </c>
      <c r="C326">
        <f>1</f>
        <v>1</v>
      </c>
      <c r="D326">
        <f>IF(OR(F_Custom1_Q="(None)",F_Custom1_Q="",ISBLANK(F_Custom1_Q),F_Custom1_V="(All)",F_Custom1_V="",ISBLANK(F_Custom1_V)),1,IFERROR(IF(ISNUMBER(SEARCH("|"&amp;INDEX(INDIRECT(F_Custom1_resolved_column),325)&amp;"|",F_Custom1_wrapped)),1,0),0))</f>
        <v>1</v>
      </c>
      <c r="E326">
        <f>IF(OR(F_Custom2_Q="(None)",F_Custom2_Q="",ISBLANK(F_Custom2_Q),F_Custom2_V="(All)",F_Custom2_V="",ISBLANK(F_Custom2_V)),1,IFERROR(IF(ISNUMBER(SEARCH("|"&amp;INDEX(INDIRECT(F_Custom2_resolved_column),325)&amp;"|",F_Custom2_wrapped)),1,0),0))</f>
        <v>1</v>
      </c>
      <c r="F326">
        <f>D326*E326*1</f>
        <v>1</v>
      </c>
      <c r="G326">
        <f>1</f>
        <v>1</v>
      </c>
      <c r="H3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325)&amp;"|",All_Questions_Q_STREAM_F_wrapped)),1,0),0))*1</f>
        <v>1</v>
      </c>
    </row>
    <row r="327">
      <c r="A327" t="n">
        <v>326</v>
      </c>
      <c r="B327" t="inlineStr">
        <is>
          <t>B</t>
        </is>
      </c>
      <c r="C327">
        <f>1</f>
        <v>1</v>
      </c>
      <c r="D327">
        <f>IF(OR(F_Custom1_Q="(None)",F_Custom1_Q="",ISBLANK(F_Custom1_Q),F_Custom1_V="(All)",F_Custom1_V="",ISBLANK(F_Custom1_V)),1,IFERROR(IF(ISNUMBER(SEARCH("|"&amp;INDEX(INDIRECT(F_Custom1_resolved_column),326)&amp;"|",F_Custom1_wrapped)),1,0),0))</f>
        <v>1</v>
      </c>
      <c r="E327">
        <f>IF(OR(F_Custom2_Q="(None)",F_Custom2_Q="",ISBLANK(F_Custom2_Q),F_Custom2_V="(All)",F_Custom2_V="",ISBLANK(F_Custom2_V)),1,IFERROR(IF(ISNUMBER(SEARCH("|"&amp;INDEX(INDIRECT(F_Custom2_resolved_column),326)&amp;"|",F_Custom2_wrapped)),1,0),0))</f>
        <v>1</v>
      </c>
      <c r="F327">
        <f>D327*E327*1</f>
        <v>1</v>
      </c>
      <c r="G327">
        <f>1</f>
        <v>1</v>
      </c>
      <c r="H3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326)&amp;"|",All_Questions_Q_STREAM_F_wrapped)),1,0),0))*1</f>
        <v>1</v>
      </c>
    </row>
    <row r="328">
      <c r="A328" t="n">
        <v>327</v>
      </c>
      <c r="B328" t="inlineStr">
        <is>
          <t>A</t>
        </is>
      </c>
      <c r="C328">
        <f>1</f>
        <v>1</v>
      </c>
      <c r="D328">
        <f>IF(OR(F_Custom1_Q="(None)",F_Custom1_Q="",ISBLANK(F_Custom1_Q),F_Custom1_V="(All)",F_Custom1_V="",ISBLANK(F_Custom1_V)),1,IFERROR(IF(ISNUMBER(SEARCH("|"&amp;INDEX(INDIRECT(F_Custom1_resolved_column),327)&amp;"|",F_Custom1_wrapped)),1,0),0))</f>
        <v>1</v>
      </c>
      <c r="E328">
        <f>IF(OR(F_Custom2_Q="(None)",F_Custom2_Q="",ISBLANK(F_Custom2_Q),F_Custom2_V="(All)",F_Custom2_V="",ISBLANK(F_Custom2_V)),1,IFERROR(IF(ISNUMBER(SEARCH("|"&amp;INDEX(INDIRECT(F_Custom2_resolved_column),327)&amp;"|",F_Custom2_wrapped)),1,0),0))</f>
        <v>1</v>
      </c>
      <c r="F328">
        <f>D328*E328*1</f>
        <v>1</v>
      </c>
      <c r="G328">
        <f>1</f>
        <v>1</v>
      </c>
      <c r="H3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327)&amp;"|",All_Questions_Q_STREAM_F_wrapped)),1,0),0))*1</f>
        <v>1</v>
      </c>
    </row>
    <row r="329">
      <c r="A329" t="n">
        <v>328</v>
      </c>
      <c r="B329" t="inlineStr">
        <is>
          <t>B</t>
        </is>
      </c>
      <c r="C329">
        <f>1</f>
        <v>1</v>
      </c>
      <c r="D329">
        <f>IF(OR(F_Custom1_Q="(None)",F_Custom1_Q="",ISBLANK(F_Custom1_Q),F_Custom1_V="(All)",F_Custom1_V="",ISBLANK(F_Custom1_V)),1,IFERROR(IF(ISNUMBER(SEARCH("|"&amp;INDEX(INDIRECT(F_Custom1_resolved_column),328)&amp;"|",F_Custom1_wrapped)),1,0),0))</f>
        <v>1</v>
      </c>
      <c r="E329">
        <f>IF(OR(F_Custom2_Q="(None)",F_Custom2_Q="",ISBLANK(F_Custom2_Q),F_Custom2_V="(All)",F_Custom2_V="",ISBLANK(F_Custom2_V)),1,IFERROR(IF(ISNUMBER(SEARCH("|"&amp;INDEX(INDIRECT(F_Custom2_resolved_column),328)&amp;"|",F_Custom2_wrapped)),1,0),0))</f>
        <v>1</v>
      </c>
      <c r="F329">
        <f>D329*E329*1</f>
        <v>1</v>
      </c>
      <c r="G329">
        <f>1</f>
        <v>1</v>
      </c>
      <c r="H3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328)&amp;"|",All_Questions_Q_STREAM_F_wrapped)),1,0),0))*1</f>
        <v>1</v>
      </c>
    </row>
    <row r="330">
      <c r="A330" t="n">
        <v>329</v>
      </c>
      <c r="B330" t="inlineStr">
        <is>
          <t>A</t>
        </is>
      </c>
      <c r="C330">
        <f>1</f>
        <v>1</v>
      </c>
      <c r="D330">
        <f>IF(OR(F_Custom1_Q="(None)",F_Custom1_Q="",ISBLANK(F_Custom1_Q),F_Custom1_V="(All)",F_Custom1_V="",ISBLANK(F_Custom1_V)),1,IFERROR(IF(ISNUMBER(SEARCH("|"&amp;INDEX(INDIRECT(F_Custom1_resolved_column),329)&amp;"|",F_Custom1_wrapped)),1,0),0))</f>
        <v>1</v>
      </c>
      <c r="E330">
        <f>IF(OR(F_Custom2_Q="(None)",F_Custom2_Q="",ISBLANK(F_Custom2_Q),F_Custom2_V="(All)",F_Custom2_V="",ISBLANK(F_Custom2_V)),1,IFERROR(IF(ISNUMBER(SEARCH("|"&amp;INDEX(INDIRECT(F_Custom2_resolved_column),329)&amp;"|",F_Custom2_wrapped)),1,0),0))</f>
        <v>1</v>
      </c>
      <c r="F330">
        <f>D330*E330*1</f>
        <v>1</v>
      </c>
      <c r="G330">
        <f>1</f>
        <v>1</v>
      </c>
      <c r="H3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329)&amp;"|",All_Questions_Q_STREAM_F_wrapped)),1,0),0))*1</f>
        <v>1</v>
      </c>
    </row>
    <row r="331">
      <c r="A331" t="n">
        <v>330</v>
      </c>
      <c r="B331" t="inlineStr">
        <is>
          <t>B</t>
        </is>
      </c>
      <c r="C331">
        <f>1</f>
        <v>1</v>
      </c>
      <c r="D331">
        <f>IF(OR(F_Custom1_Q="(None)",F_Custom1_Q="",ISBLANK(F_Custom1_Q),F_Custom1_V="(All)",F_Custom1_V="",ISBLANK(F_Custom1_V)),1,IFERROR(IF(ISNUMBER(SEARCH("|"&amp;INDEX(INDIRECT(F_Custom1_resolved_column),330)&amp;"|",F_Custom1_wrapped)),1,0),0))</f>
        <v>1</v>
      </c>
      <c r="E331">
        <f>IF(OR(F_Custom2_Q="(None)",F_Custom2_Q="",ISBLANK(F_Custom2_Q),F_Custom2_V="(All)",F_Custom2_V="",ISBLANK(F_Custom2_V)),1,IFERROR(IF(ISNUMBER(SEARCH("|"&amp;INDEX(INDIRECT(F_Custom2_resolved_column),330)&amp;"|",F_Custom2_wrapped)),1,0),0))</f>
        <v>1</v>
      </c>
      <c r="F331">
        <f>D331*E331*1</f>
        <v>1</v>
      </c>
      <c r="G331">
        <f>1</f>
        <v>1</v>
      </c>
      <c r="H3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330)&amp;"|",All_Questions_Q_STREAM_F_wrapped)),1,0),0))*1</f>
        <v>1</v>
      </c>
    </row>
    <row r="332">
      <c r="A332" t="n">
        <v>331</v>
      </c>
      <c r="B332" t="inlineStr">
        <is>
          <t>A</t>
        </is>
      </c>
      <c r="C332">
        <f>1</f>
        <v>1</v>
      </c>
      <c r="D332">
        <f>IF(OR(F_Custom1_Q="(None)",F_Custom1_Q="",ISBLANK(F_Custom1_Q),F_Custom1_V="(All)",F_Custom1_V="",ISBLANK(F_Custom1_V)),1,IFERROR(IF(ISNUMBER(SEARCH("|"&amp;INDEX(INDIRECT(F_Custom1_resolved_column),331)&amp;"|",F_Custom1_wrapped)),1,0),0))</f>
        <v>1</v>
      </c>
      <c r="E332">
        <f>IF(OR(F_Custom2_Q="(None)",F_Custom2_Q="",ISBLANK(F_Custom2_Q),F_Custom2_V="(All)",F_Custom2_V="",ISBLANK(F_Custom2_V)),1,IFERROR(IF(ISNUMBER(SEARCH("|"&amp;INDEX(INDIRECT(F_Custom2_resolved_column),331)&amp;"|",F_Custom2_wrapped)),1,0),0))</f>
        <v>1</v>
      </c>
      <c r="F332">
        <f>D332*E332*1</f>
        <v>1</v>
      </c>
      <c r="G332">
        <f>1</f>
        <v>1</v>
      </c>
      <c r="H3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331)&amp;"|",All_Questions_Q_STREAM_F_wrapped)),1,0),0))*1</f>
        <v>1</v>
      </c>
    </row>
    <row r="333">
      <c r="A333" t="n">
        <v>332</v>
      </c>
      <c r="B333" t="inlineStr">
        <is>
          <t>B</t>
        </is>
      </c>
      <c r="C333">
        <f>1</f>
        <v>1</v>
      </c>
      <c r="D333">
        <f>IF(OR(F_Custom1_Q="(None)",F_Custom1_Q="",ISBLANK(F_Custom1_Q),F_Custom1_V="(All)",F_Custom1_V="",ISBLANK(F_Custom1_V)),1,IFERROR(IF(ISNUMBER(SEARCH("|"&amp;INDEX(INDIRECT(F_Custom1_resolved_column),332)&amp;"|",F_Custom1_wrapped)),1,0),0))</f>
        <v>1</v>
      </c>
      <c r="E333">
        <f>IF(OR(F_Custom2_Q="(None)",F_Custom2_Q="",ISBLANK(F_Custom2_Q),F_Custom2_V="(All)",F_Custom2_V="",ISBLANK(F_Custom2_V)),1,IFERROR(IF(ISNUMBER(SEARCH("|"&amp;INDEX(INDIRECT(F_Custom2_resolved_column),332)&amp;"|",F_Custom2_wrapped)),1,0),0))</f>
        <v>1</v>
      </c>
      <c r="F333">
        <f>D333*E333*1</f>
        <v>1</v>
      </c>
      <c r="G333">
        <f>1</f>
        <v>1</v>
      </c>
      <c r="H3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332)&amp;"|",All_Questions_Q_STREAM_F_wrapped)),1,0),0))*1</f>
        <v>1</v>
      </c>
    </row>
    <row r="334">
      <c r="A334" t="n">
        <v>333</v>
      </c>
      <c r="B334" t="inlineStr">
        <is>
          <t>A</t>
        </is>
      </c>
      <c r="C334">
        <f>1</f>
        <v>1</v>
      </c>
      <c r="D334">
        <f>IF(OR(F_Custom1_Q="(None)",F_Custom1_Q="",ISBLANK(F_Custom1_Q),F_Custom1_V="(All)",F_Custom1_V="",ISBLANK(F_Custom1_V)),1,IFERROR(IF(ISNUMBER(SEARCH("|"&amp;INDEX(INDIRECT(F_Custom1_resolved_column),333)&amp;"|",F_Custom1_wrapped)),1,0),0))</f>
        <v>1</v>
      </c>
      <c r="E334">
        <f>IF(OR(F_Custom2_Q="(None)",F_Custom2_Q="",ISBLANK(F_Custom2_Q),F_Custom2_V="(All)",F_Custom2_V="",ISBLANK(F_Custom2_V)),1,IFERROR(IF(ISNUMBER(SEARCH("|"&amp;INDEX(INDIRECT(F_Custom2_resolved_column),333)&amp;"|",F_Custom2_wrapped)),1,0),0))</f>
        <v>1</v>
      </c>
      <c r="F334">
        <f>D334*E334*1</f>
        <v>1</v>
      </c>
      <c r="G334">
        <f>1</f>
        <v>1</v>
      </c>
      <c r="H3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333)&amp;"|",All_Questions_Q_STREAM_F_wrapped)),1,0),0))*1</f>
        <v>1</v>
      </c>
    </row>
    <row r="335">
      <c r="A335" t="n">
        <v>334</v>
      </c>
      <c r="B335" t="inlineStr">
        <is>
          <t>B</t>
        </is>
      </c>
      <c r="C335">
        <f>1</f>
        <v>1</v>
      </c>
      <c r="D335">
        <f>IF(OR(F_Custom1_Q="(None)",F_Custom1_Q="",ISBLANK(F_Custom1_Q),F_Custom1_V="(All)",F_Custom1_V="",ISBLANK(F_Custom1_V)),1,IFERROR(IF(ISNUMBER(SEARCH("|"&amp;INDEX(INDIRECT(F_Custom1_resolved_column),334)&amp;"|",F_Custom1_wrapped)),1,0),0))</f>
        <v>1</v>
      </c>
      <c r="E335">
        <f>IF(OR(F_Custom2_Q="(None)",F_Custom2_Q="",ISBLANK(F_Custom2_Q),F_Custom2_V="(All)",F_Custom2_V="",ISBLANK(F_Custom2_V)),1,IFERROR(IF(ISNUMBER(SEARCH("|"&amp;INDEX(INDIRECT(F_Custom2_resolved_column),334)&amp;"|",F_Custom2_wrapped)),1,0),0))</f>
        <v>1</v>
      </c>
      <c r="F335">
        <f>D335*E335*1</f>
        <v>1</v>
      </c>
      <c r="G335">
        <f>1</f>
        <v>1</v>
      </c>
      <c r="H3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334)&amp;"|",All_Questions_Q_STREAM_F_wrapped)),1,0),0))*1</f>
        <v>1</v>
      </c>
    </row>
    <row r="336">
      <c r="A336" t="n">
        <v>335</v>
      </c>
      <c r="B336" t="inlineStr">
        <is>
          <t>A</t>
        </is>
      </c>
      <c r="C336">
        <f>1</f>
        <v>1</v>
      </c>
      <c r="D336">
        <f>IF(OR(F_Custom1_Q="(None)",F_Custom1_Q="",ISBLANK(F_Custom1_Q),F_Custom1_V="(All)",F_Custom1_V="",ISBLANK(F_Custom1_V)),1,IFERROR(IF(ISNUMBER(SEARCH("|"&amp;INDEX(INDIRECT(F_Custom1_resolved_column),335)&amp;"|",F_Custom1_wrapped)),1,0),0))</f>
        <v>1</v>
      </c>
      <c r="E336">
        <f>IF(OR(F_Custom2_Q="(None)",F_Custom2_Q="",ISBLANK(F_Custom2_Q),F_Custom2_V="(All)",F_Custom2_V="",ISBLANK(F_Custom2_V)),1,IFERROR(IF(ISNUMBER(SEARCH("|"&amp;INDEX(INDIRECT(F_Custom2_resolved_column),335)&amp;"|",F_Custom2_wrapped)),1,0),0))</f>
        <v>1</v>
      </c>
      <c r="F336">
        <f>D336*E336*1</f>
        <v>1</v>
      </c>
      <c r="G336">
        <f>1</f>
        <v>1</v>
      </c>
      <c r="H3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335)&amp;"|",All_Questions_Q_STREAM_F_wrapped)),1,0),0))*1</f>
        <v>1</v>
      </c>
    </row>
    <row r="337">
      <c r="A337" t="n">
        <v>336</v>
      </c>
      <c r="B337" t="inlineStr">
        <is>
          <t>B</t>
        </is>
      </c>
      <c r="C337">
        <f>1</f>
        <v>1</v>
      </c>
      <c r="D337">
        <f>IF(OR(F_Custom1_Q="(None)",F_Custom1_Q="",ISBLANK(F_Custom1_Q),F_Custom1_V="(All)",F_Custom1_V="",ISBLANK(F_Custom1_V)),1,IFERROR(IF(ISNUMBER(SEARCH("|"&amp;INDEX(INDIRECT(F_Custom1_resolved_column),336)&amp;"|",F_Custom1_wrapped)),1,0),0))</f>
        <v>1</v>
      </c>
      <c r="E337">
        <f>IF(OR(F_Custom2_Q="(None)",F_Custom2_Q="",ISBLANK(F_Custom2_Q),F_Custom2_V="(All)",F_Custom2_V="",ISBLANK(F_Custom2_V)),1,IFERROR(IF(ISNUMBER(SEARCH("|"&amp;INDEX(INDIRECT(F_Custom2_resolved_column),336)&amp;"|",F_Custom2_wrapped)),1,0),0))</f>
        <v>1</v>
      </c>
      <c r="F337">
        <f>D337*E337*1</f>
        <v>1</v>
      </c>
      <c r="G337">
        <f>1</f>
        <v>1</v>
      </c>
      <c r="H3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336)&amp;"|",All_Questions_Q_STREAM_F_wrapped)),1,0),0))*1</f>
        <v>1</v>
      </c>
    </row>
    <row r="338">
      <c r="A338" t="n">
        <v>337</v>
      </c>
      <c r="B338" t="inlineStr">
        <is>
          <t>A</t>
        </is>
      </c>
      <c r="C338">
        <f>1</f>
        <v>1</v>
      </c>
      <c r="D338">
        <f>IF(OR(F_Custom1_Q="(None)",F_Custom1_Q="",ISBLANK(F_Custom1_Q),F_Custom1_V="(All)",F_Custom1_V="",ISBLANK(F_Custom1_V)),1,IFERROR(IF(ISNUMBER(SEARCH("|"&amp;INDEX(INDIRECT(F_Custom1_resolved_column),337)&amp;"|",F_Custom1_wrapped)),1,0),0))</f>
        <v>1</v>
      </c>
      <c r="E338">
        <f>IF(OR(F_Custom2_Q="(None)",F_Custom2_Q="",ISBLANK(F_Custom2_Q),F_Custom2_V="(All)",F_Custom2_V="",ISBLANK(F_Custom2_V)),1,IFERROR(IF(ISNUMBER(SEARCH("|"&amp;INDEX(INDIRECT(F_Custom2_resolved_column),337)&amp;"|",F_Custom2_wrapped)),1,0),0))</f>
        <v>1</v>
      </c>
      <c r="F338">
        <f>D338*E338*1</f>
        <v>1</v>
      </c>
      <c r="G338">
        <f>1</f>
        <v>1</v>
      </c>
      <c r="H3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337)&amp;"|",All_Questions_Q_STREAM_F_wrapped)),1,0),0))*1</f>
        <v>1</v>
      </c>
    </row>
    <row r="339">
      <c r="A339" t="n">
        <v>338</v>
      </c>
      <c r="B339" t="inlineStr">
        <is>
          <t>B</t>
        </is>
      </c>
      <c r="C339">
        <f>1</f>
        <v>1</v>
      </c>
      <c r="D339">
        <f>IF(OR(F_Custom1_Q="(None)",F_Custom1_Q="",ISBLANK(F_Custom1_Q),F_Custom1_V="(All)",F_Custom1_V="",ISBLANK(F_Custom1_V)),1,IFERROR(IF(ISNUMBER(SEARCH("|"&amp;INDEX(INDIRECT(F_Custom1_resolved_column),338)&amp;"|",F_Custom1_wrapped)),1,0),0))</f>
        <v>1</v>
      </c>
      <c r="E339">
        <f>IF(OR(F_Custom2_Q="(None)",F_Custom2_Q="",ISBLANK(F_Custom2_Q),F_Custom2_V="(All)",F_Custom2_V="",ISBLANK(F_Custom2_V)),1,IFERROR(IF(ISNUMBER(SEARCH("|"&amp;INDEX(INDIRECT(F_Custom2_resolved_column),338)&amp;"|",F_Custom2_wrapped)),1,0),0))</f>
        <v>1</v>
      </c>
      <c r="F339">
        <f>D339*E339*1</f>
        <v>1</v>
      </c>
      <c r="G339">
        <f>1</f>
        <v>1</v>
      </c>
      <c r="H3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338)&amp;"|",All_Questions_Q_STREAM_F_wrapped)),1,0),0))*1</f>
        <v>1</v>
      </c>
    </row>
    <row r="340">
      <c r="A340" t="n">
        <v>339</v>
      </c>
      <c r="B340" t="inlineStr">
        <is>
          <t>A</t>
        </is>
      </c>
      <c r="C340">
        <f>1</f>
        <v>1</v>
      </c>
      <c r="D340">
        <f>IF(OR(F_Custom1_Q="(None)",F_Custom1_Q="",ISBLANK(F_Custom1_Q),F_Custom1_V="(All)",F_Custom1_V="",ISBLANK(F_Custom1_V)),1,IFERROR(IF(ISNUMBER(SEARCH("|"&amp;INDEX(INDIRECT(F_Custom1_resolved_column),339)&amp;"|",F_Custom1_wrapped)),1,0),0))</f>
        <v>1</v>
      </c>
      <c r="E340">
        <f>IF(OR(F_Custom2_Q="(None)",F_Custom2_Q="",ISBLANK(F_Custom2_Q),F_Custom2_V="(All)",F_Custom2_V="",ISBLANK(F_Custom2_V)),1,IFERROR(IF(ISNUMBER(SEARCH("|"&amp;INDEX(INDIRECT(F_Custom2_resolved_column),339)&amp;"|",F_Custom2_wrapped)),1,0),0))</f>
        <v>1</v>
      </c>
      <c r="F340">
        <f>D340*E340*1</f>
        <v>1</v>
      </c>
      <c r="G340">
        <f>1</f>
        <v>1</v>
      </c>
      <c r="H3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339)&amp;"|",All_Questions_Q_STREAM_F_wrapped)),1,0),0))*1</f>
        <v>1</v>
      </c>
    </row>
    <row r="341">
      <c r="A341" t="n">
        <v>340</v>
      </c>
      <c r="B341" t="inlineStr">
        <is>
          <t>B</t>
        </is>
      </c>
      <c r="C341">
        <f>1</f>
        <v>1</v>
      </c>
      <c r="D341">
        <f>IF(OR(F_Custom1_Q="(None)",F_Custom1_Q="",ISBLANK(F_Custom1_Q),F_Custom1_V="(All)",F_Custom1_V="",ISBLANK(F_Custom1_V)),1,IFERROR(IF(ISNUMBER(SEARCH("|"&amp;INDEX(INDIRECT(F_Custom1_resolved_column),340)&amp;"|",F_Custom1_wrapped)),1,0),0))</f>
        <v>1</v>
      </c>
      <c r="E341">
        <f>IF(OR(F_Custom2_Q="(None)",F_Custom2_Q="",ISBLANK(F_Custom2_Q),F_Custom2_V="(All)",F_Custom2_V="",ISBLANK(F_Custom2_V)),1,IFERROR(IF(ISNUMBER(SEARCH("|"&amp;INDEX(INDIRECT(F_Custom2_resolved_column),340)&amp;"|",F_Custom2_wrapped)),1,0),0))</f>
        <v>1</v>
      </c>
      <c r="F341">
        <f>D341*E341*1</f>
        <v>1</v>
      </c>
      <c r="G341">
        <f>1</f>
        <v>1</v>
      </c>
      <c r="H3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340)&amp;"|",All_Questions_Q_STREAM_F_wrapped)),1,0),0))*1</f>
        <v>1</v>
      </c>
    </row>
    <row r="342">
      <c r="A342" t="n">
        <v>341</v>
      </c>
      <c r="B342" t="inlineStr">
        <is>
          <t>A</t>
        </is>
      </c>
      <c r="C342">
        <f>1</f>
        <v>1</v>
      </c>
      <c r="D342">
        <f>IF(OR(F_Custom1_Q="(None)",F_Custom1_Q="",ISBLANK(F_Custom1_Q),F_Custom1_V="(All)",F_Custom1_V="",ISBLANK(F_Custom1_V)),1,IFERROR(IF(ISNUMBER(SEARCH("|"&amp;INDEX(INDIRECT(F_Custom1_resolved_column),341)&amp;"|",F_Custom1_wrapped)),1,0),0))</f>
        <v>1</v>
      </c>
      <c r="E342">
        <f>IF(OR(F_Custom2_Q="(None)",F_Custom2_Q="",ISBLANK(F_Custom2_Q),F_Custom2_V="(All)",F_Custom2_V="",ISBLANK(F_Custom2_V)),1,IFERROR(IF(ISNUMBER(SEARCH("|"&amp;INDEX(INDIRECT(F_Custom2_resolved_column),341)&amp;"|",F_Custom2_wrapped)),1,0),0))</f>
        <v>1</v>
      </c>
      <c r="F342">
        <f>D342*E342*1</f>
        <v>1</v>
      </c>
      <c r="G342">
        <f>1</f>
        <v>1</v>
      </c>
      <c r="H3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341)&amp;"|",All_Questions_Q_STREAM_F_wrapped)),1,0),0))*1</f>
        <v>1</v>
      </c>
    </row>
    <row r="343">
      <c r="A343" t="n">
        <v>342</v>
      </c>
      <c r="B343" t="inlineStr">
        <is>
          <t>B</t>
        </is>
      </c>
      <c r="C343">
        <f>1</f>
        <v>1</v>
      </c>
      <c r="D343">
        <f>IF(OR(F_Custom1_Q="(None)",F_Custom1_Q="",ISBLANK(F_Custom1_Q),F_Custom1_V="(All)",F_Custom1_V="",ISBLANK(F_Custom1_V)),1,IFERROR(IF(ISNUMBER(SEARCH("|"&amp;INDEX(INDIRECT(F_Custom1_resolved_column),342)&amp;"|",F_Custom1_wrapped)),1,0),0))</f>
        <v>1</v>
      </c>
      <c r="E343">
        <f>IF(OR(F_Custom2_Q="(None)",F_Custom2_Q="",ISBLANK(F_Custom2_Q),F_Custom2_V="(All)",F_Custom2_V="",ISBLANK(F_Custom2_V)),1,IFERROR(IF(ISNUMBER(SEARCH("|"&amp;INDEX(INDIRECT(F_Custom2_resolved_column),342)&amp;"|",F_Custom2_wrapped)),1,0),0))</f>
        <v>1</v>
      </c>
      <c r="F343">
        <f>D343*E343*1</f>
        <v>1</v>
      </c>
      <c r="G343">
        <f>1</f>
        <v>1</v>
      </c>
      <c r="H3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342)&amp;"|",All_Questions_Q_STREAM_F_wrapped)),1,0),0))*1</f>
        <v>1</v>
      </c>
    </row>
    <row r="344">
      <c r="A344" t="n">
        <v>343</v>
      </c>
      <c r="B344" t="inlineStr">
        <is>
          <t>A</t>
        </is>
      </c>
      <c r="C344">
        <f>1</f>
        <v>1</v>
      </c>
      <c r="D344">
        <f>IF(OR(F_Custom1_Q="(None)",F_Custom1_Q="",ISBLANK(F_Custom1_Q),F_Custom1_V="(All)",F_Custom1_V="",ISBLANK(F_Custom1_V)),1,IFERROR(IF(ISNUMBER(SEARCH("|"&amp;INDEX(INDIRECT(F_Custom1_resolved_column),343)&amp;"|",F_Custom1_wrapped)),1,0),0))</f>
        <v>1</v>
      </c>
      <c r="E344">
        <f>IF(OR(F_Custom2_Q="(None)",F_Custom2_Q="",ISBLANK(F_Custom2_Q),F_Custom2_V="(All)",F_Custom2_V="",ISBLANK(F_Custom2_V)),1,IFERROR(IF(ISNUMBER(SEARCH("|"&amp;INDEX(INDIRECT(F_Custom2_resolved_column),343)&amp;"|",F_Custom2_wrapped)),1,0),0))</f>
        <v>1</v>
      </c>
      <c r="F344">
        <f>D344*E344*1</f>
        <v>1</v>
      </c>
      <c r="G344">
        <f>1</f>
        <v>1</v>
      </c>
      <c r="H3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343)&amp;"|",All_Questions_Q_STREAM_F_wrapped)),1,0),0))*1</f>
        <v>1</v>
      </c>
    </row>
    <row r="345">
      <c r="A345" t="n">
        <v>344</v>
      </c>
      <c r="B345" t="inlineStr">
        <is>
          <t>B</t>
        </is>
      </c>
      <c r="C345">
        <f>1</f>
        <v>1</v>
      </c>
      <c r="D345">
        <f>IF(OR(F_Custom1_Q="(None)",F_Custom1_Q="",ISBLANK(F_Custom1_Q),F_Custom1_V="(All)",F_Custom1_V="",ISBLANK(F_Custom1_V)),1,IFERROR(IF(ISNUMBER(SEARCH("|"&amp;INDEX(INDIRECT(F_Custom1_resolved_column),344)&amp;"|",F_Custom1_wrapped)),1,0),0))</f>
        <v>1</v>
      </c>
      <c r="E345">
        <f>IF(OR(F_Custom2_Q="(None)",F_Custom2_Q="",ISBLANK(F_Custom2_Q),F_Custom2_V="(All)",F_Custom2_V="",ISBLANK(F_Custom2_V)),1,IFERROR(IF(ISNUMBER(SEARCH("|"&amp;INDEX(INDIRECT(F_Custom2_resolved_column),344)&amp;"|",F_Custom2_wrapped)),1,0),0))</f>
        <v>1</v>
      </c>
      <c r="F345">
        <f>D345*E345*1</f>
        <v>1</v>
      </c>
      <c r="G345">
        <f>1</f>
        <v>1</v>
      </c>
      <c r="H3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344)&amp;"|",All_Questions_Q_STREAM_F_wrapped)),1,0),0))*1</f>
        <v>1</v>
      </c>
    </row>
    <row r="346">
      <c r="A346" t="n">
        <v>345</v>
      </c>
      <c r="B346" t="inlineStr">
        <is>
          <t>A</t>
        </is>
      </c>
      <c r="C346">
        <f>1</f>
        <v>1</v>
      </c>
      <c r="D346">
        <f>IF(OR(F_Custom1_Q="(None)",F_Custom1_Q="",ISBLANK(F_Custom1_Q),F_Custom1_V="(All)",F_Custom1_V="",ISBLANK(F_Custom1_V)),1,IFERROR(IF(ISNUMBER(SEARCH("|"&amp;INDEX(INDIRECT(F_Custom1_resolved_column),345)&amp;"|",F_Custom1_wrapped)),1,0),0))</f>
        <v>1</v>
      </c>
      <c r="E346">
        <f>IF(OR(F_Custom2_Q="(None)",F_Custom2_Q="",ISBLANK(F_Custom2_Q),F_Custom2_V="(All)",F_Custom2_V="",ISBLANK(F_Custom2_V)),1,IFERROR(IF(ISNUMBER(SEARCH("|"&amp;INDEX(INDIRECT(F_Custom2_resolved_column),345)&amp;"|",F_Custom2_wrapped)),1,0),0))</f>
        <v>1</v>
      </c>
      <c r="F346">
        <f>D346*E346*1</f>
        <v>1</v>
      </c>
      <c r="G346">
        <f>1</f>
        <v>1</v>
      </c>
      <c r="H3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345)&amp;"|",All_Questions_Q_STREAM_F_wrapped)),1,0),0))*1</f>
        <v>1</v>
      </c>
    </row>
    <row r="347">
      <c r="A347" t="n">
        <v>346</v>
      </c>
      <c r="B347" t="inlineStr">
        <is>
          <t>B</t>
        </is>
      </c>
      <c r="C347">
        <f>1</f>
        <v>1</v>
      </c>
      <c r="D347">
        <f>IF(OR(F_Custom1_Q="(None)",F_Custom1_Q="",ISBLANK(F_Custom1_Q),F_Custom1_V="(All)",F_Custom1_V="",ISBLANK(F_Custom1_V)),1,IFERROR(IF(ISNUMBER(SEARCH("|"&amp;INDEX(INDIRECT(F_Custom1_resolved_column),346)&amp;"|",F_Custom1_wrapped)),1,0),0))</f>
        <v>1</v>
      </c>
      <c r="E347">
        <f>IF(OR(F_Custom2_Q="(None)",F_Custom2_Q="",ISBLANK(F_Custom2_Q),F_Custom2_V="(All)",F_Custom2_V="",ISBLANK(F_Custom2_V)),1,IFERROR(IF(ISNUMBER(SEARCH("|"&amp;INDEX(INDIRECT(F_Custom2_resolved_column),346)&amp;"|",F_Custom2_wrapped)),1,0),0))</f>
        <v>1</v>
      </c>
      <c r="F347">
        <f>D347*E347*1</f>
        <v>1</v>
      </c>
      <c r="G347">
        <f>1</f>
        <v>1</v>
      </c>
      <c r="H3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346)&amp;"|",All_Questions_Q_STREAM_F_wrapped)),1,0),0))*1</f>
        <v>1</v>
      </c>
    </row>
    <row r="348">
      <c r="A348" t="n">
        <v>347</v>
      </c>
      <c r="B348" t="inlineStr">
        <is>
          <t>A</t>
        </is>
      </c>
      <c r="C348">
        <f>1</f>
        <v>1</v>
      </c>
      <c r="D348">
        <f>IF(OR(F_Custom1_Q="(None)",F_Custom1_Q="",ISBLANK(F_Custom1_Q),F_Custom1_V="(All)",F_Custom1_V="",ISBLANK(F_Custom1_V)),1,IFERROR(IF(ISNUMBER(SEARCH("|"&amp;INDEX(INDIRECT(F_Custom1_resolved_column),347)&amp;"|",F_Custom1_wrapped)),1,0),0))</f>
        <v>1</v>
      </c>
      <c r="E348">
        <f>IF(OR(F_Custom2_Q="(None)",F_Custom2_Q="",ISBLANK(F_Custom2_Q),F_Custom2_V="(All)",F_Custom2_V="",ISBLANK(F_Custom2_V)),1,IFERROR(IF(ISNUMBER(SEARCH("|"&amp;INDEX(INDIRECT(F_Custom2_resolved_column),347)&amp;"|",F_Custom2_wrapped)),1,0),0))</f>
        <v>1</v>
      </c>
      <c r="F348">
        <f>D348*E348*1</f>
        <v>1</v>
      </c>
      <c r="G348">
        <f>1</f>
        <v>1</v>
      </c>
      <c r="H3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347)&amp;"|",All_Questions_Q_STREAM_F_wrapped)),1,0),0))*1</f>
        <v>1</v>
      </c>
    </row>
    <row r="349">
      <c r="A349" t="n">
        <v>348</v>
      </c>
      <c r="B349" t="inlineStr">
        <is>
          <t>B</t>
        </is>
      </c>
      <c r="C349">
        <f>1</f>
        <v>1</v>
      </c>
      <c r="D349">
        <f>IF(OR(F_Custom1_Q="(None)",F_Custom1_Q="",ISBLANK(F_Custom1_Q),F_Custom1_V="(All)",F_Custom1_V="",ISBLANK(F_Custom1_V)),1,IFERROR(IF(ISNUMBER(SEARCH("|"&amp;INDEX(INDIRECT(F_Custom1_resolved_column),348)&amp;"|",F_Custom1_wrapped)),1,0),0))</f>
        <v>1</v>
      </c>
      <c r="E349">
        <f>IF(OR(F_Custom2_Q="(None)",F_Custom2_Q="",ISBLANK(F_Custom2_Q),F_Custom2_V="(All)",F_Custom2_V="",ISBLANK(F_Custom2_V)),1,IFERROR(IF(ISNUMBER(SEARCH("|"&amp;INDEX(INDIRECT(F_Custom2_resolved_column),348)&amp;"|",F_Custom2_wrapped)),1,0),0))</f>
        <v>1</v>
      </c>
      <c r="F349">
        <f>D349*E349*1</f>
        <v>1</v>
      </c>
      <c r="G349">
        <f>1</f>
        <v>1</v>
      </c>
      <c r="H3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348)&amp;"|",All_Questions_Q_STREAM_F_wrapped)),1,0),0))*1</f>
        <v>1</v>
      </c>
    </row>
    <row r="350">
      <c r="A350" t="n">
        <v>349</v>
      </c>
      <c r="B350" t="inlineStr">
        <is>
          <t>A</t>
        </is>
      </c>
      <c r="C350">
        <f>1</f>
        <v>1</v>
      </c>
      <c r="D350">
        <f>IF(OR(F_Custom1_Q="(None)",F_Custom1_Q="",ISBLANK(F_Custom1_Q),F_Custom1_V="(All)",F_Custom1_V="",ISBLANK(F_Custom1_V)),1,IFERROR(IF(ISNUMBER(SEARCH("|"&amp;INDEX(INDIRECT(F_Custom1_resolved_column),349)&amp;"|",F_Custom1_wrapped)),1,0),0))</f>
        <v>1</v>
      </c>
      <c r="E350">
        <f>IF(OR(F_Custom2_Q="(None)",F_Custom2_Q="",ISBLANK(F_Custom2_Q),F_Custom2_V="(All)",F_Custom2_V="",ISBLANK(F_Custom2_V)),1,IFERROR(IF(ISNUMBER(SEARCH("|"&amp;INDEX(INDIRECT(F_Custom2_resolved_column),349)&amp;"|",F_Custom2_wrapped)),1,0),0))</f>
        <v>1</v>
      </c>
      <c r="F350">
        <f>D350*E350*1</f>
        <v>1</v>
      </c>
      <c r="G350">
        <f>1</f>
        <v>1</v>
      </c>
      <c r="H3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349)&amp;"|",All_Questions_Q_STREAM_F_wrapped)),1,0),0))*1</f>
        <v>1</v>
      </c>
    </row>
    <row r="351">
      <c r="A351" t="n">
        <v>350</v>
      </c>
      <c r="B351" t="inlineStr">
        <is>
          <t>B</t>
        </is>
      </c>
      <c r="C351">
        <f>1</f>
        <v>1</v>
      </c>
      <c r="D351">
        <f>IF(OR(F_Custom1_Q="(None)",F_Custom1_Q="",ISBLANK(F_Custom1_Q),F_Custom1_V="(All)",F_Custom1_V="",ISBLANK(F_Custom1_V)),1,IFERROR(IF(ISNUMBER(SEARCH("|"&amp;INDEX(INDIRECT(F_Custom1_resolved_column),350)&amp;"|",F_Custom1_wrapped)),1,0),0))</f>
        <v>1</v>
      </c>
      <c r="E351">
        <f>IF(OR(F_Custom2_Q="(None)",F_Custom2_Q="",ISBLANK(F_Custom2_Q),F_Custom2_V="(All)",F_Custom2_V="",ISBLANK(F_Custom2_V)),1,IFERROR(IF(ISNUMBER(SEARCH("|"&amp;INDEX(INDIRECT(F_Custom2_resolved_column),350)&amp;"|",F_Custom2_wrapped)),1,0),0))</f>
        <v>1</v>
      </c>
      <c r="F351">
        <f>D351*E351*1</f>
        <v>1</v>
      </c>
      <c r="G351">
        <f>1</f>
        <v>1</v>
      </c>
      <c r="H3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350)&amp;"|",All_Questions_Q_STREAM_F_wrapped)),1,0),0))*1</f>
        <v>1</v>
      </c>
    </row>
    <row r="352">
      <c r="A352" t="n">
        <v>351</v>
      </c>
      <c r="B352" t="inlineStr">
        <is>
          <t>A</t>
        </is>
      </c>
      <c r="C352">
        <f>1</f>
        <v>1</v>
      </c>
      <c r="D352">
        <f>IF(OR(F_Custom1_Q="(None)",F_Custom1_Q="",ISBLANK(F_Custom1_Q),F_Custom1_V="(All)",F_Custom1_V="",ISBLANK(F_Custom1_V)),1,IFERROR(IF(ISNUMBER(SEARCH("|"&amp;INDEX(INDIRECT(F_Custom1_resolved_column),351)&amp;"|",F_Custom1_wrapped)),1,0),0))</f>
        <v>1</v>
      </c>
      <c r="E352">
        <f>IF(OR(F_Custom2_Q="(None)",F_Custom2_Q="",ISBLANK(F_Custom2_Q),F_Custom2_V="(All)",F_Custom2_V="",ISBLANK(F_Custom2_V)),1,IFERROR(IF(ISNUMBER(SEARCH("|"&amp;INDEX(INDIRECT(F_Custom2_resolved_column),351)&amp;"|",F_Custom2_wrapped)),1,0),0))</f>
        <v>1</v>
      </c>
      <c r="F352">
        <f>D352*E352*1</f>
        <v>1</v>
      </c>
      <c r="G352">
        <f>1</f>
        <v>1</v>
      </c>
      <c r="H3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351)&amp;"|",All_Questions_Q_STREAM_F_wrapped)),1,0),0))*1</f>
        <v>1</v>
      </c>
    </row>
    <row r="353">
      <c r="A353" t="n">
        <v>352</v>
      </c>
      <c r="B353" t="inlineStr">
        <is>
          <t>B</t>
        </is>
      </c>
      <c r="C353">
        <f>1</f>
        <v>1</v>
      </c>
      <c r="D353">
        <f>IF(OR(F_Custom1_Q="(None)",F_Custom1_Q="",ISBLANK(F_Custom1_Q),F_Custom1_V="(All)",F_Custom1_V="",ISBLANK(F_Custom1_V)),1,IFERROR(IF(ISNUMBER(SEARCH("|"&amp;INDEX(INDIRECT(F_Custom1_resolved_column),352)&amp;"|",F_Custom1_wrapped)),1,0),0))</f>
        <v>1</v>
      </c>
      <c r="E353">
        <f>IF(OR(F_Custom2_Q="(None)",F_Custom2_Q="",ISBLANK(F_Custom2_Q),F_Custom2_V="(All)",F_Custom2_V="",ISBLANK(F_Custom2_V)),1,IFERROR(IF(ISNUMBER(SEARCH("|"&amp;INDEX(INDIRECT(F_Custom2_resolved_column),352)&amp;"|",F_Custom2_wrapped)),1,0),0))</f>
        <v>1</v>
      </c>
      <c r="F353">
        <f>D353*E353*1</f>
        <v>1</v>
      </c>
      <c r="G353">
        <f>1</f>
        <v>1</v>
      </c>
      <c r="H3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352)&amp;"|",All_Questions_Q_STREAM_F_wrapped)),1,0),0))*1</f>
        <v>1</v>
      </c>
    </row>
    <row r="354">
      <c r="A354" t="n">
        <v>353</v>
      </c>
      <c r="B354" t="inlineStr">
        <is>
          <t>A</t>
        </is>
      </c>
      <c r="C354">
        <f>1</f>
        <v>1</v>
      </c>
      <c r="D354">
        <f>IF(OR(F_Custom1_Q="(None)",F_Custom1_Q="",ISBLANK(F_Custom1_Q),F_Custom1_V="(All)",F_Custom1_V="",ISBLANK(F_Custom1_V)),1,IFERROR(IF(ISNUMBER(SEARCH("|"&amp;INDEX(INDIRECT(F_Custom1_resolved_column),353)&amp;"|",F_Custom1_wrapped)),1,0),0))</f>
        <v>1</v>
      </c>
      <c r="E354">
        <f>IF(OR(F_Custom2_Q="(None)",F_Custom2_Q="",ISBLANK(F_Custom2_Q),F_Custom2_V="(All)",F_Custom2_V="",ISBLANK(F_Custom2_V)),1,IFERROR(IF(ISNUMBER(SEARCH("|"&amp;INDEX(INDIRECT(F_Custom2_resolved_column),353)&amp;"|",F_Custom2_wrapped)),1,0),0))</f>
        <v>1</v>
      </c>
      <c r="F354">
        <f>D354*E354*1</f>
        <v>1</v>
      </c>
      <c r="G354">
        <f>1</f>
        <v>1</v>
      </c>
      <c r="H3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353)&amp;"|",All_Questions_Q_STREAM_F_wrapped)),1,0),0))*1</f>
        <v>1</v>
      </c>
    </row>
    <row r="355">
      <c r="A355" t="n">
        <v>354</v>
      </c>
      <c r="B355" t="inlineStr">
        <is>
          <t>B</t>
        </is>
      </c>
      <c r="C355">
        <f>1</f>
        <v>1</v>
      </c>
      <c r="D355">
        <f>IF(OR(F_Custom1_Q="(None)",F_Custom1_Q="",ISBLANK(F_Custom1_Q),F_Custom1_V="(All)",F_Custom1_V="",ISBLANK(F_Custom1_V)),1,IFERROR(IF(ISNUMBER(SEARCH("|"&amp;INDEX(INDIRECT(F_Custom1_resolved_column),354)&amp;"|",F_Custom1_wrapped)),1,0),0))</f>
        <v>1</v>
      </c>
      <c r="E355">
        <f>IF(OR(F_Custom2_Q="(None)",F_Custom2_Q="",ISBLANK(F_Custom2_Q),F_Custom2_V="(All)",F_Custom2_V="",ISBLANK(F_Custom2_V)),1,IFERROR(IF(ISNUMBER(SEARCH("|"&amp;INDEX(INDIRECT(F_Custom2_resolved_column),354)&amp;"|",F_Custom2_wrapped)),1,0),0))</f>
        <v>1</v>
      </c>
      <c r="F355">
        <f>D355*E355*1</f>
        <v>1</v>
      </c>
      <c r="G355">
        <f>1</f>
        <v>1</v>
      </c>
      <c r="H3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354)&amp;"|",All_Questions_Q_STREAM_F_wrapped)),1,0),0))*1</f>
        <v>1</v>
      </c>
    </row>
    <row r="356">
      <c r="A356" t="n">
        <v>355</v>
      </c>
      <c r="B356" t="inlineStr">
        <is>
          <t>A</t>
        </is>
      </c>
      <c r="C356">
        <f>1</f>
        <v>1</v>
      </c>
      <c r="D356">
        <f>IF(OR(F_Custom1_Q="(None)",F_Custom1_Q="",ISBLANK(F_Custom1_Q),F_Custom1_V="(All)",F_Custom1_V="",ISBLANK(F_Custom1_V)),1,IFERROR(IF(ISNUMBER(SEARCH("|"&amp;INDEX(INDIRECT(F_Custom1_resolved_column),355)&amp;"|",F_Custom1_wrapped)),1,0),0))</f>
        <v>1</v>
      </c>
      <c r="E356">
        <f>IF(OR(F_Custom2_Q="(None)",F_Custom2_Q="",ISBLANK(F_Custom2_Q),F_Custom2_V="(All)",F_Custom2_V="",ISBLANK(F_Custom2_V)),1,IFERROR(IF(ISNUMBER(SEARCH("|"&amp;INDEX(INDIRECT(F_Custom2_resolved_column),355)&amp;"|",F_Custom2_wrapped)),1,0),0))</f>
        <v>1</v>
      </c>
      <c r="F356">
        <f>D356*E356*1</f>
        <v>1</v>
      </c>
      <c r="G356">
        <f>1</f>
        <v>1</v>
      </c>
      <c r="H3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355)&amp;"|",All_Questions_Q_STREAM_F_wrapped)),1,0),0))*1</f>
        <v>1</v>
      </c>
    </row>
    <row r="357">
      <c r="A357" t="n">
        <v>356</v>
      </c>
      <c r="B357" t="inlineStr">
        <is>
          <t>B</t>
        </is>
      </c>
      <c r="C357">
        <f>1</f>
        <v>1</v>
      </c>
      <c r="D357">
        <f>IF(OR(F_Custom1_Q="(None)",F_Custom1_Q="",ISBLANK(F_Custom1_Q),F_Custom1_V="(All)",F_Custom1_V="",ISBLANK(F_Custom1_V)),1,IFERROR(IF(ISNUMBER(SEARCH("|"&amp;INDEX(INDIRECT(F_Custom1_resolved_column),356)&amp;"|",F_Custom1_wrapped)),1,0),0))</f>
        <v>1</v>
      </c>
      <c r="E357">
        <f>IF(OR(F_Custom2_Q="(None)",F_Custom2_Q="",ISBLANK(F_Custom2_Q),F_Custom2_V="(All)",F_Custom2_V="",ISBLANK(F_Custom2_V)),1,IFERROR(IF(ISNUMBER(SEARCH("|"&amp;INDEX(INDIRECT(F_Custom2_resolved_column),356)&amp;"|",F_Custom2_wrapped)),1,0),0))</f>
        <v>1</v>
      </c>
      <c r="F357">
        <f>D357*E357*1</f>
        <v>1</v>
      </c>
      <c r="G357">
        <f>1</f>
        <v>1</v>
      </c>
      <c r="H3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356)&amp;"|",All_Questions_Q_STREAM_F_wrapped)),1,0),0))*1</f>
        <v>1</v>
      </c>
    </row>
    <row r="358">
      <c r="A358" t="n">
        <v>357</v>
      </c>
      <c r="B358" t="inlineStr">
        <is>
          <t>A</t>
        </is>
      </c>
      <c r="C358">
        <f>1</f>
        <v>1</v>
      </c>
      <c r="D358">
        <f>IF(OR(F_Custom1_Q="(None)",F_Custom1_Q="",ISBLANK(F_Custom1_Q),F_Custom1_V="(All)",F_Custom1_V="",ISBLANK(F_Custom1_V)),1,IFERROR(IF(ISNUMBER(SEARCH("|"&amp;INDEX(INDIRECT(F_Custom1_resolved_column),357)&amp;"|",F_Custom1_wrapped)),1,0),0))</f>
        <v>1</v>
      </c>
      <c r="E358">
        <f>IF(OR(F_Custom2_Q="(None)",F_Custom2_Q="",ISBLANK(F_Custom2_Q),F_Custom2_V="(All)",F_Custom2_V="",ISBLANK(F_Custom2_V)),1,IFERROR(IF(ISNUMBER(SEARCH("|"&amp;INDEX(INDIRECT(F_Custom2_resolved_column),357)&amp;"|",F_Custom2_wrapped)),1,0),0))</f>
        <v>1</v>
      </c>
      <c r="F358">
        <f>D358*E358*1</f>
        <v>1</v>
      </c>
      <c r="G358">
        <f>1</f>
        <v>1</v>
      </c>
      <c r="H3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357)&amp;"|",All_Questions_Q_STREAM_F_wrapped)),1,0),0))*1</f>
        <v>1</v>
      </c>
    </row>
    <row r="359">
      <c r="A359" t="n">
        <v>358</v>
      </c>
      <c r="B359" t="inlineStr">
        <is>
          <t>B</t>
        </is>
      </c>
      <c r="C359">
        <f>1</f>
        <v>1</v>
      </c>
      <c r="D359">
        <f>IF(OR(F_Custom1_Q="(None)",F_Custom1_Q="",ISBLANK(F_Custom1_Q),F_Custom1_V="(All)",F_Custom1_V="",ISBLANK(F_Custom1_V)),1,IFERROR(IF(ISNUMBER(SEARCH("|"&amp;INDEX(INDIRECT(F_Custom1_resolved_column),358)&amp;"|",F_Custom1_wrapped)),1,0),0))</f>
        <v>1</v>
      </c>
      <c r="E359">
        <f>IF(OR(F_Custom2_Q="(None)",F_Custom2_Q="",ISBLANK(F_Custom2_Q),F_Custom2_V="(All)",F_Custom2_V="",ISBLANK(F_Custom2_V)),1,IFERROR(IF(ISNUMBER(SEARCH("|"&amp;INDEX(INDIRECT(F_Custom2_resolved_column),358)&amp;"|",F_Custom2_wrapped)),1,0),0))</f>
        <v>1</v>
      </c>
      <c r="F359">
        <f>D359*E359*1</f>
        <v>1</v>
      </c>
      <c r="G359">
        <f>1</f>
        <v>1</v>
      </c>
      <c r="H3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358)&amp;"|",All_Questions_Q_STREAM_F_wrapped)),1,0),0))*1</f>
        <v>1</v>
      </c>
    </row>
    <row r="360">
      <c r="A360" t="n">
        <v>359</v>
      </c>
      <c r="B360" t="inlineStr">
        <is>
          <t>A</t>
        </is>
      </c>
      <c r="C360">
        <f>1</f>
        <v>1</v>
      </c>
      <c r="D360">
        <f>IF(OR(F_Custom1_Q="(None)",F_Custom1_Q="",ISBLANK(F_Custom1_Q),F_Custom1_V="(All)",F_Custom1_V="",ISBLANK(F_Custom1_V)),1,IFERROR(IF(ISNUMBER(SEARCH("|"&amp;INDEX(INDIRECT(F_Custom1_resolved_column),359)&amp;"|",F_Custom1_wrapped)),1,0),0))</f>
        <v>1</v>
      </c>
      <c r="E360">
        <f>IF(OR(F_Custom2_Q="(None)",F_Custom2_Q="",ISBLANK(F_Custom2_Q),F_Custom2_V="(All)",F_Custom2_V="",ISBLANK(F_Custom2_V)),1,IFERROR(IF(ISNUMBER(SEARCH("|"&amp;INDEX(INDIRECT(F_Custom2_resolved_column),359)&amp;"|",F_Custom2_wrapped)),1,0),0))</f>
        <v>1</v>
      </c>
      <c r="F360">
        <f>D360*E360*1</f>
        <v>1</v>
      </c>
      <c r="G360">
        <f>1</f>
        <v>1</v>
      </c>
      <c r="H3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359)&amp;"|",All_Questions_Q_STREAM_F_wrapped)),1,0),0))*1</f>
        <v>1</v>
      </c>
    </row>
    <row r="361">
      <c r="A361" t="n">
        <v>360</v>
      </c>
      <c r="B361" t="inlineStr">
        <is>
          <t>B</t>
        </is>
      </c>
      <c r="C361">
        <f>1</f>
        <v>1</v>
      </c>
      <c r="D361">
        <f>IF(OR(F_Custom1_Q="(None)",F_Custom1_Q="",ISBLANK(F_Custom1_Q),F_Custom1_V="(All)",F_Custom1_V="",ISBLANK(F_Custom1_V)),1,IFERROR(IF(ISNUMBER(SEARCH("|"&amp;INDEX(INDIRECT(F_Custom1_resolved_column),360)&amp;"|",F_Custom1_wrapped)),1,0),0))</f>
        <v>1</v>
      </c>
      <c r="E361">
        <f>IF(OR(F_Custom2_Q="(None)",F_Custom2_Q="",ISBLANK(F_Custom2_Q),F_Custom2_V="(All)",F_Custom2_V="",ISBLANK(F_Custom2_V)),1,IFERROR(IF(ISNUMBER(SEARCH("|"&amp;INDEX(INDIRECT(F_Custom2_resolved_column),360)&amp;"|",F_Custom2_wrapped)),1,0),0))</f>
        <v>1</v>
      </c>
      <c r="F361">
        <f>D361*E361*1</f>
        <v>1</v>
      </c>
      <c r="G361">
        <f>1</f>
        <v>1</v>
      </c>
      <c r="H3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360)&amp;"|",All_Questions_Q_STREAM_F_wrapped)),1,0),0))*1</f>
        <v>1</v>
      </c>
    </row>
    <row r="362">
      <c r="A362" t="n">
        <v>361</v>
      </c>
      <c r="B362" t="inlineStr">
        <is>
          <t>A</t>
        </is>
      </c>
      <c r="C362">
        <f>1</f>
        <v>1</v>
      </c>
      <c r="D362">
        <f>IF(OR(F_Custom1_Q="(None)",F_Custom1_Q="",ISBLANK(F_Custom1_Q),F_Custom1_V="(All)",F_Custom1_V="",ISBLANK(F_Custom1_V)),1,IFERROR(IF(ISNUMBER(SEARCH("|"&amp;INDEX(INDIRECT(F_Custom1_resolved_column),361)&amp;"|",F_Custom1_wrapped)),1,0),0))</f>
        <v>1</v>
      </c>
      <c r="E362">
        <f>IF(OR(F_Custom2_Q="(None)",F_Custom2_Q="",ISBLANK(F_Custom2_Q),F_Custom2_V="(All)",F_Custom2_V="",ISBLANK(F_Custom2_V)),1,IFERROR(IF(ISNUMBER(SEARCH("|"&amp;INDEX(INDIRECT(F_Custom2_resolved_column),361)&amp;"|",F_Custom2_wrapped)),1,0),0))</f>
        <v>1</v>
      </c>
      <c r="F362">
        <f>D362*E362*1</f>
        <v>1</v>
      </c>
      <c r="G362">
        <f>1</f>
        <v>1</v>
      </c>
      <c r="H3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361)&amp;"|",All_Questions_Q_STREAM_F_wrapped)),1,0),0))*1</f>
        <v>1</v>
      </c>
    </row>
    <row r="363">
      <c r="A363" t="n">
        <v>362</v>
      </c>
      <c r="B363" t="inlineStr">
        <is>
          <t>B</t>
        </is>
      </c>
      <c r="C363">
        <f>1</f>
        <v>1</v>
      </c>
      <c r="D363">
        <f>IF(OR(F_Custom1_Q="(None)",F_Custom1_Q="",ISBLANK(F_Custom1_Q),F_Custom1_V="(All)",F_Custom1_V="",ISBLANK(F_Custom1_V)),1,IFERROR(IF(ISNUMBER(SEARCH("|"&amp;INDEX(INDIRECT(F_Custom1_resolved_column),362)&amp;"|",F_Custom1_wrapped)),1,0),0))</f>
        <v>1</v>
      </c>
      <c r="E363">
        <f>IF(OR(F_Custom2_Q="(None)",F_Custom2_Q="",ISBLANK(F_Custom2_Q),F_Custom2_V="(All)",F_Custom2_V="",ISBLANK(F_Custom2_V)),1,IFERROR(IF(ISNUMBER(SEARCH("|"&amp;INDEX(INDIRECT(F_Custom2_resolved_column),362)&amp;"|",F_Custom2_wrapped)),1,0),0))</f>
        <v>1</v>
      </c>
      <c r="F363">
        <f>D363*E363*1</f>
        <v>1</v>
      </c>
      <c r="G363">
        <f>1</f>
        <v>1</v>
      </c>
      <c r="H3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362)&amp;"|",All_Questions_Q_STREAM_F_wrapped)),1,0),0))*1</f>
        <v>1</v>
      </c>
    </row>
    <row r="364">
      <c r="A364" t="n">
        <v>363</v>
      </c>
      <c r="B364" t="inlineStr">
        <is>
          <t>A</t>
        </is>
      </c>
      <c r="C364">
        <f>1</f>
        <v>1</v>
      </c>
      <c r="D364">
        <f>IF(OR(F_Custom1_Q="(None)",F_Custom1_Q="",ISBLANK(F_Custom1_Q),F_Custom1_V="(All)",F_Custom1_V="",ISBLANK(F_Custom1_V)),1,IFERROR(IF(ISNUMBER(SEARCH("|"&amp;INDEX(INDIRECT(F_Custom1_resolved_column),363)&amp;"|",F_Custom1_wrapped)),1,0),0))</f>
        <v>1</v>
      </c>
      <c r="E364">
        <f>IF(OR(F_Custom2_Q="(None)",F_Custom2_Q="",ISBLANK(F_Custom2_Q),F_Custom2_V="(All)",F_Custom2_V="",ISBLANK(F_Custom2_V)),1,IFERROR(IF(ISNUMBER(SEARCH("|"&amp;INDEX(INDIRECT(F_Custom2_resolved_column),363)&amp;"|",F_Custom2_wrapped)),1,0),0))</f>
        <v>1</v>
      </c>
      <c r="F364">
        <f>D364*E364*1</f>
        <v>1</v>
      </c>
      <c r="G364">
        <f>1</f>
        <v>1</v>
      </c>
      <c r="H3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363)&amp;"|",All_Questions_Q_STREAM_F_wrapped)),1,0),0))*1</f>
        <v>1</v>
      </c>
    </row>
    <row r="365">
      <c r="A365" t="n">
        <v>364</v>
      </c>
      <c r="B365" t="inlineStr">
        <is>
          <t>B</t>
        </is>
      </c>
      <c r="C365">
        <f>1</f>
        <v>1</v>
      </c>
      <c r="D365">
        <f>IF(OR(F_Custom1_Q="(None)",F_Custom1_Q="",ISBLANK(F_Custom1_Q),F_Custom1_V="(All)",F_Custom1_V="",ISBLANK(F_Custom1_V)),1,IFERROR(IF(ISNUMBER(SEARCH("|"&amp;INDEX(INDIRECT(F_Custom1_resolved_column),364)&amp;"|",F_Custom1_wrapped)),1,0),0))</f>
        <v>1</v>
      </c>
      <c r="E365">
        <f>IF(OR(F_Custom2_Q="(None)",F_Custom2_Q="",ISBLANK(F_Custom2_Q),F_Custom2_V="(All)",F_Custom2_V="",ISBLANK(F_Custom2_V)),1,IFERROR(IF(ISNUMBER(SEARCH("|"&amp;INDEX(INDIRECT(F_Custom2_resolved_column),364)&amp;"|",F_Custom2_wrapped)),1,0),0))</f>
        <v>1</v>
      </c>
      <c r="F365">
        <f>D365*E365*1</f>
        <v>1</v>
      </c>
      <c r="G365">
        <f>1</f>
        <v>1</v>
      </c>
      <c r="H3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364)&amp;"|",All_Questions_Q_STREAM_F_wrapped)),1,0),0))*1</f>
        <v>1</v>
      </c>
    </row>
    <row r="366">
      <c r="A366" t="n">
        <v>365</v>
      </c>
      <c r="B366" t="inlineStr">
        <is>
          <t>A</t>
        </is>
      </c>
      <c r="C366">
        <f>1</f>
        <v>1</v>
      </c>
      <c r="D366">
        <f>IF(OR(F_Custom1_Q="(None)",F_Custom1_Q="",ISBLANK(F_Custom1_Q),F_Custom1_V="(All)",F_Custom1_V="",ISBLANK(F_Custom1_V)),1,IFERROR(IF(ISNUMBER(SEARCH("|"&amp;INDEX(INDIRECT(F_Custom1_resolved_column),365)&amp;"|",F_Custom1_wrapped)),1,0),0))</f>
        <v>1</v>
      </c>
      <c r="E366">
        <f>IF(OR(F_Custom2_Q="(None)",F_Custom2_Q="",ISBLANK(F_Custom2_Q),F_Custom2_V="(All)",F_Custom2_V="",ISBLANK(F_Custom2_V)),1,IFERROR(IF(ISNUMBER(SEARCH("|"&amp;INDEX(INDIRECT(F_Custom2_resolved_column),365)&amp;"|",F_Custom2_wrapped)),1,0),0))</f>
        <v>1</v>
      </c>
      <c r="F366">
        <f>D366*E366*1</f>
        <v>1</v>
      </c>
      <c r="G366">
        <f>1</f>
        <v>1</v>
      </c>
      <c r="H3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365)&amp;"|",All_Questions_Q_STREAM_F_wrapped)),1,0),0))*1</f>
        <v>1</v>
      </c>
    </row>
    <row r="367">
      <c r="A367" t="n">
        <v>366</v>
      </c>
      <c r="B367" t="inlineStr">
        <is>
          <t>B</t>
        </is>
      </c>
      <c r="C367">
        <f>1</f>
        <v>1</v>
      </c>
      <c r="D367">
        <f>IF(OR(F_Custom1_Q="(None)",F_Custom1_Q="",ISBLANK(F_Custom1_Q),F_Custom1_V="(All)",F_Custom1_V="",ISBLANK(F_Custom1_V)),1,IFERROR(IF(ISNUMBER(SEARCH("|"&amp;INDEX(INDIRECT(F_Custom1_resolved_column),366)&amp;"|",F_Custom1_wrapped)),1,0),0))</f>
        <v>1</v>
      </c>
      <c r="E367">
        <f>IF(OR(F_Custom2_Q="(None)",F_Custom2_Q="",ISBLANK(F_Custom2_Q),F_Custom2_V="(All)",F_Custom2_V="",ISBLANK(F_Custom2_V)),1,IFERROR(IF(ISNUMBER(SEARCH("|"&amp;INDEX(INDIRECT(F_Custom2_resolved_column),366)&amp;"|",F_Custom2_wrapped)),1,0),0))</f>
        <v>1</v>
      </c>
      <c r="F367">
        <f>D367*E367*1</f>
        <v>1</v>
      </c>
      <c r="G367">
        <f>1</f>
        <v>1</v>
      </c>
      <c r="H3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366)&amp;"|",All_Questions_Q_STREAM_F_wrapped)),1,0),0))*1</f>
        <v>1</v>
      </c>
    </row>
    <row r="368">
      <c r="A368" t="n">
        <v>367</v>
      </c>
      <c r="B368" t="inlineStr">
        <is>
          <t>A</t>
        </is>
      </c>
      <c r="C368">
        <f>1</f>
        <v>1</v>
      </c>
      <c r="D368">
        <f>IF(OR(F_Custom1_Q="(None)",F_Custom1_Q="",ISBLANK(F_Custom1_Q),F_Custom1_V="(All)",F_Custom1_V="",ISBLANK(F_Custom1_V)),1,IFERROR(IF(ISNUMBER(SEARCH("|"&amp;INDEX(INDIRECT(F_Custom1_resolved_column),367)&amp;"|",F_Custom1_wrapped)),1,0),0))</f>
        <v>1</v>
      </c>
      <c r="E368">
        <f>IF(OR(F_Custom2_Q="(None)",F_Custom2_Q="",ISBLANK(F_Custom2_Q),F_Custom2_V="(All)",F_Custom2_V="",ISBLANK(F_Custom2_V)),1,IFERROR(IF(ISNUMBER(SEARCH("|"&amp;INDEX(INDIRECT(F_Custom2_resolved_column),367)&amp;"|",F_Custom2_wrapped)),1,0),0))</f>
        <v>1</v>
      </c>
      <c r="F368">
        <f>D368*E368*1</f>
        <v>1</v>
      </c>
      <c r="G368">
        <f>1</f>
        <v>1</v>
      </c>
      <c r="H3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367)&amp;"|",All_Questions_Q_STREAM_F_wrapped)),1,0),0))*1</f>
        <v>1</v>
      </c>
    </row>
    <row r="369">
      <c r="A369" t="n">
        <v>368</v>
      </c>
      <c r="B369" t="inlineStr">
        <is>
          <t>B</t>
        </is>
      </c>
      <c r="C369">
        <f>1</f>
        <v>1</v>
      </c>
      <c r="D369">
        <f>IF(OR(F_Custom1_Q="(None)",F_Custom1_Q="",ISBLANK(F_Custom1_Q),F_Custom1_V="(All)",F_Custom1_V="",ISBLANK(F_Custom1_V)),1,IFERROR(IF(ISNUMBER(SEARCH("|"&amp;INDEX(INDIRECT(F_Custom1_resolved_column),368)&amp;"|",F_Custom1_wrapped)),1,0),0))</f>
        <v>1</v>
      </c>
      <c r="E369">
        <f>IF(OR(F_Custom2_Q="(None)",F_Custom2_Q="",ISBLANK(F_Custom2_Q),F_Custom2_V="(All)",F_Custom2_V="",ISBLANK(F_Custom2_V)),1,IFERROR(IF(ISNUMBER(SEARCH("|"&amp;INDEX(INDIRECT(F_Custom2_resolved_column),368)&amp;"|",F_Custom2_wrapped)),1,0),0))</f>
        <v>1</v>
      </c>
      <c r="F369">
        <f>D369*E369*1</f>
        <v>1</v>
      </c>
      <c r="G369">
        <f>1</f>
        <v>1</v>
      </c>
      <c r="H3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368)&amp;"|",All_Questions_Q_STREAM_F_wrapped)),1,0),0))*1</f>
        <v>1</v>
      </c>
    </row>
    <row r="370">
      <c r="A370" t="n">
        <v>369</v>
      </c>
      <c r="B370" t="inlineStr">
        <is>
          <t>A</t>
        </is>
      </c>
      <c r="C370">
        <f>1</f>
        <v>1</v>
      </c>
      <c r="D370">
        <f>IF(OR(F_Custom1_Q="(None)",F_Custom1_Q="",ISBLANK(F_Custom1_Q),F_Custom1_V="(All)",F_Custom1_V="",ISBLANK(F_Custom1_V)),1,IFERROR(IF(ISNUMBER(SEARCH("|"&amp;INDEX(INDIRECT(F_Custom1_resolved_column),369)&amp;"|",F_Custom1_wrapped)),1,0),0))</f>
        <v>1</v>
      </c>
      <c r="E370">
        <f>IF(OR(F_Custom2_Q="(None)",F_Custom2_Q="",ISBLANK(F_Custom2_Q),F_Custom2_V="(All)",F_Custom2_V="",ISBLANK(F_Custom2_V)),1,IFERROR(IF(ISNUMBER(SEARCH("|"&amp;INDEX(INDIRECT(F_Custom2_resolved_column),369)&amp;"|",F_Custom2_wrapped)),1,0),0))</f>
        <v>1</v>
      </c>
      <c r="F370">
        <f>D370*E370*1</f>
        <v>1</v>
      </c>
      <c r="G370">
        <f>1</f>
        <v>1</v>
      </c>
      <c r="H3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369)&amp;"|",All_Questions_Q_STREAM_F_wrapped)),1,0),0))*1</f>
        <v>1</v>
      </c>
    </row>
    <row r="371">
      <c r="A371" t="n">
        <v>370</v>
      </c>
      <c r="B371" t="inlineStr">
        <is>
          <t>B</t>
        </is>
      </c>
      <c r="C371">
        <f>1</f>
        <v>1</v>
      </c>
      <c r="D371">
        <f>IF(OR(F_Custom1_Q="(None)",F_Custom1_Q="",ISBLANK(F_Custom1_Q),F_Custom1_V="(All)",F_Custom1_V="",ISBLANK(F_Custom1_V)),1,IFERROR(IF(ISNUMBER(SEARCH("|"&amp;INDEX(INDIRECT(F_Custom1_resolved_column),370)&amp;"|",F_Custom1_wrapped)),1,0),0))</f>
        <v>1</v>
      </c>
      <c r="E371">
        <f>IF(OR(F_Custom2_Q="(None)",F_Custom2_Q="",ISBLANK(F_Custom2_Q),F_Custom2_V="(All)",F_Custom2_V="",ISBLANK(F_Custom2_V)),1,IFERROR(IF(ISNUMBER(SEARCH("|"&amp;INDEX(INDIRECT(F_Custom2_resolved_column),370)&amp;"|",F_Custom2_wrapped)),1,0),0))</f>
        <v>1</v>
      </c>
      <c r="F371">
        <f>D371*E371*1</f>
        <v>1</v>
      </c>
      <c r="G371">
        <f>1</f>
        <v>1</v>
      </c>
      <c r="H3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370)&amp;"|",All_Questions_Q_STREAM_F_wrapped)),1,0),0))*1</f>
        <v>1</v>
      </c>
    </row>
    <row r="372">
      <c r="A372" t="n">
        <v>371</v>
      </c>
      <c r="B372" t="inlineStr">
        <is>
          <t>A</t>
        </is>
      </c>
      <c r="C372">
        <f>1</f>
        <v>1</v>
      </c>
      <c r="D372">
        <f>IF(OR(F_Custom1_Q="(None)",F_Custom1_Q="",ISBLANK(F_Custom1_Q),F_Custom1_V="(All)",F_Custom1_V="",ISBLANK(F_Custom1_V)),1,IFERROR(IF(ISNUMBER(SEARCH("|"&amp;INDEX(INDIRECT(F_Custom1_resolved_column),371)&amp;"|",F_Custom1_wrapped)),1,0),0))</f>
        <v>1</v>
      </c>
      <c r="E372">
        <f>IF(OR(F_Custom2_Q="(None)",F_Custom2_Q="",ISBLANK(F_Custom2_Q),F_Custom2_V="(All)",F_Custom2_V="",ISBLANK(F_Custom2_V)),1,IFERROR(IF(ISNUMBER(SEARCH("|"&amp;INDEX(INDIRECT(F_Custom2_resolved_column),371)&amp;"|",F_Custom2_wrapped)),1,0),0))</f>
        <v>1</v>
      </c>
      <c r="F372">
        <f>D372*E372*1</f>
        <v>1</v>
      </c>
      <c r="G372">
        <f>1</f>
        <v>1</v>
      </c>
      <c r="H3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371)&amp;"|",All_Questions_Q_STREAM_F_wrapped)),1,0),0))*1</f>
        <v>1</v>
      </c>
    </row>
    <row r="373">
      <c r="A373" t="n">
        <v>372</v>
      </c>
      <c r="B373" t="inlineStr">
        <is>
          <t>B</t>
        </is>
      </c>
      <c r="C373">
        <f>1</f>
        <v>1</v>
      </c>
      <c r="D373">
        <f>IF(OR(F_Custom1_Q="(None)",F_Custom1_Q="",ISBLANK(F_Custom1_Q),F_Custom1_V="(All)",F_Custom1_V="",ISBLANK(F_Custom1_V)),1,IFERROR(IF(ISNUMBER(SEARCH("|"&amp;INDEX(INDIRECT(F_Custom1_resolved_column),372)&amp;"|",F_Custom1_wrapped)),1,0),0))</f>
        <v>1</v>
      </c>
      <c r="E373">
        <f>IF(OR(F_Custom2_Q="(None)",F_Custom2_Q="",ISBLANK(F_Custom2_Q),F_Custom2_V="(All)",F_Custom2_V="",ISBLANK(F_Custom2_V)),1,IFERROR(IF(ISNUMBER(SEARCH("|"&amp;INDEX(INDIRECT(F_Custom2_resolved_column),372)&amp;"|",F_Custom2_wrapped)),1,0),0))</f>
        <v>1</v>
      </c>
      <c r="F373">
        <f>D373*E373*1</f>
        <v>1</v>
      </c>
      <c r="G373">
        <f>1</f>
        <v>1</v>
      </c>
      <c r="H3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372)&amp;"|",All_Questions_Q_STREAM_F_wrapped)),1,0),0))*1</f>
        <v>1</v>
      </c>
    </row>
    <row r="374">
      <c r="A374" t="n">
        <v>373</v>
      </c>
      <c r="B374" t="inlineStr">
        <is>
          <t>A</t>
        </is>
      </c>
      <c r="C374">
        <f>1</f>
        <v>1</v>
      </c>
      <c r="D374">
        <f>IF(OR(F_Custom1_Q="(None)",F_Custom1_Q="",ISBLANK(F_Custom1_Q),F_Custom1_V="(All)",F_Custom1_V="",ISBLANK(F_Custom1_V)),1,IFERROR(IF(ISNUMBER(SEARCH("|"&amp;INDEX(INDIRECT(F_Custom1_resolved_column),373)&amp;"|",F_Custom1_wrapped)),1,0),0))</f>
        <v>1</v>
      </c>
      <c r="E374">
        <f>IF(OR(F_Custom2_Q="(None)",F_Custom2_Q="",ISBLANK(F_Custom2_Q),F_Custom2_V="(All)",F_Custom2_V="",ISBLANK(F_Custom2_V)),1,IFERROR(IF(ISNUMBER(SEARCH("|"&amp;INDEX(INDIRECT(F_Custom2_resolved_column),373)&amp;"|",F_Custom2_wrapped)),1,0),0))</f>
        <v>1</v>
      </c>
      <c r="F374">
        <f>D374*E374*1</f>
        <v>1</v>
      </c>
      <c r="G374">
        <f>1</f>
        <v>1</v>
      </c>
      <c r="H3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373)&amp;"|",All_Questions_Q_STREAM_F_wrapped)),1,0),0))*1</f>
        <v>1</v>
      </c>
    </row>
    <row r="375">
      <c r="A375" t="n">
        <v>374</v>
      </c>
      <c r="B375" t="inlineStr">
        <is>
          <t>B</t>
        </is>
      </c>
      <c r="C375">
        <f>1</f>
        <v>1</v>
      </c>
      <c r="D375">
        <f>IF(OR(F_Custom1_Q="(None)",F_Custom1_Q="",ISBLANK(F_Custom1_Q),F_Custom1_V="(All)",F_Custom1_V="",ISBLANK(F_Custom1_V)),1,IFERROR(IF(ISNUMBER(SEARCH("|"&amp;INDEX(INDIRECT(F_Custom1_resolved_column),374)&amp;"|",F_Custom1_wrapped)),1,0),0))</f>
        <v>1</v>
      </c>
      <c r="E375">
        <f>IF(OR(F_Custom2_Q="(None)",F_Custom2_Q="",ISBLANK(F_Custom2_Q),F_Custom2_V="(All)",F_Custom2_V="",ISBLANK(F_Custom2_V)),1,IFERROR(IF(ISNUMBER(SEARCH("|"&amp;INDEX(INDIRECT(F_Custom2_resolved_column),374)&amp;"|",F_Custom2_wrapped)),1,0),0))</f>
        <v>1</v>
      </c>
      <c r="F375">
        <f>D375*E375*1</f>
        <v>1</v>
      </c>
      <c r="G375">
        <f>1</f>
        <v>1</v>
      </c>
      <c r="H3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374)&amp;"|",All_Questions_Q_STREAM_F_wrapped)),1,0),0))*1</f>
        <v>1</v>
      </c>
    </row>
    <row r="376">
      <c r="A376" t="n">
        <v>375</v>
      </c>
      <c r="B376" t="inlineStr">
        <is>
          <t>A</t>
        </is>
      </c>
      <c r="C376">
        <f>1</f>
        <v>1</v>
      </c>
      <c r="D376">
        <f>IF(OR(F_Custom1_Q="(None)",F_Custom1_Q="",ISBLANK(F_Custom1_Q),F_Custom1_V="(All)",F_Custom1_V="",ISBLANK(F_Custom1_V)),1,IFERROR(IF(ISNUMBER(SEARCH("|"&amp;INDEX(INDIRECT(F_Custom1_resolved_column),375)&amp;"|",F_Custom1_wrapped)),1,0),0))</f>
        <v>1</v>
      </c>
      <c r="E376">
        <f>IF(OR(F_Custom2_Q="(None)",F_Custom2_Q="",ISBLANK(F_Custom2_Q),F_Custom2_V="(All)",F_Custom2_V="",ISBLANK(F_Custom2_V)),1,IFERROR(IF(ISNUMBER(SEARCH("|"&amp;INDEX(INDIRECT(F_Custom2_resolved_column),375)&amp;"|",F_Custom2_wrapped)),1,0),0))</f>
        <v>1</v>
      </c>
      <c r="F376">
        <f>D376*E376*1</f>
        <v>1</v>
      </c>
      <c r="G376">
        <f>1</f>
        <v>1</v>
      </c>
      <c r="H3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375)&amp;"|",All_Questions_Q_STREAM_F_wrapped)),1,0),0))*1</f>
        <v>1</v>
      </c>
    </row>
    <row r="377">
      <c r="A377" t="n">
        <v>376</v>
      </c>
      <c r="B377" t="inlineStr">
        <is>
          <t>B</t>
        </is>
      </c>
      <c r="C377">
        <f>1</f>
        <v>1</v>
      </c>
      <c r="D377">
        <f>IF(OR(F_Custom1_Q="(None)",F_Custom1_Q="",ISBLANK(F_Custom1_Q),F_Custom1_V="(All)",F_Custom1_V="",ISBLANK(F_Custom1_V)),1,IFERROR(IF(ISNUMBER(SEARCH("|"&amp;INDEX(INDIRECT(F_Custom1_resolved_column),376)&amp;"|",F_Custom1_wrapped)),1,0),0))</f>
        <v>1</v>
      </c>
      <c r="E377">
        <f>IF(OR(F_Custom2_Q="(None)",F_Custom2_Q="",ISBLANK(F_Custom2_Q),F_Custom2_V="(All)",F_Custom2_V="",ISBLANK(F_Custom2_V)),1,IFERROR(IF(ISNUMBER(SEARCH("|"&amp;INDEX(INDIRECT(F_Custom2_resolved_column),376)&amp;"|",F_Custom2_wrapped)),1,0),0))</f>
        <v>1</v>
      </c>
      <c r="F377">
        <f>D377*E377*1</f>
        <v>1</v>
      </c>
      <c r="G377">
        <f>1</f>
        <v>1</v>
      </c>
      <c r="H3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376)&amp;"|",All_Questions_Q_STREAM_F_wrapped)),1,0),0))*1</f>
        <v>1</v>
      </c>
    </row>
    <row r="378">
      <c r="A378" t="n">
        <v>377</v>
      </c>
      <c r="B378" t="inlineStr">
        <is>
          <t>A</t>
        </is>
      </c>
      <c r="C378">
        <f>1</f>
        <v>1</v>
      </c>
      <c r="D378">
        <f>IF(OR(F_Custom1_Q="(None)",F_Custom1_Q="",ISBLANK(F_Custom1_Q),F_Custom1_V="(All)",F_Custom1_V="",ISBLANK(F_Custom1_V)),1,IFERROR(IF(ISNUMBER(SEARCH("|"&amp;INDEX(INDIRECT(F_Custom1_resolved_column),377)&amp;"|",F_Custom1_wrapped)),1,0),0))</f>
        <v>1</v>
      </c>
      <c r="E378">
        <f>IF(OR(F_Custom2_Q="(None)",F_Custom2_Q="",ISBLANK(F_Custom2_Q),F_Custom2_V="(All)",F_Custom2_V="",ISBLANK(F_Custom2_V)),1,IFERROR(IF(ISNUMBER(SEARCH("|"&amp;INDEX(INDIRECT(F_Custom2_resolved_column),377)&amp;"|",F_Custom2_wrapped)),1,0),0))</f>
        <v>1</v>
      </c>
      <c r="F378">
        <f>D378*E378*1</f>
        <v>1</v>
      </c>
      <c r="G378">
        <f>1</f>
        <v>1</v>
      </c>
      <c r="H3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377)&amp;"|",All_Questions_Q_STREAM_F_wrapped)),1,0),0))*1</f>
        <v>1</v>
      </c>
    </row>
    <row r="379">
      <c r="A379" t="n">
        <v>378</v>
      </c>
      <c r="B379" t="inlineStr">
        <is>
          <t>B</t>
        </is>
      </c>
      <c r="C379">
        <f>1</f>
        <v>1</v>
      </c>
      <c r="D379">
        <f>IF(OR(F_Custom1_Q="(None)",F_Custom1_Q="",ISBLANK(F_Custom1_Q),F_Custom1_V="(All)",F_Custom1_V="",ISBLANK(F_Custom1_V)),1,IFERROR(IF(ISNUMBER(SEARCH("|"&amp;INDEX(INDIRECT(F_Custom1_resolved_column),378)&amp;"|",F_Custom1_wrapped)),1,0),0))</f>
        <v>1</v>
      </c>
      <c r="E379">
        <f>IF(OR(F_Custom2_Q="(None)",F_Custom2_Q="",ISBLANK(F_Custom2_Q),F_Custom2_V="(All)",F_Custom2_V="",ISBLANK(F_Custom2_V)),1,IFERROR(IF(ISNUMBER(SEARCH("|"&amp;INDEX(INDIRECT(F_Custom2_resolved_column),378)&amp;"|",F_Custom2_wrapped)),1,0),0))</f>
        <v>1</v>
      </c>
      <c r="F379">
        <f>D379*E379*1</f>
        <v>1</v>
      </c>
      <c r="G379">
        <f>1</f>
        <v>1</v>
      </c>
      <c r="H3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378)&amp;"|",All_Questions_Q_STREAM_F_wrapped)),1,0),0))*1</f>
        <v>1</v>
      </c>
    </row>
    <row r="380">
      <c r="A380" t="n">
        <v>379</v>
      </c>
      <c r="B380" t="inlineStr">
        <is>
          <t>A</t>
        </is>
      </c>
      <c r="C380">
        <f>1</f>
        <v>1</v>
      </c>
      <c r="D380">
        <f>IF(OR(F_Custom1_Q="(None)",F_Custom1_Q="",ISBLANK(F_Custom1_Q),F_Custom1_V="(All)",F_Custom1_V="",ISBLANK(F_Custom1_V)),1,IFERROR(IF(ISNUMBER(SEARCH("|"&amp;INDEX(INDIRECT(F_Custom1_resolved_column),379)&amp;"|",F_Custom1_wrapped)),1,0),0))</f>
        <v>1</v>
      </c>
      <c r="E380">
        <f>IF(OR(F_Custom2_Q="(None)",F_Custom2_Q="",ISBLANK(F_Custom2_Q),F_Custom2_V="(All)",F_Custom2_V="",ISBLANK(F_Custom2_V)),1,IFERROR(IF(ISNUMBER(SEARCH("|"&amp;INDEX(INDIRECT(F_Custom2_resolved_column),379)&amp;"|",F_Custom2_wrapped)),1,0),0))</f>
        <v>1</v>
      </c>
      <c r="F380">
        <f>D380*E380*1</f>
        <v>1</v>
      </c>
      <c r="G380">
        <f>1</f>
        <v>1</v>
      </c>
      <c r="H3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379)&amp;"|",All_Questions_Q_STREAM_F_wrapped)),1,0),0))*1</f>
        <v>1</v>
      </c>
    </row>
    <row r="381">
      <c r="A381" t="n">
        <v>380</v>
      </c>
      <c r="B381" t="inlineStr">
        <is>
          <t>B</t>
        </is>
      </c>
      <c r="C381">
        <f>1</f>
        <v>1</v>
      </c>
      <c r="D381">
        <f>IF(OR(F_Custom1_Q="(None)",F_Custom1_Q="",ISBLANK(F_Custom1_Q),F_Custom1_V="(All)",F_Custom1_V="",ISBLANK(F_Custom1_V)),1,IFERROR(IF(ISNUMBER(SEARCH("|"&amp;INDEX(INDIRECT(F_Custom1_resolved_column),380)&amp;"|",F_Custom1_wrapped)),1,0),0))</f>
        <v>1</v>
      </c>
      <c r="E381">
        <f>IF(OR(F_Custom2_Q="(None)",F_Custom2_Q="",ISBLANK(F_Custom2_Q),F_Custom2_V="(All)",F_Custom2_V="",ISBLANK(F_Custom2_V)),1,IFERROR(IF(ISNUMBER(SEARCH("|"&amp;INDEX(INDIRECT(F_Custom2_resolved_column),380)&amp;"|",F_Custom2_wrapped)),1,0),0))</f>
        <v>1</v>
      </c>
      <c r="F381">
        <f>D381*E381*1</f>
        <v>1</v>
      </c>
      <c r="G381">
        <f>1</f>
        <v>1</v>
      </c>
      <c r="H3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380)&amp;"|",All_Questions_Q_STREAM_F_wrapped)),1,0),0))*1</f>
        <v>1</v>
      </c>
    </row>
    <row r="382">
      <c r="A382" t="n">
        <v>381</v>
      </c>
      <c r="B382" t="inlineStr">
        <is>
          <t>A</t>
        </is>
      </c>
      <c r="C382">
        <f>1</f>
        <v>1</v>
      </c>
      <c r="D382">
        <f>IF(OR(F_Custom1_Q="(None)",F_Custom1_Q="",ISBLANK(F_Custom1_Q),F_Custom1_V="(All)",F_Custom1_V="",ISBLANK(F_Custom1_V)),1,IFERROR(IF(ISNUMBER(SEARCH("|"&amp;INDEX(INDIRECT(F_Custom1_resolved_column),381)&amp;"|",F_Custom1_wrapped)),1,0),0))</f>
        <v>1</v>
      </c>
      <c r="E382">
        <f>IF(OR(F_Custom2_Q="(None)",F_Custom2_Q="",ISBLANK(F_Custom2_Q),F_Custom2_V="(All)",F_Custom2_V="",ISBLANK(F_Custom2_V)),1,IFERROR(IF(ISNUMBER(SEARCH("|"&amp;INDEX(INDIRECT(F_Custom2_resolved_column),381)&amp;"|",F_Custom2_wrapped)),1,0),0))</f>
        <v>1</v>
      </c>
      <c r="F382">
        <f>D382*E382*1</f>
        <v>1</v>
      </c>
      <c r="G382">
        <f>1</f>
        <v>1</v>
      </c>
      <c r="H3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381)&amp;"|",All_Questions_Q_STREAM_F_wrapped)),1,0),0))*1</f>
        <v>1</v>
      </c>
    </row>
    <row r="383">
      <c r="A383" t="n">
        <v>382</v>
      </c>
      <c r="B383" t="inlineStr">
        <is>
          <t>B</t>
        </is>
      </c>
      <c r="C383">
        <f>1</f>
        <v>1</v>
      </c>
      <c r="D383">
        <f>IF(OR(F_Custom1_Q="(None)",F_Custom1_Q="",ISBLANK(F_Custom1_Q),F_Custom1_V="(All)",F_Custom1_V="",ISBLANK(F_Custom1_V)),1,IFERROR(IF(ISNUMBER(SEARCH("|"&amp;INDEX(INDIRECT(F_Custom1_resolved_column),382)&amp;"|",F_Custom1_wrapped)),1,0),0))</f>
        <v>1</v>
      </c>
      <c r="E383">
        <f>IF(OR(F_Custom2_Q="(None)",F_Custom2_Q="",ISBLANK(F_Custom2_Q),F_Custom2_V="(All)",F_Custom2_V="",ISBLANK(F_Custom2_V)),1,IFERROR(IF(ISNUMBER(SEARCH("|"&amp;INDEX(INDIRECT(F_Custom2_resolved_column),382)&amp;"|",F_Custom2_wrapped)),1,0),0))</f>
        <v>1</v>
      </c>
      <c r="F383">
        <f>D383*E383*1</f>
        <v>1</v>
      </c>
      <c r="G383">
        <f>1</f>
        <v>1</v>
      </c>
      <c r="H3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382)&amp;"|",All_Questions_Q_STREAM_F_wrapped)),1,0),0))*1</f>
        <v>1</v>
      </c>
    </row>
    <row r="384">
      <c r="A384" t="n">
        <v>383</v>
      </c>
      <c r="B384" t="inlineStr">
        <is>
          <t>A</t>
        </is>
      </c>
      <c r="C384">
        <f>1</f>
        <v>1</v>
      </c>
      <c r="D384">
        <f>IF(OR(F_Custom1_Q="(None)",F_Custom1_Q="",ISBLANK(F_Custom1_Q),F_Custom1_V="(All)",F_Custom1_V="",ISBLANK(F_Custom1_V)),1,IFERROR(IF(ISNUMBER(SEARCH("|"&amp;INDEX(INDIRECT(F_Custom1_resolved_column),383)&amp;"|",F_Custom1_wrapped)),1,0),0))</f>
        <v>1</v>
      </c>
      <c r="E384">
        <f>IF(OR(F_Custom2_Q="(None)",F_Custom2_Q="",ISBLANK(F_Custom2_Q),F_Custom2_V="(All)",F_Custom2_V="",ISBLANK(F_Custom2_V)),1,IFERROR(IF(ISNUMBER(SEARCH("|"&amp;INDEX(INDIRECT(F_Custom2_resolved_column),383)&amp;"|",F_Custom2_wrapped)),1,0),0))</f>
        <v>1</v>
      </c>
      <c r="F384">
        <f>D384*E384*1</f>
        <v>1</v>
      </c>
      <c r="G384">
        <f>1</f>
        <v>1</v>
      </c>
      <c r="H3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383)&amp;"|",All_Questions_Q_STREAM_F_wrapped)),1,0),0))*1</f>
        <v>1</v>
      </c>
    </row>
    <row r="385">
      <c r="A385" t="n">
        <v>384</v>
      </c>
      <c r="B385" t="inlineStr">
        <is>
          <t>B</t>
        </is>
      </c>
      <c r="C385">
        <f>1</f>
        <v>1</v>
      </c>
      <c r="D385">
        <f>IF(OR(F_Custom1_Q="(None)",F_Custom1_Q="",ISBLANK(F_Custom1_Q),F_Custom1_V="(All)",F_Custom1_V="",ISBLANK(F_Custom1_V)),1,IFERROR(IF(ISNUMBER(SEARCH("|"&amp;INDEX(INDIRECT(F_Custom1_resolved_column),384)&amp;"|",F_Custom1_wrapped)),1,0),0))</f>
        <v>1</v>
      </c>
      <c r="E385">
        <f>IF(OR(F_Custom2_Q="(None)",F_Custom2_Q="",ISBLANK(F_Custom2_Q),F_Custom2_V="(All)",F_Custom2_V="",ISBLANK(F_Custom2_V)),1,IFERROR(IF(ISNUMBER(SEARCH("|"&amp;INDEX(INDIRECT(F_Custom2_resolved_column),384)&amp;"|",F_Custom2_wrapped)),1,0),0))</f>
        <v>1</v>
      </c>
      <c r="F385">
        <f>D385*E385*1</f>
        <v>1</v>
      </c>
      <c r="G385">
        <f>1</f>
        <v>1</v>
      </c>
      <c r="H3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384)&amp;"|",All_Questions_Q_STREAM_F_wrapped)),1,0),0))*1</f>
        <v>1</v>
      </c>
    </row>
    <row r="386">
      <c r="A386" t="n">
        <v>385</v>
      </c>
      <c r="B386" t="inlineStr">
        <is>
          <t>A</t>
        </is>
      </c>
      <c r="C386">
        <f>1</f>
        <v>1</v>
      </c>
      <c r="D386">
        <f>IF(OR(F_Custom1_Q="(None)",F_Custom1_Q="",ISBLANK(F_Custom1_Q),F_Custom1_V="(All)",F_Custom1_V="",ISBLANK(F_Custom1_V)),1,IFERROR(IF(ISNUMBER(SEARCH("|"&amp;INDEX(INDIRECT(F_Custom1_resolved_column),385)&amp;"|",F_Custom1_wrapped)),1,0),0))</f>
        <v>1</v>
      </c>
      <c r="E386">
        <f>IF(OR(F_Custom2_Q="(None)",F_Custom2_Q="",ISBLANK(F_Custom2_Q),F_Custom2_V="(All)",F_Custom2_V="",ISBLANK(F_Custom2_V)),1,IFERROR(IF(ISNUMBER(SEARCH("|"&amp;INDEX(INDIRECT(F_Custom2_resolved_column),385)&amp;"|",F_Custom2_wrapped)),1,0),0))</f>
        <v>1</v>
      </c>
      <c r="F386">
        <f>D386*E386*1</f>
        <v>1</v>
      </c>
      <c r="G386">
        <f>1</f>
        <v>1</v>
      </c>
      <c r="H3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385)&amp;"|",All_Questions_Q_STREAM_F_wrapped)),1,0),0))*1</f>
        <v>1</v>
      </c>
    </row>
    <row r="387">
      <c r="A387" t="n">
        <v>386</v>
      </c>
      <c r="B387" t="inlineStr">
        <is>
          <t>B</t>
        </is>
      </c>
      <c r="C387">
        <f>1</f>
        <v>1</v>
      </c>
      <c r="D387">
        <f>IF(OR(F_Custom1_Q="(None)",F_Custom1_Q="",ISBLANK(F_Custom1_Q),F_Custom1_V="(All)",F_Custom1_V="",ISBLANK(F_Custom1_V)),1,IFERROR(IF(ISNUMBER(SEARCH("|"&amp;INDEX(INDIRECT(F_Custom1_resolved_column),386)&amp;"|",F_Custom1_wrapped)),1,0),0))</f>
        <v>1</v>
      </c>
      <c r="E387">
        <f>IF(OR(F_Custom2_Q="(None)",F_Custom2_Q="",ISBLANK(F_Custom2_Q),F_Custom2_V="(All)",F_Custom2_V="",ISBLANK(F_Custom2_V)),1,IFERROR(IF(ISNUMBER(SEARCH("|"&amp;INDEX(INDIRECT(F_Custom2_resolved_column),386)&amp;"|",F_Custom2_wrapped)),1,0),0))</f>
        <v>1</v>
      </c>
      <c r="F387">
        <f>D387*E387*1</f>
        <v>1</v>
      </c>
      <c r="G387">
        <f>1</f>
        <v>1</v>
      </c>
      <c r="H3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386)&amp;"|",All_Questions_Q_STREAM_F_wrapped)),1,0),0))*1</f>
        <v>1</v>
      </c>
    </row>
    <row r="388">
      <c r="A388" t="n">
        <v>387</v>
      </c>
      <c r="B388" t="inlineStr">
        <is>
          <t>A</t>
        </is>
      </c>
      <c r="C388">
        <f>1</f>
        <v>1</v>
      </c>
      <c r="D388">
        <f>IF(OR(F_Custom1_Q="(None)",F_Custom1_Q="",ISBLANK(F_Custom1_Q),F_Custom1_V="(All)",F_Custom1_V="",ISBLANK(F_Custom1_V)),1,IFERROR(IF(ISNUMBER(SEARCH("|"&amp;INDEX(INDIRECT(F_Custom1_resolved_column),387)&amp;"|",F_Custom1_wrapped)),1,0),0))</f>
        <v>1</v>
      </c>
      <c r="E388">
        <f>IF(OR(F_Custom2_Q="(None)",F_Custom2_Q="",ISBLANK(F_Custom2_Q),F_Custom2_V="(All)",F_Custom2_V="",ISBLANK(F_Custom2_V)),1,IFERROR(IF(ISNUMBER(SEARCH("|"&amp;INDEX(INDIRECT(F_Custom2_resolved_column),387)&amp;"|",F_Custom2_wrapped)),1,0),0))</f>
        <v>1</v>
      </c>
      <c r="F388">
        <f>D388*E388*1</f>
        <v>1</v>
      </c>
      <c r="G388">
        <f>1</f>
        <v>1</v>
      </c>
      <c r="H3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387)&amp;"|",All_Questions_Q_STREAM_F_wrapped)),1,0),0))*1</f>
        <v>1</v>
      </c>
    </row>
    <row r="389">
      <c r="A389" t="n">
        <v>388</v>
      </c>
      <c r="B389" t="inlineStr">
        <is>
          <t>B</t>
        </is>
      </c>
      <c r="C389">
        <f>1</f>
        <v>1</v>
      </c>
      <c r="D389">
        <f>IF(OR(F_Custom1_Q="(None)",F_Custom1_Q="",ISBLANK(F_Custom1_Q),F_Custom1_V="(All)",F_Custom1_V="",ISBLANK(F_Custom1_V)),1,IFERROR(IF(ISNUMBER(SEARCH("|"&amp;INDEX(INDIRECT(F_Custom1_resolved_column),388)&amp;"|",F_Custom1_wrapped)),1,0),0))</f>
        <v>1</v>
      </c>
      <c r="E389">
        <f>IF(OR(F_Custom2_Q="(None)",F_Custom2_Q="",ISBLANK(F_Custom2_Q),F_Custom2_V="(All)",F_Custom2_V="",ISBLANK(F_Custom2_V)),1,IFERROR(IF(ISNUMBER(SEARCH("|"&amp;INDEX(INDIRECT(F_Custom2_resolved_column),388)&amp;"|",F_Custom2_wrapped)),1,0),0))</f>
        <v>1</v>
      </c>
      <c r="F389">
        <f>D389*E389*1</f>
        <v>1</v>
      </c>
      <c r="G389">
        <f>1</f>
        <v>1</v>
      </c>
      <c r="H3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388)&amp;"|",All_Questions_Q_STREAM_F_wrapped)),1,0),0))*1</f>
        <v>1</v>
      </c>
    </row>
    <row r="390">
      <c r="A390" t="n">
        <v>389</v>
      </c>
      <c r="B390" t="inlineStr">
        <is>
          <t>A</t>
        </is>
      </c>
      <c r="C390">
        <f>1</f>
        <v>1</v>
      </c>
      <c r="D390">
        <f>IF(OR(F_Custom1_Q="(None)",F_Custom1_Q="",ISBLANK(F_Custom1_Q),F_Custom1_V="(All)",F_Custom1_V="",ISBLANK(F_Custom1_V)),1,IFERROR(IF(ISNUMBER(SEARCH("|"&amp;INDEX(INDIRECT(F_Custom1_resolved_column),389)&amp;"|",F_Custom1_wrapped)),1,0),0))</f>
        <v>1</v>
      </c>
      <c r="E390">
        <f>IF(OR(F_Custom2_Q="(None)",F_Custom2_Q="",ISBLANK(F_Custom2_Q),F_Custom2_V="(All)",F_Custom2_V="",ISBLANK(F_Custom2_V)),1,IFERROR(IF(ISNUMBER(SEARCH("|"&amp;INDEX(INDIRECT(F_Custom2_resolved_column),389)&amp;"|",F_Custom2_wrapped)),1,0),0))</f>
        <v>1</v>
      </c>
      <c r="F390">
        <f>D390*E390*1</f>
        <v>1</v>
      </c>
      <c r="G390">
        <f>1</f>
        <v>1</v>
      </c>
      <c r="H3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389)&amp;"|",All_Questions_Q_STREAM_F_wrapped)),1,0),0))*1</f>
        <v>1</v>
      </c>
    </row>
    <row r="391">
      <c r="A391" t="n">
        <v>390</v>
      </c>
      <c r="B391" t="inlineStr">
        <is>
          <t>B</t>
        </is>
      </c>
      <c r="C391">
        <f>1</f>
        <v>1</v>
      </c>
      <c r="D391">
        <f>IF(OR(F_Custom1_Q="(None)",F_Custom1_Q="",ISBLANK(F_Custom1_Q),F_Custom1_V="(All)",F_Custom1_V="",ISBLANK(F_Custom1_V)),1,IFERROR(IF(ISNUMBER(SEARCH("|"&amp;INDEX(INDIRECT(F_Custom1_resolved_column),390)&amp;"|",F_Custom1_wrapped)),1,0),0))</f>
        <v>1</v>
      </c>
      <c r="E391">
        <f>IF(OR(F_Custom2_Q="(None)",F_Custom2_Q="",ISBLANK(F_Custom2_Q),F_Custom2_V="(All)",F_Custom2_V="",ISBLANK(F_Custom2_V)),1,IFERROR(IF(ISNUMBER(SEARCH("|"&amp;INDEX(INDIRECT(F_Custom2_resolved_column),390)&amp;"|",F_Custom2_wrapped)),1,0),0))</f>
        <v>1</v>
      </c>
      <c r="F391">
        <f>D391*E391*1</f>
        <v>1</v>
      </c>
      <c r="G391">
        <f>1</f>
        <v>1</v>
      </c>
      <c r="H3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390)&amp;"|",All_Questions_Q_STREAM_F_wrapped)),1,0),0))*1</f>
        <v>1</v>
      </c>
    </row>
    <row r="392">
      <c r="A392" t="n">
        <v>391</v>
      </c>
      <c r="B392" t="inlineStr">
        <is>
          <t>A</t>
        </is>
      </c>
      <c r="C392">
        <f>1</f>
        <v>1</v>
      </c>
      <c r="D392">
        <f>IF(OR(F_Custom1_Q="(None)",F_Custom1_Q="",ISBLANK(F_Custom1_Q),F_Custom1_V="(All)",F_Custom1_V="",ISBLANK(F_Custom1_V)),1,IFERROR(IF(ISNUMBER(SEARCH("|"&amp;INDEX(INDIRECT(F_Custom1_resolved_column),391)&amp;"|",F_Custom1_wrapped)),1,0),0))</f>
        <v>1</v>
      </c>
      <c r="E392">
        <f>IF(OR(F_Custom2_Q="(None)",F_Custom2_Q="",ISBLANK(F_Custom2_Q),F_Custom2_V="(All)",F_Custom2_V="",ISBLANK(F_Custom2_V)),1,IFERROR(IF(ISNUMBER(SEARCH("|"&amp;INDEX(INDIRECT(F_Custom2_resolved_column),391)&amp;"|",F_Custom2_wrapped)),1,0),0))</f>
        <v>1</v>
      </c>
      <c r="F392">
        <f>D392*E392*1</f>
        <v>1</v>
      </c>
      <c r="G392">
        <f>1</f>
        <v>1</v>
      </c>
      <c r="H3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391)&amp;"|",All_Questions_Q_STREAM_F_wrapped)),1,0),0))*1</f>
        <v>1</v>
      </c>
    </row>
    <row r="393">
      <c r="A393" t="n">
        <v>392</v>
      </c>
      <c r="B393" t="inlineStr">
        <is>
          <t>B</t>
        </is>
      </c>
      <c r="C393">
        <f>1</f>
        <v>1</v>
      </c>
      <c r="D393">
        <f>IF(OR(F_Custom1_Q="(None)",F_Custom1_Q="",ISBLANK(F_Custom1_Q),F_Custom1_V="(All)",F_Custom1_V="",ISBLANK(F_Custom1_V)),1,IFERROR(IF(ISNUMBER(SEARCH("|"&amp;INDEX(INDIRECT(F_Custom1_resolved_column),392)&amp;"|",F_Custom1_wrapped)),1,0),0))</f>
        <v>1</v>
      </c>
      <c r="E393">
        <f>IF(OR(F_Custom2_Q="(None)",F_Custom2_Q="",ISBLANK(F_Custom2_Q),F_Custom2_V="(All)",F_Custom2_V="",ISBLANK(F_Custom2_V)),1,IFERROR(IF(ISNUMBER(SEARCH("|"&amp;INDEX(INDIRECT(F_Custom2_resolved_column),392)&amp;"|",F_Custom2_wrapped)),1,0),0))</f>
        <v>1</v>
      </c>
      <c r="F393">
        <f>D393*E393*1</f>
        <v>1</v>
      </c>
      <c r="G393">
        <f>1</f>
        <v>1</v>
      </c>
      <c r="H3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392)&amp;"|",All_Questions_Q_STREAM_F_wrapped)),1,0),0))*1</f>
        <v>1</v>
      </c>
    </row>
    <row r="394">
      <c r="A394" t="n">
        <v>393</v>
      </c>
      <c r="B394" t="inlineStr">
        <is>
          <t>A</t>
        </is>
      </c>
      <c r="C394">
        <f>1</f>
        <v>1</v>
      </c>
      <c r="D394">
        <f>IF(OR(F_Custom1_Q="(None)",F_Custom1_Q="",ISBLANK(F_Custom1_Q),F_Custom1_V="(All)",F_Custom1_V="",ISBLANK(F_Custom1_V)),1,IFERROR(IF(ISNUMBER(SEARCH("|"&amp;INDEX(INDIRECT(F_Custom1_resolved_column),393)&amp;"|",F_Custom1_wrapped)),1,0),0))</f>
        <v>1</v>
      </c>
      <c r="E394">
        <f>IF(OR(F_Custom2_Q="(None)",F_Custom2_Q="",ISBLANK(F_Custom2_Q),F_Custom2_V="(All)",F_Custom2_V="",ISBLANK(F_Custom2_V)),1,IFERROR(IF(ISNUMBER(SEARCH("|"&amp;INDEX(INDIRECT(F_Custom2_resolved_column),393)&amp;"|",F_Custom2_wrapped)),1,0),0))</f>
        <v>1</v>
      </c>
      <c r="F394">
        <f>D394*E394*1</f>
        <v>1</v>
      </c>
      <c r="G394">
        <f>1</f>
        <v>1</v>
      </c>
      <c r="H3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393)&amp;"|",All_Questions_Q_STREAM_F_wrapped)),1,0),0))*1</f>
        <v>1</v>
      </c>
    </row>
    <row r="395">
      <c r="A395" t="n">
        <v>394</v>
      </c>
      <c r="B395" t="inlineStr">
        <is>
          <t>B</t>
        </is>
      </c>
      <c r="C395">
        <f>1</f>
        <v>1</v>
      </c>
      <c r="D395">
        <f>IF(OR(F_Custom1_Q="(None)",F_Custom1_Q="",ISBLANK(F_Custom1_Q),F_Custom1_V="(All)",F_Custom1_V="",ISBLANK(F_Custom1_V)),1,IFERROR(IF(ISNUMBER(SEARCH("|"&amp;INDEX(INDIRECT(F_Custom1_resolved_column),394)&amp;"|",F_Custom1_wrapped)),1,0),0))</f>
        <v>1</v>
      </c>
      <c r="E395">
        <f>IF(OR(F_Custom2_Q="(None)",F_Custom2_Q="",ISBLANK(F_Custom2_Q),F_Custom2_V="(All)",F_Custom2_V="",ISBLANK(F_Custom2_V)),1,IFERROR(IF(ISNUMBER(SEARCH("|"&amp;INDEX(INDIRECT(F_Custom2_resolved_column),394)&amp;"|",F_Custom2_wrapped)),1,0),0))</f>
        <v>1</v>
      </c>
      <c r="F395">
        <f>D395*E395*1</f>
        <v>1</v>
      </c>
      <c r="G395">
        <f>1</f>
        <v>1</v>
      </c>
      <c r="H3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394)&amp;"|",All_Questions_Q_STREAM_F_wrapped)),1,0),0))*1</f>
        <v>1</v>
      </c>
    </row>
    <row r="396">
      <c r="A396" t="n">
        <v>395</v>
      </c>
      <c r="B396" t="inlineStr">
        <is>
          <t>A</t>
        </is>
      </c>
      <c r="C396">
        <f>1</f>
        <v>1</v>
      </c>
      <c r="D396">
        <f>IF(OR(F_Custom1_Q="(None)",F_Custom1_Q="",ISBLANK(F_Custom1_Q),F_Custom1_V="(All)",F_Custom1_V="",ISBLANK(F_Custom1_V)),1,IFERROR(IF(ISNUMBER(SEARCH("|"&amp;INDEX(INDIRECT(F_Custom1_resolved_column),395)&amp;"|",F_Custom1_wrapped)),1,0),0))</f>
        <v>1</v>
      </c>
      <c r="E396">
        <f>IF(OR(F_Custom2_Q="(None)",F_Custom2_Q="",ISBLANK(F_Custom2_Q),F_Custom2_V="(All)",F_Custom2_V="",ISBLANK(F_Custom2_V)),1,IFERROR(IF(ISNUMBER(SEARCH("|"&amp;INDEX(INDIRECT(F_Custom2_resolved_column),395)&amp;"|",F_Custom2_wrapped)),1,0),0))</f>
        <v>1</v>
      </c>
      <c r="F396">
        <f>D396*E396*1</f>
        <v>1</v>
      </c>
      <c r="G396">
        <f>1</f>
        <v>1</v>
      </c>
      <c r="H3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395)&amp;"|",All_Questions_Q_STREAM_F_wrapped)),1,0),0))*1</f>
        <v>1</v>
      </c>
    </row>
    <row r="397">
      <c r="A397" t="n">
        <v>396</v>
      </c>
      <c r="B397" t="inlineStr">
        <is>
          <t>B</t>
        </is>
      </c>
      <c r="C397">
        <f>1</f>
        <v>1</v>
      </c>
      <c r="D397">
        <f>IF(OR(F_Custom1_Q="(None)",F_Custom1_Q="",ISBLANK(F_Custom1_Q),F_Custom1_V="(All)",F_Custom1_V="",ISBLANK(F_Custom1_V)),1,IFERROR(IF(ISNUMBER(SEARCH("|"&amp;INDEX(INDIRECT(F_Custom1_resolved_column),396)&amp;"|",F_Custom1_wrapped)),1,0),0))</f>
        <v>1</v>
      </c>
      <c r="E397">
        <f>IF(OR(F_Custom2_Q="(None)",F_Custom2_Q="",ISBLANK(F_Custom2_Q),F_Custom2_V="(All)",F_Custom2_V="",ISBLANK(F_Custom2_V)),1,IFERROR(IF(ISNUMBER(SEARCH("|"&amp;INDEX(INDIRECT(F_Custom2_resolved_column),396)&amp;"|",F_Custom2_wrapped)),1,0),0))</f>
        <v>1</v>
      </c>
      <c r="F397">
        <f>D397*E397*1</f>
        <v>1</v>
      </c>
      <c r="G397">
        <f>1</f>
        <v>1</v>
      </c>
      <c r="H3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396)&amp;"|",All_Questions_Q_STREAM_F_wrapped)),1,0),0))*1</f>
        <v>1</v>
      </c>
    </row>
    <row r="398">
      <c r="A398" t="n">
        <v>397</v>
      </c>
      <c r="B398" t="inlineStr">
        <is>
          <t>A</t>
        </is>
      </c>
      <c r="C398">
        <f>1</f>
        <v>1</v>
      </c>
      <c r="D398">
        <f>IF(OR(F_Custom1_Q="(None)",F_Custom1_Q="",ISBLANK(F_Custom1_Q),F_Custom1_V="(All)",F_Custom1_V="",ISBLANK(F_Custom1_V)),1,IFERROR(IF(ISNUMBER(SEARCH("|"&amp;INDEX(INDIRECT(F_Custom1_resolved_column),397)&amp;"|",F_Custom1_wrapped)),1,0),0))</f>
        <v>1</v>
      </c>
      <c r="E398">
        <f>IF(OR(F_Custom2_Q="(None)",F_Custom2_Q="",ISBLANK(F_Custom2_Q),F_Custom2_V="(All)",F_Custom2_V="",ISBLANK(F_Custom2_V)),1,IFERROR(IF(ISNUMBER(SEARCH("|"&amp;INDEX(INDIRECT(F_Custom2_resolved_column),397)&amp;"|",F_Custom2_wrapped)),1,0),0))</f>
        <v>1</v>
      </c>
      <c r="F398">
        <f>D398*E398*1</f>
        <v>1</v>
      </c>
      <c r="G398">
        <f>1</f>
        <v>1</v>
      </c>
      <c r="H3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397)&amp;"|",All_Questions_Q_STREAM_F_wrapped)),1,0),0))*1</f>
        <v>1</v>
      </c>
    </row>
    <row r="399">
      <c r="A399" t="n">
        <v>398</v>
      </c>
      <c r="B399" t="inlineStr">
        <is>
          <t>B</t>
        </is>
      </c>
      <c r="C399">
        <f>1</f>
        <v>1</v>
      </c>
      <c r="D399">
        <f>IF(OR(F_Custom1_Q="(None)",F_Custom1_Q="",ISBLANK(F_Custom1_Q),F_Custom1_V="(All)",F_Custom1_V="",ISBLANK(F_Custom1_V)),1,IFERROR(IF(ISNUMBER(SEARCH("|"&amp;INDEX(INDIRECT(F_Custom1_resolved_column),398)&amp;"|",F_Custom1_wrapped)),1,0),0))</f>
        <v>1</v>
      </c>
      <c r="E399">
        <f>IF(OR(F_Custom2_Q="(None)",F_Custom2_Q="",ISBLANK(F_Custom2_Q),F_Custom2_V="(All)",F_Custom2_V="",ISBLANK(F_Custom2_V)),1,IFERROR(IF(ISNUMBER(SEARCH("|"&amp;INDEX(INDIRECT(F_Custom2_resolved_column),398)&amp;"|",F_Custom2_wrapped)),1,0),0))</f>
        <v>1</v>
      </c>
      <c r="F399">
        <f>D399*E399*1</f>
        <v>1</v>
      </c>
      <c r="G399">
        <f>1</f>
        <v>1</v>
      </c>
      <c r="H3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398)&amp;"|",All_Questions_Q_STREAM_F_wrapped)),1,0),0))*1</f>
        <v>1</v>
      </c>
    </row>
    <row r="400">
      <c r="A400" t="n">
        <v>399</v>
      </c>
      <c r="B400" t="inlineStr">
        <is>
          <t>A</t>
        </is>
      </c>
      <c r="C400">
        <f>1</f>
        <v>1</v>
      </c>
      <c r="D400">
        <f>IF(OR(F_Custom1_Q="(None)",F_Custom1_Q="",ISBLANK(F_Custom1_Q),F_Custom1_V="(All)",F_Custom1_V="",ISBLANK(F_Custom1_V)),1,IFERROR(IF(ISNUMBER(SEARCH("|"&amp;INDEX(INDIRECT(F_Custom1_resolved_column),399)&amp;"|",F_Custom1_wrapped)),1,0),0))</f>
        <v>1</v>
      </c>
      <c r="E400">
        <f>IF(OR(F_Custom2_Q="(None)",F_Custom2_Q="",ISBLANK(F_Custom2_Q),F_Custom2_V="(All)",F_Custom2_V="",ISBLANK(F_Custom2_V)),1,IFERROR(IF(ISNUMBER(SEARCH("|"&amp;INDEX(INDIRECT(F_Custom2_resolved_column),399)&amp;"|",F_Custom2_wrapped)),1,0),0))</f>
        <v>1</v>
      </c>
      <c r="F400">
        <f>D400*E400*1</f>
        <v>1</v>
      </c>
      <c r="G400">
        <f>1</f>
        <v>1</v>
      </c>
      <c r="H4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399)&amp;"|",All_Questions_Q_STREAM_F_wrapped)),1,0),0))*1</f>
        <v>1</v>
      </c>
    </row>
    <row r="401">
      <c r="A401" t="n">
        <v>400</v>
      </c>
      <c r="B401" t="inlineStr">
        <is>
          <t>B</t>
        </is>
      </c>
      <c r="C401">
        <f>1</f>
        <v>1</v>
      </c>
      <c r="D401">
        <f>IF(OR(F_Custom1_Q="(None)",F_Custom1_Q="",ISBLANK(F_Custom1_Q),F_Custom1_V="(All)",F_Custom1_V="",ISBLANK(F_Custom1_V)),1,IFERROR(IF(ISNUMBER(SEARCH("|"&amp;INDEX(INDIRECT(F_Custom1_resolved_column),400)&amp;"|",F_Custom1_wrapped)),1,0),0))</f>
        <v>1</v>
      </c>
      <c r="E401">
        <f>IF(OR(F_Custom2_Q="(None)",F_Custom2_Q="",ISBLANK(F_Custom2_Q),F_Custom2_V="(All)",F_Custom2_V="",ISBLANK(F_Custom2_V)),1,IFERROR(IF(ISNUMBER(SEARCH("|"&amp;INDEX(INDIRECT(F_Custom2_resolved_column),400)&amp;"|",F_Custom2_wrapped)),1,0),0))</f>
        <v>1</v>
      </c>
      <c r="F401">
        <f>D401*E401*1</f>
        <v>1</v>
      </c>
      <c r="G401">
        <f>1</f>
        <v>1</v>
      </c>
      <c r="H4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400)&amp;"|",All_Questions_Q_STREAM_F_wrapped)),1,0),0))*1</f>
        <v>1</v>
      </c>
    </row>
    <row r="402">
      <c r="A402" t="n">
        <v>401</v>
      </c>
      <c r="B402" t="inlineStr">
        <is>
          <t>A</t>
        </is>
      </c>
      <c r="C402">
        <f>1</f>
        <v>1</v>
      </c>
      <c r="D402">
        <f>IF(OR(F_Custom1_Q="(None)",F_Custom1_Q="",ISBLANK(F_Custom1_Q),F_Custom1_V="(All)",F_Custom1_V="",ISBLANK(F_Custom1_V)),1,IFERROR(IF(ISNUMBER(SEARCH("|"&amp;INDEX(INDIRECT(F_Custom1_resolved_column),401)&amp;"|",F_Custom1_wrapped)),1,0),0))</f>
        <v>1</v>
      </c>
      <c r="E402">
        <f>IF(OR(F_Custom2_Q="(None)",F_Custom2_Q="",ISBLANK(F_Custom2_Q),F_Custom2_V="(All)",F_Custom2_V="",ISBLANK(F_Custom2_V)),1,IFERROR(IF(ISNUMBER(SEARCH("|"&amp;INDEX(INDIRECT(F_Custom2_resolved_column),401)&amp;"|",F_Custom2_wrapped)),1,0),0))</f>
        <v>1</v>
      </c>
      <c r="F402">
        <f>D402*E402*1</f>
        <v>1</v>
      </c>
      <c r="G402">
        <f>1</f>
        <v>1</v>
      </c>
      <c r="H4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401)&amp;"|",All_Questions_Q_STREAM_F_wrapped)),1,0),0))*1</f>
        <v>1</v>
      </c>
    </row>
    <row r="403">
      <c r="A403" t="n">
        <v>402</v>
      </c>
      <c r="B403" t="inlineStr">
        <is>
          <t>B</t>
        </is>
      </c>
      <c r="C403">
        <f>1</f>
        <v>1</v>
      </c>
      <c r="D403">
        <f>IF(OR(F_Custom1_Q="(None)",F_Custom1_Q="",ISBLANK(F_Custom1_Q),F_Custom1_V="(All)",F_Custom1_V="",ISBLANK(F_Custom1_V)),1,IFERROR(IF(ISNUMBER(SEARCH("|"&amp;INDEX(INDIRECT(F_Custom1_resolved_column),402)&amp;"|",F_Custom1_wrapped)),1,0),0))</f>
        <v>1</v>
      </c>
      <c r="E403">
        <f>IF(OR(F_Custom2_Q="(None)",F_Custom2_Q="",ISBLANK(F_Custom2_Q),F_Custom2_V="(All)",F_Custom2_V="",ISBLANK(F_Custom2_V)),1,IFERROR(IF(ISNUMBER(SEARCH("|"&amp;INDEX(INDIRECT(F_Custom2_resolved_column),402)&amp;"|",F_Custom2_wrapped)),1,0),0))</f>
        <v>1</v>
      </c>
      <c r="F403">
        <f>D403*E403*1</f>
        <v>1</v>
      </c>
      <c r="G403">
        <f>1</f>
        <v>1</v>
      </c>
      <c r="H4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402)&amp;"|",All_Questions_Q_STREAM_F_wrapped)),1,0),0))*1</f>
        <v>1</v>
      </c>
    </row>
    <row r="404">
      <c r="A404" t="n">
        <v>403</v>
      </c>
      <c r="B404" t="inlineStr">
        <is>
          <t>A</t>
        </is>
      </c>
      <c r="C404">
        <f>1</f>
        <v>1</v>
      </c>
      <c r="D404">
        <f>IF(OR(F_Custom1_Q="(None)",F_Custom1_Q="",ISBLANK(F_Custom1_Q),F_Custom1_V="(All)",F_Custom1_V="",ISBLANK(F_Custom1_V)),1,IFERROR(IF(ISNUMBER(SEARCH("|"&amp;INDEX(INDIRECT(F_Custom1_resolved_column),403)&amp;"|",F_Custom1_wrapped)),1,0),0))</f>
        <v>1</v>
      </c>
      <c r="E404">
        <f>IF(OR(F_Custom2_Q="(None)",F_Custom2_Q="",ISBLANK(F_Custom2_Q),F_Custom2_V="(All)",F_Custom2_V="",ISBLANK(F_Custom2_V)),1,IFERROR(IF(ISNUMBER(SEARCH("|"&amp;INDEX(INDIRECT(F_Custom2_resolved_column),403)&amp;"|",F_Custom2_wrapped)),1,0),0))</f>
        <v>1</v>
      </c>
      <c r="F404">
        <f>D404*E404*1</f>
        <v>1</v>
      </c>
      <c r="G404">
        <f>1</f>
        <v>1</v>
      </c>
      <c r="H4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403)&amp;"|",All_Questions_Q_STREAM_F_wrapped)),1,0),0))*1</f>
        <v>1</v>
      </c>
    </row>
    <row r="405">
      <c r="A405" t="n">
        <v>404</v>
      </c>
      <c r="B405" t="inlineStr">
        <is>
          <t>B</t>
        </is>
      </c>
      <c r="C405">
        <f>1</f>
        <v>1</v>
      </c>
      <c r="D405">
        <f>IF(OR(F_Custom1_Q="(None)",F_Custom1_Q="",ISBLANK(F_Custom1_Q),F_Custom1_V="(All)",F_Custom1_V="",ISBLANK(F_Custom1_V)),1,IFERROR(IF(ISNUMBER(SEARCH("|"&amp;INDEX(INDIRECT(F_Custom1_resolved_column),404)&amp;"|",F_Custom1_wrapped)),1,0),0))</f>
        <v>1</v>
      </c>
      <c r="E405">
        <f>IF(OR(F_Custom2_Q="(None)",F_Custom2_Q="",ISBLANK(F_Custom2_Q),F_Custom2_V="(All)",F_Custom2_V="",ISBLANK(F_Custom2_V)),1,IFERROR(IF(ISNUMBER(SEARCH("|"&amp;INDEX(INDIRECT(F_Custom2_resolved_column),404)&amp;"|",F_Custom2_wrapped)),1,0),0))</f>
        <v>1</v>
      </c>
      <c r="F405">
        <f>D405*E405*1</f>
        <v>1</v>
      </c>
      <c r="G405">
        <f>1</f>
        <v>1</v>
      </c>
      <c r="H4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404)&amp;"|",All_Questions_Q_STREAM_F_wrapped)),1,0),0))*1</f>
        <v>1</v>
      </c>
    </row>
    <row r="406">
      <c r="A406" t="n">
        <v>405</v>
      </c>
      <c r="B406" t="inlineStr">
        <is>
          <t>A</t>
        </is>
      </c>
      <c r="C406">
        <f>1</f>
        <v>1</v>
      </c>
      <c r="D406">
        <f>IF(OR(F_Custom1_Q="(None)",F_Custom1_Q="",ISBLANK(F_Custom1_Q),F_Custom1_V="(All)",F_Custom1_V="",ISBLANK(F_Custom1_V)),1,IFERROR(IF(ISNUMBER(SEARCH("|"&amp;INDEX(INDIRECT(F_Custom1_resolved_column),405)&amp;"|",F_Custom1_wrapped)),1,0),0))</f>
        <v>1</v>
      </c>
      <c r="E406">
        <f>IF(OR(F_Custom2_Q="(None)",F_Custom2_Q="",ISBLANK(F_Custom2_Q),F_Custom2_V="(All)",F_Custom2_V="",ISBLANK(F_Custom2_V)),1,IFERROR(IF(ISNUMBER(SEARCH("|"&amp;INDEX(INDIRECT(F_Custom2_resolved_column),405)&amp;"|",F_Custom2_wrapped)),1,0),0))</f>
        <v>1</v>
      </c>
      <c r="F406">
        <f>D406*E406*1</f>
        <v>1</v>
      </c>
      <c r="G406">
        <f>1</f>
        <v>1</v>
      </c>
      <c r="H4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405)&amp;"|",All_Questions_Q_STREAM_F_wrapped)),1,0),0))*1</f>
        <v>1</v>
      </c>
    </row>
    <row r="407">
      <c r="A407" t="n">
        <v>406</v>
      </c>
      <c r="B407" t="inlineStr">
        <is>
          <t>B</t>
        </is>
      </c>
      <c r="C407">
        <f>1</f>
        <v>1</v>
      </c>
      <c r="D407">
        <f>IF(OR(F_Custom1_Q="(None)",F_Custom1_Q="",ISBLANK(F_Custom1_Q),F_Custom1_V="(All)",F_Custom1_V="",ISBLANK(F_Custom1_V)),1,IFERROR(IF(ISNUMBER(SEARCH("|"&amp;INDEX(INDIRECT(F_Custom1_resolved_column),406)&amp;"|",F_Custom1_wrapped)),1,0),0))</f>
        <v>1</v>
      </c>
      <c r="E407">
        <f>IF(OR(F_Custom2_Q="(None)",F_Custom2_Q="",ISBLANK(F_Custom2_Q),F_Custom2_V="(All)",F_Custom2_V="",ISBLANK(F_Custom2_V)),1,IFERROR(IF(ISNUMBER(SEARCH("|"&amp;INDEX(INDIRECT(F_Custom2_resolved_column),406)&amp;"|",F_Custom2_wrapped)),1,0),0))</f>
        <v>1</v>
      </c>
      <c r="F407">
        <f>D407*E407*1</f>
        <v>1</v>
      </c>
      <c r="G407">
        <f>1</f>
        <v>1</v>
      </c>
      <c r="H4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406)&amp;"|",All_Questions_Q_STREAM_F_wrapped)),1,0),0))*1</f>
        <v>1</v>
      </c>
    </row>
    <row r="408">
      <c r="A408" t="n">
        <v>407</v>
      </c>
      <c r="B408" t="inlineStr">
        <is>
          <t>A</t>
        </is>
      </c>
      <c r="C408">
        <f>1</f>
        <v>1</v>
      </c>
      <c r="D408">
        <f>IF(OR(F_Custom1_Q="(None)",F_Custom1_Q="",ISBLANK(F_Custom1_Q),F_Custom1_V="(All)",F_Custom1_V="",ISBLANK(F_Custom1_V)),1,IFERROR(IF(ISNUMBER(SEARCH("|"&amp;INDEX(INDIRECT(F_Custom1_resolved_column),407)&amp;"|",F_Custom1_wrapped)),1,0),0))</f>
        <v>1</v>
      </c>
      <c r="E408">
        <f>IF(OR(F_Custom2_Q="(None)",F_Custom2_Q="",ISBLANK(F_Custom2_Q),F_Custom2_V="(All)",F_Custom2_V="",ISBLANK(F_Custom2_V)),1,IFERROR(IF(ISNUMBER(SEARCH("|"&amp;INDEX(INDIRECT(F_Custom2_resolved_column),407)&amp;"|",F_Custom2_wrapped)),1,0),0))</f>
        <v>1</v>
      </c>
      <c r="F408">
        <f>D408*E408*1</f>
        <v>1</v>
      </c>
      <c r="G408">
        <f>1</f>
        <v>1</v>
      </c>
      <c r="H4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407)&amp;"|",All_Questions_Q_STREAM_F_wrapped)),1,0),0))*1</f>
        <v>1</v>
      </c>
    </row>
    <row r="409">
      <c r="A409" t="n">
        <v>408</v>
      </c>
      <c r="B409" t="inlineStr">
        <is>
          <t>B</t>
        </is>
      </c>
      <c r="C409">
        <f>1</f>
        <v>1</v>
      </c>
      <c r="D409">
        <f>IF(OR(F_Custom1_Q="(None)",F_Custom1_Q="",ISBLANK(F_Custom1_Q),F_Custom1_V="(All)",F_Custom1_V="",ISBLANK(F_Custom1_V)),1,IFERROR(IF(ISNUMBER(SEARCH("|"&amp;INDEX(INDIRECT(F_Custom1_resolved_column),408)&amp;"|",F_Custom1_wrapped)),1,0),0))</f>
        <v>1</v>
      </c>
      <c r="E409">
        <f>IF(OR(F_Custom2_Q="(None)",F_Custom2_Q="",ISBLANK(F_Custom2_Q),F_Custom2_V="(All)",F_Custom2_V="",ISBLANK(F_Custom2_V)),1,IFERROR(IF(ISNUMBER(SEARCH("|"&amp;INDEX(INDIRECT(F_Custom2_resolved_column),408)&amp;"|",F_Custom2_wrapped)),1,0),0))</f>
        <v>1</v>
      </c>
      <c r="F409">
        <f>D409*E409*1</f>
        <v>1</v>
      </c>
      <c r="G409">
        <f>1</f>
        <v>1</v>
      </c>
      <c r="H4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408)&amp;"|",All_Questions_Q_STREAM_F_wrapped)),1,0),0))*1</f>
        <v>1</v>
      </c>
    </row>
    <row r="410">
      <c r="A410" t="n">
        <v>409</v>
      </c>
      <c r="B410" t="inlineStr">
        <is>
          <t>A</t>
        </is>
      </c>
      <c r="C410">
        <f>1</f>
        <v>1</v>
      </c>
      <c r="D410">
        <f>IF(OR(F_Custom1_Q="(None)",F_Custom1_Q="",ISBLANK(F_Custom1_Q),F_Custom1_V="(All)",F_Custom1_V="",ISBLANK(F_Custom1_V)),1,IFERROR(IF(ISNUMBER(SEARCH("|"&amp;INDEX(INDIRECT(F_Custom1_resolved_column),409)&amp;"|",F_Custom1_wrapped)),1,0),0))</f>
        <v>1</v>
      </c>
      <c r="E410">
        <f>IF(OR(F_Custom2_Q="(None)",F_Custom2_Q="",ISBLANK(F_Custom2_Q),F_Custom2_V="(All)",F_Custom2_V="",ISBLANK(F_Custom2_V)),1,IFERROR(IF(ISNUMBER(SEARCH("|"&amp;INDEX(INDIRECT(F_Custom2_resolved_column),409)&amp;"|",F_Custom2_wrapped)),1,0),0))</f>
        <v>1</v>
      </c>
      <c r="F410">
        <f>D410*E410*1</f>
        <v>1</v>
      </c>
      <c r="G410">
        <f>1</f>
        <v>1</v>
      </c>
      <c r="H4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409)&amp;"|",All_Questions_Q_STREAM_F_wrapped)),1,0),0))*1</f>
        <v>1</v>
      </c>
    </row>
    <row r="411">
      <c r="A411" t="n">
        <v>410</v>
      </c>
      <c r="B411" t="inlineStr">
        <is>
          <t>B</t>
        </is>
      </c>
      <c r="C411">
        <f>1</f>
        <v>1</v>
      </c>
      <c r="D411">
        <f>IF(OR(F_Custom1_Q="(None)",F_Custom1_Q="",ISBLANK(F_Custom1_Q),F_Custom1_V="(All)",F_Custom1_V="",ISBLANK(F_Custom1_V)),1,IFERROR(IF(ISNUMBER(SEARCH("|"&amp;INDEX(INDIRECT(F_Custom1_resolved_column),410)&amp;"|",F_Custom1_wrapped)),1,0),0))</f>
        <v>1</v>
      </c>
      <c r="E411">
        <f>IF(OR(F_Custom2_Q="(None)",F_Custom2_Q="",ISBLANK(F_Custom2_Q),F_Custom2_V="(All)",F_Custom2_V="",ISBLANK(F_Custom2_V)),1,IFERROR(IF(ISNUMBER(SEARCH("|"&amp;INDEX(INDIRECT(F_Custom2_resolved_column),410)&amp;"|",F_Custom2_wrapped)),1,0),0))</f>
        <v>1</v>
      </c>
      <c r="F411">
        <f>D411*E411*1</f>
        <v>1</v>
      </c>
      <c r="G411">
        <f>1</f>
        <v>1</v>
      </c>
      <c r="H4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410)&amp;"|",All_Questions_Q_STREAM_F_wrapped)),1,0),0))*1</f>
        <v>1</v>
      </c>
    </row>
    <row r="412">
      <c r="A412" t="n">
        <v>411</v>
      </c>
      <c r="B412" t="inlineStr">
        <is>
          <t>A</t>
        </is>
      </c>
      <c r="C412">
        <f>1</f>
        <v>1</v>
      </c>
      <c r="D412">
        <f>IF(OR(F_Custom1_Q="(None)",F_Custom1_Q="",ISBLANK(F_Custom1_Q),F_Custom1_V="(All)",F_Custom1_V="",ISBLANK(F_Custom1_V)),1,IFERROR(IF(ISNUMBER(SEARCH("|"&amp;INDEX(INDIRECT(F_Custom1_resolved_column),411)&amp;"|",F_Custom1_wrapped)),1,0),0))</f>
        <v>1</v>
      </c>
      <c r="E412">
        <f>IF(OR(F_Custom2_Q="(None)",F_Custom2_Q="",ISBLANK(F_Custom2_Q),F_Custom2_V="(All)",F_Custom2_V="",ISBLANK(F_Custom2_V)),1,IFERROR(IF(ISNUMBER(SEARCH("|"&amp;INDEX(INDIRECT(F_Custom2_resolved_column),411)&amp;"|",F_Custom2_wrapped)),1,0),0))</f>
        <v>1</v>
      </c>
      <c r="F412">
        <f>D412*E412*1</f>
        <v>1</v>
      </c>
      <c r="G412">
        <f>1</f>
        <v>1</v>
      </c>
      <c r="H4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411)&amp;"|",All_Questions_Q_STREAM_F_wrapped)),1,0),0))*1</f>
        <v>1</v>
      </c>
    </row>
    <row r="413">
      <c r="A413" t="n">
        <v>412</v>
      </c>
      <c r="B413" t="inlineStr">
        <is>
          <t>B</t>
        </is>
      </c>
      <c r="C413">
        <f>1</f>
        <v>1</v>
      </c>
      <c r="D413">
        <f>IF(OR(F_Custom1_Q="(None)",F_Custom1_Q="",ISBLANK(F_Custom1_Q),F_Custom1_V="(All)",F_Custom1_V="",ISBLANK(F_Custom1_V)),1,IFERROR(IF(ISNUMBER(SEARCH("|"&amp;INDEX(INDIRECT(F_Custom1_resolved_column),412)&amp;"|",F_Custom1_wrapped)),1,0),0))</f>
        <v>1</v>
      </c>
      <c r="E413">
        <f>IF(OR(F_Custom2_Q="(None)",F_Custom2_Q="",ISBLANK(F_Custom2_Q),F_Custom2_V="(All)",F_Custom2_V="",ISBLANK(F_Custom2_V)),1,IFERROR(IF(ISNUMBER(SEARCH("|"&amp;INDEX(INDIRECT(F_Custom2_resolved_column),412)&amp;"|",F_Custom2_wrapped)),1,0),0))</f>
        <v>1</v>
      </c>
      <c r="F413">
        <f>D413*E413*1</f>
        <v>1</v>
      </c>
      <c r="G413">
        <f>1</f>
        <v>1</v>
      </c>
      <c r="H4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412)&amp;"|",All_Questions_Q_STREAM_F_wrapped)),1,0),0))*1</f>
        <v>1</v>
      </c>
    </row>
    <row r="414">
      <c r="A414" t="n">
        <v>413</v>
      </c>
      <c r="B414" t="inlineStr">
        <is>
          <t>A</t>
        </is>
      </c>
      <c r="C414">
        <f>1</f>
        <v>1</v>
      </c>
      <c r="D414">
        <f>IF(OR(F_Custom1_Q="(None)",F_Custom1_Q="",ISBLANK(F_Custom1_Q),F_Custom1_V="(All)",F_Custom1_V="",ISBLANK(F_Custom1_V)),1,IFERROR(IF(ISNUMBER(SEARCH("|"&amp;INDEX(INDIRECT(F_Custom1_resolved_column),413)&amp;"|",F_Custom1_wrapped)),1,0),0))</f>
        <v>1</v>
      </c>
      <c r="E414">
        <f>IF(OR(F_Custom2_Q="(None)",F_Custom2_Q="",ISBLANK(F_Custom2_Q),F_Custom2_V="(All)",F_Custom2_V="",ISBLANK(F_Custom2_V)),1,IFERROR(IF(ISNUMBER(SEARCH("|"&amp;INDEX(INDIRECT(F_Custom2_resolved_column),413)&amp;"|",F_Custom2_wrapped)),1,0),0))</f>
        <v>1</v>
      </c>
      <c r="F414">
        <f>D414*E414*1</f>
        <v>1</v>
      </c>
      <c r="G414">
        <f>1</f>
        <v>1</v>
      </c>
      <c r="H4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413)&amp;"|",All_Questions_Q_STREAM_F_wrapped)),1,0),0))*1</f>
        <v>1</v>
      </c>
    </row>
    <row r="415">
      <c r="A415" t="n">
        <v>414</v>
      </c>
      <c r="B415" t="inlineStr">
        <is>
          <t>B</t>
        </is>
      </c>
      <c r="C415">
        <f>1</f>
        <v>1</v>
      </c>
      <c r="D415">
        <f>IF(OR(F_Custom1_Q="(None)",F_Custom1_Q="",ISBLANK(F_Custom1_Q),F_Custom1_V="(All)",F_Custom1_V="",ISBLANK(F_Custom1_V)),1,IFERROR(IF(ISNUMBER(SEARCH("|"&amp;INDEX(INDIRECT(F_Custom1_resolved_column),414)&amp;"|",F_Custom1_wrapped)),1,0),0))</f>
        <v>1</v>
      </c>
      <c r="E415">
        <f>IF(OR(F_Custom2_Q="(None)",F_Custom2_Q="",ISBLANK(F_Custom2_Q),F_Custom2_V="(All)",F_Custom2_V="",ISBLANK(F_Custom2_V)),1,IFERROR(IF(ISNUMBER(SEARCH("|"&amp;INDEX(INDIRECT(F_Custom2_resolved_column),414)&amp;"|",F_Custom2_wrapped)),1,0),0))</f>
        <v>1</v>
      </c>
      <c r="F415">
        <f>D415*E415*1</f>
        <v>1</v>
      </c>
      <c r="G415">
        <f>1</f>
        <v>1</v>
      </c>
      <c r="H4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414)&amp;"|",All_Questions_Q_STREAM_F_wrapped)),1,0),0))*1</f>
        <v>1</v>
      </c>
    </row>
    <row r="416">
      <c r="A416" t="n">
        <v>415</v>
      </c>
      <c r="B416" t="inlineStr">
        <is>
          <t>A</t>
        </is>
      </c>
      <c r="C416">
        <f>1</f>
        <v>1</v>
      </c>
      <c r="D416">
        <f>IF(OR(F_Custom1_Q="(None)",F_Custom1_Q="",ISBLANK(F_Custom1_Q),F_Custom1_V="(All)",F_Custom1_V="",ISBLANK(F_Custom1_V)),1,IFERROR(IF(ISNUMBER(SEARCH("|"&amp;INDEX(INDIRECT(F_Custom1_resolved_column),415)&amp;"|",F_Custom1_wrapped)),1,0),0))</f>
        <v>1</v>
      </c>
      <c r="E416">
        <f>IF(OR(F_Custom2_Q="(None)",F_Custom2_Q="",ISBLANK(F_Custom2_Q),F_Custom2_V="(All)",F_Custom2_V="",ISBLANK(F_Custom2_V)),1,IFERROR(IF(ISNUMBER(SEARCH("|"&amp;INDEX(INDIRECT(F_Custom2_resolved_column),415)&amp;"|",F_Custom2_wrapped)),1,0),0))</f>
        <v>1</v>
      </c>
      <c r="F416">
        <f>D416*E416*1</f>
        <v>1</v>
      </c>
      <c r="G416">
        <f>1</f>
        <v>1</v>
      </c>
      <c r="H4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415)&amp;"|",All_Questions_Q_STREAM_F_wrapped)),1,0),0))*1</f>
        <v>1</v>
      </c>
    </row>
    <row r="417">
      <c r="A417" t="n">
        <v>416</v>
      </c>
      <c r="B417" t="inlineStr">
        <is>
          <t>B</t>
        </is>
      </c>
      <c r="C417">
        <f>1</f>
        <v>1</v>
      </c>
      <c r="D417">
        <f>IF(OR(F_Custom1_Q="(None)",F_Custom1_Q="",ISBLANK(F_Custom1_Q),F_Custom1_V="(All)",F_Custom1_V="",ISBLANK(F_Custom1_V)),1,IFERROR(IF(ISNUMBER(SEARCH("|"&amp;INDEX(INDIRECT(F_Custom1_resolved_column),416)&amp;"|",F_Custom1_wrapped)),1,0),0))</f>
        <v>1</v>
      </c>
      <c r="E417">
        <f>IF(OR(F_Custom2_Q="(None)",F_Custom2_Q="",ISBLANK(F_Custom2_Q),F_Custom2_V="(All)",F_Custom2_V="",ISBLANK(F_Custom2_V)),1,IFERROR(IF(ISNUMBER(SEARCH("|"&amp;INDEX(INDIRECT(F_Custom2_resolved_column),416)&amp;"|",F_Custom2_wrapped)),1,0),0))</f>
        <v>1</v>
      </c>
      <c r="F417">
        <f>D417*E417*1</f>
        <v>1</v>
      </c>
      <c r="G417">
        <f>1</f>
        <v>1</v>
      </c>
      <c r="H4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416)&amp;"|",All_Questions_Q_STREAM_F_wrapped)),1,0),0))*1</f>
        <v>1</v>
      </c>
    </row>
    <row r="418">
      <c r="A418" t="n">
        <v>417</v>
      </c>
      <c r="B418" t="inlineStr">
        <is>
          <t>A</t>
        </is>
      </c>
      <c r="C418">
        <f>1</f>
        <v>1</v>
      </c>
      <c r="D418">
        <f>IF(OR(F_Custom1_Q="(None)",F_Custom1_Q="",ISBLANK(F_Custom1_Q),F_Custom1_V="(All)",F_Custom1_V="",ISBLANK(F_Custom1_V)),1,IFERROR(IF(ISNUMBER(SEARCH("|"&amp;INDEX(INDIRECT(F_Custom1_resolved_column),417)&amp;"|",F_Custom1_wrapped)),1,0),0))</f>
        <v>1</v>
      </c>
      <c r="E418">
        <f>IF(OR(F_Custom2_Q="(None)",F_Custom2_Q="",ISBLANK(F_Custom2_Q),F_Custom2_V="(All)",F_Custom2_V="",ISBLANK(F_Custom2_V)),1,IFERROR(IF(ISNUMBER(SEARCH("|"&amp;INDEX(INDIRECT(F_Custom2_resolved_column),417)&amp;"|",F_Custom2_wrapped)),1,0),0))</f>
        <v>1</v>
      </c>
      <c r="F418">
        <f>D418*E418*1</f>
        <v>1</v>
      </c>
      <c r="G418">
        <f>1</f>
        <v>1</v>
      </c>
      <c r="H4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417)&amp;"|",All_Questions_Q_STREAM_F_wrapped)),1,0),0))*1</f>
        <v>1</v>
      </c>
    </row>
    <row r="419">
      <c r="A419" t="n">
        <v>418</v>
      </c>
      <c r="B419" t="inlineStr">
        <is>
          <t>B</t>
        </is>
      </c>
      <c r="C419">
        <f>1</f>
        <v>1</v>
      </c>
      <c r="D419">
        <f>IF(OR(F_Custom1_Q="(None)",F_Custom1_Q="",ISBLANK(F_Custom1_Q),F_Custom1_V="(All)",F_Custom1_V="",ISBLANK(F_Custom1_V)),1,IFERROR(IF(ISNUMBER(SEARCH("|"&amp;INDEX(INDIRECT(F_Custom1_resolved_column),418)&amp;"|",F_Custom1_wrapped)),1,0),0))</f>
        <v>1</v>
      </c>
      <c r="E419">
        <f>IF(OR(F_Custom2_Q="(None)",F_Custom2_Q="",ISBLANK(F_Custom2_Q),F_Custom2_V="(All)",F_Custom2_V="",ISBLANK(F_Custom2_V)),1,IFERROR(IF(ISNUMBER(SEARCH("|"&amp;INDEX(INDIRECT(F_Custom2_resolved_column),418)&amp;"|",F_Custom2_wrapped)),1,0),0))</f>
        <v>1</v>
      </c>
      <c r="F419">
        <f>D419*E419*1</f>
        <v>1</v>
      </c>
      <c r="G419">
        <f>1</f>
        <v>1</v>
      </c>
      <c r="H4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418)&amp;"|",All_Questions_Q_STREAM_F_wrapped)),1,0),0))*1</f>
        <v>1</v>
      </c>
    </row>
    <row r="420">
      <c r="A420" t="n">
        <v>419</v>
      </c>
      <c r="B420" t="inlineStr">
        <is>
          <t>A</t>
        </is>
      </c>
      <c r="C420">
        <f>1</f>
        <v>1</v>
      </c>
      <c r="D420">
        <f>IF(OR(F_Custom1_Q="(None)",F_Custom1_Q="",ISBLANK(F_Custom1_Q),F_Custom1_V="(All)",F_Custom1_V="",ISBLANK(F_Custom1_V)),1,IFERROR(IF(ISNUMBER(SEARCH("|"&amp;INDEX(INDIRECT(F_Custom1_resolved_column),419)&amp;"|",F_Custom1_wrapped)),1,0),0))</f>
        <v>1</v>
      </c>
      <c r="E420">
        <f>IF(OR(F_Custom2_Q="(None)",F_Custom2_Q="",ISBLANK(F_Custom2_Q),F_Custom2_V="(All)",F_Custom2_V="",ISBLANK(F_Custom2_V)),1,IFERROR(IF(ISNUMBER(SEARCH("|"&amp;INDEX(INDIRECT(F_Custom2_resolved_column),419)&amp;"|",F_Custom2_wrapped)),1,0),0))</f>
        <v>1</v>
      </c>
      <c r="F420">
        <f>D420*E420*1</f>
        <v>1</v>
      </c>
      <c r="G420">
        <f>1</f>
        <v>1</v>
      </c>
      <c r="H4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419)&amp;"|",All_Questions_Q_STREAM_F_wrapped)),1,0),0))*1</f>
        <v>1</v>
      </c>
    </row>
    <row r="421">
      <c r="A421" t="n">
        <v>420</v>
      </c>
      <c r="B421" t="inlineStr">
        <is>
          <t>B</t>
        </is>
      </c>
      <c r="C421">
        <f>1</f>
        <v>1</v>
      </c>
      <c r="D421">
        <f>IF(OR(F_Custom1_Q="(None)",F_Custom1_Q="",ISBLANK(F_Custom1_Q),F_Custom1_V="(All)",F_Custom1_V="",ISBLANK(F_Custom1_V)),1,IFERROR(IF(ISNUMBER(SEARCH("|"&amp;INDEX(INDIRECT(F_Custom1_resolved_column),420)&amp;"|",F_Custom1_wrapped)),1,0),0))</f>
        <v>1</v>
      </c>
      <c r="E421">
        <f>IF(OR(F_Custom2_Q="(None)",F_Custom2_Q="",ISBLANK(F_Custom2_Q),F_Custom2_V="(All)",F_Custom2_V="",ISBLANK(F_Custom2_V)),1,IFERROR(IF(ISNUMBER(SEARCH("|"&amp;INDEX(INDIRECT(F_Custom2_resolved_column),420)&amp;"|",F_Custom2_wrapped)),1,0),0))</f>
        <v>1</v>
      </c>
      <c r="F421">
        <f>D421*E421*1</f>
        <v>1</v>
      </c>
      <c r="G421">
        <f>1</f>
        <v>1</v>
      </c>
      <c r="H4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420)&amp;"|",All_Questions_Q_STREAM_F_wrapped)),1,0),0))*1</f>
        <v>1</v>
      </c>
    </row>
    <row r="422">
      <c r="A422" t="n">
        <v>421</v>
      </c>
      <c r="B422" t="inlineStr">
        <is>
          <t>A</t>
        </is>
      </c>
      <c r="C422">
        <f>1</f>
        <v>1</v>
      </c>
      <c r="D422">
        <f>IF(OR(F_Custom1_Q="(None)",F_Custom1_Q="",ISBLANK(F_Custom1_Q),F_Custom1_V="(All)",F_Custom1_V="",ISBLANK(F_Custom1_V)),1,IFERROR(IF(ISNUMBER(SEARCH("|"&amp;INDEX(INDIRECT(F_Custom1_resolved_column),421)&amp;"|",F_Custom1_wrapped)),1,0),0))</f>
        <v>1</v>
      </c>
      <c r="E422">
        <f>IF(OR(F_Custom2_Q="(None)",F_Custom2_Q="",ISBLANK(F_Custom2_Q),F_Custom2_V="(All)",F_Custom2_V="",ISBLANK(F_Custom2_V)),1,IFERROR(IF(ISNUMBER(SEARCH("|"&amp;INDEX(INDIRECT(F_Custom2_resolved_column),421)&amp;"|",F_Custom2_wrapped)),1,0),0))</f>
        <v>1</v>
      </c>
      <c r="F422">
        <f>D422*E422*1</f>
        <v>1</v>
      </c>
      <c r="G422">
        <f>1</f>
        <v>1</v>
      </c>
      <c r="H4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421)&amp;"|",All_Questions_Q_STREAM_F_wrapped)),1,0),0))*1</f>
        <v>1</v>
      </c>
    </row>
    <row r="423">
      <c r="A423" t="n">
        <v>422</v>
      </c>
      <c r="B423" t="inlineStr">
        <is>
          <t>B</t>
        </is>
      </c>
      <c r="C423">
        <f>1</f>
        <v>1</v>
      </c>
      <c r="D423">
        <f>IF(OR(F_Custom1_Q="(None)",F_Custom1_Q="",ISBLANK(F_Custom1_Q),F_Custom1_V="(All)",F_Custom1_V="",ISBLANK(F_Custom1_V)),1,IFERROR(IF(ISNUMBER(SEARCH("|"&amp;INDEX(INDIRECT(F_Custom1_resolved_column),422)&amp;"|",F_Custom1_wrapped)),1,0),0))</f>
        <v>1</v>
      </c>
      <c r="E423">
        <f>IF(OR(F_Custom2_Q="(None)",F_Custom2_Q="",ISBLANK(F_Custom2_Q),F_Custom2_V="(All)",F_Custom2_V="",ISBLANK(F_Custom2_V)),1,IFERROR(IF(ISNUMBER(SEARCH("|"&amp;INDEX(INDIRECT(F_Custom2_resolved_column),422)&amp;"|",F_Custom2_wrapped)),1,0),0))</f>
        <v>1</v>
      </c>
      <c r="F423">
        <f>D423*E423*1</f>
        <v>1</v>
      </c>
      <c r="G423">
        <f>1</f>
        <v>1</v>
      </c>
      <c r="H4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422)&amp;"|",All_Questions_Q_STREAM_F_wrapped)),1,0),0))*1</f>
        <v>1</v>
      </c>
    </row>
    <row r="424">
      <c r="A424" t="n">
        <v>423</v>
      </c>
      <c r="B424" t="inlineStr">
        <is>
          <t>A</t>
        </is>
      </c>
      <c r="C424">
        <f>1</f>
        <v>1</v>
      </c>
      <c r="D424">
        <f>IF(OR(F_Custom1_Q="(None)",F_Custom1_Q="",ISBLANK(F_Custom1_Q),F_Custom1_V="(All)",F_Custom1_V="",ISBLANK(F_Custom1_V)),1,IFERROR(IF(ISNUMBER(SEARCH("|"&amp;INDEX(INDIRECT(F_Custom1_resolved_column),423)&amp;"|",F_Custom1_wrapped)),1,0),0))</f>
        <v>1</v>
      </c>
      <c r="E424">
        <f>IF(OR(F_Custom2_Q="(None)",F_Custom2_Q="",ISBLANK(F_Custom2_Q),F_Custom2_V="(All)",F_Custom2_V="",ISBLANK(F_Custom2_V)),1,IFERROR(IF(ISNUMBER(SEARCH("|"&amp;INDEX(INDIRECT(F_Custom2_resolved_column),423)&amp;"|",F_Custom2_wrapped)),1,0),0))</f>
        <v>1</v>
      </c>
      <c r="F424">
        <f>D424*E424*1</f>
        <v>1</v>
      </c>
      <c r="G424">
        <f>1</f>
        <v>1</v>
      </c>
      <c r="H4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423)&amp;"|",All_Questions_Q_STREAM_F_wrapped)),1,0),0))*1</f>
        <v>1</v>
      </c>
    </row>
    <row r="425">
      <c r="A425" t="n">
        <v>424</v>
      </c>
      <c r="B425" t="inlineStr">
        <is>
          <t>B</t>
        </is>
      </c>
      <c r="C425">
        <f>1</f>
        <v>1</v>
      </c>
      <c r="D425">
        <f>IF(OR(F_Custom1_Q="(None)",F_Custom1_Q="",ISBLANK(F_Custom1_Q),F_Custom1_V="(All)",F_Custom1_V="",ISBLANK(F_Custom1_V)),1,IFERROR(IF(ISNUMBER(SEARCH("|"&amp;INDEX(INDIRECT(F_Custom1_resolved_column),424)&amp;"|",F_Custom1_wrapped)),1,0),0))</f>
        <v>1</v>
      </c>
      <c r="E425">
        <f>IF(OR(F_Custom2_Q="(None)",F_Custom2_Q="",ISBLANK(F_Custom2_Q),F_Custom2_V="(All)",F_Custom2_V="",ISBLANK(F_Custom2_V)),1,IFERROR(IF(ISNUMBER(SEARCH("|"&amp;INDEX(INDIRECT(F_Custom2_resolved_column),424)&amp;"|",F_Custom2_wrapped)),1,0),0))</f>
        <v>1</v>
      </c>
      <c r="F425">
        <f>D425*E425*1</f>
        <v>1</v>
      </c>
      <c r="G425">
        <f>1</f>
        <v>1</v>
      </c>
      <c r="H4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424)&amp;"|",All_Questions_Q_STREAM_F_wrapped)),1,0),0))*1</f>
        <v>1</v>
      </c>
    </row>
    <row r="426">
      <c r="A426" t="n">
        <v>425</v>
      </c>
      <c r="B426" t="inlineStr">
        <is>
          <t>A</t>
        </is>
      </c>
      <c r="C426">
        <f>1</f>
        <v>1</v>
      </c>
      <c r="D426">
        <f>IF(OR(F_Custom1_Q="(None)",F_Custom1_Q="",ISBLANK(F_Custom1_Q),F_Custom1_V="(All)",F_Custom1_V="",ISBLANK(F_Custom1_V)),1,IFERROR(IF(ISNUMBER(SEARCH("|"&amp;INDEX(INDIRECT(F_Custom1_resolved_column),425)&amp;"|",F_Custom1_wrapped)),1,0),0))</f>
        <v>1</v>
      </c>
      <c r="E426">
        <f>IF(OR(F_Custom2_Q="(None)",F_Custom2_Q="",ISBLANK(F_Custom2_Q),F_Custom2_V="(All)",F_Custom2_V="",ISBLANK(F_Custom2_V)),1,IFERROR(IF(ISNUMBER(SEARCH("|"&amp;INDEX(INDIRECT(F_Custom2_resolved_column),425)&amp;"|",F_Custom2_wrapped)),1,0),0))</f>
        <v>1</v>
      </c>
      <c r="F426">
        <f>D426*E426*1</f>
        <v>1</v>
      </c>
      <c r="G426">
        <f>1</f>
        <v>1</v>
      </c>
      <c r="H4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425)&amp;"|",All_Questions_Q_STREAM_F_wrapped)),1,0),0))*1</f>
        <v>1</v>
      </c>
    </row>
    <row r="427">
      <c r="A427" t="n">
        <v>426</v>
      </c>
      <c r="B427" t="inlineStr">
        <is>
          <t>B</t>
        </is>
      </c>
      <c r="C427">
        <f>1</f>
        <v>1</v>
      </c>
      <c r="D427">
        <f>IF(OR(F_Custom1_Q="(None)",F_Custom1_Q="",ISBLANK(F_Custom1_Q),F_Custom1_V="(All)",F_Custom1_V="",ISBLANK(F_Custom1_V)),1,IFERROR(IF(ISNUMBER(SEARCH("|"&amp;INDEX(INDIRECT(F_Custom1_resolved_column),426)&amp;"|",F_Custom1_wrapped)),1,0),0))</f>
        <v>1</v>
      </c>
      <c r="E427">
        <f>IF(OR(F_Custom2_Q="(None)",F_Custom2_Q="",ISBLANK(F_Custom2_Q),F_Custom2_V="(All)",F_Custom2_V="",ISBLANK(F_Custom2_V)),1,IFERROR(IF(ISNUMBER(SEARCH("|"&amp;INDEX(INDIRECT(F_Custom2_resolved_column),426)&amp;"|",F_Custom2_wrapped)),1,0),0))</f>
        <v>1</v>
      </c>
      <c r="F427">
        <f>D427*E427*1</f>
        <v>1</v>
      </c>
      <c r="G427">
        <f>1</f>
        <v>1</v>
      </c>
      <c r="H4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426)&amp;"|",All_Questions_Q_STREAM_F_wrapped)),1,0),0))*1</f>
        <v>1</v>
      </c>
    </row>
    <row r="428">
      <c r="A428" t="n">
        <v>427</v>
      </c>
      <c r="B428" t="inlineStr">
        <is>
          <t>A</t>
        </is>
      </c>
      <c r="C428">
        <f>1</f>
        <v>1</v>
      </c>
      <c r="D428">
        <f>IF(OR(F_Custom1_Q="(None)",F_Custom1_Q="",ISBLANK(F_Custom1_Q),F_Custom1_V="(All)",F_Custom1_V="",ISBLANK(F_Custom1_V)),1,IFERROR(IF(ISNUMBER(SEARCH("|"&amp;INDEX(INDIRECT(F_Custom1_resolved_column),427)&amp;"|",F_Custom1_wrapped)),1,0),0))</f>
        <v>1</v>
      </c>
      <c r="E428">
        <f>IF(OR(F_Custom2_Q="(None)",F_Custom2_Q="",ISBLANK(F_Custom2_Q),F_Custom2_V="(All)",F_Custom2_V="",ISBLANK(F_Custom2_V)),1,IFERROR(IF(ISNUMBER(SEARCH("|"&amp;INDEX(INDIRECT(F_Custom2_resolved_column),427)&amp;"|",F_Custom2_wrapped)),1,0),0))</f>
        <v>1</v>
      </c>
      <c r="F428">
        <f>D428*E428*1</f>
        <v>1</v>
      </c>
      <c r="G428">
        <f>1</f>
        <v>1</v>
      </c>
      <c r="H4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427)&amp;"|",All_Questions_Q_STREAM_F_wrapped)),1,0),0))*1</f>
        <v>1</v>
      </c>
    </row>
    <row r="429">
      <c r="A429" t="n">
        <v>428</v>
      </c>
      <c r="B429" t="inlineStr">
        <is>
          <t>B</t>
        </is>
      </c>
      <c r="C429">
        <f>1</f>
        <v>1</v>
      </c>
      <c r="D429">
        <f>IF(OR(F_Custom1_Q="(None)",F_Custom1_Q="",ISBLANK(F_Custom1_Q),F_Custom1_V="(All)",F_Custom1_V="",ISBLANK(F_Custom1_V)),1,IFERROR(IF(ISNUMBER(SEARCH("|"&amp;INDEX(INDIRECT(F_Custom1_resolved_column),428)&amp;"|",F_Custom1_wrapped)),1,0),0))</f>
        <v>1</v>
      </c>
      <c r="E429">
        <f>IF(OR(F_Custom2_Q="(None)",F_Custom2_Q="",ISBLANK(F_Custom2_Q),F_Custom2_V="(All)",F_Custom2_V="",ISBLANK(F_Custom2_V)),1,IFERROR(IF(ISNUMBER(SEARCH("|"&amp;INDEX(INDIRECT(F_Custom2_resolved_column),428)&amp;"|",F_Custom2_wrapped)),1,0),0))</f>
        <v>1</v>
      </c>
      <c r="F429">
        <f>D429*E429*1</f>
        <v>1</v>
      </c>
      <c r="G429">
        <f>1</f>
        <v>1</v>
      </c>
      <c r="H4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428)&amp;"|",All_Questions_Q_STREAM_F_wrapped)),1,0),0))*1</f>
        <v>1</v>
      </c>
    </row>
    <row r="430">
      <c r="A430" t="n">
        <v>429</v>
      </c>
      <c r="B430" t="inlineStr">
        <is>
          <t>A</t>
        </is>
      </c>
      <c r="C430">
        <f>1</f>
        <v>1</v>
      </c>
      <c r="D430">
        <f>IF(OR(F_Custom1_Q="(None)",F_Custom1_Q="",ISBLANK(F_Custom1_Q),F_Custom1_V="(All)",F_Custom1_V="",ISBLANK(F_Custom1_V)),1,IFERROR(IF(ISNUMBER(SEARCH("|"&amp;INDEX(INDIRECT(F_Custom1_resolved_column),429)&amp;"|",F_Custom1_wrapped)),1,0),0))</f>
        <v>1</v>
      </c>
      <c r="E430">
        <f>IF(OR(F_Custom2_Q="(None)",F_Custom2_Q="",ISBLANK(F_Custom2_Q),F_Custom2_V="(All)",F_Custom2_V="",ISBLANK(F_Custom2_V)),1,IFERROR(IF(ISNUMBER(SEARCH("|"&amp;INDEX(INDIRECT(F_Custom2_resolved_column),429)&amp;"|",F_Custom2_wrapped)),1,0),0))</f>
        <v>1</v>
      </c>
      <c r="F430">
        <f>D430*E430*1</f>
        <v>1</v>
      </c>
      <c r="G430">
        <f>1</f>
        <v>1</v>
      </c>
      <c r="H4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429)&amp;"|",All_Questions_Q_STREAM_F_wrapped)),1,0),0))*1</f>
        <v>1</v>
      </c>
    </row>
    <row r="431">
      <c r="A431" t="n">
        <v>430</v>
      </c>
      <c r="B431" t="inlineStr">
        <is>
          <t>B</t>
        </is>
      </c>
      <c r="C431">
        <f>1</f>
        <v>1</v>
      </c>
      <c r="D431">
        <f>IF(OR(F_Custom1_Q="(None)",F_Custom1_Q="",ISBLANK(F_Custom1_Q),F_Custom1_V="(All)",F_Custom1_V="",ISBLANK(F_Custom1_V)),1,IFERROR(IF(ISNUMBER(SEARCH("|"&amp;INDEX(INDIRECT(F_Custom1_resolved_column),430)&amp;"|",F_Custom1_wrapped)),1,0),0))</f>
        <v>1</v>
      </c>
      <c r="E431">
        <f>IF(OR(F_Custom2_Q="(None)",F_Custom2_Q="",ISBLANK(F_Custom2_Q),F_Custom2_V="(All)",F_Custom2_V="",ISBLANK(F_Custom2_V)),1,IFERROR(IF(ISNUMBER(SEARCH("|"&amp;INDEX(INDIRECT(F_Custom2_resolved_column),430)&amp;"|",F_Custom2_wrapped)),1,0),0))</f>
        <v>1</v>
      </c>
      <c r="F431">
        <f>D431*E431*1</f>
        <v>1</v>
      </c>
      <c r="G431">
        <f>1</f>
        <v>1</v>
      </c>
      <c r="H4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430)&amp;"|",All_Questions_Q_STREAM_F_wrapped)),1,0),0))*1</f>
        <v>1</v>
      </c>
    </row>
    <row r="432">
      <c r="A432" t="n">
        <v>431</v>
      </c>
      <c r="B432" t="inlineStr">
        <is>
          <t>A</t>
        </is>
      </c>
      <c r="C432">
        <f>1</f>
        <v>1</v>
      </c>
      <c r="D432">
        <f>IF(OR(F_Custom1_Q="(None)",F_Custom1_Q="",ISBLANK(F_Custom1_Q),F_Custom1_V="(All)",F_Custom1_V="",ISBLANK(F_Custom1_V)),1,IFERROR(IF(ISNUMBER(SEARCH("|"&amp;INDEX(INDIRECT(F_Custom1_resolved_column),431)&amp;"|",F_Custom1_wrapped)),1,0),0))</f>
        <v>1</v>
      </c>
      <c r="E432">
        <f>IF(OR(F_Custom2_Q="(None)",F_Custom2_Q="",ISBLANK(F_Custom2_Q),F_Custom2_V="(All)",F_Custom2_V="",ISBLANK(F_Custom2_V)),1,IFERROR(IF(ISNUMBER(SEARCH("|"&amp;INDEX(INDIRECT(F_Custom2_resolved_column),431)&amp;"|",F_Custom2_wrapped)),1,0),0))</f>
        <v>1</v>
      </c>
      <c r="F432">
        <f>D432*E432*1</f>
        <v>1</v>
      </c>
      <c r="G432">
        <f>1</f>
        <v>1</v>
      </c>
      <c r="H4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431)&amp;"|",All_Questions_Q_STREAM_F_wrapped)),1,0),0))*1</f>
        <v>1</v>
      </c>
    </row>
    <row r="433">
      <c r="A433" t="n">
        <v>432</v>
      </c>
      <c r="B433" t="inlineStr">
        <is>
          <t>B</t>
        </is>
      </c>
      <c r="C433">
        <f>1</f>
        <v>1</v>
      </c>
      <c r="D433">
        <f>IF(OR(F_Custom1_Q="(None)",F_Custom1_Q="",ISBLANK(F_Custom1_Q),F_Custom1_V="(All)",F_Custom1_V="",ISBLANK(F_Custom1_V)),1,IFERROR(IF(ISNUMBER(SEARCH("|"&amp;INDEX(INDIRECT(F_Custom1_resolved_column),432)&amp;"|",F_Custom1_wrapped)),1,0),0))</f>
        <v>1</v>
      </c>
      <c r="E433">
        <f>IF(OR(F_Custom2_Q="(None)",F_Custom2_Q="",ISBLANK(F_Custom2_Q),F_Custom2_V="(All)",F_Custom2_V="",ISBLANK(F_Custom2_V)),1,IFERROR(IF(ISNUMBER(SEARCH("|"&amp;INDEX(INDIRECT(F_Custom2_resolved_column),432)&amp;"|",F_Custom2_wrapped)),1,0),0))</f>
        <v>1</v>
      </c>
      <c r="F433">
        <f>D433*E433*1</f>
        <v>1</v>
      </c>
      <c r="G433">
        <f>1</f>
        <v>1</v>
      </c>
      <c r="H4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432)&amp;"|",All_Questions_Q_STREAM_F_wrapped)),1,0),0))*1</f>
        <v>1</v>
      </c>
    </row>
    <row r="434">
      <c r="A434" t="n">
        <v>433</v>
      </c>
      <c r="B434" t="inlineStr">
        <is>
          <t>A</t>
        </is>
      </c>
      <c r="C434">
        <f>1</f>
        <v>1</v>
      </c>
      <c r="D434">
        <f>IF(OR(F_Custom1_Q="(None)",F_Custom1_Q="",ISBLANK(F_Custom1_Q),F_Custom1_V="(All)",F_Custom1_V="",ISBLANK(F_Custom1_V)),1,IFERROR(IF(ISNUMBER(SEARCH("|"&amp;INDEX(INDIRECT(F_Custom1_resolved_column),433)&amp;"|",F_Custom1_wrapped)),1,0),0))</f>
        <v>1</v>
      </c>
      <c r="E434">
        <f>IF(OR(F_Custom2_Q="(None)",F_Custom2_Q="",ISBLANK(F_Custom2_Q),F_Custom2_V="(All)",F_Custom2_V="",ISBLANK(F_Custom2_V)),1,IFERROR(IF(ISNUMBER(SEARCH("|"&amp;INDEX(INDIRECT(F_Custom2_resolved_column),433)&amp;"|",F_Custom2_wrapped)),1,0),0))</f>
        <v>1</v>
      </c>
      <c r="F434">
        <f>D434*E434*1</f>
        <v>1</v>
      </c>
      <c r="G434">
        <f>1</f>
        <v>1</v>
      </c>
      <c r="H4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433)&amp;"|",All_Questions_Q_STREAM_F_wrapped)),1,0),0))*1</f>
        <v>1</v>
      </c>
    </row>
    <row r="435">
      <c r="A435" t="n">
        <v>434</v>
      </c>
      <c r="B435" t="inlineStr">
        <is>
          <t>B</t>
        </is>
      </c>
      <c r="C435">
        <f>1</f>
        <v>1</v>
      </c>
      <c r="D435">
        <f>IF(OR(F_Custom1_Q="(None)",F_Custom1_Q="",ISBLANK(F_Custom1_Q),F_Custom1_V="(All)",F_Custom1_V="",ISBLANK(F_Custom1_V)),1,IFERROR(IF(ISNUMBER(SEARCH("|"&amp;INDEX(INDIRECT(F_Custom1_resolved_column),434)&amp;"|",F_Custom1_wrapped)),1,0),0))</f>
        <v>1</v>
      </c>
      <c r="E435">
        <f>IF(OR(F_Custom2_Q="(None)",F_Custom2_Q="",ISBLANK(F_Custom2_Q),F_Custom2_V="(All)",F_Custom2_V="",ISBLANK(F_Custom2_V)),1,IFERROR(IF(ISNUMBER(SEARCH("|"&amp;INDEX(INDIRECT(F_Custom2_resolved_column),434)&amp;"|",F_Custom2_wrapped)),1,0),0))</f>
        <v>1</v>
      </c>
      <c r="F435">
        <f>D435*E435*1</f>
        <v>1</v>
      </c>
      <c r="G435">
        <f>1</f>
        <v>1</v>
      </c>
      <c r="H4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434)&amp;"|",All_Questions_Q_STREAM_F_wrapped)),1,0),0))*1</f>
        <v>1</v>
      </c>
    </row>
    <row r="436">
      <c r="A436" t="n">
        <v>435</v>
      </c>
      <c r="B436" t="inlineStr">
        <is>
          <t>A</t>
        </is>
      </c>
      <c r="C436">
        <f>1</f>
        <v>1</v>
      </c>
      <c r="D436">
        <f>IF(OR(F_Custom1_Q="(None)",F_Custom1_Q="",ISBLANK(F_Custom1_Q),F_Custom1_V="(All)",F_Custom1_V="",ISBLANK(F_Custom1_V)),1,IFERROR(IF(ISNUMBER(SEARCH("|"&amp;INDEX(INDIRECT(F_Custom1_resolved_column),435)&amp;"|",F_Custom1_wrapped)),1,0),0))</f>
        <v>1</v>
      </c>
      <c r="E436">
        <f>IF(OR(F_Custom2_Q="(None)",F_Custom2_Q="",ISBLANK(F_Custom2_Q),F_Custom2_V="(All)",F_Custom2_V="",ISBLANK(F_Custom2_V)),1,IFERROR(IF(ISNUMBER(SEARCH("|"&amp;INDEX(INDIRECT(F_Custom2_resolved_column),435)&amp;"|",F_Custom2_wrapped)),1,0),0))</f>
        <v>1</v>
      </c>
      <c r="F436">
        <f>D436*E436*1</f>
        <v>1</v>
      </c>
      <c r="G436">
        <f>1</f>
        <v>1</v>
      </c>
      <c r="H4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435)&amp;"|",All_Questions_Q_STREAM_F_wrapped)),1,0),0))*1</f>
        <v>1</v>
      </c>
    </row>
    <row r="437">
      <c r="A437" t="n">
        <v>436</v>
      </c>
      <c r="B437" t="inlineStr">
        <is>
          <t>B</t>
        </is>
      </c>
      <c r="C437">
        <f>1</f>
        <v>1</v>
      </c>
      <c r="D437">
        <f>IF(OR(F_Custom1_Q="(None)",F_Custom1_Q="",ISBLANK(F_Custom1_Q),F_Custom1_V="(All)",F_Custom1_V="",ISBLANK(F_Custom1_V)),1,IFERROR(IF(ISNUMBER(SEARCH("|"&amp;INDEX(INDIRECT(F_Custom1_resolved_column),436)&amp;"|",F_Custom1_wrapped)),1,0),0))</f>
        <v>1</v>
      </c>
      <c r="E437">
        <f>IF(OR(F_Custom2_Q="(None)",F_Custom2_Q="",ISBLANK(F_Custom2_Q),F_Custom2_V="(All)",F_Custom2_V="",ISBLANK(F_Custom2_V)),1,IFERROR(IF(ISNUMBER(SEARCH("|"&amp;INDEX(INDIRECT(F_Custom2_resolved_column),436)&amp;"|",F_Custom2_wrapped)),1,0),0))</f>
        <v>1</v>
      </c>
      <c r="F437">
        <f>D437*E437*1</f>
        <v>1</v>
      </c>
      <c r="G437">
        <f>1</f>
        <v>1</v>
      </c>
      <c r="H4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436)&amp;"|",All_Questions_Q_STREAM_F_wrapped)),1,0),0))*1</f>
        <v>1</v>
      </c>
    </row>
    <row r="438">
      <c r="A438" t="n">
        <v>437</v>
      </c>
      <c r="B438" t="inlineStr">
        <is>
          <t>A</t>
        </is>
      </c>
      <c r="C438">
        <f>1</f>
        <v>1</v>
      </c>
      <c r="D438">
        <f>IF(OR(F_Custom1_Q="(None)",F_Custom1_Q="",ISBLANK(F_Custom1_Q),F_Custom1_V="(All)",F_Custom1_V="",ISBLANK(F_Custom1_V)),1,IFERROR(IF(ISNUMBER(SEARCH("|"&amp;INDEX(INDIRECT(F_Custom1_resolved_column),437)&amp;"|",F_Custom1_wrapped)),1,0),0))</f>
        <v>1</v>
      </c>
      <c r="E438">
        <f>IF(OR(F_Custom2_Q="(None)",F_Custom2_Q="",ISBLANK(F_Custom2_Q),F_Custom2_V="(All)",F_Custom2_V="",ISBLANK(F_Custom2_V)),1,IFERROR(IF(ISNUMBER(SEARCH("|"&amp;INDEX(INDIRECT(F_Custom2_resolved_column),437)&amp;"|",F_Custom2_wrapped)),1,0),0))</f>
        <v>1</v>
      </c>
      <c r="F438">
        <f>D438*E438*1</f>
        <v>1</v>
      </c>
      <c r="G438">
        <f>1</f>
        <v>1</v>
      </c>
      <c r="H4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437)&amp;"|",All_Questions_Q_STREAM_F_wrapped)),1,0),0))*1</f>
        <v>1</v>
      </c>
    </row>
    <row r="439">
      <c r="A439" t="n">
        <v>438</v>
      </c>
      <c r="B439" t="inlineStr">
        <is>
          <t>B</t>
        </is>
      </c>
      <c r="C439">
        <f>1</f>
        <v>1</v>
      </c>
      <c r="D439">
        <f>IF(OR(F_Custom1_Q="(None)",F_Custom1_Q="",ISBLANK(F_Custom1_Q),F_Custom1_V="(All)",F_Custom1_V="",ISBLANK(F_Custom1_V)),1,IFERROR(IF(ISNUMBER(SEARCH("|"&amp;INDEX(INDIRECT(F_Custom1_resolved_column),438)&amp;"|",F_Custom1_wrapped)),1,0),0))</f>
        <v>1</v>
      </c>
      <c r="E439">
        <f>IF(OR(F_Custom2_Q="(None)",F_Custom2_Q="",ISBLANK(F_Custom2_Q),F_Custom2_V="(All)",F_Custom2_V="",ISBLANK(F_Custom2_V)),1,IFERROR(IF(ISNUMBER(SEARCH("|"&amp;INDEX(INDIRECT(F_Custom2_resolved_column),438)&amp;"|",F_Custom2_wrapped)),1,0),0))</f>
        <v>1</v>
      </c>
      <c r="F439">
        <f>D439*E439*1</f>
        <v>1</v>
      </c>
      <c r="G439">
        <f>1</f>
        <v>1</v>
      </c>
      <c r="H4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438)&amp;"|",All_Questions_Q_STREAM_F_wrapped)),1,0),0))*1</f>
        <v>1</v>
      </c>
    </row>
    <row r="440">
      <c r="A440" t="n">
        <v>439</v>
      </c>
      <c r="B440" t="inlineStr">
        <is>
          <t>A</t>
        </is>
      </c>
      <c r="C440">
        <f>1</f>
        <v>1</v>
      </c>
      <c r="D440">
        <f>IF(OR(F_Custom1_Q="(None)",F_Custom1_Q="",ISBLANK(F_Custom1_Q),F_Custom1_V="(All)",F_Custom1_V="",ISBLANK(F_Custom1_V)),1,IFERROR(IF(ISNUMBER(SEARCH("|"&amp;INDEX(INDIRECT(F_Custom1_resolved_column),439)&amp;"|",F_Custom1_wrapped)),1,0),0))</f>
        <v>1</v>
      </c>
      <c r="E440">
        <f>IF(OR(F_Custom2_Q="(None)",F_Custom2_Q="",ISBLANK(F_Custom2_Q),F_Custom2_V="(All)",F_Custom2_V="",ISBLANK(F_Custom2_V)),1,IFERROR(IF(ISNUMBER(SEARCH("|"&amp;INDEX(INDIRECT(F_Custom2_resolved_column),439)&amp;"|",F_Custom2_wrapped)),1,0),0))</f>
        <v>1</v>
      </c>
      <c r="F440">
        <f>D440*E440*1</f>
        <v>1</v>
      </c>
      <c r="G440">
        <f>1</f>
        <v>1</v>
      </c>
      <c r="H4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439)&amp;"|",All_Questions_Q_STREAM_F_wrapped)),1,0),0))*1</f>
        <v>1</v>
      </c>
    </row>
    <row r="441">
      <c r="A441" t="n">
        <v>440</v>
      </c>
      <c r="B441" t="inlineStr">
        <is>
          <t>B</t>
        </is>
      </c>
      <c r="C441">
        <f>1</f>
        <v>1</v>
      </c>
      <c r="D441">
        <f>IF(OR(F_Custom1_Q="(None)",F_Custom1_Q="",ISBLANK(F_Custom1_Q),F_Custom1_V="(All)",F_Custom1_V="",ISBLANK(F_Custom1_V)),1,IFERROR(IF(ISNUMBER(SEARCH("|"&amp;INDEX(INDIRECT(F_Custom1_resolved_column),440)&amp;"|",F_Custom1_wrapped)),1,0),0))</f>
        <v>1</v>
      </c>
      <c r="E441">
        <f>IF(OR(F_Custom2_Q="(None)",F_Custom2_Q="",ISBLANK(F_Custom2_Q),F_Custom2_V="(All)",F_Custom2_V="",ISBLANK(F_Custom2_V)),1,IFERROR(IF(ISNUMBER(SEARCH("|"&amp;INDEX(INDIRECT(F_Custom2_resolved_column),440)&amp;"|",F_Custom2_wrapped)),1,0),0))</f>
        <v>1</v>
      </c>
      <c r="F441">
        <f>D441*E441*1</f>
        <v>1</v>
      </c>
      <c r="G441">
        <f>1</f>
        <v>1</v>
      </c>
      <c r="H4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440)&amp;"|",All_Questions_Q_STREAM_F_wrapped)),1,0),0))*1</f>
        <v>1</v>
      </c>
    </row>
    <row r="442">
      <c r="A442" t="n">
        <v>441</v>
      </c>
      <c r="B442" t="inlineStr">
        <is>
          <t>A</t>
        </is>
      </c>
      <c r="C442">
        <f>1</f>
        <v>1</v>
      </c>
      <c r="D442">
        <f>IF(OR(F_Custom1_Q="(None)",F_Custom1_Q="",ISBLANK(F_Custom1_Q),F_Custom1_V="(All)",F_Custom1_V="",ISBLANK(F_Custom1_V)),1,IFERROR(IF(ISNUMBER(SEARCH("|"&amp;INDEX(INDIRECT(F_Custom1_resolved_column),441)&amp;"|",F_Custom1_wrapped)),1,0),0))</f>
        <v>1</v>
      </c>
      <c r="E442">
        <f>IF(OR(F_Custom2_Q="(None)",F_Custom2_Q="",ISBLANK(F_Custom2_Q),F_Custom2_V="(All)",F_Custom2_V="",ISBLANK(F_Custom2_V)),1,IFERROR(IF(ISNUMBER(SEARCH("|"&amp;INDEX(INDIRECT(F_Custom2_resolved_column),441)&amp;"|",F_Custom2_wrapped)),1,0),0))</f>
        <v>1</v>
      </c>
      <c r="F442">
        <f>D442*E442*1</f>
        <v>1</v>
      </c>
      <c r="G442">
        <f>1</f>
        <v>1</v>
      </c>
      <c r="H4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441)&amp;"|",All_Questions_Q_STREAM_F_wrapped)),1,0),0))*1</f>
        <v>1</v>
      </c>
    </row>
    <row r="443">
      <c r="A443" t="n">
        <v>442</v>
      </c>
      <c r="B443" t="inlineStr">
        <is>
          <t>B</t>
        </is>
      </c>
      <c r="C443">
        <f>1</f>
        <v>1</v>
      </c>
      <c r="D443">
        <f>IF(OR(F_Custom1_Q="(None)",F_Custom1_Q="",ISBLANK(F_Custom1_Q),F_Custom1_V="(All)",F_Custom1_V="",ISBLANK(F_Custom1_V)),1,IFERROR(IF(ISNUMBER(SEARCH("|"&amp;INDEX(INDIRECT(F_Custom1_resolved_column),442)&amp;"|",F_Custom1_wrapped)),1,0),0))</f>
        <v>1</v>
      </c>
      <c r="E443">
        <f>IF(OR(F_Custom2_Q="(None)",F_Custom2_Q="",ISBLANK(F_Custom2_Q),F_Custom2_V="(All)",F_Custom2_V="",ISBLANK(F_Custom2_V)),1,IFERROR(IF(ISNUMBER(SEARCH("|"&amp;INDEX(INDIRECT(F_Custom2_resolved_column),442)&amp;"|",F_Custom2_wrapped)),1,0),0))</f>
        <v>1</v>
      </c>
      <c r="F443">
        <f>D443*E443*1</f>
        <v>1</v>
      </c>
      <c r="G443">
        <f>1</f>
        <v>1</v>
      </c>
      <c r="H4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442)&amp;"|",All_Questions_Q_STREAM_F_wrapped)),1,0),0))*1</f>
        <v>1</v>
      </c>
    </row>
    <row r="444">
      <c r="A444" t="n">
        <v>443</v>
      </c>
      <c r="B444" t="inlineStr">
        <is>
          <t>A</t>
        </is>
      </c>
      <c r="C444">
        <f>1</f>
        <v>1</v>
      </c>
      <c r="D444">
        <f>IF(OR(F_Custom1_Q="(None)",F_Custom1_Q="",ISBLANK(F_Custom1_Q),F_Custom1_V="(All)",F_Custom1_V="",ISBLANK(F_Custom1_V)),1,IFERROR(IF(ISNUMBER(SEARCH("|"&amp;INDEX(INDIRECT(F_Custom1_resolved_column),443)&amp;"|",F_Custom1_wrapped)),1,0),0))</f>
        <v>1</v>
      </c>
      <c r="E444">
        <f>IF(OR(F_Custom2_Q="(None)",F_Custom2_Q="",ISBLANK(F_Custom2_Q),F_Custom2_V="(All)",F_Custom2_V="",ISBLANK(F_Custom2_V)),1,IFERROR(IF(ISNUMBER(SEARCH("|"&amp;INDEX(INDIRECT(F_Custom2_resolved_column),443)&amp;"|",F_Custom2_wrapped)),1,0),0))</f>
        <v>1</v>
      </c>
      <c r="F444">
        <f>D444*E444*1</f>
        <v>1</v>
      </c>
      <c r="G444">
        <f>1</f>
        <v>1</v>
      </c>
      <c r="H4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443)&amp;"|",All_Questions_Q_STREAM_F_wrapped)),1,0),0))*1</f>
        <v>1</v>
      </c>
    </row>
    <row r="445">
      <c r="A445" t="n">
        <v>444</v>
      </c>
      <c r="B445" t="inlineStr">
        <is>
          <t>B</t>
        </is>
      </c>
      <c r="C445">
        <f>1</f>
        <v>1</v>
      </c>
      <c r="D445">
        <f>IF(OR(F_Custom1_Q="(None)",F_Custom1_Q="",ISBLANK(F_Custom1_Q),F_Custom1_V="(All)",F_Custom1_V="",ISBLANK(F_Custom1_V)),1,IFERROR(IF(ISNUMBER(SEARCH("|"&amp;INDEX(INDIRECT(F_Custom1_resolved_column),444)&amp;"|",F_Custom1_wrapped)),1,0),0))</f>
        <v>1</v>
      </c>
      <c r="E445">
        <f>IF(OR(F_Custom2_Q="(None)",F_Custom2_Q="",ISBLANK(F_Custom2_Q),F_Custom2_V="(All)",F_Custom2_V="",ISBLANK(F_Custom2_V)),1,IFERROR(IF(ISNUMBER(SEARCH("|"&amp;INDEX(INDIRECT(F_Custom2_resolved_column),444)&amp;"|",F_Custom2_wrapped)),1,0),0))</f>
        <v>1</v>
      </c>
      <c r="F445">
        <f>D445*E445*1</f>
        <v>1</v>
      </c>
      <c r="G445">
        <f>1</f>
        <v>1</v>
      </c>
      <c r="H4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444)&amp;"|",All_Questions_Q_STREAM_F_wrapped)),1,0),0))*1</f>
        <v>1</v>
      </c>
    </row>
    <row r="446">
      <c r="A446" t="n">
        <v>445</v>
      </c>
      <c r="B446" t="inlineStr">
        <is>
          <t>A</t>
        </is>
      </c>
      <c r="C446">
        <f>1</f>
        <v>1</v>
      </c>
      <c r="D446">
        <f>IF(OR(F_Custom1_Q="(None)",F_Custom1_Q="",ISBLANK(F_Custom1_Q),F_Custom1_V="(All)",F_Custom1_V="",ISBLANK(F_Custom1_V)),1,IFERROR(IF(ISNUMBER(SEARCH("|"&amp;INDEX(INDIRECT(F_Custom1_resolved_column),445)&amp;"|",F_Custom1_wrapped)),1,0),0))</f>
        <v>1</v>
      </c>
      <c r="E446">
        <f>IF(OR(F_Custom2_Q="(None)",F_Custom2_Q="",ISBLANK(F_Custom2_Q),F_Custom2_V="(All)",F_Custom2_V="",ISBLANK(F_Custom2_V)),1,IFERROR(IF(ISNUMBER(SEARCH("|"&amp;INDEX(INDIRECT(F_Custom2_resolved_column),445)&amp;"|",F_Custom2_wrapped)),1,0),0))</f>
        <v>1</v>
      </c>
      <c r="F446">
        <f>D446*E446*1</f>
        <v>1</v>
      </c>
      <c r="G446">
        <f>1</f>
        <v>1</v>
      </c>
      <c r="H4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445)&amp;"|",All_Questions_Q_STREAM_F_wrapped)),1,0),0))*1</f>
        <v>1</v>
      </c>
    </row>
    <row r="447">
      <c r="A447" t="n">
        <v>446</v>
      </c>
      <c r="B447" t="inlineStr">
        <is>
          <t>B</t>
        </is>
      </c>
      <c r="C447">
        <f>1</f>
        <v>1</v>
      </c>
      <c r="D447">
        <f>IF(OR(F_Custom1_Q="(None)",F_Custom1_Q="",ISBLANK(F_Custom1_Q),F_Custom1_V="(All)",F_Custom1_V="",ISBLANK(F_Custom1_V)),1,IFERROR(IF(ISNUMBER(SEARCH("|"&amp;INDEX(INDIRECT(F_Custom1_resolved_column),446)&amp;"|",F_Custom1_wrapped)),1,0),0))</f>
        <v>1</v>
      </c>
      <c r="E447">
        <f>IF(OR(F_Custom2_Q="(None)",F_Custom2_Q="",ISBLANK(F_Custom2_Q),F_Custom2_V="(All)",F_Custom2_V="",ISBLANK(F_Custom2_V)),1,IFERROR(IF(ISNUMBER(SEARCH("|"&amp;INDEX(INDIRECT(F_Custom2_resolved_column),446)&amp;"|",F_Custom2_wrapped)),1,0),0))</f>
        <v>1</v>
      </c>
      <c r="F447">
        <f>D447*E447*1</f>
        <v>1</v>
      </c>
      <c r="G447">
        <f>1</f>
        <v>1</v>
      </c>
      <c r="H4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446)&amp;"|",All_Questions_Q_STREAM_F_wrapped)),1,0),0))*1</f>
        <v>1</v>
      </c>
    </row>
    <row r="448">
      <c r="A448" t="n">
        <v>447</v>
      </c>
      <c r="B448" t="inlineStr">
        <is>
          <t>A</t>
        </is>
      </c>
      <c r="C448">
        <f>1</f>
        <v>1</v>
      </c>
      <c r="D448">
        <f>IF(OR(F_Custom1_Q="(None)",F_Custom1_Q="",ISBLANK(F_Custom1_Q),F_Custom1_V="(All)",F_Custom1_V="",ISBLANK(F_Custom1_V)),1,IFERROR(IF(ISNUMBER(SEARCH("|"&amp;INDEX(INDIRECT(F_Custom1_resolved_column),447)&amp;"|",F_Custom1_wrapped)),1,0),0))</f>
        <v>1</v>
      </c>
      <c r="E448">
        <f>IF(OR(F_Custom2_Q="(None)",F_Custom2_Q="",ISBLANK(F_Custom2_Q),F_Custom2_V="(All)",F_Custom2_V="",ISBLANK(F_Custom2_V)),1,IFERROR(IF(ISNUMBER(SEARCH("|"&amp;INDEX(INDIRECT(F_Custom2_resolved_column),447)&amp;"|",F_Custom2_wrapped)),1,0),0))</f>
        <v>1</v>
      </c>
      <c r="F448">
        <f>D448*E448*1</f>
        <v>1</v>
      </c>
      <c r="G448">
        <f>1</f>
        <v>1</v>
      </c>
      <c r="H4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447)&amp;"|",All_Questions_Q_STREAM_F_wrapped)),1,0),0))*1</f>
        <v>1</v>
      </c>
    </row>
    <row r="449">
      <c r="A449" t="n">
        <v>448</v>
      </c>
      <c r="B449" t="inlineStr">
        <is>
          <t>B</t>
        </is>
      </c>
      <c r="C449">
        <f>1</f>
        <v>1</v>
      </c>
      <c r="D449">
        <f>IF(OR(F_Custom1_Q="(None)",F_Custom1_Q="",ISBLANK(F_Custom1_Q),F_Custom1_V="(All)",F_Custom1_V="",ISBLANK(F_Custom1_V)),1,IFERROR(IF(ISNUMBER(SEARCH("|"&amp;INDEX(INDIRECT(F_Custom1_resolved_column),448)&amp;"|",F_Custom1_wrapped)),1,0),0))</f>
        <v>1</v>
      </c>
      <c r="E449">
        <f>IF(OR(F_Custom2_Q="(None)",F_Custom2_Q="",ISBLANK(F_Custom2_Q),F_Custom2_V="(All)",F_Custom2_V="",ISBLANK(F_Custom2_V)),1,IFERROR(IF(ISNUMBER(SEARCH("|"&amp;INDEX(INDIRECT(F_Custom2_resolved_column),448)&amp;"|",F_Custom2_wrapped)),1,0),0))</f>
        <v>1</v>
      </c>
      <c r="F449">
        <f>D449*E449*1</f>
        <v>1</v>
      </c>
      <c r="G449">
        <f>1</f>
        <v>1</v>
      </c>
      <c r="H4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448)&amp;"|",All_Questions_Q_STREAM_F_wrapped)),1,0),0))*1</f>
        <v>1</v>
      </c>
    </row>
    <row r="450">
      <c r="A450" t="n">
        <v>449</v>
      </c>
      <c r="B450" t="inlineStr">
        <is>
          <t>A</t>
        </is>
      </c>
      <c r="C450">
        <f>1</f>
        <v>1</v>
      </c>
      <c r="D450">
        <f>IF(OR(F_Custom1_Q="(None)",F_Custom1_Q="",ISBLANK(F_Custom1_Q),F_Custom1_V="(All)",F_Custom1_V="",ISBLANK(F_Custom1_V)),1,IFERROR(IF(ISNUMBER(SEARCH("|"&amp;INDEX(INDIRECT(F_Custom1_resolved_column),449)&amp;"|",F_Custom1_wrapped)),1,0),0))</f>
        <v>1</v>
      </c>
      <c r="E450">
        <f>IF(OR(F_Custom2_Q="(None)",F_Custom2_Q="",ISBLANK(F_Custom2_Q),F_Custom2_V="(All)",F_Custom2_V="",ISBLANK(F_Custom2_V)),1,IFERROR(IF(ISNUMBER(SEARCH("|"&amp;INDEX(INDIRECT(F_Custom2_resolved_column),449)&amp;"|",F_Custom2_wrapped)),1,0),0))</f>
        <v>1</v>
      </c>
      <c r="F450">
        <f>D450*E450*1</f>
        <v>1</v>
      </c>
      <c r="G450">
        <f>1</f>
        <v>1</v>
      </c>
      <c r="H4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449)&amp;"|",All_Questions_Q_STREAM_F_wrapped)),1,0),0))*1</f>
        <v>1</v>
      </c>
    </row>
    <row r="451">
      <c r="A451" t="n">
        <v>450</v>
      </c>
      <c r="B451" t="inlineStr">
        <is>
          <t>B</t>
        </is>
      </c>
      <c r="C451">
        <f>1</f>
        <v>1</v>
      </c>
      <c r="D451">
        <f>IF(OR(F_Custom1_Q="(None)",F_Custom1_Q="",ISBLANK(F_Custom1_Q),F_Custom1_V="(All)",F_Custom1_V="",ISBLANK(F_Custom1_V)),1,IFERROR(IF(ISNUMBER(SEARCH("|"&amp;INDEX(INDIRECT(F_Custom1_resolved_column),450)&amp;"|",F_Custom1_wrapped)),1,0),0))</f>
        <v>1</v>
      </c>
      <c r="E451">
        <f>IF(OR(F_Custom2_Q="(None)",F_Custom2_Q="",ISBLANK(F_Custom2_Q),F_Custom2_V="(All)",F_Custom2_V="",ISBLANK(F_Custom2_V)),1,IFERROR(IF(ISNUMBER(SEARCH("|"&amp;INDEX(INDIRECT(F_Custom2_resolved_column),450)&amp;"|",F_Custom2_wrapped)),1,0),0))</f>
        <v>1</v>
      </c>
      <c r="F451">
        <f>D451*E451*1</f>
        <v>1</v>
      </c>
      <c r="G451">
        <f>1</f>
        <v>1</v>
      </c>
      <c r="H4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450)&amp;"|",All_Questions_Q_STREAM_F_wrapped)),1,0),0))*1</f>
        <v>1</v>
      </c>
    </row>
    <row r="452">
      <c r="A452" t="n">
        <v>451</v>
      </c>
      <c r="B452" t="inlineStr">
        <is>
          <t>A</t>
        </is>
      </c>
      <c r="C452">
        <f>1</f>
        <v>1</v>
      </c>
      <c r="D452">
        <f>IF(OR(F_Custom1_Q="(None)",F_Custom1_Q="",ISBLANK(F_Custom1_Q),F_Custom1_V="(All)",F_Custom1_V="",ISBLANK(F_Custom1_V)),1,IFERROR(IF(ISNUMBER(SEARCH("|"&amp;INDEX(INDIRECT(F_Custom1_resolved_column),451)&amp;"|",F_Custom1_wrapped)),1,0),0))</f>
        <v>1</v>
      </c>
      <c r="E452">
        <f>IF(OR(F_Custom2_Q="(None)",F_Custom2_Q="",ISBLANK(F_Custom2_Q),F_Custom2_V="(All)",F_Custom2_V="",ISBLANK(F_Custom2_V)),1,IFERROR(IF(ISNUMBER(SEARCH("|"&amp;INDEX(INDIRECT(F_Custom2_resolved_column),451)&amp;"|",F_Custom2_wrapped)),1,0),0))</f>
        <v>1</v>
      </c>
      <c r="F452">
        <f>D452*E452*1</f>
        <v>1</v>
      </c>
      <c r="G452">
        <f>1</f>
        <v>1</v>
      </c>
      <c r="H4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451)&amp;"|",All_Questions_Q_STREAM_F_wrapped)),1,0),0))*1</f>
        <v>1</v>
      </c>
    </row>
    <row r="453">
      <c r="A453" t="n">
        <v>452</v>
      </c>
      <c r="B453" t="inlineStr">
        <is>
          <t>B</t>
        </is>
      </c>
      <c r="C453">
        <f>1</f>
        <v>1</v>
      </c>
      <c r="D453">
        <f>IF(OR(F_Custom1_Q="(None)",F_Custom1_Q="",ISBLANK(F_Custom1_Q),F_Custom1_V="(All)",F_Custom1_V="",ISBLANK(F_Custom1_V)),1,IFERROR(IF(ISNUMBER(SEARCH("|"&amp;INDEX(INDIRECT(F_Custom1_resolved_column),452)&amp;"|",F_Custom1_wrapped)),1,0),0))</f>
        <v>1</v>
      </c>
      <c r="E453">
        <f>IF(OR(F_Custom2_Q="(None)",F_Custom2_Q="",ISBLANK(F_Custom2_Q),F_Custom2_V="(All)",F_Custom2_V="",ISBLANK(F_Custom2_V)),1,IFERROR(IF(ISNUMBER(SEARCH("|"&amp;INDEX(INDIRECT(F_Custom2_resolved_column),452)&amp;"|",F_Custom2_wrapped)),1,0),0))</f>
        <v>1</v>
      </c>
      <c r="F453">
        <f>D453*E453*1</f>
        <v>1</v>
      </c>
      <c r="G453">
        <f>1</f>
        <v>1</v>
      </c>
      <c r="H4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452)&amp;"|",All_Questions_Q_STREAM_F_wrapped)),1,0),0))*1</f>
        <v>1</v>
      </c>
    </row>
    <row r="454">
      <c r="A454" t="n">
        <v>453</v>
      </c>
      <c r="B454" t="inlineStr">
        <is>
          <t>A</t>
        </is>
      </c>
      <c r="C454">
        <f>1</f>
        <v>1</v>
      </c>
      <c r="D454">
        <f>IF(OR(F_Custom1_Q="(None)",F_Custom1_Q="",ISBLANK(F_Custom1_Q),F_Custom1_V="(All)",F_Custom1_V="",ISBLANK(F_Custom1_V)),1,IFERROR(IF(ISNUMBER(SEARCH("|"&amp;INDEX(INDIRECT(F_Custom1_resolved_column),453)&amp;"|",F_Custom1_wrapped)),1,0),0))</f>
        <v>1</v>
      </c>
      <c r="E454">
        <f>IF(OR(F_Custom2_Q="(None)",F_Custom2_Q="",ISBLANK(F_Custom2_Q),F_Custom2_V="(All)",F_Custom2_V="",ISBLANK(F_Custom2_V)),1,IFERROR(IF(ISNUMBER(SEARCH("|"&amp;INDEX(INDIRECT(F_Custom2_resolved_column),453)&amp;"|",F_Custom2_wrapped)),1,0),0))</f>
        <v>1</v>
      </c>
      <c r="F454">
        <f>D454*E454*1</f>
        <v>1</v>
      </c>
      <c r="G454">
        <f>1</f>
        <v>1</v>
      </c>
      <c r="H4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453)&amp;"|",All_Questions_Q_STREAM_F_wrapped)),1,0),0))*1</f>
        <v>1</v>
      </c>
    </row>
    <row r="455">
      <c r="A455" t="n">
        <v>454</v>
      </c>
      <c r="B455" t="inlineStr">
        <is>
          <t>B</t>
        </is>
      </c>
      <c r="C455">
        <f>1</f>
        <v>1</v>
      </c>
      <c r="D455">
        <f>IF(OR(F_Custom1_Q="(None)",F_Custom1_Q="",ISBLANK(F_Custom1_Q),F_Custom1_V="(All)",F_Custom1_V="",ISBLANK(F_Custom1_V)),1,IFERROR(IF(ISNUMBER(SEARCH("|"&amp;INDEX(INDIRECT(F_Custom1_resolved_column),454)&amp;"|",F_Custom1_wrapped)),1,0),0))</f>
        <v>1</v>
      </c>
      <c r="E455">
        <f>IF(OR(F_Custom2_Q="(None)",F_Custom2_Q="",ISBLANK(F_Custom2_Q),F_Custom2_V="(All)",F_Custom2_V="",ISBLANK(F_Custom2_V)),1,IFERROR(IF(ISNUMBER(SEARCH("|"&amp;INDEX(INDIRECT(F_Custom2_resolved_column),454)&amp;"|",F_Custom2_wrapped)),1,0),0))</f>
        <v>1</v>
      </c>
      <c r="F455">
        <f>D455*E455*1</f>
        <v>1</v>
      </c>
      <c r="G455">
        <f>1</f>
        <v>1</v>
      </c>
      <c r="H4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454)&amp;"|",All_Questions_Q_STREAM_F_wrapped)),1,0),0))*1</f>
        <v>1</v>
      </c>
    </row>
    <row r="456">
      <c r="A456" t="n">
        <v>455</v>
      </c>
      <c r="B456" t="inlineStr">
        <is>
          <t>A</t>
        </is>
      </c>
      <c r="C456">
        <f>1</f>
        <v>1</v>
      </c>
      <c r="D456">
        <f>IF(OR(F_Custom1_Q="(None)",F_Custom1_Q="",ISBLANK(F_Custom1_Q),F_Custom1_V="(All)",F_Custom1_V="",ISBLANK(F_Custom1_V)),1,IFERROR(IF(ISNUMBER(SEARCH("|"&amp;INDEX(INDIRECT(F_Custom1_resolved_column),455)&amp;"|",F_Custom1_wrapped)),1,0),0))</f>
        <v>1</v>
      </c>
      <c r="E456">
        <f>IF(OR(F_Custom2_Q="(None)",F_Custom2_Q="",ISBLANK(F_Custom2_Q),F_Custom2_V="(All)",F_Custom2_V="",ISBLANK(F_Custom2_V)),1,IFERROR(IF(ISNUMBER(SEARCH("|"&amp;INDEX(INDIRECT(F_Custom2_resolved_column),455)&amp;"|",F_Custom2_wrapped)),1,0),0))</f>
        <v>1</v>
      </c>
      <c r="F456">
        <f>D456*E456*1</f>
        <v>1</v>
      </c>
      <c r="G456">
        <f>1</f>
        <v>1</v>
      </c>
      <c r="H4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455)&amp;"|",All_Questions_Q_STREAM_F_wrapped)),1,0),0))*1</f>
        <v>1</v>
      </c>
    </row>
    <row r="457">
      <c r="A457" t="n">
        <v>456</v>
      </c>
      <c r="B457" t="inlineStr">
        <is>
          <t>B</t>
        </is>
      </c>
      <c r="C457">
        <f>1</f>
        <v>1</v>
      </c>
      <c r="D457">
        <f>IF(OR(F_Custom1_Q="(None)",F_Custom1_Q="",ISBLANK(F_Custom1_Q),F_Custom1_V="(All)",F_Custom1_V="",ISBLANK(F_Custom1_V)),1,IFERROR(IF(ISNUMBER(SEARCH("|"&amp;INDEX(INDIRECT(F_Custom1_resolved_column),456)&amp;"|",F_Custom1_wrapped)),1,0),0))</f>
        <v>1</v>
      </c>
      <c r="E457">
        <f>IF(OR(F_Custom2_Q="(None)",F_Custom2_Q="",ISBLANK(F_Custom2_Q),F_Custom2_V="(All)",F_Custom2_V="",ISBLANK(F_Custom2_V)),1,IFERROR(IF(ISNUMBER(SEARCH("|"&amp;INDEX(INDIRECT(F_Custom2_resolved_column),456)&amp;"|",F_Custom2_wrapped)),1,0),0))</f>
        <v>1</v>
      </c>
      <c r="F457">
        <f>D457*E457*1</f>
        <v>1</v>
      </c>
      <c r="G457">
        <f>1</f>
        <v>1</v>
      </c>
      <c r="H4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456)&amp;"|",All_Questions_Q_STREAM_F_wrapped)),1,0),0))*1</f>
        <v>1</v>
      </c>
    </row>
    <row r="458">
      <c r="A458" t="n">
        <v>457</v>
      </c>
      <c r="B458" t="inlineStr">
        <is>
          <t>A</t>
        </is>
      </c>
      <c r="C458">
        <f>1</f>
        <v>1</v>
      </c>
      <c r="D458">
        <f>IF(OR(F_Custom1_Q="(None)",F_Custom1_Q="",ISBLANK(F_Custom1_Q),F_Custom1_V="(All)",F_Custom1_V="",ISBLANK(F_Custom1_V)),1,IFERROR(IF(ISNUMBER(SEARCH("|"&amp;INDEX(INDIRECT(F_Custom1_resolved_column),457)&amp;"|",F_Custom1_wrapped)),1,0),0))</f>
        <v>1</v>
      </c>
      <c r="E458">
        <f>IF(OR(F_Custom2_Q="(None)",F_Custom2_Q="",ISBLANK(F_Custom2_Q),F_Custom2_V="(All)",F_Custom2_V="",ISBLANK(F_Custom2_V)),1,IFERROR(IF(ISNUMBER(SEARCH("|"&amp;INDEX(INDIRECT(F_Custom2_resolved_column),457)&amp;"|",F_Custom2_wrapped)),1,0),0))</f>
        <v>1</v>
      </c>
      <c r="F458">
        <f>D458*E458*1</f>
        <v>1</v>
      </c>
      <c r="G458">
        <f>1</f>
        <v>1</v>
      </c>
      <c r="H4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457)&amp;"|",All_Questions_Q_STREAM_F_wrapped)),1,0),0))*1</f>
        <v>1</v>
      </c>
    </row>
    <row r="459">
      <c r="A459" t="n">
        <v>458</v>
      </c>
      <c r="B459" t="inlineStr">
        <is>
          <t>B</t>
        </is>
      </c>
      <c r="C459">
        <f>1</f>
        <v>1</v>
      </c>
      <c r="D459">
        <f>IF(OR(F_Custom1_Q="(None)",F_Custom1_Q="",ISBLANK(F_Custom1_Q),F_Custom1_V="(All)",F_Custom1_V="",ISBLANK(F_Custom1_V)),1,IFERROR(IF(ISNUMBER(SEARCH("|"&amp;INDEX(INDIRECT(F_Custom1_resolved_column),458)&amp;"|",F_Custom1_wrapped)),1,0),0))</f>
        <v>1</v>
      </c>
      <c r="E459">
        <f>IF(OR(F_Custom2_Q="(None)",F_Custom2_Q="",ISBLANK(F_Custom2_Q),F_Custom2_V="(All)",F_Custom2_V="",ISBLANK(F_Custom2_V)),1,IFERROR(IF(ISNUMBER(SEARCH("|"&amp;INDEX(INDIRECT(F_Custom2_resolved_column),458)&amp;"|",F_Custom2_wrapped)),1,0),0))</f>
        <v>1</v>
      </c>
      <c r="F459">
        <f>D459*E459*1</f>
        <v>1</v>
      </c>
      <c r="G459">
        <f>1</f>
        <v>1</v>
      </c>
      <c r="H4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458)&amp;"|",All_Questions_Q_STREAM_F_wrapped)),1,0),0))*1</f>
        <v>1</v>
      </c>
    </row>
    <row r="460">
      <c r="A460" t="n">
        <v>459</v>
      </c>
      <c r="B460" t="inlineStr">
        <is>
          <t>A</t>
        </is>
      </c>
      <c r="C460">
        <f>1</f>
        <v>1</v>
      </c>
      <c r="D460">
        <f>IF(OR(F_Custom1_Q="(None)",F_Custom1_Q="",ISBLANK(F_Custom1_Q),F_Custom1_V="(All)",F_Custom1_V="",ISBLANK(F_Custom1_V)),1,IFERROR(IF(ISNUMBER(SEARCH("|"&amp;INDEX(INDIRECT(F_Custom1_resolved_column),459)&amp;"|",F_Custom1_wrapped)),1,0),0))</f>
        <v>1</v>
      </c>
      <c r="E460">
        <f>IF(OR(F_Custom2_Q="(None)",F_Custom2_Q="",ISBLANK(F_Custom2_Q),F_Custom2_V="(All)",F_Custom2_V="",ISBLANK(F_Custom2_V)),1,IFERROR(IF(ISNUMBER(SEARCH("|"&amp;INDEX(INDIRECT(F_Custom2_resolved_column),459)&amp;"|",F_Custom2_wrapped)),1,0),0))</f>
        <v>1</v>
      </c>
      <c r="F460">
        <f>D460*E460*1</f>
        <v>1</v>
      </c>
      <c r="G460">
        <f>1</f>
        <v>1</v>
      </c>
      <c r="H4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459)&amp;"|",All_Questions_Q_STREAM_F_wrapped)),1,0),0))*1</f>
        <v>1</v>
      </c>
    </row>
    <row r="461">
      <c r="A461" t="n">
        <v>460</v>
      </c>
      <c r="B461" t="inlineStr">
        <is>
          <t>B</t>
        </is>
      </c>
      <c r="C461">
        <f>1</f>
        <v>1</v>
      </c>
      <c r="D461">
        <f>IF(OR(F_Custom1_Q="(None)",F_Custom1_Q="",ISBLANK(F_Custom1_Q),F_Custom1_V="(All)",F_Custom1_V="",ISBLANK(F_Custom1_V)),1,IFERROR(IF(ISNUMBER(SEARCH("|"&amp;INDEX(INDIRECT(F_Custom1_resolved_column),460)&amp;"|",F_Custom1_wrapped)),1,0),0))</f>
        <v>1</v>
      </c>
      <c r="E461">
        <f>IF(OR(F_Custom2_Q="(None)",F_Custom2_Q="",ISBLANK(F_Custom2_Q),F_Custom2_V="(All)",F_Custom2_V="",ISBLANK(F_Custom2_V)),1,IFERROR(IF(ISNUMBER(SEARCH("|"&amp;INDEX(INDIRECT(F_Custom2_resolved_column),460)&amp;"|",F_Custom2_wrapped)),1,0),0))</f>
        <v>1</v>
      </c>
      <c r="F461">
        <f>D461*E461*1</f>
        <v>1</v>
      </c>
      <c r="G461">
        <f>1</f>
        <v>1</v>
      </c>
      <c r="H4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460)&amp;"|",All_Questions_Q_STREAM_F_wrapped)),1,0),0))*1</f>
        <v>1</v>
      </c>
    </row>
    <row r="462">
      <c r="A462" t="n">
        <v>461</v>
      </c>
      <c r="B462" t="inlineStr">
        <is>
          <t>A</t>
        </is>
      </c>
      <c r="C462">
        <f>1</f>
        <v>1</v>
      </c>
      <c r="D462">
        <f>IF(OR(F_Custom1_Q="(None)",F_Custom1_Q="",ISBLANK(F_Custom1_Q),F_Custom1_V="(All)",F_Custom1_V="",ISBLANK(F_Custom1_V)),1,IFERROR(IF(ISNUMBER(SEARCH("|"&amp;INDEX(INDIRECT(F_Custom1_resolved_column),461)&amp;"|",F_Custom1_wrapped)),1,0),0))</f>
        <v>1</v>
      </c>
      <c r="E462">
        <f>IF(OR(F_Custom2_Q="(None)",F_Custom2_Q="",ISBLANK(F_Custom2_Q),F_Custom2_V="(All)",F_Custom2_V="",ISBLANK(F_Custom2_V)),1,IFERROR(IF(ISNUMBER(SEARCH("|"&amp;INDEX(INDIRECT(F_Custom2_resolved_column),461)&amp;"|",F_Custom2_wrapped)),1,0),0))</f>
        <v>1</v>
      </c>
      <c r="F462">
        <f>D462*E462*1</f>
        <v>1</v>
      </c>
      <c r="G462">
        <f>1</f>
        <v>1</v>
      </c>
      <c r="H4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461)&amp;"|",All_Questions_Q_STREAM_F_wrapped)),1,0),0))*1</f>
        <v>1</v>
      </c>
    </row>
    <row r="463">
      <c r="A463" t="n">
        <v>462</v>
      </c>
      <c r="B463" t="inlineStr">
        <is>
          <t>B</t>
        </is>
      </c>
      <c r="C463">
        <f>1</f>
        <v>1</v>
      </c>
      <c r="D463">
        <f>IF(OR(F_Custom1_Q="(None)",F_Custom1_Q="",ISBLANK(F_Custom1_Q),F_Custom1_V="(All)",F_Custom1_V="",ISBLANK(F_Custom1_V)),1,IFERROR(IF(ISNUMBER(SEARCH("|"&amp;INDEX(INDIRECT(F_Custom1_resolved_column),462)&amp;"|",F_Custom1_wrapped)),1,0),0))</f>
        <v>1</v>
      </c>
      <c r="E463">
        <f>IF(OR(F_Custom2_Q="(None)",F_Custom2_Q="",ISBLANK(F_Custom2_Q),F_Custom2_V="(All)",F_Custom2_V="",ISBLANK(F_Custom2_V)),1,IFERROR(IF(ISNUMBER(SEARCH("|"&amp;INDEX(INDIRECT(F_Custom2_resolved_column),462)&amp;"|",F_Custom2_wrapped)),1,0),0))</f>
        <v>1</v>
      </c>
      <c r="F463">
        <f>D463*E463*1</f>
        <v>1</v>
      </c>
      <c r="G463">
        <f>1</f>
        <v>1</v>
      </c>
      <c r="H4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462)&amp;"|",All_Questions_Q_STREAM_F_wrapped)),1,0),0))*1</f>
        <v>1</v>
      </c>
    </row>
    <row r="464">
      <c r="A464" t="n">
        <v>463</v>
      </c>
      <c r="B464" t="inlineStr">
        <is>
          <t>A</t>
        </is>
      </c>
      <c r="C464">
        <f>1</f>
        <v>1</v>
      </c>
      <c r="D464">
        <f>IF(OR(F_Custom1_Q="(None)",F_Custom1_Q="",ISBLANK(F_Custom1_Q),F_Custom1_V="(All)",F_Custom1_V="",ISBLANK(F_Custom1_V)),1,IFERROR(IF(ISNUMBER(SEARCH("|"&amp;INDEX(INDIRECT(F_Custom1_resolved_column),463)&amp;"|",F_Custom1_wrapped)),1,0),0))</f>
        <v>1</v>
      </c>
      <c r="E464">
        <f>IF(OR(F_Custom2_Q="(None)",F_Custom2_Q="",ISBLANK(F_Custom2_Q),F_Custom2_V="(All)",F_Custom2_V="",ISBLANK(F_Custom2_V)),1,IFERROR(IF(ISNUMBER(SEARCH("|"&amp;INDEX(INDIRECT(F_Custom2_resolved_column),463)&amp;"|",F_Custom2_wrapped)),1,0),0))</f>
        <v>1</v>
      </c>
      <c r="F464">
        <f>D464*E464*1</f>
        <v>1</v>
      </c>
      <c r="G464">
        <f>1</f>
        <v>1</v>
      </c>
      <c r="H4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463)&amp;"|",All_Questions_Q_STREAM_F_wrapped)),1,0),0))*1</f>
        <v>1</v>
      </c>
    </row>
    <row r="465">
      <c r="A465" t="n">
        <v>464</v>
      </c>
      <c r="B465" t="inlineStr">
        <is>
          <t>B</t>
        </is>
      </c>
      <c r="C465">
        <f>1</f>
        <v>1</v>
      </c>
      <c r="D465">
        <f>IF(OR(F_Custom1_Q="(None)",F_Custom1_Q="",ISBLANK(F_Custom1_Q),F_Custom1_V="(All)",F_Custom1_V="",ISBLANK(F_Custom1_V)),1,IFERROR(IF(ISNUMBER(SEARCH("|"&amp;INDEX(INDIRECT(F_Custom1_resolved_column),464)&amp;"|",F_Custom1_wrapped)),1,0),0))</f>
        <v>1</v>
      </c>
      <c r="E465">
        <f>IF(OR(F_Custom2_Q="(None)",F_Custom2_Q="",ISBLANK(F_Custom2_Q),F_Custom2_V="(All)",F_Custom2_V="",ISBLANK(F_Custom2_V)),1,IFERROR(IF(ISNUMBER(SEARCH("|"&amp;INDEX(INDIRECT(F_Custom2_resolved_column),464)&amp;"|",F_Custom2_wrapped)),1,0),0))</f>
        <v>1</v>
      </c>
      <c r="F465">
        <f>D465*E465*1</f>
        <v>1</v>
      </c>
      <c r="G465">
        <f>1</f>
        <v>1</v>
      </c>
      <c r="H4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464)&amp;"|",All_Questions_Q_STREAM_F_wrapped)),1,0),0))*1</f>
        <v>1</v>
      </c>
    </row>
    <row r="466">
      <c r="A466" t="n">
        <v>465</v>
      </c>
      <c r="B466" t="inlineStr">
        <is>
          <t>A</t>
        </is>
      </c>
      <c r="C466">
        <f>1</f>
        <v>1</v>
      </c>
      <c r="D466">
        <f>IF(OR(F_Custom1_Q="(None)",F_Custom1_Q="",ISBLANK(F_Custom1_Q),F_Custom1_V="(All)",F_Custom1_V="",ISBLANK(F_Custom1_V)),1,IFERROR(IF(ISNUMBER(SEARCH("|"&amp;INDEX(INDIRECT(F_Custom1_resolved_column),465)&amp;"|",F_Custom1_wrapped)),1,0),0))</f>
        <v>1</v>
      </c>
      <c r="E466">
        <f>IF(OR(F_Custom2_Q="(None)",F_Custom2_Q="",ISBLANK(F_Custom2_Q),F_Custom2_V="(All)",F_Custom2_V="",ISBLANK(F_Custom2_V)),1,IFERROR(IF(ISNUMBER(SEARCH("|"&amp;INDEX(INDIRECT(F_Custom2_resolved_column),465)&amp;"|",F_Custom2_wrapped)),1,0),0))</f>
        <v>1</v>
      </c>
      <c r="F466">
        <f>D466*E466*1</f>
        <v>1</v>
      </c>
      <c r="G466">
        <f>1</f>
        <v>1</v>
      </c>
      <c r="H4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465)&amp;"|",All_Questions_Q_STREAM_F_wrapped)),1,0),0))*1</f>
        <v>1</v>
      </c>
    </row>
    <row r="467">
      <c r="A467" t="n">
        <v>466</v>
      </c>
      <c r="B467" t="inlineStr">
        <is>
          <t>B</t>
        </is>
      </c>
      <c r="C467">
        <f>1</f>
        <v>1</v>
      </c>
      <c r="D467">
        <f>IF(OR(F_Custom1_Q="(None)",F_Custom1_Q="",ISBLANK(F_Custom1_Q),F_Custom1_V="(All)",F_Custom1_V="",ISBLANK(F_Custom1_V)),1,IFERROR(IF(ISNUMBER(SEARCH("|"&amp;INDEX(INDIRECT(F_Custom1_resolved_column),466)&amp;"|",F_Custom1_wrapped)),1,0),0))</f>
        <v>1</v>
      </c>
      <c r="E467">
        <f>IF(OR(F_Custom2_Q="(None)",F_Custom2_Q="",ISBLANK(F_Custom2_Q),F_Custom2_V="(All)",F_Custom2_V="",ISBLANK(F_Custom2_V)),1,IFERROR(IF(ISNUMBER(SEARCH("|"&amp;INDEX(INDIRECT(F_Custom2_resolved_column),466)&amp;"|",F_Custom2_wrapped)),1,0),0))</f>
        <v>1</v>
      </c>
      <c r="F467">
        <f>D467*E467*1</f>
        <v>1</v>
      </c>
      <c r="G467">
        <f>1</f>
        <v>1</v>
      </c>
      <c r="H4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466)&amp;"|",All_Questions_Q_STREAM_F_wrapped)),1,0),0))*1</f>
        <v>1</v>
      </c>
    </row>
    <row r="468">
      <c r="A468" t="n">
        <v>467</v>
      </c>
      <c r="B468" t="inlineStr">
        <is>
          <t>A</t>
        </is>
      </c>
      <c r="C468">
        <f>1</f>
        <v>1</v>
      </c>
      <c r="D468">
        <f>IF(OR(F_Custom1_Q="(None)",F_Custom1_Q="",ISBLANK(F_Custom1_Q),F_Custom1_V="(All)",F_Custom1_V="",ISBLANK(F_Custom1_V)),1,IFERROR(IF(ISNUMBER(SEARCH("|"&amp;INDEX(INDIRECT(F_Custom1_resolved_column),467)&amp;"|",F_Custom1_wrapped)),1,0),0))</f>
        <v>1</v>
      </c>
      <c r="E468">
        <f>IF(OR(F_Custom2_Q="(None)",F_Custom2_Q="",ISBLANK(F_Custom2_Q),F_Custom2_V="(All)",F_Custom2_V="",ISBLANK(F_Custom2_V)),1,IFERROR(IF(ISNUMBER(SEARCH("|"&amp;INDEX(INDIRECT(F_Custom2_resolved_column),467)&amp;"|",F_Custom2_wrapped)),1,0),0))</f>
        <v>1</v>
      </c>
      <c r="F468">
        <f>D468*E468*1</f>
        <v>1</v>
      </c>
      <c r="G468">
        <f>1</f>
        <v>1</v>
      </c>
      <c r="H4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467)&amp;"|",All_Questions_Q_STREAM_F_wrapped)),1,0),0))*1</f>
        <v>1</v>
      </c>
    </row>
    <row r="469">
      <c r="A469" t="n">
        <v>468</v>
      </c>
      <c r="B469" t="inlineStr">
        <is>
          <t>B</t>
        </is>
      </c>
      <c r="C469">
        <f>1</f>
        <v>1</v>
      </c>
      <c r="D469">
        <f>IF(OR(F_Custom1_Q="(None)",F_Custom1_Q="",ISBLANK(F_Custom1_Q),F_Custom1_V="(All)",F_Custom1_V="",ISBLANK(F_Custom1_V)),1,IFERROR(IF(ISNUMBER(SEARCH("|"&amp;INDEX(INDIRECT(F_Custom1_resolved_column),468)&amp;"|",F_Custom1_wrapped)),1,0),0))</f>
        <v>1</v>
      </c>
      <c r="E469">
        <f>IF(OR(F_Custom2_Q="(None)",F_Custom2_Q="",ISBLANK(F_Custom2_Q),F_Custom2_V="(All)",F_Custom2_V="",ISBLANK(F_Custom2_V)),1,IFERROR(IF(ISNUMBER(SEARCH("|"&amp;INDEX(INDIRECT(F_Custom2_resolved_column),468)&amp;"|",F_Custom2_wrapped)),1,0),0))</f>
        <v>1</v>
      </c>
      <c r="F469">
        <f>D469*E469*1</f>
        <v>1</v>
      </c>
      <c r="G469">
        <f>1</f>
        <v>1</v>
      </c>
      <c r="H4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468)&amp;"|",All_Questions_Q_STREAM_F_wrapped)),1,0),0))*1</f>
        <v>1</v>
      </c>
    </row>
    <row r="470">
      <c r="A470" t="n">
        <v>469</v>
      </c>
      <c r="B470" t="inlineStr">
        <is>
          <t>A</t>
        </is>
      </c>
      <c r="C470">
        <f>1</f>
        <v>1</v>
      </c>
      <c r="D470">
        <f>IF(OR(F_Custom1_Q="(None)",F_Custom1_Q="",ISBLANK(F_Custom1_Q),F_Custom1_V="(All)",F_Custom1_V="",ISBLANK(F_Custom1_V)),1,IFERROR(IF(ISNUMBER(SEARCH("|"&amp;INDEX(INDIRECT(F_Custom1_resolved_column),469)&amp;"|",F_Custom1_wrapped)),1,0),0))</f>
        <v>1</v>
      </c>
      <c r="E470">
        <f>IF(OR(F_Custom2_Q="(None)",F_Custom2_Q="",ISBLANK(F_Custom2_Q),F_Custom2_V="(All)",F_Custom2_V="",ISBLANK(F_Custom2_V)),1,IFERROR(IF(ISNUMBER(SEARCH("|"&amp;INDEX(INDIRECT(F_Custom2_resolved_column),469)&amp;"|",F_Custom2_wrapped)),1,0),0))</f>
        <v>1</v>
      </c>
      <c r="F470">
        <f>D470*E470*1</f>
        <v>1</v>
      </c>
      <c r="G470">
        <f>1</f>
        <v>1</v>
      </c>
      <c r="H4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469)&amp;"|",All_Questions_Q_STREAM_F_wrapped)),1,0),0))*1</f>
        <v>1</v>
      </c>
    </row>
    <row r="471">
      <c r="A471" t="n">
        <v>470</v>
      </c>
      <c r="B471" t="inlineStr">
        <is>
          <t>B</t>
        </is>
      </c>
      <c r="C471">
        <f>1</f>
        <v>1</v>
      </c>
      <c r="D471">
        <f>IF(OR(F_Custom1_Q="(None)",F_Custom1_Q="",ISBLANK(F_Custom1_Q),F_Custom1_V="(All)",F_Custom1_V="",ISBLANK(F_Custom1_V)),1,IFERROR(IF(ISNUMBER(SEARCH("|"&amp;INDEX(INDIRECT(F_Custom1_resolved_column),470)&amp;"|",F_Custom1_wrapped)),1,0),0))</f>
        <v>1</v>
      </c>
      <c r="E471">
        <f>IF(OR(F_Custom2_Q="(None)",F_Custom2_Q="",ISBLANK(F_Custom2_Q),F_Custom2_V="(All)",F_Custom2_V="",ISBLANK(F_Custom2_V)),1,IFERROR(IF(ISNUMBER(SEARCH("|"&amp;INDEX(INDIRECT(F_Custom2_resolved_column),470)&amp;"|",F_Custom2_wrapped)),1,0),0))</f>
        <v>1</v>
      </c>
      <c r="F471">
        <f>D471*E471*1</f>
        <v>1</v>
      </c>
      <c r="G471">
        <f>1</f>
        <v>1</v>
      </c>
      <c r="H4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470)&amp;"|",All_Questions_Q_STREAM_F_wrapped)),1,0),0))*1</f>
        <v>1</v>
      </c>
    </row>
    <row r="472">
      <c r="A472" t="n">
        <v>471</v>
      </c>
      <c r="B472" t="inlineStr">
        <is>
          <t>A</t>
        </is>
      </c>
      <c r="C472">
        <f>1</f>
        <v>1</v>
      </c>
      <c r="D472">
        <f>IF(OR(F_Custom1_Q="(None)",F_Custom1_Q="",ISBLANK(F_Custom1_Q),F_Custom1_V="(All)",F_Custom1_V="",ISBLANK(F_Custom1_V)),1,IFERROR(IF(ISNUMBER(SEARCH("|"&amp;INDEX(INDIRECT(F_Custom1_resolved_column),471)&amp;"|",F_Custom1_wrapped)),1,0),0))</f>
        <v>1</v>
      </c>
      <c r="E472">
        <f>IF(OR(F_Custom2_Q="(None)",F_Custom2_Q="",ISBLANK(F_Custom2_Q),F_Custom2_V="(All)",F_Custom2_V="",ISBLANK(F_Custom2_V)),1,IFERROR(IF(ISNUMBER(SEARCH("|"&amp;INDEX(INDIRECT(F_Custom2_resolved_column),471)&amp;"|",F_Custom2_wrapped)),1,0),0))</f>
        <v>1</v>
      </c>
      <c r="F472">
        <f>D472*E472*1</f>
        <v>1</v>
      </c>
      <c r="G472">
        <f>1</f>
        <v>1</v>
      </c>
      <c r="H4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471)&amp;"|",All_Questions_Q_STREAM_F_wrapped)),1,0),0))*1</f>
        <v>1</v>
      </c>
    </row>
    <row r="473">
      <c r="A473" t="n">
        <v>472</v>
      </c>
      <c r="B473" t="inlineStr">
        <is>
          <t>B</t>
        </is>
      </c>
      <c r="C473">
        <f>1</f>
        <v>1</v>
      </c>
      <c r="D473">
        <f>IF(OR(F_Custom1_Q="(None)",F_Custom1_Q="",ISBLANK(F_Custom1_Q),F_Custom1_V="(All)",F_Custom1_V="",ISBLANK(F_Custom1_V)),1,IFERROR(IF(ISNUMBER(SEARCH("|"&amp;INDEX(INDIRECT(F_Custom1_resolved_column),472)&amp;"|",F_Custom1_wrapped)),1,0),0))</f>
        <v>1</v>
      </c>
      <c r="E473">
        <f>IF(OR(F_Custom2_Q="(None)",F_Custom2_Q="",ISBLANK(F_Custom2_Q),F_Custom2_V="(All)",F_Custom2_V="",ISBLANK(F_Custom2_V)),1,IFERROR(IF(ISNUMBER(SEARCH("|"&amp;INDEX(INDIRECT(F_Custom2_resolved_column),472)&amp;"|",F_Custom2_wrapped)),1,0),0))</f>
        <v>1</v>
      </c>
      <c r="F473">
        <f>D473*E473*1</f>
        <v>1</v>
      </c>
      <c r="G473">
        <f>1</f>
        <v>1</v>
      </c>
      <c r="H4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472)&amp;"|",All_Questions_Q_STREAM_F_wrapped)),1,0),0))*1</f>
        <v>1</v>
      </c>
    </row>
    <row r="474">
      <c r="A474" t="n">
        <v>473</v>
      </c>
      <c r="B474" t="inlineStr">
        <is>
          <t>A</t>
        </is>
      </c>
      <c r="C474">
        <f>1</f>
        <v>1</v>
      </c>
      <c r="D474">
        <f>IF(OR(F_Custom1_Q="(None)",F_Custom1_Q="",ISBLANK(F_Custom1_Q),F_Custom1_V="(All)",F_Custom1_V="",ISBLANK(F_Custom1_V)),1,IFERROR(IF(ISNUMBER(SEARCH("|"&amp;INDEX(INDIRECT(F_Custom1_resolved_column),473)&amp;"|",F_Custom1_wrapped)),1,0),0))</f>
        <v>1</v>
      </c>
      <c r="E474">
        <f>IF(OR(F_Custom2_Q="(None)",F_Custom2_Q="",ISBLANK(F_Custom2_Q),F_Custom2_V="(All)",F_Custom2_V="",ISBLANK(F_Custom2_V)),1,IFERROR(IF(ISNUMBER(SEARCH("|"&amp;INDEX(INDIRECT(F_Custom2_resolved_column),473)&amp;"|",F_Custom2_wrapped)),1,0),0))</f>
        <v>1</v>
      </c>
      <c r="F474">
        <f>D474*E474*1</f>
        <v>1</v>
      </c>
      <c r="G474">
        <f>1</f>
        <v>1</v>
      </c>
      <c r="H4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473)&amp;"|",All_Questions_Q_STREAM_F_wrapped)),1,0),0))*1</f>
        <v>1</v>
      </c>
    </row>
    <row r="475">
      <c r="A475" t="n">
        <v>474</v>
      </c>
      <c r="B475" t="inlineStr">
        <is>
          <t>B</t>
        </is>
      </c>
      <c r="C475">
        <f>1</f>
        <v>1</v>
      </c>
      <c r="D475">
        <f>IF(OR(F_Custom1_Q="(None)",F_Custom1_Q="",ISBLANK(F_Custom1_Q),F_Custom1_V="(All)",F_Custom1_V="",ISBLANK(F_Custom1_V)),1,IFERROR(IF(ISNUMBER(SEARCH("|"&amp;INDEX(INDIRECT(F_Custom1_resolved_column),474)&amp;"|",F_Custom1_wrapped)),1,0),0))</f>
        <v>1</v>
      </c>
      <c r="E475">
        <f>IF(OR(F_Custom2_Q="(None)",F_Custom2_Q="",ISBLANK(F_Custom2_Q),F_Custom2_V="(All)",F_Custom2_V="",ISBLANK(F_Custom2_V)),1,IFERROR(IF(ISNUMBER(SEARCH("|"&amp;INDEX(INDIRECT(F_Custom2_resolved_column),474)&amp;"|",F_Custom2_wrapped)),1,0),0))</f>
        <v>1</v>
      </c>
      <c r="F475">
        <f>D475*E475*1</f>
        <v>1</v>
      </c>
      <c r="G475">
        <f>1</f>
        <v>1</v>
      </c>
      <c r="H4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474)&amp;"|",All_Questions_Q_STREAM_F_wrapped)),1,0),0))*1</f>
        <v>1</v>
      </c>
    </row>
    <row r="476">
      <c r="A476" t="n">
        <v>475</v>
      </c>
      <c r="B476" t="inlineStr">
        <is>
          <t>A</t>
        </is>
      </c>
      <c r="C476">
        <f>1</f>
        <v>1</v>
      </c>
      <c r="D476">
        <f>IF(OR(F_Custom1_Q="(None)",F_Custom1_Q="",ISBLANK(F_Custom1_Q),F_Custom1_V="(All)",F_Custom1_V="",ISBLANK(F_Custom1_V)),1,IFERROR(IF(ISNUMBER(SEARCH("|"&amp;INDEX(INDIRECT(F_Custom1_resolved_column),475)&amp;"|",F_Custom1_wrapped)),1,0),0))</f>
        <v>1</v>
      </c>
      <c r="E476">
        <f>IF(OR(F_Custom2_Q="(None)",F_Custom2_Q="",ISBLANK(F_Custom2_Q),F_Custom2_V="(All)",F_Custom2_V="",ISBLANK(F_Custom2_V)),1,IFERROR(IF(ISNUMBER(SEARCH("|"&amp;INDEX(INDIRECT(F_Custom2_resolved_column),475)&amp;"|",F_Custom2_wrapped)),1,0),0))</f>
        <v>1</v>
      </c>
      <c r="F476">
        <f>D476*E476*1</f>
        <v>1</v>
      </c>
      <c r="G476">
        <f>1</f>
        <v>1</v>
      </c>
      <c r="H4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475)&amp;"|",All_Questions_Q_STREAM_F_wrapped)),1,0),0))*1</f>
        <v>1</v>
      </c>
    </row>
    <row r="477">
      <c r="A477" t="n">
        <v>476</v>
      </c>
      <c r="B477" t="inlineStr">
        <is>
          <t>B</t>
        </is>
      </c>
      <c r="C477">
        <f>1</f>
        <v>1</v>
      </c>
      <c r="D477">
        <f>IF(OR(F_Custom1_Q="(None)",F_Custom1_Q="",ISBLANK(F_Custom1_Q),F_Custom1_V="(All)",F_Custom1_V="",ISBLANK(F_Custom1_V)),1,IFERROR(IF(ISNUMBER(SEARCH("|"&amp;INDEX(INDIRECT(F_Custom1_resolved_column),476)&amp;"|",F_Custom1_wrapped)),1,0),0))</f>
        <v>1</v>
      </c>
      <c r="E477">
        <f>IF(OR(F_Custom2_Q="(None)",F_Custom2_Q="",ISBLANK(F_Custom2_Q),F_Custom2_V="(All)",F_Custom2_V="",ISBLANK(F_Custom2_V)),1,IFERROR(IF(ISNUMBER(SEARCH("|"&amp;INDEX(INDIRECT(F_Custom2_resolved_column),476)&amp;"|",F_Custom2_wrapped)),1,0),0))</f>
        <v>1</v>
      </c>
      <c r="F477">
        <f>D477*E477*1</f>
        <v>1</v>
      </c>
      <c r="G477">
        <f>1</f>
        <v>1</v>
      </c>
      <c r="H4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476)&amp;"|",All_Questions_Q_STREAM_F_wrapped)),1,0),0))*1</f>
        <v>1</v>
      </c>
    </row>
    <row r="478">
      <c r="A478" t="n">
        <v>477</v>
      </c>
      <c r="B478" t="inlineStr">
        <is>
          <t>A</t>
        </is>
      </c>
      <c r="C478">
        <f>1</f>
        <v>1</v>
      </c>
      <c r="D478">
        <f>IF(OR(F_Custom1_Q="(None)",F_Custom1_Q="",ISBLANK(F_Custom1_Q),F_Custom1_V="(All)",F_Custom1_V="",ISBLANK(F_Custom1_V)),1,IFERROR(IF(ISNUMBER(SEARCH("|"&amp;INDEX(INDIRECT(F_Custom1_resolved_column),477)&amp;"|",F_Custom1_wrapped)),1,0),0))</f>
        <v>1</v>
      </c>
      <c r="E478">
        <f>IF(OR(F_Custom2_Q="(None)",F_Custom2_Q="",ISBLANK(F_Custom2_Q),F_Custom2_V="(All)",F_Custom2_V="",ISBLANK(F_Custom2_V)),1,IFERROR(IF(ISNUMBER(SEARCH("|"&amp;INDEX(INDIRECT(F_Custom2_resolved_column),477)&amp;"|",F_Custom2_wrapped)),1,0),0))</f>
        <v>1</v>
      </c>
      <c r="F478">
        <f>D478*E478*1</f>
        <v>1</v>
      </c>
      <c r="G478">
        <f>1</f>
        <v>1</v>
      </c>
      <c r="H4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477)&amp;"|",All_Questions_Q_STREAM_F_wrapped)),1,0),0))*1</f>
        <v>1</v>
      </c>
    </row>
    <row r="479">
      <c r="A479" t="n">
        <v>478</v>
      </c>
      <c r="B479" t="inlineStr">
        <is>
          <t>B</t>
        </is>
      </c>
      <c r="C479">
        <f>1</f>
        <v>1</v>
      </c>
      <c r="D479">
        <f>IF(OR(F_Custom1_Q="(None)",F_Custom1_Q="",ISBLANK(F_Custom1_Q),F_Custom1_V="(All)",F_Custom1_V="",ISBLANK(F_Custom1_V)),1,IFERROR(IF(ISNUMBER(SEARCH("|"&amp;INDEX(INDIRECT(F_Custom1_resolved_column),478)&amp;"|",F_Custom1_wrapped)),1,0),0))</f>
        <v>1</v>
      </c>
      <c r="E479">
        <f>IF(OR(F_Custom2_Q="(None)",F_Custom2_Q="",ISBLANK(F_Custom2_Q),F_Custom2_V="(All)",F_Custom2_V="",ISBLANK(F_Custom2_V)),1,IFERROR(IF(ISNUMBER(SEARCH("|"&amp;INDEX(INDIRECT(F_Custom2_resolved_column),478)&amp;"|",F_Custom2_wrapped)),1,0),0))</f>
        <v>1</v>
      </c>
      <c r="F479">
        <f>D479*E479*1</f>
        <v>1</v>
      </c>
      <c r="G479">
        <f>1</f>
        <v>1</v>
      </c>
      <c r="H4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478)&amp;"|",All_Questions_Q_STREAM_F_wrapped)),1,0),0))*1</f>
        <v>1</v>
      </c>
    </row>
    <row r="480">
      <c r="A480" t="n">
        <v>479</v>
      </c>
      <c r="B480" t="inlineStr">
        <is>
          <t>A</t>
        </is>
      </c>
      <c r="C480">
        <f>1</f>
        <v>1</v>
      </c>
      <c r="D480">
        <f>IF(OR(F_Custom1_Q="(None)",F_Custom1_Q="",ISBLANK(F_Custom1_Q),F_Custom1_V="(All)",F_Custom1_V="",ISBLANK(F_Custom1_V)),1,IFERROR(IF(ISNUMBER(SEARCH("|"&amp;INDEX(INDIRECT(F_Custom1_resolved_column),479)&amp;"|",F_Custom1_wrapped)),1,0),0))</f>
        <v>1</v>
      </c>
      <c r="E480">
        <f>IF(OR(F_Custom2_Q="(None)",F_Custom2_Q="",ISBLANK(F_Custom2_Q),F_Custom2_V="(All)",F_Custom2_V="",ISBLANK(F_Custom2_V)),1,IFERROR(IF(ISNUMBER(SEARCH("|"&amp;INDEX(INDIRECT(F_Custom2_resolved_column),479)&amp;"|",F_Custom2_wrapped)),1,0),0))</f>
        <v>1</v>
      </c>
      <c r="F480">
        <f>D480*E480*1</f>
        <v>1</v>
      </c>
      <c r="G480">
        <f>1</f>
        <v>1</v>
      </c>
      <c r="H4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479)&amp;"|",All_Questions_Q_STREAM_F_wrapped)),1,0),0))*1</f>
        <v>1</v>
      </c>
    </row>
    <row r="481">
      <c r="A481" t="n">
        <v>480</v>
      </c>
      <c r="B481" t="inlineStr">
        <is>
          <t>B</t>
        </is>
      </c>
      <c r="C481">
        <f>1</f>
        <v>1</v>
      </c>
      <c r="D481">
        <f>IF(OR(F_Custom1_Q="(None)",F_Custom1_Q="",ISBLANK(F_Custom1_Q),F_Custom1_V="(All)",F_Custom1_V="",ISBLANK(F_Custom1_V)),1,IFERROR(IF(ISNUMBER(SEARCH("|"&amp;INDEX(INDIRECT(F_Custom1_resolved_column),480)&amp;"|",F_Custom1_wrapped)),1,0),0))</f>
        <v>1</v>
      </c>
      <c r="E481">
        <f>IF(OR(F_Custom2_Q="(None)",F_Custom2_Q="",ISBLANK(F_Custom2_Q),F_Custom2_V="(All)",F_Custom2_V="",ISBLANK(F_Custom2_V)),1,IFERROR(IF(ISNUMBER(SEARCH("|"&amp;INDEX(INDIRECT(F_Custom2_resolved_column),480)&amp;"|",F_Custom2_wrapped)),1,0),0))</f>
        <v>1</v>
      </c>
      <c r="F481">
        <f>D481*E481*1</f>
        <v>1</v>
      </c>
      <c r="G481">
        <f>1</f>
        <v>1</v>
      </c>
      <c r="H4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480)&amp;"|",All_Questions_Q_STREAM_F_wrapped)),1,0),0))*1</f>
        <v>1</v>
      </c>
    </row>
    <row r="482">
      <c r="A482" t="n">
        <v>481</v>
      </c>
      <c r="B482" t="inlineStr">
        <is>
          <t>A</t>
        </is>
      </c>
      <c r="C482">
        <f>1</f>
        <v>1</v>
      </c>
      <c r="D482">
        <f>IF(OR(F_Custom1_Q="(None)",F_Custom1_Q="",ISBLANK(F_Custom1_Q),F_Custom1_V="(All)",F_Custom1_V="",ISBLANK(F_Custom1_V)),1,IFERROR(IF(ISNUMBER(SEARCH("|"&amp;INDEX(INDIRECT(F_Custom1_resolved_column),481)&amp;"|",F_Custom1_wrapped)),1,0),0))</f>
        <v>1</v>
      </c>
      <c r="E482">
        <f>IF(OR(F_Custom2_Q="(None)",F_Custom2_Q="",ISBLANK(F_Custom2_Q),F_Custom2_V="(All)",F_Custom2_V="",ISBLANK(F_Custom2_V)),1,IFERROR(IF(ISNUMBER(SEARCH("|"&amp;INDEX(INDIRECT(F_Custom2_resolved_column),481)&amp;"|",F_Custom2_wrapped)),1,0),0))</f>
        <v>1</v>
      </c>
      <c r="F482">
        <f>D482*E482*1</f>
        <v>1</v>
      </c>
      <c r="G482">
        <f>1</f>
        <v>1</v>
      </c>
      <c r="H4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481)&amp;"|",All_Questions_Q_STREAM_F_wrapped)),1,0),0))*1</f>
        <v>1</v>
      </c>
    </row>
    <row r="483">
      <c r="A483" t="n">
        <v>482</v>
      </c>
      <c r="B483" t="inlineStr">
        <is>
          <t>B</t>
        </is>
      </c>
      <c r="C483">
        <f>1</f>
        <v>1</v>
      </c>
      <c r="D483">
        <f>IF(OR(F_Custom1_Q="(None)",F_Custom1_Q="",ISBLANK(F_Custom1_Q),F_Custom1_V="(All)",F_Custom1_V="",ISBLANK(F_Custom1_V)),1,IFERROR(IF(ISNUMBER(SEARCH("|"&amp;INDEX(INDIRECT(F_Custom1_resolved_column),482)&amp;"|",F_Custom1_wrapped)),1,0),0))</f>
        <v>1</v>
      </c>
      <c r="E483">
        <f>IF(OR(F_Custom2_Q="(None)",F_Custom2_Q="",ISBLANK(F_Custom2_Q),F_Custom2_V="(All)",F_Custom2_V="",ISBLANK(F_Custom2_V)),1,IFERROR(IF(ISNUMBER(SEARCH("|"&amp;INDEX(INDIRECT(F_Custom2_resolved_column),482)&amp;"|",F_Custom2_wrapped)),1,0),0))</f>
        <v>1</v>
      </c>
      <c r="F483">
        <f>D483*E483*1</f>
        <v>1</v>
      </c>
      <c r="G483">
        <f>1</f>
        <v>1</v>
      </c>
      <c r="H4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482)&amp;"|",All_Questions_Q_STREAM_F_wrapped)),1,0),0))*1</f>
        <v>1</v>
      </c>
    </row>
    <row r="484">
      <c r="A484" t="n">
        <v>483</v>
      </c>
      <c r="B484" t="inlineStr">
        <is>
          <t>A</t>
        </is>
      </c>
      <c r="C484">
        <f>1</f>
        <v>1</v>
      </c>
      <c r="D484">
        <f>IF(OR(F_Custom1_Q="(None)",F_Custom1_Q="",ISBLANK(F_Custom1_Q),F_Custom1_V="(All)",F_Custom1_V="",ISBLANK(F_Custom1_V)),1,IFERROR(IF(ISNUMBER(SEARCH("|"&amp;INDEX(INDIRECT(F_Custom1_resolved_column),483)&amp;"|",F_Custom1_wrapped)),1,0),0))</f>
        <v>1</v>
      </c>
      <c r="E484">
        <f>IF(OR(F_Custom2_Q="(None)",F_Custom2_Q="",ISBLANK(F_Custom2_Q),F_Custom2_V="(All)",F_Custom2_V="",ISBLANK(F_Custom2_V)),1,IFERROR(IF(ISNUMBER(SEARCH("|"&amp;INDEX(INDIRECT(F_Custom2_resolved_column),483)&amp;"|",F_Custom2_wrapped)),1,0),0))</f>
        <v>1</v>
      </c>
      <c r="F484">
        <f>D484*E484*1</f>
        <v>1</v>
      </c>
      <c r="G484">
        <f>1</f>
        <v>1</v>
      </c>
      <c r="H4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483)&amp;"|",All_Questions_Q_STREAM_F_wrapped)),1,0),0))*1</f>
        <v>1</v>
      </c>
    </row>
    <row r="485">
      <c r="A485" t="n">
        <v>484</v>
      </c>
      <c r="B485" t="inlineStr">
        <is>
          <t>B</t>
        </is>
      </c>
      <c r="C485">
        <f>1</f>
        <v>1</v>
      </c>
      <c r="D485">
        <f>IF(OR(F_Custom1_Q="(None)",F_Custom1_Q="",ISBLANK(F_Custom1_Q),F_Custom1_V="(All)",F_Custom1_V="",ISBLANK(F_Custom1_V)),1,IFERROR(IF(ISNUMBER(SEARCH("|"&amp;INDEX(INDIRECT(F_Custom1_resolved_column),484)&amp;"|",F_Custom1_wrapped)),1,0),0))</f>
        <v>1</v>
      </c>
      <c r="E485">
        <f>IF(OR(F_Custom2_Q="(None)",F_Custom2_Q="",ISBLANK(F_Custom2_Q),F_Custom2_V="(All)",F_Custom2_V="",ISBLANK(F_Custom2_V)),1,IFERROR(IF(ISNUMBER(SEARCH("|"&amp;INDEX(INDIRECT(F_Custom2_resolved_column),484)&amp;"|",F_Custom2_wrapped)),1,0),0))</f>
        <v>1</v>
      </c>
      <c r="F485">
        <f>D485*E485*1</f>
        <v>1</v>
      </c>
      <c r="G485">
        <f>1</f>
        <v>1</v>
      </c>
      <c r="H4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484)&amp;"|",All_Questions_Q_STREAM_F_wrapped)),1,0),0))*1</f>
        <v>1</v>
      </c>
    </row>
    <row r="486">
      <c r="A486" t="n">
        <v>485</v>
      </c>
      <c r="B486" t="inlineStr">
        <is>
          <t>A</t>
        </is>
      </c>
      <c r="C486">
        <f>1</f>
        <v>1</v>
      </c>
      <c r="D486">
        <f>IF(OR(F_Custom1_Q="(None)",F_Custom1_Q="",ISBLANK(F_Custom1_Q),F_Custom1_V="(All)",F_Custom1_V="",ISBLANK(F_Custom1_V)),1,IFERROR(IF(ISNUMBER(SEARCH("|"&amp;INDEX(INDIRECT(F_Custom1_resolved_column),485)&amp;"|",F_Custom1_wrapped)),1,0),0))</f>
        <v>1</v>
      </c>
      <c r="E486">
        <f>IF(OR(F_Custom2_Q="(None)",F_Custom2_Q="",ISBLANK(F_Custom2_Q),F_Custom2_V="(All)",F_Custom2_V="",ISBLANK(F_Custom2_V)),1,IFERROR(IF(ISNUMBER(SEARCH("|"&amp;INDEX(INDIRECT(F_Custom2_resolved_column),485)&amp;"|",F_Custom2_wrapped)),1,0),0))</f>
        <v>1</v>
      </c>
      <c r="F486">
        <f>D486*E486*1</f>
        <v>1</v>
      </c>
      <c r="G486">
        <f>1</f>
        <v>1</v>
      </c>
      <c r="H4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485)&amp;"|",All_Questions_Q_STREAM_F_wrapped)),1,0),0))*1</f>
        <v>1</v>
      </c>
    </row>
    <row r="487">
      <c r="A487" t="n">
        <v>486</v>
      </c>
      <c r="B487" t="inlineStr">
        <is>
          <t>B</t>
        </is>
      </c>
      <c r="C487">
        <f>1</f>
        <v>1</v>
      </c>
      <c r="D487">
        <f>IF(OR(F_Custom1_Q="(None)",F_Custom1_Q="",ISBLANK(F_Custom1_Q),F_Custom1_V="(All)",F_Custom1_V="",ISBLANK(F_Custom1_V)),1,IFERROR(IF(ISNUMBER(SEARCH("|"&amp;INDEX(INDIRECT(F_Custom1_resolved_column),486)&amp;"|",F_Custom1_wrapped)),1,0),0))</f>
        <v>1</v>
      </c>
      <c r="E487">
        <f>IF(OR(F_Custom2_Q="(None)",F_Custom2_Q="",ISBLANK(F_Custom2_Q),F_Custom2_V="(All)",F_Custom2_V="",ISBLANK(F_Custom2_V)),1,IFERROR(IF(ISNUMBER(SEARCH("|"&amp;INDEX(INDIRECT(F_Custom2_resolved_column),486)&amp;"|",F_Custom2_wrapped)),1,0),0))</f>
        <v>1</v>
      </c>
      <c r="F487">
        <f>D487*E487*1</f>
        <v>1</v>
      </c>
      <c r="G487">
        <f>1</f>
        <v>1</v>
      </c>
      <c r="H4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486)&amp;"|",All_Questions_Q_STREAM_F_wrapped)),1,0),0))*1</f>
        <v>1</v>
      </c>
    </row>
    <row r="488">
      <c r="A488" t="n">
        <v>487</v>
      </c>
      <c r="B488" t="inlineStr">
        <is>
          <t>A</t>
        </is>
      </c>
      <c r="C488">
        <f>1</f>
        <v>1</v>
      </c>
      <c r="D488">
        <f>IF(OR(F_Custom1_Q="(None)",F_Custom1_Q="",ISBLANK(F_Custom1_Q),F_Custom1_V="(All)",F_Custom1_V="",ISBLANK(F_Custom1_V)),1,IFERROR(IF(ISNUMBER(SEARCH("|"&amp;INDEX(INDIRECT(F_Custom1_resolved_column),487)&amp;"|",F_Custom1_wrapped)),1,0),0))</f>
        <v>1</v>
      </c>
      <c r="E488">
        <f>IF(OR(F_Custom2_Q="(None)",F_Custom2_Q="",ISBLANK(F_Custom2_Q),F_Custom2_V="(All)",F_Custom2_V="",ISBLANK(F_Custom2_V)),1,IFERROR(IF(ISNUMBER(SEARCH("|"&amp;INDEX(INDIRECT(F_Custom2_resolved_column),487)&amp;"|",F_Custom2_wrapped)),1,0),0))</f>
        <v>1</v>
      </c>
      <c r="F488">
        <f>D488*E488*1</f>
        <v>1</v>
      </c>
      <c r="G488">
        <f>1</f>
        <v>1</v>
      </c>
      <c r="H4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487)&amp;"|",All_Questions_Q_STREAM_F_wrapped)),1,0),0))*1</f>
        <v>1</v>
      </c>
    </row>
    <row r="489">
      <c r="A489" t="n">
        <v>488</v>
      </c>
      <c r="B489" t="inlineStr">
        <is>
          <t>B</t>
        </is>
      </c>
      <c r="C489">
        <f>1</f>
        <v>1</v>
      </c>
      <c r="D489">
        <f>IF(OR(F_Custom1_Q="(None)",F_Custom1_Q="",ISBLANK(F_Custom1_Q),F_Custom1_V="(All)",F_Custom1_V="",ISBLANK(F_Custom1_V)),1,IFERROR(IF(ISNUMBER(SEARCH("|"&amp;INDEX(INDIRECT(F_Custom1_resolved_column),488)&amp;"|",F_Custom1_wrapped)),1,0),0))</f>
        <v>1</v>
      </c>
      <c r="E489">
        <f>IF(OR(F_Custom2_Q="(None)",F_Custom2_Q="",ISBLANK(F_Custom2_Q),F_Custom2_V="(All)",F_Custom2_V="",ISBLANK(F_Custom2_V)),1,IFERROR(IF(ISNUMBER(SEARCH("|"&amp;INDEX(INDIRECT(F_Custom2_resolved_column),488)&amp;"|",F_Custom2_wrapped)),1,0),0))</f>
        <v>1</v>
      </c>
      <c r="F489">
        <f>D489*E489*1</f>
        <v>1</v>
      </c>
      <c r="G489">
        <f>1</f>
        <v>1</v>
      </c>
      <c r="H4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488)&amp;"|",All_Questions_Q_STREAM_F_wrapped)),1,0),0))*1</f>
        <v>1</v>
      </c>
    </row>
    <row r="490">
      <c r="A490" t="n">
        <v>489</v>
      </c>
      <c r="B490" t="inlineStr">
        <is>
          <t>A</t>
        </is>
      </c>
      <c r="C490">
        <f>1</f>
        <v>1</v>
      </c>
      <c r="D490">
        <f>IF(OR(F_Custom1_Q="(None)",F_Custom1_Q="",ISBLANK(F_Custom1_Q),F_Custom1_V="(All)",F_Custom1_V="",ISBLANK(F_Custom1_V)),1,IFERROR(IF(ISNUMBER(SEARCH("|"&amp;INDEX(INDIRECT(F_Custom1_resolved_column),489)&amp;"|",F_Custom1_wrapped)),1,0),0))</f>
        <v>1</v>
      </c>
      <c r="E490">
        <f>IF(OR(F_Custom2_Q="(None)",F_Custom2_Q="",ISBLANK(F_Custom2_Q),F_Custom2_V="(All)",F_Custom2_V="",ISBLANK(F_Custom2_V)),1,IFERROR(IF(ISNUMBER(SEARCH("|"&amp;INDEX(INDIRECT(F_Custom2_resolved_column),489)&amp;"|",F_Custom2_wrapped)),1,0),0))</f>
        <v>1</v>
      </c>
      <c r="F490">
        <f>D490*E490*1</f>
        <v>1</v>
      </c>
      <c r="G490">
        <f>1</f>
        <v>1</v>
      </c>
      <c r="H4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489)&amp;"|",All_Questions_Q_STREAM_F_wrapped)),1,0),0))*1</f>
        <v>1</v>
      </c>
    </row>
    <row r="491">
      <c r="A491" t="n">
        <v>490</v>
      </c>
      <c r="B491" t="inlineStr">
        <is>
          <t>B</t>
        </is>
      </c>
      <c r="C491">
        <f>1</f>
        <v>1</v>
      </c>
      <c r="D491">
        <f>IF(OR(F_Custom1_Q="(None)",F_Custom1_Q="",ISBLANK(F_Custom1_Q),F_Custom1_V="(All)",F_Custom1_V="",ISBLANK(F_Custom1_V)),1,IFERROR(IF(ISNUMBER(SEARCH("|"&amp;INDEX(INDIRECT(F_Custom1_resolved_column),490)&amp;"|",F_Custom1_wrapped)),1,0),0))</f>
        <v>1</v>
      </c>
      <c r="E491">
        <f>IF(OR(F_Custom2_Q="(None)",F_Custom2_Q="",ISBLANK(F_Custom2_Q),F_Custom2_V="(All)",F_Custom2_V="",ISBLANK(F_Custom2_V)),1,IFERROR(IF(ISNUMBER(SEARCH("|"&amp;INDEX(INDIRECT(F_Custom2_resolved_column),490)&amp;"|",F_Custom2_wrapped)),1,0),0))</f>
        <v>1</v>
      </c>
      <c r="F491">
        <f>D491*E491*1</f>
        <v>1</v>
      </c>
      <c r="G491">
        <f>1</f>
        <v>1</v>
      </c>
      <c r="H4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490)&amp;"|",All_Questions_Q_STREAM_F_wrapped)),1,0),0))*1</f>
        <v>1</v>
      </c>
    </row>
    <row r="492">
      <c r="A492" t="n">
        <v>491</v>
      </c>
      <c r="B492" t="inlineStr">
        <is>
          <t>A</t>
        </is>
      </c>
      <c r="C492">
        <f>1</f>
        <v>1</v>
      </c>
      <c r="D492">
        <f>IF(OR(F_Custom1_Q="(None)",F_Custom1_Q="",ISBLANK(F_Custom1_Q),F_Custom1_V="(All)",F_Custom1_V="",ISBLANK(F_Custom1_V)),1,IFERROR(IF(ISNUMBER(SEARCH("|"&amp;INDEX(INDIRECT(F_Custom1_resolved_column),491)&amp;"|",F_Custom1_wrapped)),1,0),0))</f>
        <v>1</v>
      </c>
      <c r="E492">
        <f>IF(OR(F_Custom2_Q="(None)",F_Custom2_Q="",ISBLANK(F_Custom2_Q),F_Custom2_V="(All)",F_Custom2_V="",ISBLANK(F_Custom2_V)),1,IFERROR(IF(ISNUMBER(SEARCH("|"&amp;INDEX(INDIRECT(F_Custom2_resolved_column),491)&amp;"|",F_Custom2_wrapped)),1,0),0))</f>
        <v>1</v>
      </c>
      <c r="F492">
        <f>D492*E492*1</f>
        <v>1</v>
      </c>
      <c r="G492">
        <f>1</f>
        <v>1</v>
      </c>
      <c r="H4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491)&amp;"|",All_Questions_Q_STREAM_F_wrapped)),1,0),0))*1</f>
        <v>1</v>
      </c>
    </row>
    <row r="493">
      <c r="A493" t="n">
        <v>492</v>
      </c>
      <c r="B493" t="inlineStr">
        <is>
          <t>B</t>
        </is>
      </c>
      <c r="C493">
        <f>1</f>
        <v>1</v>
      </c>
      <c r="D493">
        <f>IF(OR(F_Custom1_Q="(None)",F_Custom1_Q="",ISBLANK(F_Custom1_Q),F_Custom1_V="(All)",F_Custom1_V="",ISBLANK(F_Custom1_V)),1,IFERROR(IF(ISNUMBER(SEARCH("|"&amp;INDEX(INDIRECT(F_Custom1_resolved_column),492)&amp;"|",F_Custom1_wrapped)),1,0),0))</f>
        <v>1</v>
      </c>
      <c r="E493">
        <f>IF(OR(F_Custom2_Q="(None)",F_Custom2_Q="",ISBLANK(F_Custom2_Q),F_Custom2_V="(All)",F_Custom2_V="",ISBLANK(F_Custom2_V)),1,IFERROR(IF(ISNUMBER(SEARCH("|"&amp;INDEX(INDIRECT(F_Custom2_resolved_column),492)&amp;"|",F_Custom2_wrapped)),1,0),0))</f>
        <v>1</v>
      </c>
      <c r="F493">
        <f>D493*E493*1</f>
        <v>1</v>
      </c>
      <c r="G493">
        <f>1</f>
        <v>1</v>
      </c>
      <c r="H4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492)&amp;"|",All_Questions_Q_STREAM_F_wrapped)),1,0),0))*1</f>
        <v>1</v>
      </c>
    </row>
    <row r="494">
      <c r="A494" t="n">
        <v>493</v>
      </c>
      <c r="B494" t="inlineStr">
        <is>
          <t>A</t>
        </is>
      </c>
      <c r="C494">
        <f>1</f>
        <v>1</v>
      </c>
      <c r="D494">
        <f>IF(OR(F_Custom1_Q="(None)",F_Custom1_Q="",ISBLANK(F_Custom1_Q),F_Custom1_V="(All)",F_Custom1_V="",ISBLANK(F_Custom1_V)),1,IFERROR(IF(ISNUMBER(SEARCH("|"&amp;INDEX(INDIRECT(F_Custom1_resolved_column),493)&amp;"|",F_Custom1_wrapped)),1,0),0))</f>
        <v>1</v>
      </c>
      <c r="E494">
        <f>IF(OR(F_Custom2_Q="(None)",F_Custom2_Q="",ISBLANK(F_Custom2_Q),F_Custom2_V="(All)",F_Custom2_V="",ISBLANK(F_Custom2_V)),1,IFERROR(IF(ISNUMBER(SEARCH("|"&amp;INDEX(INDIRECT(F_Custom2_resolved_column),493)&amp;"|",F_Custom2_wrapped)),1,0),0))</f>
        <v>1</v>
      </c>
      <c r="F494">
        <f>D494*E494*1</f>
        <v>1</v>
      </c>
      <c r="G494">
        <f>1</f>
        <v>1</v>
      </c>
      <c r="H4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493)&amp;"|",All_Questions_Q_STREAM_F_wrapped)),1,0),0))*1</f>
        <v>1</v>
      </c>
    </row>
    <row r="495">
      <c r="A495" t="n">
        <v>494</v>
      </c>
      <c r="B495" t="inlineStr">
        <is>
          <t>B</t>
        </is>
      </c>
      <c r="C495">
        <f>1</f>
        <v>1</v>
      </c>
      <c r="D495">
        <f>IF(OR(F_Custom1_Q="(None)",F_Custom1_Q="",ISBLANK(F_Custom1_Q),F_Custom1_V="(All)",F_Custom1_V="",ISBLANK(F_Custom1_V)),1,IFERROR(IF(ISNUMBER(SEARCH("|"&amp;INDEX(INDIRECT(F_Custom1_resolved_column),494)&amp;"|",F_Custom1_wrapped)),1,0),0))</f>
        <v>1</v>
      </c>
      <c r="E495">
        <f>IF(OR(F_Custom2_Q="(None)",F_Custom2_Q="",ISBLANK(F_Custom2_Q),F_Custom2_V="(All)",F_Custom2_V="",ISBLANK(F_Custom2_V)),1,IFERROR(IF(ISNUMBER(SEARCH("|"&amp;INDEX(INDIRECT(F_Custom2_resolved_column),494)&amp;"|",F_Custom2_wrapped)),1,0),0))</f>
        <v>1</v>
      </c>
      <c r="F495">
        <f>D495*E495*1</f>
        <v>1</v>
      </c>
      <c r="G495">
        <f>1</f>
        <v>1</v>
      </c>
      <c r="H4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494)&amp;"|",All_Questions_Q_STREAM_F_wrapped)),1,0),0))*1</f>
        <v>1</v>
      </c>
    </row>
    <row r="496">
      <c r="A496" t="n">
        <v>495</v>
      </c>
      <c r="B496" t="inlineStr">
        <is>
          <t>A</t>
        </is>
      </c>
      <c r="C496">
        <f>1</f>
        <v>1</v>
      </c>
      <c r="D496">
        <f>IF(OR(F_Custom1_Q="(None)",F_Custom1_Q="",ISBLANK(F_Custom1_Q),F_Custom1_V="(All)",F_Custom1_V="",ISBLANK(F_Custom1_V)),1,IFERROR(IF(ISNUMBER(SEARCH("|"&amp;INDEX(INDIRECT(F_Custom1_resolved_column),495)&amp;"|",F_Custom1_wrapped)),1,0),0))</f>
        <v>1</v>
      </c>
      <c r="E496">
        <f>IF(OR(F_Custom2_Q="(None)",F_Custom2_Q="",ISBLANK(F_Custom2_Q),F_Custom2_V="(All)",F_Custom2_V="",ISBLANK(F_Custom2_V)),1,IFERROR(IF(ISNUMBER(SEARCH("|"&amp;INDEX(INDIRECT(F_Custom2_resolved_column),495)&amp;"|",F_Custom2_wrapped)),1,0),0))</f>
        <v>1</v>
      </c>
      <c r="F496">
        <f>D496*E496*1</f>
        <v>1</v>
      </c>
      <c r="G496">
        <f>1</f>
        <v>1</v>
      </c>
      <c r="H4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495)&amp;"|",All_Questions_Q_STREAM_F_wrapped)),1,0),0))*1</f>
        <v>1</v>
      </c>
    </row>
    <row r="497">
      <c r="A497" t="n">
        <v>496</v>
      </c>
      <c r="B497" t="inlineStr">
        <is>
          <t>B</t>
        </is>
      </c>
      <c r="C497">
        <f>1</f>
        <v>1</v>
      </c>
      <c r="D497">
        <f>IF(OR(F_Custom1_Q="(None)",F_Custom1_Q="",ISBLANK(F_Custom1_Q),F_Custom1_V="(All)",F_Custom1_V="",ISBLANK(F_Custom1_V)),1,IFERROR(IF(ISNUMBER(SEARCH("|"&amp;INDEX(INDIRECT(F_Custom1_resolved_column),496)&amp;"|",F_Custom1_wrapped)),1,0),0))</f>
        <v>1</v>
      </c>
      <c r="E497">
        <f>IF(OR(F_Custom2_Q="(None)",F_Custom2_Q="",ISBLANK(F_Custom2_Q),F_Custom2_V="(All)",F_Custom2_V="",ISBLANK(F_Custom2_V)),1,IFERROR(IF(ISNUMBER(SEARCH("|"&amp;INDEX(INDIRECT(F_Custom2_resolved_column),496)&amp;"|",F_Custom2_wrapped)),1,0),0))</f>
        <v>1</v>
      </c>
      <c r="F497">
        <f>D497*E497*1</f>
        <v>1</v>
      </c>
      <c r="G497">
        <f>1</f>
        <v>1</v>
      </c>
      <c r="H4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496)&amp;"|",All_Questions_Q_STREAM_F_wrapped)),1,0),0))*1</f>
        <v>1</v>
      </c>
    </row>
    <row r="498">
      <c r="A498" t="n">
        <v>497</v>
      </c>
      <c r="B498" t="inlineStr">
        <is>
          <t>A</t>
        </is>
      </c>
      <c r="C498">
        <f>1</f>
        <v>1</v>
      </c>
      <c r="D498">
        <f>IF(OR(F_Custom1_Q="(None)",F_Custom1_Q="",ISBLANK(F_Custom1_Q),F_Custom1_V="(All)",F_Custom1_V="",ISBLANK(F_Custom1_V)),1,IFERROR(IF(ISNUMBER(SEARCH("|"&amp;INDEX(INDIRECT(F_Custom1_resolved_column),497)&amp;"|",F_Custom1_wrapped)),1,0),0))</f>
        <v>1</v>
      </c>
      <c r="E498">
        <f>IF(OR(F_Custom2_Q="(None)",F_Custom2_Q="",ISBLANK(F_Custom2_Q),F_Custom2_V="(All)",F_Custom2_V="",ISBLANK(F_Custom2_V)),1,IFERROR(IF(ISNUMBER(SEARCH("|"&amp;INDEX(INDIRECT(F_Custom2_resolved_column),497)&amp;"|",F_Custom2_wrapped)),1,0),0))</f>
        <v>1</v>
      </c>
      <c r="F498">
        <f>D498*E498*1</f>
        <v>1</v>
      </c>
      <c r="G498">
        <f>1</f>
        <v>1</v>
      </c>
      <c r="H4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497)&amp;"|",All_Questions_Q_STREAM_F_wrapped)),1,0),0))*1</f>
        <v>1</v>
      </c>
    </row>
    <row r="499">
      <c r="A499" t="n">
        <v>498</v>
      </c>
      <c r="B499" t="inlineStr">
        <is>
          <t>B</t>
        </is>
      </c>
      <c r="C499">
        <f>1</f>
        <v>1</v>
      </c>
      <c r="D499">
        <f>IF(OR(F_Custom1_Q="(None)",F_Custom1_Q="",ISBLANK(F_Custom1_Q),F_Custom1_V="(All)",F_Custom1_V="",ISBLANK(F_Custom1_V)),1,IFERROR(IF(ISNUMBER(SEARCH("|"&amp;INDEX(INDIRECT(F_Custom1_resolved_column),498)&amp;"|",F_Custom1_wrapped)),1,0),0))</f>
        <v>1</v>
      </c>
      <c r="E499">
        <f>IF(OR(F_Custom2_Q="(None)",F_Custom2_Q="",ISBLANK(F_Custom2_Q),F_Custom2_V="(All)",F_Custom2_V="",ISBLANK(F_Custom2_V)),1,IFERROR(IF(ISNUMBER(SEARCH("|"&amp;INDEX(INDIRECT(F_Custom2_resolved_column),498)&amp;"|",F_Custom2_wrapped)),1,0),0))</f>
        <v>1</v>
      </c>
      <c r="F499">
        <f>D499*E499*1</f>
        <v>1</v>
      </c>
      <c r="G499">
        <f>1</f>
        <v>1</v>
      </c>
      <c r="H4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498)&amp;"|",All_Questions_Q_STREAM_F_wrapped)),1,0),0))*1</f>
        <v>1</v>
      </c>
    </row>
    <row r="500">
      <c r="A500" t="n">
        <v>499</v>
      </c>
      <c r="B500" t="inlineStr">
        <is>
          <t>A</t>
        </is>
      </c>
      <c r="C500">
        <f>1</f>
        <v>1</v>
      </c>
      <c r="D500">
        <f>IF(OR(F_Custom1_Q="(None)",F_Custom1_Q="",ISBLANK(F_Custom1_Q),F_Custom1_V="(All)",F_Custom1_V="",ISBLANK(F_Custom1_V)),1,IFERROR(IF(ISNUMBER(SEARCH("|"&amp;INDEX(INDIRECT(F_Custom1_resolved_column),499)&amp;"|",F_Custom1_wrapped)),1,0),0))</f>
        <v>1</v>
      </c>
      <c r="E500">
        <f>IF(OR(F_Custom2_Q="(None)",F_Custom2_Q="",ISBLANK(F_Custom2_Q),F_Custom2_V="(All)",F_Custom2_V="",ISBLANK(F_Custom2_V)),1,IFERROR(IF(ISNUMBER(SEARCH("|"&amp;INDEX(INDIRECT(F_Custom2_resolved_column),499)&amp;"|",F_Custom2_wrapped)),1,0),0))</f>
        <v>1</v>
      </c>
      <c r="F500">
        <f>D500*E500*1</f>
        <v>1</v>
      </c>
      <c r="G500">
        <f>1</f>
        <v>1</v>
      </c>
      <c r="H5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499)&amp;"|",All_Questions_Q_STREAM_F_wrapped)),1,0),0))*1</f>
        <v>1</v>
      </c>
    </row>
    <row r="501">
      <c r="A501" t="n">
        <v>500</v>
      </c>
      <c r="B501" t="inlineStr">
        <is>
          <t>B</t>
        </is>
      </c>
      <c r="C501">
        <f>1</f>
        <v>1</v>
      </c>
      <c r="D501">
        <f>IF(OR(F_Custom1_Q="(None)",F_Custom1_Q="",ISBLANK(F_Custom1_Q),F_Custom1_V="(All)",F_Custom1_V="",ISBLANK(F_Custom1_V)),1,IFERROR(IF(ISNUMBER(SEARCH("|"&amp;INDEX(INDIRECT(F_Custom1_resolved_column),500)&amp;"|",F_Custom1_wrapped)),1,0),0))</f>
        <v>1</v>
      </c>
      <c r="E501">
        <f>IF(OR(F_Custom2_Q="(None)",F_Custom2_Q="",ISBLANK(F_Custom2_Q),F_Custom2_V="(All)",F_Custom2_V="",ISBLANK(F_Custom2_V)),1,IFERROR(IF(ISNUMBER(SEARCH("|"&amp;INDEX(INDIRECT(F_Custom2_resolved_column),500)&amp;"|",F_Custom2_wrapped)),1,0),0))</f>
        <v>1</v>
      </c>
      <c r="F501">
        <f>D501*E501*1</f>
        <v>1</v>
      </c>
      <c r="G501">
        <f>1</f>
        <v>1</v>
      </c>
      <c r="H5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500)&amp;"|",All_Questions_Q_STREAM_F_wrapped)),1,0),0))*1</f>
        <v>1</v>
      </c>
    </row>
    <row r="502">
      <c r="A502" t="n">
        <v>501</v>
      </c>
      <c r="B502" t="inlineStr">
        <is>
          <t>A</t>
        </is>
      </c>
      <c r="C502">
        <f>1</f>
        <v>1</v>
      </c>
      <c r="D502">
        <f>IF(OR(F_Custom1_Q="(None)",F_Custom1_Q="",ISBLANK(F_Custom1_Q),F_Custom1_V="(All)",F_Custom1_V="",ISBLANK(F_Custom1_V)),1,IFERROR(IF(ISNUMBER(SEARCH("|"&amp;INDEX(INDIRECT(F_Custom1_resolved_column),501)&amp;"|",F_Custom1_wrapped)),1,0),0))</f>
        <v>1</v>
      </c>
      <c r="E502">
        <f>IF(OR(F_Custom2_Q="(None)",F_Custom2_Q="",ISBLANK(F_Custom2_Q),F_Custom2_V="(All)",F_Custom2_V="",ISBLANK(F_Custom2_V)),1,IFERROR(IF(ISNUMBER(SEARCH("|"&amp;INDEX(INDIRECT(F_Custom2_resolved_column),501)&amp;"|",F_Custom2_wrapped)),1,0),0))</f>
        <v>1</v>
      </c>
      <c r="F502">
        <f>D502*E502*1</f>
        <v>1</v>
      </c>
      <c r="G502">
        <f>1</f>
        <v>1</v>
      </c>
      <c r="H5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501)&amp;"|",All_Questions_Q_STREAM_F_wrapped)),1,0),0))*1</f>
        <v>1</v>
      </c>
    </row>
    <row r="503">
      <c r="A503" t="n">
        <v>502</v>
      </c>
      <c r="B503" t="inlineStr">
        <is>
          <t>B</t>
        </is>
      </c>
      <c r="C503">
        <f>1</f>
        <v>1</v>
      </c>
      <c r="D503">
        <f>IF(OR(F_Custom1_Q="(None)",F_Custom1_Q="",ISBLANK(F_Custom1_Q),F_Custom1_V="(All)",F_Custom1_V="",ISBLANK(F_Custom1_V)),1,IFERROR(IF(ISNUMBER(SEARCH("|"&amp;INDEX(INDIRECT(F_Custom1_resolved_column),502)&amp;"|",F_Custom1_wrapped)),1,0),0))</f>
        <v>1</v>
      </c>
      <c r="E503">
        <f>IF(OR(F_Custom2_Q="(None)",F_Custom2_Q="",ISBLANK(F_Custom2_Q),F_Custom2_V="(All)",F_Custom2_V="",ISBLANK(F_Custom2_V)),1,IFERROR(IF(ISNUMBER(SEARCH("|"&amp;INDEX(INDIRECT(F_Custom2_resolved_column),502)&amp;"|",F_Custom2_wrapped)),1,0),0))</f>
        <v>1</v>
      </c>
      <c r="F503">
        <f>D503*E503*1</f>
        <v>1</v>
      </c>
      <c r="G503">
        <f>1</f>
        <v>1</v>
      </c>
      <c r="H5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502)&amp;"|",All_Questions_Q_STREAM_F_wrapped)),1,0),0))*1</f>
        <v>1</v>
      </c>
    </row>
    <row r="504">
      <c r="A504" t="n">
        <v>503</v>
      </c>
      <c r="B504" t="inlineStr">
        <is>
          <t>A</t>
        </is>
      </c>
      <c r="C504">
        <f>1</f>
        <v>1</v>
      </c>
      <c r="D504">
        <f>IF(OR(F_Custom1_Q="(None)",F_Custom1_Q="",ISBLANK(F_Custom1_Q),F_Custom1_V="(All)",F_Custom1_V="",ISBLANK(F_Custom1_V)),1,IFERROR(IF(ISNUMBER(SEARCH("|"&amp;INDEX(INDIRECT(F_Custom1_resolved_column),503)&amp;"|",F_Custom1_wrapped)),1,0),0))</f>
        <v>1</v>
      </c>
      <c r="E504">
        <f>IF(OR(F_Custom2_Q="(None)",F_Custom2_Q="",ISBLANK(F_Custom2_Q),F_Custom2_V="(All)",F_Custom2_V="",ISBLANK(F_Custom2_V)),1,IFERROR(IF(ISNUMBER(SEARCH("|"&amp;INDEX(INDIRECT(F_Custom2_resolved_column),503)&amp;"|",F_Custom2_wrapped)),1,0),0))</f>
        <v>1</v>
      </c>
      <c r="F504">
        <f>D504*E504*1</f>
        <v>1</v>
      </c>
      <c r="G504">
        <f>1</f>
        <v>1</v>
      </c>
      <c r="H5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503)&amp;"|",All_Questions_Q_STREAM_F_wrapped)),1,0),0))*1</f>
        <v>1</v>
      </c>
    </row>
    <row r="505">
      <c r="A505" t="n">
        <v>504</v>
      </c>
      <c r="B505" t="inlineStr">
        <is>
          <t>B</t>
        </is>
      </c>
      <c r="C505">
        <f>1</f>
        <v>1</v>
      </c>
      <c r="D505">
        <f>IF(OR(F_Custom1_Q="(None)",F_Custom1_Q="",ISBLANK(F_Custom1_Q),F_Custom1_V="(All)",F_Custom1_V="",ISBLANK(F_Custom1_V)),1,IFERROR(IF(ISNUMBER(SEARCH("|"&amp;INDEX(INDIRECT(F_Custom1_resolved_column),504)&amp;"|",F_Custom1_wrapped)),1,0),0))</f>
        <v>1</v>
      </c>
      <c r="E505">
        <f>IF(OR(F_Custom2_Q="(None)",F_Custom2_Q="",ISBLANK(F_Custom2_Q),F_Custom2_V="(All)",F_Custom2_V="",ISBLANK(F_Custom2_V)),1,IFERROR(IF(ISNUMBER(SEARCH("|"&amp;INDEX(INDIRECT(F_Custom2_resolved_column),504)&amp;"|",F_Custom2_wrapped)),1,0),0))</f>
        <v>1</v>
      </c>
      <c r="F505">
        <f>D505*E505*1</f>
        <v>1</v>
      </c>
      <c r="G505">
        <f>1</f>
        <v>1</v>
      </c>
      <c r="H5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504)&amp;"|",All_Questions_Q_STREAM_F_wrapped)),1,0),0))*1</f>
        <v>1</v>
      </c>
    </row>
    <row r="506">
      <c r="A506" t="n">
        <v>505</v>
      </c>
      <c r="B506" t="inlineStr">
        <is>
          <t>A</t>
        </is>
      </c>
      <c r="C506">
        <f>1</f>
        <v>1</v>
      </c>
      <c r="D506">
        <f>IF(OR(F_Custom1_Q="(None)",F_Custom1_Q="",ISBLANK(F_Custom1_Q),F_Custom1_V="(All)",F_Custom1_V="",ISBLANK(F_Custom1_V)),1,IFERROR(IF(ISNUMBER(SEARCH("|"&amp;INDEX(INDIRECT(F_Custom1_resolved_column),505)&amp;"|",F_Custom1_wrapped)),1,0),0))</f>
        <v>1</v>
      </c>
      <c r="E506">
        <f>IF(OR(F_Custom2_Q="(None)",F_Custom2_Q="",ISBLANK(F_Custom2_Q),F_Custom2_V="(All)",F_Custom2_V="",ISBLANK(F_Custom2_V)),1,IFERROR(IF(ISNUMBER(SEARCH("|"&amp;INDEX(INDIRECT(F_Custom2_resolved_column),505)&amp;"|",F_Custom2_wrapped)),1,0),0))</f>
        <v>1</v>
      </c>
      <c r="F506">
        <f>D506*E506*1</f>
        <v>1</v>
      </c>
      <c r="G506">
        <f>1</f>
        <v>1</v>
      </c>
      <c r="H5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505)&amp;"|",All_Questions_Q_STREAM_F_wrapped)),1,0),0))*1</f>
        <v>1</v>
      </c>
    </row>
    <row r="507">
      <c r="A507" t="n">
        <v>506</v>
      </c>
      <c r="B507" t="inlineStr">
        <is>
          <t>B</t>
        </is>
      </c>
      <c r="C507">
        <f>1</f>
        <v>1</v>
      </c>
      <c r="D507">
        <f>IF(OR(F_Custom1_Q="(None)",F_Custom1_Q="",ISBLANK(F_Custom1_Q),F_Custom1_V="(All)",F_Custom1_V="",ISBLANK(F_Custom1_V)),1,IFERROR(IF(ISNUMBER(SEARCH("|"&amp;INDEX(INDIRECT(F_Custom1_resolved_column),506)&amp;"|",F_Custom1_wrapped)),1,0),0))</f>
        <v>1</v>
      </c>
      <c r="E507">
        <f>IF(OR(F_Custom2_Q="(None)",F_Custom2_Q="",ISBLANK(F_Custom2_Q),F_Custom2_V="(All)",F_Custom2_V="",ISBLANK(F_Custom2_V)),1,IFERROR(IF(ISNUMBER(SEARCH("|"&amp;INDEX(INDIRECT(F_Custom2_resolved_column),506)&amp;"|",F_Custom2_wrapped)),1,0),0))</f>
        <v>1</v>
      </c>
      <c r="F507">
        <f>D507*E507*1</f>
        <v>1</v>
      </c>
      <c r="G507">
        <f>1</f>
        <v>1</v>
      </c>
      <c r="H5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506)&amp;"|",All_Questions_Q_STREAM_F_wrapped)),1,0),0))*1</f>
        <v>1</v>
      </c>
    </row>
    <row r="508">
      <c r="A508" t="n">
        <v>507</v>
      </c>
      <c r="B508" t="inlineStr">
        <is>
          <t>A</t>
        </is>
      </c>
      <c r="C508">
        <f>1</f>
        <v>1</v>
      </c>
      <c r="D508">
        <f>IF(OR(F_Custom1_Q="(None)",F_Custom1_Q="",ISBLANK(F_Custom1_Q),F_Custom1_V="(All)",F_Custom1_V="",ISBLANK(F_Custom1_V)),1,IFERROR(IF(ISNUMBER(SEARCH("|"&amp;INDEX(INDIRECT(F_Custom1_resolved_column),507)&amp;"|",F_Custom1_wrapped)),1,0),0))</f>
        <v>1</v>
      </c>
      <c r="E508">
        <f>IF(OR(F_Custom2_Q="(None)",F_Custom2_Q="",ISBLANK(F_Custom2_Q),F_Custom2_V="(All)",F_Custom2_V="",ISBLANK(F_Custom2_V)),1,IFERROR(IF(ISNUMBER(SEARCH("|"&amp;INDEX(INDIRECT(F_Custom2_resolved_column),507)&amp;"|",F_Custom2_wrapped)),1,0),0))</f>
        <v>1</v>
      </c>
      <c r="F508">
        <f>D508*E508*1</f>
        <v>1</v>
      </c>
      <c r="G508">
        <f>1</f>
        <v>1</v>
      </c>
      <c r="H5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507)&amp;"|",All_Questions_Q_STREAM_F_wrapped)),1,0),0))*1</f>
        <v>1</v>
      </c>
    </row>
    <row r="509">
      <c r="A509" t="n">
        <v>508</v>
      </c>
      <c r="B509" t="inlineStr">
        <is>
          <t>B</t>
        </is>
      </c>
      <c r="C509">
        <f>1</f>
        <v>1</v>
      </c>
      <c r="D509">
        <f>IF(OR(F_Custom1_Q="(None)",F_Custom1_Q="",ISBLANK(F_Custom1_Q),F_Custom1_V="(All)",F_Custom1_V="",ISBLANK(F_Custom1_V)),1,IFERROR(IF(ISNUMBER(SEARCH("|"&amp;INDEX(INDIRECT(F_Custom1_resolved_column),508)&amp;"|",F_Custom1_wrapped)),1,0),0))</f>
        <v>1</v>
      </c>
      <c r="E509">
        <f>IF(OR(F_Custom2_Q="(None)",F_Custom2_Q="",ISBLANK(F_Custom2_Q),F_Custom2_V="(All)",F_Custom2_V="",ISBLANK(F_Custom2_V)),1,IFERROR(IF(ISNUMBER(SEARCH("|"&amp;INDEX(INDIRECT(F_Custom2_resolved_column),508)&amp;"|",F_Custom2_wrapped)),1,0),0))</f>
        <v>1</v>
      </c>
      <c r="F509">
        <f>D509*E509*1</f>
        <v>1</v>
      </c>
      <c r="G509">
        <f>1</f>
        <v>1</v>
      </c>
      <c r="H5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508)&amp;"|",All_Questions_Q_STREAM_F_wrapped)),1,0),0))*1</f>
        <v>1</v>
      </c>
    </row>
    <row r="510">
      <c r="A510" t="n">
        <v>509</v>
      </c>
      <c r="B510" t="inlineStr">
        <is>
          <t>A</t>
        </is>
      </c>
      <c r="C510">
        <f>1</f>
        <v>1</v>
      </c>
      <c r="D510">
        <f>IF(OR(F_Custom1_Q="(None)",F_Custom1_Q="",ISBLANK(F_Custom1_Q),F_Custom1_V="(All)",F_Custom1_V="",ISBLANK(F_Custom1_V)),1,IFERROR(IF(ISNUMBER(SEARCH("|"&amp;INDEX(INDIRECT(F_Custom1_resolved_column),509)&amp;"|",F_Custom1_wrapped)),1,0),0))</f>
        <v>1</v>
      </c>
      <c r="E510">
        <f>IF(OR(F_Custom2_Q="(None)",F_Custom2_Q="",ISBLANK(F_Custom2_Q),F_Custom2_V="(All)",F_Custom2_V="",ISBLANK(F_Custom2_V)),1,IFERROR(IF(ISNUMBER(SEARCH("|"&amp;INDEX(INDIRECT(F_Custom2_resolved_column),509)&amp;"|",F_Custom2_wrapped)),1,0),0))</f>
        <v>1</v>
      </c>
      <c r="F510">
        <f>D510*E510*1</f>
        <v>1</v>
      </c>
      <c r="G510">
        <f>1</f>
        <v>1</v>
      </c>
      <c r="H5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509)&amp;"|",All_Questions_Q_STREAM_F_wrapped)),1,0),0))*1</f>
        <v>1</v>
      </c>
    </row>
    <row r="511">
      <c r="A511" t="n">
        <v>510</v>
      </c>
      <c r="B511" t="inlineStr">
        <is>
          <t>B</t>
        </is>
      </c>
      <c r="C511">
        <f>1</f>
        <v>1</v>
      </c>
      <c r="D511">
        <f>IF(OR(F_Custom1_Q="(None)",F_Custom1_Q="",ISBLANK(F_Custom1_Q),F_Custom1_V="(All)",F_Custom1_V="",ISBLANK(F_Custom1_V)),1,IFERROR(IF(ISNUMBER(SEARCH("|"&amp;INDEX(INDIRECT(F_Custom1_resolved_column),510)&amp;"|",F_Custom1_wrapped)),1,0),0))</f>
        <v>1</v>
      </c>
      <c r="E511">
        <f>IF(OR(F_Custom2_Q="(None)",F_Custom2_Q="",ISBLANK(F_Custom2_Q),F_Custom2_V="(All)",F_Custom2_V="",ISBLANK(F_Custom2_V)),1,IFERROR(IF(ISNUMBER(SEARCH("|"&amp;INDEX(INDIRECT(F_Custom2_resolved_column),510)&amp;"|",F_Custom2_wrapped)),1,0),0))</f>
        <v>1</v>
      </c>
      <c r="F511">
        <f>D511*E511*1</f>
        <v>1</v>
      </c>
      <c r="G511">
        <f>1</f>
        <v>1</v>
      </c>
      <c r="H5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510)&amp;"|",All_Questions_Q_STREAM_F_wrapped)),1,0),0))*1</f>
        <v>1</v>
      </c>
    </row>
    <row r="512">
      <c r="A512" t="n">
        <v>511</v>
      </c>
      <c r="B512" t="inlineStr">
        <is>
          <t>A</t>
        </is>
      </c>
      <c r="C512">
        <f>1</f>
        <v>1</v>
      </c>
      <c r="D512">
        <f>IF(OR(F_Custom1_Q="(None)",F_Custom1_Q="",ISBLANK(F_Custom1_Q),F_Custom1_V="(All)",F_Custom1_V="",ISBLANK(F_Custom1_V)),1,IFERROR(IF(ISNUMBER(SEARCH("|"&amp;INDEX(INDIRECT(F_Custom1_resolved_column),511)&amp;"|",F_Custom1_wrapped)),1,0),0))</f>
        <v>1</v>
      </c>
      <c r="E512">
        <f>IF(OR(F_Custom2_Q="(None)",F_Custom2_Q="",ISBLANK(F_Custom2_Q),F_Custom2_V="(All)",F_Custom2_V="",ISBLANK(F_Custom2_V)),1,IFERROR(IF(ISNUMBER(SEARCH("|"&amp;INDEX(INDIRECT(F_Custom2_resolved_column),511)&amp;"|",F_Custom2_wrapped)),1,0),0))</f>
        <v>1</v>
      </c>
      <c r="F512">
        <f>D512*E512*1</f>
        <v>1</v>
      </c>
      <c r="G512">
        <f>1</f>
        <v>1</v>
      </c>
      <c r="H5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511)&amp;"|",All_Questions_Q_STREAM_F_wrapped)),1,0),0))*1</f>
        <v>1</v>
      </c>
    </row>
    <row r="513">
      <c r="A513" t="n">
        <v>512</v>
      </c>
      <c r="B513" t="inlineStr">
        <is>
          <t>B</t>
        </is>
      </c>
      <c r="C513">
        <f>1</f>
        <v>1</v>
      </c>
      <c r="D513">
        <f>IF(OR(F_Custom1_Q="(None)",F_Custom1_Q="",ISBLANK(F_Custom1_Q),F_Custom1_V="(All)",F_Custom1_V="",ISBLANK(F_Custom1_V)),1,IFERROR(IF(ISNUMBER(SEARCH("|"&amp;INDEX(INDIRECT(F_Custom1_resolved_column),512)&amp;"|",F_Custom1_wrapped)),1,0),0))</f>
        <v>1</v>
      </c>
      <c r="E513">
        <f>IF(OR(F_Custom2_Q="(None)",F_Custom2_Q="",ISBLANK(F_Custom2_Q),F_Custom2_V="(All)",F_Custom2_V="",ISBLANK(F_Custom2_V)),1,IFERROR(IF(ISNUMBER(SEARCH("|"&amp;INDEX(INDIRECT(F_Custom2_resolved_column),512)&amp;"|",F_Custom2_wrapped)),1,0),0))</f>
        <v>1</v>
      </c>
      <c r="F513">
        <f>D513*E513*1</f>
        <v>1</v>
      </c>
      <c r="G513">
        <f>1</f>
        <v>1</v>
      </c>
      <c r="H5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512)&amp;"|",All_Questions_Q_STREAM_F_wrapped)),1,0),0))*1</f>
        <v>1</v>
      </c>
    </row>
    <row r="514">
      <c r="A514" t="n">
        <v>513</v>
      </c>
      <c r="B514" t="inlineStr">
        <is>
          <t>A</t>
        </is>
      </c>
      <c r="C514">
        <f>1</f>
        <v>1</v>
      </c>
      <c r="D514">
        <f>IF(OR(F_Custom1_Q="(None)",F_Custom1_Q="",ISBLANK(F_Custom1_Q),F_Custom1_V="(All)",F_Custom1_V="",ISBLANK(F_Custom1_V)),1,IFERROR(IF(ISNUMBER(SEARCH("|"&amp;INDEX(INDIRECT(F_Custom1_resolved_column),513)&amp;"|",F_Custom1_wrapped)),1,0),0))</f>
        <v>1</v>
      </c>
      <c r="E514">
        <f>IF(OR(F_Custom2_Q="(None)",F_Custom2_Q="",ISBLANK(F_Custom2_Q),F_Custom2_V="(All)",F_Custom2_V="",ISBLANK(F_Custom2_V)),1,IFERROR(IF(ISNUMBER(SEARCH("|"&amp;INDEX(INDIRECT(F_Custom2_resolved_column),513)&amp;"|",F_Custom2_wrapped)),1,0),0))</f>
        <v>1</v>
      </c>
      <c r="F514">
        <f>D514*E514*1</f>
        <v>1</v>
      </c>
      <c r="G514">
        <f>1</f>
        <v>1</v>
      </c>
      <c r="H5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513)&amp;"|",All_Questions_Q_STREAM_F_wrapped)),1,0),0))*1</f>
        <v>1</v>
      </c>
    </row>
    <row r="515">
      <c r="A515" t="n">
        <v>514</v>
      </c>
      <c r="B515" t="inlineStr">
        <is>
          <t>B</t>
        </is>
      </c>
      <c r="C515">
        <f>1</f>
        <v>1</v>
      </c>
      <c r="D515">
        <f>IF(OR(F_Custom1_Q="(None)",F_Custom1_Q="",ISBLANK(F_Custom1_Q),F_Custom1_V="(All)",F_Custom1_V="",ISBLANK(F_Custom1_V)),1,IFERROR(IF(ISNUMBER(SEARCH("|"&amp;INDEX(INDIRECT(F_Custom1_resolved_column),514)&amp;"|",F_Custom1_wrapped)),1,0),0))</f>
        <v>1</v>
      </c>
      <c r="E515">
        <f>IF(OR(F_Custom2_Q="(None)",F_Custom2_Q="",ISBLANK(F_Custom2_Q),F_Custom2_V="(All)",F_Custom2_V="",ISBLANK(F_Custom2_V)),1,IFERROR(IF(ISNUMBER(SEARCH("|"&amp;INDEX(INDIRECT(F_Custom2_resolved_column),514)&amp;"|",F_Custom2_wrapped)),1,0),0))</f>
        <v>1</v>
      </c>
      <c r="F515">
        <f>D515*E515*1</f>
        <v>1</v>
      </c>
      <c r="G515">
        <f>1</f>
        <v>1</v>
      </c>
      <c r="H5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514)&amp;"|",All_Questions_Q_STREAM_F_wrapped)),1,0),0))*1</f>
        <v>1</v>
      </c>
    </row>
    <row r="516">
      <c r="A516" t="n">
        <v>515</v>
      </c>
      <c r="B516" t="inlineStr">
        <is>
          <t>A</t>
        </is>
      </c>
      <c r="C516">
        <f>1</f>
        <v>1</v>
      </c>
      <c r="D516">
        <f>IF(OR(F_Custom1_Q="(None)",F_Custom1_Q="",ISBLANK(F_Custom1_Q),F_Custom1_V="(All)",F_Custom1_V="",ISBLANK(F_Custom1_V)),1,IFERROR(IF(ISNUMBER(SEARCH("|"&amp;INDEX(INDIRECT(F_Custom1_resolved_column),515)&amp;"|",F_Custom1_wrapped)),1,0),0))</f>
        <v>1</v>
      </c>
      <c r="E516">
        <f>IF(OR(F_Custom2_Q="(None)",F_Custom2_Q="",ISBLANK(F_Custom2_Q),F_Custom2_V="(All)",F_Custom2_V="",ISBLANK(F_Custom2_V)),1,IFERROR(IF(ISNUMBER(SEARCH("|"&amp;INDEX(INDIRECT(F_Custom2_resolved_column),515)&amp;"|",F_Custom2_wrapped)),1,0),0))</f>
        <v>1</v>
      </c>
      <c r="F516">
        <f>D516*E516*1</f>
        <v>1</v>
      </c>
      <c r="G516">
        <f>1</f>
        <v>1</v>
      </c>
      <c r="H5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515)&amp;"|",All_Questions_Q_STREAM_F_wrapped)),1,0),0))*1</f>
        <v>1</v>
      </c>
    </row>
    <row r="517">
      <c r="A517" t="n">
        <v>516</v>
      </c>
      <c r="B517" t="inlineStr">
        <is>
          <t>B</t>
        </is>
      </c>
      <c r="C517">
        <f>1</f>
        <v>1</v>
      </c>
      <c r="D517">
        <f>IF(OR(F_Custom1_Q="(None)",F_Custom1_Q="",ISBLANK(F_Custom1_Q),F_Custom1_V="(All)",F_Custom1_V="",ISBLANK(F_Custom1_V)),1,IFERROR(IF(ISNUMBER(SEARCH("|"&amp;INDEX(INDIRECT(F_Custom1_resolved_column),516)&amp;"|",F_Custom1_wrapped)),1,0),0))</f>
        <v>1</v>
      </c>
      <c r="E517">
        <f>IF(OR(F_Custom2_Q="(None)",F_Custom2_Q="",ISBLANK(F_Custom2_Q),F_Custom2_V="(All)",F_Custom2_V="",ISBLANK(F_Custom2_V)),1,IFERROR(IF(ISNUMBER(SEARCH("|"&amp;INDEX(INDIRECT(F_Custom2_resolved_column),516)&amp;"|",F_Custom2_wrapped)),1,0),0))</f>
        <v>1</v>
      </c>
      <c r="F517">
        <f>D517*E517*1</f>
        <v>1</v>
      </c>
      <c r="G517">
        <f>1</f>
        <v>1</v>
      </c>
      <c r="H5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516)&amp;"|",All_Questions_Q_STREAM_F_wrapped)),1,0),0))*1</f>
        <v>1</v>
      </c>
    </row>
    <row r="518">
      <c r="A518" t="n">
        <v>517</v>
      </c>
      <c r="B518" t="inlineStr">
        <is>
          <t>A</t>
        </is>
      </c>
      <c r="C518">
        <f>1</f>
        <v>1</v>
      </c>
      <c r="D518">
        <f>IF(OR(F_Custom1_Q="(None)",F_Custom1_Q="",ISBLANK(F_Custom1_Q),F_Custom1_V="(All)",F_Custom1_V="",ISBLANK(F_Custom1_V)),1,IFERROR(IF(ISNUMBER(SEARCH("|"&amp;INDEX(INDIRECT(F_Custom1_resolved_column),517)&amp;"|",F_Custom1_wrapped)),1,0),0))</f>
        <v>1</v>
      </c>
      <c r="E518">
        <f>IF(OR(F_Custom2_Q="(None)",F_Custom2_Q="",ISBLANK(F_Custom2_Q),F_Custom2_V="(All)",F_Custom2_V="",ISBLANK(F_Custom2_V)),1,IFERROR(IF(ISNUMBER(SEARCH("|"&amp;INDEX(INDIRECT(F_Custom2_resolved_column),517)&amp;"|",F_Custom2_wrapped)),1,0),0))</f>
        <v>1</v>
      </c>
      <c r="F518">
        <f>D518*E518*1</f>
        <v>1</v>
      </c>
      <c r="G518">
        <f>1</f>
        <v>1</v>
      </c>
      <c r="H5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517)&amp;"|",All_Questions_Q_STREAM_F_wrapped)),1,0),0))*1</f>
        <v>1</v>
      </c>
    </row>
    <row r="519">
      <c r="A519" t="n">
        <v>518</v>
      </c>
      <c r="B519" t="inlineStr">
        <is>
          <t>B</t>
        </is>
      </c>
      <c r="C519">
        <f>1</f>
        <v>1</v>
      </c>
      <c r="D519">
        <f>IF(OR(F_Custom1_Q="(None)",F_Custom1_Q="",ISBLANK(F_Custom1_Q),F_Custom1_V="(All)",F_Custom1_V="",ISBLANK(F_Custom1_V)),1,IFERROR(IF(ISNUMBER(SEARCH("|"&amp;INDEX(INDIRECT(F_Custom1_resolved_column),518)&amp;"|",F_Custom1_wrapped)),1,0),0))</f>
        <v>1</v>
      </c>
      <c r="E519">
        <f>IF(OR(F_Custom2_Q="(None)",F_Custom2_Q="",ISBLANK(F_Custom2_Q),F_Custom2_V="(All)",F_Custom2_V="",ISBLANK(F_Custom2_V)),1,IFERROR(IF(ISNUMBER(SEARCH("|"&amp;INDEX(INDIRECT(F_Custom2_resolved_column),518)&amp;"|",F_Custom2_wrapped)),1,0),0))</f>
        <v>1</v>
      </c>
      <c r="F519">
        <f>D519*E519*1</f>
        <v>1</v>
      </c>
      <c r="G519">
        <f>1</f>
        <v>1</v>
      </c>
      <c r="H5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518)&amp;"|",All_Questions_Q_STREAM_F_wrapped)),1,0),0))*1</f>
        <v>1</v>
      </c>
    </row>
    <row r="520">
      <c r="A520" t="n">
        <v>519</v>
      </c>
      <c r="B520" t="inlineStr">
        <is>
          <t>A</t>
        </is>
      </c>
      <c r="C520">
        <f>1</f>
        <v>1</v>
      </c>
      <c r="D520">
        <f>IF(OR(F_Custom1_Q="(None)",F_Custom1_Q="",ISBLANK(F_Custom1_Q),F_Custom1_V="(All)",F_Custom1_V="",ISBLANK(F_Custom1_V)),1,IFERROR(IF(ISNUMBER(SEARCH("|"&amp;INDEX(INDIRECT(F_Custom1_resolved_column),519)&amp;"|",F_Custom1_wrapped)),1,0),0))</f>
        <v>1</v>
      </c>
      <c r="E520">
        <f>IF(OR(F_Custom2_Q="(None)",F_Custom2_Q="",ISBLANK(F_Custom2_Q),F_Custom2_V="(All)",F_Custom2_V="",ISBLANK(F_Custom2_V)),1,IFERROR(IF(ISNUMBER(SEARCH("|"&amp;INDEX(INDIRECT(F_Custom2_resolved_column),519)&amp;"|",F_Custom2_wrapped)),1,0),0))</f>
        <v>1</v>
      </c>
      <c r="F520">
        <f>D520*E520*1</f>
        <v>1</v>
      </c>
      <c r="G520">
        <f>1</f>
        <v>1</v>
      </c>
      <c r="H5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519)&amp;"|",All_Questions_Q_STREAM_F_wrapped)),1,0),0))*1</f>
        <v>1</v>
      </c>
    </row>
    <row r="521">
      <c r="A521" t="n">
        <v>520</v>
      </c>
      <c r="B521" t="inlineStr">
        <is>
          <t>B</t>
        </is>
      </c>
      <c r="C521">
        <f>1</f>
        <v>1</v>
      </c>
      <c r="D521">
        <f>IF(OR(F_Custom1_Q="(None)",F_Custom1_Q="",ISBLANK(F_Custom1_Q),F_Custom1_V="(All)",F_Custom1_V="",ISBLANK(F_Custom1_V)),1,IFERROR(IF(ISNUMBER(SEARCH("|"&amp;INDEX(INDIRECT(F_Custom1_resolved_column),520)&amp;"|",F_Custom1_wrapped)),1,0),0))</f>
        <v>1</v>
      </c>
      <c r="E521">
        <f>IF(OR(F_Custom2_Q="(None)",F_Custom2_Q="",ISBLANK(F_Custom2_Q),F_Custom2_V="(All)",F_Custom2_V="",ISBLANK(F_Custom2_V)),1,IFERROR(IF(ISNUMBER(SEARCH("|"&amp;INDEX(INDIRECT(F_Custom2_resolved_column),520)&amp;"|",F_Custom2_wrapped)),1,0),0))</f>
        <v>1</v>
      </c>
      <c r="F521">
        <f>D521*E521*1</f>
        <v>1</v>
      </c>
      <c r="G521">
        <f>1</f>
        <v>1</v>
      </c>
      <c r="H5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520)&amp;"|",All_Questions_Q_STREAM_F_wrapped)),1,0),0))*1</f>
        <v>1</v>
      </c>
    </row>
    <row r="522">
      <c r="A522" t="n">
        <v>521</v>
      </c>
      <c r="B522" t="inlineStr">
        <is>
          <t>A</t>
        </is>
      </c>
      <c r="C522">
        <f>1</f>
        <v>1</v>
      </c>
      <c r="D522">
        <f>IF(OR(F_Custom1_Q="(None)",F_Custom1_Q="",ISBLANK(F_Custom1_Q),F_Custom1_V="(All)",F_Custom1_V="",ISBLANK(F_Custom1_V)),1,IFERROR(IF(ISNUMBER(SEARCH("|"&amp;INDEX(INDIRECT(F_Custom1_resolved_column),521)&amp;"|",F_Custom1_wrapped)),1,0),0))</f>
        <v>1</v>
      </c>
      <c r="E522">
        <f>IF(OR(F_Custom2_Q="(None)",F_Custom2_Q="",ISBLANK(F_Custom2_Q),F_Custom2_V="(All)",F_Custom2_V="",ISBLANK(F_Custom2_V)),1,IFERROR(IF(ISNUMBER(SEARCH("|"&amp;INDEX(INDIRECT(F_Custom2_resolved_column),521)&amp;"|",F_Custom2_wrapped)),1,0),0))</f>
        <v>1</v>
      </c>
      <c r="F522">
        <f>D522*E522*1</f>
        <v>1</v>
      </c>
      <c r="G522">
        <f>1</f>
        <v>1</v>
      </c>
      <c r="H5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521)&amp;"|",All_Questions_Q_STREAM_F_wrapped)),1,0),0))*1</f>
        <v>1</v>
      </c>
    </row>
    <row r="523">
      <c r="A523" t="n">
        <v>522</v>
      </c>
      <c r="B523" t="inlineStr">
        <is>
          <t>B</t>
        </is>
      </c>
      <c r="C523">
        <f>1</f>
        <v>1</v>
      </c>
      <c r="D523">
        <f>IF(OR(F_Custom1_Q="(None)",F_Custom1_Q="",ISBLANK(F_Custom1_Q),F_Custom1_V="(All)",F_Custom1_V="",ISBLANK(F_Custom1_V)),1,IFERROR(IF(ISNUMBER(SEARCH("|"&amp;INDEX(INDIRECT(F_Custom1_resolved_column),522)&amp;"|",F_Custom1_wrapped)),1,0),0))</f>
        <v>1</v>
      </c>
      <c r="E523">
        <f>IF(OR(F_Custom2_Q="(None)",F_Custom2_Q="",ISBLANK(F_Custom2_Q),F_Custom2_V="(All)",F_Custom2_V="",ISBLANK(F_Custom2_V)),1,IFERROR(IF(ISNUMBER(SEARCH("|"&amp;INDEX(INDIRECT(F_Custom2_resolved_column),522)&amp;"|",F_Custom2_wrapped)),1,0),0))</f>
        <v>1</v>
      </c>
      <c r="F523">
        <f>D523*E523*1</f>
        <v>1</v>
      </c>
      <c r="G523">
        <f>1</f>
        <v>1</v>
      </c>
      <c r="H5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522)&amp;"|",All_Questions_Q_STREAM_F_wrapped)),1,0),0))*1</f>
        <v>1</v>
      </c>
    </row>
    <row r="524">
      <c r="A524" t="n">
        <v>523</v>
      </c>
      <c r="B524" t="inlineStr">
        <is>
          <t>A</t>
        </is>
      </c>
      <c r="C524">
        <f>1</f>
        <v>1</v>
      </c>
      <c r="D524">
        <f>IF(OR(F_Custom1_Q="(None)",F_Custom1_Q="",ISBLANK(F_Custom1_Q),F_Custom1_V="(All)",F_Custom1_V="",ISBLANK(F_Custom1_V)),1,IFERROR(IF(ISNUMBER(SEARCH("|"&amp;INDEX(INDIRECT(F_Custom1_resolved_column),523)&amp;"|",F_Custom1_wrapped)),1,0),0))</f>
        <v>1</v>
      </c>
      <c r="E524">
        <f>IF(OR(F_Custom2_Q="(None)",F_Custom2_Q="",ISBLANK(F_Custom2_Q),F_Custom2_V="(All)",F_Custom2_V="",ISBLANK(F_Custom2_V)),1,IFERROR(IF(ISNUMBER(SEARCH("|"&amp;INDEX(INDIRECT(F_Custom2_resolved_column),523)&amp;"|",F_Custom2_wrapped)),1,0),0))</f>
        <v>1</v>
      </c>
      <c r="F524">
        <f>D524*E524*1</f>
        <v>1</v>
      </c>
      <c r="G524">
        <f>1</f>
        <v>1</v>
      </c>
      <c r="H5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523)&amp;"|",All_Questions_Q_STREAM_F_wrapped)),1,0),0))*1</f>
        <v>1</v>
      </c>
    </row>
    <row r="525">
      <c r="A525" t="n">
        <v>524</v>
      </c>
      <c r="B525" t="inlineStr">
        <is>
          <t>B</t>
        </is>
      </c>
      <c r="C525">
        <f>1</f>
        <v>1</v>
      </c>
      <c r="D525">
        <f>IF(OR(F_Custom1_Q="(None)",F_Custom1_Q="",ISBLANK(F_Custom1_Q),F_Custom1_V="(All)",F_Custom1_V="",ISBLANK(F_Custom1_V)),1,IFERROR(IF(ISNUMBER(SEARCH("|"&amp;INDEX(INDIRECT(F_Custom1_resolved_column),524)&amp;"|",F_Custom1_wrapped)),1,0),0))</f>
        <v>1</v>
      </c>
      <c r="E525">
        <f>IF(OR(F_Custom2_Q="(None)",F_Custom2_Q="",ISBLANK(F_Custom2_Q),F_Custom2_V="(All)",F_Custom2_V="",ISBLANK(F_Custom2_V)),1,IFERROR(IF(ISNUMBER(SEARCH("|"&amp;INDEX(INDIRECT(F_Custom2_resolved_column),524)&amp;"|",F_Custom2_wrapped)),1,0),0))</f>
        <v>1</v>
      </c>
      <c r="F525">
        <f>D525*E525*1</f>
        <v>1</v>
      </c>
      <c r="G525">
        <f>1</f>
        <v>1</v>
      </c>
      <c r="H5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524)&amp;"|",All_Questions_Q_STREAM_F_wrapped)),1,0),0))*1</f>
        <v>1</v>
      </c>
    </row>
    <row r="526">
      <c r="A526" t="n">
        <v>525</v>
      </c>
      <c r="B526" t="inlineStr">
        <is>
          <t>A</t>
        </is>
      </c>
      <c r="C526">
        <f>1</f>
        <v>1</v>
      </c>
      <c r="D526">
        <f>IF(OR(F_Custom1_Q="(None)",F_Custom1_Q="",ISBLANK(F_Custom1_Q),F_Custom1_V="(All)",F_Custom1_V="",ISBLANK(F_Custom1_V)),1,IFERROR(IF(ISNUMBER(SEARCH("|"&amp;INDEX(INDIRECT(F_Custom1_resolved_column),525)&amp;"|",F_Custom1_wrapped)),1,0),0))</f>
        <v>1</v>
      </c>
      <c r="E526">
        <f>IF(OR(F_Custom2_Q="(None)",F_Custom2_Q="",ISBLANK(F_Custom2_Q),F_Custom2_V="(All)",F_Custom2_V="",ISBLANK(F_Custom2_V)),1,IFERROR(IF(ISNUMBER(SEARCH("|"&amp;INDEX(INDIRECT(F_Custom2_resolved_column),525)&amp;"|",F_Custom2_wrapped)),1,0),0))</f>
        <v>1</v>
      </c>
      <c r="F526">
        <f>D526*E526*1</f>
        <v>1</v>
      </c>
      <c r="G526">
        <f>1</f>
        <v>1</v>
      </c>
      <c r="H5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525)&amp;"|",All_Questions_Q_STREAM_F_wrapped)),1,0),0))*1</f>
        <v>1</v>
      </c>
    </row>
    <row r="527">
      <c r="A527" t="n">
        <v>526</v>
      </c>
      <c r="B527" t="inlineStr">
        <is>
          <t>B</t>
        </is>
      </c>
      <c r="C527">
        <f>1</f>
        <v>1</v>
      </c>
      <c r="D527">
        <f>IF(OR(F_Custom1_Q="(None)",F_Custom1_Q="",ISBLANK(F_Custom1_Q),F_Custom1_V="(All)",F_Custom1_V="",ISBLANK(F_Custom1_V)),1,IFERROR(IF(ISNUMBER(SEARCH("|"&amp;INDEX(INDIRECT(F_Custom1_resolved_column),526)&amp;"|",F_Custom1_wrapped)),1,0),0))</f>
        <v>1</v>
      </c>
      <c r="E527">
        <f>IF(OR(F_Custom2_Q="(None)",F_Custom2_Q="",ISBLANK(F_Custom2_Q),F_Custom2_V="(All)",F_Custom2_V="",ISBLANK(F_Custom2_V)),1,IFERROR(IF(ISNUMBER(SEARCH("|"&amp;INDEX(INDIRECT(F_Custom2_resolved_column),526)&amp;"|",F_Custom2_wrapped)),1,0),0))</f>
        <v>1</v>
      </c>
      <c r="F527">
        <f>D527*E527*1</f>
        <v>1</v>
      </c>
      <c r="G527">
        <f>1</f>
        <v>1</v>
      </c>
      <c r="H5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526)&amp;"|",All_Questions_Q_STREAM_F_wrapped)),1,0),0))*1</f>
        <v>1</v>
      </c>
    </row>
    <row r="528">
      <c r="A528" t="n">
        <v>527</v>
      </c>
      <c r="B528" t="inlineStr">
        <is>
          <t>A</t>
        </is>
      </c>
      <c r="C528">
        <f>1</f>
        <v>1</v>
      </c>
      <c r="D528">
        <f>IF(OR(F_Custom1_Q="(None)",F_Custom1_Q="",ISBLANK(F_Custom1_Q),F_Custom1_V="(All)",F_Custom1_V="",ISBLANK(F_Custom1_V)),1,IFERROR(IF(ISNUMBER(SEARCH("|"&amp;INDEX(INDIRECT(F_Custom1_resolved_column),527)&amp;"|",F_Custom1_wrapped)),1,0),0))</f>
        <v>1</v>
      </c>
      <c r="E528">
        <f>IF(OR(F_Custom2_Q="(None)",F_Custom2_Q="",ISBLANK(F_Custom2_Q),F_Custom2_V="(All)",F_Custom2_V="",ISBLANK(F_Custom2_V)),1,IFERROR(IF(ISNUMBER(SEARCH("|"&amp;INDEX(INDIRECT(F_Custom2_resolved_column),527)&amp;"|",F_Custom2_wrapped)),1,0),0))</f>
        <v>1</v>
      </c>
      <c r="F528">
        <f>D528*E528*1</f>
        <v>1</v>
      </c>
      <c r="G528">
        <f>1</f>
        <v>1</v>
      </c>
      <c r="H5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527)&amp;"|",All_Questions_Q_STREAM_F_wrapped)),1,0),0))*1</f>
        <v>1</v>
      </c>
    </row>
    <row r="529">
      <c r="A529" t="n">
        <v>528</v>
      </c>
      <c r="B529" t="inlineStr">
        <is>
          <t>B</t>
        </is>
      </c>
      <c r="C529">
        <f>1</f>
        <v>1</v>
      </c>
      <c r="D529">
        <f>IF(OR(F_Custom1_Q="(None)",F_Custom1_Q="",ISBLANK(F_Custom1_Q),F_Custom1_V="(All)",F_Custom1_V="",ISBLANK(F_Custom1_V)),1,IFERROR(IF(ISNUMBER(SEARCH("|"&amp;INDEX(INDIRECT(F_Custom1_resolved_column),528)&amp;"|",F_Custom1_wrapped)),1,0),0))</f>
        <v>1</v>
      </c>
      <c r="E529">
        <f>IF(OR(F_Custom2_Q="(None)",F_Custom2_Q="",ISBLANK(F_Custom2_Q),F_Custom2_V="(All)",F_Custom2_V="",ISBLANK(F_Custom2_V)),1,IFERROR(IF(ISNUMBER(SEARCH("|"&amp;INDEX(INDIRECT(F_Custom2_resolved_column),528)&amp;"|",F_Custom2_wrapped)),1,0),0))</f>
        <v>1</v>
      </c>
      <c r="F529">
        <f>D529*E529*1</f>
        <v>1</v>
      </c>
      <c r="G529">
        <f>1</f>
        <v>1</v>
      </c>
      <c r="H5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528)&amp;"|",All_Questions_Q_STREAM_F_wrapped)),1,0),0))*1</f>
        <v>1</v>
      </c>
    </row>
    <row r="530">
      <c r="A530" t="n">
        <v>529</v>
      </c>
      <c r="B530" t="inlineStr">
        <is>
          <t>A</t>
        </is>
      </c>
      <c r="C530">
        <f>1</f>
        <v>1</v>
      </c>
      <c r="D530">
        <f>IF(OR(F_Custom1_Q="(None)",F_Custom1_Q="",ISBLANK(F_Custom1_Q),F_Custom1_V="(All)",F_Custom1_V="",ISBLANK(F_Custom1_V)),1,IFERROR(IF(ISNUMBER(SEARCH("|"&amp;INDEX(INDIRECT(F_Custom1_resolved_column),529)&amp;"|",F_Custom1_wrapped)),1,0),0))</f>
        <v>1</v>
      </c>
      <c r="E530">
        <f>IF(OR(F_Custom2_Q="(None)",F_Custom2_Q="",ISBLANK(F_Custom2_Q),F_Custom2_V="(All)",F_Custom2_V="",ISBLANK(F_Custom2_V)),1,IFERROR(IF(ISNUMBER(SEARCH("|"&amp;INDEX(INDIRECT(F_Custom2_resolved_column),529)&amp;"|",F_Custom2_wrapped)),1,0),0))</f>
        <v>1</v>
      </c>
      <c r="F530">
        <f>D530*E530*1</f>
        <v>1</v>
      </c>
      <c r="G530">
        <f>1</f>
        <v>1</v>
      </c>
      <c r="H5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529)&amp;"|",All_Questions_Q_STREAM_F_wrapped)),1,0),0))*1</f>
        <v>1</v>
      </c>
    </row>
    <row r="531">
      <c r="A531" t="n">
        <v>530</v>
      </c>
      <c r="B531" t="inlineStr">
        <is>
          <t>B</t>
        </is>
      </c>
      <c r="C531">
        <f>1</f>
        <v>1</v>
      </c>
      <c r="D531">
        <f>IF(OR(F_Custom1_Q="(None)",F_Custom1_Q="",ISBLANK(F_Custom1_Q),F_Custom1_V="(All)",F_Custom1_V="",ISBLANK(F_Custom1_V)),1,IFERROR(IF(ISNUMBER(SEARCH("|"&amp;INDEX(INDIRECT(F_Custom1_resolved_column),530)&amp;"|",F_Custom1_wrapped)),1,0),0))</f>
        <v>1</v>
      </c>
      <c r="E531">
        <f>IF(OR(F_Custom2_Q="(None)",F_Custom2_Q="",ISBLANK(F_Custom2_Q),F_Custom2_V="(All)",F_Custom2_V="",ISBLANK(F_Custom2_V)),1,IFERROR(IF(ISNUMBER(SEARCH("|"&amp;INDEX(INDIRECT(F_Custom2_resolved_column),530)&amp;"|",F_Custom2_wrapped)),1,0),0))</f>
        <v>1</v>
      </c>
      <c r="F531">
        <f>D531*E531*1</f>
        <v>1</v>
      </c>
      <c r="G531">
        <f>1</f>
        <v>1</v>
      </c>
      <c r="H5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530)&amp;"|",All_Questions_Q_STREAM_F_wrapped)),1,0),0))*1</f>
        <v>1</v>
      </c>
    </row>
    <row r="532">
      <c r="A532" t="n">
        <v>531</v>
      </c>
      <c r="B532" t="inlineStr">
        <is>
          <t>A</t>
        </is>
      </c>
      <c r="C532">
        <f>1</f>
        <v>1</v>
      </c>
      <c r="D532">
        <f>IF(OR(F_Custom1_Q="(None)",F_Custom1_Q="",ISBLANK(F_Custom1_Q),F_Custom1_V="(All)",F_Custom1_V="",ISBLANK(F_Custom1_V)),1,IFERROR(IF(ISNUMBER(SEARCH("|"&amp;INDEX(INDIRECT(F_Custom1_resolved_column),531)&amp;"|",F_Custom1_wrapped)),1,0),0))</f>
        <v>1</v>
      </c>
      <c r="E532">
        <f>IF(OR(F_Custom2_Q="(None)",F_Custom2_Q="",ISBLANK(F_Custom2_Q),F_Custom2_V="(All)",F_Custom2_V="",ISBLANK(F_Custom2_V)),1,IFERROR(IF(ISNUMBER(SEARCH("|"&amp;INDEX(INDIRECT(F_Custom2_resolved_column),531)&amp;"|",F_Custom2_wrapped)),1,0),0))</f>
        <v>1</v>
      </c>
      <c r="F532">
        <f>D532*E532*1</f>
        <v>1</v>
      </c>
      <c r="G532">
        <f>1</f>
        <v>1</v>
      </c>
      <c r="H5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531)&amp;"|",All_Questions_Q_STREAM_F_wrapped)),1,0),0))*1</f>
        <v>1</v>
      </c>
    </row>
    <row r="533">
      <c r="A533" t="n">
        <v>532</v>
      </c>
      <c r="B533" t="inlineStr">
        <is>
          <t>B</t>
        </is>
      </c>
      <c r="C533">
        <f>1</f>
        <v>1</v>
      </c>
      <c r="D533">
        <f>IF(OR(F_Custom1_Q="(None)",F_Custom1_Q="",ISBLANK(F_Custom1_Q),F_Custom1_V="(All)",F_Custom1_V="",ISBLANK(F_Custom1_V)),1,IFERROR(IF(ISNUMBER(SEARCH("|"&amp;INDEX(INDIRECT(F_Custom1_resolved_column),532)&amp;"|",F_Custom1_wrapped)),1,0),0))</f>
        <v>1</v>
      </c>
      <c r="E533">
        <f>IF(OR(F_Custom2_Q="(None)",F_Custom2_Q="",ISBLANK(F_Custom2_Q),F_Custom2_V="(All)",F_Custom2_V="",ISBLANK(F_Custom2_V)),1,IFERROR(IF(ISNUMBER(SEARCH("|"&amp;INDEX(INDIRECT(F_Custom2_resolved_column),532)&amp;"|",F_Custom2_wrapped)),1,0),0))</f>
        <v>1</v>
      </c>
      <c r="F533">
        <f>D533*E533*1</f>
        <v>1</v>
      </c>
      <c r="G533">
        <f>1</f>
        <v>1</v>
      </c>
      <c r="H5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532)&amp;"|",All_Questions_Q_STREAM_F_wrapped)),1,0),0))*1</f>
        <v>1</v>
      </c>
    </row>
    <row r="534">
      <c r="A534" t="n">
        <v>533</v>
      </c>
      <c r="B534" t="inlineStr">
        <is>
          <t>A</t>
        </is>
      </c>
      <c r="C534">
        <f>1</f>
        <v>1</v>
      </c>
      <c r="D534">
        <f>IF(OR(F_Custom1_Q="(None)",F_Custom1_Q="",ISBLANK(F_Custom1_Q),F_Custom1_V="(All)",F_Custom1_V="",ISBLANK(F_Custom1_V)),1,IFERROR(IF(ISNUMBER(SEARCH("|"&amp;INDEX(INDIRECT(F_Custom1_resolved_column),533)&amp;"|",F_Custom1_wrapped)),1,0),0))</f>
        <v>1</v>
      </c>
      <c r="E534">
        <f>IF(OR(F_Custom2_Q="(None)",F_Custom2_Q="",ISBLANK(F_Custom2_Q),F_Custom2_V="(All)",F_Custom2_V="",ISBLANK(F_Custom2_V)),1,IFERROR(IF(ISNUMBER(SEARCH("|"&amp;INDEX(INDIRECT(F_Custom2_resolved_column),533)&amp;"|",F_Custom2_wrapped)),1,0),0))</f>
        <v>1</v>
      </c>
      <c r="F534">
        <f>D534*E534*1</f>
        <v>1</v>
      </c>
      <c r="G534">
        <f>1</f>
        <v>1</v>
      </c>
      <c r="H5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533)&amp;"|",All_Questions_Q_STREAM_F_wrapped)),1,0),0))*1</f>
        <v>1</v>
      </c>
    </row>
    <row r="535">
      <c r="A535" t="n">
        <v>534</v>
      </c>
      <c r="B535" t="inlineStr">
        <is>
          <t>B</t>
        </is>
      </c>
      <c r="C535">
        <f>1</f>
        <v>1</v>
      </c>
      <c r="D535">
        <f>IF(OR(F_Custom1_Q="(None)",F_Custom1_Q="",ISBLANK(F_Custom1_Q),F_Custom1_V="(All)",F_Custom1_V="",ISBLANK(F_Custom1_V)),1,IFERROR(IF(ISNUMBER(SEARCH("|"&amp;INDEX(INDIRECT(F_Custom1_resolved_column),534)&amp;"|",F_Custom1_wrapped)),1,0),0))</f>
        <v>1</v>
      </c>
      <c r="E535">
        <f>IF(OR(F_Custom2_Q="(None)",F_Custom2_Q="",ISBLANK(F_Custom2_Q),F_Custom2_V="(All)",F_Custom2_V="",ISBLANK(F_Custom2_V)),1,IFERROR(IF(ISNUMBER(SEARCH("|"&amp;INDEX(INDIRECT(F_Custom2_resolved_column),534)&amp;"|",F_Custom2_wrapped)),1,0),0))</f>
        <v>1</v>
      </c>
      <c r="F535">
        <f>D535*E535*1</f>
        <v>1</v>
      </c>
      <c r="G535">
        <f>1</f>
        <v>1</v>
      </c>
      <c r="H5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534)&amp;"|",All_Questions_Q_STREAM_F_wrapped)),1,0),0))*1</f>
        <v>1</v>
      </c>
    </row>
    <row r="536">
      <c r="A536" t="n">
        <v>535</v>
      </c>
      <c r="B536" t="inlineStr">
        <is>
          <t>A</t>
        </is>
      </c>
      <c r="C536">
        <f>1</f>
        <v>1</v>
      </c>
      <c r="D536">
        <f>IF(OR(F_Custom1_Q="(None)",F_Custom1_Q="",ISBLANK(F_Custom1_Q),F_Custom1_V="(All)",F_Custom1_V="",ISBLANK(F_Custom1_V)),1,IFERROR(IF(ISNUMBER(SEARCH("|"&amp;INDEX(INDIRECT(F_Custom1_resolved_column),535)&amp;"|",F_Custom1_wrapped)),1,0),0))</f>
        <v>1</v>
      </c>
      <c r="E536">
        <f>IF(OR(F_Custom2_Q="(None)",F_Custom2_Q="",ISBLANK(F_Custom2_Q),F_Custom2_V="(All)",F_Custom2_V="",ISBLANK(F_Custom2_V)),1,IFERROR(IF(ISNUMBER(SEARCH("|"&amp;INDEX(INDIRECT(F_Custom2_resolved_column),535)&amp;"|",F_Custom2_wrapped)),1,0),0))</f>
        <v>1</v>
      </c>
      <c r="F536">
        <f>D536*E536*1</f>
        <v>1</v>
      </c>
      <c r="G536">
        <f>1</f>
        <v>1</v>
      </c>
      <c r="H5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535)&amp;"|",All_Questions_Q_STREAM_F_wrapped)),1,0),0))*1</f>
        <v>1</v>
      </c>
    </row>
    <row r="537">
      <c r="A537" t="n">
        <v>536</v>
      </c>
      <c r="B537" t="inlineStr">
        <is>
          <t>B</t>
        </is>
      </c>
      <c r="C537">
        <f>1</f>
        <v>1</v>
      </c>
      <c r="D537">
        <f>IF(OR(F_Custom1_Q="(None)",F_Custom1_Q="",ISBLANK(F_Custom1_Q),F_Custom1_V="(All)",F_Custom1_V="",ISBLANK(F_Custom1_V)),1,IFERROR(IF(ISNUMBER(SEARCH("|"&amp;INDEX(INDIRECT(F_Custom1_resolved_column),536)&amp;"|",F_Custom1_wrapped)),1,0),0))</f>
        <v>1</v>
      </c>
      <c r="E537">
        <f>IF(OR(F_Custom2_Q="(None)",F_Custom2_Q="",ISBLANK(F_Custom2_Q),F_Custom2_V="(All)",F_Custom2_V="",ISBLANK(F_Custom2_V)),1,IFERROR(IF(ISNUMBER(SEARCH("|"&amp;INDEX(INDIRECT(F_Custom2_resolved_column),536)&amp;"|",F_Custom2_wrapped)),1,0),0))</f>
        <v>1</v>
      </c>
      <c r="F537">
        <f>D537*E537*1</f>
        <v>1</v>
      </c>
      <c r="G537">
        <f>1</f>
        <v>1</v>
      </c>
      <c r="H5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536)&amp;"|",All_Questions_Q_STREAM_F_wrapped)),1,0),0))*1</f>
        <v>1</v>
      </c>
    </row>
    <row r="538">
      <c r="A538" t="n">
        <v>537</v>
      </c>
      <c r="B538" t="inlineStr">
        <is>
          <t>A</t>
        </is>
      </c>
      <c r="C538">
        <f>1</f>
        <v>1</v>
      </c>
      <c r="D538">
        <f>IF(OR(F_Custom1_Q="(None)",F_Custom1_Q="",ISBLANK(F_Custom1_Q),F_Custom1_V="(All)",F_Custom1_V="",ISBLANK(F_Custom1_V)),1,IFERROR(IF(ISNUMBER(SEARCH("|"&amp;INDEX(INDIRECT(F_Custom1_resolved_column),537)&amp;"|",F_Custom1_wrapped)),1,0),0))</f>
        <v>1</v>
      </c>
      <c r="E538">
        <f>IF(OR(F_Custom2_Q="(None)",F_Custom2_Q="",ISBLANK(F_Custom2_Q),F_Custom2_V="(All)",F_Custom2_V="",ISBLANK(F_Custom2_V)),1,IFERROR(IF(ISNUMBER(SEARCH("|"&amp;INDEX(INDIRECT(F_Custom2_resolved_column),537)&amp;"|",F_Custom2_wrapped)),1,0),0))</f>
        <v>1</v>
      </c>
      <c r="F538">
        <f>D538*E538*1</f>
        <v>1</v>
      </c>
      <c r="G538">
        <f>1</f>
        <v>1</v>
      </c>
      <c r="H5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537)&amp;"|",All_Questions_Q_STREAM_F_wrapped)),1,0),0))*1</f>
        <v>1</v>
      </c>
    </row>
    <row r="539">
      <c r="A539" t="n">
        <v>538</v>
      </c>
      <c r="B539" t="inlineStr">
        <is>
          <t>B</t>
        </is>
      </c>
      <c r="C539">
        <f>1</f>
        <v>1</v>
      </c>
      <c r="D539">
        <f>IF(OR(F_Custom1_Q="(None)",F_Custom1_Q="",ISBLANK(F_Custom1_Q),F_Custom1_V="(All)",F_Custom1_V="",ISBLANK(F_Custom1_V)),1,IFERROR(IF(ISNUMBER(SEARCH("|"&amp;INDEX(INDIRECT(F_Custom1_resolved_column),538)&amp;"|",F_Custom1_wrapped)),1,0),0))</f>
        <v>1</v>
      </c>
      <c r="E539">
        <f>IF(OR(F_Custom2_Q="(None)",F_Custom2_Q="",ISBLANK(F_Custom2_Q),F_Custom2_V="(All)",F_Custom2_V="",ISBLANK(F_Custom2_V)),1,IFERROR(IF(ISNUMBER(SEARCH("|"&amp;INDEX(INDIRECT(F_Custom2_resolved_column),538)&amp;"|",F_Custom2_wrapped)),1,0),0))</f>
        <v>1</v>
      </c>
      <c r="F539">
        <f>D539*E539*1</f>
        <v>1</v>
      </c>
      <c r="G539">
        <f>1</f>
        <v>1</v>
      </c>
      <c r="H5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538)&amp;"|",All_Questions_Q_STREAM_F_wrapped)),1,0),0))*1</f>
        <v>1</v>
      </c>
    </row>
    <row r="540">
      <c r="A540" t="n">
        <v>539</v>
      </c>
      <c r="B540" t="inlineStr">
        <is>
          <t>A</t>
        </is>
      </c>
      <c r="C540">
        <f>1</f>
        <v>1</v>
      </c>
      <c r="D540">
        <f>IF(OR(F_Custom1_Q="(None)",F_Custom1_Q="",ISBLANK(F_Custom1_Q),F_Custom1_V="(All)",F_Custom1_V="",ISBLANK(F_Custom1_V)),1,IFERROR(IF(ISNUMBER(SEARCH("|"&amp;INDEX(INDIRECT(F_Custom1_resolved_column),539)&amp;"|",F_Custom1_wrapped)),1,0),0))</f>
        <v>1</v>
      </c>
      <c r="E540">
        <f>IF(OR(F_Custom2_Q="(None)",F_Custom2_Q="",ISBLANK(F_Custom2_Q),F_Custom2_V="(All)",F_Custom2_V="",ISBLANK(F_Custom2_V)),1,IFERROR(IF(ISNUMBER(SEARCH("|"&amp;INDEX(INDIRECT(F_Custom2_resolved_column),539)&amp;"|",F_Custom2_wrapped)),1,0),0))</f>
        <v>1</v>
      </c>
      <c r="F540">
        <f>D540*E540*1</f>
        <v>1</v>
      </c>
      <c r="G540">
        <f>1</f>
        <v>1</v>
      </c>
      <c r="H5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539)&amp;"|",All_Questions_Q_STREAM_F_wrapped)),1,0),0))*1</f>
        <v>1</v>
      </c>
    </row>
    <row r="541">
      <c r="A541" t="n">
        <v>540</v>
      </c>
      <c r="B541" t="inlineStr">
        <is>
          <t>B</t>
        </is>
      </c>
      <c r="C541">
        <f>1</f>
        <v>1</v>
      </c>
      <c r="D541">
        <f>IF(OR(F_Custom1_Q="(None)",F_Custom1_Q="",ISBLANK(F_Custom1_Q),F_Custom1_V="(All)",F_Custom1_V="",ISBLANK(F_Custom1_V)),1,IFERROR(IF(ISNUMBER(SEARCH("|"&amp;INDEX(INDIRECT(F_Custom1_resolved_column),540)&amp;"|",F_Custom1_wrapped)),1,0),0))</f>
        <v>1</v>
      </c>
      <c r="E541">
        <f>IF(OR(F_Custom2_Q="(None)",F_Custom2_Q="",ISBLANK(F_Custom2_Q),F_Custom2_V="(All)",F_Custom2_V="",ISBLANK(F_Custom2_V)),1,IFERROR(IF(ISNUMBER(SEARCH("|"&amp;INDEX(INDIRECT(F_Custom2_resolved_column),540)&amp;"|",F_Custom2_wrapped)),1,0),0))</f>
        <v>1</v>
      </c>
      <c r="F541">
        <f>D541*E541*1</f>
        <v>1</v>
      </c>
      <c r="G541">
        <f>1</f>
        <v>1</v>
      </c>
      <c r="H5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540)&amp;"|",All_Questions_Q_STREAM_F_wrapped)),1,0),0))*1</f>
        <v>1</v>
      </c>
    </row>
    <row r="542">
      <c r="A542" t="n">
        <v>541</v>
      </c>
      <c r="B542" t="inlineStr">
        <is>
          <t>A</t>
        </is>
      </c>
      <c r="C542">
        <f>1</f>
        <v>1</v>
      </c>
      <c r="D542">
        <f>IF(OR(F_Custom1_Q="(None)",F_Custom1_Q="",ISBLANK(F_Custom1_Q),F_Custom1_V="(All)",F_Custom1_V="",ISBLANK(F_Custom1_V)),1,IFERROR(IF(ISNUMBER(SEARCH("|"&amp;INDEX(INDIRECT(F_Custom1_resolved_column),541)&amp;"|",F_Custom1_wrapped)),1,0),0))</f>
        <v>1</v>
      </c>
      <c r="E542">
        <f>IF(OR(F_Custom2_Q="(None)",F_Custom2_Q="",ISBLANK(F_Custom2_Q),F_Custom2_V="(All)",F_Custom2_V="",ISBLANK(F_Custom2_V)),1,IFERROR(IF(ISNUMBER(SEARCH("|"&amp;INDEX(INDIRECT(F_Custom2_resolved_column),541)&amp;"|",F_Custom2_wrapped)),1,0),0))</f>
        <v>1</v>
      </c>
      <c r="F542">
        <f>D542*E542*1</f>
        <v>1</v>
      </c>
      <c r="G542">
        <f>1</f>
        <v>1</v>
      </c>
      <c r="H5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541)&amp;"|",All_Questions_Q_STREAM_F_wrapped)),1,0),0))*1</f>
        <v>1</v>
      </c>
    </row>
    <row r="543">
      <c r="A543" t="n">
        <v>542</v>
      </c>
      <c r="B543" t="inlineStr">
        <is>
          <t>B</t>
        </is>
      </c>
      <c r="C543">
        <f>1</f>
        <v>1</v>
      </c>
      <c r="D543">
        <f>IF(OR(F_Custom1_Q="(None)",F_Custom1_Q="",ISBLANK(F_Custom1_Q),F_Custom1_V="(All)",F_Custom1_V="",ISBLANK(F_Custom1_V)),1,IFERROR(IF(ISNUMBER(SEARCH("|"&amp;INDEX(INDIRECT(F_Custom1_resolved_column),542)&amp;"|",F_Custom1_wrapped)),1,0),0))</f>
        <v>1</v>
      </c>
      <c r="E543">
        <f>IF(OR(F_Custom2_Q="(None)",F_Custom2_Q="",ISBLANK(F_Custom2_Q),F_Custom2_V="(All)",F_Custom2_V="",ISBLANK(F_Custom2_V)),1,IFERROR(IF(ISNUMBER(SEARCH("|"&amp;INDEX(INDIRECT(F_Custom2_resolved_column),542)&amp;"|",F_Custom2_wrapped)),1,0),0))</f>
        <v>1</v>
      </c>
      <c r="F543">
        <f>D543*E543*1</f>
        <v>1</v>
      </c>
      <c r="G543">
        <f>1</f>
        <v>1</v>
      </c>
      <c r="H5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542)&amp;"|",All_Questions_Q_STREAM_F_wrapped)),1,0),0))*1</f>
        <v>1</v>
      </c>
    </row>
    <row r="544">
      <c r="A544" t="n">
        <v>543</v>
      </c>
      <c r="B544" t="inlineStr">
        <is>
          <t>A</t>
        </is>
      </c>
      <c r="C544">
        <f>1</f>
        <v>1</v>
      </c>
      <c r="D544">
        <f>IF(OR(F_Custom1_Q="(None)",F_Custom1_Q="",ISBLANK(F_Custom1_Q),F_Custom1_V="(All)",F_Custom1_V="",ISBLANK(F_Custom1_V)),1,IFERROR(IF(ISNUMBER(SEARCH("|"&amp;INDEX(INDIRECT(F_Custom1_resolved_column),543)&amp;"|",F_Custom1_wrapped)),1,0),0))</f>
        <v>1</v>
      </c>
      <c r="E544">
        <f>IF(OR(F_Custom2_Q="(None)",F_Custom2_Q="",ISBLANK(F_Custom2_Q),F_Custom2_V="(All)",F_Custom2_V="",ISBLANK(F_Custom2_V)),1,IFERROR(IF(ISNUMBER(SEARCH("|"&amp;INDEX(INDIRECT(F_Custom2_resolved_column),543)&amp;"|",F_Custom2_wrapped)),1,0),0))</f>
        <v>1</v>
      </c>
      <c r="F544">
        <f>D544*E544*1</f>
        <v>1</v>
      </c>
      <c r="G544">
        <f>1</f>
        <v>1</v>
      </c>
      <c r="H5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543)&amp;"|",All_Questions_Q_STREAM_F_wrapped)),1,0),0))*1</f>
        <v>1</v>
      </c>
    </row>
    <row r="545">
      <c r="A545" t="n">
        <v>544</v>
      </c>
      <c r="B545" t="inlineStr">
        <is>
          <t>B</t>
        </is>
      </c>
      <c r="C545">
        <f>1</f>
        <v>1</v>
      </c>
      <c r="D545">
        <f>IF(OR(F_Custom1_Q="(None)",F_Custom1_Q="",ISBLANK(F_Custom1_Q),F_Custom1_V="(All)",F_Custom1_V="",ISBLANK(F_Custom1_V)),1,IFERROR(IF(ISNUMBER(SEARCH("|"&amp;INDEX(INDIRECT(F_Custom1_resolved_column),544)&amp;"|",F_Custom1_wrapped)),1,0),0))</f>
        <v>1</v>
      </c>
      <c r="E545">
        <f>IF(OR(F_Custom2_Q="(None)",F_Custom2_Q="",ISBLANK(F_Custom2_Q),F_Custom2_V="(All)",F_Custom2_V="",ISBLANK(F_Custom2_V)),1,IFERROR(IF(ISNUMBER(SEARCH("|"&amp;INDEX(INDIRECT(F_Custom2_resolved_column),544)&amp;"|",F_Custom2_wrapped)),1,0),0))</f>
        <v>1</v>
      </c>
      <c r="F545">
        <f>D545*E545*1</f>
        <v>1</v>
      </c>
      <c r="G545">
        <f>1</f>
        <v>1</v>
      </c>
      <c r="H5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544)&amp;"|",All_Questions_Q_STREAM_F_wrapped)),1,0),0))*1</f>
        <v>1</v>
      </c>
    </row>
    <row r="546">
      <c r="A546" t="n">
        <v>545</v>
      </c>
      <c r="B546" t="inlineStr">
        <is>
          <t>A</t>
        </is>
      </c>
      <c r="C546">
        <f>1</f>
        <v>1</v>
      </c>
      <c r="D546">
        <f>IF(OR(F_Custom1_Q="(None)",F_Custom1_Q="",ISBLANK(F_Custom1_Q),F_Custom1_V="(All)",F_Custom1_V="",ISBLANK(F_Custom1_V)),1,IFERROR(IF(ISNUMBER(SEARCH("|"&amp;INDEX(INDIRECT(F_Custom1_resolved_column),545)&amp;"|",F_Custom1_wrapped)),1,0),0))</f>
        <v>1</v>
      </c>
      <c r="E546">
        <f>IF(OR(F_Custom2_Q="(None)",F_Custom2_Q="",ISBLANK(F_Custom2_Q),F_Custom2_V="(All)",F_Custom2_V="",ISBLANK(F_Custom2_V)),1,IFERROR(IF(ISNUMBER(SEARCH("|"&amp;INDEX(INDIRECT(F_Custom2_resolved_column),545)&amp;"|",F_Custom2_wrapped)),1,0),0))</f>
        <v>1</v>
      </c>
      <c r="F546">
        <f>D546*E546*1</f>
        <v>1</v>
      </c>
      <c r="G546">
        <f>1</f>
        <v>1</v>
      </c>
      <c r="H5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545)&amp;"|",All_Questions_Q_STREAM_F_wrapped)),1,0),0))*1</f>
        <v>1</v>
      </c>
    </row>
    <row r="547">
      <c r="A547" t="n">
        <v>546</v>
      </c>
      <c r="B547" t="inlineStr">
        <is>
          <t>B</t>
        </is>
      </c>
      <c r="C547">
        <f>1</f>
        <v>1</v>
      </c>
      <c r="D547">
        <f>IF(OR(F_Custom1_Q="(None)",F_Custom1_Q="",ISBLANK(F_Custom1_Q),F_Custom1_V="(All)",F_Custom1_V="",ISBLANK(F_Custom1_V)),1,IFERROR(IF(ISNUMBER(SEARCH("|"&amp;INDEX(INDIRECT(F_Custom1_resolved_column),546)&amp;"|",F_Custom1_wrapped)),1,0),0))</f>
        <v>1</v>
      </c>
      <c r="E547">
        <f>IF(OR(F_Custom2_Q="(None)",F_Custom2_Q="",ISBLANK(F_Custom2_Q),F_Custom2_V="(All)",F_Custom2_V="",ISBLANK(F_Custom2_V)),1,IFERROR(IF(ISNUMBER(SEARCH("|"&amp;INDEX(INDIRECT(F_Custom2_resolved_column),546)&amp;"|",F_Custom2_wrapped)),1,0),0))</f>
        <v>1</v>
      </c>
      <c r="F547">
        <f>D547*E547*1</f>
        <v>1</v>
      </c>
      <c r="G547">
        <f>1</f>
        <v>1</v>
      </c>
      <c r="H5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546)&amp;"|",All_Questions_Q_STREAM_F_wrapped)),1,0),0))*1</f>
        <v>1</v>
      </c>
    </row>
    <row r="548">
      <c r="A548" t="n">
        <v>547</v>
      </c>
      <c r="B548" t="inlineStr">
        <is>
          <t>A</t>
        </is>
      </c>
      <c r="C548">
        <f>1</f>
        <v>1</v>
      </c>
      <c r="D548">
        <f>IF(OR(F_Custom1_Q="(None)",F_Custom1_Q="",ISBLANK(F_Custom1_Q),F_Custom1_V="(All)",F_Custom1_V="",ISBLANK(F_Custom1_V)),1,IFERROR(IF(ISNUMBER(SEARCH("|"&amp;INDEX(INDIRECT(F_Custom1_resolved_column),547)&amp;"|",F_Custom1_wrapped)),1,0),0))</f>
        <v>1</v>
      </c>
      <c r="E548">
        <f>IF(OR(F_Custom2_Q="(None)",F_Custom2_Q="",ISBLANK(F_Custom2_Q),F_Custom2_V="(All)",F_Custom2_V="",ISBLANK(F_Custom2_V)),1,IFERROR(IF(ISNUMBER(SEARCH("|"&amp;INDEX(INDIRECT(F_Custom2_resolved_column),547)&amp;"|",F_Custom2_wrapped)),1,0),0))</f>
        <v>1</v>
      </c>
      <c r="F548">
        <f>D548*E548*1</f>
        <v>1</v>
      </c>
      <c r="G548">
        <f>1</f>
        <v>1</v>
      </c>
      <c r="H5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547)&amp;"|",All_Questions_Q_STREAM_F_wrapped)),1,0),0))*1</f>
        <v>1</v>
      </c>
    </row>
    <row r="549">
      <c r="A549" t="n">
        <v>548</v>
      </c>
      <c r="B549" t="inlineStr">
        <is>
          <t>B</t>
        </is>
      </c>
      <c r="C549">
        <f>1</f>
        <v>1</v>
      </c>
      <c r="D549">
        <f>IF(OR(F_Custom1_Q="(None)",F_Custom1_Q="",ISBLANK(F_Custom1_Q),F_Custom1_V="(All)",F_Custom1_V="",ISBLANK(F_Custom1_V)),1,IFERROR(IF(ISNUMBER(SEARCH("|"&amp;INDEX(INDIRECT(F_Custom1_resolved_column),548)&amp;"|",F_Custom1_wrapped)),1,0),0))</f>
        <v>1</v>
      </c>
      <c r="E549">
        <f>IF(OR(F_Custom2_Q="(None)",F_Custom2_Q="",ISBLANK(F_Custom2_Q),F_Custom2_V="(All)",F_Custom2_V="",ISBLANK(F_Custom2_V)),1,IFERROR(IF(ISNUMBER(SEARCH("|"&amp;INDEX(INDIRECT(F_Custom2_resolved_column),548)&amp;"|",F_Custom2_wrapped)),1,0),0))</f>
        <v>1</v>
      </c>
      <c r="F549">
        <f>D549*E549*1</f>
        <v>1</v>
      </c>
      <c r="G549">
        <f>1</f>
        <v>1</v>
      </c>
      <c r="H5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548)&amp;"|",All_Questions_Q_STREAM_F_wrapped)),1,0),0))*1</f>
        <v>1</v>
      </c>
    </row>
    <row r="550">
      <c r="A550" t="n">
        <v>549</v>
      </c>
      <c r="B550" t="inlineStr">
        <is>
          <t>A</t>
        </is>
      </c>
      <c r="C550">
        <f>1</f>
        <v>1</v>
      </c>
      <c r="D550">
        <f>IF(OR(F_Custom1_Q="(None)",F_Custom1_Q="",ISBLANK(F_Custom1_Q),F_Custom1_V="(All)",F_Custom1_V="",ISBLANK(F_Custom1_V)),1,IFERROR(IF(ISNUMBER(SEARCH("|"&amp;INDEX(INDIRECT(F_Custom1_resolved_column),549)&amp;"|",F_Custom1_wrapped)),1,0),0))</f>
        <v>1</v>
      </c>
      <c r="E550">
        <f>IF(OR(F_Custom2_Q="(None)",F_Custom2_Q="",ISBLANK(F_Custom2_Q),F_Custom2_V="(All)",F_Custom2_V="",ISBLANK(F_Custom2_V)),1,IFERROR(IF(ISNUMBER(SEARCH("|"&amp;INDEX(INDIRECT(F_Custom2_resolved_column),549)&amp;"|",F_Custom2_wrapped)),1,0),0))</f>
        <v>1</v>
      </c>
      <c r="F550">
        <f>D550*E550*1</f>
        <v>1</v>
      </c>
      <c r="G550">
        <f>1</f>
        <v>1</v>
      </c>
      <c r="H5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549)&amp;"|",All_Questions_Q_STREAM_F_wrapped)),1,0),0))*1</f>
        <v>1</v>
      </c>
    </row>
    <row r="551">
      <c r="A551" t="n">
        <v>550</v>
      </c>
      <c r="B551" t="inlineStr">
        <is>
          <t>B</t>
        </is>
      </c>
      <c r="C551">
        <f>1</f>
        <v>1</v>
      </c>
      <c r="D551">
        <f>IF(OR(F_Custom1_Q="(None)",F_Custom1_Q="",ISBLANK(F_Custom1_Q),F_Custom1_V="(All)",F_Custom1_V="",ISBLANK(F_Custom1_V)),1,IFERROR(IF(ISNUMBER(SEARCH("|"&amp;INDEX(INDIRECT(F_Custom1_resolved_column),550)&amp;"|",F_Custom1_wrapped)),1,0),0))</f>
        <v>1</v>
      </c>
      <c r="E551">
        <f>IF(OR(F_Custom2_Q="(None)",F_Custom2_Q="",ISBLANK(F_Custom2_Q),F_Custom2_V="(All)",F_Custom2_V="",ISBLANK(F_Custom2_V)),1,IFERROR(IF(ISNUMBER(SEARCH("|"&amp;INDEX(INDIRECT(F_Custom2_resolved_column),550)&amp;"|",F_Custom2_wrapped)),1,0),0))</f>
        <v>1</v>
      </c>
      <c r="F551">
        <f>D551*E551*1</f>
        <v>1</v>
      </c>
      <c r="G551">
        <f>1</f>
        <v>1</v>
      </c>
      <c r="H5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550)&amp;"|",All_Questions_Q_STREAM_F_wrapped)),1,0),0))*1</f>
        <v>1</v>
      </c>
    </row>
    <row r="552">
      <c r="A552" t="n">
        <v>551</v>
      </c>
      <c r="B552" t="inlineStr">
        <is>
          <t>A</t>
        </is>
      </c>
      <c r="C552">
        <f>1</f>
        <v>1</v>
      </c>
      <c r="D552">
        <f>IF(OR(F_Custom1_Q="(None)",F_Custom1_Q="",ISBLANK(F_Custom1_Q),F_Custom1_V="(All)",F_Custom1_V="",ISBLANK(F_Custom1_V)),1,IFERROR(IF(ISNUMBER(SEARCH("|"&amp;INDEX(INDIRECT(F_Custom1_resolved_column),551)&amp;"|",F_Custom1_wrapped)),1,0),0))</f>
        <v>1</v>
      </c>
      <c r="E552">
        <f>IF(OR(F_Custom2_Q="(None)",F_Custom2_Q="",ISBLANK(F_Custom2_Q),F_Custom2_V="(All)",F_Custom2_V="",ISBLANK(F_Custom2_V)),1,IFERROR(IF(ISNUMBER(SEARCH("|"&amp;INDEX(INDIRECT(F_Custom2_resolved_column),551)&amp;"|",F_Custom2_wrapped)),1,0),0))</f>
        <v>1</v>
      </c>
      <c r="F552">
        <f>D552*E552*1</f>
        <v>1</v>
      </c>
      <c r="G552">
        <f>1</f>
        <v>1</v>
      </c>
      <c r="H5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551)&amp;"|",All_Questions_Q_STREAM_F_wrapped)),1,0),0))*1</f>
        <v>1</v>
      </c>
    </row>
    <row r="553">
      <c r="A553" t="n">
        <v>552</v>
      </c>
      <c r="B553" t="inlineStr">
        <is>
          <t>B</t>
        </is>
      </c>
      <c r="C553">
        <f>1</f>
        <v>1</v>
      </c>
      <c r="D553">
        <f>IF(OR(F_Custom1_Q="(None)",F_Custom1_Q="",ISBLANK(F_Custom1_Q),F_Custom1_V="(All)",F_Custom1_V="",ISBLANK(F_Custom1_V)),1,IFERROR(IF(ISNUMBER(SEARCH("|"&amp;INDEX(INDIRECT(F_Custom1_resolved_column),552)&amp;"|",F_Custom1_wrapped)),1,0),0))</f>
        <v>1</v>
      </c>
      <c r="E553">
        <f>IF(OR(F_Custom2_Q="(None)",F_Custom2_Q="",ISBLANK(F_Custom2_Q),F_Custom2_V="(All)",F_Custom2_V="",ISBLANK(F_Custom2_V)),1,IFERROR(IF(ISNUMBER(SEARCH("|"&amp;INDEX(INDIRECT(F_Custom2_resolved_column),552)&amp;"|",F_Custom2_wrapped)),1,0),0))</f>
        <v>1</v>
      </c>
      <c r="F553">
        <f>D553*E553*1</f>
        <v>1</v>
      </c>
      <c r="G553">
        <f>1</f>
        <v>1</v>
      </c>
      <c r="H5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552)&amp;"|",All_Questions_Q_STREAM_F_wrapped)),1,0),0))*1</f>
        <v>1</v>
      </c>
    </row>
    <row r="554">
      <c r="A554" t="n">
        <v>553</v>
      </c>
      <c r="B554" t="inlineStr">
        <is>
          <t>A</t>
        </is>
      </c>
      <c r="C554">
        <f>1</f>
        <v>1</v>
      </c>
      <c r="D554">
        <f>IF(OR(F_Custom1_Q="(None)",F_Custom1_Q="",ISBLANK(F_Custom1_Q),F_Custom1_V="(All)",F_Custom1_V="",ISBLANK(F_Custom1_V)),1,IFERROR(IF(ISNUMBER(SEARCH("|"&amp;INDEX(INDIRECT(F_Custom1_resolved_column),553)&amp;"|",F_Custom1_wrapped)),1,0),0))</f>
        <v>1</v>
      </c>
      <c r="E554">
        <f>IF(OR(F_Custom2_Q="(None)",F_Custom2_Q="",ISBLANK(F_Custom2_Q),F_Custom2_V="(All)",F_Custom2_V="",ISBLANK(F_Custom2_V)),1,IFERROR(IF(ISNUMBER(SEARCH("|"&amp;INDEX(INDIRECT(F_Custom2_resolved_column),553)&amp;"|",F_Custom2_wrapped)),1,0),0))</f>
        <v>1</v>
      </c>
      <c r="F554">
        <f>D554*E554*1</f>
        <v>1</v>
      </c>
      <c r="G554">
        <f>1</f>
        <v>1</v>
      </c>
      <c r="H5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553)&amp;"|",All_Questions_Q_STREAM_F_wrapped)),1,0),0))*1</f>
        <v>1</v>
      </c>
    </row>
    <row r="555">
      <c r="A555" t="n">
        <v>554</v>
      </c>
      <c r="B555" t="inlineStr">
        <is>
          <t>B</t>
        </is>
      </c>
      <c r="C555">
        <f>1</f>
        <v>1</v>
      </c>
      <c r="D555">
        <f>IF(OR(F_Custom1_Q="(None)",F_Custom1_Q="",ISBLANK(F_Custom1_Q),F_Custom1_V="(All)",F_Custom1_V="",ISBLANK(F_Custom1_V)),1,IFERROR(IF(ISNUMBER(SEARCH("|"&amp;INDEX(INDIRECT(F_Custom1_resolved_column),554)&amp;"|",F_Custom1_wrapped)),1,0),0))</f>
        <v>1</v>
      </c>
      <c r="E555">
        <f>IF(OR(F_Custom2_Q="(None)",F_Custom2_Q="",ISBLANK(F_Custom2_Q),F_Custom2_V="(All)",F_Custom2_V="",ISBLANK(F_Custom2_V)),1,IFERROR(IF(ISNUMBER(SEARCH("|"&amp;INDEX(INDIRECT(F_Custom2_resolved_column),554)&amp;"|",F_Custom2_wrapped)),1,0),0))</f>
        <v>1</v>
      </c>
      <c r="F555">
        <f>D555*E555*1</f>
        <v>1</v>
      </c>
      <c r="G555">
        <f>1</f>
        <v>1</v>
      </c>
      <c r="H5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554)&amp;"|",All_Questions_Q_STREAM_F_wrapped)),1,0),0))*1</f>
        <v>1</v>
      </c>
    </row>
    <row r="556">
      <c r="A556" t="n">
        <v>555</v>
      </c>
      <c r="B556" t="inlineStr">
        <is>
          <t>A</t>
        </is>
      </c>
      <c r="C556">
        <f>1</f>
        <v>1</v>
      </c>
      <c r="D556">
        <f>IF(OR(F_Custom1_Q="(None)",F_Custom1_Q="",ISBLANK(F_Custom1_Q),F_Custom1_V="(All)",F_Custom1_V="",ISBLANK(F_Custom1_V)),1,IFERROR(IF(ISNUMBER(SEARCH("|"&amp;INDEX(INDIRECT(F_Custom1_resolved_column),555)&amp;"|",F_Custom1_wrapped)),1,0),0))</f>
        <v>1</v>
      </c>
      <c r="E556">
        <f>IF(OR(F_Custom2_Q="(None)",F_Custom2_Q="",ISBLANK(F_Custom2_Q),F_Custom2_V="(All)",F_Custom2_V="",ISBLANK(F_Custom2_V)),1,IFERROR(IF(ISNUMBER(SEARCH("|"&amp;INDEX(INDIRECT(F_Custom2_resolved_column),555)&amp;"|",F_Custom2_wrapped)),1,0),0))</f>
        <v>1</v>
      </c>
      <c r="F556">
        <f>D556*E556*1</f>
        <v>1</v>
      </c>
      <c r="G556">
        <f>1</f>
        <v>1</v>
      </c>
      <c r="H5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555)&amp;"|",All_Questions_Q_STREAM_F_wrapped)),1,0),0))*1</f>
        <v>1</v>
      </c>
    </row>
    <row r="557">
      <c r="A557" t="n">
        <v>556</v>
      </c>
      <c r="B557" t="inlineStr">
        <is>
          <t>B</t>
        </is>
      </c>
      <c r="C557">
        <f>1</f>
        <v>1</v>
      </c>
      <c r="D557">
        <f>IF(OR(F_Custom1_Q="(None)",F_Custom1_Q="",ISBLANK(F_Custom1_Q),F_Custom1_V="(All)",F_Custom1_V="",ISBLANK(F_Custom1_V)),1,IFERROR(IF(ISNUMBER(SEARCH("|"&amp;INDEX(INDIRECT(F_Custom1_resolved_column),556)&amp;"|",F_Custom1_wrapped)),1,0),0))</f>
        <v>1</v>
      </c>
      <c r="E557">
        <f>IF(OR(F_Custom2_Q="(None)",F_Custom2_Q="",ISBLANK(F_Custom2_Q),F_Custom2_V="(All)",F_Custom2_V="",ISBLANK(F_Custom2_V)),1,IFERROR(IF(ISNUMBER(SEARCH("|"&amp;INDEX(INDIRECT(F_Custom2_resolved_column),556)&amp;"|",F_Custom2_wrapped)),1,0),0))</f>
        <v>1</v>
      </c>
      <c r="F557">
        <f>D557*E557*1</f>
        <v>1</v>
      </c>
      <c r="G557">
        <f>1</f>
        <v>1</v>
      </c>
      <c r="H5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556)&amp;"|",All_Questions_Q_STREAM_F_wrapped)),1,0),0))*1</f>
        <v>1</v>
      </c>
    </row>
    <row r="558">
      <c r="A558" t="n">
        <v>557</v>
      </c>
      <c r="B558" t="inlineStr">
        <is>
          <t>A</t>
        </is>
      </c>
      <c r="C558">
        <f>1</f>
        <v>1</v>
      </c>
      <c r="D558">
        <f>IF(OR(F_Custom1_Q="(None)",F_Custom1_Q="",ISBLANK(F_Custom1_Q),F_Custom1_V="(All)",F_Custom1_V="",ISBLANK(F_Custom1_V)),1,IFERROR(IF(ISNUMBER(SEARCH("|"&amp;INDEX(INDIRECT(F_Custom1_resolved_column),557)&amp;"|",F_Custom1_wrapped)),1,0),0))</f>
        <v>1</v>
      </c>
      <c r="E558">
        <f>IF(OR(F_Custom2_Q="(None)",F_Custom2_Q="",ISBLANK(F_Custom2_Q),F_Custom2_V="(All)",F_Custom2_V="",ISBLANK(F_Custom2_V)),1,IFERROR(IF(ISNUMBER(SEARCH("|"&amp;INDEX(INDIRECT(F_Custom2_resolved_column),557)&amp;"|",F_Custom2_wrapped)),1,0),0))</f>
        <v>1</v>
      </c>
      <c r="F558">
        <f>D558*E558*1</f>
        <v>1</v>
      </c>
      <c r="G558">
        <f>1</f>
        <v>1</v>
      </c>
      <c r="H5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557)&amp;"|",All_Questions_Q_STREAM_F_wrapped)),1,0),0))*1</f>
        <v>1</v>
      </c>
    </row>
    <row r="559">
      <c r="A559" t="n">
        <v>558</v>
      </c>
      <c r="B559" t="inlineStr">
        <is>
          <t>B</t>
        </is>
      </c>
      <c r="C559">
        <f>1</f>
        <v>1</v>
      </c>
      <c r="D559">
        <f>IF(OR(F_Custom1_Q="(None)",F_Custom1_Q="",ISBLANK(F_Custom1_Q),F_Custom1_V="(All)",F_Custom1_V="",ISBLANK(F_Custom1_V)),1,IFERROR(IF(ISNUMBER(SEARCH("|"&amp;INDEX(INDIRECT(F_Custom1_resolved_column),558)&amp;"|",F_Custom1_wrapped)),1,0),0))</f>
        <v>1</v>
      </c>
      <c r="E559">
        <f>IF(OR(F_Custom2_Q="(None)",F_Custom2_Q="",ISBLANK(F_Custom2_Q),F_Custom2_V="(All)",F_Custom2_V="",ISBLANK(F_Custom2_V)),1,IFERROR(IF(ISNUMBER(SEARCH("|"&amp;INDEX(INDIRECT(F_Custom2_resolved_column),558)&amp;"|",F_Custom2_wrapped)),1,0),0))</f>
        <v>1</v>
      </c>
      <c r="F559">
        <f>D559*E559*1</f>
        <v>1</v>
      </c>
      <c r="G559">
        <f>1</f>
        <v>1</v>
      </c>
      <c r="H5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558)&amp;"|",All_Questions_Q_STREAM_F_wrapped)),1,0),0))*1</f>
        <v>1</v>
      </c>
    </row>
    <row r="560">
      <c r="A560" t="n">
        <v>559</v>
      </c>
      <c r="B560" t="inlineStr">
        <is>
          <t>A</t>
        </is>
      </c>
      <c r="C560">
        <f>1</f>
        <v>1</v>
      </c>
      <c r="D560">
        <f>IF(OR(F_Custom1_Q="(None)",F_Custom1_Q="",ISBLANK(F_Custom1_Q),F_Custom1_V="(All)",F_Custom1_V="",ISBLANK(F_Custom1_V)),1,IFERROR(IF(ISNUMBER(SEARCH("|"&amp;INDEX(INDIRECT(F_Custom1_resolved_column),559)&amp;"|",F_Custom1_wrapped)),1,0),0))</f>
        <v>1</v>
      </c>
      <c r="E560">
        <f>IF(OR(F_Custom2_Q="(None)",F_Custom2_Q="",ISBLANK(F_Custom2_Q),F_Custom2_V="(All)",F_Custom2_V="",ISBLANK(F_Custom2_V)),1,IFERROR(IF(ISNUMBER(SEARCH("|"&amp;INDEX(INDIRECT(F_Custom2_resolved_column),559)&amp;"|",F_Custom2_wrapped)),1,0),0))</f>
        <v>1</v>
      </c>
      <c r="F560">
        <f>D560*E560*1</f>
        <v>1</v>
      </c>
      <c r="G560">
        <f>1</f>
        <v>1</v>
      </c>
      <c r="H5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559)&amp;"|",All_Questions_Q_STREAM_F_wrapped)),1,0),0))*1</f>
        <v>1</v>
      </c>
    </row>
    <row r="561">
      <c r="A561" t="n">
        <v>560</v>
      </c>
      <c r="B561" t="inlineStr">
        <is>
          <t>B</t>
        </is>
      </c>
      <c r="C561">
        <f>1</f>
        <v>1</v>
      </c>
      <c r="D561">
        <f>IF(OR(F_Custom1_Q="(None)",F_Custom1_Q="",ISBLANK(F_Custom1_Q),F_Custom1_V="(All)",F_Custom1_V="",ISBLANK(F_Custom1_V)),1,IFERROR(IF(ISNUMBER(SEARCH("|"&amp;INDEX(INDIRECT(F_Custom1_resolved_column),560)&amp;"|",F_Custom1_wrapped)),1,0),0))</f>
        <v>1</v>
      </c>
      <c r="E561">
        <f>IF(OR(F_Custom2_Q="(None)",F_Custom2_Q="",ISBLANK(F_Custom2_Q),F_Custom2_V="(All)",F_Custom2_V="",ISBLANK(F_Custom2_V)),1,IFERROR(IF(ISNUMBER(SEARCH("|"&amp;INDEX(INDIRECT(F_Custom2_resolved_column),560)&amp;"|",F_Custom2_wrapped)),1,0),0))</f>
        <v>1</v>
      </c>
      <c r="F561">
        <f>D561*E561*1</f>
        <v>1</v>
      </c>
      <c r="G561">
        <f>1</f>
        <v>1</v>
      </c>
      <c r="H5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560)&amp;"|",All_Questions_Q_STREAM_F_wrapped)),1,0),0))*1</f>
        <v>1</v>
      </c>
    </row>
    <row r="562">
      <c r="A562" t="n">
        <v>561</v>
      </c>
      <c r="B562" t="inlineStr">
        <is>
          <t>A</t>
        </is>
      </c>
      <c r="C562">
        <f>1</f>
        <v>1</v>
      </c>
      <c r="D562">
        <f>IF(OR(F_Custom1_Q="(None)",F_Custom1_Q="",ISBLANK(F_Custom1_Q),F_Custom1_V="(All)",F_Custom1_V="",ISBLANK(F_Custom1_V)),1,IFERROR(IF(ISNUMBER(SEARCH("|"&amp;INDEX(INDIRECT(F_Custom1_resolved_column),561)&amp;"|",F_Custom1_wrapped)),1,0),0))</f>
        <v>1</v>
      </c>
      <c r="E562">
        <f>IF(OR(F_Custom2_Q="(None)",F_Custom2_Q="",ISBLANK(F_Custom2_Q),F_Custom2_V="(All)",F_Custom2_V="",ISBLANK(F_Custom2_V)),1,IFERROR(IF(ISNUMBER(SEARCH("|"&amp;INDEX(INDIRECT(F_Custom2_resolved_column),561)&amp;"|",F_Custom2_wrapped)),1,0),0))</f>
        <v>1</v>
      </c>
      <c r="F562">
        <f>D562*E562*1</f>
        <v>1</v>
      </c>
      <c r="G562">
        <f>1</f>
        <v>1</v>
      </c>
      <c r="H5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561)&amp;"|",All_Questions_Q_STREAM_F_wrapped)),1,0),0))*1</f>
        <v>1</v>
      </c>
    </row>
    <row r="563">
      <c r="A563" t="n">
        <v>562</v>
      </c>
      <c r="B563" t="inlineStr">
        <is>
          <t>B</t>
        </is>
      </c>
      <c r="C563">
        <f>1</f>
        <v>1</v>
      </c>
      <c r="D563">
        <f>IF(OR(F_Custom1_Q="(None)",F_Custom1_Q="",ISBLANK(F_Custom1_Q),F_Custom1_V="(All)",F_Custom1_V="",ISBLANK(F_Custom1_V)),1,IFERROR(IF(ISNUMBER(SEARCH("|"&amp;INDEX(INDIRECT(F_Custom1_resolved_column),562)&amp;"|",F_Custom1_wrapped)),1,0),0))</f>
        <v>1</v>
      </c>
      <c r="E563">
        <f>IF(OR(F_Custom2_Q="(None)",F_Custom2_Q="",ISBLANK(F_Custom2_Q),F_Custom2_V="(All)",F_Custom2_V="",ISBLANK(F_Custom2_V)),1,IFERROR(IF(ISNUMBER(SEARCH("|"&amp;INDEX(INDIRECT(F_Custom2_resolved_column),562)&amp;"|",F_Custom2_wrapped)),1,0),0))</f>
        <v>1</v>
      </c>
      <c r="F563">
        <f>D563*E563*1</f>
        <v>1</v>
      </c>
      <c r="G563">
        <f>1</f>
        <v>1</v>
      </c>
      <c r="H5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562)&amp;"|",All_Questions_Q_STREAM_F_wrapped)),1,0),0))*1</f>
        <v>1</v>
      </c>
    </row>
    <row r="564">
      <c r="A564" t="n">
        <v>563</v>
      </c>
      <c r="B564" t="inlineStr">
        <is>
          <t>A</t>
        </is>
      </c>
      <c r="C564">
        <f>1</f>
        <v>1</v>
      </c>
      <c r="D564">
        <f>IF(OR(F_Custom1_Q="(None)",F_Custom1_Q="",ISBLANK(F_Custom1_Q),F_Custom1_V="(All)",F_Custom1_V="",ISBLANK(F_Custom1_V)),1,IFERROR(IF(ISNUMBER(SEARCH("|"&amp;INDEX(INDIRECT(F_Custom1_resolved_column),563)&amp;"|",F_Custom1_wrapped)),1,0),0))</f>
        <v>1</v>
      </c>
      <c r="E564">
        <f>IF(OR(F_Custom2_Q="(None)",F_Custom2_Q="",ISBLANK(F_Custom2_Q),F_Custom2_V="(All)",F_Custom2_V="",ISBLANK(F_Custom2_V)),1,IFERROR(IF(ISNUMBER(SEARCH("|"&amp;INDEX(INDIRECT(F_Custom2_resolved_column),563)&amp;"|",F_Custom2_wrapped)),1,0),0))</f>
        <v>1</v>
      </c>
      <c r="F564">
        <f>D564*E564*1</f>
        <v>1</v>
      </c>
      <c r="G564">
        <f>1</f>
        <v>1</v>
      </c>
      <c r="H5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563)&amp;"|",All_Questions_Q_STREAM_F_wrapped)),1,0),0))*1</f>
        <v>1</v>
      </c>
    </row>
    <row r="565">
      <c r="A565" t="n">
        <v>564</v>
      </c>
      <c r="B565" t="inlineStr">
        <is>
          <t>B</t>
        </is>
      </c>
      <c r="C565">
        <f>1</f>
        <v>1</v>
      </c>
      <c r="D565">
        <f>IF(OR(F_Custom1_Q="(None)",F_Custom1_Q="",ISBLANK(F_Custom1_Q),F_Custom1_V="(All)",F_Custom1_V="",ISBLANK(F_Custom1_V)),1,IFERROR(IF(ISNUMBER(SEARCH("|"&amp;INDEX(INDIRECT(F_Custom1_resolved_column),564)&amp;"|",F_Custom1_wrapped)),1,0),0))</f>
        <v>1</v>
      </c>
      <c r="E565">
        <f>IF(OR(F_Custom2_Q="(None)",F_Custom2_Q="",ISBLANK(F_Custom2_Q),F_Custom2_V="(All)",F_Custom2_V="",ISBLANK(F_Custom2_V)),1,IFERROR(IF(ISNUMBER(SEARCH("|"&amp;INDEX(INDIRECT(F_Custom2_resolved_column),564)&amp;"|",F_Custom2_wrapped)),1,0),0))</f>
        <v>1</v>
      </c>
      <c r="F565">
        <f>D565*E565*1</f>
        <v>1</v>
      </c>
      <c r="G565">
        <f>1</f>
        <v>1</v>
      </c>
      <c r="H5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564)&amp;"|",All_Questions_Q_STREAM_F_wrapped)),1,0),0))*1</f>
        <v>1</v>
      </c>
    </row>
    <row r="566">
      <c r="A566" t="n">
        <v>565</v>
      </c>
      <c r="B566" t="inlineStr">
        <is>
          <t>A</t>
        </is>
      </c>
      <c r="C566">
        <f>1</f>
        <v>1</v>
      </c>
      <c r="D566">
        <f>IF(OR(F_Custom1_Q="(None)",F_Custom1_Q="",ISBLANK(F_Custom1_Q),F_Custom1_V="(All)",F_Custom1_V="",ISBLANK(F_Custom1_V)),1,IFERROR(IF(ISNUMBER(SEARCH("|"&amp;INDEX(INDIRECT(F_Custom1_resolved_column),565)&amp;"|",F_Custom1_wrapped)),1,0),0))</f>
        <v>1</v>
      </c>
      <c r="E566">
        <f>IF(OR(F_Custom2_Q="(None)",F_Custom2_Q="",ISBLANK(F_Custom2_Q),F_Custom2_V="(All)",F_Custom2_V="",ISBLANK(F_Custom2_V)),1,IFERROR(IF(ISNUMBER(SEARCH("|"&amp;INDEX(INDIRECT(F_Custom2_resolved_column),565)&amp;"|",F_Custom2_wrapped)),1,0),0))</f>
        <v>1</v>
      </c>
      <c r="F566">
        <f>D566*E566*1</f>
        <v>1</v>
      </c>
      <c r="G566">
        <f>1</f>
        <v>1</v>
      </c>
      <c r="H5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565)&amp;"|",All_Questions_Q_STREAM_F_wrapped)),1,0),0))*1</f>
        <v>1</v>
      </c>
    </row>
    <row r="567">
      <c r="A567" t="n">
        <v>566</v>
      </c>
      <c r="B567" t="inlineStr">
        <is>
          <t>B</t>
        </is>
      </c>
      <c r="C567">
        <f>1</f>
        <v>1</v>
      </c>
      <c r="D567">
        <f>IF(OR(F_Custom1_Q="(None)",F_Custom1_Q="",ISBLANK(F_Custom1_Q),F_Custom1_V="(All)",F_Custom1_V="",ISBLANK(F_Custom1_V)),1,IFERROR(IF(ISNUMBER(SEARCH("|"&amp;INDEX(INDIRECT(F_Custom1_resolved_column),566)&amp;"|",F_Custom1_wrapped)),1,0),0))</f>
        <v>1</v>
      </c>
      <c r="E567">
        <f>IF(OR(F_Custom2_Q="(None)",F_Custom2_Q="",ISBLANK(F_Custom2_Q),F_Custom2_V="(All)",F_Custom2_V="",ISBLANK(F_Custom2_V)),1,IFERROR(IF(ISNUMBER(SEARCH("|"&amp;INDEX(INDIRECT(F_Custom2_resolved_column),566)&amp;"|",F_Custom2_wrapped)),1,0),0))</f>
        <v>1</v>
      </c>
      <c r="F567">
        <f>D567*E567*1</f>
        <v>1</v>
      </c>
      <c r="G567">
        <f>1</f>
        <v>1</v>
      </c>
      <c r="H5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566)&amp;"|",All_Questions_Q_STREAM_F_wrapped)),1,0),0))*1</f>
        <v>1</v>
      </c>
    </row>
    <row r="568">
      <c r="A568" t="n">
        <v>567</v>
      </c>
      <c r="B568" t="inlineStr">
        <is>
          <t>A</t>
        </is>
      </c>
      <c r="C568">
        <f>1</f>
        <v>1</v>
      </c>
      <c r="D568">
        <f>IF(OR(F_Custom1_Q="(None)",F_Custom1_Q="",ISBLANK(F_Custom1_Q),F_Custom1_V="(All)",F_Custom1_V="",ISBLANK(F_Custom1_V)),1,IFERROR(IF(ISNUMBER(SEARCH("|"&amp;INDEX(INDIRECT(F_Custom1_resolved_column),567)&amp;"|",F_Custom1_wrapped)),1,0),0))</f>
        <v>1</v>
      </c>
      <c r="E568">
        <f>IF(OR(F_Custom2_Q="(None)",F_Custom2_Q="",ISBLANK(F_Custom2_Q),F_Custom2_V="(All)",F_Custom2_V="",ISBLANK(F_Custom2_V)),1,IFERROR(IF(ISNUMBER(SEARCH("|"&amp;INDEX(INDIRECT(F_Custom2_resolved_column),567)&amp;"|",F_Custom2_wrapped)),1,0),0))</f>
        <v>1</v>
      </c>
      <c r="F568">
        <f>D568*E568*1</f>
        <v>1</v>
      </c>
      <c r="G568">
        <f>1</f>
        <v>1</v>
      </c>
      <c r="H5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567)&amp;"|",All_Questions_Q_STREAM_F_wrapped)),1,0),0))*1</f>
        <v>1</v>
      </c>
    </row>
    <row r="569">
      <c r="A569" t="n">
        <v>568</v>
      </c>
      <c r="B569" t="inlineStr">
        <is>
          <t>B</t>
        </is>
      </c>
      <c r="C569">
        <f>1</f>
        <v>1</v>
      </c>
      <c r="D569">
        <f>IF(OR(F_Custom1_Q="(None)",F_Custom1_Q="",ISBLANK(F_Custom1_Q),F_Custom1_V="(All)",F_Custom1_V="",ISBLANK(F_Custom1_V)),1,IFERROR(IF(ISNUMBER(SEARCH("|"&amp;INDEX(INDIRECT(F_Custom1_resolved_column),568)&amp;"|",F_Custom1_wrapped)),1,0),0))</f>
        <v>1</v>
      </c>
      <c r="E569">
        <f>IF(OR(F_Custom2_Q="(None)",F_Custom2_Q="",ISBLANK(F_Custom2_Q),F_Custom2_V="(All)",F_Custom2_V="",ISBLANK(F_Custom2_V)),1,IFERROR(IF(ISNUMBER(SEARCH("|"&amp;INDEX(INDIRECT(F_Custom2_resolved_column),568)&amp;"|",F_Custom2_wrapped)),1,0),0))</f>
        <v>1</v>
      </c>
      <c r="F569">
        <f>D569*E569*1</f>
        <v>1</v>
      </c>
      <c r="G569">
        <f>1</f>
        <v>1</v>
      </c>
      <c r="H5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568)&amp;"|",All_Questions_Q_STREAM_F_wrapped)),1,0),0))*1</f>
        <v>1</v>
      </c>
    </row>
    <row r="570">
      <c r="A570" t="n">
        <v>569</v>
      </c>
      <c r="B570" t="inlineStr">
        <is>
          <t>A</t>
        </is>
      </c>
      <c r="C570">
        <f>1</f>
        <v>1</v>
      </c>
      <c r="D570">
        <f>IF(OR(F_Custom1_Q="(None)",F_Custom1_Q="",ISBLANK(F_Custom1_Q),F_Custom1_V="(All)",F_Custom1_V="",ISBLANK(F_Custom1_V)),1,IFERROR(IF(ISNUMBER(SEARCH("|"&amp;INDEX(INDIRECT(F_Custom1_resolved_column),569)&amp;"|",F_Custom1_wrapped)),1,0),0))</f>
        <v>1</v>
      </c>
      <c r="E570">
        <f>IF(OR(F_Custom2_Q="(None)",F_Custom2_Q="",ISBLANK(F_Custom2_Q),F_Custom2_V="(All)",F_Custom2_V="",ISBLANK(F_Custom2_V)),1,IFERROR(IF(ISNUMBER(SEARCH("|"&amp;INDEX(INDIRECT(F_Custom2_resolved_column),569)&amp;"|",F_Custom2_wrapped)),1,0),0))</f>
        <v>1</v>
      </c>
      <c r="F570">
        <f>D570*E570*1</f>
        <v>1</v>
      </c>
      <c r="G570">
        <f>1</f>
        <v>1</v>
      </c>
      <c r="H5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569)&amp;"|",All_Questions_Q_STREAM_F_wrapped)),1,0),0))*1</f>
        <v>1</v>
      </c>
    </row>
    <row r="571">
      <c r="A571" t="n">
        <v>570</v>
      </c>
      <c r="B571" t="inlineStr">
        <is>
          <t>B</t>
        </is>
      </c>
      <c r="C571">
        <f>1</f>
        <v>1</v>
      </c>
      <c r="D571">
        <f>IF(OR(F_Custom1_Q="(None)",F_Custom1_Q="",ISBLANK(F_Custom1_Q),F_Custom1_V="(All)",F_Custom1_V="",ISBLANK(F_Custom1_V)),1,IFERROR(IF(ISNUMBER(SEARCH("|"&amp;INDEX(INDIRECT(F_Custom1_resolved_column),570)&amp;"|",F_Custom1_wrapped)),1,0),0))</f>
        <v>1</v>
      </c>
      <c r="E571">
        <f>IF(OR(F_Custom2_Q="(None)",F_Custom2_Q="",ISBLANK(F_Custom2_Q),F_Custom2_V="(All)",F_Custom2_V="",ISBLANK(F_Custom2_V)),1,IFERROR(IF(ISNUMBER(SEARCH("|"&amp;INDEX(INDIRECT(F_Custom2_resolved_column),570)&amp;"|",F_Custom2_wrapped)),1,0),0))</f>
        <v>1</v>
      </c>
      <c r="F571">
        <f>D571*E571*1</f>
        <v>1</v>
      </c>
      <c r="G571">
        <f>1</f>
        <v>1</v>
      </c>
      <c r="H5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570)&amp;"|",All_Questions_Q_STREAM_F_wrapped)),1,0),0))*1</f>
        <v>1</v>
      </c>
    </row>
    <row r="572">
      <c r="A572" t="n">
        <v>571</v>
      </c>
      <c r="B572" t="inlineStr">
        <is>
          <t>A</t>
        </is>
      </c>
      <c r="C572">
        <f>1</f>
        <v>1</v>
      </c>
      <c r="D572">
        <f>IF(OR(F_Custom1_Q="(None)",F_Custom1_Q="",ISBLANK(F_Custom1_Q),F_Custom1_V="(All)",F_Custom1_V="",ISBLANK(F_Custom1_V)),1,IFERROR(IF(ISNUMBER(SEARCH("|"&amp;INDEX(INDIRECT(F_Custom1_resolved_column),571)&amp;"|",F_Custom1_wrapped)),1,0),0))</f>
        <v>1</v>
      </c>
      <c r="E572">
        <f>IF(OR(F_Custom2_Q="(None)",F_Custom2_Q="",ISBLANK(F_Custom2_Q),F_Custom2_V="(All)",F_Custom2_V="",ISBLANK(F_Custom2_V)),1,IFERROR(IF(ISNUMBER(SEARCH("|"&amp;INDEX(INDIRECT(F_Custom2_resolved_column),571)&amp;"|",F_Custom2_wrapped)),1,0),0))</f>
        <v>1</v>
      </c>
      <c r="F572">
        <f>D572*E572*1</f>
        <v>1</v>
      </c>
      <c r="G572">
        <f>1</f>
        <v>1</v>
      </c>
      <c r="H5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571)&amp;"|",All_Questions_Q_STREAM_F_wrapped)),1,0),0))*1</f>
        <v>1</v>
      </c>
    </row>
    <row r="573">
      <c r="A573" t="n">
        <v>572</v>
      </c>
      <c r="B573" t="inlineStr">
        <is>
          <t>B</t>
        </is>
      </c>
      <c r="C573">
        <f>1</f>
        <v>1</v>
      </c>
      <c r="D573">
        <f>IF(OR(F_Custom1_Q="(None)",F_Custom1_Q="",ISBLANK(F_Custom1_Q),F_Custom1_V="(All)",F_Custom1_V="",ISBLANK(F_Custom1_V)),1,IFERROR(IF(ISNUMBER(SEARCH("|"&amp;INDEX(INDIRECT(F_Custom1_resolved_column),572)&amp;"|",F_Custom1_wrapped)),1,0),0))</f>
        <v>1</v>
      </c>
      <c r="E573">
        <f>IF(OR(F_Custom2_Q="(None)",F_Custom2_Q="",ISBLANK(F_Custom2_Q),F_Custom2_V="(All)",F_Custom2_V="",ISBLANK(F_Custom2_V)),1,IFERROR(IF(ISNUMBER(SEARCH("|"&amp;INDEX(INDIRECT(F_Custom2_resolved_column),572)&amp;"|",F_Custom2_wrapped)),1,0),0))</f>
        <v>1</v>
      </c>
      <c r="F573">
        <f>D573*E573*1</f>
        <v>1</v>
      </c>
      <c r="G573">
        <f>1</f>
        <v>1</v>
      </c>
      <c r="H5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572)&amp;"|",All_Questions_Q_STREAM_F_wrapped)),1,0),0))*1</f>
        <v>1</v>
      </c>
    </row>
    <row r="574">
      <c r="A574" t="n">
        <v>573</v>
      </c>
      <c r="B574" t="inlineStr">
        <is>
          <t>A</t>
        </is>
      </c>
      <c r="C574">
        <f>1</f>
        <v>1</v>
      </c>
      <c r="D574">
        <f>IF(OR(F_Custom1_Q="(None)",F_Custom1_Q="",ISBLANK(F_Custom1_Q),F_Custom1_V="(All)",F_Custom1_V="",ISBLANK(F_Custom1_V)),1,IFERROR(IF(ISNUMBER(SEARCH("|"&amp;INDEX(INDIRECT(F_Custom1_resolved_column),573)&amp;"|",F_Custom1_wrapped)),1,0),0))</f>
        <v>1</v>
      </c>
      <c r="E574">
        <f>IF(OR(F_Custom2_Q="(None)",F_Custom2_Q="",ISBLANK(F_Custom2_Q),F_Custom2_V="(All)",F_Custom2_V="",ISBLANK(F_Custom2_V)),1,IFERROR(IF(ISNUMBER(SEARCH("|"&amp;INDEX(INDIRECT(F_Custom2_resolved_column),573)&amp;"|",F_Custom2_wrapped)),1,0),0))</f>
        <v>1</v>
      </c>
      <c r="F574">
        <f>D574*E574*1</f>
        <v>1</v>
      </c>
      <c r="G574">
        <f>1</f>
        <v>1</v>
      </c>
      <c r="H5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573)&amp;"|",All_Questions_Q_STREAM_F_wrapped)),1,0),0))*1</f>
        <v>1</v>
      </c>
    </row>
    <row r="575">
      <c r="A575" t="n">
        <v>574</v>
      </c>
      <c r="B575" t="inlineStr">
        <is>
          <t>B</t>
        </is>
      </c>
      <c r="C575">
        <f>1</f>
        <v>1</v>
      </c>
      <c r="D575">
        <f>IF(OR(F_Custom1_Q="(None)",F_Custom1_Q="",ISBLANK(F_Custom1_Q),F_Custom1_V="(All)",F_Custom1_V="",ISBLANK(F_Custom1_V)),1,IFERROR(IF(ISNUMBER(SEARCH("|"&amp;INDEX(INDIRECT(F_Custom1_resolved_column),574)&amp;"|",F_Custom1_wrapped)),1,0),0))</f>
        <v>1</v>
      </c>
      <c r="E575">
        <f>IF(OR(F_Custom2_Q="(None)",F_Custom2_Q="",ISBLANK(F_Custom2_Q),F_Custom2_V="(All)",F_Custom2_V="",ISBLANK(F_Custom2_V)),1,IFERROR(IF(ISNUMBER(SEARCH("|"&amp;INDEX(INDIRECT(F_Custom2_resolved_column),574)&amp;"|",F_Custom2_wrapped)),1,0),0))</f>
        <v>1</v>
      </c>
      <c r="F575">
        <f>D575*E575*1</f>
        <v>1</v>
      </c>
      <c r="G575">
        <f>1</f>
        <v>1</v>
      </c>
      <c r="H5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574)&amp;"|",All_Questions_Q_STREAM_F_wrapped)),1,0),0))*1</f>
        <v>1</v>
      </c>
    </row>
    <row r="576">
      <c r="A576" t="n">
        <v>575</v>
      </c>
      <c r="B576" t="inlineStr">
        <is>
          <t>A</t>
        </is>
      </c>
      <c r="C576">
        <f>1</f>
        <v>1</v>
      </c>
      <c r="D576">
        <f>IF(OR(F_Custom1_Q="(None)",F_Custom1_Q="",ISBLANK(F_Custom1_Q),F_Custom1_V="(All)",F_Custom1_V="",ISBLANK(F_Custom1_V)),1,IFERROR(IF(ISNUMBER(SEARCH("|"&amp;INDEX(INDIRECT(F_Custom1_resolved_column),575)&amp;"|",F_Custom1_wrapped)),1,0),0))</f>
        <v>1</v>
      </c>
      <c r="E576">
        <f>IF(OR(F_Custom2_Q="(None)",F_Custom2_Q="",ISBLANK(F_Custom2_Q),F_Custom2_V="(All)",F_Custom2_V="",ISBLANK(F_Custom2_V)),1,IFERROR(IF(ISNUMBER(SEARCH("|"&amp;INDEX(INDIRECT(F_Custom2_resolved_column),575)&amp;"|",F_Custom2_wrapped)),1,0),0))</f>
        <v>1</v>
      </c>
      <c r="F576">
        <f>D576*E576*1</f>
        <v>1</v>
      </c>
      <c r="G576">
        <f>1</f>
        <v>1</v>
      </c>
      <c r="H5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575)&amp;"|",All_Questions_Q_STREAM_F_wrapped)),1,0),0))*1</f>
        <v>1</v>
      </c>
    </row>
    <row r="577">
      <c r="A577" t="n">
        <v>576</v>
      </c>
      <c r="B577" t="inlineStr">
        <is>
          <t>B</t>
        </is>
      </c>
      <c r="C577">
        <f>1</f>
        <v>1</v>
      </c>
      <c r="D577">
        <f>IF(OR(F_Custom1_Q="(None)",F_Custom1_Q="",ISBLANK(F_Custom1_Q),F_Custom1_V="(All)",F_Custom1_V="",ISBLANK(F_Custom1_V)),1,IFERROR(IF(ISNUMBER(SEARCH("|"&amp;INDEX(INDIRECT(F_Custom1_resolved_column),576)&amp;"|",F_Custom1_wrapped)),1,0),0))</f>
        <v>1</v>
      </c>
      <c r="E577">
        <f>IF(OR(F_Custom2_Q="(None)",F_Custom2_Q="",ISBLANK(F_Custom2_Q),F_Custom2_V="(All)",F_Custom2_V="",ISBLANK(F_Custom2_V)),1,IFERROR(IF(ISNUMBER(SEARCH("|"&amp;INDEX(INDIRECT(F_Custom2_resolved_column),576)&amp;"|",F_Custom2_wrapped)),1,0),0))</f>
        <v>1</v>
      </c>
      <c r="F577">
        <f>D577*E577*1</f>
        <v>1</v>
      </c>
      <c r="G577">
        <f>1</f>
        <v>1</v>
      </c>
      <c r="H5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576)&amp;"|",All_Questions_Q_STREAM_F_wrapped)),1,0),0))*1</f>
        <v>1</v>
      </c>
    </row>
    <row r="578">
      <c r="A578" t="n">
        <v>577</v>
      </c>
      <c r="B578" t="inlineStr">
        <is>
          <t>A</t>
        </is>
      </c>
      <c r="C578">
        <f>1</f>
        <v>1</v>
      </c>
      <c r="D578">
        <f>IF(OR(F_Custom1_Q="(None)",F_Custom1_Q="",ISBLANK(F_Custom1_Q),F_Custom1_V="(All)",F_Custom1_V="",ISBLANK(F_Custom1_V)),1,IFERROR(IF(ISNUMBER(SEARCH("|"&amp;INDEX(INDIRECT(F_Custom1_resolved_column),577)&amp;"|",F_Custom1_wrapped)),1,0),0))</f>
        <v>1</v>
      </c>
      <c r="E578">
        <f>IF(OR(F_Custom2_Q="(None)",F_Custom2_Q="",ISBLANK(F_Custom2_Q),F_Custom2_V="(All)",F_Custom2_V="",ISBLANK(F_Custom2_V)),1,IFERROR(IF(ISNUMBER(SEARCH("|"&amp;INDEX(INDIRECT(F_Custom2_resolved_column),577)&amp;"|",F_Custom2_wrapped)),1,0),0))</f>
        <v>1</v>
      </c>
      <c r="F578">
        <f>D578*E578*1</f>
        <v>1</v>
      </c>
      <c r="G578">
        <f>1</f>
        <v>1</v>
      </c>
      <c r="H5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577)&amp;"|",All_Questions_Q_STREAM_F_wrapped)),1,0),0))*1</f>
        <v>1</v>
      </c>
    </row>
    <row r="579">
      <c r="A579" t="n">
        <v>578</v>
      </c>
      <c r="B579" t="inlineStr">
        <is>
          <t>B</t>
        </is>
      </c>
      <c r="C579">
        <f>1</f>
        <v>1</v>
      </c>
      <c r="D579">
        <f>IF(OR(F_Custom1_Q="(None)",F_Custom1_Q="",ISBLANK(F_Custom1_Q),F_Custom1_V="(All)",F_Custom1_V="",ISBLANK(F_Custom1_V)),1,IFERROR(IF(ISNUMBER(SEARCH("|"&amp;INDEX(INDIRECT(F_Custom1_resolved_column),578)&amp;"|",F_Custom1_wrapped)),1,0),0))</f>
        <v>1</v>
      </c>
      <c r="E579">
        <f>IF(OR(F_Custom2_Q="(None)",F_Custom2_Q="",ISBLANK(F_Custom2_Q),F_Custom2_V="(All)",F_Custom2_V="",ISBLANK(F_Custom2_V)),1,IFERROR(IF(ISNUMBER(SEARCH("|"&amp;INDEX(INDIRECT(F_Custom2_resolved_column),578)&amp;"|",F_Custom2_wrapped)),1,0),0))</f>
        <v>1</v>
      </c>
      <c r="F579">
        <f>D579*E579*1</f>
        <v>1</v>
      </c>
      <c r="G579">
        <f>1</f>
        <v>1</v>
      </c>
      <c r="H5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578)&amp;"|",All_Questions_Q_STREAM_F_wrapped)),1,0),0))*1</f>
        <v>1</v>
      </c>
    </row>
    <row r="580">
      <c r="A580" t="n">
        <v>579</v>
      </c>
      <c r="B580" t="inlineStr">
        <is>
          <t>A</t>
        </is>
      </c>
      <c r="C580">
        <f>1</f>
        <v>1</v>
      </c>
      <c r="D580">
        <f>IF(OR(F_Custom1_Q="(None)",F_Custom1_Q="",ISBLANK(F_Custom1_Q),F_Custom1_V="(All)",F_Custom1_V="",ISBLANK(F_Custom1_V)),1,IFERROR(IF(ISNUMBER(SEARCH("|"&amp;INDEX(INDIRECT(F_Custom1_resolved_column),579)&amp;"|",F_Custom1_wrapped)),1,0),0))</f>
        <v>1</v>
      </c>
      <c r="E580">
        <f>IF(OR(F_Custom2_Q="(None)",F_Custom2_Q="",ISBLANK(F_Custom2_Q),F_Custom2_V="(All)",F_Custom2_V="",ISBLANK(F_Custom2_V)),1,IFERROR(IF(ISNUMBER(SEARCH("|"&amp;INDEX(INDIRECT(F_Custom2_resolved_column),579)&amp;"|",F_Custom2_wrapped)),1,0),0))</f>
        <v>1</v>
      </c>
      <c r="F580">
        <f>D580*E580*1</f>
        <v>1</v>
      </c>
      <c r="G580">
        <f>1</f>
        <v>1</v>
      </c>
      <c r="H5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579)&amp;"|",All_Questions_Q_STREAM_F_wrapped)),1,0),0))*1</f>
        <v>1</v>
      </c>
    </row>
    <row r="581">
      <c r="A581" t="n">
        <v>580</v>
      </c>
      <c r="B581" t="inlineStr">
        <is>
          <t>B</t>
        </is>
      </c>
      <c r="C581">
        <f>1</f>
        <v>1</v>
      </c>
      <c r="D581">
        <f>IF(OR(F_Custom1_Q="(None)",F_Custom1_Q="",ISBLANK(F_Custom1_Q),F_Custom1_V="(All)",F_Custom1_V="",ISBLANK(F_Custom1_V)),1,IFERROR(IF(ISNUMBER(SEARCH("|"&amp;INDEX(INDIRECT(F_Custom1_resolved_column),580)&amp;"|",F_Custom1_wrapped)),1,0),0))</f>
        <v>1</v>
      </c>
      <c r="E581">
        <f>IF(OR(F_Custom2_Q="(None)",F_Custom2_Q="",ISBLANK(F_Custom2_Q),F_Custom2_V="(All)",F_Custom2_V="",ISBLANK(F_Custom2_V)),1,IFERROR(IF(ISNUMBER(SEARCH("|"&amp;INDEX(INDIRECT(F_Custom2_resolved_column),580)&amp;"|",F_Custom2_wrapped)),1,0),0))</f>
        <v>1</v>
      </c>
      <c r="F581">
        <f>D581*E581*1</f>
        <v>1</v>
      </c>
      <c r="G581">
        <f>1</f>
        <v>1</v>
      </c>
      <c r="H5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580)&amp;"|",All_Questions_Q_STREAM_F_wrapped)),1,0),0))*1</f>
        <v>1</v>
      </c>
    </row>
    <row r="582">
      <c r="A582" t="n">
        <v>581</v>
      </c>
      <c r="B582" t="inlineStr">
        <is>
          <t>A</t>
        </is>
      </c>
      <c r="C582">
        <f>1</f>
        <v>1</v>
      </c>
      <c r="D582">
        <f>IF(OR(F_Custom1_Q="(None)",F_Custom1_Q="",ISBLANK(F_Custom1_Q),F_Custom1_V="(All)",F_Custom1_V="",ISBLANK(F_Custom1_V)),1,IFERROR(IF(ISNUMBER(SEARCH("|"&amp;INDEX(INDIRECT(F_Custom1_resolved_column),581)&amp;"|",F_Custom1_wrapped)),1,0),0))</f>
        <v>1</v>
      </c>
      <c r="E582">
        <f>IF(OR(F_Custom2_Q="(None)",F_Custom2_Q="",ISBLANK(F_Custom2_Q),F_Custom2_V="(All)",F_Custom2_V="",ISBLANK(F_Custom2_V)),1,IFERROR(IF(ISNUMBER(SEARCH("|"&amp;INDEX(INDIRECT(F_Custom2_resolved_column),581)&amp;"|",F_Custom2_wrapped)),1,0),0))</f>
        <v>1</v>
      </c>
      <c r="F582">
        <f>D582*E582*1</f>
        <v>1</v>
      </c>
      <c r="G582">
        <f>1</f>
        <v>1</v>
      </c>
      <c r="H5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581)&amp;"|",All_Questions_Q_STREAM_F_wrapped)),1,0),0))*1</f>
        <v>1</v>
      </c>
    </row>
    <row r="583">
      <c r="A583" t="n">
        <v>582</v>
      </c>
      <c r="B583" t="inlineStr">
        <is>
          <t>B</t>
        </is>
      </c>
      <c r="C583">
        <f>1</f>
        <v>1</v>
      </c>
      <c r="D583">
        <f>IF(OR(F_Custom1_Q="(None)",F_Custom1_Q="",ISBLANK(F_Custom1_Q),F_Custom1_V="(All)",F_Custom1_V="",ISBLANK(F_Custom1_V)),1,IFERROR(IF(ISNUMBER(SEARCH("|"&amp;INDEX(INDIRECT(F_Custom1_resolved_column),582)&amp;"|",F_Custom1_wrapped)),1,0),0))</f>
        <v>1</v>
      </c>
      <c r="E583">
        <f>IF(OR(F_Custom2_Q="(None)",F_Custom2_Q="",ISBLANK(F_Custom2_Q),F_Custom2_V="(All)",F_Custom2_V="",ISBLANK(F_Custom2_V)),1,IFERROR(IF(ISNUMBER(SEARCH("|"&amp;INDEX(INDIRECT(F_Custom2_resolved_column),582)&amp;"|",F_Custom2_wrapped)),1,0),0))</f>
        <v>1</v>
      </c>
      <c r="F583">
        <f>D583*E583*1</f>
        <v>1</v>
      </c>
      <c r="G583">
        <f>1</f>
        <v>1</v>
      </c>
      <c r="H5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582)&amp;"|",All_Questions_Q_STREAM_F_wrapped)),1,0),0))*1</f>
        <v>1</v>
      </c>
    </row>
    <row r="584">
      <c r="A584" t="n">
        <v>583</v>
      </c>
      <c r="B584" t="inlineStr">
        <is>
          <t>A</t>
        </is>
      </c>
      <c r="C584">
        <f>1</f>
        <v>1</v>
      </c>
      <c r="D584">
        <f>IF(OR(F_Custom1_Q="(None)",F_Custom1_Q="",ISBLANK(F_Custom1_Q),F_Custom1_V="(All)",F_Custom1_V="",ISBLANK(F_Custom1_V)),1,IFERROR(IF(ISNUMBER(SEARCH("|"&amp;INDEX(INDIRECT(F_Custom1_resolved_column),583)&amp;"|",F_Custom1_wrapped)),1,0),0))</f>
        <v>1</v>
      </c>
      <c r="E584">
        <f>IF(OR(F_Custom2_Q="(None)",F_Custom2_Q="",ISBLANK(F_Custom2_Q),F_Custom2_V="(All)",F_Custom2_V="",ISBLANK(F_Custom2_V)),1,IFERROR(IF(ISNUMBER(SEARCH("|"&amp;INDEX(INDIRECT(F_Custom2_resolved_column),583)&amp;"|",F_Custom2_wrapped)),1,0),0))</f>
        <v>1</v>
      </c>
      <c r="F584">
        <f>D584*E584*1</f>
        <v>1</v>
      </c>
      <c r="G584">
        <f>1</f>
        <v>1</v>
      </c>
      <c r="H5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583)&amp;"|",All_Questions_Q_STREAM_F_wrapped)),1,0),0))*1</f>
        <v>1</v>
      </c>
    </row>
    <row r="585">
      <c r="A585" t="n">
        <v>584</v>
      </c>
      <c r="B585" t="inlineStr">
        <is>
          <t>B</t>
        </is>
      </c>
      <c r="C585">
        <f>1</f>
        <v>1</v>
      </c>
      <c r="D585">
        <f>IF(OR(F_Custom1_Q="(None)",F_Custom1_Q="",ISBLANK(F_Custom1_Q),F_Custom1_V="(All)",F_Custom1_V="",ISBLANK(F_Custom1_V)),1,IFERROR(IF(ISNUMBER(SEARCH("|"&amp;INDEX(INDIRECT(F_Custom1_resolved_column),584)&amp;"|",F_Custom1_wrapped)),1,0),0))</f>
        <v>1</v>
      </c>
      <c r="E585">
        <f>IF(OR(F_Custom2_Q="(None)",F_Custom2_Q="",ISBLANK(F_Custom2_Q),F_Custom2_V="(All)",F_Custom2_V="",ISBLANK(F_Custom2_V)),1,IFERROR(IF(ISNUMBER(SEARCH("|"&amp;INDEX(INDIRECT(F_Custom2_resolved_column),584)&amp;"|",F_Custom2_wrapped)),1,0),0))</f>
        <v>1</v>
      </c>
      <c r="F585">
        <f>D585*E585*1</f>
        <v>1</v>
      </c>
      <c r="G585">
        <f>1</f>
        <v>1</v>
      </c>
      <c r="H5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584)&amp;"|",All_Questions_Q_STREAM_F_wrapped)),1,0),0))*1</f>
        <v>1</v>
      </c>
    </row>
    <row r="586">
      <c r="A586" t="n">
        <v>585</v>
      </c>
      <c r="B586" t="inlineStr">
        <is>
          <t>A</t>
        </is>
      </c>
      <c r="C586">
        <f>1</f>
        <v>1</v>
      </c>
      <c r="D586">
        <f>IF(OR(F_Custom1_Q="(None)",F_Custom1_Q="",ISBLANK(F_Custom1_Q),F_Custom1_V="(All)",F_Custom1_V="",ISBLANK(F_Custom1_V)),1,IFERROR(IF(ISNUMBER(SEARCH("|"&amp;INDEX(INDIRECT(F_Custom1_resolved_column),585)&amp;"|",F_Custom1_wrapped)),1,0),0))</f>
        <v>1</v>
      </c>
      <c r="E586">
        <f>IF(OR(F_Custom2_Q="(None)",F_Custom2_Q="",ISBLANK(F_Custom2_Q),F_Custom2_V="(All)",F_Custom2_V="",ISBLANK(F_Custom2_V)),1,IFERROR(IF(ISNUMBER(SEARCH("|"&amp;INDEX(INDIRECT(F_Custom2_resolved_column),585)&amp;"|",F_Custom2_wrapped)),1,0),0))</f>
        <v>1</v>
      </c>
      <c r="F586">
        <f>D586*E586*1</f>
        <v>1</v>
      </c>
      <c r="G586">
        <f>1</f>
        <v>1</v>
      </c>
      <c r="H5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585)&amp;"|",All_Questions_Q_STREAM_F_wrapped)),1,0),0))*1</f>
        <v>1</v>
      </c>
    </row>
    <row r="587">
      <c r="A587" t="n">
        <v>586</v>
      </c>
      <c r="B587" t="inlineStr">
        <is>
          <t>B</t>
        </is>
      </c>
      <c r="C587">
        <f>1</f>
        <v>1</v>
      </c>
      <c r="D587">
        <f>IF(OR(F_Custom1_Q="(None)",F_Custom1_Q="",ISBLANK(F_Custom1_Q),F_Custom1_V="(All)",F_Custom1_V="",ISBLANK(F_Custom1_V)),1,IFERROR(IF(ISNUMBER(SEARCH("|"&amp;INDEX(INDIRECT(F_Custom1_resolved_column),586)&amp;"|",F_Custom1_wrapped)),1,0),0))</f>
        <v>1</v>
      </c>
      <c r="E587">
        <f>IF(OR(F_Custom2_Q="(None)",F_Custom2_Q="",ISBLANK(F_Custom2_Q),F_Custom2_V="(All)",F_Custom2_V="",ISBLANK(F_Custom2_V)),1,IFERROR(IF(ISNUMBER(SEARCH("|"&amp;INDEX(INDIRECT(F_Custom2_resolved_column),586)&amp;"|",F_Custom2_wrapped)),1,0),0))</f>
        <v>1</v>
      </c>
      <c r="F587">
        <f>D587*E587*1</f>
        <v>1</v>
      </c>
      <c r="G587">
        <f>1</f>
        <v>1</v>
      </c>
      <c r="H5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586)&amp;"|",All_Questions_Q_STREAM_F_wrapped)),1,0),0))*1</f>
        <v>1</v>
      </c>
    </row>
    <row r="588">
      <c r="A588" t="n">
        <v>587</v>
      </c>
      <c r="B588" t="inlineStr">
        <is>
          <t>A</t>
        </is>
      </c>
      <c r="C588">
        <f>1</f>
        <v>1</v>
      </c>
      <c r="D588">
        <f>IF(OR(F_Custom1_Q="(None)",F_Custom1_Q="",ISBLANK(F_Custom1_Q),F_Custom1_V="(All)",F_Custom1_V="",ISBLANK(F_Custom1_V)),1,IFERROR(IF(ISNUMBER(SEARCH("|"&amp;INDEX(INDIRECT(F_Custom1_resolved_column),587)&amp;"|",F_Custom1_wrapped)),1,0),0))</f>
        <v>1</v>
      </c>
      <c r="E588">
        <f>IF(OR(F_Custom2_Q="(None)",F_Custom2_Q="",ISBLANK(F_Custom2_Q),F_Custom2_V="(All)",F_Custom2_V="",ISBLANK(F_Custom2_V)),1,IFERROR(IF(ISNUMBER(SEARCH("|"&amp;INDEX(INDIRECT(F_Custom2_resolved_column),587)&amp;"|",F_Custom2_wrapped)),1,0),0))</f>
        <v>1</v>
      </c>
      <c r="F588">
        <f>D588*E588*1</f>
        <v>1</v>
      </c>
      <c r="G588">
        <f>1</f>
        <v>1</v>
      </c>
      <c r="H5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587)&amp;"|",All_Questions_Q_STREAM_F_wrapped)),1,0),0))*1</f>
        <v>1</v>
      </c>
    </row>
    <row r="589">
      <c r="A589" t="n">
        <v>588</v>
      </c>
      <c r="B589" t="inlineStr">
        <is>
          <t>B</t>
        </is>
      </c>
      <c r="C589">
        <f>1</f>
        <v>1</v>
      </c>
      <c r="D589">
        <f>IF(OR(F_Custom1_Q="(None)",F_Custom1_Q="",ISBLANK(F_Custom1_Q),F_Custom1_V="(All)",F_Custom1_V="",ISBLANK(F_Custom1_V)),1,IFERROR(IF(ISNUMBER(SEARCH("|"&amp;INDEX(INDIRECT(F_Custom1_resolved_column),588)&amp;"|",F_Custom1_wrapped)),1,0),0))</f>
        <v>1</v>
      </c>
      <c r="E589">
        <f>IF(OR(F_Custom2_Q="(None)",F_Custom2_Q="",ISBLANK(F_Custom2_Q),F_Custom2_V="(All)",F_Custom2_V="",ISBLANK(F_Custom2_V)),1,IFERROR(IF(ISNUMBER(SEARCH("|"&amp;INDEX(INDIRECT(F_Custom2_resolved_column),588)&amp;"|",F_Custom2_wrapped)),1,0),0))</f>
        <v>1</v>
      </c>
      <c r="F589">
        <f>D589*E589*1</f>
        <v>1</v>
      </c>
      <c r="G589">
        <f>1</f>
        <v>1</v>
      </c>
      <c r="H5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588)&amp;"|",All_Questions_Q_STREAM_F_wrapped)),1,0),0))*1</f>
        <v>1</v>
      </c>
    </row>
    <row r="590">
      <c r="A590" t="n">
        <v>589</v>
      </c>
      <c r="B590" t="inlineStr">
        <is>
          <t>A</t>
        </is>
      </c>
      <c r="C590">
        <f>1</f>
        <v>1</v>
      </c>
      <c r="D590">
        <f>IF(OR(F_Custom1_Q="(None)",F_Custom1_Q="",ISBLANK(F_Custom1_Q),F_Custom1_V="(All)",F_Custom1_V="",ISBLANK(F_Custom1_V)),1,IFERROR(IF(ISNUMBER(SEARCH("|"&amp;INDEX(INDIRECT(F_Custom1_resolved_column),589)&amp;"|",F_Custom1_wrapped)),1,0),0))</f>
        <v>1</v>
      </c>
      <c r="E590">
        <f>IF(OR(F_Custom2_Q="(None)",F_Custom2_Q="",ISBLANK(F_Custom2_Q),F_Custom2_V="(All)",F_Custom2_V="",ISBLANK(F_Custom2_V)),1,IFERROR(IF(ISNUMBER(SEARCH("|"&amp;INDEX(INDIRECT(F_Custom2_resolved_column),589)&amp;"|",F_Custom2_wrapped)),1,0),0))</f>
        <v>1</v>
      </c>
      <c r="F590">
        <f>D590*E590*1</f>
        <v>1</v>
      </c>
      <c r="G590">
        <f>1</f>
        <v>1</v>
      </c>
      <c r="H5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589)&amp;"|",All_Questions_Q_STREAM_F_wrapped)),1,0),0))*1</f>
        <v>1</v>
      </c>
    </row>
    <row r="591">
      <c r="A591" t="n">
        <v>590</v>
      </c>
      <c r="B591" t="inlineStr">
        <is>
          <t>B</t>
        </is>
      </c>
      <c r="C591">
        <f>1</f>
        <v>1</v>
      </c>
      <c r="D591">
        <f>IF(OR(F_Custom1_Q="(None)",F_Custom1_Q="",ISBLANK(F_Custom1_Q),F_Custom1_V="(All)",F_Custom1_V="",ISBLANK(F_Custom1_V)),1,IFERROR(IF(ISNUMBER(SEARCH("|"&amp;INDEX(INDIRECT(F_Custom1_resolved_column),590)&amp;"|",F_Custom1_wrapped)),1,0),0))</f>
        <v>1</v>
      </c>
      <c r="E591">
        <f>IF(OR(F_Custom2_Q="(None)",F_Custom2_Q="",ISBLANK(F_Custom2_Q),F_Custom2_V="(All)",F_Custom2_V="",ISBLANK(F_Custom2_V)),1,IFERROR(IF(ISNUMBER(SEARCH("|"&amp;INDEX(INDIRECT(F_Custom2_resolved_column),590)&amp;"|",F_Custom2_wrapped)),1,0),0))</f>
        <v>1</v>
      </c>
      <c r="F591">
        <f>D591*E591*1</f>
        <v>1</v>
      </c>
      <c r="G591">
        <f>1</f>
        <v>1</v>
      </c>
      <c r="H5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590)&amp;"|",All_Questions_Q_STREAM_F_wrapped)),1,0),0))*1</f>
        <v>1</v>
      </c>
    </row>
    <row r="592">
      <c r="A592" t="n">
        <v>591</v>
      </c>
      <c r="B592" t="inlineStr">
        <is>
          <t>A</t>
        </is>
      </c>
      <c r="C592">
        <f>1</f>
        <v>1</v>
      </c>
      <c r="D592">
        <f>IF(OR(F_Custom1_Q="(None)",F_Custom1_Q="",ISBLANK(F_Custom1_Q),F_Custom1_V="(All)",F_Custom1_V="",ISBLANK(F_Custom1_V)),1,IFERROR(IF(ISNUMBER(SEARCH("|"&amp;INDEX(INDIRECT(F_Custom1_resolved_column),591)&amp;"|",F_Custom1_wrapped)),1,0),0))</f>
        <v>1</v>
      </c>
      <c r="E592">
        <f>IF(OR(F_Custom2_Q="(None)",F_Custom2_Q="",ISBLANK(F_Custom2_Q),F_Custom2_V="(All)",F_Custom2_V="",ISBLANK(F_Custom2_V)),1,IFERROR(IF(ISNUMBER(SEARCH("|"&amp;INDEX(INDIRECT(F_Custom2_resolved_column),591)&amp;"|",F_Custom2_wrapped)),1,0),0))</f>
        <v>1</v>
      </c>
      <c r="F592">
        <f>D592*E592*1</f>
        <v>1</v>
      </c>
      <c r="G592">
        <f>1</f>
        <v>1</v>
      </c>
      <c r="H5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591)&amp;"|",All_Questions_Q_STREAM_F_wrapped)),1,0),0))*1</f>
        <v>1</v>
      </c>
    </row>
    <row r="593">
      <c r="A593" t="n">
        <v>592</v>
      </c>
      <c r="B593" t="inlineStr">
        <is>
          <t>B</t>
        </is>
      </c>
      <c r="C593">
        <f>1</f>
        <v>1</v>
      </c>
      <c r="D593">
        <f>IF(OR(F_Custom1_Q="(None)",F_Custom1_Q="",ISBLANK(F_Custom1_Q),F_Custom1_V="(All)",F_Custom1_V="",ISBLANK(F_Custom1_V)),1,IFERROR(IF(ISNUMBER(SEARCH("|"&amp;INDEX(INDIRECT(F_Custom1_resolved_column),592)&amp;"|",F_Custom1_wrapped)),1,0),0))</f>
        <v>1</v>
      </c>
      <c r="E593">
        <f>IF(OR(F_Custom2_Q="(None)",F_Custom2_Q="",ISBLANK(F_Custom2_Q),F_Custom2_V="(All)",F_Custom2_V="",ISBLANK(F_Custom2_V)),1,IFERROR(IF(ISNUMBER(SEARCH("|"&amp;INDEX(INDIRECT(F_Custom2_resolved_column),592)&amp;"|",F_Custom2_wrapped)),1,0),0))</f>
        <v>1</v>
      </c>
      <c r="F593">
        <f>D593*E593*1</f>
        <v>1</v>
      </c>
      <c r="G593">
        <f>1</f>
        <v>1</v>
      </c>
      <c r="H5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592)&amp;"|",All_Questions_Q_STREAM_F_wrapped)),1,0),0))*1</f>
        <v>1</v>
      </c>
    </row>
    <row r="594">
      <c r="A594" t="n">
        <v>593</v>
      </c>
      <c r="B594" t="inlineStr">
        <is>
          <t>A</t>
        </is>
      </c>
      <c r="C594">
        <f>1</f>
        <v>1</v>
      </c>
      <c r="D594">
        <f>IF(OR(F_Custom1_Q="(None)",F_Custom1_Q="",ISBLANK(F_Custom1_Q),F_Custom1_V="(All)",F_Custom1_V="",ISBLANK(F_Custom1_V)),1,IFERROR(IF(ISNUMBER(SEARCH("|"&amp;INDEX(INDIRECT(F_Custom1_resolved_column),593)&amp;"|",F_Custom1_wrapped)),1,0),0))</f>
        <v>1</v>
      </c>
      <c r="E594">
        <f>IF(OR(F_Custom2_Q="(None)",F_Custom2_Q="",ISBLANK(F_Custom2_Q),F_Custom2_V="(All)",F_Custom2_V="",ISBLANK(F_Custom2_V)),1,IFERROR(IF(ISNUMBER(SEARCH("|"&amp;INDEX(INDIRECT(F_Custom2_resolved_column),593)&amp;"|",F_Custom2_wrapped)),1,0),0))</f>
        <v>1</v>
      </c>
      <c r="F594">
        <f>D594*E594*1</f>
        <v>1</v>
      </c>
      <c r="G594">
        <f>1</f>
        <v>1</v>
      </c>
      <c r="H5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593)&amp;"|",All_Questions_Q_STREAM_F_wrapped)),1,0),0))*1</f>
        <v>1</v>
      </c>
    </row>
    <row r="595">
      <c r="A595" t="n">
        <v>594</v>
      </c>
      <c r="B595" t="inlineStr">
        <is>
          <t>B</t>
        </is>
      </c>
      <c r="C595">
        <f>1</f>
        <v>1</v>
      </c>
      <c r="D595">
        <f>IF(OR(F_Custom1_Q="(None)",F_Custom1_Q="",ISBLANK(F_Custom1_Q),F_Custom1_V="(All)",F_Custom1_V="",ISBLANK(F_Custom1_V)),1,IFERROR(IF(ISNUMBER(SEARCH("|"&amp;INDEX(INDIRECT(F_Custom1_resolved_column),594)&amp;"|",F_Custom1_wrapped)),1,0),0))</f>
        <v>1</v>
      </c>
      <c r="E595">
        <f>IF(OR(F_Custom2_Q="(None)",F_Custom2_Q="",ISBLANK(F_Custom2_Q),F_Custom2_V="(All)",F_Custom2_V="",ISBLANK(F_Custom2_V)),1,IFERROR(IF(ISNUMBER(SEARCH("|"&amp;INDEX(INDIRECT(F_Custom2_resolved_column),594)&amp;"|",F_Custom2_wrapped)),1,0),0))</f>
        <v>1</v>
      </c>
      <c r="F595">
        <f>D595*E595*1</f>
        <v>1</v>
      </c>
      <c r="G595">
        <f>1</f>
        <v>1</v>
      </c>
      <c r="H5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594)&amp;"|",All_Questions_Q_STREAM_F_wrapped)),1,0),0))*1</f>
        <v>1</v>
      </c>
    </row>
    <row r="596">
      <c r="A596" t="n">
        <v>595</v>
      </c>
      <c r="B596" t="inlineStr">
        <is>
          <t>A</t>
        </is>
      </c>
      <c r="C596">
        <f>1</f>
        <v>1</v>
      </c>
      <c r="D596">
        <f>IF(OR(F_Custom1_Q="(None)",F_Custom1_Q="",ISBLANK(F_Custom1_Q),F_Custom1_V="(All)",F_Custom1_V="",ISBLANK(F_Custom1_V)),1,IFERROR(IF(ISNUMBER(SEARCH("|"&amp;INDEX(INDIRECT(F_Custom1_resolved_column),595)&amp;"|",F_Custom1_wrapped)),1,0),0))</f>
        <v>1</v>
      </c>
      <c r="E596">
        <f>IF(OR(F_Custom2_Q="(None)",F_Custom2_Q="",ISBLANK(F_Custom2_Q),F_Custom2_V="(All)",F_Custom2_V="",ISBLANK(F_Custom2_V)),1,IFERROR(IF(ISNUMBER(SEARCH("|"&amp;INDEX(INDIRECT(F_Custom2_resolved_column),595)&amp;"|",F_Custom2_wrapped)),1,0),0))</f>
        <v>1</v>
      </c>
      <c r="F596">
        <f>D596*E596*1</f>
        <v>1</v>
      </c>
      <c r="G596">
        <f>1</f>
        <v>1</v>
      </c>
      <c r="H5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595)&amp;"|",All_Questions_Q_STREAM_F_wrapped)),1,0),0))*1</f>
        <v>1</v>
      </c>
    </row>
    <row r="597">
      <c r="A597" t="n">
        <v>596</v>
      </c>
      <c r="B597" t="inlineStr">
        <is>
          <t>B</t>
        </is>
      </c>
      <c r="C597">
        <f>1</f>
        <v>1</v>
      </c>
      <c r="D597">
        <f>IF(OR(F_Custom1_Q="(None)",F_Custom1_Q="",ISBLANK(F_Custom1_Q),F_Custom1_V="(All)",F_Custom1_V="",ISBLANK(F_Custom1_V)),1,IFERROR(IF(ISNUMBER(SEARCH("|"&amp;INDEX(INDIRECT(F_Custom1_resolved_column),596)&amp;"|",F_Custom1_wrapped)),1,0),0))</f>
        <v>1</v>
      </c>
      <c r="E597">
        <f>IF(OR(F_Custom2_Q="(None)",F_Custom2_Q="",ISBLANK(F_Custom2_Q),F_Custom2_V="(All)",F_Custom2_V="",ISBLANK(F_Custom2_V)),1,IFERROR(IF(ISNUMBER(SEARCH("|"&amp;INDEX(INDIRECT(F_Custom2_resolved_column),596)&amp;"|",F_Custom2_wrapped)),1,0),0))</f>
        <v>1</v>
      </c>
      <c r="F597">
        <f>D597*E597*1</f>
        <v>1</v>
      </c>
      <c r="G597">
        <f>1</f>
        <v>1</v>
      </c>
      <c r="H5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596)&amp;"|",All_Questions_Q_STREAM_F_wrapped)),1,0),0))*1</f>
        <v>1</v>
      </c>
    </row>
    <row r="598">
      <c r="A598" t="n">
        <v>597</v>
      </c>
      <c r="B598" t="inlineStr">
        <is>
          <t>A</t>
        </is>
      </c>
      <c r="C598">
        <f>1</f>
        <v>1</v>
      </c>
      <c r="D598">
        <f>IF(OR(F_Custom1_Q="(None)",F_Custom1_Q="",ISBLANK(F_Custom1_Q),F_Custom1_V="(All)",F_Custom1_V="",ISBLANK(F_Custom1_V)),1,IFERROR(IF(ISNUMBER(SEARCH("|"&amp;INDEX(INDIRECT(F_Custom1_resolved_column),597)&amp;"|",F_Custom1_wrapped)),1,0),0))</f>
        <v>1</v>
      </c>
      <c r="E598">
        <f>IF(OR(F_Custom2_Q="(None)",F_Custom2_Q="",ISBLANK(F_Custom2_Q),F_Custom2_V="(All)",F_Custom2_V="",ISBLANK(F_Custom2_V)),1,IFERROR(IF(ISNUMBER(SEARCH("|"&amp;INDEX(INDIRECT(F_Custom2_resolved_column),597)&amp;"|",F_Custom2_wrapped)),1,0),0))</f>
        <v>1</v>
      </c>
      <c r="F598">
        <f>D598*E598*1</f>
        <v>1</v>
      </c>
      <c r="G598">
        <f>1</f>
        <v>1</v>
      </c>
      <c r="H5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597)&amp;"|",All_Questions_Q_STREAM_F_wrapped)),1,0),0))*1</f>
        <v>1</v>
      </c>
    </row>
    <row r="599">
      <c r="A599" t="n">
        <v>598</v>
      </c>
      <c r="B599" t="inlineStr">
        <is>
          <t>B</t>
        </is>
      </c>
      <c r="C599">
        <f>1</f>
        <v>1</v>
      </c>
      <c r="D599">
        <f>IF(OR(F_Custom1_Q="(None)",F_Custom1_Q="",ISBLANK(F_Custom1_Q),F_Custom1_V="(All)",F_Custom1_V="",ISBLANK(F_Custom1_V)),1,IFERROR(IF(ISNUMBER(SEARCH("|"&amp;INDEX(INDIRECT(F_Custom1_resolved_column),598)&amp;"|",F_Custom1_wrapped)),1,0),0))</f>
        <v>1</v>
      </c>
      <c r="E599">
        <f>IF(OR(F_Custom2_Q="(None)",F_Custom2_Q="",ISBLANK(F_Custom2_Q),F_Custom2_V="(All)",F_Custom2_V="",ISBLANK(F_Custom2_V)),1,IFERROR(IF(ISNUMBER(SEARCH("|"&amp;INDEX(INDIRECT(F_Custom2_resolved_column),598)&amp;"|",F_Custom2_wrapped)),1,0),0))</f>
        <v>1</v>
      </c>
      <c r="F599">
        <f>D599*E599*1</f>
        <v>1</v>
      </c>
      <c r="G599">
        <f>1</f>
        <v>1</v>
      </c>
      <c r="H5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598)&amp;"|",All_Questions_Q_STREAM_F_wrapped)),1,0),0))*1</f>
        <v>1</v>
      </c>
    </row>
    <row r="600">
      <c r="A600" t="n">
        <v>599</v>
      </c>
      <c r="B600" t="inlineStr">
        <is>
          <t>A</t>
        </is>
      </c>
      <c r="C600">
        <f>1</f>
        <v>1</v>
      </c>
      <c r="D600">
        <f>IF(OR(F_Custom1_Q="(None)",F_Custom1_Q="",ISBLANK(F_Custom1_Q),F_Custom1_V="(All)",F_Custom1_V="",ISBLANK(F_Custom1_V)),1,IFERROR(IF(ISNUMBER(SEARCH("|"&amp;INDEX(INDIRECT(F_Custom1_resolved_column),599)&amp;"|",F_Custom1_wrapped)),1,0),0))</f>
        <v>1</v>
      </c>
      <c r="E600">
        <f>IF(OR(F_Custom2_Q="(None)",F_Custom2_Q="",ISBLANK(F_Custom2_Q),F_Custom2_V="(All)",F_Custom2_V="",ISBLANK(F_Custom2_V)),1,IFERROR(IF(ISNUMBER(SEARCH("|"&amp;INDEX(INDIRECT(F_Custom2_resolved_column),599)&amp;"|",F_Custom2_wrapped)),1,0),0))</f>
        <v>1</v>
      </c>
      <c r="F600">
        <f>D600*E600*1</f>
        <v>1</v>
      </c>
      <c r="G600">
        <f>1</f>
        <v>1</v>
      </c>
      <c r="H6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599)&amp;"|",All_Questions_Q_STREAM_F_wrapped)),1,0),0))*1</f>
        <v>1</v>
      </c>
    </row>
    <row r="601">
      <c r="A601" t="n">
        <v>600</v>
      </c>
      <c r="B601" t="inlineStr">
        <is>
          <t>B</t>
        </is>
      </c>
      <c r="C601">
        <f>1</f>
        <v>1</v>
      </c>
      <c r="D601">
        <f>IF(OR(F_Custom1_Q="(None)",F_Custom1_Q="",ISBLANK(F_Custom1_Q),F_Custom1_V="(All)",F_Custom1_V="",ISBLANK(F_Custom1_V)),1,IFERROR(IF(ISNUMBER(SEARCH("|"&amp;INDEX(INDIRECT(F_Custom1_resolved_column),600)&amp;"|",F_Custom1_wrapped)),1,0),0))</f>
        <v>1</v>
      </c>
      <c r="E601">
        <f>IF(OR(F_Custom2_Q="(None)",F_Custom2_Q="",ISBLANK(F_Custom2_Q),F_Custom2_V="(All)",F_Custom2_V="",ISBLANK(F_Custom2_V)),1,IFERROR(IF(ISNUMBER(SEARCH("|"&amp;INDEX(INDIRECT(F_Custom2_resolved_column),600)&amp;"|",F_Custom2_wrapped)),1,0),0))</f>
        <v>1</v>
      </c>
      <c r="F601">
        <f>D601*E601*1</f>
        <v>1</v>
      </c>
      <c r="G601">
        <f>1</f>
        <v>1</v>
      </c>
      <c r="H6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600)&amp;"|",All_Questions_Q_STREAM_F_wrapped)),1,0),0))*1</f>
        <v>1</v>
      </c>
    </row>
    <row r="602">
      <c r="A602" t="n">
        <v>601</v>
      </c>
      <c r="B602" t="inlineStr">
        <is>
          <t>A</t>
        </is>
      </c>
      <c r="C602">
        <f>1</f>
        <v>1</v>
      </c>
      <c r="D602">
        <f>IF(OR(F_Custom1_Q="(None)",F_Custom1_Q="",ISBLANK(F_Custom1_Q),F_Custom1_V="(All)",F_Custom1_V="",ISBLANK(F_Custom1_V)),1,IFERROR(IF(ISNUMBER(SEARCH("|"&amp;INDEX(INDIRECT(F_Custom1_resolved_column),601)&amp;"|",F_Custom1_wrapped)),1,0),0))</f>
        <v>1</v>
      </c>
      <c r="E602">
        <f>IF(OR(F_Custom2_Q="(None)",F_Custom2_Q="",ISBLANK(F_Custom2_Q),F_Custom2_V="(All)",F_Custom2_V="",ISBLANK(F_Custom2_V)),1,IFERROR(IF(ISNUMBER(SEARCH("|"&amp;INDEX(INDIRECT(F_Custom2_resolved_column),601)&amp;"|",F_Custom2_wrapped)),1,0),0))</f>
        <v>1</v>
      </c>
      <c r="F602">
        <f>D602*E602*1</f>
        <v>1</v>
      </c>
      <c r="G602">
        <f>1</f>
        <v>1</v>
      </c>
      <c r="H6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601)&amp;"|",All_Questions_Q_STREAM_F_wrapped)),1,0),0))*1</f>
        <v>1</v>
      </c>
    </row>
    <row r="603">
      <c r="A603" t="n">
        <v>602</v>
      </c>
      <c r="B603" t="inlineStr">
        <is>
          <t>B</t>
        </is>
      </c>
      <c r="C603">
        <f>1</f>
        <v>1</v>
      </c>
      <c r="D603">
        <f>IF(OR(F_Custom1_Q="(None)",F_Custom1_Q="",ISBLANK(F_Custom1_Q),F_Custom1_V="(All)",F_Custom1_V="",ISBLANK(F_Custom1_V)),1,IFERROR(IF(ISNUMBER(SEARCH("|"&amp;INDEX(INDIRECT(F_Custom1_resolved_column),602)&amp;"|",F_Custom1_wrapped)),1,0),0))</f>
        <v>1</v>
      </c>
      <c r="E603">
        <f>IF(OR(F_Custom2_Q="(None)",F_Custom2_Q="",ISBLANK(F_Custom2_Q),F_Custom2_V="(All)",F_Custom2_V="",ISBLANK(F_Custom2_V)),1,IFERROR(IF(ISNUMBER(SEARCH("|"&amp;INDEX(INDIRECT(F_Custom2_resolved_column),602)&amp;"|",F_Custom2_wrapped)),1,0),0))</f>
        <v>1</v>
      </c>
      <c r="F603">
        <f>D603*E603*1</f>
        <v>1</v>
      </c>
      <c r="G603">
        <f>1</f>
        <v>1</v>
      </c>
      <c r="H6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602)&amp;"|",All_Questions_Q_STREAM_F_wrapped)),1,0),0))*1</f>
        <v>1</v>
      </c>
    </row>
    <row r="604">
      <c r="A604" t="n">
        <v>603</v>
      </c>
      <c r="B604" t="inlineStr">
        <is>
          <t>A</t>
        </is>
      </c>
      <c r="C604">
        <f>1</f>
        <v>1</v>
      </c>
      <c r="D604">
        <f>IF(OR(F_Custom1_Q="(None)",F_Custom1_Q="",ISBLANK(F_Custom1_Q),F_Custom1_V="(All)",F_Custom1_V="",ISBLANK(F_Custom1_V)),1,IFERROR(IF(ISNUMBER(SEARCH("|"&amp;INDEX(INDIRECT(F_Custom1_resolved_column),603)&amp;"|",F_Custom1_wrapped)),1,0),0))</f>
        <v>1</v>
      </c>
      <c r="E604">
        <f>IF(OR(F_Custom2_Q="(None)",F_Custom2_Q="",ISBLANK(F_Custom2_Q),F_Custom2_V="(All)",F_Custom2_V="",ISBLANK(F_Custom2_V)),1,IFERROR(IF(ISNUMBER(SEARCH("|"&amp;INDEX(INDIRECT(F_Custom2_resolved_column),603)&amp;"|",F_Custom2_wrapped)),1,0),0))</f>
        <v>1</v>
      </c>
      <c r="F604">
        <f>D604*E604*1</f>
        <v>1</v>
      </c>
      <c r="G604">
        <f>1</f>
        <v>1</v>
      </c>
      <c r="H6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603)&amp;"|",All_Questions_Q_STREAM_F_wrapped)),1,0),0))*1</f>
        <v>1</v>
      </c>
    </row>
    <row r="605">
      <c r="A605" t="n">
        <v>604</v>
      </c>
      <c r="B605" t="inlineStr">
        <is>
          <t>B</t>
        </is>
      </c>
      <c r="C605">
        <f>1</f>
        <v>1</v>
      </c>
      <c r="D605">
        <f>IF(OR(F_Custom1_Q="(None)",F_Custom1_Q="",ISBLANK(F_Custom1_Q),F_Custom1_V="(All)",F_Custom1_V="",ISBLANK(F_Custom1_V)),1,IFERROR(IF(ISNUMBER(SEARCH("|"&amp;INDEX(INDIRECT(F_Custom1_resolved_column),604)&amp;"|",F_Custom1_wrapped)),1,0),0))</f>
        <v>1</v>
      </c>
      <c r="E605">
        <f>IF(OR(F_Custom2_Q="(None)",F_Custom2_Q="",ISBLANK(F_Custom2_Q),F_Custom2_V="(All)",F_Custom2_V="",ISBLANK(F_Custom2_V)),1,IFERROR(IF(ISNUMBER(SEARCH("|"&amp;INDEX(INDIRECT(F_Custom2_resolved_column),604)&amp;"|",F_Custom2_wrapped)),1,0),0))</f>
        <v>1</v>
      </c>
      <c r="F605">
        <f>D605*E605*1</f>
        <v>1</v>
      </c>
      <c r="G605">
        <f>1</f>
        <v>1</v>
      </c>
      <c r="H6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604)&amp;"|",All_Questions_Q_STREAM_F_wrapped)),1,0),0))*1</f>
        <v>1</v>
      </c>
    </row>
    <row r="606">
      <c r="A606" t="n">
        <v>605</v>
      </c>
      <c r="B606" t="inlineStr">
        <is>
          <t>A</t>
        </is>
      </c>
      <c r="C606">
        <f>1</f>
        <v>1</v>
      </c>
      <c r="D606">
        <f>IF(OR(F_Custom1_Q="(None)",F_Custom1_Q="",ISBLANK(F_Custom1_Q),F_Custom1_V="(All)",F_Custom1_V="",ISBLANK(F_Custom1_V)),1,IFERROR(IF(ISNUMBER(SEARCH("|"&amp;INDEX(INDIRECT(F_Custom1_resolved_column),605)&amp;"|",F_Custom1_wrapped)),1,0),0))</f>
        <v>1</v>
      </c>
      <c r="E606">
        <f>IF(OR(F_Custom2_Q="(None)",F_Custom2_Q="",ISBLANK(F_Custom2_Q),F_Custom2_V="(All)",F_Custom2_V="",ISBLANK(F_Custom2_V)),1,IFERROR(IF(ISNUMBER(SEARCH("|"&amp;INDEX(INDIRECT(F_Custom2_resolved_column),605)&amp;"|",F_Custom2_wrapped)),1,0),0))</f>
        <v>1</v>
      </c>
      <c r="F606">
        <f>D606*E606*1</f>
        <v>1</v>
      </c>
      <c r="G606">
        <f>1</f>
        <v>1</v>
      </c>
      <c r="H6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605)&amp;"|",All_Questions_Q_STREAM_F_wrapped)),1,0),0))*1</f>
        <v>1</v>
      </c>
    </row>
    <row r="607">
      <c r="A607" t="n">
        <v>606</v>
      </c>
      <c r="B607" t="inlineStr">
        <is>
          <t>B</t>
        </is>
      </c>
      <c r="C607">
        <f>1</f>
        <v>1</v>
      </c>
      <c r="D607">
        <f>IF(OR(F_Custom1_Q="(None)",F_Custom1_Q="",ISBLANK(F_Custom1_Q),F_Custom1_V="(All)",F_Custom1_V="",ISBLANK(F_Custom1_V)),1,IFERROR(IF(ISNUMBER(SEARCH("|"&amp;INDEX(INDIRECT(F_Custom1_resolved_column),606)&amp;"|",F_Custom1_wrapped)),1,0),0))</f>
        <v>1</v>
      </c>
      <c r="E607">
        <f>IF(OR(F_Custom2_Q="(None)",F_Custom2_Q="",ISBLANK(F_Custom2_Q),F_Custom2_V="(All)",F_Custom2_V="",ISBLANK(F_Custom2_V)),1,IFERROR(IF(ISNUMBER(SEARCH("|"&amp;INDEX(INDIRECT(F_Custom2_resolved_column),606)&amp;"|",F_Custom2_wrapped)),1,0),0))</f>
        <v>1</v>
      </c>
      <c r="F607">
        <f>D607*E607*1</f>
        <v>1</v>
      </c>
      <c r="G607">
        <f>1</f>
        <v>1</v>
      </c>
      <c r="H6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606)&amp;"|",All_Questions_Q_STREAM_F_wrapped)),1,0),0))*1</f>
        <v>1</v>
      </c>
    </row>
    <row r="608">
      <c r="A608" t="n">
        <v>607</v>
      </c>
      <c r="B608" t="inlineStr">
        <is>
          <t>A</t>
        </is>
      </c>
      <c r="C608">
        <f>1</f>
        <v>1</v>
      </c>
      <c r="D608">
        <f>IF(OR(F_Custom1_Q="(None)",F_Custom1_Q="",ISBLANK(F_Custom1_Q),F_Custom1_V="(All)",F_Custom1_V="",ISBLANK(F_Custom1_V)),1,IFERROR(IF(ISNUMBER(SEARCH("|"&amp;INDEX(INDIRECT(F_Custom1_resolved_column),607)&amp;"|",F_Custom1_wrapped)),1,0),0))</f>
        <v>1</v>
      </c>
      <c r="E608">
        <f>IF(OR(F_Custom2_Q="(None)",F_Custom2_Q="",ISBLANK(F_Custom2_Q),F_Custom2_V="(All)",F_Custom2_V="",ISBLANK(F_Custom2_V)),1,IFERROR(IF(ISNUMBER(SEARCH("|"&amp;INDEX(INDIRECT(F_Custom2_resolved_column),607)&amp;"|",F_Custom2_wrapped)),1,0),0))</f>
        <v>1</v>
      </c>
      <c r="F608">
        <f>D608*E608*1</f>
        <v>1</v>
      </c>
      <c r="G608">
        <f>1</f>
        <v>1</v>
      </c>
      <c r="H6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607)&amp;"|",All_Questions_Q_STREAM_F_wrapped)),1,0),0))*1</f>
        <v>1</v>
      </c>
    </row>
    <row r="609">
      <c r="A609" t="n">
        <v>608</v>
      </c>
      <c r="B609" t="inlineStr">
        <is>
          <t>B</t>
        </is>
      </c>
      <c r="C609">
        <f>1</f>
        <v>1</v>
      </c>
      <c r="D609">
        <f>IF(OR(F_Custom1_Q="(None)",F_Custom1_Q="",ISBLANK(F_Custom1_Q),F_Custom1_V="(All)",F_Custom1_V="",ISBLANK(F_Custom1_V)),1,IFERROR(IF(ISNUMBER(SEARCH("|"&amp;INDEX(INDIRECT(F_Custom1_resolved_column),608)&amp;"|",F_Custom1_wrapped)),1,0),0))</f>
        <v>1</v>
      </c>
      <c r="E609">
        <f>IF(OR(F_Custom2_Q="(None)",F_Custom2_Q="",ISBLANK(F_Custom2_Q),F_Custom2_V="(All)",F_Custom2_V="",ISBLANK(F_Custom2_V)),1,IFERROR(IF(ISNUMBER(SEARCH("|"&amp;INDEX(INDIRECT(F_Custom2_resolved_column),608)&amp;"|",F_Custom2_wrapped)),1,0),0))</f>
        <v>1</v>
      </c>
      <c r="F609">
        <f>D609*E609*1</f>
        <v>1</v>
      </c>
      <c r="G609">
        <f>1</f>
        <v>1</v>
      </c>
      <c r="H6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608)&amp;"|",All_Questions_Q_STREAM_F_wrapped)),1,0),0))*1</f>
        <v>1</v>
      </c>
    </row>
    <row r="610">
      <c r="A610" t="n">
        <v>609</v>
      </c>
      <c r="B610" t="inlineStr">
        <is>
          <t>A</t>
        </is>
      </c>
      <c r="C610">
        <f>1</f>
        <v>1</v>
      </c>
      <c r="D610">
        <f>IF(OR(F_Custom1_Q="(None)",F_Custom1_Q="",ISBLANK(F_Custom1_Q),F_Custom1_V="(All)",F_Custom1_V="",ISBLANK(F_Custom1_V)),1,IFERROR(IF(ISNUMBER(SEARCH("|"&amp;INDEX(INDIRECT(F_Custom1_resolved_column),609)&amp;"|",F_Custom1_wrapped)),1,0),0))</f>
        <v>1</v>
      </c>
      <c r="E610">
        <f>IF(OR(F_Custom2_Q="(None)",F_Custom2_Q="",ISBLANK(F_Custom2_Q),F_Custom2_V="(All)",F_Custom2_V="",ISBLANK(F_Custom2_V)),1,IFERROR(IF(ISNUMBER(SEARCH("|"&amp;INDEX(INDIRECT(F_Custom2_resolved_column),609)&amp;"|",F_Custom2_wrapped)),1,0),0))</f>
        <v>1</v>
      </c>
      <c r="F610">
        <f>D610*E610*1</f>
        <v>1</v>
      </c>
      <c r="G610">
        <f>1</f>
        <v>1</v>
      </c>
      <c r="H6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609)&amp;"|",All_Questions_Q_STREAM_F_wrapped)),1,0),0))*1</f>
        <v>1</v>
      </c>
    </row>
    <row r="611">
      <c r="A611" t="n">
        <v>610</v>
      </c>
      <c r="B611" t="inlineStr">
        <is>
          <t>B</t>
        </is>
      </c>
      <c r="C611">
        <f>1</f>
        <v>1</v>
      </c>
      <c r="D611">
        <f>IF(OR(F_Custom1_Q="(None)",F_Custom1_Q="",ISBLANK(F_Custom1_Q),F_Custom1_V="(All)",F_Custom1_V="",ISBLANK(F_Custom1_V)),1,IFERROR(IF(ISNUMBER(SEARCH("|"&amp;INDEX(INDIRECT(F_Custom1_resolved_column),610)&amp;"|",F_Custom1_wrapped)),1,0),0))</f>
        <v>1</v>
      </c>
      <c r="E611">
        <f>IF(OR(F_Custom2_Q="(None)",F_Custom2_Q="",ISBLANK(F_Custom2_Q),F_Custom2_V="(All)",F_Custom2_V="",ISBLANK(F_Custom2_V)),1,IFERROR(IF(ISNUMBER(SEARCH("|"&amp;INDEX(INDIRECT(F_Custom2_resolved_column),610)&amp;"|",F_Custom2_wrapped)),1,0),0))</f>
        <v>1</v>
      </c>
      <c r="F611">
        <f>D611*E611*1</f>
        <v>1</v>
      </c>
      <c r="G611">
        <f>1</f>
        <v>1</v>
      </c>
      <c r="H6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610)&amp;"|",All_Questions_Q_STREAM_F_wrapped)),1,0),0))*1</f>
        <v>1</v>
      </c>
    </row>
    <row r="612">
      <c r="A612" t="n">
        <v>611</v>
      </c>
      <c r="B612" t="inlineStr">
        <is>
          <t>A</t>
        </is>
      </c>
      <c r="C612">
        <f>1</f>
        <v>1</v>
      </c>
      <c r="D612">
        <f>IF(OR(F_Custom1_Q="(None)",F_Custom1_Q="",ISBLANK(F_Custom1_Q),F_Custom1_V="(All)",F_Custom1_V="",ISBLANK(F_Custom1_V)),1,IFERROR(IF(ISNUMBER(SEARCH("|"&amp;INDEX(INDIRECT(F_Custom1_resolved_column),611)&amp;"|",F_Custom1_wrapped)),1,0),0))</f>
        <v>1</v>
      </c>
      <c r="E612">
        <f>IF(OR(F_Custom2_Q="(None)",F_Custom2_Q="",ISBLANK(F_Custom2_Q),F_Custom2_V="(All)",F_Custom2_V="",ISBLANK(F_Custom2_V)),1,IFERROR(IF(ISNUMBER(SEARCH("|"&amp;INDEX(INDIRECT(F_Custom2_resolved_column),611)&amp;"|",F_Custom2_wrapped)),1,0),0))</f>
        <v>1</v>
      </c>
      <c r="F612">
        <f>D612*E612*1</f>
        <v>1</v>
      </c>
      <c r="G612">
        <f>1</f>
        <v>1</v>
      </c>
      <c r="H6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611)&amp;"|",All_Questions_Q_STREAM_F_wrapped)),1,0),0))*1</f>
        <v>1</v>
      </c>
    </row>
    <row r="613">
      <c r="A613" t="n">
        <v>612</v>
      </c>
      <c r="B613" t="inlineStr">
        <is>
          <t>B</t>
        </is>
      </c>
      <c r="C613">
        <f>1</f>
        <v>1</v>
      </c>
      <c r="D613">
        <f>IF(OR(F_Custom1_Q="(None)",F_Custom1_Q="",ISBLANK(F_Custom1_Q),F_Custom1_V="(All)",F_Custom1_V="",ISBLANK(F_Custom1_V)),1,IFERROR(IF(ISNUMBER(SEARCH("|"&amp;INDEX(INDIRECT(F_Custom1_resolved_column),612)&amp;"|",F_Custom1_wrapped)),1,0),0))</f>
        <v>1</v>
      </c>
      <c r="E613">
        <f>IF(OR(F_Custom2_Q="(None)",F_Custom2_Q="",ISBLANK(F_Custom2_Q),F_Custom2_V="(All)",F_Custom2_V="",ISBLANK(F_Custom2_V)),1,IFERROR(IF(ISNUMBER(SEARCH("|"&amp;INDEX(INDIRECT(F_Custom2_resolved_column),612)&amp;"|",F_Custom2_wrapped)),1,0),0))</f>
        <v>1</v>
      </c>
      <c r="F613">
        <f>D613*E613*1</f>
        <v>1</v>
      </c>
      <c r="G613">
        <f>1</f>
        <v>1</v>
      </c>
      <c r="H6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612)&amp;"|",All_Questions_Q_STREAM_F_wrapped)),1,0),0))*1</f>
        <v>1</v>
      </c>
    </row>
    <row r="614">
      <c r="A614" t="n">
        <v>613</v>
      </c>
      <c r="B614" t="inlineStr">
        <is>
          <t>A</t>
        </is>
      </c>
      <c r="C614">
        <f>1</f>
        <v>1</v>
      </c>
      <c r="D614">
        <f>IF(OR(F_Custom1_Q="(None)",F_Custom1_Q="",ISBLANK(F_Custom1_Q),F_Custom1_V="(All)",F_Custom1_V="",ISBLANK(F_Custom1_V)),1,IFERROR(IF(ISNUMBER(SEARCH("|"&amp;INDEX(INDIRECT(F_Custom1_resolved_column),613)&amp;"|",F_Custom1_wrapped)),1,0),0))</f>
        <v>1</v>
      </c>
      <c r="E614">
        <f>IF(OR(F_Custom2_Q="(None)",F_Custom2_Q="",ISBLANK(F_Custom2_Q),F_Custom2_V="(All)",F_Custom2_V="",ISBLANK(F_Custom2_V)),1,IFERROR(IF(ISNUMBER(SEARCH("|"&amp;INDEX(INDIRECT(F_Custom2_resolved_column),613)&amp;"|",F_Custom2_wrapped)),1,0),0))</f>
        <v>1</v>
      </c>
      <c r="F614">
        <f>D614*E614*1</f>
        <v>1</v>
      </c>
      <c r="G614">
        <f>1</f>
        <v>1</v>
      </c>
      <c r="H6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613)&amp;"|",All_Questions_Q_STREAM_F_wrapped)),1,0),0))*1</f>
        <v>1</v>
      </c>
    </row>
    <row r="615">
      <c r="A615" t="n">
        <v>614</v>
      </c>
      <c r="B615" t="inlineStr">
        <is>
          <t>B</t>
        </is>
      </c>
      <c r="C615">
        <f>1</f>
        <v>1</v>
      </c>
      <c r="D615">
        <f>IF(OR(F_Custom1_Q="(None)",F_Custom1_Q="",ISBLANK(F_Custom1_Q),F_Custom1_V="(All)",F_Custom1_V="",ISBLANK(F_Custom1_V)),1,IFERROR(IF(ISNUMBER(SEARCH("|"&amp;INDEX(INDIRECT(F_Custom1_resolved_column),614)&amp;"|",F_Custom1_wrapped)),1,0),0))</f>
        <v>1</v>
      </c>
      <c r="E615">
        <f>IF(OR(F_Custom2_Q="(None)",F_Custom2_Q="",ISBLANK(F_Custom2_Q),F_Custom2_V="(All)",F_Custom2_V="",ISBLANK(F_Custom2_V)),1,IFERROR(IF(ISNUMBER(SEARCH("|"&amp;INDEX(INDIRECT(F_Custom2_resolved_column),614)&amp;"|",F_Custom2_wrapped)),1,0),0))</f>
        <v>1</v>
      </c>
      <c r="F615">
        <f>D615*E615*1</f>
        <v>1</v>
      </c>
      <c r="G615">
        <f>1</f>
        <v>1</v>
      </c>
      <c r="H6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614)&amp;"|",All_Questions_Q_STREAM_F_wrapped)),1,0),0))*1</f>
        <v>1</v>
      </c>
    </row>
    <row r="616">
      <c r="A616" t="n">
        <v>615</v>
      </c>
      <c r="B616" t="inlineStr">
        <is>
          <t>A</t>
        </is>
      </c>
      <c r="C616">
        <f>1</f>
        <v>1</v>
      </c>
      <c r="D616">
        <f>IF(OR(F_Custom1_Q="(None)",F_Custom1_Q="",ISBLANK(F_Custom1_Q),F_Custom1_V="(All)",F_Custom1_V="",ISBLANK(F_Custom1_V)),1,IFERROR(IF(ISNUMBER(SEARCH("|"&amp;INDEX(INDIRECT(F_Custom1_resolved_column),615)&amp;"|",F_Custom1_wrapped)),1,0),0))</f>
        <v>1</v>
      </c>
      <c r="E616">
        <f>IF(OR(F_Custom2_Q="(None)",F_Custom2_Q="",ISBLANK(F_Custom2_Q),F_Custom2_V="(All)",F_Custom2_V="",ISBLANK(F_Custom2_V)),1,IFERROR(IF(ISNUMBER(SEARCH("|"&amp;INDEX(INDIRECT(F_Custom2_resolved_column),615)&amp;"|",F_Custom2_wrapped)),1,0),0))</f>
        <v>1</v>
      </c>
      <c r="F616">
        <f>D616*E616*1</f>
        <v>1</v>
      </c>
      <c r="G616">
        <f>1</f>
        <v>1</v>
      </c>
      <c r="H6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615)&amp;"|",All_Questions_Q_STREAM_F_wrapped)),1,0),0))*1</f>
        <v>1</v>
      </c>
    </row>
    <row r="617">
      <c r="A617" t="n">
        <v>616</v>
      </c>
      <c r="B617" t="inlineStr">
        <is>
          <t>B</t>
        </is>
      </c>
      <c r="C617">
        <f>1</f>
        <v>1</v>
      </c>
      <c r="D617">
        <f>IF(OR(F_Custom1_Q="(None)",F_Custom1_Q="",ISBLANK(F_Custom1_Q),F_Custom1_V="(All)",F_Custom1_V="",ISBLANK(F_Custom1_V)),1,IFERROR(IF(ISNUMBER(SEARCH("|"&amp;INDEX(INDIRECT(F_Custom1_resolved_column),616)&amp;"|",F_Custom1_wrapped)),1,0),0))</f>
        <v>1</v>
      </c>
      <c r="E617">
        <f>IF(OR(F_Custom2_Q="(None)",F_Custom2_Q="",ISBLANK(F_Custom2_Q),F_Custom2_V="(All)",F_Custom2_V="",ISBLANK(F_Custom2_V)),1,IFERROR(IF(ISNUMBER(SEARCH("|"&amp;INDEX(INDIRECT(F_Custom2_resolved_column),616)&amp;"|",F_Custom2_wrapped)),1,0),0))</f>
        <v>1</v>
      </c>
      <c r="F617">
        <f>D617*E617*1</f>
        <v>1</v>
      </c>
      <c r="G617">
        <f>1</f>
        <v>1</v>
      </c>
      <c r="H6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616)&amp;"|",All_Questions_Q_STREAM_F_wrapped)),1,0),0))*1</f>
        <v>1</v>
      </c>
    </row>
    <row r="618">
      <c r="A618" t="n">
        <v>617</v>
      </c>
      <c r="B618" t="inlineStr">
        <is>
          <t>A</t>
        </is>
      </c>
      <c r="C618">
        <f>1</f>
        <v>1</v>
      </c>
      <c r="D618">
        <f>IF(OR(F_Custom1_Q="(None)",F_Custom1_Q="",ISBLANK(F_Custom1_Q),F_Custom1_V="(All)",F_Custom1_V="",ISBLANK(F_Custom1_V)),1,IFERROR(IF(ISNUMBER(SEARCH("|"&amp;INDEX(INDIRECT(F_Custom1_resolved_column),617)&amp;"|",F_Custom1_wrapped)),1,0),0))</f>
        <v>1</v>
      </c>
      <c r="E618">
        <f>IF(OR(F_Custom2_Q="(None)",F_Custom2_Q="",ISBLANK(F_Custom2_Q),F_Custom2_V="(All)",F_Custom2_V="",ISBLANK(F_Custom2_V)),1,IFERROR(IF(ISNUMBER(SEARCH("|"&amp;INDEX(INDIRECT(F_Custom2_resolved_column),617)&amp;"|",F_Custom2_wrapped)),1,0),0))</f>
        <v>1</v>
      </c>
      <c r="F618">
        <f>D618*E618*1</f>
        <v>1</v>
      </c>
      <c r="G618">
        <f>1</f>
        <v>1</v>
      </c>
      <c r="H6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617)&amp;"|",All_Questions_Q_STREAM_F_wrapped)),1,0),0))*1</f>
        <v>1</v>
      </c>
    </row>
    <row r="619">
      <c r="A619" t="n">
        <v>618</v>
      </c>
      <c r="B619" t="inlineStr">
        <is>
          <t>B</t>
        </is>
      </c>
      <c r="C619">
        <f>1</f>
        <v>1</v>
      </c>
      <c r="D619">
        <f>IF(OR(F_Custom1_Q="(None)",F_Custom1_Q="",ISBLANK(F_Custom1_Q),F_Custom1_V="(All)",F_Custom1_V="",ISBLANK(F_Custom1_V)),1,IFERROR(IF(ISNUMBER(SEARCH("|"&amp;INDEX(INDIRECT(F_Custom1_resolved_column),618)&amp;"|",F_Custom1_wrapped)),1,0),0))</f>
        <v>1</v>
      </c>
      <c r="E619">
        <f>IF(OR(F_Custom2_Q="(None)",F_Custom2_Q="",ISBLANK(F_Custom2_Q),F_Custom2_V="(All)",F_Custom2_V="",ISBLANK(F_Custom2_V)),1,IFERROR(IF(ISNUMBER(SEARCH("|"&amp;INDEX(INDIRECT(F_Custom2_resolved_column),618)&amp;"|",F_Custom2_wrapped)),1,0),0))</f>
        <v>1</v>
      </c>
      <c r="F619">
        <f>D619*E619*1</f>
        <v>1</v>
      </c>
      <c r="G619">
        <f>1</f>
        <v>1</v>
      </c>
      <c r="H6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618)&amp;"|",All_Questions_Q_STREAM_F_wrapped)),1,0),0))*1</f>
        <v>1</v>
      </c>
    </row>
    <row r="620">
      <c r="A620" t="n">
        <v>619</v>
      </c>
      <c r="B620" t="inlineStr">
        <is>
          <t>A</t>
        </is>
      </c>
      <c r="C620">
        <f>1</f>
        <v>1</v>
      </c>
      <c r="D620">
        <f>IF(OR(F_Custom1_Q="(None)",F_Custom1_Q="",ISBLANK(F_Custom1_Q),F_Custom1_V="(All)",F_Custom1_V="",ISBLANK(F_Custom1_V)),1,IFERROR(IF(ISNUMBER(SEARCH("|"&amp;INDEX(INDIRECT(F_Custom1_resolved_column),619)&amp;"|",F_Custom1_wrapped)),1,0),0))</f>
        <v>1</v>
      </c>
      <c r="E620">
        <f>IF(OR(F_Custom2_Q="(None)",F_Custom2_Q="",ISBLANK(F_Custom2_Q),F_Custom2_V="(All)",F_Custom2_V="",ISBLANK(F_Custom2_V)),1,IFERROR(IF(ISNUMBER(SEARCH("|"&amp;INDEX(INDIRECT(F_Custom2_resolved_column),619)&amp;"|",F_Custom2_wrapped)),1,0),0))</f>
        <v>1</v>
      </c>
      <c r="F620">
        <f>D620*E620*1</f>
        <v>1</v>
      </c>
      <c r="G620">
        <f>1</f>
        <v>1</v>
      </c>
      <c r="H6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619)&amp;"|",All_Questions_Q_STREAM_F_wrapped)),1,0),0))*1</f>
        <v>1</v>
      </c>
    </row>
    <row r="621">
      <c r="A621" t="n">
        <v>620</v>
      </c>
      <c r="B621" t="inlineStr">
        <is>
          <t>B</t>
        </is>
      </c>
      <c r="C621">
        <f>1</f>
        <v>1</v>
      </c>
      <c r="D621">
        <f>IF(OR(F_Custom1_Q="(None)",F_Custom1_Q="",ISBLANK(F_Custom1_Q),F_Custom1_V="(All)",F_Custom1_V="",ISBLANK(F_Custom1_V)),1,IFERROR(IF(ISNUMBER(SEARCH("|"&amp;INDEX(INDIRECT(F_Custom1_resolved_column),620)&amp;"|",F_Custom1_wrapped)),1,0),0))</f>
        <v>1</v>
      </c>
      <c r="E621">
        <f>IF(OR(F_Custom2_Q="(None)",F_Custom2_Q="",ISBLANK(F_Custom2_Q),F_Custom2_V="(All)",F_Custom2_V="",ISBLANK(F_Custom2_V)),1,IFERROR(IF(ISNUMBER(SEARCH("|"&amp;INDEX(INDIRECT(F_Custom2_resolved_column),620)&amp;"|",F_Custom2_wrapped)),1,0),0))</f>
        <v>1</v>
      </c>
      <c r="F621">
        <f>D621*E621*1</f>
        <v>1</v>
      </c>
      <c r="G621">
        <f>1</f>
        <v>1</v>
      </c>
      <c r="H6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620)&amp;"|",All_Questions_Q_STREAM_F_wrapped)),1,0),0))*1</f>
        <v>1</v>
      </c>
    </row>
    <row r="622">
      <c r="A622" t="n">
        <v>621</v>
      </c>
      <c r="B622" t="inlineStr">
        <is>
          <t>A</t>
        </is>
      </c>
      <c r="C622">
        <f>1</f>
        <v>1</v>
      </c>
      <c r="D622">
        <f>IF(OR(F_Custom1_Q="(None)",F_Custom1_Q="",ISBLANK(F_Custom1_Q),F_Custom1_V="(All)",F_Custom1_V="",ISBLANK(F_Custom1_V)),1,IFERROR(IF(ISNUMBER(SEARCH("|"&amp;INDEX(INDIRECT(F_Custom1_resolved_column),621)&amp;"|",F_Custom1_wrapped)),1,0),0))</f>
        <v>1</v>
      </c>
      <c r="E622">
        <f>IF(OR(F_Custom2_Q="(None)",F_Custom2_Q="",ISBLANK(F_Custom2_Q),F_Custom2_V="(All)",F_Custom2_V="",ISBLANK(F_Custom2_V)),1,IFERROR(IF(ISNUMBER(SEARCH("|"&amp;INDEX(INDIRECT(F_Custom2_resolved_column),621)&amp;"|",F_Custom2_wrapped)),1,0),0))</f>
        <v>1</v>
      </c>
      <c r="F622">
        <f>D622*E622*1</f>
        <v>1</v>
      </c>
      <c r="G622">
        <f>1</f>
        <v>1</v>
      </c>
      <c r="H6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621)&amp;"|",All_Questions_Q_STREAM_F_wrapped)),1,0),0))*1</f>
        <v>1</v>
      </c>
    </row>
    <row r="623">
      <c r="A623" t="n">
        <v>622</v>
      </c>
      <c r="B623" t="inlineStr">
        <is>
          <t>B</t>
        </is>
      </c>
      <c r="C623">
        <f>1</f>
        <v>1</v>
      </c>
      <c r="D623">
        <f>IF(OR(F_Custom1_Q="(None)",F_Custom1_Q="",ISBLANK(F_Custom1_Q),F_Custom1_V="(All)",F_Custom1_V="",ISBLANK(F_Custom1_V)),1,IFERROR(IF(ISNUMBER(SEARCH("|"&amp;INDEX(INDIRECT(F_Custom1_resolved_column),622)&amp;"|",F_Custom1_wrapped)),1,0),0))</f>
        <v>1</v>
      </c>
      <c r="E623">
        <f>IF(OR(F_Custom2_Q="(None)",F_Custom2_Q="",ISBLANK(F_Custom2_Q),F_Custom2_V="(All)",F_Custom2_V="",ISBLANK(F_Custom2_V)),1,IFERROR(IF(ISNUMBER(SEARCH("|"&amp;INDEX(INDIRECT(F_Custom2_resolved_column),622)&amp;"|",F_Custom2_wrapped)),1,0),0))</f>
        <v>1</v>
      </c>
      <c r="F623">
        <f>D623*E623*1</f>
        <v>1</v>
      </c>
      <c r="G623">
        <f>1</f>
        <v>1</v>
      </c>
      <c r="H6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622)&amp;"|",All_Questions_Q_STREAM_F_wrapped)),1,0),0))*1</f>
        <v>1</v>
      </c>
    </row>
    <row r="624">
      <c r="A624" t="n">
        <v>623</v>
      </c>
      <c r="B624" t="inlineStr">
        <is>
          <t>A</t>
        </is>
      </c>
      <c r="C624">
        <f>1</f>
        <v>1</v>
      </c>
      <c r="D624">
        <f>IF(OR(F_Custom1_Q="(None)",F_Custom1_Q="",ISBLANK(F_Custom1_Q),F_Custom1_V="(All)",F_Custom1_V="",ISBLANK(F_Custom1_V)),1,IFERROR(IF(ISNUMBER(SEARCH("|"&amp;INDEX(INDIRECT(F_Custom1_resolved_column),623)&amp;"|",F_Custom1_wrapped)),1,0),0))</f>
        <v>1</v>
      </c>
      <c r="E624">
        <f>IF(OR(F_Custom2_Q="(None)",F_Custom2_Q="",ISBLANK(F_Custom2_Q),F_Custom2_V="(All)",F_Custom2_V="",ISBLANK(F_Custom2_V)),1,IFERROR(IF(ISNUMBER(SEARCH("|"&amp;INDEX(INDIRECT(F_Custom2_resolved_column),623)&amp;"|",F_Custom2_wrapped)),1,0),0))</f>
        <v>1</v>
      </c>
      <c r="F624">
        <f>D624*E624*1</f>
        <v>1</v>
      </c>
      <c r="G624">
        <f>1</f>
        <v>1</v>
      </c>
      <c r="H6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623)&amp;"|",All_Questions_Q_STREAM_F_wrapped)),1,0),0))*1</f>
        <v>1</v>
      </c>
    </row>
    <row r="625">
      <c r="A625" t="n">
        <v>624</v>
      </c>
      <c r="B625" t="inlineStr">
        <is>
          <t>B</t>
        </is>
      </c>
      <c r="C625">
        <f>1</f>
        <v>1</v>
      </c>
      <c r="D625">
        <f>IF(OR(F_Custom1_Q="(None)",F_Custom1_Q="",ISBLANK(F_Custom1_Q),F_Custom1_V="(All)",F_Custom1_V="",ISBLANK(F_Custom1_V)),1,IFERROR(IF(ISNUMBER(SEARCH("|"&amp;INDEX(INDIRECT(F_Custom1_resolved_column),624)&amp;"|",F_Custom1_wrapped)),1,0),0))</f>
        <v>1</v>
      </c>
      <c r="E625">
        <f>IF(OR(F_Custom2_Q="(None)",F_Custom2_Q="",ISBLANK(F_Custom2_Q),F_Custom2_V="(All)",F_Custom2_V="",ISBLANK(F_Custom2_V)),1,IFERROR(IF(ISNUMBER(SEARCH("|"&amp;INDEX(INDIRECT(F_Custom2_resolved_column),624)&amp;"|",F_Custom2_wrapped)),1,0),0))</f>
        <v>1</v>
      </c>
      <c r="F625">
        <f>D625*E625*1</f>
        <v>1</v>
      </c>
      <c r="G625">
        <f>1</f>
        <v>1</v>
      </c>
      <c r="H6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624)&amp;"|",All_Questions_Q_STREAM_F_wrapped)),1,0),0))*1</f>
        <v>1</v>
      </c>
    </row>
    <row r="626">
      <c r="A626" t="n">
        <v>625</v>
      </c>
      <c r="B626" t="inlineStr">
        <is>
          <t>A</t>
        </is>
      </c>
      <c r="C626">
        <f>1</f>
        <v>1</v>
      </c>
      <c r="D626">
        <f>IF(OR(F_Custom1_Q="(None)",F_Custom1_Q="",ISBLANK(F_Custom1_Q),F_Custom1_V="(All)",F_Custom1_V="",ISBLANK(F_Custom1_V)),1,IFERROR(IF(ISNUMBER(SEARCH("|"&amp;INDEX(INDIRECT(F_Custom1_resolved_column),625)&amp;"|",F_Custom1_wrapped)),1,0),0))</f>
        <v>1</v>
      </c>
      <c r="E626">
        <f>IF(OR(F_Custom2_Q="(None)",F_Custom2_Q="",ISBLANK(F_Custom2_Q),F_Custom2_V="(All)",F_Custom2_V="",ISBLANK(F_Custom2_V)),1,IFERROR(IF(ISNUMBER(SEARCH("|"&amp;INDEX(INDIRECT(F_Custom2_resolved_column),625)&amp;"|",F_Custom2_wrapped)),1,0),0))</f>
        <v>1</v>
      </c>
      <c r="F626">
        <f>D626*E626*1</f>
        <v>1</v>
      </c>
      <c r="G626">
        <f>1</f>
        <v>1</v>
      </c>
      <c r="H6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625)&amp;"|",All_Questions_Q_STREAM_F_wrapped)),1,0),0))*1</f>
        <v>1</v>
      </c>
    </row>
    <row r="627">
      <c r="A627" t="n">
        <v>626</v>
      </c>
      <c r="B627" t="inlineStr">
        <is>
          <t>B</t>
        </is>
      </c>
      <c r="C627">
        <f>1</f>
        <v>1</v>
      </c>
      <c r="D627">
        <f>IF(OR(F_Custom1_Q="(None)",F_Custom1_Q="",ISBLANK(F_Custom1_Q),F_Custom1_V="(All)",F_Custom1_V="",ISBLANK(F_Custom1_V)),1,IFERROR(IF(ISNUMBER(SEARCH("|"&amp;INDEX(INDIRECT(F_Custom1_resolved_column),626)&amp;"|",F_Custom1_wrapped)),1,0),0))</f>
        <v>1</v>
      </c>
      <c r="E627">
        <f>IF(OR(F_Custom2_Q="(None)",F_Custom2_Q="",ISBLANK(F_Custom2_Q),F_Custom2_V="(All)",F_Custom2_V="",ISBLANK(F_Custom2_V)),1,IFERROR(IF(ISNUMBER(SEARCH("|"&amp;INDEX(INDIRECT(F_Custom2_resolved_column),626)&amp;"|",F_Custom2_wrapped)),1,0),0))</f>
        <v>1</v>
      </c>
      <c r="F627">
        <f>D627*E627*1</f>
        <v>1</v>
      </c>
      <c r="G627">
        <f>1</f>
        <v>1</v>
      </c>
      <c r="H6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626)&amp;"|",All_Questions_Q_STREAM_F_wrapped)),1,0),0))*1</f>
        <v>1</v>
      </c>
    </row>
    <row r="628">
      <c r="A628" t="n">
        <v>627</v>
      </c>
      <c r="B628" t="inlineStr">
        <is>
          <t>A</t>
        </is>
      </c>
      <c r="C628">
        <f>1</f>
        <v>1</v>
      </c>
      <c r="D628">
        <f>IF(OR(F_Custom1_Q="(None)",F_Custom1_Q="",ISBLANK(F_Custom1_Q),F_Custom1_V="(All)",F_Custom1_V="",ISBLANK(F_Custom1_V)),1,IFERROR(IF(ISNUMBER(SEARCH("|"&amp;INDEX(INDIRECT(F_Custom1_resolved_column),627)&amp;"|",F_Custom1_wrapped)),1,0),0))</f>
        <v>1</v>
      </c>
      <c r="E628">
        <f>IF(OR(F_Custom2_Q="(None)",F_Custom2_Q="",ISBLANK(F_Custom2_Q),F_Custom2_V="(All)",F_Custom2_V="",ISBLANK(F_Custom2_V)),1,IFERROR(IF(ISNUMBER(SEARCH("|"&amp;INDEX(INDIRECT(F_Custom2_resolved_column),627)&amp;"|",F_Custom2_wrapped)),1,0),0))</f>
        <v>1</v>
      </c>
      <c r="F628">
        <f>D628*E628*1</f>
        <v>1</v>
      </c>
      <c r="G628">
        <f>1</f>
        <v>1</v>
      </c>
      <c r="H6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627)&amp;"|",All_Questions_Q_STREAM_F_wrapped)),1,0),0))*1</f>
        <v>1</v>
      </c>
    </row>
    <row r="629">
      <c r="A629" t="n">
        <v>628</v>
      </c>
      <c r="B629" t="inlineStr">
        <is>
          <t>B</t>
        </is>
      </c>
      <c r="C629">
        <f>1</f>
        <v>1</v>
      </c>
      <c r="D629">
        <f>IF(OR(F_Custom1_Q="(None)",F_Custom1_Q="",ISBLANK(F_Custom1_Q),F_Custom1_V="(All)",F_Custom1_V="",ISBLANK(F_Custom1_V)),1,IFERROR(IF(ISNUMBER(SEARCH("|"&amp;INDEX(INDIRECT(F_Custom1_resolved_column),628)&amp;"|",F_Custom1_wrapped)),1,0),0))</f>
        <v>1</v>
      </c>
      <c r="E629">
        <f>IF(OR(F_Custom2_Q="(None)",F_Custom2_Q="",ISBLANK(F_Custom2_Q),F_Custom2_V="(All)",F_Custom2_V="",ISBLANK(F_Custom2_V)),1,IFERROR(IF(ISNUMBER(SEARCH("|"&amp;INDEX(INDIRECT(F_Custom2_resolved_column),628)&amp;"|",F_Custom2_wrapped)),1,0),0))</f>
        <v>1</v>
      </c>
      <c r="F629">
        <f>D629*E629*1</f>
        <v>1</v>
      </c>
      <c r="G629">
        <f>1</f>
        <v>1</v>
      </c>
      <c r="H6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628)&amp;"|",All_Questions_Q_STREAM_F_wrapped)),1,0),0))*1</f>
        <v>1</v>
      </c>
    </row>
    <row r="630">
      <c r="A630" t="n">
        <v>629</v>
      </c>
      <c r="B630" t="inlineStr">
        <is>
          <t>A</t>
        </is>
      </c>
      <c r="C630">
        <f>1</f>
        <v>1</v>
      </c>
      <c r="D630">
        <f>IF(OR(F_Custom1_Q="(None)",F_Custom1_Q="",ISBLANK(F_Custom1_Q),F_Custom1_V="(All)",F_Custom1_V="",ISBLANK(F_Custom1_V)),1,IFERROR(IF(ISNUMBER(SEARCH("|"&amp;INDEX(INDIRECT(F_Custom1_resolved_column),629)&amp;"|",F_Custom1_wrapped)),1,0),0))</f>
        <v>1</v>
      </c>
      <c r="E630">
        <f>IF(OR(F_Custom2_Q="(None)",F_Custom2_Q="",ISBLANK(F_Custom2_Q),F_Custom2_V="(All)",F_Custom2_V="",ISBLANK(F_Custom2_V)),1,IFERROR(IF(ISNUMBER(SEARCH("|"&amp;INDEX(INDIRECT(F_Custom2_resolved_column),629)&amp;"|",F_Custom2_wrapped)),1,0),0))</f>
        <v>1</v>
      </c>
      <c r="F630">
        <f>D630*E630*1</f>
        <v>1</v>
      </c>
      <c r="G630">
        <f>1</f>
        <v>1</v>
      </c>
      <c r="H6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629)&amp;"|",All_Questions_Q_STREAM_F_wrapped)),1,0),0))*1</f>
        <v>1</v>
      </c>
    </row>
    <row r="631">
      <c r="A631" t="n">
        <v>630</v>
      </c>
      <c r="B631" t="inlineStr">
        <is>
          <t>B</t>
        </is>
      </c>
      <c r="C631">
        <f>1</f>
        <v>1</v>
      </c>
      <c r="D631">
        <f>IF(OR(F_Custom1_Q="(None)",F_Custom1_Q="",ISBLANK(F_Custom1_Q),F_Custom1_V="(All)",F_Custom1_V="",ISBLANK(F_Custom1_V)),1,IFERROR(IF(ISNUMBER(SEARCH("|"&amp;INDEX(INDIRECT(F_Custom1_resolved_column),630)&amp;"|",F_Custom1_wrapped)),1,0),0))</f>
        <v>1</v>
      </c>
      <c r="E631">
        <f>IF(OR(F_Custom2_Q="(None)",F_Custom2_Q="",ISBLANK(F_Custom2_Q),F_Custom2_V="(All)",F_Custom2_V="",ISBLANK(F_Custom2_V)),1,IFERROR(IF(ISNUMBER(SEARCH("|"&amp;INDEX(INDIRECT(F_Custom2_resolved_column),630)&amp;"|",F_Custom2_wrapped)),1,0),0))</f>
        <v>1</v>
      </c>
      <c r="F631">
        <f>D631*E631*1</f>
        <v>1</v>
      </c>
      <c r="G631">
        <f>1</f>
        <v>1</v>
      </c>
      <c r="H6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630)&amp;"|",All_Questions_Q_STREAM_F_wrapped)),1,0),0))*1</f>
        <v>1</v>
      </c>
    </row>
    <row r="632">
      <c r="A632" t="n">
        <v>631</v>
      </c>
      <c r="B632" t="inlineStr">
        <is>
          <t>A</t>
        </is>
      </c>
      <c r="C632">
        <f>1</f>
        <v>1</v>
      </c>
      <c r="D632">
        <f>IF(OR(F_Custom1_Q="(None)",F_Custom1_Q="",ISBLANK(F_Custom1_Q),F_Custom1_V="(All)",F_Custom1_V="",ISBLANK(F_Custom1_V)),1,IFERROR(IF(ISNUMBER(SEARCH("|"&amp;INDEX(INDIRECT(F_Custom1_resolved_column),631)&amp;"|",F_Custom1_wrapped)),1,0),0))</f>
        <v>1</v>
      </c>
      <c r="E632">
        <f>IF(OR(F_Custom2_Q="(None)",F_Custom2_Q="",ISBLANK(F_Custom2_Q),F_Custom2_V="(All)",F_Custom2_V="",ISBLANK(F_Custom2_V)),1,IFERROR(IF(ISNUMBER(SEARCH("|"&amp;INDEX(INDIRECT(F_Custom2_resolved_column),631)&amp;"|",F_Custom2_wrapped)),1,0),0))</f>
        <v>1</v>
      </c>
      <c r="F632">
        <f>D632*E632*1</f>
        <v>1</v>
      </c>
      <c r="G632">
        <f>1</f>
        <v>1</v>
      </c>
      <c r="H6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631)&amp;"|",All_Questions_Q_STREAM_F_wrapped)),1,0),0))*1</f>
        <v>1</v>
      </c>
    </row>
    <row r="633">
      <c r="A633" t="n">
        <v>632</v>
      </c>
      <c r="B633" t="inlineStr">
        <is>
          <t>B</t>
        </is>
      </c>
      <c r="C633">
        <f>1</f>
        <v>1</v>
      </c>
      <c r="D633">
        <f>IF(OR(F_Custom1_Q="(None)",F_Custom1_Q="",ISBLANK(F_Custom1_Q),F_Custom1_V="(All)",F_Custom1_V="",ISBLANK(F_Custom1_V)),1,IFERROR(IF(ISNUMBER(SEARCH("|"&amp;INDEX(INDIRECT(F_Custom1_resolved_column),632)&amp;"|",F_Custom1_wrapped)),1,0),0))</f>
        <v>1</v>
      </c>
      <c r="E633">
        <f>IF(OR(F_Custom2_Q="(None)",F_Custom2_Q="",ISBLANK(F_Custom2_Q),F_Custom2_V="(All)",F_Custom2_V="",ISBLANK(F_Custom2_V)),1,IFERROR(IF(ISNUMBER(SEARCH("|"&amp;INDEX(INDIRECT(F_Custom2_resolved_column),632)&amp;"|",F_Custom2_wrapped)),1,0),0))</f>
        <v>1</v>
      </c>
      <c r="F633">
        <f>D633*E633*1</f>
        <v>1</v>
      </c>
      <c r="G633">
        <f>1</f>
        <v>1</v>
      </c>
      <c r="H6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632)&amp;"|",All_Questions_Q_STREAM_F_wrapped)),1,0),0))*1</f>
        <v>1</v>
      </c>
    </row>
    <row r="634">
      <c r="A634" t="n">
        <v>633</v>
      </c>
      <c r="B634" t="inlineStr">
        <is>
          <t>A</t>
        </is>
      </c>
      <c r="C634">
        <f>1</f>
        <v>1</v>
      </c>
      <c r="D634">
        <f>IF(OR(F_Custom1_Q="(None)",F_Custom1_Q="",ISBLANK(F_Custom1_Q),F_Custom1_V="(All)",F_Custom1_V="",ISBLANK(F_Custom1_V)),1,IFERROR(IF(ISNUMBER(SEARCH("|"&amp;INDEX(INDIRECT(F_Custom1_resolved_column),633)&amp;"|",F_Custom1_wrapped)),1,0),0))</f>
        <v>1</v>
      </c>
      <c r="E634">
        <f>IF(OR(F_Custom2_Q="(None)",F_Custom2_Q="",ISBLANK(F_Custom2_Q),F_Custom2_V="(All)",F_Custom2_V="",ISBLANK(F_Custom2_V)),1,IFERROR(IF(ISNUMBER(SEARCH("|"&amp;INDEX(INDIRECT(F_Custom2_resolved_column),633)&amp;"|",F_Custom2_wrapped)),1,0),0))</f>
        <v>1</v>
      </c>
      <c r="F634">
        <f>D634*E634*1</f>
        <v>1</v>
      </c>
      <c r="G634">
        <f>1</f>
        <v>1</v>
      </c>
      <c r="H6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633)&amp;"|",All_Questions_Q_STREAM_F_wrapped)),1,0),0))*1</f>
        <v>1</v>
      </c>
    </row>
    <row r="635">
      <c r="A635" t="n">
        <v>634</v>
      </c>
      <c r="B635" t="inlineStr">
        <is>
          <t>B</t>
        </is>
      </c>
      <c r="C635">
        <f>1</f>
        <v>1</v>
      </c>
      <c r="D635">
        <f>IF(OR(F_Custom1_Q="(None)",F_Custom1_Q="",ISBLANK(F_Custom1_Q),F_Custom1_V="(All)",F_Custom1_V="",ISBLANK(F_Custom1_V)),1,IFERROR(IF(ISNUMBER(SEARCH("|"&amp;INDEX(INDIRECT(F_Custom1_resolved_column),634)&amp;"|",F_Custom1_wrapped)),1,0),0))</f>
        <v>1</v>
      </c>
      <c r="E635">
        <f>IF(OR(F_Custom2_Q="(None)",F_Custom2_Q="",ISBLANK(F_Custom2_Q),F_Custom2_V="(All)",F_Custom2_V="",ISBLANK(F_Custom2_V)),1,IFERROR(IF(ISNUMBER(SEARCH("|"&amp;INDEX(INDIRECT(F_Custom2_resolved_column),634)&amp;"|",F_Custom2_wrapped)),1,0),0))</f>
        <v>1</v>
      </c>
      <c r="F635">
        <f>D635*E635*1</f>
        <v>1</v>
      </c>
      <c r="G635">
        <f>1</f>
        <v>1</v>
      </c>
      <c r="H6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634)&amp;"|",All_Questions_Q_STREAM_F_wrapped)),1,0),0))*1</f>
        <v>1</v>
      </c>
    </row>
    <row r="636">
      <c r="A636" t="n">
        <v>635</v>
      </c>
      <c r="B636" t="inlineStr">
        <is>
          <t>A</t>
        </is>
      </c>
      <c r="C636">
        <f>1</f>
        <v>1</v>
      </c>
      <c r="D636">
        <f>IF(OR(F_Custom1_Q="(None)",F_Custom1_Q="",ISBLANK(F_Custom1_Q),F_Custom1_V="(All)",F_Custom1_V="",ISBLANK(F_Custom1_V)),1,IFERROR(IF(ISNUMBER(SEARCH("|"&amp;INDEX(INDIRECT(F_Custom1_resolved_column),635)&amp;"|",F_Custom1_wrapped)),1,0),0))</f>
        <v>1</v>
      </c>
      <c r="E636">
        <f>IF(OR(F_Custom2_Q="(None)",F_Custom2_Q="",ISBLANK(F_Custom2_Q),F_Custom2_V="(All)",F_Custom2_V="",ISBLANK(F_Custom2_V)),1,IFERROR(IF(ISNUMBER(SEARCH("|"&amp;INDEX(INDIRECT(F_Custom2_resolved_column),635)&amp;"|",F_Custom2_wrapped)),1,0),0))</f>
        <v>1</v>
      </c>
      <c r="F636">
        <f>D636*E636*1</f>
        <v>1</v>
      </c>
      <c r="G636">
        <f>1</f>
        <v>1</v>
      </c>
      <c r="H6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635)&amp;"|",All_Questions_Q_STREAM_F_wrapped)),1,0),0))*1</f>
        <v>1</v>
      </c>
    </row>
    <row r="637">
      <c r="A637" t="n">
        <v>636</v>
      </c>
      <c r="B637" t="inlineStr">
        <is>
          <t>B</t>
        </is>
      </c>
      <c r="C637">
        <f>1</f>
        <v>1</v>
      </c>
      <c r="D637">
        <f>IF(OR(F_Custom1_Q="(None)",F_Custom1_Q="",ISBLANK(F_Custom1_Q),F_Custom1_V="(All)",F_Custom1_V="",ISBLANK(F_Custom1_V)),1,IFERROR(IF(ISNUMBER(SEARCH("|"&amp;INDEX(INDIRECT(F_Custom1_resolved_column),636)&amp;"|",F_Custom1_wrapped)),1,0),0))</f>
        <v>1</v>
      </c>
      <c r="E637">
        <f>IF(OR(F_Custom2_Q="(None)",F_Custom2_Q="",ISBLANK(F_Custom2_Q),F_Custom2_V="(All)",F_Custom2_V="",ISBLANK(F_Custom2_V)),1,IFERROR(IF(ISNUMBER(SEARCH("|"&amp;INDEX(INDIRECT(F_Custom2_resolved_column),636)&amp;"|",F_Custom2_wrapped)),1,0),0))</f>
        <v>1</v>
      </c>
      <c r="F637">
        <f>D637*E637*1</f>
        <v>1</v>
      </c>
      <c r="G637">
        <f>1</f>
        <v>1</v>
      </c>
      <c r="H6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636)&amp;"|",All_Questions_Q_STREAM_F_wrapped)),1,0),0))*1</f>
        <v>1</v>
      </c>
    </row>
    <row r="638">
      <c r="A638" t="n">
        <v>637</v>
      </c>
      <c r="B638" t="inlineStr">
        <is>
          <t>A</t>
        </is>
      </c>
      <c r="C638">
        <f>1</f>
        <v>1</v>
      </c>
      <c r="D638">
        <f>IF(OR(F_Custom1_Q="(None)",F_Custom1_Q="",ISBLANK(F_Custom1_Q),F_Custom1_V="(All)",F_Custom1_V="",ISBLANK(F_Custom1_V)),1,IFERROR(IF(ISNUMBER(SEARCH("|"&amp;INDEX(INDIRECT(F_Custom1_resolved_column),637)&amp;"|",F_Custom1_wrapped)),1,0),0))</f>
        <v>1</v>
      </c>
      <c r="E638">
        <f>IF(OR(F_Custom2_Q="(None)",F_Custom2_Q="",ISBLANK(F_Custom2_Q),F_Custom2_V="(All)",F_Custom2_V="",ISBLANK(F_Custom2_V)),1,IFERROR(IF(ISNUMBER(SEARCH("|"&amp;INDEX(INDIRECT(F_Custom2_resolved_column),637)&amp;"|",F_Custom2_wrapped)),1,0),0))</f>
        <v>1</v>
      </c>
      <c r="F638">
        <f>D638*E638*1</f>
        <v>1</v>
      </c>
      <c r="G638">
        <f>1</f>
        <v>1</v>
      </c>
      <c r="H6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637)&amp;"|",All_Questions_Q_STREAM_F_wrapped)),1,0),0))*1</f>
        <v>1</v>
      </c>
    </row>
    <row r="639">
      <c r="A639" t="n">
        <v>638</v>
      </c>
      <c r="B639" t="inlineStr">
        <is>
          <t>B</t>
        </is>
      </c>
      <c r="C639">
        <f>1</f>
        <v>1</v>
      </c>
      <c r="D639">
        <f>IF(OR(F_Custom1_Q="(None)",F_Custom1_Q="",ISBLANK(F_Custom1_Q),F_Custom1_V="(All)",F_Custom1_V="",ISBLANK(F_Custom1_V)),1,IFERROR(IF(ISNUMBER(SEARCH("|"&amp;INDEX(INDIRECT(F_Custom1_resolved_column),638)&amp;"|",F_Custom1_wrapped)),1,0),0))</f>
        <v>1</v>
      </c>
      <c r="E639">
        <f>IF(OR(F_Custom2_Q="(None)",F_Custom2_Q="",ISBLANK(F_Custom2_Q),F_Custom2_V="(All)",F_Custom2_V="",ISBLANK(F_Custom2_V)),1,IFERROR(IF(ISNUMBER(SEARCH("|"&amp;INDEX(INDIRECT(F_Custom2_resolved_column),638)&amp;"|",F_Custom2_wrapped)),1,0),0))</f>
        <v>1</v>
      </c>
      <c r="F639">
        <f>D639*E639*1</f>
        <v>1</v>
      </c>
      <c r="G639">
        <f>1</f>
        <v>1</v>
      </c>
      <c r="H6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638)&amp;"|",All_Questions_Q_STREAM_F_wrapped)),1,0),0))*1</f>
        <v>1</v>
      </c>
    </row>
    <row r="640">
      <c r="A640" t="n">
        <v>639</v>
      </c>
      <c r="B640" t="inlineStr">
        <is>
          <t>A</t>
        </is>
      </c>
      <c r="C640">
        <f>1</f>
        <v>1</v>
      </c>
      <c r="D640">
        <f>IF(OR(F_Custom1_Q="(None)",F_Custom1_Q="",ISBLANK(F_Custom1_Q),F_Custom1_V="(All)",F_Custom1_V="",ISBLANK(F_Custom1_V)),1,IFERROR(IF(ISNUMBER(SEARCH("|"&amp;INDEX(INDIRECT(F_Custom1_resolved_column),639)&amp;"|",F_Custom1_wrapped)),1,0),0))</f>
        <v>1</v>
      </c>
      <c r="E640">
        <f>IF(OR(F_Custom2_Q="(None)",F_Custom2_Q="",ISBLANK(F_Custom2_Q),F_Custom2_V="(All)",F_Custom2_V="",ISBLANK(F_Custom2_V)),1,IFERROR(IF(ISNUMBER(SEARCH("|"&amp;INDEX(INDIRECT(F_Custom2_resolved_column),639)&amp;"|",F_Custom2_wrapped)),1,0),0))</f>
        <v>1</v>
      </c>
      <c r="F640">
        <f>D640*E640*1</f>
        <v>1</v>
      </c>
      <c r="G640">
        <f>1</f>
        <v>1</v>
      </c>
      <c r="H6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639)&amp;"|",All_Questions_Q_STREAM_F_wrapped)),1,0),0))*1</f>
        <v>1</v>
      </c>
    </row>
    <row r="641">
      <c r="A641" t="n">
        <v>640</v>
      </c>
      <c r="B641" t="inlineStr">
        <is>
          <t>B</t>
        </is>
      </c>
      <c r="C641">
        <f>1</f>
        <v>1</v>
      </c>
      <c r="D641">
        <f>IF(OR(F_Custom1_Q="(None)",F_Custom1_Q="",ISBLANK(F_Custom1_Q),F_Custom1_V="(All)",F_Custom1_V="",ISBLANK(F_Custom1_V)),1,IFERROR(IF(ISNUMBER(SEARCH("|"&amp;INDEX(INDIRECT(F_Custom1_resolved_column),640)&amp;"|",F_Custom1_wrapped)),1,0),0))</f>
        <v>1</v>
      </c>
      <c r="E641">
        <f>IF(OR(F_Custom2_Q="(None)",F_Custom2_Q="",ISBLANK(F_Custom2_Q),F_Custom2_V="(All)",F_Custom2_V="",ISBLANK(F_Custom2_V)),1,IFERROR(IF(ISNUMBER(SEARCH("|"&amp;INDEX(INDIRECT(F_Custom2_resolved_column),640)&amp;"|",F_Custom2_wrapped)),1,0),0))</f>
        <v>1</v>
      </c>
      <c r="F641">
        <f>D641*E641*1</f>
        <v>1</v>
      </c>
      <c r="G641">
        <f>1</f>
        <v>1</v>
      </c>
      <c r="H6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640)&amp;"|",All_Questions_Q_STREAM_F_wrapped)),1,0),0))*1</f>
        <v>1</v>
      </c>
    </row>
    <row r="642">
      <c r="A642" t="n">
        <v>641</v>
      </c>
      <c r="B642" t="inlineStr">
        <is>
          <t>A</t>
        </is>
      </c>
      <c r="C642">
        <f>1</f>
        <v>1</v>
      </c>
      <c r="D642">
        <f>IF(OR(F_Custom1_Q="(None)",F_Custom1_Q="",ISBLANK(F_Custom1_Q),F_Custom1_V="(All)",F_Custom1_V="",ISBLANK(F_Custom1_V)),1,IFERROR(IF(ISNUMBER(SEARCH("|"&amp;INDEX(INDIRECT(F_Custom1_resolved_column),641)&amp;"|",F_Custom1_wrapped)),1,0),0))</f>
        <v>1</v>
      </c>
      <c r="E642">
        <f>IF(OR(F_Custom2_Q="(None)",F_Custom2_Q="",ISBLANK(F_Custom2_Q),F_Custom2_V="(All)",F_Custom2_V="",ISBLANK(F_Custom2_V)),1,IFERROR(IF(ISNUMBER(SEARCH("|"&amp;INDEX(INDIRECT(F_Custom2_resolved_column),641)&amp;"|",F_Custom2_wrapped)),1,0),0))</f>
        <v>1</v>
      </c>
      <c r="F642">
        <f>D642*E642*1</f>
        <v>1</v>
      </c>
      <c r="G642">
        <f>1</f>
        <v>1</v>
      </c>
      <c r="H6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641)&amp;"|",All_Questions_Q_STREAM_F_wrapped)),1,0),0))*1</f>
        <v>1</v>
      </c>
    </row>
    <row r="643">
      <c r="A643" t="n">
        <v>642</v>
      </c>
      <c r="B643" t="inlineStr">
        <is>
          <t>B</t>
        </is>
      </c>
      <c r="C643">
        <f>1</f>
        <v>1</v>
      </c>
      <c r="D643">
        <f>IF(OR(F_Custom1_Q="(None)",F_Custom1_Q="",ISBLANK(F_Custom1_Q),F_Custom1_V="(All)",F_Custom1_V="",ISBLANK(F_Custom1_V)),1,IFERROR(IF(ISNUMBER(SEARCH("|"&amp;INDEX(INDIRECT(F_Custom1_resolved_column),642)&amp;"|",F_Custom1_wrapped)),1,0),0))</f>
        <v>1</v>
      </c>
      <c r="E643">
        <f>IF(OR(F_Custom2_Q="(None)",F_Custom2_Q="",ISBLANK(F_Custom2_Q),F_Custom2_V="(All)",F_Custom2_V="",ISBLANK(F_Custom2_V)),1,IFERROR(IF(ISNUMBER(SEARCH("|"&amp;INDEX(INDIRECT(F_Custom2_resolved_column),642)&amp;"|",F_Custom2_wrapped)),1,0),0))</f>
        <v>1</v>
      </c>
      <c r="F643">
        <f>D643*E643*1</f>
        <v>1</v>
      </c>
      <c r="G643">
        <f>1</f>
        <v>1</v>
      </c>
      <c r="H6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642)&amp;"|",All_Questions_Q_STREAM_F_wrapped)),1,0),0))*1</f>
        <v>1</v>
      </c>
    </row>
    <row r="644">
      <c r="A644" t="n">
        <v>643</v>
      </c>
      <c r="B644" t="inlineStr">
        <is>
          <t>A</t>
        </is>
      </c>
      <c r="C644">
        <f>1</f>
        <v>1</v>
      </c>
      <c r="D644">
        <f>IF(OR(F_Custom1_Q="(None)",F_Custom1_Q="",ISBLANK(F_Custom1_Q),F_Custom1_V="(All)",F_Custom1_V="",ISBLANK(F_Custom1_V)),1,IFERROR(IF(ISNUMBER(SEARCH("|"&amp;INDEX(INDIRECT(F_Custom1_resolved_column),643)&amp;"|",F_Custom1_wrapped)),1,0),0))</f>
        <v>1</v>
      </c>
      <c r="E644">
        <f>IF(OR(F_Custom2_Q="(None)",F_Custom2_Q="",ISBLANK(F_Custom2_Q),F_Custom2_V="(All)",F_Custom2_V="",ISBLANK(F_Custom2_V)),1,IFERROR(IF(ISNUMBER(SEARCH("|"&amp;INDEX(INDIRECT(F_Custom2_resolved_column),643)&amp;"|",F_Custom2_wrapped)),1,0),0))</f>
        <v>1</v>
      </c>
      <c r="F644">
        <f>D644*E644*1</f>
        <v>1</v>
      </c>
      <c r="G644">
        <f>1</f>
        <v>1</v>
      </c>
      <c r="H6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643)&amp;"|",All_Questions_Q_STREAM_F_wrapped)),1,0),0))*1</f>
        <v>1</v>
      </c>
    </row>
    <row r="645">
      <c r="A645" t="n">
        <v>644</v>
      </c>
      <c r="B645" t="inlineStr">
        <is>
          <t>B</t>
        </is>
      </c>
      <c r="C645">
        <f>1</f>
        <v>1</v>
      </c>
      <c r="D645">
        <f>IF(OR(F_Custom1_Q="(None)",F_Custom1_Q="",ISBLANK(F_Custom1_Q),F_Custom1_V="(All)",F_Custom1_V="",ISBLANK(F_Custom1_V)),1,IFERROR(IF(ISNUMBER(SEARCH("|"&amp;INDEX(INDIRECT(F_Custom1_resolved_column),644)&amp;"|",F_Custom1_wrapped)),1,0),0))</f>
        <v>1</v>
      </c>
      <c r="E645">
        <f>IF(OR(F_Custom2_Q="(None)",F_Custom2_Q="",ISBLANK(F_Custom2_Q),F_Custom2_V="(All)",F_Custom2_V="",ISBLANK(F_Custom2_V)),1,IFERROR(IF(ISNUMBER(SEARCH("|"&amp;INDEX(INDIRECT(F_Custom2_resolved_column),644)&amp;"|",F_Custom2_wrapped)),1,0),0))</f>
        <v>1</v>
      </c>
      <c r="F645">
        <f>D645*E645*1</f>
        <v>1</v>
      </c>
      <c r="G645">
        <f>1</f>
        <v>1</v>
      </c>
      <c r="H6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644)&amp;"|",All_Questions_Q_STREAM_F_wrapped)),1,0),0))*1</f>
        <v>1</v>
      </c>
    </row>
    <row r="646">
      <c r="A646" t="n">
        <v>645</v>
      </c>
      <c r="B646" t="inlineStr">
        <is>
          <t>A</t>
        </is>
      </c>
      <c r="C646">
        <f>1</f>
        <v>1</v>
      </c>
      <c r="D646">
        <f>IF(OR(F_Custom1_Q="(None)",F_Custom1_Q="",ISBLANK(F_Custom1_Q),F_Custom1_V="(All)",F_Custom1_V="",ISBLANK(F_Custom1_V)),1,IFERROR(IF(ISNUMBER(SEARCH("|"&amp;INDEX(INDIRECT(F_Custom1_resolved_column),645)&amp;"|",F_Custom1_wrapped)),1,0),0))</f>
        <v>1</v>
      </c>
      <c r="E646">
        <f>IF(OR(F_Custom2_Q="(None)",F_Custom2_Q="",ISBLANK(F_Custom2_Q),F_Custom2_V="(All)",F_Custom2_V="",ISBLANK(F_Custom2_V)),1,IFERROR(IF(ISNUMBER(SEARCH("|"&amp;INDEX(INDIRECT(F_Custom2_resolved_column),645)&amp;"|",F_Custom2_wrapped)),1,0),0))</f>
        <v>1</v>
      </c>
      <c r="F646">
        <f>D646*E646*1</f>
        <v>1</v>
      </c>
      <c r="G646">
        <f>1</f>
        <v>1</v>
      </c>
      <c r="H6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645)&amp;"|",All_Questions_Q_STREAM_F_wrapped)),1,0),0))*1</f>
        <v>1</v>
      </c>
    </row>
    <row r="647">
      <c r="A647" t="n">
        <v>646</v>
      </c>
      <c r="B647" t="inlineStr">
        <is>
          <t>B</t>
        </is>
      </c>
      <c r="C647">
        <f>1</f>
        <v>1</v>
      </c>
      <c r="D647">
        <f>IF(OR(F_Custom1_Q="(None)",F_Custom1_Q="",ISBLANK(F_Custom1_Q),F_Custom1_V="(All)",F_Custom1_V="",ISBLANK(F_Custom1_V)),1,IFERROR(IF(ISNUMBER(SEARCH("|"&amp;INDEX(INDIRECT(F_Custom1_resolved_column),646)&amp;"|",F_Custom1_wrapped)),1,0),0))</f>
        <v>1</v>
      </c>
      <c r="E647">
        <f>IF(OR(F_Custom2_Q="(None)",F_Custom2_Q="",ISBLANK(F_Custom2_Q),F_Custom2_V="(All)",F_Custom2_V="",ISBLANK(F_Custom2_V)),1,IFERROR(IF(ISNUMBER(SEARCH("|"&amp;INDEX(INDIRECT(F_Custom2_resolved_column),646)&amp;"|",F_Custom2_wrapped)),1,0),0))</f>
        <v>1</v>
      </c>
      <c r="F647">
        <f>D647*E647*1</f>
        <v>1</v>
      </c>
      <c r="G647">
        <f>1</f>
        <v>1</v>
      </c>
      <c r="H6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646)&amp;"|",All_Questions_Q_STREAM_F_wrapped)),1,0),0))*1</f>
        <v>1</v>
      </c>
    </row>
    <row r="648">
      <c r="A648" t="n">
        <v>647</v>
      </c>
      <c r="B648" t="inlineStr">
        <is>
          <t>A</t>
        </is>
      </c>
      <c r="C648">
        <f>1</f>
        <v>1</v>
      </c>
      <c r="D648">
        <f>IF(OR(F_Custom1_Q="(None)",F_Custom1_Q="",ISBLANK(F_Custom1_Q),F_Custom1_V="(All)",F_Custom1_V="",ISBLANK(F_Custom1_V)),1,IFERROR(IF(ISNUMBER(SEARCH("|"&amp;INDEX(INDIRECT(F_Custom1_resolved_column),647)&amp;"|",F_Custom1_wrapped)),1,0),0))</f>
        <v>1</v>
      </c>
      <c r="E648">
        <f>IF(OR(F_Custom2_Q="(None)",F_Custom2_Q="",ISBLANK(F_Custom2_Q),F_Custom2_V="(All)",F_Custom2_V="",ISBLANK(F_Custom2_V)),1,IFERROR(IF(ISNUMBER(SEARCH("|"&amp;INDEX(INDIRECT(F_Custom2_resolved_column),647)&amp;"|",F_Custom2_wrapped)),1,0),0))</f>
        <v>1</v>
      </c>
      <c r="F648">
        <f>D648*E648*1</f>
        <v>1</v>
      </c>
      <c r="G648">
        <f>1</f>
        <v>1</v>
      </c>
      <c r="H6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647)&amp;"|",All_Questions_Q_STREAM_F_wrapped)),1,0),0))*1</f>
        <v>1</v>
      </c>
    </row>
    <row r="649">
      <c r="A649" t="n">
        <v>648</v>
      </c>
      <c r="B649" t="inlineStr">
        <is>
          <t>B</t>
        </is>
      </c>
      <c r="C649">
        <f>1</f>
        <v>1</v>
      </c>
      <c r="D649">
        <f>IF(OR(F_Custom1_Q="(None)",F_Custom1_Q="",ISBLANK(F_Custom1_Q),F_Custom1_V="(All)",F_Custom1_V="",ISBLANK(F_Custom1_V)),1,IFERROR(IF(ISNUMBER(SEARCH("|"&amp;INDEX(INDIRECT(F_Custom1_resolved_column),648)&amp;"|",F_Custom1_wrapped)),1,0),0))</f>
        <v>1</v>
      </c>
      <c r="E649">
        <f>IF(OR(F_Custom2_Q="(None)",F_Custom2_Q="",ISBLANK(F_Custom2_Q),F_Custom2_V="(All)",F_Custom2_V="",ISBLANK(F_Custom2_V)),1,IFERROR(IF(ISNUMBER(SEARCH("|"&amp;INDEX(INDIRECT(F_Custom2_resolved_column),648)&amp;"|",F_Custom2_wrapped)),1,0),0))</f>
        <v>1</v>
      </c>
      <c r="F649">
        <f>D649*E649*1</f>
        <v>1</v>
      </c>
      <c r="G649">
        <f>1</f>
        <v>1</v>
      </c>
      <c r="H6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648)&amp;"|",All_Questions_Q_STREAM_F_wrapped)),1,0),0))*1</f>
        <v>1</v>
      </c>
    </row>
    <row r="650">
      <c r="A650" t="n">
        <v>649</v>
      </c>
      <c r="B650" t="inlineStr">
        <is>
          <t>A</t>
        </is>
      </c>
      <c r="C650">
        <f>1</f>
        <v>1</v>
      </c>
      <c r="D650">
        <f>IF(OR(F_Custom1_Q="(None)",F_Custom1_Q="",ISBLANK(F_Custom1_Q),F_Custom1_V="(All)",F_Custom1_V="",ISBLANK(F_Custom1_V)),1,IFERROR(IF(ISNUMBER(SEARCH("|"&amp;INDEX(INDIRECT(F_Custom1_resolved_column),649)&amp;"|",F_Custom1_wrapped)),1,0),0))</f>
        <v>1</v>
      </c>
      <c r="E650">
        <f>IF(OR(F_Custom2_Q="(None)",F_Custom2_Q="",ISBLANK(F_Custom2_Q),F_Custom2_V="(All)",F_Custom2_V="",ISBLANK(F_Custom2_V)),1,IFERROR(IF(ISNUMBER(SEARCH("|"&amp;INDEX(INDIRECT(F_Custom2_resolved_column),649)&amp;"|",F_Custom2_wrapped)),1,0),0))</f>
        <v>1</v>
      </c>
      <c r="F650">
        <f>D650*E650*1</f>
        <v>1</v>
      </c>
      <c r="G650">
        <f>1</f>
        <v>1</v>
      </c>
      <c r="H6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649)&amp;"|",All_Questions_Q_STREAM_F_wrapped)),1,0),0))*1</f>
        <v>1</v>
      </c>
    </row>
    <row r="651">
      <c r="A651" t="n">
        <v>650</v>
      </c>
      <c r="B651" t="inlineStr">
        <is>
          <t>B</t>
        </is>
      </c>
      <c r="C651">
        <f>1</f>
        <v>1</v>
      </c>
      <c r="D651">
        <f>IF(OR(F_Custom1_Q="(None)",F_Custom1_Q="",ISBLANK(F_Custom1_Q),F_Custom1_V="(All)",F_Custom1_V="",ISBLANK(F_Custom1_V)),1,IFERROR(IF(ISNUMBER(SEARCH("|"&amp;INDEX(INDIRECT(F_Custom1_resolved_column),650)&amp;"|",F_Custom1_wrapped)),1,0),0))</f>
        <v>1</v>
      </c>
      <c r="E651">
        <f>IF(OR(F_Custom2_Q="(None)",F_Custom2_Q="",ISBLANK(F_Custom2_Q),F_Custom2_V="(All)",F_Custom2_V="",ISBLANK(F_Custom2_V)),1,IFERROR(IF(ISNUMBER(SEARCH("|"&amp;INDEX(INDIRECT(F_Custom2_resolved_column),650)&amp;"|",F_Custom2_wrapped)),1,0),0))</f>
        <v>1</v>
      </c>
      <c r="F651">
        <f>D651*E651*1</f>
        <v>1</v>
      </c>
      <c r="G651">
        <f>1</f>
        <v>1</v>
      </c>
      <c r="H6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650)&amp;"|",All_Questions_Q_STREAM_F_wrapped)),1,0),0))*1</f>
        <v>1</v>
      </c>
    </row>
    <row r="652">
      <c r="A652" t="n">
        <v>651</v>
      </c>
      <c r="B652" t="inlineStr">
        <is>
          <t>A</t>
        </is>
      </c>
      <c r="C652">
        <f>1</f>
        <v>1</v>
      </c>
      <c r="D652">
        <f>IF(OR(F_Custom1_Q="(None)",F_Custom1_Q="",ISBLANK(F_Custom1_Q),F_Custom1_V="(All)",F_Custom1_V="",ISBLANK(F_Custom1_V)),1,IFERROR(IF(ISNUMBER(SEARCH("|"&amp;INDEX(INDIRECT(F_Custom1_resolved_column),651)&amp;"|",F_Custom1_wrapped)),1,0),0))</f>
        <v>1</v>
      </c>
      <c r="E652">
        <f>IF(OR(F_Custom2_Q="(None)",F_Custom2_Q="",ISBLANK(F_Custom2_Q),F_Custom2_V="(All)",F_Custom2_V="",ISBLANK(F_Custom2_V)),1,IFERROR(IF(ISNUMBER(SEARCH("|"&amp;INDEX(INDIRECT(F_Custom2_resolved_column),651)&amp;"|",F_Custom2_wrapped)),1,0),0))</f>
        <v>1</v>
      </c>
      <c r="F652">
        <f>D652*E652*1</f>
        <v>1</v>
      </c>
      <c r="G652">
        <f>1</f>
        <v>1</v>
      </c>
      <c r="H6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651)&amp;"|",All_Questions_Q_STREAM_F_wrapped)),1,0),0))*1</f>
        <v>1</v>
      </c>
    </row>
    <row r="653">
      <c r="A653" t="n">
        <v>652</v>
      </c>
      <c r="B653" t="inlineStr">
        <is>
          <t>B</t>
        </is>
      </c>
      <c r="C653">
        <f>1</f>
        <v>1</v>
      </c>
      <c r="D653">
        <f>IF(OR(F_Custom1_Q="(None)",F_Custom1_Q="",ISBLANK(F_Custom1_Q),F_Custom1_V="(All)",F_Custom1_V="",ISBLANK(F_Custom1_V)),1,IFERROR(IF(ISNUMBER(SEARCH("|"&amp;INDEX(INDIRECT(F_Custom1_resolved_column),652)&amp;"|",F_Custom1_wrapped)),1,0),0))</f>
        <v>1</v>
      </c>
      <c r="E653">
        <f>IF(OR(F_Custom2_Q="(None)",F_Custom2_Q="",ISBLANK(F_Custom2_Q),F_Custom2_V="(All)",F_Custom2_V="",ISBLANK(F_Custom2_V)),1,IFERROR(IF(ISNUMBER(SEARCH("|"&amp;INDEX(INDIRECT(F_Custom2_resolved_column),652)&amp;"|",F_Custom2_wrapped)),1,0),0))</f>
        <v>1</v>
      </c>
      <c r="F653">
        <f>D653*E653*1</f>
        <v>1</v>
      </c>
      <c r="G653">
        <f>1</f>
        <v>1</v>
      </c>
      <c r="H6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652)&amp;"|",All_Questions_Q_STREAM_F_wrapped)),1,0),0))*1</f>
        <v>1</v>
      </c>
    </row>
    <row r="654">
      <c r="A654" t="n">
        <v>653</v>
      </c>
      <c r="B654" t="inlineStr">
        <is>
          <t>A</t>
        </is>
      </c>
      <c r="C654">
        <f>1</f>
        <v>1</v>
      </c>
      <c r="D654">
        <f>IF(OR(F_Custom1_Q="(None)",F_Custom1_Q="",ISBLANK(F_Custom1_Q),F_Custom1_V="(All)",F_Custom1_V="",ISBLANK(F_Custom1_V)),1,IFERROR(IF(ISNUMBER(SEARCH("|"&amp;INDEX(INDIRECT(F_Custom1_resolved_column),653)&amp;"|",F_Custom1_wrapped)),1,0),0))</f>
        <v>1</v>
      </c>
      <c r="E654">
        <f>IF(OR(F_Custom2_Q="(None)",F_Custom2_Q="",ISBLANK(F_Custom2_Q),F_Custom2_V="(All)",F_Custom2_V="",ISBLANK(F_Custom2_V)),1,IFERROR(IF(ISNUMBER(SEARCH("|"&amp;INDEX(INDIRECT(F_Custom2_resolved_column),653)&amp;"|",F_Custom2_wrapped)),1,0),0))</f>
        <v>1</v>
      </c>
      <c r="F654">
        <f>D654*E654*1</f>
        <v>1</v>
      </c>
      <c r="G654">
        <f>1</f>
        <v>1</v>
      </c>
      <c r="H6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653)&amp;"|",All_Questions_Q_STREAM_F_wrapped)),1,0),0))*1</f>
        <v>1</v>
      </c>
    </row>
    <row r="655">
      <c r="A655" t="n">
        <v>654</v>
      </c>
      <c r="B655" t="inlineStr">
        <is>
          <t>B</t>
        </is>
      </c>
      <c r="C655">
        <f>1</f>
        <v>1</v>
      </c>
      <c r="D655">
        <f>IF(OR(F_Custom1_Q="(None)",F_Custom1_Q="",ISBLANK(F_Custom1_Q),F_Custom1_V="(All)",F_Custom1_V="",ISBLANK(F_Custom1_V)),1,IFERROR(IF(ISNUMBER(SEARCH("|"&amp;INDEX(INDIRECT(F_Custom1_resolved_column),654)&amp;"|",F_Custom1_wrapped)),1,0),0))</f>
        <v>1</v>
      </c>
      <c r="E655">
        <f>IF(OR(F_Custom2_Q="(None)",F_Custom2_Q="",ISBLANK(F_Custom2_Q),F_Custom2_V="(All)",F_Custom2_V="",ISBLANK(F_Custom2_V)),1,IFERROR(IF(ISNUMBER(SEARCH("|"&amp;INDEX(INDIRECT(F_Custom2_resolved_column),654)&amp;"|",F_Custom2_wrapped)),1,0),0))</f>
        <v>1</v>
      </c>
      <c r="F655">
        <f>D655*E655*1</f>
        <v>1</v>
      </c>
      <c r="G655">
        <f>1</f>
        <v>1</v>
      </c>
      <c r="H6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654)&amp;"|",All_Questions_Q_STREAM_F_wrapped)),1,0),0))*1</f>
        <v>1</v>
      </c>
    </row>
    <row r="656">
      <c r="A656" t="n">
        <v>655</v>
      </c>
      <c r="B656" t="inlineStr">
        <is>
          <t>A</t>
        </is>
      </c>
      <c r="C656">
        <f>1</f>
        <v>1</v>
      </c>
      <c r="D656">
        <f>IF(OR(F_Custom1_Q="(None)",F_Custom1_Q="",ISBLANK(F_Custom1_Q),F_Custom1_V="(All)",F_Custom1_V="",ISBLANK(F_Custom1_V)),1,IFERROR(IF(ISNUMBER(SEARCH("|"&amp;INDEX(INDIRECT(F_Custom1_resolved_column),655)&amp;"|",F_Custom1_wrapped)),1,0),0))</f>
        <v>1</v>
      </c>
      <c r="E656">
        <f>IF(OR(F_Custom2_Q="(None)",F_Custom2_Q="",ISBLANK(F_Custom2_Q),F_Custom2_V="(All)",F_Custom2_V="",ISBLANK(F_Custom2_V)),1,IFERROR(IF(ISNUMBER(SEARCH("|"&amp;INDEX(INDIRECT(F_Custom2_resolved_column),655)&amp;"|",F_Custom2_wrapped)),1,0),0))</f>
        <v>1</v>
      </c>
      <c r="F656">
        <f>D656*E656*1</f>
        <v>1</v>
      </c>
      <c r="G656">
        <f>1</f>
        <v>1</v>
      </c>
      <c r="H6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655)&amp;"|",All_Questions_Q_STREAM_F_wrapped)),1,0),0))*1</f>
        <v>1</v>
      </c>
    </row>
    <row r="657">
      <c r="A657" t="n">
        <v>656</v>
      </c>
      <c r="B657" t="inlineStr">
        <is>
          <t>B</t>
        </is>
      </c>
      <c r="C657">
        <f>1</f>
        <v>1</v>
      </c>
      <c r="D657">
        <f>IF(OR(F_Custom1_Q="(None)",F_Custom1_Q="",ISBLANK(F_Custom1_Q),F_Custom1_V="(All)",F_Custom1_V="",ISBLANK(F_Custom1_V)),1,IFERROR(IF(ISNUMBER(SEARCH("|"&amp;INDEX(INDIRECT(F_Custom1_resolved_column),656)&amp;"|",F_Custom1_wrapped)),1,0),0))</f>
        <v>1</v>
      </c>
      <c r="E657">
        <f>IF(OR(F_Custom2_Q="(None)",F_Custom2_Q="",ISBLANK(F_Custom2_Q),F_Custom2_V="(All)",F_Custom2_V="",ISBLANK(F_Custom2_V)),1,IFERROR(IF(ISNUMBER(SEARCH("|"&amp;INDEX(INDIRECT(F_Custom2_resolved_column),656)&amp;"|",F_Custom2_wrapped)),1,0),0))</f>
        <v>1</v>
      </c>
      <c r="F657">
        <f>D657*E657*1</f>
        <v>1</v>
      </c>
      <c r="G657">
        <f>1</f>
        <v>1</v>
      </c>
      <c r="H6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656)&amp;"|",All_Questions_Q_STREAM_F_wrapped)),1,0),0))*1</f>
        <v>1</v>
      </c>
    </row>
    <row r="658">
      <c r="A658" t="n">
        <v>657</v>
      </c>
      <c r="B658" t="inlineStr">
        <is>
          <t>A</t>
        </is>
      </c>
      <c r="C658">
        <f>1</f>
        <v>1</v>
      </c>
      <c r="D658">
        <f>IF(OR(F_Custom1_Q="(None)",F_Custom1_Q="",ISBLANK(F_Custom1_Q),F_Custom1_V="(All)",F_Custom1_V="",ISBLANK(F_Custom1_V)),1,IFERROR(IF(ISNUMBER(SEARCH("|"&amp;INDEX(INDIRECT(F_Custom1_resolved_column),657)&amp;"|",F_Custom1_wrapped)),1,0),0))</f>
        <v>1</v>
      </c>
      <c r="E658">
        <f>IF(OR(F_Custom2_Q="(None)",F_Custom2_Q="",ISBLANK(F_Custom2_Q),F_Custom2_V="(All)",F_Custom2_V="",ISBLANK(F_Custom2_V)),1,IFERROR(IF(ISNUMBER(SEARCH("|"&amp;INDEX(INDIRECT(F_Custom2_resolved_column),657)&amp;"|",F_Custom2_wrapped)),1,0),0))</f>
        <v>1</v>
      </c>
      <c r="F658">
        <f>D658*E658*1</f>
        <v>1</v>
      </c>
      <c r="G658">
        <f>1</f>
        <v>1</v>
      </c>
      <c r="H6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657)&amp;"|",All_Questions_Q_STREAM_F_wrapped)),1,0),0))*1</f>
        <v>1</v>
      </c>
    </row>
    <row r="659">
      <c r="A659" t="n">
        <v>658</v>
      </c>
      <c r="B659" t="inlineStr">
        <is>
          <t>B</t>
        </is>
      </c>
      <c r="C659">
        <f>1</f>
        <v>1</v>
      </c>
      <c r="D659">
        <f>IF(OR(F_Custom1_Q="(None)",F_Custom1_Q="",ISBLANK(F_Custom1_Q),F_Custom1_V="(All)",F_Custom1_V="",ISBLANK(F_Custom1_V)),1,IFERROR(IF(ISNUMBER(SEARCH("|"&amp;INDEX(INDIRECT(F_Custom1_resolved_column),658)&amp;"|",F_Custom1_wrapped)),1,0),0))</f>
        <v>1</v>
      </c>
      <c r="E659">
        <f>IF(OR(F_Custom2_Q="(None)",F_Custom2_Q="",ISBLANK(F_Custom2_Q),F_Custom2_V="(All)",F_Custom2_V="",ISBLANK(F_Custom2_V)),1,IFERROR(IF(ISNUMBER(SEARCH("|"&amp;INDEX(INDIRECT(F_Custom2_resolved_column),658)&amp;"|",F_Custom2_wrapped)),1,0),0))</f>
        <v>1</v>
      </c>
      <c r="F659">
        <f>D659*E659*1</f>
        <v>1</v>
      </c>
      <c r="G659">
        <f>1</f>
        <v>1</v>
      </c>
      <c r="H6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658)&amp;"|",All_Questions_Q_STREAM_F_wrapped)),1,0),0))*1</f>
        <v>1</v>
      </c>
    </row>
    <row r="660">
      <c r="A660" t="n">
        <v>659</v>
      </c>
      <c r="B660" t="inlineStr">
        <is>
          <t>A</t>
        </is>
      </c>
      <c r="C660">
        <f>1</f>
        <v>1</v>
      </c>
      <c r="D660">
        <f>IF(OR(F_Custom1_Q="(None)",F_Custom1_Q="",ISBLANK(F_Custom1_Q),F_Custom1_V="(All)",F_Custom1_V="",ISBLANK(F_Custom1_V)),1,IFERROR(IF(ISNUMBER(SEARCH("|"&amp;INDEX(INDIRECT(F_Custom1_resolved_column),659)&amp;"|",F_Custom1_wrapped)),1,0),0))</f>
        <v>1</v>
      </c>
      <c r="E660">
        <f>IF(OR(F_Custom2_Q="(None)",F_Custom2_Q="",ISBLANK(F_Custom2_Q),F_Custom2_V="(All)",F_Custom2_V="",ISBLANK(F_Custom2_V)),1,IFERROR(IF(ISNUMBER(SEARCH("|"&amp;INDEX(INDIRECT(F_Custom2_resolved_column),659)&amp;"|",F_Custom2_wrapped)),1,0),0))</f>
        <v>1</v>
      </c>
      <c r="F660">
        <f>D660*E660*1</f>
        <v>1</v>
      </c>
      <c r="G660">
        <f>1</f>
        <v>1</v>
      </c>
      <c r="H6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659)&amp;"|",All_Questions_Q_STREAM_F_wrapped)),1,0),0))*1</f>
        <v>1</v>
      </c>
    </row>
    <row r="661">
      <c r="A661" t="n">
        <v>660</v>
      </c>
      <c r="B661" t="inlineStr">
        <is>
          <t>B</t>
        </is>
      </c>
      <c r="C661">
        <f>1</f>
        <v>1</v>
      </c>
      <c r="D661">
        <f>IF(OR(F_Custom1_Q="(None)",F_Custom1_Q="",ISBLANK(F_Custom1_Q),F_Custom1_V="(All)",F_Custom1_V="",ISBLANK(F_Custom1_V)),1,IFERROR(IF(ISNUMBER(SEARCH("|"&amp;INDEX(INDIRECT(F_Custom1_resolved_column),660)&amp;"|",F_Custom1_wrapped)),1,0),0))</f>
        <v>1</v>
      </c>
      <c r="E661">
        <f>IF(OR(F_Custom2_Q="(None)",F_Custom2_Q="",ISBLANK(F_Custom2_Q),F_Custom2_V="(All)",F_Custom2_V="",ISBLANK(F_Custom2_V)),1,IFERROR(IF(ISNUMBER(SEARCH("|"&amp;INDEX(INDIRECT(F_Custom2_resolved_column),660)&amp;"|",F_Custom2_wrapped)),1,0),0))</f>
        <v>1</v>
      </c>
      <c r="F661">
        <f>D661*E661*1</f>
        <v>1</v>
      </c>
      <c r="G661">
        <f>1</f>
        <v>1</v>
      </c>
      <c r="H6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660)&amp;"|",All_Questions_Q_STREAM_F_wrapped)),1,0),0))*1</f>
        <v>1</v>
      </c>
    </row>
    <row r="662">
      <c r="A662" t="n">
        <v>661</v>
      </c>
      <c r="B662" t="inlineStr">
        <is>
          <t>A</t>
        </is>
      </c>
      <c r="C662">
        <f>1</f>
        <v>1</v>
      </c>
      <c r="D662">
        <f>IF(OR(F_Custom1_Q="(None)",F_Custom1_Q="",ISBLANK(F_Custom1_Q),F_Custom1_V="(All)",F_Custom1_V="",ISBLANK(F_Custom1_V)),1,IFERROR(IF(ISNUMBER(SEARCH("|"&amp;INDEX(INDIRECT(F_Custom1_resolved_column),661)&amp;"|",F_Custom1_wrapped)),1,0),0))</f>
        <v>1</v>
      </c>
      <c r="E662">
        <f>IF(OR(F_Custom2_Q="(None)",F_Custom2_Q="",ISBLANK(F_Custom2_Q),F_Custom2_V="(All)",F_Custom2_V="",ISBLANK(F_Custom2_V)),1,IFERROR(IF(ISNUMBER(SEARCH("|"&amp;INDEX(INDIRECT(F_Custom2_resolved_column),661)&amp;"|",F_Custom2_wrapped)),1,0),0))</f>
        <v>1</v>
      </c>
      <c r="F662">
        <f>D662*E662*1</f>
        <v>1</v>
      </c>
      <c r="G662">
        <f>1</f>
        <v>1</v>
      </c>
      <c r="H6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661)&amp;"|",All_Questions_Q_STREAM_F_wrapped)),1,0),0))*1</f>
        <v>1</v>
      </c>
    </row>
    <row r="663">
      <c r="A663" t="n">
        <v>662</v>
      </c>
      <c r="B663" t="inlineStr">
        <is>
          <t>B</t>
        </is>
      </c>
      <c r="C663">
        <f>1</f>
        <v>1</v>
      </c>
      <c r="D663">
        <f>IF(OR(F_Custom1_Q="(None)",F_Custom1_Q="",ISBLANK(F_Custom1_Q),F_Custom1_V="(All)",F_Custom1_V="",ISBLANK(F_Custom1_V)),1,IFERROR(IF(ISNUMBER(SEARCH("|"&amp;INDEX(INDIRECT(F_Custom1_resolved_column),662)&amp;"|",F_Custom1_wrapped)),1,0),0))</f>
        <v>1</v>
      </c>
      <c r="E663">
        <f>IF(OR(F_Custom2_Q="(None)",F_Custom2_Q="",ISBLANK(F_Custom2_Q),F_Custom2_V="(All)",F_Custom2_V="",ISBLANK(F_Custom2_V)),1,IFERROR(IF(ISNUMBER(SEARCH("|"&amp;INDEX(INDIRECT(F_Custom2_resolved_column),662)&amp;"|",F_Custom2_wrapped)),1,0),0))</f>
        <v>1</v>
      </c>
      <c r="F663">
        <f>D663*E663*1</f>
        <v>1</v>
      </c>
      <c r="G663">
        <f>1</f>
        <v>1</v>
      </c>
      <c r="H6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662)&amp;"|",All_Questions_Q_STREAM_F_wrapped)),1,0),0))*1</f>
        <v>1</v>
      </c>
    </row>
    <row r="664">
      <c r="A664" t="n">
        <v>663</v>
      </c>
      <c r="B664" t="inlineStr">
        <is>
          <t>A</t>
        </is>
      </c>
      <c r="C664">
        <f>1</f>
        <v>1</v>
      </c>
      <c r="D664">
        <f>IF(OR(F_Custom1_Q="(None)",F_Custom1_Q="",ISBLANK(F_Custom1_Q),F_Custom1_V="(All)",F_Custom1_V="",ISBLANK(F_Custom1_V)),1,IFERROR(IF(ISNUMBER(SEARCH("|"&amp;INDEX(INDIRECT(F_Custom1_resolved_column),663)&amp;"|",F_Custom1_wrapped)),1,0),0))</f>
        <v>1</v>
      </c>
      <c r="E664">
        <f>IF(OR(F_Custom2_Q="(None)",F_Custom2_Q="",ISBLANK(F_Custom2_Q),F_Custom2_V="(All)",F_Custom2_V="",ISBLANK(F_Custom2_V)),1,IFERROR(IF(ISNUMBER(SEARCH("|"&amp;INDEX(INDIRECT(F_Custom2_resolved_column),663)&amp;"|",F_Custom2_wrapped)),1,0),0))</f>
        <v>1</v>
      </c>
      <c r="F664">
        <f>D664*E664*1</f>
        <v>1</v>
      </c>
      <c r="G664">
        <f>1</f>
        <v>1</v>
      </c>
      <c r="H6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663)&amp;"|",All_Questions_Q_STREAM_F_wrapped)),1,0),0))*1</f>
        <v>1</v>
      </c>
    </row>
    <row r="665">
      <c r="A665" t="n">
        <v>664</v>
      </c>
      <c r="B665" t="inlineStr">
        <is>
          <t>B</t>
        </is>
      </c>
      <c r="C665">
        <f>1</f>
        <v>1</v>
      </c>
      <c r="D665">
        <f>IF(OR(F_Custom1_Q="(None)",F_Custom1_Q="",ISBLANK(F_Custom1_Q),F_Custom1_V="(All)",F_Custom1_V="",ISBLANK(F_Custom1_V)),1,IFERROR(IF(ISNUMBER(SEARCH("|"&amp;INDEX(INDIRECT(F_Custom1_resolved_column),664)&amp;"|",F_Custom1_wrapped)),1,0),0))</f>
        <v>1</v>
      </c>
      <c r="E665">
        <f>IF(OR(F_Custom2_Q="(None)",F_Custom2_Q="",ISBLANK(F_Custom2_Q),F_Custom2_V="(All)",F_Custom2_V="",ISBLANK(F_Custom2_V)),1,IFERROR(IF(ISNUMBER(SEARCH("|"&amp;INDEX(INDIRECT(F_Custom2_resolved_column),664)&amp;"|",F_Custom2_wrapped)),1,0),0))</f>
        <v>1</v>
      </c>
      <c r="F665">
        <f>D665*E665*1</f>
        <v>1</v>
      </c>
      <c r="G665">
        <f>1</f>
        <v>1</v>
      </c>
      <c r="H6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664)&amp;"|",All_Questions_Q_STREAM_F_wrapped)),1,0),0))*1</f>
        <v>1</v>
      </c>
    </row>
    <row r="666">
      <c r="A666" t="n">
        <v>665</v>
      </c>
      <c r="B666" t="inlineStr">
        <is>
          <t>A</t>
        </is>
      </c>
      <c r="C666">
        <f>1</f>
        <v>1</v>
      </c>
      <c r="D666">
        <f>IF(OR(F_Custom1_Q="(None)",F_Custom1_Q="",ISBLANK(F_Custom1_Q),F_Custom1_V="(All)",F_Custom1_V="",ISBLANK(F_Custom1_V)),1,IFERROR(IF(ISNUMBER(SEARCH("|"&amp;INDEX(INDIRECT(F_Custom1_resolved_column),665)&amp;"|",F_Custom1_wrapped)),1,0),0))</f>
        <v>1</v>
      </c>
      <c r="E666">
        <f>IF(OR(F_Custom2_Q="(None)",F_Custom2_Q="",ISBLANK(F_Custom2_Q),F_Custom2_V="(All)",F_Custom2_V="",ISBLANK(F_Custom2_V)),1,IFERROR(IF(ISNUMBER(SEARCH("|"&amp;INDEX(INDIRECT(F_Custom2_resolved_column),665)&amp;"|",F_Custom2_wrapped)),1,0),0))</f>
        <v>1</v>
      </c>
      <c r="F666">
        <f>D666*E666*1</f>
        <v>1</v>
      </c>
      <c r="G666">
        <f>1</f>
        <v>1</v>
      </c>
      <c r="H6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665)&amp;"|",All_Questions_Q_STREAM_F_wrapped)),1,0),0))*1</f>
        <v>1</v>
      </c>
    </row>
    <row r="667">
      <c r="A667" t="n">
        <v>666</v>
      </c>
      <c r="B667" t="inlineStr">
        <is>
          <t>B</t>
        </is>
      </c>
      <c r="C667">
        <f>1</f>
        <v>1</v>
      </c>
      <c r="D667">
        <f>IF(OR(F_Custom1_Q="(None)",F_Custom1_Q="",ISBLANK(F_Custom1_Q),F_Custom1_V="(All)",F_Custom1_V="",ISBLANK(F_Custom1_V)),1,IFERROR(IF(ISNUMBER(SEARCH("|"&amp;INDEX(INDIRECT(F_Custom1_resolved_column),666)&amp;"|",F_Custom1_wrapped)),1,0),0))</f>
        <v>1</v>
      </c>
      <c r="E667">
        <f>IF(OR(F_Custom2_Q="(None)",F_Custom2_Q="",ISBLANK(F_Custom2_Q),F_Custom2_V="(All)",F_Custom2_V="",ISBLANK(F_Custom2_V)),1,IFERROR(IF(ISNUMBER(SEARCH("|"&amp;INDEX(INDIRECT(F_Custom2_resolved_column),666)&amp;"|",F_Custom2_wrapped)),1,0),0))</f>
        <v>1</v>
      </c>
      <c r="F667">
        <f>D667*E667*1</f>
        <v>1</v>
      </c>
      <c r="G667">
        <f>1</f>
        <v>1</v>
      </c>
      <c r="H6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666)&amp;"|",All_Questions_Q_STREAM_F_wrapped)),1,0),0))*1</f>
        <v>1</v>
      </c>
    </row>
    <row r="668">
      <c r="A668" t="n">
        <v>667</v>
      </c>
      <c r="B668" t="inlineStr">
        <is>
          <t>A</t>
        </is>
      </c>
      <c r="C668">
        <f>1</f>
        <v>1</v>
      </c>
      <c r="D668">
        <f>IF(OR(F_Custom1_Q="(None)",F_Custom1_Q="",ISBLANK(F_Custom1_Q),F_Custom1_V="(All)",F_Custom1_V="",ISBLANK(F_Custom1_V)),1,IFERROR(IF(ISNUMBER(SEARCH("|"&amp;INDEX(INDIRECT(F_Custom1_resolved_column),667)&amp;"|",F_Custom1_wrapped)),1,0),0))</f>
        <v>1</v>
      </c>
      <c r="E668">
        <f>IF(OR(F_Custom2_Q="(None)",F_Custom2_Q="",ISBLANK(F_Custom2_Q),F_Custom2_V="(All)",F_Custom2_V="",ISBLANK(F_Custom2_V)),1,IFERROR(IF(ISNUMBER(SEARCH("|"&amp;INDEX(INDIRECT(F_Custom2_resolved_column),667)&amp;"|",F_Custom2_wrapped)),1,0),0))</f>
        <v>1</v>
      </c>
      <c r="F668">
        <f>D668*E668*1</f>
        <v>1</v>
      </c>
      <c r="G668">
        <f>1</f>
        <v>1</v>
      </c>
      <c r="H6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667)&amp;"|",All_Questions_Q_STREAM_F_wrapped)),1,0),0))*1</f>
        <v>1</v>
      </c>
    </row>
    <row r="669">
      <c r="A669" t="n">
        <v>668</v>
      </c>
      <c r="B669" t="inlineStr">
        <is>
          <t>B</t>
        </is>
      </c>
      <c r="C669">
        <f>1</f>
        <v>1</v>
      </c>
      <c r="D669">
        <f>IF(OR(F_Custom1_Q="(None)",F_Custom1_Q="",ISBLANK(F_Custom1_Q),F_Custom1_V="(All)",F_Custom1_V="",ISBLANK(F_Custom1_V)),1,IFERROR(IF(ISNUMBER(SEARCH("|"&amp;INDEX(INDIRECT(F_Custom1_resolved_column),668)&amp;"|",F_Custom1_wrapped)),1,0),0))</f>
        <v>1</v>
      </c>
      <c r="E669">
        <f>IF(OR(F_Custom2_Q="(None)",F_Custom2_Q="",ISBLANK(F_Custom2_Q),F_Custom2_V="(All)",F_Custom2_V="",ISBLANK(F_Custom2_V)),1,IFERROR(IF(ISNUMBER(SEARCH("|"&amp;INDEX(INDIRECT(F_Custom2_resolved_column),668)&amp;"|",F_Custom2_wrapped)),1,0),0))</f>
        <v>1</v>
      </c>
      <c r="F669">
        <f>D669*E669*1</f>
        <v>1</v>
      </c>
      <c r="G669">
        <f>1</f>
        <v>1</v>
      </c>
      <c r="H6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668)&amp;"|",All_Questions_Q_STREAM_F_wrapped)),1,0),0))*1</f>
        <v>1</v>
      </c>
    </row>
    <row r="670">
      <c r="A670" t="n">
        <v>669</v>
      </c>
      <c r="B670" t="inlineStr">
        <is>
          <t>A</t>
        </is>
      </c>
      <c r="C670">
        <f>1</f>
        <v>1</v>
      </c>
      <c r="D670">
        <f>IF(OR(F_Custom1_Q="(None)",F_Custom1_Q="",ISBLANK(F_Custom1_Q),F_Custom1_V="(All)",F_Custom1_V="",ISBLANK(F_Custom1_V)),1,IFERROR(IF(ISNUMBER(SEARCH("|"&amp;INDEX(INDIRECT(F_Custom1_resolved_column),669)&amp;"|",F_Custom1_wrapped)),1,0),0))</f>
        <v>1</v>
      </c>
      <c r="E670">
        <f>IF(OR(F_Custom2_Q="(None)",F_Custom2_Q="",ISBLANK(F_Custom2_Q),F_Custom2_V="(All)",F_Custom2_V="",ISBLANK(F_Custom2_V)),1,IFERROR(IF(ISNUMBER(SEARCH("|"&amp;INDEX(INDIRECT(F_Custom2_resolved_column),669)&amp;"|",F_Custom2_wrapped)),1,0),0))</f>
        <v>1</v>
      </c>
      <c r="F670">
        <f>D670*E670*1</f>
        <v>1</v>
      </c>
      <c r="G670">
        <f>1</f>
        <v>1</v>
      </c>
      <c r="H6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669)&amp;"|",All_Questions_Q_STREAM_F_wrapped)),1,0),0))*1</f>
        <v>1</v>
      </c>
    </row>
    <row r="671">
      <c r="A671" t="n">
        <v>670</v>
      </c>
      <c r="B671" t="inlineStr">
        <is>
          <t>B</t>
        </is>
      </c>
      <c r="C671">
        <f>1</f>
        <v>1</v>
      </c>
      <c r="D671">
        <f>IF(OR(F_Custom1_Q="(None)",F_Custom1_Q="",ISBLANK(F_Custom1_Q),F_Custom1_V="(All)",F_Custom1_V="",ISBLANK(F_Custom1_V)),1,IFERROR(IF(ISNUMBER(SEARCH("|"&amp;INDEX(INDIRECT(F_Custom1_resolved_column),670)&amp;"|",F_Custom1_wrapped)),1,0),0))</f>
        <v>1</v>
      </c>
      <c r="E671">
        <f>IF(OR(F_Custom2_Q="(None)",F_Custom2_Q="",ISBLANK(F_Custom2_Q),F_Custom2_V="(All)",F_Custom2_V="",ISBLANK(F_Custom2_V)),1,IFERROR(IF(ISNUMBER(SEARCH("|"&amp;INDEX(INDIRECT(F_Custom2_resolved_column),670)&amp;"|",F_Custom2_wrapped)),1,0),0))</f>
        <v>1</v>
      </c>
      <c r="F671">
        <f>D671*E671*1</f>
        <v>1</v>
      </c>
      <c r="G671">
        <f>1</f>
        <v>1</v>
      </c>
      <c r="H6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670)&amp;"|",All_Questions_Q_STREAM_F_wrapped)),1,0),0))*1</f>
        <v>1</v>
      </c>
    </row>
    <row r="672">
      <c r="A672" t="n">
        <v>671</v>
      </c>
      <c r="B672" t="inlineStr">
        <is>
          <t>A</t>
        </is>
      </c>
      <c r="C672">
        <f>1</f>
        <v>1</v>
      </c>
      <c r="D672">
        <f>IF(OR(F_Custom1_Q="(None)",F_Custom1_Q="",ISBLANK(F_Custom1_Q),F_Custom1_V="(All)",F_Custom1_V="",ISBLANK(F_Custom1_V)),1,IFERROR(IF(ISNUMBER(SEARCH("|"&amp;INDEX(INDIRECT(F_Custom1_resolved_column),671)&amp;"|",F_Custom1_wrapped)),1,0),0))</f>
        <v>1</v>
      </c>
      <c r="E672">
        <f>IF(OR(F_Custom2_Q="(None)",F_Custom2_Q="",ISBLANK(F_Custom2_Q),F_Custom2_V="(All)",F_Custom2_V="",ISBLANK(F_Custom2_V)),1,IFERROR(IF(ISNUMBER(SEARCH("|"&amp;INDEX(INDIRECT(F_Custom2_resolved_column),671)&amp;"|",F_Custom2_wrapped)),1,0),0))</f>
        <v>1</v>
      </c>
      <c r="F672">
        <f>D672*E672*1</f>
        <v>1</v>
      </c>
      <c r="G672">
        <f>1</f>
        <v>1</v>
      </c>
      <c r="H6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671)&amp;"|",All_Questions_Q_STREAM_F_wrapped)),1,0),0))*1</f>
        <v>1</v>
      </c>
    </row>
    <row r="673">
      <c r="A673" t="n">
        <v>672</v>
      </c>
      <c r="B673" t="inlineStr">
        <is>
          <t>B</t>
        </is>
      </c>
      <c r="C673">
        <f>1</f>
        <v>1</v>
      </c>
      <c r="D673">
        <f>IF(OR(F_Custom1_Q="(None)",F_Custom1_Q="",ISBLANK(F_Custom1_Q),F_Custom1_V="(All)",F_Custom1_V="",ISBLANK(F_Custom1_V)),1,IFERROR(IF(ISNUMBER(SEARCH("|"&amp;INDEX(INDIRECT(F_Custom1_resolved_column),672)&amp;"|",F_Custom1_wrapped)),1,0),0))</f>
        <v>1</v>
      </c>
      <c r="E673">
        <f>IF(OR(F_Custom2_Q="(None)",F_Custom2_Q="",ISBLANK(F_Custom2_Q),F_Custom2_V="(All)",F_Custom2_V="",ISBLANK(F_Custom2_V)),1,IFERROR(IF(ISNUMBER(SEARCH("|"&amp;INDEX(INDIRECT(F_Custom2_resolved_column),672)&amp;"|",F_Custom2_wrapped)),1,0),0))</f>
        <v>1</v>
      </c>
      <c r="F673">
        <f>D673*E673*1</f>
        <v>1</v>
      </c>
      <c r="G673">
        <f>1</f>
        <v>1</v>
      </c>
      <c r="H6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672)&amp;"|",All_Questions_Q_STREAM_F_wrapped)),1,0),0))*1</f>
        <v>1</v>
      </c>
    </row>
    <row r="674">
      <c r="A674" t="n">
        <v>673</v>
      </c>
      <c r="B674" t="inlineStr">
        <is>
          <t>A</t>
        </is>
      </c>
      <c r="C674">
        <f>1</f>
        <v>1</v>
      </c>
      <c r="D674">
        <f>IF(OR(F_Custom1_Q="(None)",F_Custom1_Q="",ISBLANK(F_Custom1_Q),F_Custom1_V="(All)",F_Custom1_V="",ISBLANK(F_Custom1_V)),1,IFERROR(IF(ISNUMBER(SEARCH("|"&amp;INDEX(INDIRECT(F_Custom1_resolved_column),673)&amp;"|",F_Custom1_wrapped)),1,0),0))</f>
        <v>1</v>
      </c>
      <c r="E674">
        <f>IF(OR(F_Custom2_Q="(None)",F_Custom2_Q="",ISBLANK(F_Custom2_Q),F_Custom2_V="(All)",F_Custom2_V="",ISBLANK(F_Custom2_V)),1,IFERROR(IF(ISNUMBER(SEARCH("|"&amp;INDEX(INDIRECT(F_Custom2_resolved_column),673)&amp;"|",F_Custom2_wrapped)),1,0),0))</f>
        <v>1</v>
      </c>
      <c r="F674">
        <f>D674*E674*1</f>
        <v>1</v>
      </c>
      <c r="G674">
        <f>1</f>
        <v>1</v>
      </c>
      <c r="H6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673)&amp;"|",All_Questions_Q_STREAM_F_wrapped)),1,0),0))*1</f>
        <v>1</v>
      </c>
    </row>
    <row r="675">
      <c r="A675" t="n">
        <v>674</v>
      </c>
      <c r="B675" t="inlineStr">
        <is>
          <t>B</t>
        </is>
      </c>
      <c r="C675">
        <f>1</f>
        <v>1</v>
      </c>
      <c r="D675">
        <f>IF(OR(F_Custom1_Q="(None)",F_Custom1_Q="",ISBLANK(F_Custom1_Q),F_Custom1_V="(All)",F_Custom1_V="",ISBLANK(F_Custom1_V)),1,IFERROR(IF(ISNUMBER(SEARCH("|"&amp;INDEX(INDIRECT(F_Custom1_resolved_column),674)&amp;"|",F_Custom1_wrapped)),1,0),0))</f>
        <v>1</v>
      </c>
      <c r="E675">
        <f>IF(OR(F_Custom2_Q="(None)",F_Custom2_Q="",ISBLANK(F_Custom2_Q),F_Custom2_V="(All)",F_Custom2_V="",ISBLANK(F_Custom2_V)),1,IFERROR(IF(ISNUMBER(SEARCH("|"&amp;INDEX(INDIRECT(F_Custom2_resolved_column),674)&amp;"|",F_Custom2_wrapped)),1,0),0))</f>
        <v>1</v>
      </c>
      <c r="F675">
        <f>D675*E675*1</f>
        <v>1</v>
      </c>
      <c r="G675">
        <f>1</f>
        <v>1</v>
      </c>
      <c r="H6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674)&amp;"|",All_Questions_Q_STREAM_F_wrapped)),1,0),0))*1</f>
        <v>1</v>
      </c>
    </row>
    <row r="676">
      <c r="A676" t="n">
        <v>675</v>
      </c>
      <c r="B676" t="inlineStr">
        <is>
          <t>A</t>
        </is>
      </c>
      <c r="C676">
        <f>1</f>
        <v>1</v>
      </c>
      <c r="D676">
        <f>IF(OR(F_Custom1_Q="(None)",F_Custom1_Q="",ISBLANK(F_Custom1_Q),F_Custom1_V="(All)",F_Custom1_V="",ISBLANK(F_Custom1_V)),1,IFERROR(IF(ISNUMBER(SEARCH("|"&amp;INDEX(INDIRECT(F_Custom1_resolved_column),675)&amp;"|",F_Custom1_wrapped)),1,0),0))</f>
        <v>1</v>
      </c>
      <c r="E676">
        <f>IF(OR(F_Custom2_Q="(None)",F_Custom2_Q="",ISBLANK(F_Custom2_Q),F_Custom2_V="(All)",F_Custom2_V="",ISBLANK(F_Custom2_V)),1,IFERROR(IF(ISNUMBER(SEARCH("|"&amp;INDEX(INDIRECT(F_Custom2_resolved_column),675)&amp;"|",F_Custom2_wrapped)),1,0),0))</f>
        <v>1</v>
      </c>
      <c r="F676">
        <f>D676*E676*1</f>
        <v>1</v>
      </c>
      <c r="G676">
        <f>1</f>
        <v>1</v>
      </c>
      <c r="H6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675)&amp;"|",All_Questions_Q_STREAM_F_wrapped)),1,0),0))*1</f>
        <v>1</v>
      </c>
    </row>
    <row r="677">
      <c r="A677" t="n">
        <v>676</v>
      </c>
      <c r="B677" t="inlineStr">
        <is>
          <t>B</t>
        </is>
      </c>
      <c r="C677">
        <f>1</f>
        <v>1</v>
      </c>
      <c r="D677">
        <f>IF(OR(F_Custom1_Q="(None)",F_Custom1_Q="",ISBLANK(F_Custom1_Q),F_Custom1_V="(All)",F_Custom1_V="",ISBLANK(F_Custom1_V)),1,IFERROR(IF(ISNUMBER(SEARCH("|"&amp;INDEX(INDIRECT(F_Custom1_resolved_column),676)&amp;"|",F_Custom1_wrapped)),1,0),0))</f>
        <v>1</v>
      </c>
      <c r="E677">
        <f>IF(OR(F_Custom2_Q="(None)",F_Custom2_Q="",ISBLANK(F_Custom2_Q),F_Custom2_V="(All)",F_Custom2_V="",ISBLANK(F_Custom2_V)),1,IFERROR(IF(ISNUMBER(SEARCH("|"&amp;INDEX(INDIRECT(F_Custom2_resolved_column),676)&amp;"|",F_Custom2_wrapped)),1,0),0))</f>
        <v>1</v>
      </c>
      <c r="F677">
        <f>D677*E677*1</f>
        <v>1</v>
      </c>
      <c r="G677">
        <f>1</f>
        <v>1</v>
      </c>
      <c r="H6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676)&amp;"|",All_Questions_Q_STREAM_F_wrapped)),1,0),0))*1</f>
        <v>1</v>
      </c>
    </row>
    <row r="678">
      <c r="A678" t="n">
        <v>677</v>
      </c>
      <c r="B678" t="inlineStr">
        <is>
          <t>A</t>
        </is>
      </c>
      <c r="C678">
        <f>1</f>
        <v>1</v>
      </c>
      <c r="D678">
        <f>IF(OR(F_Custom1_Q="(None)",F_Custom1_Q="",ISBLANK(F_Custom1_Q),F_Custom1_V="(All)",F_Custom1_V="",ISBLANK(F_Custom1_V)),1,IFERROR(IF(ISNUMBER(SEARCH("|"&amp;INDEX(INDIRECT(F_Custom1_resolved_column),677)&amp;"|",F_Custom1_wrapped)),1,0),0))</f>
        <v>1</v>
      </c>
      <c r="E678">
        <f>IF(OR(F_Custom2_Q="(None)",F_Custom2_Q="",ISBLANK(F_Custom2_Q),F_Custom2_V="(All)",F_Custom2_V="",ISBLANK(F_Custom2_V)),1,IFERROR(IF(ISNUMBER(SEARCH("|"&amp;INDEX(INDIRECT(F_Custom2_resolved_column),677)&amp;"|",F_Custom2_wrapped)),1,0),0))</f>
        <v>1</v>
      </c>
      <c r="F678">
        <f>D678*E678*1</f>
        <v>1</v>
      </c>
      <c r="G678">
        <f>1</f>
        <v>1</v>
      </c>
      <c r="H6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677)&amp;"|",All_Questions_Q_STREAM_F_wrapped)),1,0),0))*1</f>
        <v>1</v>
      </c>
    </row>
    <row r="679">
      <c r="A679" t="n">
        <v>678</v>
      </c>
      <c r="B679" t="inlineStr">
        <is>
          <t>B</t>
        </is>
      </c>
      <c r="C679">
        <f>1</f>
        <v>1</v>
      </c>
      <c r="D679">
        <f>IF(OR(F_Custom1_Q="(None)",F_Custom1_Q="",ISBLANK(F_Custom1_Q),F_Custom1_V="(All)",F_Custom1_V="",ISBLANK(F_Custom1_V)),1,IFERROR(IF(ISNUMBER(SEARCH("|"&amp;INDEX(INDIRECT(F_Custom1_resolved_column),678)&amp;"|",F_Custom1_wrapped)),1,0),0))</f>
        <v>1</v>
      </c>
      <c r="E679">
        <f>IF(OR(F_Custom2_Q="(None)",F_Custom2_Q="",ISBLANK(F_Custom2_Q),F_Custom2_V="(All)",F_Custom2_V="",ISBLANK(F_Custom2_V)),1,IFERROR(IF(ISNUMBER(SEARCH("|"&amp;INDEX(INDIRECT(F_Custom2_resolved_column),678)&amp;"|",F_Custom2_wrapped)),1,0),0))</f>
        <v>1</v>
      </c>
      <c r="F679">
        <f>D679*E679*1</f>
        <v>1</v>
      </c>
      <c r="G679">
        <f>1</f>
        <v>1</v>
      </c>
      <c r="H6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678)&amp;"|",All_Questions_Q_STREAM_F_wrapped)),1,0),0))*1</f>
        <v>1</v>
      </c>
    </row>
    <row r="680">
      <c r="A680" t="n">
        <v>679</v>
      </c>
      <c r="B680" t="inlineStr">
        <is>
          <t>A</t>
        </is>
      </c>
      <c r="C680">
        <f>1</f>
        <v>1</v>
      </c>
      <c r="D680">
        <f>IF(OR(F_Custom1_Q="(None)",F_Custom1_Q="",ISBLANK(F_Custom1_Q),F_Custom1_V="(All)",F_Custom1_V="",ISBLANK(F_Custom1_V)),1,IFERROR(IF(ISNUMBER(SEARCH("|"&amp;INDEX(INDIRECT(F_Custom1_resolved_column),679)&amp;"|",F_Custom1_wrapped)),1,0),0))</f>
        <v>1</v>
      </c>
      <c r="E680">
        <f>IF(OR(F_Custom2_Q="(None)",F_Custom2_Q="",ISBLANK(F_Custom2_Q),F_Custom2_V="(All)",F_Custom2_V="",ISBLANK(F_Custom2_V)),1,IFERROR(IF(ISNUMBER(SEARCH("|"&amp;INDEX(INDIRECT(F_Custom2_resolved_column),679)&amp;"|",F_Custom2_wrapped)),1,0),0))</f>
        <v>1</v>
      </c>
      <c r="F680">
        <f>D680*E680*1</f>
        <v>1</v>
      </c>
      <c r="G680">
        <f>1</f>
        <v>1</v>
      </c>
      <c r="H6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679)&amp;"|",All_Questions_Q_STREAM_F_wrapped)),1,0),0))*1</f>
        <v>1</v>
      </c>
    </row>
    <row r="681">
      <c r="A681" t="n">
        <v>680</v>
      </c>
      <c r="B681" t="inlineStr">
        <is>
          <t>B</t>
        </is>
      </c>
      <c r="C681">
        <f>1</f>
        <v>1</v>
      </c>
      <c r="D681">
        <f>IF(OR(F_Custom1_Q="(None)",F_Custom1_Q="",ISBLANK(F_Custom1_Q),F_Custom1_V="(All)",F_Custom1_V="",ISBLANK(F_Custom1_V)),1,IFERROR(IF(ISNUMBER(SEARCH("|"&amp;INDEX(INDIRECT(F_Custom1_resolved_column),680)&amp;"|",F_Custom1_wrapped)),1,0),0))</f>
        <v>1</v>
      </c>
      <c r="E681">
        <f>IF(OR(F_Custom2_Q="(None)",F_Custom2_Q="",ISBLANK(F_Custom2_Q),F_Custom2_V="(All)",F_Custom2_V="",ISBLANK(F_Custom2_V)),1,IFERROR(IF(ISNUMBER(SEARCH("|"&amp;INDEX(INDIRECT(F_Custom2_resolved_column),680)&amp;"|",F_Custom2_wrapped)),1,0),0))</f>
        <v>1</v>
      </c>
      <c r="F681">
        <f>D681*E681*1</f>
        <v>1</v>
      </c>
      <c r="G681">
        <f>1</f>
        <v>1</v>
      </c>
      <c r="H6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680)&amp;"|",All_Questions_Q_STREAM_F_wrapped)),1,0),0))*1</f>
        <v>1</v>
      </c>
    </row>
    <row r="682">
      <c r="A682" t="n">
        <v>681</v>
      </c>
      <c r="B682" t="inlineStr">
        <is>
          <t>A</t>
        </is>
      </c>
      <c r="C682">
        <f>1</f>
        <v>1</v>
      </c>
      <c r="D682">
        <f>IF(OR(F_Custom1_Q="(None)",F_Custom1_Q="",ISBLANK(F_Custom1_Q),F_Custom1_V="(All)",F_Custom1_V="",ISBLANK(F_Custom1_V)),1,IFERROR(IF(ISNUMBER(SEARCH("|"&amp;INDEX(INDIRECT(F_Custom1_resolved_column),681)&amp;"|",F_Custom1_wrapped)),1,0),0))</f>
        <v>1</v>
      </c>
      <c r="E682">
        <f>IF(OR(F_Custom2_Q="(None)",F_Custom2_Q="",ISBLANK(F_Custom2_Q),F_Custom2_V="(All)",F_Custom2_V="",ISBLANK(F_Custom2_V)),1,IFERROR(IF(ISNUMBER(SEARCH("|"&amp;INDEX(INDIRECT(F_Custom2_resolved_column),681)&amp;"|",F_Custom2_wrapped)),1,0),0))</f>
        <v>1</v>
      </c>
      <c r="F682">
        <f>D682*E682*1</f>
        <v>1</v>
      </c>
      <c r="G682">
        <f>1</f>
        <v>1</v>
      </c>
      <c r="H6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681)&amp;"|",All_Questions_Q_STREAM_F_wrapped)),1,0),0))*1</f>
        <v>1</v>
      </c>
    </row>
    <row r="683">
      <c r="A683" t="n">
        <v>682</v>
      </c>
      <c r="B683" t="inlineStr">
        <is>
          <t>B</t>
        </is>
      </c>
      <c r="C683">
        <f>1</f>
        <v>1</v>
      </c>
      <c r="D683">
        <f>IF(OR(F_Custom1_Q="(None)",F_Custom1_Q="",ISBLANK(F_Custom1_Q),F_Custom1_V="(All)",F_Custom1_V="",ISBLANK(F_Custom1_V)),1,IFERROR(IF(ISNUMBER(SEARCH("|"&amp;INDEX(INDIRECT(F_Custom1_resolved_column),682)&amp;"|",F_Custom1_wrapped)),1,0),0))</f>
        <v>1</v>
      </c>
      <c r="E683">
        <f>IF(OR(F_Custom2_Q="(None)",F_Custom2_Q="",ISBLANK(F_Custom2_Q),F_Custom2_V="(All)",F_Custom2_V="",ISBLANK(F_Custom2_V)),1,IFERROR(IF(ISNUMBER(SEARCH("|"&amp;INDEX(INDIRECT(F_Custom2_resolved_column),682)&amp;"|",F_Custom2_wrapped)),1,0),0))</f>
        <v>1</v>
      </c>
      <c r="F683">
        <f>D683*E683*1</f>
        <v>1</v>
      </c>
      <c r="G683">
        <f>1</f>
        <v>1</v>
      </c>
      <c r="H6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682)&amp;"|",All_Questions_Q_STREAM_F_wrapped)),1,0),0))*1</f>
        <v>1</v>
      </c>
    </row>
    <row r="684">
      <c r="A684" t="n">
        <v>683</v>
      </c>
      <c r="B684" t="inlineStr">
        <is>
          <t>A</t>
        </is>
      </c>
      <c r="C684">
        <f>1</f>
        <v>1</v>
      </c>
      <c r="D684">
        <f>IF(OR(F_Custom1_Q="(None)",F_Custom1_Q="",ISBLANK(F_Custom1_Q),F_Custom1_V="(All)",F_Custom1_V="",ISBLANK(F_Custom1_V)),1,IFERROR(IF(ISNUMBER(SEARCH("|"&amp;INDEX(INDIRECT(F_Custom1_resolved_column),683)&amp;"|",F_Custom1_wrapped)),1,0),0))</f>
        <v>1</v>
      </c>
      <c r="E684">
        <f>IF(OR(F_Custom2_Q="(None)",F_Custom2_Q="",ISBLANK(F_Custom2_Q),F_Custom2_V="(All)",F_Custom2_V="",ISBLANK(F_Custom2_V)),1,IFERROR(IF(ISNUMBER(SEARCH("|"&amp;INDEX(INDIRECT(F_Custom2_resolved_column),683)&amp;"|",F_Custom2_wrapped)),1,0),0))</f>
        <v>1</v>
      </c>
      <c r="F684">
        <f>D684*E684*1</f>
        <v>1</v>
      </c>
      <c r="G684">
        <f>1</f>
        <v>1</v>
      </c>
      <c r="H6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683)&amp;"|",All_Questions_Q_STREAM_F_wrapped)),1,0),0))*1</f>
        <v>1</v>
      </c>
    </row>
    <row r="685">
      <c r="A685" t="n">
        <v>684</v>
      </c>
      <c r="B685" t="inlineStr">
        <is>
          <t>B</t>
        </is>
      </c>
      <c r="C685">
        <f>1</f>
        <v>1</v>
      </c>
      <c r="D685">
        <f>IF(OR(F_Custom1_Q="(None)",F_Custom1_Q="",ISBLANK(F_Custom1_Q),F_Custom1_V="(All)",F_Custom1_V="",ISBLANK(F_Custom1_V)),1,IFERROR(IF(ISNUMBER(SEARCH("|"&amp;INDEX(INDIRECT(F_Custom1_resolved_column),684)&amp;"|",F_Custom1_wrapped)),1,0),0))</f>
        <v>1</v>
      </c>
      <c r="E685">
        <f>IF(OR(F_Custom2_Q="(None)",F_Custom2_Q="",ISBLANK(F_Custom2_Q),F_Custom2_V="(All)",F_Custom2_V="",ISBLANK(F_Custom2_V)),1,IFERROR(IF(ISNUMBER(SEARCH("|"&amp;INDEX(INDIRECT(F_Custom2_resolved_column),684)&amp;"|",F_Custom2_wrapped)),1,0),0))</f>
        <v>1</v>
      </c>
      <c r="F685">
        <f>D685*E685*1</f>
        <v>1</v>
      </c>
      <c r="G685">
        <f>1</f>
        <v>1</v>
      </c>
      <c r="H6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684)&amp;"|",All_Questions_Q_STREAM_F_wrapped)),1,0),0))*1</f>
        <v>1</v>
      </c>
    </row>
    <row r="686">
      <c r="A686" t="n">
        <v>685</v>
      </c>
      <c r="B686" t="inlineStr">
        <is>
          <t>A</t>
        </is>
      </c>
      <c r="C686">
        <f>1</f>
        <v>1</v>
      </c>
      <c r="D686">
        <f>IF(OR(F_Custom1_Q="(None)",F_Custom1_Q="",ISBLANK(F_Custom1_Q),F_Custom1_V="(All)",F_Custom1_V="",ISBLANK(F_Custom1_V)),1,IFERROR(IF(ISNUMBER(SEARCH("|"&amp;INDEX(INDIRECT(F_Custom1_resolved_column),685)&amp;"|",F_Custom1_wrapped)),1,0),0))</f>
        <v>1</v>
      </c>
      <c r="E686">
        <f>IF(OR(F_Custom2_Q="(None)",F_Custom2_Q="",ISBLANK(F_Custom2_Q),F_Custom2_V="(All)",F_Custom2_V="",ISBLANK(F_Custom2_V)),1,IFERROR(IF(ISNUMBER(SEARCH("|"&amp;INDEX(INDIRECT(F_Custom2_resolved_column),685)&amp;"|",F_Custom2_wrapped)),1,0),0))</f>
        <v>1</v>
      </c>
      <c r="F686">
        <f>D686*E686*1</f>
        <v>1</v>
      </c>
      <c r="G686">
        <f>1</f>
        <v>1</v>
      </c>
      <c r="H6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685)&amp;"|",All_Questions_Q_STREAM_F_wrapped)),1,0),0))*1</f>
        <v>1</v>
      </c>
    </row>
    <row r="687">
      <c r="A687" t="n">
        <v>686</v>
      </c>
      <c r="B687" t="inlineStr">
        <is>
          <t>B</t>
        </is>
      </c>
      <c r="C687">
        <f>1</f>
        <v>1</v>
      </c>
      <c r="D687">
        <f>IF(OR(F_Custom1_Q="(None)",F_Custom1_Q="",ISBLANK(F_Custom1_Q),F_Custom1_V="(All)",F_Custom1_V="",ISBLANK(F_Custom1_V)),1,IFERROR(IF(ISNUMBER(SEARCH("|"&amp;INDEX(INDIRECT(F_Custom1_resolved_column),686)&amp;"|",F_Custom1_wrapped)),1,0),0))</f>
        <v>1</v>
      </c>
      <c r="E687">
        <f>IF(OR(F_Custom2_Q="(None)",F_Custom2_Q="",ISBLANK(F_Custom2_Q),F_Custom2_V="(All)",F_Custom2_V="",ISBLANK(F_Custom2_V)),1,IFERROR(IF(ISNUMBER(SEARCH("|"&amp;INDEX(INDIRECT(F_Custom2_resolved_column),686)&amp;"|",F_Custom2_wrapped)),1,0),0))</f>
        <v>1</v>
      </c>
      <c r="F687">
        <f>D687*E687*1</f>
        <v>1</v>
      </c>
      <c r="G687">
        <f>1</f>
        <v>1</v>
      </c>
      <c r="H6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686)&amp;"|",All_Questions_Q_STREAM_F_wrapped)),1,0),0))*1</f>
        <v>1</v>
      </c>
    </row>
    <row r="688">
      <c r="A688" t="n">
        <v>687</v>
      </c>
      <c r="B688" t="inlineStr">
        <is>
          <t>A</t>
        </is>
      </c>
      <c r="C688">
        <f>1</f>
        <v>1</v>
      </c>
      <c r="D688">
        <f>IF(OR(F_Custom1_Q="(None)",F_Custom1_Q="",ISBLANK(F_Custom1_Q),F_Custom1_V="(All)",F_Custom1_V="",ISBLANK(F_Custom1_V)),1,IFERROR(IF(ISNUMBER(SEARCH("|"&amp;INDEX(INDIRECT(F_Custom1_resolved_column),687)&amp;"|",F_Custom1_wrapped)),1,0),0))</f>
        <v>1</v>
      </c>
      <c r="E688">
        <f>IF(OR(F_Custom2_Q="(None)",F_Custom2_Q="",ISBLANK(F_Custom2_Q),F_Custom2_V="(All)",F_Custom2_V="",ISBLANK(F_Custom2_V)),1,IFERROR(IF(ISNUMBER(SEARCH("|"&amp;INDEX(INDIRECT(F_Custom2_resolved_column),687)&amp;"|",F_Custom2_wrapped)),1,0),0))</f>
        <v>1</v>
      </c>
      <c r="F688">
        <f>D688*E688*1</f>
        <v>1</v>
      </c>
      <c r="G688">
        <f>1</f>
        <v>1</v>
      </c>
      <c r="H6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687)&amp;"|",All_Questions_Q_STREAM_F_wrapped)),1,0),0))*1</f>
        <v>1</v>
      </c>
    </row>
    <row r="689">
      <c r="A689" t="n">
        <v>688</v>
      </c>
      <c r="B689" t="inlineStr">
        <is>
          <t>B</t>
        </is>
      </c>
      <c r="C689">
        <f>1</f>
        <v>1</v>
      </c>
      <c r="D689">
        <f>IF(OR(F_Custom1_Q="(None)",F_Custom1_Q="",ISBLANK(F_Custom1_Q),F_Custom1_V="(All)",F_Custom1_V="",ISBLANK(F_Custom1_V)),1,IFERROR(IF(ISNUMBER(SEARCH("|"&amp;INDEX(INDIRECT(F_Custom1_resolved_column),688)&amp;"|",F_Custom1_wrapped)),1,0),0))</f>
        <v>1</v>
      </c>
      <c r="E689">
        <f>IF(OR(F_Custom2_Q="(None)",F_Custom2_Q="",ISBLANK(F_Custom2_Q),F_Custom2_V="(All)",F_Custom2_V="",ISBLANK(F_Custom2_V)),1,IFERROR(IF(ISNUMBER(SEARCH("|"&amp;INDEX(INDIRECT(F_Custom2_resolved_column),688)&amp;"|",F_Custom2_wrapped)),1,0),0))</f>
        <v>1</v>
      </c>
      <c r="F689">
        <f>D689*E689*1</f>
        <v>1</v>
      </c>
      <c r="G689">
        <f>1</f>
        <v>1</v>
      </c>
      <c r="H6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688)&amp;"|",All_Questions_Q_STREAM_F_wrapped)),1,0),0))*1</f>
        <v>1</v>
      </c>
    </row>
    <row r="690">
      <c r="A690" t="n">
        <v>689</v>
      </c>
      <c r="B690" t="inlineStr">
        <is>
          <t>A</t>
        </is>
      </c>
      <c r="C690">
        <f>1</f>
        <v>1</v>
      </c>
      <c r="D690">
        <f>IF(OR(F_Custom1_Q="(None)",F_Custom1_Q="",ISBLANK(F_Custom1_Q),F_Custom1_V="(All)",F_Custom1_V="",ISBLANK(F_Custom1_V)),1,IFERROR(IF(ISNUMBER(SEARCH("|"&amp;INDEX(INDIRECT(F_Custom1_resolved_column),689)&amp;"|",F_Custom1_wrapped)),1,0),0))</f>
        <v>1</v>
      </c>
      <c r="E690">
        <f>IF(OR(F_Custom2_Q="(None)",F_Custom2_Q="",ISBLANK(F_Custom2_Q),F_Custom2_V="(All)",F_Custom2_V="",ISBLANK(F_Custom2_V)),1,IFERROR(IF(ISNUMBER(SEARCH("|"&amp;INDEX(INDIRECT(F_Custom2_resolved_column),689)&amp;"|",F_Custom2_wrapped)),1,0),0))</f>
        <v>1</v>
      </c>
      <c r="F690">
        <f>D690*E690*1</f>
        <v>1</v>
      </c>
      <c r="G690">
        <f>1</f>
        <v>1</v>
      </c>
      <c r="H6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689)&amp;"|",All_Questions_Q_STREAM_F_wrapped)),1,0),0))*1</f>
        <v>1</v>
      </c>
    </row>
    <row r="691">
      <c r="A691" t="n">
        <v>690</v>
      </c>
      <c r="B691" t="inlineStr">
        <is>
          <t>B</t>
        </is>
      </c>
      <c r="C691">
        <f>1</f>
        <v>1</v>
      </c>
      <c r="D691">
        <f>IF(OR(F_Custom1_Q="(None)",F_Custom1_Q="",ISBLANK(F_Custom1_Q),F_Custom1_V="(All)",F_Custom1_V="",ISBLANK(F_Custom1_V)),1,IFERROR(IF(ISNUMBER(SEARCH("|"&amp;INDEX(INDIRECT(F_Custom1_resolved_column),690)&amp;"|",F_Custom1_wrapped)),1,0),0))</f>
        <v>1</v>
      </c>
      <c r="E691">
        <f>IF(OR(F_Custom2_Q="(None)",F_Custom2_Q="",ISBLANK(F_Custom2_Q),F_Custom2_V="(All)",F_Custom2_V="",ISBLANK(F_Custom2_V)),1,IFERROR(IF(ISNUMBER(SEARCH("|"&amp;INDEX(INDIRECT(F_Custom2_resolved_column),690)&amp;"|",F_Custom2_wrapped)),1,0),0))</f>
        <v>1</v>
      </c>
      <c r="F691">
        <f>D691*E691*1</f>
        <v>1</v>
      </c>
      <c r="G691">
        <f>1</f>
        <v>1</v>
      </c>
      <c r="H6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690)&amp;"|",All_Questions_Q_STREAM_F_wrapped)),1,0),0))*1</f>
        <v>1</v>
      </c>
    </row>
    <row r="692">
      <c r="A692" t="n">
        <v>691</v>
      </c>
      <c r="B692" t="inlineStr">
        <is>
          <t>A</t>
        </is>
      </c>
      <c r="C692">
        <f>1</f>
        <v>1</v>
      </c>
      <c r="D692">
        <f>IF(OR(F_Custom1_Q="(None)",F_Custom1_Q="",ISBLANK(F_Custom1_Q),F_Custom1_V="(All)",F_Custom1_V="",ISBLANK(F_Custom1_V)),1,IFERROR(IF(ISNUMBER(SEARCH("|"&amp;INDEX(INDIRECT(F_Custom1_resolved_column),691)&amp;"|",F_Custom1_wrapped)),1,0),0))</f>
        <v>1</v>
      </c>
      <c r="E692">
        <f>IF(OR(F_Custom2_Q="(None)",F_Custom2_Q="",ISBLANK(F_Custom2_Q),F_Custom2_V="(All)",F_Custom2_V="",ISBLANK(F_Custom2_V)),1,IFERROR(IF(ISNUMBER(SEARCH("|"&amp;INDEX(INDIRECT(F_Custom2_resolved_column),691)&amp;"|",F_Custom2_wrapped)),1,0),0))</f>
        <v>1</v>
      </c>
      <c r="F692">
        <f>D692*E692*1</f>
        <v>1</v>
      </c>
      <c r="G692">
        <f>1</f>
        <v>1</v>
      </c>
      <c r="H6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691)&amp;"|",All_Questions_Q_STREAM_F_wrapped)),1,0),0))*1</f>
        <v>1</v>
      </c>
    </row>
    <row r="693">
      <c r="A693" t="n">
        <v>692</v>
      </c>
      <c r="B693" t="inlineStr">
        <is>
          <t>B</t>
        </is>
      </c>
      <c r="C693">
        <f>1</f>
        <v>1</v>
      </c>
      <c r="D693">
        <f>IF(OR(F_Custom1_Q="(None)",F_Custom1_Q="",ISBLANK(F_Custom1_Q),F_Custom1_V="(All)",F_Custom1_V="",ISBLANK(F_Custom1_V)),1,IFERROR(IF(ISNUMBER(SEARCH("|"&amp;INDEX(INDIRECT(F_Custom1_resolved_column),692)&amp;"|",F_Custom1_wrapped)),1,0),0))</f>
        <v>1</v>
      </c>
      <c r="E693">
        <f>IF(OR(F_Custom2_Q="(None)",F_Custom2_Q="",ISBLANK(F_Custom2_Q),F_Custom2_V="(All)",F_Custom2_V="",ISBLANK(F_Custom2_V)),1,IFERROR(IF(ISNUMBER(SEARCH("|"&amp;INDEX(INDIRECT(F_Custom2_resolved_column),692)&amp;"|",F_Custom2_wrapped)),1,0),0))</f>
        <v>1</v>
      </c>
      <c r="F693">
        <f>D693*E693*1</f>
        <v>1</v>
      </c>
      <c r="G693">
        <f>1</f>
        <v>1</v>
      </c>
      <c r="H6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692)&amp;"|",All_Questions_Q_STREAM_F_wrapped)),1,0),0))*1</f>
        <v>1</v>
      </c>
    </row>
    <row r="694">
      <c r="A694" t="n">
        <v>693</v>
      </c>
      <c r="B694" t="inlineStr">
        <is>
          <t>A</t>
        </is>
      </c>
      <c r="C694">
        <f>1</f>
        <v>1</v>
      </c>
      <c r="D694">
        <f>IF(OR(F_Custom1_Q="(None)",F_Custom1_Q="",ISBLANK(F_Custom1_Q),F_Custom1_V="(All)",F_Custom1_V="",ISBLANK(F_Custom1_V)),1,IFERROR(IF(ISNUMBER(SEARCH("|"&amp;INDEX(INDIRECT(F_Custom1_resolved_column),693)&amp;"|",F_Custom1_wrapped)),1,0),0))</f>
        <v>1</v>
      </c>
      <c r="E694">
        <f>IF(OR(F_Custom2_Q="(None)",F_Custom2_Q="",ISBLANK(F_Custom2_Q),F_Custom2_V="(All)",F_Custom2_V="",ISBLANK(F_Custom2_V)),1,IFERROR(IF(ISNUMBER(SEARCH("|"&amp;INDEX(INDIRECT(F_Custom2_resolved_column),693)&amp;"|",F_Custom2_wrapped)),1,0),0))</f>
        <v>1</v>
      </c>
      <c r="F694">
        <f>D694*E694*1</f>
        <v>1</v>
      </c>
      <c r="G694">
        <f>1</f>
        <v>1</v>
      </c>
      <c r="H6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693)&amp;"|",All_Questions_Q_STREAM_F_wrapped)),1,0),0))*1</f>
        <v>1</v>
      </c>
    </row>
    <row r="695">
      <c r="A695" t="n">
        <v>694</v>
      </c>
      <c r="B695" t="inlineStr">
        <is>
          <t>B</t>
        </is>
      </c>
      <c r="C695">
        <f>1</f>
        <v>1</v>
      </c>
      <c r="D695">
        <f>IF(OR(F_Custom1_Q="(None)",F_Custom1_Q="",ISBLANK(F_Custom1_Q),F_Custom1_V="(All)",F_Custom1_V="",ISBLANK(F_Custom1_V)),1,IFERROR(IF(ISNUMBER(SEARCH("|"&amp;INDEX(INDIRECT(F_Custom1_resolved_column),694)&amp;"|",F_Custom1_wrapped)),1,0),0))</f>
        <v>1</v>
      </c>
      <c r="E695">
        <f>IF(OR(F_Custom2_Q="(None)",F_Custom2_Q="",ISBLANK(F_Custom2_Q),F_Custom2_V="(All)",F_Custom2_V="",ISBLANK(F_Custom2_V)),1,IFERROR(IF(ISNUMBER(SEARCH("|"&amp;INDEX(INDIRECT(F_Custom2_resolved_column),694)&amp;"|",F_Custom2_wrapped)),1,0),0))</f>
        <v>1</v>
      </c>
      <c r="F695">
        <f>D695*E695*1</f>
        <v>1</v>
      </c>
      <c r="G695">
        <f>1</f>
        <v>1</v>
      </c>
      <c r="H6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694)&amp;"|",All_Questions_Q_STREAM_F_wrapped)),1,0),0))*1</f>
        <v>1</v>
      </c>
    </row>
    <row r="696">
      <c r="A696" t="n">
        <v>695</v>
      </c>
      <c r="B696" t="inlineStr">
        <is>
          <t>A</t>
        </is>
      </c>
      <c r="C696">
        <f>1</f>
        <v>1</v>
      </c>
      <c r="D696">
        <f>IF(OR(F_Custom1_Q="(None)",F_Custom1_Q="",ISBLANK(F_Custom1_Q),F_Custom1_V="(All)",F_Custom1_V="",ISBLANK(F_Custom1_V)),1,IFERROR(IF(ISNUMBER(SEARCH("|"&amp;INDEX(INDIRECT(F_Custom1_resolved_column),695)&amp;"|",F_Custom1_wrapped)),1,0),0))</f>
        <v>1</v>
      </c>
      <c r="E696">
        <f>IF(OR(F_Custom2_Q="(None)",F_Custom2_Q="",ISBLANK(F_Custom2_Q),F_Custom2_V="(All)",F_Custom2_V="",ISBLANK(F_Custom2_V)),1,IFERROR(IF(ISNUMBER(SEARCH("|"&amp;INDEX(INDIRECT(F_Custom2_resolved_column),695)&amp;"|",F_Custom2_wrapped)),1,0),0))</f>
        <v>1</v>
      </c>
      <c r="F696">
        <f>D696*E696*1</f>
        <v>1</v>
      </c>
      <c r="G696">
        <f>1</f>
        <v>1</v>
      </c>
      <c r="H6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695)&amp;"|",All_Questions_Q_STREAM_F_wrapped)),1,0),0))*1</f>
        <v>1</v>
      </c>
    </row>
    <row r="697">
      <c r="A697" t="n">
        <v>696</v>
      </c>
      <c r="B697" t="inlineStr">
        <is>
          <t>B</t>
        </is>
      </c>
      <c r="C697">
        <f>1</f>
        <v>1</v>
      </c>
      <c r="D697">
        <f>IF(OR(F_Custom1_Q="(None)",F_Custom1_Q="",ISBLANK(F_Custom1_Q),F_Custom1_V="(All)",F_Custom1_V="",ISBLANK(F_Custom1_V)),1,IFERROR(IF(ISNUMBER(SEARCH("|"&amp;INDEX(INDIRECT(F_Custom1_resolved_column),696)&amp;"|",F_Custom1_wrapped)),1,0),0))</f>
        <v>1</v>
      </c>
      <c r="E697">
        <f>IF(OR(F_Custom2_Q="(None)",F_Custom2_Q="",ISBLANK(F_Custom2_Q),F_Custom2_V="(All)",F_Custom2_V="",ISBLANK(F_Custom2_V)),1,IFERROR(IF(ISNUMBER(SEARCH("|"&amp;INDEX(INDIRECT(F_Custom2_resolved_column),696)&amp;"|",F_Custom2_wrapped)),1,0),0))</f>
        <v>1</v>
      </c>
      <c r="F697">
        <f>D697*E697*1</f>
        <v>1</v>
      </c>
      <c r="G697">
        <f>1</f>
        <v>1</v>
      </c>
      <c r="H6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696)&amp;"|",All_Questions_Q_STREAM_F_wrapped)),1,0),0))*1</f>
        <v>1</v>
      </c>
    </row>
    <row r="698">
      <c r="A698" t="n">
        <v>697</v>
      </c>
      <c r="B698" t="inlineStr">
        <is>
          <t>A</t>
        </is>
      </c>
      <c r="C698">
        <f>1</f>
        <v>1</v>
      </c>
      <c r="D698">
        <f>IF(OR(F_Custom1_Q="(None)",F_Custom1_Q="",ISBLANK(F_Custom1_Q),F_Custom1_V="(All)",F_Custom1_V="",ISBLANK(F_Custom1_V)),1,IFERROR(IF(ISNUMBER(SEARCH("|"&amp;INDEX(INDIRECT(F_Custom1_resolved_column),697)&amp;"|",F_Custom1_wrapped)),1,0),0))</f>
        <v>1</v>
      </c>
      <c r="E698">
        <f>IF(OR(F_Custom2_Q="(None)",F_Custom2_Q="",ISBLANK(F_Custom2_Q),F_Custom2_V="(All)",F_Custom2_V="",ISBLANK(F_Custom2_V)),1,IFERROR(IF(ISNUMBER(SEARCH("|"&amp;INDEX(INDIRECT(F_Custom2_resolved_column),697)&amp;"|",F_Custom2_wrapped)),1,0),0))</f>
        <v>1</v>
      </c>
      <c r="F698">
        <f>D698*E698*1</f>
        <v>1</v>
      </c>
      <c r="G698">
        <f>1</f>
        <v>1</v>
      </c>
      <c r="H6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697)&amp;"|",All_Questions_Q_STREAM_F_wrapped)),1,0),0))*1</f>
        <v>1</v>
      </c>
    </row>
    <row r="699">
      <c r="A699" t="n">
        <v>698</v>
      </c>
      <c r="B699" t="inlineStr">
        <is>
          <t>B</t>
        </is>
      </c>
      <c r="C699">
        <f>1</f>
        <v>1</v>
      </c>
      <c r="D699">
        <f>IF(OR(F_Custom1_Q="(None)",F_Custom1_Q="",ISBLANK(F_Custom1_Q),F_Custom1_V="(All)",F_Custom1_V="",ISBLANK(F_Custom1_V)),1,IFERROR(IF(ISNUMBER(SEARCH("|"&amp;INDEX(INDIRECT(F_Custom1_resolved_column),698)&amp;"|",F_Custom1_wrapped)),1,0),0))</f>
        <v>1</v>
      </c>
      <c r="E699">
        <f>IF(OR(F_Custom2_Q="(None)",F_Custom2_Q="",ISBLANK(F_Custom2_Q),F_Custom2_V="(All)",F_Custom2_V="",ISBLANK(F_Custom2_V)),1,IFERROR(IF(ISNUMBER(SEARCH("|"&amp;INDEX(INDIRECT(F_Custom2_resolved_column),698)&amp;"|",F_Custom2_wrapped)),1,0),0))</f>
        <v>1</v>
      </c>
      <c r="F699">
        <f>D699*E699*1</f>
        <v>1</v>
      </c>
      <c r="G699">
        <f>1</f>
        <v>1</v>
      </c>
      <c r="H6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698)&amp;"|",All_Questions_Q_STREAM_F_wrapped)),1,0),0))*1</f>
        <v>1</v>
      </c>
    </row>
    <row r="700">
      <c r="A700" t="n">
        <v>699</v>
      </c>
      <c r="B700" t="inlineStr">
        <is>
          <t>A</t>
        </is>
      </c>
      <c r="C700">
        <f>1</f>
        <v>1</v>
      </c>
      <c r="D700">
        <f>IF(OR(F_Custom1_Q="(None)",F_Custom1_Q="",ISBLANK(F_Custom1_Q),F_Custom1_V="(All)",F_Custom1_V="",ISBLANK(F_Custom1_V)),1,IFERROR(IF(ISNUMBER(SEARCH("|"&amp;INDEX(INDIRECT(F_Custom1_resolved_column),699)&amp;"|",F_Custom1_wrapped)),1,0),0))</f>
        <v>1</v>
      </c>
      <c r="E700">
        <f>IF(OR(F_Custom2_Q="(None)",F_Custom2_Q="",ISBLANK(F_Custom2_Q),F_Custom2_V="(All)",F_Custom2_V="",ISBLANK(F_Custom2_V)),1,IFERROR(IF(ISNUMBER(SEARCH("|"&amp;INDEX(INDIRECT(F_Custom2_resolved_column),699)&amp;"|",F_Custom2_wrapped)),1,0),0))</f>
        <v>1</v>
      </c>
      <c r="F700">
        <f>D700*E700*1</f>
        <v>1</v>
      </c>
      <c r="G700">
        <f>1</f>
        <v>1</v>
      </c>
      <c r="H7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699)&amp;"|",All_Questions_Q_STREAM_F_wrapped)),1,0),0))*1</f>
        <v>1</v>
      </c>
    </row>
    <row r="701">
      <c r="A701" t="n">
        <v>700</v>
      </c>
      <c r="B701" t="inlineStr">
        <is>
          <t>B</t>
        </is>
      </c>
      <c r="C701">
        <f>1</f>
        <v>1</v>
      </c>
      <c r="D701">
        <f>IF(OR(F_Custom1_Q="(None)",F_Custom1_Q="",ISBLANK(F_Custom1_Q),F_Custom1_V="(All)",F_Custom1_V="",ISBLANK(F_Custom1_V)),1,IFERROR(IF(ISNUMBER(SEARCH("|"&amp;INDEX(INDIRECT(F_Custom1_resolved_column),700)&amp;"|",F_Custom1_wrapped)),1,0),0))</f>
        <v>1</v>
      </c>
      <c r="E701">
        <f>IF(OR(F_Custom2_Q="(None)",F_Custom2_Q="",ISBLANK(F_Custom2_Q),F_Custom2_V="(All)",F_Custom2_V="",ISBLANK(F_Custom2_V)),1,IFERROR(IF(ISNUMBER(SEARCH("|"&amp;INDEX(INDIRECT(F_Custom2_resolved_column),700)&amp;"|",F_Custom2_wrapped)),1,0),0))</f>
        <v>1</v>
      </c>
      <c r="F701">
        <f>D701*E701*1</f>
        <v>1</v>
      </c>
      <c r="G701">
        <f>1</f>
        <v>1</v>
      </c>
      <c r="H7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700)&amp;"|",All_Questions_Q_STREAM_F_wrapped)),1,0),0))*1</f>
        <v>1</v>
      </c>
    </row>
    <row r="702">
      <c r="A702" t="n">
        <v>701</v>
      </c>
      <c r="B702" t="inlineStr">
        <is>
          <t>A</t>
        </is>
      </c>
      <c r="C702">
        <f>1</f>
        <v>1</v>
      </c>
      <c r="D702">
        <f>IF(OR(F_Custom1_Q="(None)",F_Custom1_Q="",ISBLANK(F_Custom1_Q),F_Custom1_V="(All)",F_Custom1_V="",ISBLANK(F_Custom1_V)),1,IFERROR(IF(ISNUMBER(SEARCH("|"&amp;INDEX(INDIRECT(F_Custom1_resolved_column),701)&amp;"|",F_Custom1_wrapped)),1,0),0))</f>
        <v>1</v>
      </c>
      <c r="E702">
        <f>IF(OR(F_Custom2_Q="(None)",F_Custom2_Q="",ISBLANK(F_Custom2_Q),F_Custom2_V="(All)",F_Custom2_V="",ISBLANK(F_Custom2_V)),1,IFERROR(IF(ISNUMBER(SEARCH("|"&amp;INDEX(INDIRECT(F_Custom2_resolved_column),701)&amp;"|",F_Custom2_wrapped)),1,0),0))</f>
        <v>1</v>
      </c>
      <c r="F702">
        <f>D702*E702*1</f>
        <v>1</v>
      </c>
      <c r="G702">
        <f>1</f>
        <v>1</v>
      </c>
      <c r="H7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701)&amp;"|",All_Questions_Q_STREAM_F_wrapped)),1,0),0))*1</f>
        <v>1</v>
      </c>
    </row>
    <row r="703">
      <c r="A703" t="n">
        <v>702</v>
      </c>
      <c r="B703" t="inlineStr">
        <is>
          <t>B</t>
        </is>
      </c>
      <c r="C703">
        <f>1</f>
        <v>1</v>
      </c>
      <c r="D703">
        <f>IF(OR(F_Custom1_Q="(None)",F_Custom1_Q="",ISBLANK(F_Custom1_Q),F_Custom1_V="(All)",F_Custom1_V="",ISBLANK(F_Custom1_V)),1,IFERROR(IF(ISNUMBER(SEARCH("|"&amp;INDEX(INDIRECT(F_Custom1_resolved_column),702)&amp;"|",F_Custom1_wrapped)),1,0),0))</f>
        <v>1</v>
      </c>
      <c r="E703">
        <f>IF(OR(F_Custom2_Q="(None)",F_Custom2_Q="",ISBLANK(F_Custom2_Q),F_Custom2_V="(All)",F_Custom2_V="",ISBLANK(F_Custom2_V)),1,IFERROR(IF(ISNUMBER(SEARCH("|"&amp;INDEX(INDIRECT(F_Custom2_resolved_column),702)&amp;"|",F_Custom2_wrapped)),1,0),0))</f>
        <v>1</v>
      </c>
      <c r="F703">
        <f>D703*E703*1</f>
        <v>1</v>
      </c>
      <c r="G703">
        <f>1</f>
        <v>1</v>
      </c>
      <c r="H7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702)&amp;"|",All_Questions_Q_STREAM_F_wrapped)),1,0),0))*1</f>
        <v>1</v>
      </c>
    </row>
    <row r="704">
      <c r="A704" t="n">
        <v>703</v>
      </c>
      <c r="B704" t="inlineStr">
        <is>
          <t>A</t>
        </is>
      </c>
      <c r="C704">
        <f>1</f>
        <v>1</v>
      </c>
      <c r="D704">
        <f>IF(OR(F_Custom1_Q="(None)",F_Custom1_Q="",ISBLANK(F_Custom1_Q),F_Custom1_V="(All)",F_Custom1_V="",ISBLANK(F_Custom1_V)),1,IFERROR(IF(ISNUMBER(SEARCH("|"&amp;INDEX(INDIRECT(F_Custom1_resolved_column),703)&amp;"|",F_Custom1_wrapped)),1,0),0))</f>
        <v>1</v>
      </c>
      <c r="E704">
        <f>IF(OR(F_Custom2_Q="(None)",F_Custom2_Q="",ISBLANK(F_Custom2_Q),F_Custom2_V="(All)",F_Custom2_V="",ISBLANK(F_Custom2_V)),1,IFERROR(IF(ISNUMBER(SEARCH("|"&amp;INDEX(INDIRECT(F_Custom2_resolved_column),703)&amp;"|",F_Custom2_wrapped)),1,0),0))</f>
        <v>1</v>
      </c>
      <c r="F704">
        <f>D704*E704*1</f>
        <v>1</v>
      </c>
      <c r="G704">
        <f>1</f>
        <v>1</v>
      </c>
      <c r="H7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703)&amp;"|",All_Questions_Q_STREAM_F_wrapped)),1,0),0))*1</f>
        <v>1</v>
      </c>
    </row>
    <row r="705">
      <c r="A705" t="n">
        <v>704</v>
      </c>
      <c r="B705" t="inlineStr">
        <is>
          <t>B</t>
        </is>
      </c>
      <c r="C705">
        <f>1</f>
        <v>1</v>
      </c>
      <c r="D705">
        <f>IF(OR(F_Custom1_Q="(None)",F_Custom1_Q="",ISBLANK(F_Custom1_Q),F_Custom1_V="(All)",F_Custom1_V="",ISBLANK(F_Custom1_V)),1,IFERROR(IF(ISNUMBER(SEARCH("|"&amp;INDEX(INDIRECT(F_Custom1_resolved_column),704)&amp;"|",F_Custom1_wrapped)),1,0),0))</f>
        <v>1</v>
      </c>
      <c r="E705">
        <f>IF(OR(F_Custom2_Q="(None)",F_Custom2_Q="",ISBLANK(F_Custom2_Q),F_Custom2_V="(All)",F_Custom2_V="",ISBLANK(F_Custom2_V)),1,IFERROR(IF(ISNUMBER(SEARCH("|"&amp;INDEX(INDIRECT(F_Custom2_resolved_column),704)&amp;"|",F_Custom2_wrapped)),1,0),0))</f>
        <v>1</v>
      </c>
      <c r="F705">
        <f>D705*E705*1</f>
        <v>1</v>
      </c>
      <c r="G705">
        <f>1</f>
        <v>1</v>
      </c>
      <c r="H7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704)&amp;"|",All_Questions_Q_STREAM_F_wrapped)),1,0),0))*1</f>
        <v>1</v>
      </c>
    </row>
    <row r="706">
      <c r="A706" t="n">
        <v>705</v>
      </c>
      <c r="B706" t="inlineStr">
        <is>
          <t>A</t>
        </is>
      </c>
      <c r="C706">
        <f>1</f>
        <v>1</v>
      </c>
      <c r="D706">
        <f>IF(OR(F_Custom1_Q="(None)",F_Custom1_Q="",ISBLANK(F_Custom1_Q),F_Custom1_V="(All)",F_Custom1_V="",ISBLANK(F_Custom1_V)),1,IFERROR(IF(ISNUMBER(SEARCH("|"&amp;INDEX(INDIRECT(F_Custom1_resolved_column),705)&amp;"|",F_Custom1_wrapped)),1,0),0))</f>
        <v>1</v>
      </c>
      <c r="E706">
        <f>IF(OR(F_Custom2_Q="(None)",F_Custom2_Q="",ISBLANK(F_Custom2_Q),F_Custom2_V="(All)",F_Custom2_V="",ISBLANK(F_Custom2_V)),1,IFERROR(IF(ISNUMBER(SEARCH("|"&amp;INDEX(INDIRECT(F_Custom2_resolved_column),705)&amp;"|",F_Custom2_wrapped)),1,0),0))</f>
        <v>1</v>
      </c>
      <c r="F706">
        <f>D706*E706*1</f>
        <v>1</v>
      </c>
      <c r="G706">
        <f>1</f>
        <v>1</v>
      </c>
      <c r="H7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705)&amp;"|",All_Questions_Q_STREAM_F_wrapped)),1,0),0))*1</f>
        <v>1</v>
      </c>
    </row>
    <row r="707">
      <c r="A707" t="n">
        <v>706</v>
      </c>
      <c r="B707" t="inlineStr">
        <is>
          <t>B</t>
        </is>
      </c>
      <c r="C707">
        <f>1</f>
        <v>1</v>
      </c>
      <c r="D707">
        <f>IF(OR(F_Custom1_Q="(None)",F_Custom1_Q="",ISBLANK(F_Custom1_Q),F_Custom1_V="(All)",F_Custom1_V="",ISBLANK(F_Custom1_V)),1,IFERROR(IF(ISNUMBER(SEARCH("|"&amp;INDEX(INDIRECT(F_Custom1_resolved_column),706)&amp;"|",F_Custom1_wrapped)),1,0),0))</f>
        <v>1</v>
      </c>
      <c r="E707">
        <f>IF(OR(F_Custom2_Q="(None)",F_Custom2_Q="",ISBLANK(F_Custom2_Q),F_Custom2_V="(All)",F_Custom2_V="",ISBLANK(F_Custom2_V)),1,IFERROR(IF(ISNUMBER(SEARCH("|"&amp;INDEX(INDIRECT(F_Custom2_resolved_column),706)&amp;"|",F_Custom2_wrapped)),1,0),0))</f>
        <v>1</v>
      </c>
      <c r="F707">
        <f>D707*E707*1</f>
        <v>1</v>
      </c>
      <c r="G707">
        <f>1</f>
        <v>1</v>
      </c>
      <c r="H7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706)&amp;"|",All_Questions_Q_STREAM_F_wrapped)),1,0),0))*1</f>
        <v>1</v>
      </c>
    </row>
    <row r="708">
      <c r="A708" t="n">
        <v>707</v>
      </c>
      <c r="B708" t="inlineStr">
        <is>
          <t>A</t>
        </is>
      </c>
      <c r="C708">
        <f>1</f>
        <v>1</v>
      </c>
      <c r="D708">
        <f>IF(OR(F_Custom1_Q="(None)",F_Custom1_Q="",ISBLANK(F_Custom1_Q),F_Custom1_V="(All)",F_Custom1_V="",ISBLANK(F_Custom1_V)),1,IFERROR(IF(ISNUMBER(SEARCH("|"&amp;INDEX(INDIRECT(F_Custom1_resolved_column),707)&amp;"|",F_Custom1_wrapped)),1,0),0))</f>
        <v>1</v>
      </c>
      <c r="E708">
        <f>IF(OR(F_Custom2_Q="(None)",F_Custom2_Q="",ISBLANK(F_Custom2_Q),F_Custom2_V="(All)",F_Custom2_V="",ISBLANK(F_Custom2_V)),1,IFERROR(IF(ISNUMBER(SEARCH("|"&amp;INDEX(INDIRECT(F_Custom2_resolved_column),707)&amp;"|",F_Custom2_wrapped)),1,0),0))</f>
        <v>1</v>
      </c>
      <c r="F708">
        <f>D708*E708*1</f>
        <v>1</v>
      </c>
      <c r="G708">
        <f>1</f>
        <v>1</v>
      </c>
      <c r="H7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707)&amp;"|",All_Questions_Q_STREAM_F_wrapped)),1,0),0))*1</f>
        <v>1</v>
      </c>
    </row>
    <row r="709">
      <c r="A709" t="n">
        <v>708</v>
      </c>
      <c r="B709" t="inlineStr">
        <is>
          <t>B</t>
        </is>
      </c>
      <c r="C709">
        <f>1</f>
        <v>1</v>
      </c>
      <c r="D709">
        <f>IF(OR(F_Custom1_Q="(None)",F_Custom1_Q="",ISBLANK(F_Custom1_Q),F_Custom1_V="(All)",F_Custom1_V="",ISBLANK(F_Custom1_V)),1,IFERROR(IF(ISNUMBER(SEARCH("|"&amp;INDEX(INDIRECT(F_Custom1_resolved_column),708)&amp;"|",F_Custom1_wrapped)),1,0),0))</f>
        <v>1</v>
      </c>
      <c r="E709">
        <f>IF(OR(F_Custom2_Q="(None)",F_Custom2_Q="",ISBLANK(F_Custom2_Q),F_Custom2_V="(All)",F_Custom2_V="",ISBLANK(F_Custom2_V)),1,IFERROR(IF(ISNUMBER(SEARCH("|"&amp;INDEX(INDIRECT(F_Custom2_resolved_column),708)&amp;"|",F_Custom2_wrapped)),1,0),0))</f>
        <v>1</v>
      </c>
      <c r="F709">
        <f>D709*E709*1</f>
        <v>1</v>
      </c>
      <c r="G709">
        <f>1</f>
        <v>1</v>
      </c>
      <c r="H7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708)&amp;"|",All_Questions_Q_STREAM_F_wrapped)),1,0),0))*1</f>
        <v>1</v>
      </c>
    </row>
    <row r="710">
      <c r="A710" t="n">
        <v>709</v>
      </c>
      <c r="B710" t="inlineStr">
        <is>
          <t>A</t>
        </is>
      </c>
      <c r="C710">
        <f>1</f>
        <v>1</v>
      </c>
      <c r="D710">
        <f>IF(OR(F_Custom1_Q="(None)",F_Custom1_Q="",ISBLANK(F_Custom1_Q),F_Custom1_V="(All)",F_Custom1_V="",ISBLANK(F_Custom1_V)),1,IFERROR(IF(ISNUMBER(SEARCH("|"&amp;INDEX(INDIRECT(F_Custom1_resolved_column),709)&amp;"|",F_Custom1_wrapped)),1,0),0))</f>
        <v>1</v>
      </c>
      <c r="E710">
        <f>IF(OR(F_Custom2_Q="(None)",F_Custom2_Q="",ISBLANK(F_Custom2_Q),F_Custom2_V="(All)",F_Custom2_V="",ISBLANK(F_Custom2_V)),1,IFERROR(IF(ISNUMBER(SEARCH("|"&amp;INDEX(INDIRECT(F_Custom2_resolved_column),709)&amp;"|",F_Custom2_wrapped)),1,0),0))</f>
        <v>1</v>
      </c>
      <c r="F710">
        <f>D710*E710*1</f>
        <v>1</v>
      </c>
      <c r="G710">
        <f>1</f>
        <v>1</v>
      </c>
      <c r="H7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709)&amp;"|",All_Questions_Q_STREAM_F_wrapped)),1,0),0))*1</f>
        <v>1</v>
      </c>
    </row>
    <row r="711">
      <c r="A711" t="n">
        <v>710</v>
      </c>
      <c r="B711" t="inlineStr">
        <is>
          <t>B</t>
        </is>
      </c>
      <c r="C711">
        <f>1</f>
        <v>1</v>
      </c>
      <c r="D711">
        <f>IF(OR(F_Custom1_Q="(None)",F_Custom1_Q="",ISBLANK(F_Custom1_Q),F_Custom1_V="(All)",F_Custom1_V="",ISBLANK(F_Custom1_V)),1,IFERROR(IF(ISNUMBER(SEARCH("|"&amp;INDEX(INDIRECT(F_Custom1_resolved_column),710)&amp;"|",F_Custom1_wrapped)),1,0),0))</f>
        <v>1</v>
      </c>
      <c r="E711">
        <f>IF(OR(F_Custom2_Q="(None)",F_Custom2_Q="",ISBLANK(F_Custom2_Q),F_Custom2_V="(All)",F_Custom2_V="",ISBLANK(F_Custom2_V)),1,IFERROR(IF(ISNUMBER(SEARCH("|"&amp;INDEX(INDIRECT(F_Custom2_resolved_column),710)&amp;"|",F_Custom2_wrapped)),1,0),0))</f>
        <v>1</v>
      </c>
      <c r="F711">
        <f>D711*E711*1</f>
        <v>1</v>
      </c>
      <c r="G711">
        <f>1</f>
        <v>1</v>
      </c>
      <c r="H7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710)&amp;"|",All_Questions_Q_STREAM_F_wrapped)),1,0),0))*1</f>
        <v>1</v>
      </c>
    </row>
    <row r="712">
      <c r="A712" t="n">
        <v>711</v>
      </c>
      <c r="B712" t="inlineStr">
        <is>
          <t>A</t>
        </is>
      </c>
      <c r="C712">
        <f>1</f>
        <v>1</v>
      </c>
      <c r="D712">
        <f>IF(OR(F_Custom1_Q="(None)",F_Custom1_Q="",ISBLANK(F_Custom1_Q),F_Custom1_V="(All)",F_Custom1_V="",ISBLANK(F_Custom1_V)),1,IFERROR(IF(ISNUMBER(SEARCH("|"&amp;INDEX(INDIRECT(F_Custom1_resolved_column),711)&amp;"|",F_Custom1_wrapped)),1,0),0))</f>
        <v>1</v>
      </c>
      <c r="E712">
        <f>IF(OR(F_Custom2_Q="(None)",F_Custom2_Q="",ISBLANK(F_Custom2_Q),F_Custom2_V="(All)",F_Custom2_V="",ISBLANK(F_Custom2_V)),1,IFERROR(IF(ISNUMBER(SEARCH("|"&amp;INDEX(INDIRECT(F_Custom2_resolved_column),711)&amp;"|",F_Custom2_wrapped)),1,0),0))</f>
        <v>1</v>
      </c>
      <c r="F712">
        <f>D712*E712*1</f>
        <v>1</v>
      </c>
      <c r="G712">
        <f>1</f>
        <v>1</v>
      </c>
      <c r="H7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711)&amp;"|",All_Questions_Q_STREAM_F_wrapped)),1,0),0))*1</f>
        <v>1</v>
      </c>
    </row>
    <row r="713">
      <c r="A713" t="n">
        <v>712</v>
      </c>
      <c r="B713" t="inlineStr">
        <is>
          <t>B</t>
        </is>
      </c>
      <c r="C713">
        <f>1</f>
        <v>1</v>
      </c>
      <c r="D713">
        <f>IF(OR(F_Custom1_Q="(None)",F_Custom1_Q="",ISBLANK(F_Custom1_Q),F_Custom1_V="(All)",F_Custom1_V="",ISBLANK(F_Custom1_V)),1,IFERROR(IF(ISNUMBER(SEARCH("|"&amp;INDEX(INDIRECT(F_Custom1_resolved_column),712)&amp;"|",F_Custom1_wrapped)),1,0),0))</f>
        <v>1</v>
      </c>
      <c r="E713">
        <f>IF(OR(F_Custom2_Q="(None)",F_Custom2_Q="",ISBLANK(F_Custom2_Q),F_Custom2_V="(All)",F_Custom2_V="",ISBLANK(F_Custom2_V)),1,IFERROR(IF(ISNUMBER(SEARCH("|"&amp;INDEX(INDIRECT(F_Custom2_resolved_column),712)&amp;"|",F_Custom2_wrapped)),1,0),0))</f>
        <v>1</v>
      </c>
      <c r="F713">
        <f>D713*E713*1</f>
        <v>1</v>
      </c>
      <c r="G713">
        <f>1</f>
        <v>1</v>
      </c>
      <c r="H7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712)&amp;"|",All_Questions_Q_STREAM_F_wrapped)),1,0),0))*1</f>
        <v>1</v>
      </c>
    </row>
    <row r="714">
      <c r="A714" t="n">
        <v>713</v>
      </c>
      <c r="B714" t="inlineStr">
        <is>
          <t>A</t>
        </is>
      </c>
      <c r="C714">
        <f>1</f>
        <v>1</v>
      </c>
      <c r="D714">
        <f>IF(OR(F_Custom1_Q="(None)",F_Custom1_Q="",ISBLANK(F_Custom1_Q),F_Custom1_V="(All)",F_Custom1_V="",ISBLANK(F_Custom1_V)),1,IFERROR(IF(ISNUMBER(SEARCH("|"&amp;INDEX(INDIRECT(F_Custom1_resolved_column),713)&amp;"|",F_Custom1_wrapped)),1,0),0))</f>
        <v>1</v>
      </c>
      <c r="E714">
        <f>IF(OR(F_Custom2_Q="(None)",F_Custom2_Q="",ISBLANK(F_Custom2_Q),F_Custom2_V="(All)",F_Custom2_V="",ISBLANK(F_Custom2_V)),1,IFERROR(IF(ISNUMBER(SEARCH("|"&amp;INDEX(INDIRECT(F_Custom2_resolved_column),713)&amp;"|",F_Custom2_wrapped)),1,0),0))</f>
        <v>1</v>
      </c>
      <c r="F714">
        <f>D714*E714*1</f>
        <v>1</v>
      </c>
      <c r="G714">
        <f>1</f>
        <v>1</v>
      </c>
      <c r="H7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713)&amp;"|",All_Questions_Q_STREAM_F_wrapped)),1,0),0))*1</f>
        <v>1</v>
      </c>
    </row>
    <row r="715">
      <c r="A715" t="n">
        <v>714</v>
      </c>
      <c r="B715" t="inlineStr">
        <is>
          <t>B</t>
        </is>
      </c>
      <c r="C715">
        <f>1</f>
        <v>1</v>
      </c>
      <c r="D715">
        <f>IF(OR(F_Custom1_Q="(None)",F_Custom1_Q="",ISBLANK(F_Custom1_Q),F_Custom1_V="(All)",F_Custom1_V="",ISBLANK(F_Custom1_V)),1,IFERROR(IF(ISNUMBER(SEARCH("|"&amp;INDEX(INDIRECT(F_Custom1_resolved_column),714)&amp;"|",F_Custom1_wrapped)),1,0),0))</f>
        <v>1</v>
      </c>
      <c r="E715">
        <f>IF(OR(F_Custom2_Q="(None)",F_Custom2_Q="",ISBLANK(F_Custom2_Q),F_Custom2_V="(All)",F_Custom2_V="",ISBLANK(F_Custom2_V)),1,IFERROR(IF(ISNUMBER(SEARCH("|"&amp;INDEX(INDIRECT(F_Custom2_resolved_column),714)&amp;"|",F_Custom2_wrapped)),1,0),0))</f>
        <v>1</v>
      </c>
      <c r="F715">
        <f>D715*E715*1</f>
        <v>1</v>
      </c>
      <c r="G715">
        <f>1</f>
        <v>1</v>
      </c>
      <c r="H7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714)&amp;"|",All_Questions_Q_STREAM_F_wrapped)),1,0),0))*1</f>
        <v>1</v>
      </c>
    </row>
    <row r="716">
      <c r="A716" t="n">
        <v>715</v>
      </c>
      <c r="B716" t="inlineStr">
        <is>
          <t>A</t>
        </is>
      </c>
      <c r="C716">
        <f>1</f>
        <v>1</v>
      </c>
      <c r="D716">
        <f>IF(OR(F_Custom1_Q="(None)",F_Custom1_Q="",ISBLANK(F_Custom1_Q),F_Custom1_V="(All)",F_Custom1_V="",ISBLANK(F_Custom1_V)),1,IFERROR(IF(ISNUMBER(SEARCH("|"&amp;INDEX(INDIRECT(F_Custom1_resolved_column),715)&amp;"|",F_Custom1_wrapped)),1,0),0))</f>
        <v>1</v>
      </c>
      <c r="E716">
        <f>IF(OR(F_Custom2_Q="(None)",F_Custom2_Q="",ISBLANK(F_Custom2_Q),F_Custom2_V="(All)",F_Custom2_V="",ISBLANK(F_Custom2_V)),1,IFERROR(IF(ISNUMBER(SEARCH("|"&amp;INDEX(INDIRECT(F_Custom2_resolved_column),715)&amp;"|",F_Custom2_wrapped)),1,0),0))</f>
        <v>1</v>
      </c>
      <c r="F716">
        <f>D716*E716*1</f>
        <v>1</v>
      </c>
      <c r="G716">
        <f>1</f>
        <v>1</v>
      </c>
      <c r="H7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715)&amp;"|",All_Questions_Q_STREAM_F_wrapped)),1,0),0))*1</f>
        <v>1</v>
      </c>
    </row>
    <row r="717">
      <c r="A717" t="n">
        <v>716</v>
      </c>
      <c r="B717" t="inlineStr">
        <is>
          <t>B</t>
        </is>
      </c>
      <c r="C717">
        <f>1</f>
        <v>1</v>
      </c>
      <c r="D717">
        <f>IF(OR(F_Custom1_Q="(None)",F_Custom1_Q="",ISBLANK(F_Custom1_Q),F_Custom1_V="(All)",F_Custom1_V="",ISBLANK(F_Custom1_V)),1,IFERROR(IF(ISNUMBER(SEARCH("|"&amp;INDEX(INDIRECT(F_Custom1_resolved_column),716)&amp;"|",F_Custom1_wrapped)),1,0),0))</f>
        <v>1</v>
      </c>
      <c r="E717">
        <f>IF(OR(F_Custom2_Q="(None)",F_Custom2_Q="",ISBLANK(F_Custom2_Q),F_Custom2_V="(All)",F_Custom2_V="",ISBLANK(F_Custom2_V)),1,IFERROR(IF(ISNUMBER(SEARCH("|"&amp;INDEX(INDIRECT(F_Custom2_resolved_column),716)&amp;"|",F_Custom2_wrapped)),1,0),0))</f>
        <v>1</v>
      </c>
      <c r="F717">
        <f>D717*E717*1</f>
        <v>1</v>
      </c>
      <c r="G717">
        <f>1</f>
        <v>1</v>
      </c>
      <c r="H7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716)&amp;"|",All_Questions_Q_STREAM_F_wrapped)),1,0),0))*1</f>
        <v>1</v>
      </c>
    </row>
    <row r="718">
      <c r="A718" t="n">
        <v>717</v>
      </c>
      <c r="B718" t="inlineStr">
        <is>
          <t>A</t>
        </is>
      </c>
      <c r="C718">
        <f>1</f>
        <v>1</v>
      </c>
      <c r="D718">
        <f>IF(OR(F_Custom1_Q="(None)",F_Custom1_Q="",ISBLANK(F_Custom1_Q),F_Custom1_V="(All)",F_Custom1_V="",ISBLANK(F_Custom1_V)),1,IFERROR(IF(ISNUMBER(SEARCH("|"&amp;INDEX(INDIRECT(F_Custom1_resolved_column),717)&amp;"|",F_Custom1_wrapped)),1,0),0))</f>
        <v>1</v>
      </c>
      <c r="E718">
        <f>IF(OR(F_Custom2_Q="(None)",F_Custom2_Q="",ISBLANK(F_Custom2_Q),F_Custom2_V="(All)",F_Custom2_V="",ISBLANK(F_Custom2_V)),1,IFERROR(IF(ISNUMBER(SEARCH("|"&amp;INDEX(INDIRECT(F_Custom2_resolved_column),717)&amp;"|",F_Custom2_wrapped)),1,0),0))</f>
        <v>1</v>
      </c>
      <c r="F718">
        <f>D718*E718*1</f>
        <v>1</v>
      </c>
      <c r="G718">
        <f>1</f>
        <v>1</v>
      </c>
      <c r="H7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717)&amp;"|",All_Questions_Q_STREAM_F_wrapped)),1,0),0))*1</f>
        <v>1</v>
      </c>
    </row>
    <row r="719">
      <c r="A719" t="n">
        <v>718</v>
      </c>
      <c r="B719" t="inlineStr">
        <is>
          <t>B</t>
        </is>
      </c>
      <c r="C719">
        <f>1</f>
        <v>1</v>
      </c>
      <c r="D719">
        <f>IF(OR(F_Custom1_Q="(None)",F_Custom1_Q="",ISBLANK(F_Custom1_Q),F_Custom1_V="(All)",F_Custom1_V="",ISBLANK(F_Custom1_V)),1,IFERROR(IF(ISNUMBER(SEARCH("|"&amp;INDEX(INDIRECT(F_Custom1_resolved_column),718)&amp;"|",F_Custom1_wrapped)),1,0),0))</f>
        <v>1</v>
      </c>
      <c r="E719">
        <f>IF(OR(F_Custom2_Q="(None)",F_Custom2_Q="",ISBLANK(F_Custom2_Q),F_Custom2_V="(All)",F_Custom2_V="",ISBLANK(F_Custom2_V)),1,IFERROR(IF(ISNUMBER(SEARCH("|"&amp;INDEX(INDIRECT(F_Custom2_resolved_column),718)&amp;"|",F_Custom2_wrapped)),1,0),0))</f>
        <v>1</v>
      </c>
      <c r="F719">
        <f>D719*E719*1</f>
        <v>1</v>
      </c>
      <c r="G719">
        <f>1</f>
        <v>1</v>
      </c>
      <c r="H7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718)&amp;"|",All_Questions_Q_STREAM_F_wrapped)),1,0),0))*1</f>
        <v>1</v>
      </c>
    </row>
    <row r="720">
      <c r="A720" t="n">
        <v>719</v>
      </c>
      <c r="B720" t="inlineStr">
        <is>
          <t>A</t>
        </is>
      </c>
      <c r="C720">
        <f>1</f>
        <v>1</v>
      </c>
      <c r="D720">
        <f>IF(OR(F_Custom1_Q="(None)",F_Custom1_Q="",ISBLANK(F_Custom1_Q),F_Custom1_V="(All)",F_Custom1_V="",ISBLANK(F_Custom1_V)),1,IFERROR(IF(ISNUMBER(SEARCH("|"&amp;INDEX(INDIRECT(F_Custom1_resolved_column),719)&amp;"|",F_Custom1_wrapped)),1,0),0))</f>
        <v>1</v>
      </c>
      <c r="E720">
        <f>IF(OR(F_Custom2_Q="(None)",F_Custom2_Q="",ISBLANK(F_Custom2_Q),F_Custom2_V="(All)",F_Custom2_V="",ISBLANK(F_Custom2_V)),1,IFERROR(IF(ISNUMBER(SEARCH("|"&amp;INDEX(INDIRECT(F_Custom2_resolved_column),719)&amp;"|",F_Custom2_wrapped)),1,0),0))</f>
        <v>1</v>
      </c>
      <c r="F720">
        <f>D720*E720*1</f>
        <v>1</v>
      </c>
      <c r="G720">
        <f>1</f>
        <v>1</v>
      </c>
      <c r="H7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719)&amp;"|",All_Questions_Q_STREAM_F_wrapped)),1,0),0))*1</f>
        <v>1</v>
      </c>
    </row>
    <row r="721">
      <c r="A721" t="n">
        <v>720</v>
      </c>
      <c r="B721" t="inlineStr">
        <is>
          <t>B</t>
        </is>
      </c>
      <c r="C721">
        <f>1</f>
        <v>1</v>
      </c>
      <c r="D721">
        <f>IF(OR(F_Custom1_Q="(None)",F_Custom1_Q="",ISBLANK(F_Custom1_Q),F_Custom1_V="(All)",F_Custom1_V="",ISBLANK(F_Custom1_V)),1,IFERROR(IF(ISNUMBER(SEARCH("|"&amp;INDEX(INDIRECT(F_Custom1_resolved_column),720)&amp;"|",F_Custom1_wrapped)),1,0),0))</f>
        <v>1</v>
      </c>
      <c r="E721">
        <f>IF(OR(F_Custom2_Q="(None)",F_Custom2_Q="",ISBLANK(F_Custom2_Q),F_Custom2_V="(All)",F_Custom2_V="",ISBLANK(F_Custom2_V)),1,IFERROR(IF(ISNUMBER(SEARCH("|"&amp;INDEX(INDIRECT(F_Custom2_resolved_column),720)&amp;"|",F_Custom2_wrapped)),1,0),0))</f>
        <v>1</v>
      </c>
      <c r="F721">
        <f>D721*E721*1</f>
        <v>1</v>
      </c>
      <c r="G721">
        <f>1</f>
        <v>1</v>
      </c>
      <c r="H7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720)&amp;"|",All_Questions_Q_STREAM_F_wrapped)),1,0),0))*1</f>
        <v>1</v>
      </c>
    </row>
    <row r="722">
      <c r="A722" t="n">
        <v>721</v>
      </c>
      <c r="B722" t="inlineStr">
        <is>
          <t>A</t>
        </is>
      </c>
      <c r="C722">
        <f>1</f>
        <v>1</v>
      </c>
      <c r="D722">
        <f>IF(OR(F_Custom1_Q="(None)",F_Custom1_Q="",ISBLANK(F_Custom1_Q),F_Custom1_V="(All)",F_Custom1_V="",ISBLANK(F_Custom1_V)),1,IFERROR(IF(ISNUMBER(SEARCH("|"&amp;INDEX(INDIRECT(F_Custom1_resolved_column),721)&amp;"|",F_Custom1_wrapped)),1,0),0))</f>
        <v>1</v>
      </c>
      <c r="E722">
        <f>IF(OR(F_Custom2_Q="(None)",F_Custom2_Q="",ISBLANK(F_Custom2_Q),F_Custom2_V="(All)",F_Custom2_V="",ISBLANK(F_Custom2_V)),1,IFERROR(IF(ISNUMBER(SEARCH("|"&amp;INDEX(INDIRECT(F_Custom2_resolved_column),721)&amp;"|",F_Custom2_wrapped)),1,0),0))</f>
        <v>1</v>
      </c>
      <c r="F722">
        <f>D722*E722*1</f>
        <v>1</v>
      </c>
      <c r="G722">
        <f>1</f>
        <v>1</v>
      </c>
      <c r="H7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721)&amp;"|",All_Questions_Q_STREAM_F_wrapped)),1,0),0))*1</f>
        <v>1</v>
      </c>
    </row>
    <row r="723">
      <c r="A723" t="n">
        <v>722</v>
      </c>
      <c r="B723" t="inlineStr">
        <is>
          <t>B</t>
        </is>
      </c>
      <c r="C723">
        <f>1</f>
        <v>1</v>
      </c>
      <c r="D723">
        <f>IF(OR(F_Custom1_Q="(None)",F_Custom1_Q="",ISBLANK(F_Custom1_Q),F_Custom1_V="(All)",F_Custom1_V="",ISBLANK(F_Custom1_V)),1,IFERROR(IF(ISNUMBER(SEARCH("|"&amp;INDEX(INDIRECT(F_Custom1_resolved_column),722)&amp;"|",F_Custom1_wrapped)),1,0),0))</f>
        <v>1</v>
      </c>
      <c r="E723">
        <f>IF(OR(F_Custom2_Q="(None)",F_Custom2_Q="",ISBLANK(F_Custom2_Q),F_Custom2_V="(All)",F_Custom2_V="",ISBLANK(F_Custom2_V)),1,IFERROR(IF(ISNUMBER(SEARCH("|"&amp;INDEX(INDIRECT(F_Custom2_resolved_column),722)&amp;"|",F_Custom2_wrapped)),1,0),0))</f>
        <v>1</v>
      </c>
      <c r="F723">
        <f>D723*E723*1</f>
        <v>1</v>
      </c>
      <c r="G723">
        <f>1</f>
        <v>1</v>
      </c>
      <c r="H7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722)&amp;"|",All_Questions_Q_STREAM_F_wrapped)),1,0),0))*1</f>
        <v>1</v>
      </c>
    </row>
    <row r="724">
      <c r="A724" t="n">
        <v>723</v>
      </c>
      <c r="B724" t="inlineStr">
        <is>
          <t>A</t>
        </is>
      </c>
      <c r="C724">
        <f>1</f>
        <v>1</v>
      </c>
      <c r="D724">
        <f>IF(OR(F_Custom1_Q="(None)",F_Custom1_Q="",ISBLANK(F_Custom1_Q),F_Custom1_V="(All)",F_Custom1_V="",ISBLANK(F_Custom1_V)),1,IFERROR(IF(ISNUMBER(SEARCH("|"&amp;INDEX(INDIRECT(F_Custom1_resolved_column),723)&amp;"|",F_Custom1_wrapped)),1,0),0))</f>
        <v>1</v>
      </c>
      <c r="E724">
        <f>IF(OR(F_Custom2_Q="(None)",F_Custom2_Q="",ISBLANK(F_Custom2_Q),F_Custom2_V="(All)",F_Custom2_V="",ISBLANK(F_Custom2_V)),1,IFERROR(IF(ISNUMBER(SEARCH("|"&amp;INDEX(INDIRECT(F_Custom2_resolved_column),723)&amp;"|",F_Custom2_wrapped)),1,0),0))</f>
        <v>1</v>
      </c>
      <c r="F724">
        <f>D724*E724*1</f>
        <v>1</v>
      </c>
      <c r="G724">
        <f>1</f>
        <v>1</v>
      </c>
      <c r="H7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723)&amp;"|",All_Questions_Q_STREAM_F_wrapped)),1,0),0))*1</f>
        <v>1</v>
      </c>
    </row>
    <row r="725">
      <c r="A725" t="n">
        <v>724</v>
      </c>
      <c r="B725" t="inlineStr">
        <is>
          <t>B</t>
        </is>
      </c>
      <c r="C725">
        <f>1</f>
        <v>1</v>
      </c>
      <c r="D725">
        <f>IF(OR(F_Custom1_Q="(None)",F_Custom1_Q="",ISBLANK(F_Custom1_Q),F_Custom1_V="(All)",F_Custom1_V="",ISBLANK(F_Custom1_V)),1,IFERROR(IF(ISNUMBER(SEARCH("|"&amp;INDEX(INDIRECT(F_Custom1_resolved_column),724)&amp;"|",F_Custom1_wrapped)),1,0),0))</f>
        <v>1</v>
      </c>
      <c r="E725">
        <f>IF(OR(F_Custom2_Q="(None)",F_Custom2_Q="",ISBLANK(F_Custom2_Q),F_Custom2_V="(All)",F_Custom2_V="",ISBLANK(F_Custom2_V)),1,IFERROR(IF(ISNUMBER(SEARCH("|"&amp;INDEX(INDIRECT(F_Custom2_resolved_column),724)&amp;"|",F_Custom2_wrapped)),1,0),0))</f>
        <v>1</v>
      </c>
      <c r="F725">
        <f>D725*E725*1</f>
        <v>1</v>
      </c>
      <c r="G725">
        <f>1</f>
        <v>1</v>
      </c>
      <c r="H7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724)&amp;"|",All_Questions_Q_STREAM_F_wrapped)),1,0),0))*1</f>
        <v>1</v>
      </c>
    </row>
    <row r="726">
      <c r="A726" t="n">
        <v>725</v>
      </c>
      <c r="B726" t="inlineStr">
        <is>
          <t>A</t>
        </is>
      </c>
      <c r="C726">
        <f>1</f>
        <v>1</v>
      </c>
      <c r="D726">
        <f>IF(OR(F_Custom1_Q="(None)",F_Custom1_Q="",ISBLANK(F_Custom1_Q),F_Custom1_V="(All)",F_Custom1_V="",ISBLANK(F_Custom1_V)),1,IFERROR(IF(ISNUMBER(SEARCH("|"&amp;INDEX(INDIRECT(F_Custom1_resolved_column),725)&amp;"|",F_Custom1_wrapped)),1,0),0))</f>
        <v>1</v>
      </c>
      <c r="E726">
        <f>IF(OR(F_Custom2_Q="(None)",F_Custom2_Q="",ISBLANK(F_Custom2_Q),F_Custom2_V="(All)",F_Custom2_V="",ISBLANK(F_Custom2_V)),1,IFERROR(IF(ISNUMBER(SEARCH("|"&amp;INDEX(INDIRECT(F_Custom2_resolved_column),725)&amp;"|",F_Custom2_wrapped)),1,0),0))</f>
        <v>1</v>
      </c>
      <c r="F726">
        <f>D726*E726*1</f>
        <v>1</v>
      </c>
      <c r="G726">
        <f>1</f>
        <v>1</v>
      </c>
      <c r="H7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725)&amp;"|",All_Questions_Q_STREAM_F_wrapped)),1,0),0))*1</f>
        <v>1</v>
      </c>
    </row>
    <row r="727">
      <c r="A727" t="n">
        <v>726</v>
      </c>
      <c r="B727" t="inlineStr">
        <is>
          <t>B</t>
        </is>
      </c>
      <c r="C727">
        <f>1</f>
        <v>1</v>
      </c>
      <c r="D727">
        <f>IF(OR(F_Custom1_Q="(None)",F_Custom1_Q="",ISBLANK(F_Custom1_Q),F_Custom1_V="(All)",F_Custom1_V="",ISBLANK(F_Custom1_V)),1,IFERROR(IF(ISNUMBER(SEARCH("|"&amp;INDEX(INDIRECT(F_Custom1_resolved_column),726)&amp;"|",F_Custom1_wrapped)),1,0),0))</f>
        <v>1</v>
      </c>
      <c r="E727">
        <f>IF(OR(F_Custom2_Q="(None)",F_Custom2_Q="",ISBLANK(F_Custom2_Q),F_Custom2_V="(All)",F_Custom2_V="",ISBLANK(F_Custom2_V)),1,IFERROR(IF(ISNUMBER(SEARCH("|"&amp;INDEX(INDIRECT(F_Custom2_resolved_column),726)&amp;"|",F_Custom2_wrapped)),1,0),0))</f>
        <v>1</v>
      </c>
      <c r="F727">
        <f>D727*E727*1</f>
        <v>1</v>
      </c>
      <c r="G727">
        <f>1</f>
        <v>1</v>
      </c>
      <c r="H7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726)&amp;"|",All_Questions_Q_STREAM_F_wrapped)),1,0),0))*1</f>
        <v>1</v>
      </c>
    </row>
    <row r="728">
      <c r="A728" t="n">
        <v>727</v>
      </c>
      <c r="B728" t="inlineStr">
        <is>
          <t>A</t>
        </is>
      </c>
      <c r="C728">
        <f>1</f>
        <v>1</v>
      </c>
      <c r="D728">
        <f>IF(OR(F_Custom1_Q="(None)",F_Custom1_Q="",ISBLANK(F_Custom1_Q),F_Custom1_V="(All)",F_Custom1_V="",ISBLANK(F_Custom1_V)),1,IFERROR(IF(ISNUMBER(SEARCH("|"&amp;INDEX(INDIRECT(F_Custom1_resolved_column),727)&amp;"|",F_Custom1_wrapped)),1,0),0))</f>
        <v>1</v>
      </c>
      <c r="E728">
        <f>IF(OR(F_Custom2_Q="(None)",F_Custom2_Q="",ISBLANK(F_Custom2_Q),F_Custom2_V="(All)",F_Custom2_V="",ISBLANK(F_Custom2_V)),1,IFERROR(IF(ISNUMBER(SEARCH("|"&amp;INDEX(INDIRECT(F_Custom2_resolved_column),727)&amp;"|",F_Custom2_wrapped)),1,0),0))</f>
        <v>1</v>
      </c>
      <c r="F728">
        <f>D728*E728*1</f>
        <v>1</v>
      </c>
      <c r="G728">
        <f>1</f>
        <v>1</v>
      </c>
      <c r="H7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727)&amp;"|",All_Questions_Q_STREAM_F_wrapped)),1,0),0))*1</f>
        <v>1</v>
      </c>
    </row>
    <row r="729">
      <c r="A729" t="n">
        <v>728</v>
      </c>
      <c r="B729" t="inlineStr">
        <is>
          <t>B</t>
        </is>
      </c>
      <c r="C729">
        <f>1</f>
        <v>1</v>
      </c>
      <c r="D729">
        <f>IF(OR(F_Custom1_Q="(None)",F_Custom1_Q="",ISBLANK(F_Custom1_Q),F_Custom1_V="(All)",F_Custom1_V="",ISBLANK(F_Custom1_V)),1,IFERROR(IF(ISNUMBER(SEARCH("|"&amp;INDEX(INDIRECT(F_Custom1_resolved_column),728)&amp;"|",F_Custom1_wrapped)),1,0),0))</f>
        <v>1</v>
      </c>
      <c r="E729">
        <f>IF(OR(F_Custom2_Q="(None)",F_Custom2_Q="",ISBLANK(F_Custom2_Q),F_Custom2_V="(All)",F_Custom2_V="",ISBLANK(F_Custom2_V)),1,IFERROR(IF(ISNUMBER(SEARCH("|"&amp;INDEX(INDIRECT(F_Custom2_resolved_column),728)&amp;"|",F_Custom2_wrapped)),1,0),0))</f>
        <v>1</v>
      </c>
      <c r="F729">
        <f>D729*E729*1</f>
        <v>1</v>
      </c>
      <c r="G729">
        <f>1</f>
        <v>1</v>
      </c>
      <c r="H7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728)&amp;"|",All_Questions_Q_STREAM_F_wrapped)),1,0),0))*1</f>
        <v>1</v>
      </c>
    </row>
    <row r="730">
      <c r="A730" t="n">
        <v>729</v>
      </c>
      <c r="B730" t="inlineStr">
        <is>
          <t>A</t>
        </is>
      </c>
      <c r="C730">
        <f>1</f>
        <v>1</v>
      </c>
      <c r="D730">
        <f>IF(OR(F_Custom1_Q="(None)",F_Custom1_Q="",ISBLANK(F_Custom1_Q),F_Custom1_V="(All)",F_Custom1_V="",ISBLANK(F_Custom1_V)),1,IFERROR(IF(ISNUMBER(SEARCH("|"&amp;INDEX(INDIRECT(F_Custom1_resolved_column),729)&amp;"|",F_Custom1_wrapped)),1,0),0))</f>
        <v>1</v>
      </c>
      <c r="E730">
        <f>IF(OR(F_Custom2_Q="(None)",F_Custom2_Q="",ISBLANK(F_Custom2_Q),F_Custom2_V="(All)",F_Custom2_V="",ISBLANK(F_Custom2_V)),1,IFERROR(IF(ISNUMBER(SEARCH("|"&amp;INDEX(INDIRECT(F_Custom2_resolved_column),729)&amp;"|",F_Custom2_wrapped)),1,0),0))</f>
        <v>1</v>
      </c>
      <c r="F730">
        <f>D730*E730*1</f>
        <v>1</v>
      </c>
      <c r="G730">
        <f>1</f>
        <v>1</v>
      </c>
      <c r="H7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729)&amp;"|",All_Questions_Q_STREAM_F_wrapped)),1,0),0))*1</f>
        <v>1</v>
      </c>
    </row>
    <row r="731">
      <c r="A731" t="n">
        <v>730</v>
      </c>
      <c r="B731" t="inlineStr">
        <is>
          <t>B</t>
        </is>
      </c>
      <c r="C731">
        <f>1</f>
        <v>1</v>
      </c>
      <c r="D731">
        <f>IF(OR(F_Custom1_Q="(None)",F_Custom1_Q="",ISBLANK(F_Custom1_Q),F_Custom1_V="(All)",F_Custom1_V="",ISBLANK(F_Custom1_V)),1,IFERROR(IF(ISNUMBER(SEARCH("|"&amp;INDEX(INDIRECT(F_Custom1_resolved_column),730)&amp;"|",F_Custom1_wrapped)),1,0),0))</f>
        <v>1</v>
      </c>
      <c r="E731">
        <f>IF(OR(F_Custom2_Q="(None)",F_Custom2_Q="",ISBLANK(F_Custom2_Q),F_Custom2_V="(All)",F_Custom2_V="",ISBLANK(F_Custom2_V)),1,IFERROR(IF(ISNUMBER(SEARCH("|"&amp;INDEX(INDIRECT(F_Custom2_resolved_column),730)&amp;"|",F_Custom2_wrapped)),1,0),0))</f>
        <v>1</v>
      </c>
      <c r="F731">
        <f>D731*E731*1</f>
        <v>1</v>
      </c>
      <c r="G731">
        <f>1</f>
        <v>1</v>
      </c>
      <c r="H7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730)&amp;"|",All_Questions_Q_STREAM_F_wrapped)),1,0),0))*1</f>
        <v>1</v>
      </c>
    </row>
    <row r="732">
      <c r="A732" t="n">
        <v>731</v>
      </c>
      <c r="B732" t="inlineStr">
        <is>
          <t>A</t>
        </is>
      </c>
      <c r="C732">
        <f>1</f>
        <v>1</v>
      </c>
      <c r="D732">
        <f>IF(OR(F_Custom1_Q="(None)",F_Custom1_Q="",ISBLANK(F_Custom1_Q),F_Custom1_V="(All)",F_Custom1_V="",ISBLANK(F_Custom1_V)),1,IFERROR(IF(ISNUMBER(SEARCH("|"&amp;INDEX(INDIRECT(F_Custom1_resolved_column),731)&amp;"|",F_Custom1_wrapped)),1,0),0))</f>
        <v>1</v>
      </c>
      <c r="E732">
        <f>IF(OR(F_Custom2_Q="(None)",F_Custom2_Q="",ISBLANK(F_Custom2_Q),F_Custom2_V="(All)",F_Custom2_V="",ISBLANK(F_Custom2_V)),1,IFERROR(IF(ISNUMBER(SEARCH("|"&amp;INDEX(INDIRECT(F_Custom2_resolved_column),731)&amp;"|",F_Custom2_wrapped)),1,0),0))</f>
        <v>1</v>
      </c>
      <c r="F732">
        <f>D732*E732*1</f>
        <v>1</v>
      </c>
      <c r="G732">
        <f>1</f>
        <v>1</v>
      </c>
      <c r="H7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731)&amp;"|",All_Questions_Q_STREAM_F_wrapped)),1,0),0))*1</f>
        <v>1</v>
      </c>
    </row>
    <row r="733">
      <c r="A733" t="n">
        <v>732</v>
      </c>
      <c r="B733" t="inlineStr">
        <is>
          <t>B</t>
        </is>
      </c>
      <c r="C733">
        <f>1</f>
        <v>1</v>
      </c>
      <c r="D733">
        <f>IF(OR(F_Custom1_Q="(None)",F_Custom1_Q="",ISBLANK(F_Custom1_Q),F_Custom1_V="(All)",F_Custom1_V="",ISBLANK(F_Custom1_V)),1,IFERROR(IF(ISNUMBER(SEARCH("|"&amp;INDEX(INDIRECT(F_Custom1_resolved_column),732)&amp;"|",F_Custom1_wrapped)),1,0),0))</f>
        <v>1</v>
      </c>
      <c r="E733">
        <f>IF(OR(F_Custom2_Q="(None)",F_Custom2_Q="",ISBLANK(F_Custom2_Q),F_Custom2_V="(All)",F_Custom2_V="",ISBLANK(F_Custom2_V)),1,IFERROR(IF(ISNUMBER(SEARCH("|"&amp;INDEX(INDIRECT(F_Custom2_resolved_column),732)&amp;"|",F_Custom2_wrapped)),1,0),0))</f>
        <v>1</v>
      </c>
      <c r="F733">
        <f>D733*E733*1</f>
        <v>1</v>
      </c>
      <c r="G733">
        <f>1</f>
        <v>1</v>
      </c>
      <c r="H7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732)&amp;"|",All_Questions_Q_STREAM_F_wrapped)),1,0),0))*1</f>
        <v>1</v>
      </c>
    </row>
    <row r="734">
      <c r="A734" t="n">
        <v>733</v>
      </c>
      <c r="B734" t="inlineStr">
        <is>
          <t>A</t>
        </is>
      </c>
      <c r="C734">
        <f>1</f>
        <v>1</v>
      </c>
      <c r="D734">
        <f>IF(OR(F_Custom1_Q="(None)",F_Custom1_Q="",ISBLANK(F_Custom1_Q),F_Custom1_V="(All)",F_Custom1_V="",ISBLANK(F_Custom1_V)),1,IFERROR(IF(ISNUMBER(SEARCH("|"&amp;INDEX(INDIRECT(F_Custom1_resolved_column),733)&amp;"|",F_Custom1_wrapped)),1,0),0))</f>
        <v>1</v>
      </c>
      <c r="E734">
        <f>IF(OR(F_Custom2_Q="(None)",F_Custom2_Q="",ISBLANK(F_Custom2_Q),F_Custom2_V="(All)",F_Custom2_V="",ISBLANK(F_Custom2_V)),1,IFERROR(IF(ISNUMBER(SEARCH("|"&amp;INDEX(INDIRECT(F_Custom2_resolved_column),733)&amp;"|",F_Custom2_wrapped)),1,0),0))</f>
        <v>1</v>
      </c>
      <c r="F734">
        <f>D734*E734*1</f>
        <v>1</v>
      </c>
      <c r="G734">
        <f>1</f>
        <v>1</v>
      </c>
      <c r="H7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733)&amp;"|",All_Questions_Q_STREAM_F_wrapped)),1,0),0))*1</f>
        <v>1</v>
      </c>
    </row>
    <row r="735">
      <c r="A735" t="n">
        <v>734</v>
      </c>
      <c r="B735" t="inlineStr">
        <is>
          <t>B</t>
        </is>
      </c>
      <c r="C735">
        <f>1</f>
        <v>1</v>
      </c>
      <c r="D735">
        <f>IF(OR(F_Custom1_Q="(None)",F_Custom1_Q="",ISBLANK(F_Custom1_Q),F_Custom1_V="(All)",F_Custom1_V="",ISBLANK(F_Custom1_V)),1,IFERROR(IF(ISNUMBER(SEARCH("|"&amp;INDEX(INDIRECT(F_Custom1_resolved_column),734)&amp;"|",F_Custom1_wrapped)),1,0),0))</f>
        <v>1</v>
      </c>
      <c r="E735">
        <f>IF(OR(F_Custom2_Q="(None)",F_Custom2_Q="",ISBLANK(F_Custom2_Q),F_Custom2_V="(All)",F_Custom2_V="",ISBLANK(F_Custom2_V)),1,IFERROR(IF(ISNUMBER(SEARCH("|"&amp;INDEX(INDIRECT(F_Custom2_resolved_column),734)&amp;"|",F_Custom2_wrapped)),1,0),0))</f>
        <v>1</v>
      </c>
      <c r="F735">
        <f>D735*E735*1</f>
        <v>1</v>
      </c>
      <c r="G735">
        <f>1</f>
        <v>1</v>
      </c>
      <c r="H7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734)&amp;"|",All_Questions_Q_STREAM_F_wrapped)),1,0),0))*1</f>
        <v>1</v>
      </c>
    </row>
    <row r="736">
      <c r="A736" t="n">
        <v>735</v>
      </c>
      <c r="B736" t="inlineStr">
        <is>
          <t>A</t>
        </is>
      </c>
      <c r="C736">
        <f>1</f>
        <v>1</v>
      </c>
      <c r="D736">
        <f>IF(OR(F_Custom1_Q="(None)",F_Custom1_Q="",ISBLANK(F_Custom1_Q),F_Custom1_V="(All)",F_Custom1_V="",ISBLANK(F_Custom1_V)),1,IFERROR(IF(ISNUMBER(SEARCH("|"&amp;INDEX(INDIRECT(F_Custom1_resolved_column),735)&amp;"|",F_Custom1_wrapped)),1,0),0))</f>
        <v>1</v>
      </c>
      <c r="E736">
        <f>IF(OR(F_Custom2_Q="(None)",F_Custom2_Q="",ISBLANK(F_Custom2_Q),F_Custom2_V="(All)",F_Custom2_V="",ISBLANK(F_Custom2_V)),1,IFERROR(IF(ISNUMBER(SEARCH("|"&amp;INDEX(INDIRECT(F_Custom2_resolved_column),735)&amp;"|",F_Custom2_wrapped)),1,0),0))</f>
        <v>1</v>
      </c>
      <c r="F736">
        <f>D736*E736*1</f>
        <v>1</v>
      </c>
      <c r="G736">
        <f>1</f>
        <v>1</v>
      </c>
      <c r="H7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735)&amp;"|",All_Questions_Q_STREAM_F_wrapped)),1,0),0))*1</f>
        <v>1</v>
      </c>
    </row>
    <row r="737">
      <c r="A737" t="n">
        <v>736</v>
      </c>
      <c r="B737" t="inlineStr">
        <is>
          <t>B</t>
        </is>
      </c>
      <c r="C737">
        <f>1</f>
        <v>1</v>
      </c>
      <c r="D737">
        <f>IF(OR(F_Custom1_Q="(None)",F_Custom1_Q="",ISBLANK(F_Custom1_Q),F_Custom1_V="(All)",F_Custom1_V="",ISBLANK(F_Custom1_V)),1,IFERROR(IF(ISNUMBER(SEARCH("|"&amp;INDEX(INDIRECT(F_Custom1_resolved_column),736)&amp;"|",F_Custom1_wrapped)),1,0),0))</f>
        <v>1</v>
      </c>
      <c r="E737">
        <f>IF(OR(F_Custom2_Q="(None)",F_Custom2_Q="",ISBLANK(F_Custom2_Q),F_Custom2_V="(All)",F_Custom2_V="",ISBLANK(F_Custom2_V)),1,IFERROR(IF(ISNUMBER(SEARCH("|"&amp;INDEX(INDIRECT(F_Custom2_resolved_column),736)&amp;"|",F_Custom2_wrapped)),1,0),0))</f>
        <v>1</v>
      </c>
      <c r="F737">
        <f>D737*E737*1</f>
        <v>1</v>
      </c>
      <c r="G737">
        <f>1</f>
        <v>1</v>
      </c>
      <c r="H7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736)&amp;"|",All_Questions_Q_STREAM_F_wrapped)),1,0),0))*1</f>
        <v>1</v>
      </c>
    </row>
    <row r="738">
      <c r="A738" t="n">
        <v>737</v>
      </c>
      <c r="B738" t="inlineStr">
        <is>
          <t>A</t>
        </is>
      </c>
      <c r="C738">
        <f>1</f>
        <v>1</v>
      </c>
      <c r="D738">
        <f>IF(OR(F_Custom1_Q="(None)",F_Custom1_Q="",ISBLANK(F_Custom1_Q),F_Custom1_V="(All)",F_Custom1_V="",ISBLANK(F_Custom1_V)),1,IFERROR(IF(ISNUMBER(SEARCH("|"&amp;INDEX(INDIRECT(F_Custom1_resolved_column),737)&amp;"|",F_Custom1_wrapped)),1,0),0))</f>
        <v>1</v>
      </c>
      <c r="E738">
        <f>IF(OR(F_Custom2_Q="(None)",F_Custom2_Q="",ISBLANK(F_Custom2_Q),F_Custom2_V="(All)",F_Custom2_V="",ISBLANK(F_Custom2_V)),1,IFERROR(IF(ISNUMBER(SEARCH("|"&amp;INDEX(INDIRECT(F_Custom2_resolved_column),737)&amp;"|",F_Custom2_wrapped)),1,0),0))</f>
        <v>1</v>
      </c>
      <c r="F738">
        <f>D738*E738*1</f>
        <v>1</v>
      </c>
      <c r="G738">
        <f>1</f>
        <v>1</v>
      </c>
      <c r="H7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737)&amp;"|",All_Questions_Q_STREAM_F_wrapped)),1,0),0))*1</f>
        <v>1</v>
      </c>
    </row>
    <row r="739">
      <c r="A739" t="n">
        <v>738</v>
      </c>
      <c r="B739" t="inlineStr">
        <is>
          <t>B</t>
        </is>
      </c>
      <c r="C739">
        <f>1</f>
        <v>1</v>
      </c>
      <c r="D739">
        <f>IF(OR(F_Custom1_Q="(None)",F_Custom1_Q="",ISBLANK(F_Custom1_Q),F_Custom1_V="(All)",F_Custom1_V="",ISBLANK(F_Custom1_V)),1,IFERROR(IF(ISNUMBER(SEARCH("|"&amp;INDEX(INDIRECT(F_Custom1_resolved_column),738)&amp;"|",F_Custom1_wrapped)),1,0),0))</f>
        <v>1</v>
      </c>
      <c r="E739">
        <f>IF(OR(F_Custom2_Q="(None)",F_Custom2_Q="",ISBLANK(F_Custom2_Q),F_Custom2_V="(All)",F_Custom2_V="",ISBLANK(F_Custom2_V)),1,IFERROR(IF(ISNUMBER(SEARCH("|"&amp;INDEX(INDIRECT(F_Custom2_resolved_column),738)&amp;"|",F_Custom2_wrapped)),1,0),0))</f>
        <v>1</v>
      </c>
      <c r="F739">
        <f>D739*E739*1</f>
        <v>1</v>
      </c>
      <c r="G739">
        <f>1</f>
        <v>1</v>
      </c>
      <c r="H7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738)&amp;"|",All_Questions_Q_STREAM_F_wrapped)),1,0),0))*1</f>
        <v>1</v>
      </c>
    </row>
    <row r="740">
      <c r="A740" t="n">
        <v>739</v>
      </c>
      <c r="B740" t="inlineStr">
        <is>
          <t>A</t>
        </is>
      </c>
      <c r="C740">
        <f>1</f>
        <v>1</v>
      </c>
      <c r="D740">
        <f>IF(OR(F_Custom1_Q="(None)",F_Custom1_Q="",ISBLANK(F_Custom1_Q),F_Custom1_V="(All)",F_Custom1_V="",ISBLANK(F_Custom1_V)),1,IFERROR(IF(ISNUMBER(SEARCH("|"&amp;INDEX(INDIRECT(F_Custom1_resolved_column),739)&amp;"|",F_Custom1_wrapped)),1,0),0))</f>
        <v>1</v>
      </c>
      <c r="E740">
        <f>IF(OR(F_Custom2_Q="(None)",F_Custom2_Q="",ISBLANK(F_Custom2_Q),F_Custom2_V="(All)",F_Custom2_V="",ISBLANK(F_Custom2_V)),1,IFERROR(IF(ISNUMBER(SEARCH("|"&amp;INDEX(INDIRECT(F_Custom2_resolved_column),739)&amp;"|",F_Custom2_wrapped)),1,0),0))</f>
        <v>1</v>
      </c>
      <c r="F740">
        <f>D740*E740*1</f>
        <v>1</v>
      </c>
      <c r="G740">
        <f>1</f>
        <v>1</v>
      </c>
      <c r="H7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739)&amp;"|",All_Questions_Q_STREAM_F_wrapped)),1,0),0))*1</f>
        <v>1</v>
      </c>
    </row>
    <row r="741">
      <c r="A741" t="n">
        <v>740</v>
      </c>
      <c r="B741" t="inlineStr">
        <is>
          <t>B</t>
        </is>
      </c>
      <c r="C741">
        <f>1</f>
        <v>1</v>
      </c>
      <c r="D741">
        <f>IF(OR(F_Custom1_Q="(None)",F_Custom1_Q="",ISBLANK(F_Custom1_Q),F_Custom1_V="(All)",F_Custom1_V="",ISBLANK(F_Custom1_V)),1,IFERROR(IF(ISNUMBER(SEARCH("|"&amp;INDEX(INDIRECT(F_Custom1_resolved_column),740)&amp;"|",F_Custom1_wrapped)),1,0),0))</f>
        <v>1</v>
      </c>
      <c r="E741">
        <f>IF(OR(F_Custom2_Q="(None)",F_Custom2_Q="",ISBLANK(F_Custom2_Q),F_Custom2_V="(All)",F_Custom2_V="",ISBLANK(F_Custom2_V)),1,IFERROR(IF(ISNUMBER(SEARCH("|"&amp;INDEX(INDIRECT(F_Custom2_resolved_column),740)&amp;"|",F_Custom2_wrapped)),1,0),0))</f>
        <v>1</v>
      </c>
      <c r="F741">
        <f>D741*E741*1</f>
        <v>1</v>
      </c>
      <c r="G741">
        <f>1</f>
        <v>1</v>
      </c>
      <c r="H7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740)&amp;"|",All_Questions_Q_STREAM_F_wrapped)),1,0),0))*1</f>
        <v>1</v>
      </c>
    </row>
    <row r="742">
      <c r="A742" t="n">
        <v>741</v>
      </c>
      <c r="B742" t="inlineStr">
        <is>
          <t>A</t>
        </is>
      </c>
      <c r="C742">
        <f>1</f>
        <v>1</v>
      </c>
      <c r="D742">
        <f>IF(OR(F_Custom1_Q="(None)",F_Custom1_Q="",ISBLANK(F_Custom1_Q),F_Custom1_V="(All)",F_Custom1_V="",ISBLANK(F_Custom1_V)),1,IFERROR(IF(ISNUMBER(SEARCH("|"&amp;INDEX(INDIRECT(F_Custom1_resolved_column),741)&amp;"|",F_Custom1_wrapped)),1,0),0))</f>
        <v>1</v>
      </c>
      <c r="E742">
        <f>IF(OR(F_Custom2_Q="(None)",F_Custom2_Q="",ISBLANK(F_Custom2_Q),F_Custom2_V="(All)",F_Custom2_V="",ISBLANK(F_Custom2_V)),1,IFERROR(IF(ISNUMBER(SEARCH("|"&amp;INDEX(INDIRECT(F_Custom2_resolved_column),741)&amp;"|",F_Custom2_wrapped)),1,0),0))</f>
        <v>1</v>
      </c>
      <c r="F742">
        <f>D742*E742*1</f>
        <v>1</v>
      </c>
      <c r="G742">
        <f>1</f>
        <v>1</v>
      </c>
      <c r="H7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741)&amp;"|",All_Questions_Q_STREAM_F_wrapped)),1,0),0))*1</f>
        <v>1</v>
      </c>
    </row>
    <row r="743">
      <c r="A743" t="n">
        <v>742</v>
      </c>
      <c r="B743" t="inlineStr">
        <is>
          <t>B</t>
        </is>
      </c>
      <c r="C743">
        <f>1</f>
        <v>1</v>
      </c>
      <c r="D743">
        <f>IF(OR(F_Custom1_Q="(None)",F_Custom1_Q="",ISBLANK(F_Custom1_Q),F_Custom1_V="(All)",F_Custom1_V="",ISBLANK(F_Custom1_V)),1,IFERROR(IF(ISNUMBER(SEARCH("|"&amp;INDEX(INDIRECT(F_Custom1_resolved_column),742)&amp;"|",F_Custom1_wrapped)),1,0),0))</f>
        <v>1</v>
      </c>
      <c r="E743">
        <f>IF(OR(F_Custom2_Q="(None)",F_Custom2_Q="",ISBLANK(F_Custom2_Q),F_Custom2_V="(All)",F_Custom2_V="",ISBLANK(F_Custom2_V)),1,IFERROR(IF(ISNUMBER(SEARCH("|"&amp;INDEX(INDIRECT(F_Custom2_resolved_column),742)&amp;"|",F_Custom2_wrapped)),1,0),0))</f>
        <v>1</v>
      </c>
      <c r="F743">
        <f>D743*E743*1</f>
        <v>1</v>
      </c>
      <c r="G743">
        <f>1</f>
        <v>1</v>
      </c>
      <c r="H7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742)&amp;"|",All_Questions_Q_STREAM_F_wrapped)),1,0),0))*1</f>
        <v>1</v>
      </c>
    </row>
    <row r="744">
      <c r="A744" t="n">
        <v>743</v>
      </c>
      <c r="B744" t="inlineStr">
        <is>
          <t>A</t>
        </is>
      </c>
      <c r="C744">
        <f>1</f>
        <v>1</v>
      </c>
      <c r="D744">
        <f>IF(OR(F_Custom1_Q="(None)",F_Custom1_Q="",ISBLANK(F_Custom1_Q),F_Custom1_V="(All)",F_Custom1_V="",ISBLANK(F_Custom1_V)),1,IFERROR(IF(ISNUMBER(SEARCH("|"&amp;INDEX(INDIRECT(F_Custom1_resolved_column),743)&amp;"|",F_Custom1_wrapped)),1,0),0))</f>
        <v>1</v>
      </c>
      <c r="E744">
        <f>IF(OR(F_Custom2_Q="(None)",F_Custom2_Q="",ISBLANK(F_Custom2_Q),F_Custom2_V="(All)",F_Custom2_V="",ISBLANK(F_Custom2_V)),1,IFERROR(IF(ISNUMBER(SEARCH("|"&amp;INDEX(INDIRECT(F_Custom2_resolved_column),743)&amp;"|",F_Custom2_wrapped)),1,0),0))</f>
        <v>1</v>
      </c>
      <c r="F744">
        <f>D744*E744*1</f>
        <v>1</v>
      </c>
      <c r="G744">
        <f>1</f>
        <v>1</v>
      </c>
      <c r="H7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743)&amp;"|",All_Questions_Q_STREAM_F_wrapped)),1,0),0))*1</f>
        <v>1</v>
      </c>
    </row>
    <row r="745">
      <c r="A745" t="n">
        <v>744</v>
      </c>
      <c r="B745" t="inlineStr">
        <is>
          <t>B</t>
        </is>
      </c>
      <c r="C745">
        <f>1</f>
        <v>1</v>
      </c>
      <c r="D745">
        <f>IF(OR(F_Custom1_Q="(None)",F_Custom1_Q="",ISBLANK(F_Custom1_Q),F_Custom1_V="(All)",F_Custom1_V="",ISBLANK(F_Custom1_V)),1,IFERROR(IF(ISNUMBER(SEARCH("|"&amp;INDEX(INDIRECT(F_Custom1_resolved_column),744)&amp;"|",F_Custom1_wrapped)),1,0),0))</f>
        <v>1</v>
      </c>
      <c r="E745">
        <f>IF(OR(F_Custom2_Q="(None)",F_Custom2_Q="",ISBLANK(F_Custom2_Q),F_Custom2_V="(All)",F_Custom2_V="",ISBLANK(F_Custom2_V)),1,IFERROR(IF(ISNUMBER(SEARCH("|"&amp;INDEX(INDIRECT(F_Custom2_resolved_column),744)&amp;"|",F_Custom2_wrapped)),1,0),0))</f>
        <v>1</v>
      </c>
      <c r="F745">
        <f>D745*E745*1</f>
        <v>1</v>
      </c>
      <c r="G745">
        <f>1</f>
        <v>1</v>
      </c>
      <c r="H7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744)&amp;"|",All_Questions_Q_STREAM_F_wrapped)),1,0),0))*1</f>
        <v>1</v>
      </c>
    </row>
    <row r="746">
      <c r="A746" t="n">
        <v>745</v>
      </c>
      <c r="B746" t="inlineStr">
        <is>
          <t>A</t>
        </is>
      </c>
      <c r="C746">
        <f>1</f>
        <v>1</v>
      </c>
      <c r="D746">
        <f>IF(OR(F_Custom1_Q="(None)",F_Custom1_Q="",ISBLANK(F_Custom1_Q),F_Custom1_V="(All)",F_Custom1_V="",ISBLANK(F_Custom1_V)),1,IFERROR(IF(ISNUMBER(SEARCH("|"&amp;INDEX(INDIRECT(F_Custom1_resolved_column),745)&amp;"|",F_Custom1_wrapped)),1,0),0))</f>
        <v>1</v>
      </c>
      <c r="E746">
        <f>IF(OR(F_Custom2_Q="(None)",F_Custom2_Q="",ISBLANK(F_Custom2_Q),F_Custom2_V="(All)",F_Custom2_V="",ISBLANK(F_Custom2_V)),1,IFERROR(IF(ISNUMBER(SEARCH("|"&amp;INDEX(INDIRECT(F_Custom2_resolved_column),745)&amp;"|",F_Custom2_wrapped)),1,0),0))</f>
        <v>1</v>
      </c>
      <c r="F746">
        <f>D746*E746*1</f>
        <v>1</v>
      </c>
      <c r="G746">
        <f>1</f>
        <v>1</v>
      </c>
      <c r="H7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745)&amp;"|",All_Questions_Q_STREAM_F_wrapped)),1,0),0))*1</f>
        <v>1</v>
      </c>
    </row>
    <row r="747">
      <c r="A747" t="n">
        <v>746</v>
      </c>
      <c r="B747" t="inlineStr">
        <is>
          <t>B</t>
        </is>
      </c>
      <c r="C747">
        <f>1</f>
        <v>1</v>
      </c>
      <c r="D747">
        <f>IF(OR(F_Custom1_Q="(None)",F_Custom1_Q="",ISBLANK(F_Custom1_Q),F_Custom1_V="(All)",F_Custom1_V="",ISBLANK(F_Custom1_V)),1,IFERROR(IF(ISNUMBER(SEARCH("|"&amp;INDEX(INDIRECT(F_Custom1_resolved_column),746)&amp;"|",F_Custom1_wrapped)),1,0),0))</f>
        <v>1</v>
      </c>
      <c r="E747">
        <f>IF(OR(F_Custom2_Q="(None)",F_Custom2_Q="",ISBLANK(F_Custom2_Q),F_Custom2_V="(All)",F_Custom2_V="",ISBLANK(F_Custom2_V)),1,IFERROR(IF(ISNUMBER(SEARCH("|"&amp;INDEX(INDIRECT(F_Custom2_resolved_column),746)&amp;"|",F_Custom2_wrapped)),1,0),0))</f>
        <v>1</v>
      </c>
      <c r="F747">
        <f>D747*E747*1</f>
        <v>1</v>
      </c>
      <c r="G747">
        <f>1</f>
        <v>1</v>
      </c>
      <c r="H7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746)&amp;"|",All_Questions_Q_STREAM_F_wrapped)),1,0),0))*1</f>
        <v>1</v>
      </c>
    </row>
    <row r="748">
      <c r="A748" t="n">
        <v>747</v>
      </c>
      <c r="B748" t="inlineStr">
        <is>
          <t>A</t>
        </is>
      </c>
      <c r="C748">
        <f>1</f>
        <v>1</v>
      </c>
      <c r="D748">
        <f>IF(OR(F_Custom1_Q="(None)",F_Custom1_Q="",ISBLANK(F_Custom1_Q),F_Custom1_V="(All)",F_Custom1_V="",ISBLANK(F_Custom1_V)),1,IFERROR(IF(ISNUMBER(SEARCH("|"&amp;INDEX(INDIRECT(F_Custom1_resolved_column),747)&amp;"|",F_Custom1_wrapped)),1,0),0))</f>
        <v>1</v>
      </c>
      <c r="E748">
        <f>IF(OR(F_Custom2_Q="(None)",F_Custom2_Q="",ISBLANK(F_Custom2_Q),F_Custom2_V="(All)",F_Custom2_V="",ISBLANK(F_Custom2_V)),1,IFERROR(IF(ISNUMBER(SEARCH("|"&amp;INDEX(INDIRECT(F_Custom2_resolved_column),747)&amp;"|",F_Custom2_wrapped)),1,0),0))</f>
        <v>1</v>
      </c>
      <c r="F748">
        <f>D748*E748*1</f>
        <v>1</v>
      </c>
      <c r="G748">
        <f>1</f>
        <v>1</v>
      </c>
      <c r="H7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747)&amp;"|",All_Questions_Q_STREAM_F_wrapped)),1,0),0))*1</f>
        <v>1</v>
      </c>
    </row>
    <row r="749">
      <c r="A749" t="n">
        <v>748</v>
      </c>
      <c r="B749" t="inlineStr">
        <is>
          <t>B</t>
        </is>
      </c>
      <c r="C749">
        <f>1</f>
        <v>1</v>
      </c>
      <c r="D749">
        <f>IF(OR(F_Custom1_Q="(None)",F_Custom1_Q="",ISBLANK(F_Custom1_Q),F_Custom1_V="(All)",F_Custom1_V="",ISBLANK(F_Custom1_V)),1,IFERROR(IF(ISNUMBER(SEARCH("|"&amp;INDEX(INDIRECT(F_Custom1_resolved_column),748)&amp;"|",F_Custom1_wrapped)),1,0),0))</f>
        <v>1</v>
      </c>
      <c r="E749">
        <f>IF(OR(F_Custom2_Q="(None)",F_Custom2_Q="",ISBLANK(F_Custom2_Q),F_Custom2_V="(All)",F_Custom2_V="",ISBLANK(F_Custom2_V)),1,IFERROR(IF(ISNUMBER(SEARCH("|"&amp;INDEX(INDIRECT(F_Custom2_resolved_column),748)&amp;"|",F_Custom2_wrapped)),1,0),0))</f>
        <v>1</v>
      </c>
      <c r="F749">
        <f>D749*E749*1</f>
        <v>1</v>
      </c>
      <c r="G749">
        <f>1</f>
        <v>1</v>
      </c>
      <c r="H7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748)&amp;"|",All_Questions_Q_STREAM_F_wrapped)),1,0),0))*1</f>
        <v>1</v>
      </c>
    </row>
    <row r="750">
      <c r="A750" t="n">
        <v>749</v>
      </c>
      <c r="B750" t="inlineStr">
        <is>
          <t>A</t>
        </is>
      </c>
      <c r="C750">
        <f>1</f>
        <v>1</v>
      </c>
      <c r="D750">
        <f>IF(OR(F_Custom1_Q="(None)",F_Custom1_Q="",ISBLANK(F_Custom1_Q),F_Custom1_V="(All)",F_Custom1_V="",ISBLANK(F_Custom1_V)),1,IFERROR(IF(ISNUMBER(SEARCH("|"&amp;INDEX(INDIRECT(F_Custom1_resolved_column),749)&amp;"|",F_Custom1_wrapped)),1,0),0))</f>
        <v>1</v>
      </c>
      <c r="E750">
        <f>IF(OR(F_Custom2_Q="(None)",F_Custom2_Q="",ISBLANK(F_Custom2_Q),F_Custom2_V="(All)",F_Custom2_V="",ISBLANK(F_Custom2_V)),1,IFERROR(IF(ISNUMBER(SEARCH("|"&amp;INDEX(INDIRECT(F_Custom2_resolved_column),749)&amp;"|",F_Custom2_wrapped)),1,0),0))</f>
        <v>1</v>
      </c>
      <c r="F750">
        <f>D750*E750*1</f>
        <v>1</v>
      </c>
      <c r="G750">
        <f>1</f>
        <v>1</v>
      </c>
      <c r="H7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749)&amp;"|",All_Questions_Q_STREAM_F_wrapped)),1,0),0))*1</f>
        <v>1</v>
      </c>
    </row>
    <row r="751">
      <c r="A751" t="n">
        <v>750</v>
      </c>
      <c r="B751" t="inlineStr">
        <is>
          <t>B</t>
        </is>
      </c>
      <c r="C751">
        <f>1</f>
        <v>1</v>
      </c>
      <c r="D751">
        <f>IF(OR(F_Custom1_Q="(None)",F_Custom1_Q="",ISBLANK(F_Custom1_Q),F_Custom1_V="(All)",F_Custom1_V="",ISBLANK(F_Custom1_V)),1,IFERROR(IF(ISNUMBER(SEARCH("|"&amp;INDEX(INDIRECT(F_Custom1_resolved_column),750)&amp;"|",F_Custom1_wrapped)),1,0),0))</f>
        <v>1</v>
      </c>
      <c r="E751">
        <f>IF(OR(F_Custom2_Q="(None)",F_Custom2_Q="",ISBLANK(F_Custom2_Q),F_Custom2_V="(All)",F_Custom2_V="",ISBLANK(F_Custom2_V)),1,IFERROR(IF(ISNUMBER(SEARCH("|"&amp;INDEX(INDIRECT(F_Custom2_resolved_column),750)&amp;"|",F_Custom2_wrapped)),1,0),0))</f>
        <v>1</v>
      </c>
      <c r="F751">
        <f>D751*E751*1</f>
        <v>1</v>
      </c>
      <c r="G751">
        <f>1</f>
        <v>1</v>
      </c>
      <c r="H7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750)&amp;"|",All_Questions_Q_STREAM_F_wrapped)),1,0),0))*1</f>
        <v>1</v>
      </c>
    </row>
    <row r="752">
      <c r="A752" t="n">
        <v>751</v>
      </c>
      <c r="B752" t="inlineStr">
        <is>
          <t>A</t>
        </is>
      </c>
      <c r="C752">
        <f>1</f>
        <v>1</v>
      </c>
      <c r="D752">
        <f>IF(OR(F_Custom1_Q="(None)",F_Custom1_Q="",ISBLANK(F_Custom1_Q),F_Custom1_V="(All)",F_Custom1_V="",ISBLANK(F_Custom1_V)),1,IFERROR(IF(ISNUMBER(SEARCH("|"&amp;INDEX(INDIRECT(F_Custom1_resolved_column),751)&amp;"|",F_Custom1_wrapped)),1,0),0))</f>
        <v>1</v>
      </c>
      <c r="E752">
        <f>IF(OR(F_Custom2_Q="(None)",F_Custom2_Q="",ISBLANK(F_Custom2_Q),F_Custom2_V="(All)",F_Custom2_V="",ISBLANK(F_Custom2_V)),1,IFERROR(IF(ISNUMBER(SEARCH("|"&amp;INDEX(INDIRECT(F_Custom2_resolved_column),751)&amp;"|",F_Custom2_wrapped)),1,0),0))</f>
        <v>1</v>
      </c>
      <c r="F752">
        <f>D752*E752*1</f>
        <v>1</v>
      </c>
      <c r="G752">
        <f>1</f>
        <v>1</v>
      </c>
      <c r="H7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751)&amp;"|",All_Questions_Q_STREAM_F_wrapped)),1,0),0))*1</f>
        <v>1</v>
      </c>
    </row>
    <row r="753">
      <c r="A753" t="n">
        <v>752</v>
      </c>
      <c r="B753" t="inlineStr">
        <is>
          <t>B</t>
        </is>
      </c>
      <c r="C753">
        <f>1</f>
        <v>1</v>
      </c>
      <c r="D753">
        <f>IF(OR(F_Custom1_Q="(None)",F_Custom1_Q="",ISBLANK(F_Custom1_Q),F_Custom1_V="(All)",F_Custom1_V="",ISBLANK(F_Custom1_V)),1,IFERROR(IF(ISNUMBER(SEARCH("|"&amp;INDEX(INDIRECT(F_Custom1_resolved_column),752)&amp;"|",F_Custom1_wrapped)),1,0),0))</f>
        <v>1</v>
      </c>
      <c r="E753">
        <f>IF(OR(F_Custom2_Q="(None)",F_Custom2_Q="",ISBLANK(F_Custom2_Q),F_Custom2_V="(All)",F_Custom2_V="",ISBLANK(F_Custom2_V)),1,IFERROR(IF(ISNUMBER(SEARCH("|"&amp;INDEX(INDIRECT(F_Custom2_resolved_column),752)&amp;"|",F_Custom2_wrapped)),1,0),0))</f>
        <v>1</v>
      </c>
      <c r="F753">
        <f>D753*E753*1</f>
        <v>1</v>
      </c>
      <c r="G753">
        <f>1</f>
        <v>1</v>
      </c>
      <c r="H7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752)&amp;"|",All_Questions_Q_STREAM_F_wrapped)),1,0),0))*1</f>
        <v>1</v>
      </c>
    </row>
    <row r="754">
      <c r="A754" t="n">
        <v>753</v>
      </c>
      <c r="B754" t="inlineStr">
        <is>
          <t>A</t>
        </is>
      </c>
      <c r="C754">
        <f>1</f>
        <v>1</v>
      </c>
      <c r="D754">
        <f>IF(OR(F_Custom1_Q="(None)",F_Custom1_Q="",ISBLANK(F_Custom1_Q),F_Custom1_V="(All)",F_Custom1_V="",ISBLANK(F_Custom1_V)),1,IFERROR(IF(ISNUMBER(SEARCH("|"&amp;INDEX(INDIRECT(F_Custom1_resolved_column),753)&amp;"|",F_Custom1_wrapped)),1,0),0))</f>
        <v>1</v>
      </c>
      <c r="E754">
        <f>IF(OR(F_Custom2_Q="(None)",F_Custom2_Q="",ISBLANK(F_Custom2_Q),F_Custom2_V="(All)",F_Custom2_V="",ISBLANK(F_Custom2_V)),1,IFERROR(IF(ISNUMBER(SEARCH("|"&amp;INDEX(INDIRECT(F_Custom2_resolved_column),753)&amp;"|",F_Custom2_wrapped)),1,0),0))</f>
        <v>1</v>
      </c>
      <c r="F754">
        <f>D754*E754*1</f>
        <v>1</v>
      </c>
      <c r="G754">
        <f>1</f>
        <v>1</v>
      </c>
      <c r="H7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753)&amp;"|",All_Questions_Q_STREAM_F_wrapped)),1,0),0))*1</f>
        <v>1</v>
      </c>
    </row>
    <row r="755">
      <c r="A755" t="n">
        <v>754</v>
      </c>
      <c r="B755" t="inlineStr">
        <is>
          <t>B</t>
        </is>
      </c>
      <c r="C755">
        <f>1</f>
        <v>1</v>
      </c>
      <c r="D755">
        <f>IF(OR(F_Custom1_Q="(None)",F_Custom1_Q="",ISBLANK(F_Custom1_Q),F_Custom1_V="(All)",F_Custom1_V="",ISBLANK(F_Custom1_V)),1,IFERROR(IF(ISNUMBER(SEARCH("|"&amp;INDEX(INDIRECT(F_Custom1_resolved_column),754)&amp;"|",F_Custom1_wrapped)),1,0),0))</f>
        <v>1</v>
      </c>
      <c r="E755">
        <f>IF(OR(F_Custom2_Q="(None)",F_Custom2_Q="",ISBLANK(F_Custom2_Q),F_Custom2_V="(All)",F_Custom2_V="",ISBLANK(F_Custom2_V)),1,IFERROR(IF(ISNUMBER(SEARCH("|"&amp;INDEX(INDIRECT(F_Custom2_resolved_column),754)&amp;"|",F_Custom2_wrapped)),1,0),0))</f>
        <v>1</v>
      </c>
      <c r="F755">
        <f>D755*E755*1</f>
        <v>1</v>
      </c>
      <c r="G755">
        <f>1</f>
        <v>1</v>
      </c>
      <c r="H7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754)&amp;"|",All_Questions_Q_STREAM_F_wrapped)),1,0),0))*1</f>
        <v>1</v>
      </c>
    </row>
    <row r="756">
      <c r="A756" t="n">
        <v>755</v>
      </c>
      <c r="B756" t="inlineStr">
        <is>
          <t>A</t>
        </is>
      </c>
      <c r="C756">
        <f>1</f>
        <v>1</v>
      </c>
      <c r="D756">
        <f>IF(OR(F_Custom1_Q="(None)",F_Custom1_Q="",ISBLANK(F_Custom1_Q),F_Custom1_V="(All)",F_Custom1_V="",ISBLANK(F_Custom1_V)),1,IFERROR(IF(ISNUMBER(SEARCH("|"&amp;INDEX(INDIRECT(F_Custom1_resolved_column),755)&amp;"|",F_Custom1_wrapped)),1,0),0))</f>
        <v>1</v>
      </c>
      <c r="E756">
        <f>IF(OR(F_Custom2_Q="(None)",F_Custom2_Q="",ISBLANK(F_Custom2_Q),F_Custom2_V="(All)",F_Custom2_V="",ISBLANK(F_Custom2_V)),1,IFERROR(IF(ISNUMBER(SEARCH("|"&amp;INDEX(INDIRECT(F_Custom2_resolved_column),755)&amp;"|",F_Custom2_wrapped)),1,0),0))</f>
        <v>1</v>
      </c>
      <c r="F756">
        <f>D756*E756*1</f>
        <v>1</v>
      </c>
      <c r="G756">
        <f>1</f>
        <v>1</v>
      </c>
      <c r="H7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755)&amp;"|",All_Questions_Q_STREAM_F_wrapped)),1,0),0))*1</f>
        <v>1</v>
      </c>
    </row>
    <row r="757">
      <c r="A757" t="n">
        <v>756</v>
      </c>
      <c r="B757" t="inlineStr">
        <is>
          <t>B</t>
        </is>
      </c>
      <c r="C757">
        <f>1</f>
        <v>1</v>
      </c>
      <c r="D757">
        <f>IF(OR(F_Custom1_Q="(None)",F_Custom1_Q="",ISBLANK(F_Custom1_Q),F_Custom1_V="(All)",F_Custom1_V="",ISBLANK(F_Custom1_V)),1,IFERROR(IF(ISNUMBER(SEARCH("|"&amp;INDEX(INDIRECT(F_Custom1_resolved_column),756)&amp;"|",F_Custom1_wrapped)),1,0),0))</f>
        <v>1</v>
      </c>
      <c r="E757">
        <f>IF(OR(F_Custom2_Q="(None)",F_Custom2_Q="",ISBLANK(F_Custom2_Q),F_Custom2_V="(All)",F_Custom2_V="",ISBLANK(F_Custom2_V)),1,IFERROR(IF(ISNUMBER(SEARCH("|"&amp;INDEX(INDIRECT(F_Custom2_resolved_column),756)&amp;"|",F_Custom2_wrapped)),1,0),0))</f>
        <v>1</v>
      </c>
      <c r="F757">
        <f>D757*E757*1</f>
        <v>1</v>
      </c>
      <c r="G757">
        <f>1</f>
        <v>1</v>
      </c>
      <c r="H7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756)&amp;"|",All_Questions_Q_STREAM_F_wrapped)),1,0),0))*1</f>
        <v>1</v>
      </c>
    </row>
    <row r="758">
      <c r="A758" t="n">
        <v>757</v>
      </c>
      <c r="B758" t="inlineStr">
        <is>
          <t>A</t>
        </is>
      </c>
      <c r="C758">
        <f>1</f>
        <v>1</v>
      </c>
      <c r="D758">
        <f>IF(OR(F_Custom1_Q="(None)",F_Custom1_Q="",ISBLANK(F_Custom1_Q),F_Custom1_V="(All)",F_Custom1_V="",ISBLANK(F_Custom1_V)),1,IFERROR(IF(ISNUMBER(SEARCH("|"&amp;INDEX(INDIRECT(F_Custom1_resolved_column),757)&amp;"|",F_Custom1_wrapped)),1,0),0))</f>
        <v>1</v>
      </c>
      <c r="E758">
        <f>IF(OR(F_Custom2_Q="(None)",F_Custom2_Q="",ISBLANK(F_Custom2_Q),F_Custom2_V="(All)",F_Custom2_V="",ISBLANK(F_Custom2_V)),1,IFERROR(IF(ISNUMBER(SEARCH("|"&amp;INDEX(INDIRECT(F_Custom2_resolved_column),757)&amp;"|",F_Custom2_wrapped)),1,0),0))</f>
        <v>1</v>
      </c>
      <c r="F758">
        <f>D758*E758*1</f>
        <v>1</v>
      </c>
      <c r="G758">
        <f>1</f>
        <v>1</v>
      </c>
      <c r="H7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757)&amp;"|",All_Questions_Q_STREAM_F_wrapped)),1,0),0))*1</f>
        <v>1</v>
      </c>
    </row>
    <row r="759">
      <c r="A759" t="n">
        <v>758</v>
      </c>
      <c r="B759" t="inlineStr">
        <is>
          <t>B</t>
        </is>
      </c>
      <c r="C759">
        <f>1</f>
        <v>1</v>
      </c>
      <c r="D759">
        <f>IF(OR(F_Custom1_Q="(None)",F_Custom1_Q="",ISBLANK(F_Custom1_Q),F_Custom1_V="(All)",F_Custom1_V="",ISBLANK(F_Custom1_V)),1,IFERROR(IF(ISNUMBER(SEARCH("|"&amp;INDEX(INDIRECT(F_Custom1_resolved_column),758)&amp;"|",F_Custom1_wrapped)),1,0),0))</f>
        <v>1</v>
      </c>
      <c r="E759">
        <f>IF(OR(F_Custom2_Q="(None)",F_Custom2_Q="",ISBLANK(F_Custom2_Q),F_Custom2_V="(All)",F_Custom2_V="",ISBLANK(F_Custom2_V)),1,IFERROR(IF(ISNUMBER(SEARCH("|"&amp;INDEX(INDIRECT(F_Custom2_resolved_column),758)&amp;"|",F_Custom2_wrapped)),1,0),0))</f>
        <v>1</v>
      </c>
      <c r="F759">
        <f>D759*E759*1</f>
        <v>1</v>
      </c>
      <c r="G759">
        <f>1</f>
        <v>1</v>
      </c>
      <c r="H7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758)&amp;"|",All_Questions_Q_STREAM_F_wrapped)),1,0),0))*1</f>
        <v>1</v>
      </c>
    </row>
    <row r="760">
      <c r="A760" t="n">
        <v>759</v>
      </c>
      <c r="B760" t="inlineStr">
        <is>
          <t>A</t>
        </is>
      </c>
      <c r="C760">
        <f>1</f>
        <v>1</v>
      </c>
      <c r="D760">
        <f>IF(OR(F_Custom1_Q="(None)",F_Custom1_Q="",ISBLANK(F_Custom1_Q),F_Custom1_V="(All)",F_Custom1_V="",ISBLANK(F_Custom1_V)),1,IFERROR(IF(ISNUMBER(SEARCH("|"&amp;INDEX(INDIRECT(F_Custom1_resolved_column),759)&amp;"|",F_Custom1_wrapped)),1,0),0))</f>
        <v>1</v>
      </c>
      <c r="E760">
        <f>IF(OR(F_Custom2_Q="(None)",F_Custom2_Q="",ISBLANK(F_Custom2_Q),F_Custom2_V="(All)",F_Custom2_V="",ISBLANK(F_Custom2_V)),1,IFERROR(IF(ISNUMBER(SEARCH("|"&amp;INDEX(INDIRECT(F_Custom2_resolved_column),759)&amp;"|",F_Custom2_wrapped)),1,0),0))</f>
        <v>1</v>
      </c>
      <c r="F760">
        <f>D760*E760*1</f>
        <v>1</v>
      </c>
      <c r="G760">
        <f>1</f>
        <v>1</v>
      </c>
      <c r="H7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759)&amp;"|",All_Questions_Q_STREAM_F_wrapped)),1,0),0))*1</f>
        <v>1</v>
      </c>
    </row>
    <row r="761">
      <c r="A761" t="n">
        <v>760</v>
      </c>
      <c r="B761" t="inlineStr">
        <is>
          <t>B</t>
        </is>
      </c>
      <c r="C761">
        <f>1</f>
        <v>1</v>
      </c>
      <c r="D761">
        <f>IF(OR(F_Custom1_Q="(None)",F_Custom1_Q="",ISBLANK(F_Custom1_Q),F_Custom1_V="(All)",F_Custom1_V="",ISBLANK(F_Custom1_V)),1,IFERROR(IF(ISNUMBER(SEARCH("|"&amp;INDEX(INDIRECT(F_Custom1_resolved_column),760)&amp;"|",F_Custom1_wrapped)),1,0),0))</f>
        <v>1</v>
      </c>
      <c r="E761">
        <f>IF(OR(F_Custom2_Q="(None)",F_Custom2_Q="",ISBLANK(F_Custom2_Q),F_Custom2_V="(All)",F_Custom2_V="",ISBLANK(F_Custom2_V)),1,IFERROR(IF(ISNUMBER(SEARCH("|"&amp;INDEX(INDIRECT(F_Custom2_resolved_column),760)&amp;"|",F_Custom2_wrapped)),1,0),0))</f>
        <v>1</v>
      </c>
      <c r="F761">
        <f>D761*E761*1</f>
        <v>1</v>
      </c>
      <c r="G761">
        <f>1</f>
        <v>1</v>
      </c>
      <c r="H7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760)&amp;"|",All_Questions_Q_STREAM_F_wrapped)),1,0),0))*1</f>
        <v>1</v>
      </c>
    </row>
    <row r="762">
      <c r="A762" t="n">
        <v>761</v>
      </c>
      <c r="B762" t="inlineStr">
        <is>
          <t>A</t>
        </is>
      </c>
      <c r="C762">
        <f>1</f>
        <v>1</v>
      </c>
      <c r="D762">
        <f>IF(OR(F_Custom1_Q="(None)",F_Custom1_Q="",ISBLANK(F_Custom1_Q),F_Custom1_V="(All)",F_Custom1_V="",ISBLANK(F_Custom1_V)),1,IFERROR(IF(ISNUMBER(SEARCH("|"&amp;INDEX(INDIRECT(F_Custom1_resolved_column),761)&amp;"|",F_Custom1_wrapped)),1,0),0))</f>
        <v>1</v>
      </c>
      <c r="E762">
        <f>IF(OR(F_Custom2_Q="(None)",F_Custom2_Q="",ISBLANK(F_Custom2_Q),F_Custom2_V="(All)",F_Custom2_V="",ISBLANK(F_Custom2_V)),1,IFERROR(IF(ISNUMBER(SEARCH("|"&amp;INDEX(INDIRECT(F_Custom2_resolved_column),761)&amp;"|",F_Custom2_wrapped)),1,0),0))</f>
        <v>1</v>
      </c>
      <c r="F762">
        <f>D762*E762*1</f>
        <v>1</v>
      </c>
      <c r="G762">
        <f>1</f>
        <v>1</v>
      </c>
      <c r="H7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761)&amp;"|",All_Questions_Q_STREAM_F_wrapped)),1,0),0))*1</f>
        <v>1</v>
      </c>
    </row>
    <row r="763">
      <c r="A763" t="n">
        <v>762</v>
      </c>
      <c r="B763" t="inlineStr">
        <is>
          <t>B</t>
        </is>
      </c>
      <c r="C763">
        <f>1</f>
        <v>1</v>
      </c>
      <c r="D763">
        <f>IF(OR(F_Custom1_Q="(None)",F_Custom1_Q="",ISBLANK(F_Custom1_Q),F_Custom1_V="(All)",F_Custom1_V="",ISBLANK(F_Custom1_V)),1,IFERROR(IF(ISNUMBER(SEARCH("|"&amp;INDEX(INDIRECT(F_Custom1_resolved_column),762)&amp;"|",F_Custom1_wrapped)),1,0),0))</f>
        <v>1</v>
      </c>
      <c r="E763">
        <f>IF(OR(F_Custom2_Q="(None)",F_Custom2_Q="",ISBLANK(F_Custom2_Q),F_Custom2_V="(All)",F_Custom2_V="",ISBLANK(F_Custom2_V)),1,IFERROR(IF(ISNUMBER(SEARCH("|"&amp;INDEX(INDIRECT(F_Custom2_resolved_column),762)&amp;"|",F_Custom2_wrapped)),1,0),0))</f>
        <v>1</v>
      </c>
      <c r="F763">
        <f>D763*E763*1</f>
        <v>1</v>
      </c>
      <c r="G763">
        <f>1</f>
        <v>1</v>
      </c>
      <c r="H7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762)&amp;"|",All_Questions_Q_STREAM_F_wrapped)),1,0),0))*1</f>
        <v>1</v>
      </c>
    </row>
    <row r="764">
      <c r="A764" t="n">
        <v>763</v>
      </c>
      <c r="B764" t="inlineStr">
        <is>
          <t>A</t>
        </is>
      </c>
      <c r="C764">
        <f>1</f>
        <v>1</v>
      </c>
      <c r="D764">
        <f>IF(OR(F_Custom1_Q="(None)",F_Custom1_Q="",ISBLANK(F_Custom1_Q),F_Custom1_V="(All)",F_Custom1_V="",ISBLANK(F_Custom1_V)),1,IFERROR(IF(ISNUMBER(SEARCH("|"&amp;INDEX(INDIRECT(F_Custom1_resolved_column),763)&amp;"|",F_Custom1_wrapped)),1,0),0))</f>
        <v>1</v>
      </c>
      <c r="E764">
        <f>IF(OR(F_Custom2_Q="(None)",F_Custom2_Q="",ISBLANK(F_Custom2_Q),F_Custom2_V="(All)",F_Custom2_V="",ISBLANK(F_Custom2_V)),1,IFERROR(IF(ISNUMBER(SEARCH("|"&amp;INDEX(INDIRECT(F_Custom2_resolved_column),763)&amp;"|",F_Custom2_wrapped)),1,0),0))</f>
        <v>1</v>
      </c>
      <c r="F764">
        <f>D764*E764*1</f>
        <v>1</v>
      </c>
      <c r="G764">
        <f>1</f>
        <v>1</v>
      </c>
      <c r="H7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763)&amp;"|",All_Questions_Q_STREAM_F_wrapped)),1,0),0))*1</f>
        <v>1</v>
      </c>
    </row>
    <row r="765">
      <c r="A765" t="n">
        <v>764</v>
      </c>
      <c r="B765" t="inlineStr">
        <is>
          <t>B</t>
        </is>
      </c>
      <c r="C765">
        <f>1</f>
        <v>1</v>
      </c>
      <c r="D765">
        <f>IF(OR(F_Custom1_Q="(None)",F_Custom1_Q="",ISBLANK(F_Custom1_Q),F_Custom1_V="(All)",F_Custom1_V="",ISBLANK(F_Custom1_V)),1,IFERROR(IF(ISNUMBER(SEARCH("|"&amp;INDEX(INDIRECT(F_Custom1_resolved_column),764)&amp;"|",F_Custom1_wrapped)),1,0),0))</f>
        <v>1</v>
      </c>
      <c r="E765">
        <f>IF(OR(F_Custom2_Q="(None)",F_Custom2_Q="",ISBLANK(F_Custom2_Q),F_Custom2_V="(All)",F_Custom2_V="",ISBLANK(F_Custom2_V)),1,IFERROR(IF(ISNUMBER(SEARCH("|"&amp;INDEX(INDIRECT(F_Custom2_resolved_column),764)&amp;"|",F_Custom2_wrapped)),1,0),0))</f>
        <v>1</v>
      </c>
      <c r="F765">
        <f>D765*E765*1</f>
        <v>1</v>
      </c>
      <c r="G765">
        <f>1</f>
        <v>1</v>
      </c>
      <c r="H7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764)&amp;"|",All_Questions_Q_STREAM_F_wrapped)),1,0),0))*1</f>
        <v>1</v>
      </c>
    </row>
    <row r="766">
      <c r="A766" t="n">
        <v>765</v>
      </c>
      <c r="B766" t="inlineStr">
        <is>
          <t>A</t>
        </is>
      </c>
      <c r="C766">
        <f>1</f>
        <v>1</v>
      </c>
      <c r="D766">
        <f>IF(OR(F_Custom1_Q="(None)",F_Custom1_Q="",ISBLANK(F_Custom1_Q),F_Custom1_V="(All)",F_Custom1_V="",ISBLANK(F_Custom1_V)),1,IFERROR(IF(ISNUMBER(SEARCH("|"&amp;INDEX(INDIRECT(F_Custom1_resolved_column),765)&amp;"|",F_Custom1_wrapped)),1,0),0))</f>
        <v>1</v>
      </c>
      <c r="E766">
        <f>IF(OR(F_Custom2_Q="(None)",F_Custom2_Q="",ISBLANK(F_Custom2_Q),F_Custom2_V="(All)",F_Custom2_V="",ISBLANK(F_Custom2_V)),1,IFERROR(IF(ISNUMBER(SEARCH("|"&amp;INDEX(INDIRECT(F_Custom2_resolved_column),765)&amp;"|",F_Custom2_wrapped)),1,0),0))</f>
        <v>1</v>
      </c>
      <c r="F766">
        <f>D766*E766*1</f>
        <v>1</v>
      </c>
      <c r="G766">
        <f>1</f>
        <v>1</v>
      </c>
      <c r="H7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765)&amp;"|",All_Questions_Q_STREAM_F_wrapped)),1,0),0))*1</f>
        <v>1</v>
      </c>
    </row>
    <row r="767">
      <c r="A767" t="n">
        <v>766</v>
      </c>
      <c r="B767" t="inlineStr">
        <is>
          <t>B</t>
        </is>
      </c>
      <c r="C767">
        <f>1</f>
        <v>1</v>
      </c>
      <c r="D767">
        <f>IF(OR(F_Custom1_Q="(None)",F_Custom1_Q="",ISBLANK(F_Custom1_Q),F_Custom1_V="(All)",F_Custom1_V="",ISBLANK(F_Custom1_V)),1,IFERROR(IF(ISNUMBER(SEARCH("|"&amp;INDEX(INDIRECT(F_Custom1_resolved_column),766)&amp;"|",F_Custom1_wrapped)),1,0),0))</f>
        <v>1</v>
      </c>
      <c r="E767">
        <f>IF(OR(F_Custom2_Q="(None)",F_Custom2_Q="",ISBLANK(F_Custom2_Q),F_Custom2_V="(All)",F_Custom2_V="",ISBLANK(F_Custom2_V)),1,IFERROR(IF(ISNUMBER(SEARCH("|"&amp;INDEX(INDIRECT(F_Custom2_resolved_column),766)&amp;"|",F_Custom2_wrapped)),1,0),0))</f>
        <v>1</v>
      </c>
      <c r="F767">
        <f>D767*E767*1</f>
        <v>1</v>
      </c>
      <c r="G767">
        <f>1</f>
        <v>1</v>
      </c>
      <c r="H7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766)&amp;"|",All_Questions_Q_STREAM_F_wrapped)),1,0),0))*1</f>
        <v>1</v>
      </c>
    </row>
    <row r="768">
      <c r="A768" t="n">
        <v>767</v>
      </c>
      <c r="B768" t="inlineStr">
        <is>
          <t>A</t>
        </is>
      </c>
      <c r="C768">
        <f>1</f>
        <v>1</v>
      </c>
      <c r="D768">
        <f>IF(OR(F_Custom1_Q="(None)",F_Custom1_Q="",ISBLANK(F_Custom1_Q),F_Custom1_V="(All)",F_Custom1_V="",ISBLANK(F_Custom1_V)),1,IFERROR(IF(ISNUMBER(SEARCH("|"&amp;INDEX(INDIRECT(F_Custom1_resolved_column),767)&amp;"|",F_Custom1_wrapped)),1,0),0))</f>
        <v>1</v>
      </c>
      <c r="E768">
        <f>IF(OR(F_Custom2_Q="(None)",F_Custom2_Q="",ISBLANK(F_Custom2_Q),F_Custom2_V="(All)",F_Custom2_V="",ISBLANK(F_Custom2_V)),1,IFERROR(IF(ISNUMBER(SEARCH("|"&amp;INDEX(INDIRECT(F_Custom2_resolved_column),767)&amp;"|",F_Custom2_wrapped)),1,0),0))</f>
        <v>1</v>
      </c>
      <c r="F768">
        <f>D768*E768*1</f>
        <v>1</v>
      </c>
      <c r="G768">
        <f>1</f>
        <v>1</v>
      </c>
      <c r="H7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767)&amp;"|",All_Questions_Q_STREAM_F_wrapped)),1,0),0))*1</f>
        <v>1</v>
      </c>
    </row>
    <row r="769">
      <c r="A769" t="n">
        <v>768</v>
      </c>
      <c r="B769" t="inlineStr">
        <is>
          <t>B</t>
        </is>
      </c>
      <c r="C769">
        <f>1</f>
        <v>1</v>
      </c>
      <c r="D769">
        <f>IF(OR(F_Custom1_Q="(None)",F_Custom1_Q="",ISBLANK(F_Custom1_Q),F_Custom1_V="(All)",F_Custom1_V="",ISBLANK(F_Custom1_V)),1,IFERROR(IF(ISNUMBER(SEARCH("|"&amp;INDEX(INDIRECT(F_Custom1_resolved_column),768)&amp;"|",F_Custom1_wrapped)),1,0),0))</f>
        <v>1</v>
      </c>
      <c r="E769">
        <f>IF(OR(F_Custom2_Q="(None)",F_Custom2_Q="",ISBLANK(F_Custom2_Q),F_Custom2_V="(All)",F_Custom2_V="",ISBLANK(F_Custom2_V)),1,IFERROR(IF(ISNUMBER(SEARCH("|"&amp;INDEX(INDIRECT(F_Custom2_resolved_column),768)&amp;"|",F_Custom2_wrapped)),1,0),0))</f>
        <v>1</v>
      </c>
      <c r="F769">
        <f>D769*E769*1</f>
        <v>1</v>
      </c>
      <c r="G769">
        <f>1</f>
        <v>1</v>
      </c>
      <c r="H7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768)&amp;"|",All_Questions_Q_STREAM_F_wrapped)),1,0),0))*1</f>
        <v>1</v>
      </c>
    </row>
    <row r="770">
      <c r="A770" t="n">
        <v>769</v>
      </c>
      <c r="B770" t="inlineStr">
        <is>
          <t>A</t>
        </is>
      </c>
      <c r="C770">
        <f>1</f>
        <v>1</v>
      </c>
      <c r="D770">
        <f>IF(OR(F_Custom1_Q="(None)",F_Custom1_Q="",ISBLANK(F_Custom1_Q),F_Custom1_V="(All)",F_Custom1_V="",ISBLANK(F_Custom1_V)),1,IFERROR(IF(ISNUMBER(SEARCH("|"&amp;INDEX(INDIRECT(F_Custom1_resolved_column),769)&amp;"|",F_Custom1_wrapped)),1,0),0))</f>
        <v>1</v>
      </c>
      <c r="E770">
        <f>IF(OR(F_Custom2_Q="(None)",F_Custom2_Q="",ISBLANK(F_Custom2_Q),F_Custom2_V="(All)",F_Custom2_V="",ISBLANK(F_Custom2_V)),1,IFERROR(IF(ISNUMBER(SEARCH("|"&amp;INDEX(INDIRECT(F_Custom2_resolved_column),769)&amp;"|",F_Custom2_wrapped)),1,0),0))</f>
        <v>1</v>
      </c>
      <c r="F770">
        <f>D770*E770*1</f>
        <v>1</v>
      </c>
      <c r="G770">
        <f>1</f>
        <v>1</v>
      </c>
      <c r="H7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769)&amp;"|",All_Questions_Q_STREAM_F_wrapped)),1,0),0))*1</f>
        <v>1</v>
      </c>
    </row>
    <row r="771">
      <c r="A771" t="n">
        <v>770</v>
      </c>
      <c r="B771" t="inlineStr">
        <is>
          <t>B</t>
        </is>
      </c>
      <c r="C771">
        <f>1</f>
        <v>1</v>
      </c>
      <c r="D771">
        <f>IF(OR(F_Custom1_Q="(None)",F_Custom1_Q="",ISBLANK(F_Custom1_Q),F_Custom1_V="(All)",F_Custom1_V="",ISBLANK(F_Custom1_V)),1,IFERROR(IF(ISNUMBER(SEARCH("|"&amp;INDEX(INDIRECT(F_Custom1_resolved_column),770)&amp;"|",F_Custom1_wrapped)),1,0),0))</f>
        <v>1</v>
      </c>
      <c r="E771">
        <f>IF(OR(F_Custom2_Q="(None)",F_Custom2_Q="",ISBLANK(F_Custom2_Q),F_Custom2_V="(All)",F_Custom2_V="",ISBLANK(F_Custom2_V)),1,IFERROR(IF(ISNUMBER(SEARCH("|"&amp;INDEX(INDIRECT(F_Custom2_resolved_column),770)&amp;"|",F_Custom2_wrapped)),1,0),0))</f>
        <v>1</v>
      </c>
      <c r="F771">
        <f>D771*E771*1</f>
        <v>1</v>
      </c>
      <c r="G771">
        <f>1</f>
        <v>1</v>
      </c>
      <c r="H7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770)&amp;"|",All_Questions_Q_STREAM_F_wrapped)),1,0),0))*1</f>
        <v>1</v>
      </c>
    </row>
    <row r="772">
      <c r="A772" t="n">
        <v>771</v>
      </c>
      <c r="B772" t="inlineStr">
        <is>
          <t>A</t>
        </is>
      </c>
      <c r="C772">
        <f>1</f>
        <v>1</v>
      </c>
      <c r="D772">
        <f>IF(OR(F_Custom1_Q="(None)",F_Custom1_Q="",ISBLANK(F_Custom1_Q),F_Custom1_V="(All)",F_Custom1_V="",ISBLANK(F_Custom1_V)),1,IFERROR(IF(ISNUMBER(SEARCH("|"&amp;INDEX(INDIRECT(F_Custom1_resolved_column),771)&amp;"|",F_Custom1_wrapped)),1,0),0))</f>
        <v>1</v>
      </c>
      <c r="E772">
        <f>IF(OR(F_Custom2_Q="(None)",F_Custom2_Q="",ISBLANK(F_Custom2_Q),F_Custom2_V="(All)",F_Custom2_V="",ISBLANK(F_Custom2_V)),1,IFERROR(IF(ISNUMBER(SEARCH("|"&amp;INDEX(INDIRECT(F_Custom2_resolved_column),771)&amp;"|",F_Custom2_wrapped)),1,0),0))</f>
        <v>1</v>
      </c>
      <c r="F772">
        <f>D772*E772*1</f>
        <v>1</v>
      </c>
      <c r="G772">
        <f>1</f>
        <v>1</v>
      </c>
      <c r="H7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771)&amp;"|",All_Questions_Q_STREAM_F_wrapped)),1,0),0))*1</f>
        <v>1</v>
      </c>
    </row>
    <row r="773">
      <c r="A773" t="n">
        <v>772</v>
      </c>
      <c r="B773" t="inlineStr">
        <is>
          <t>B</t>
        </is>
      </c>
      <c r="C773">
        <f>1</f>
        <v>1</v>
      </c>
      <c r="D773">
        <f>IF(OR(F_Custom1_Q="(None)",F_Custom1_Q="",ISBLANK(F_Custom1_Q),F_Custom1_V="(All)",F_Custom1_V="",ISBLANK(F_Custom1_V)),1,IFERROR(IF(ISNUMBER(SEARCH("|"&amp;INDEX(INDIRECT(F_Custom1_resolved_column),772)&amp;"|",F_Custom1_wrapped)),1,0),0))</f>
        <v>1</v>
      </c>
      <c r="E773">
        <f>IF(OR(F_Custom2_Q="(None)",F_Custom2_Q="",ISBLANK(F_Custom2_Q),F_Custom2_V="(All)",F_Custom2_V="",ISBLANK(F_Custom2_V)),1,IFERROR(IF(ISNUMBER(SEARCH("|"&amp;INDEX(INDIRECT(F_Custom2_resolved_column),772)&amp;"|",F_Custom2_wrapped)),1,0),0))</f>
        <v>1</v>
      </c>
      <c r="F773">
        <f>D773*E773*1</f>
        <v>1</v>
      </c>
      <c r="G773">
        <f>1</f>
        <v>1</v>
      </c>
      <c r="H7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772)&amp;"|",All_Questions_Q_STREAM_F_wrapped)),1,0),0))*1</f>
        <v>1</v>
      </c>
    </row>
    <row r="774">
      <c r="A774" t="n">
        <v>773</v>
      </c>
      <c r="B774" t="inlineStr">
        <is>
          <t>A</t>
        </is>
      </c>
      <c r="C774">
        <f>1</f>
        <v>1</v>
      </c>
      <c r="D774">
        <f>IF(OR(F_Custom1_Q="(None)",F_Custom1_Q="",ISBLANK(F_Custom1_Q),F_Custom1_V="(All)",F_Custom1_V="",ISBLANK(F_Custom1_V)),1,IFERROR(IF(ISNUMBER(SEARCH("|"&amp;INDEX(INDIRECT(F_Custom1_resolved_column),773)&amp;"|",F_Custom1_wrapped)),1,0),0))</f>
        <v>1</v>
      </c>
      <c r="E774">
        <f>IF(OR(F_Custom2_Q="(None)",F_Custom2_Q="",ISBLANK(F_Custom2_Q),F_Custom2_V="(All)",F_Custom2_V="",ISBLANK(F_Custom2_V)),1,IFERROR(IF(ISNUMBER(SEARCH("|"&amp;INDEX(INDIRECT(F_Custom2_resolved_column),773)&amp;"|",F_Custom2_wrapped)),1,0),0))</f>
        <v>1</v>
      </c>
      <c r="F774">
        <f>D774*E774*1</f>
        <v>1</v>
      </c>
      <c r="G774">
        <f>1</f>
        <v>1</v>
      </c>
      <c r="H7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773)&amp;"|",All_Questions_Q_STREAM_F_wrapped)),1,0),0))*1</f>
        <v>1</v>
      </c>
    </row>
    <row r="775">
      <c r="A775" t="n">
        <v>774</v>
      </c>
      <c r="B775" t="inlineStr">
        <is>
          <t>B</t>
        </is>
      </c>
      <c r="C775">
        <f>1</f>
        <v>1</v>
      </c>
      <c r="D775">
        <f>IF(OR(F_Custom1_Q="(None)",F_Custom1_Q="",ISBLANK(F_Custom1_Q),F_Custom1_V="(All)",F_Custom1_V="",ISBLANK(F_Custom1_V)),1,IFERROR(IF(ISNUMBER(SEARCH("|"&amp;INDEX(INDIRECT(F_Custom1_resolved_column),774)&amp;"|",F_Custom1_wrapped)),1,0),0))</f>
        <v>1</v>
      </c>
      <c r="E775">
        <f>IF(OR(F_Custom2_Q="(None)",F_Custom2_Q="",ISBLANK(F_Custom2_Q),F_Custom2_V="(All)",F_Custom2_V="",ISBLANK(F_Custom2_V)),1,IFERROR(IF(ISNUMBER(SEARCH("|"&amp;INDEX(INDIRECT(F_Custom2_resolved_column),774)&amp;"|",F_Custom2_wrapped)),1,0),0))</f>
        <v>1</v>
      </c>
      <c r="F775">
        <f>D775*E775*1</f>
        <v>1</v>
      </c>
      <c r="G775">
        <f>1</f>
        <v>1</v>
      </c>
      <c r="H7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774)&amp;"|",All_Questions_Q_STREAM_F_wrapped)),1,0),0))*1</f>
        <v>1</v>
      </c>
    </row>
    <row r="776">
      <c r="A776" t="n">
        <v>775</v>
      </c>
      <c r="B776" t="inlineStr">
        <is>
          <t>A</t>
        </is>
      </c>
      <c r="C776">
        <f>1</f>
        <v>1</v>
      </c>
      <c r="D776">
        <f>IF(OR(F_Custom1_Q="(None)",F_Custom1_Q="",ISBLANK(F_Custom1_Q),F_Custom1_V="(All)",F_Custom1_V="",ISBLANK(F_Custom1_V)),1,IFERROR(IF(ISNUMBER(SEARCH("|"&amp;INDEX(INDIRECT(F_Custom1_resolved_column),775)&amp;"|",F_Custom1_wrapped)),1,0),0))</f>
        <v>1</v>
      </c>
      <c r="E776">
        <f>IF(OR(F_Custom2_Q="(None)",F_Custom2_Q="",ISBLANK(F_Custom2_Q),F_Custom2_V="(All)",F_Custom2_V="",ISBLANK(F_Custom2_V)),1,IFERROR(IF(ISNUMBER(SEARCH("|"&amp;INDEX(INDIRECT(F_Custom2_resolved_column),775)&amp;"|",F_Custom2_wrapped)),1,0),0))</f>
        <v>1</v>
      </c>
      <c r="F776">
        <f>D776*E776*1</f>
        <v>1</v>
      </c>
      <c r="G776">
        <f>1</f>
        <v>1</v>
      </c>
      <c r="H7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775)&amp;"|",All_Questions_Q_STREAM_F_wrapped)),1,0),0))*1</f>
        <v>1</v>
      </c>
    </row>
    <row r="777">
      <c r="A777" t="n">
        <v>776</v>
      </c>
      <c r="B777" t="inlineStr">
        <is>
          <t>B</t>
        </is>
      </c>
      <c r="C777">
        <f>1</f>
        <v>1</v>
      </c>
      <c r="D777">
        <f>IF(OR(F_Custom1_Q="(None)",F_Custom1_Q="",ISBLANK(F_Custom1_Q),F_Custom1_V="(All)",F_Custom1_V="",ISBLANK(F_Custom1_V)),1,IFERROR(IF(ISNUMBER(SEARCH("|"&amp;INDEX(INDIRECT(F_Custom1_resolved_column),776)&amp;"|",F_Custom1_wrapped)),1,0),0))</f>
        <v>1</v>
      </c>
      <c r="E777">
        <f>IF(OR(F_Custom2_Q="(None)",F_Custom2_Q="",ISBLANK(F_Custom2_Q),F_Custom2_V="(All)",F_Custom2_V="",ISBLANK(F_Custom2_V)),1,IFERROR(IF(ISNUMBER(SEARCH("|"&amp;INDEX(INDIRECT(F_Custom2_resolved_column),776)&amp;"|",F_Custom2_wrapped)),1,0),0))</f>
        <v>1</v>
      </c>
      <c r="F777">
        <f>D777*E777*1</f>
        <v>1</v>
      </c>
      <c r="G777">
        <f>1</f>
        <v>1</v>
      </c>
      <c r="H7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776)&amp;"|",All_Questions_Q_STREAM_F_wrapped)),1,0),0))*1</f>
        <v>1</v>
      </c>
    </row>
    <row r="778">
      <c r="A778" t="n">
        <v>777</v>
      </c>
      <c r="B778" t="inlineStr">
        <is>
          <t>A</t>
        </is>
      </c>
      <c r="C778">
        <f>1</f>
        <v>1</v>
      </c>
      <c r="D778">
        <f>IF(OR(F_Custom1_Q="(None)",F_Custom1_Q="",ISBLANK(F_Custom1_Q),F_Custom1_V="(All)",F_Custom1_V="",ISBLANK(F_Custom1_V)),1,IFERROR(IF(ISNUMBER(SEARCH("|"&amp;INDEX(INDIRECT(F_Custom1_resolved_column),777)&amp;"|",F_Custom1_wrapped)),1,0),0))</f>
        <v>1</v>
      </c>
      <c r="E778">
        <f>IF(OR(F_Custom2_Q="(None)",F_Custom2_Q="",ISBLANK(F_Custom2_Q),F_Custom2_V="(All)",F_Custom2_V="",ISBLANK(F_Custom2_V)),1,IFERROR(IF(ISNUMBER(SEARCH("|"&amp;INDEX(INDIRECT(F_Custom2_resolved_column),777)&amp;"|",F_Custom2_wrapped)),1,0),0))</f>
        <v>1</v>
      </c>
      <c r="F778">
        <f>D778*E778*1</f>
        <v>1</v>
      </c>
      <c r="G778">
        <f>1</f>
        <v>1</v>
      </c>
      <c r="H7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777)&amp;"|",All_Questions_Q_STREAM_F_wrapped)),1,0),0))*1</f>
        <v>1</v>
      </c>
    </row>
    <row r="779">
      <c r="A779" t="n">
        <v>778</v>
      </c>
      <c r="B779" t="inlineStr">
        <is>
          <t>B</t>
        </is>
      </c>
      <c r="C779">
        <f>1</f>
        <v>1</v>
      </c>
      <c r="D779">
        <f>IF(OR(F_Custom1_Q="(None)",F_Custom1_Q="",ISBLANK(F_Custom1_Q),F_Custom1_V="(All)",F_Custom1_V="",ISBLANK(F_Custom1_V)),1,IFERROR(IF(ISNUMBER(SEARCH("|"&amp;INDEX(INDIRECT(F_Custom1_resolved_column),778)&amp;"|",F_Custom1_wrapped)),1,0),0))</f>
        <v>1</v>
      </c>
      <c r="E779">
        <f>IF(OR(F_Custom2_Q="(None)",F_Custom2_Q="",ISBLANK(F_Custom2_Q),F_Custom2_V="(All)",F_Custom2_V="",ISBLANK(F_Custom2_V)),1,IFERROR(IF(ISNUMBER(SEARCH("|"&amp;INDEX(INDIRECT(F_Custom2_resolved_column),778)&amp;"|",F_Custom2_wrapped)),1,0),0))</f>
        <v>1</v>
      </c>
      <c r="F779">
        <f>D779*E779*1</f>
        <v>1</v>
      </c>
      <c r="G779">
        <f>1</f>
        <v>1</v>
      </c>
      <c r="H7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778)&amp;"|",All_Questions_Q_STREAM_F_wrapped)),1,0),0))*1</f>
        <v>1</v>
      </c>
    </row>
    <row r="780">
      <c r="A780" t="n">
        <v>779</v>
      </c>
      <c r="B780" t="inlineStr">
        <is>
          <t>A</t>
        </is>
      </c>
      <c r="C780">
        <f>1</f>
        <v>1</v>
      </c>
      <c r="D780">
        <f>IF(OR(F_Custom1_Q="(None)",F_Custom1_Q="",ISBLANK(F_Custom1_Q),F_Custom1_V="(All)",F_Custom1_V="",ISBLANK(F_Custom1_V)),1,IFERROR(IF(ISNUMBER(SEARCH("|"&amp;INDEX(INDIRECT(F_Custom1_resolved_column),779)&amp;"|",F_Custom1_wrapped)),1,0),0))</f>
        <v>1</v>
      </c>
      <c r="E780">
        <f>IF(OR(F_Custom2_Q="(None)",F_Custom2_Q="",ISBLANK(F_Custom2_Q),F_Custom2_V="(All)",F_Custom2_V="",ISBLANK(F_Custom2_V)),1,IFERROR(IF(ISNUMBER(SEARCH("|"&amp;INDEX(INDIRECT(F_Custom2_resolved_column),779)&amp;"|",F_Custom2_wrapped)),1,0),0))</f>
        <v>1</v>
      </c>
      <c r="F780">
        <f>D780*E780*1</f>
        <v>1</v>
      </c>
      <c r="G780">
        <f>1</f>
        <v>1</v>
      </c>
      <c r="H7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779)&amp;"|",All_Questions_Q_STREAM_F_wrapped)),1,0),0))*1</f>
        <v>1</v>
      </c>
    </row>
    <row r="781">
      <c r="A781" t="n">
        <v>780</v>
      </c>
      <c r="B781" t="inlineStr">
        <is>
          <t>B</t>
        </is>
      </c>
      <c r="C781">
        <f>1</f>
        <v>1</v>
      </c>
      <c r="D781">
        <f>IF(OR(F_Custom1_Q="(None)",F_Custom1_Q="",ISBLANK(F_Custom1_Q),F_Custom1_V="(All)",F_Custom1_V="",ISBLANK(F_Custom1_V)),1,IFERROR(IF(ISNUMBER(SEARCH("|"&amp;INDEX(INDIRECT(F_Custom1_resolved_column),780)&amp;"|",F_Custom1_wrapped)),1,0),0))</f>
        <v>1</v>
      </c>
      <c r="E781">
        <f>IF(OR(F_Custom2_Q="(None)",F_Custom2_Q="",ISBLANK(F_Custom2_Q),F_Custom2_V="(All)",F_Custom2_V="",ISBLANK(F_Custom2_V)),1,IFERROR(IF(ISNUMBER(SEARCH("|"&amp;INDEX(INDIRECT(F_Custom2_resolved_column),780)&amp;"|",F_Custom2_wrapped)),1,0),0))</f>
        <v>1</v>
      </c>
      <c r="F781">
        <f>D781*E781*1</f>
        <v>1</v>
      </c>
      <c r="G781">
        <f>1</f>
        <v>1</v>
      </c>
      <c r="H7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780)&amp;"|",All_Questions_Q_STREAM_F_wrapped)),1,0),0))*1</f>
        <v>1</v>
      </c>
    </row>
    <row r="782">
      <c r="A782" t="n">
        <v>781</v>
      </c>
      <c r="B782" t="inlineStr">
        <is>
          <t>A</t>
        </is>
      </c>
      <c r="C782">
        <f>1</f>
        <v>1</v>
      </c>
      <c r="D782">
        <f>IF(OR(F_Custom1_Q="(None)",F_Custom1_Q="",ISBLANK(F_Custom1_Q),F_Custom1_V="(All)",F_Custom1_V="",ISBLANK(F_Custom1_V)),1,IFERROR(IF(ISNUMBER(SEARCH("|"&amp;INDEX(INDIRECT(F_Custom1_resolved_column),781)&amp;"|",F_Custom1_wrapped)),1,0),0))</f>
        <v>1</v>
      </c>
      <c r="E782">
        <f>IF(OR(F_Custom2_Q="(None)",F_Custom2_Q="",ISBLANK(F_Custom2_Q),F_Custom2_V="(All)",F_Custom2_V="",ISBLANK(F_Custom2_V)),1,IFERROR(IF(ISNUMBER(SEARCH("|"&amp;INDEX(INDIRECT(F_Custom2_resolved_column),781)&amp;"|",F_Custom2_wrapped)),1,0),0))</f>
        <v>1</v>
      </c>
      <c r="F782">
        <f>D782*E782*1</f>
        <v>1</v>
      </c>
      <c r="G782">
        <f>1</f>
        <v>1</v>
      </c>
      <c r="H7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781)&amp;"|",All_Questions_Q_STREAM_F_wrapped)),1,0),0))*1</f>
        <v>1</v>
      </c>
    </row>
    <row r="783">
      <c r="A783" t="n">
        <v>782</v>
      </c>
      <c r="B783" t="inlineStr">
        <is>
          <t>B</t>
        </is>
      </c>
      <c r="C783">
        <f>1</f>
        <v>1</v>
      </c>
      <c r="D783">
        <f>IF(OR(F_Custom1_Q="(None)",F_Custom1_Q="",ISBLANK(F_Custom1_Q),F_Custom1_V="(All)",F_Custom1_V="",ISBLANK(F_Custom1_V)),1,IFERROR(IF(ISNUMBER(SEARCH("|"&amp;INDEX(INDIRECT(F_Custom1_resolved_column),782)&amp;"|",F_Custom1_wrapped)),1,0),0))</f>
        <v>1</v>
      </c>
      <c r="E783">
        <f>IF(OR(F_Custom2_Q="(None)",F_Custom2_Q="",ISBLANK(F_Custom2_Q),F_Custom2_V="(All)",F_Custom2_V="",ISBLANK(F_Custom2_V)),1,IFERROR(IF(ISNUMBER(SEARCH("|"&amp;INDEX(INDIRECT(F_Custom2_resolved_column),782)&amp;"|",F_Custom2_wrapped)),1,0),0))</f>
        <v>1</v>
      </c>
      <c r="F783">
        <f>D783*E783*1</f>
        <v>1</v>
      </c>
      <c r="G783">
        <f>1</f>
        <v>1</v>
      </c>
      <c r="H7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782)&amp;"|",All_Questions_Q_STREAM_F_wrapped)),1,0),0))*1</f>
        <v>1</v>
      </c>
    </row>
    <row r="784">
      <c r="A784" t="n">
        <v>783</v>
      </c>
      <c r="B784" t="inlineStr">
        <is>
          <t>A</t>
        </is>
      </c>
      <c r="C784">
        <f>1</f>
        <v>1</v>
      </c>
      <c r="D784">
        <f>IF(OR(F_Custom1_Q="(None)",F_Custom1_Q="",ISBLANK(F_Custom1_Q),F_Custom1_V="(All)",F_Custom1_V="",ISBLANK(F_Custom1_V)),1,IFERROR(IF(ISNUMBER(SEARCH("|"&amp;INDEX(INDIRECT(F_Custom1_resolved_column),783)&amp;"|",F_Custom1_wrapped)),1,0),0))</f>
        <v>1</v>
      </c>
      <c r="E784">
        <f>IF(OR(F_Custom2_Q="(None)",F_Custom2_Q="",ISBLANK(F_Custom2_Q),F_Custom2_V="(All)",F_Custom2_V="",ISBLANK(F_Custom2_V)),1,IFERROR(IF(ISNUMBER(SEARCH("|"&amp;INDEX(INDIRECT(F_Custom2_resolved_column),783)&amp;"|",F_Custom2_wrapped)),1,0),0))</f>
        <v>1</v>
      </c>
      <c r="F784">
        <f>D784*E784*1</f>
        <v>1</v>
      </c>
      <c r="G784">
        <f>1</f>
        <v>1</v>
      </c>
      <c r="H7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783)&amp;"|",All_Questions_Q_STREAM_F_wrapped)),1,0),0))*1</f>
        <v>1</v>
      </c>
    </row>
    <row r="785">
      <c r="A785" t="n">
        <v>784</v>
      </c>
      <c r="B785" t="inlineStr">
        <is>
          <t>B</t>
        </is>
      </c>
      <c r="C785">
        <f>1</f>
        <v>1</v>
      </c>
      <c r="D785">
        <f>IF(OR(F_Custom1_Q="(None)",F_Custom1_Q="",ISBLANK(F_Custom1_Q),F_Custom1_V="(All)",F_Custom1_V="",ISBLANK(F_Custom1_V)),1,IFERROR(IF(ISNUMBER(SEARCH("|"&amp;INDEX(INDIRECT(F_Custom1_resolved_column),784)&amp;"|",F_Custom1_wrapped)),1,0),0))</f>
        <v>1</v>
      </c>
      <c r="E785">
        <f>IF(OR(F_Custom2_Q="(None)",F_Custom2_Q="",ISBLANK(F_Custom2_Q),F_Custom2_V="(All)",F_Custom2_V="",ISBLANK(F_Custom2_V)),1,IFERROR(IF(ISNUMBER(SEARCH("|"&amp;INDEX(INDIRECT(F_Custom2_resolved_column),784)&amp;"|",F_Custom2_wrapped)),1,0),0))</f>
        <v>1</v>
      </c>
      <c r="F785">
        <f>D785*E785*1</f>
        <v>1</v>
      </c>
      <c r="G785">
        <f>1</f>
        <v>1</v>
      </c>
      <c r="H7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784)&amp;"|",All_Questions_Q_STREAM_F_wrapped)),1,0),0))*1</f>
        <v>1</v>
      </c>
    </row>
    <row r="786">
      <c r="A786" t="n">
        <v>785</v>
      </c>
      <c r="B786" t="inlineStr">
        <is>
          <t>A</t>
        </is>
      </c>
      <c r="C786">
        <f>1</f>
        <v>1</v>
      </c>
      <c r="D786">
        <f>IF(OR(F_Custom1_Q="(None)",F_Custom1_Q="",ISBLANK(F_Custom1_Q),F_Custom1_V="(All)",F_Custom1_V="",ISBLANK(F_Custom1_V)),1,IFERROR(IF(ISNUMBER(SEARCH("|"&amp;INDEX(INDIRECT(F_Custom1_resolved_column),785)&amp;"|",F_Custom1_wrapped)),1,0),0))</f>
        <v>1</v>
      </c>
      <c r="E786">
        <f>IF(OR(F_Custom2_Q="(None)",F_Custom2_Q="",ISBLANK(F_Custom2_Q),F_Custom2_V="(All)",F_Custom2_V="",ISBLANK(F_Custom2_V)),1,IFERROR(IF(ISNUMBER(SEARCH("|"&amp;INDEX(INDIRECT(F_Custom2_resolved_column),785)&amp;"|",F_Custom2_wrapped)),1,0),0))</f>
        <v>1</v>
      </c>
      <c r="F786">
        <f>D786*E786*1</f>
        <v>1</v>
      </c>
      <c r="G786">
        <f>1</f>
        <v>1</v>
      </c>
      <c r="H7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785)&amp;"|",All_Questions_Q_STREAM_F_wrapped)),1,0),0))*1</f>
        <v>1</v>
      </c>
    </row>
    <row r="787">
      <c r="A787" t="n">
        <v>786</v>
      </c>
      <c r="B787" t="inlineStr">
        <is>
          <t>B</t>
        </is>
      </c>
      <c r="C787">
        <f>1</f>
        <v>1</v>
      </c>
      <c r="D787">
        <f>IF(OR(F_Custom1_Q="(None)",F_Custom1_Q="",ISBLANK(F_Custom1_Q),F_Custom1_V="(All)",F_Custom1_V="",ISBLANK(F_Custom1_V)),1,IFERROR(IF(ISNUMBER(SEARCH("|"&amp;INDEX(INDIRECT(F_Custom1_resolved_column),786)&amp;"|",F_Custom1_wrapped)),1,0),0))</f>
        <v>1</v>
      </c>
      <c r="E787">
        <f>IF(OR(F_Custom2_Q="(None)",F_Custom2_Q="",ISBLANK(F_Custom2_Q),F_Custom2_V="(All)",F_Custom2_V="",ISBLANK(F_Custom2_V)),1,IFERROR(IF(ISNUMBER(SEARCH("|"&amp;INDEX(INDIRECT(F_Custom2_resolved_column),786)&amp;"|",F_Custom2_wrapped)),1,0),0))</f>
        <v>1</v>
      </c>
      <c r="F787">
        <f>D787*E787*1</f>
        <v>1</v>
      </c>
      <c r="G787">
        <f>1</f>
        <v>1</v>
      </c>
      <c r="H7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786)&amp;"|",All_Questions_Q_STREAM_F_wrapped)),1,0),0))*1</f>
        <v>1</v>
      </c>
    </row>
    <row r="788">
      <c r="A788" t="n">
        <v>787</v>
      </c>
      <c r="B788" t="inlineStr">
        <is>
          <t>A</t>
        </is>
      </c>
      <c r="C788">
        <f>1</f>
        <v>1</v>
      </c>
      <c r="D788">
        <f>IF(OR(F_Custom1_Q="(None)",F_Custom1_Q="",ISBLANK(F_Custom1_Q),F_Custom1_V="(All)",F_Custom1_V="",ISBLANK(F_Custom1_V)),1,IFERROR(IF(ISNUMBER(SEARCH("|"&amp;INDEX(INDIRECT(F_Custom1_resolved_column),787)&amp;"|",F_Custom1_wrapped)),1,0),0))</f>
        <v>1</v>
      </c>
      <c r="E788">
        <f>IF(OR(F_Custom2_Q="(None)",F_Custom2_Q="",ISBLANK(F_Custom2_Q),F_Custom2_V="(All)",F_Custom2_V="",ISBLANK(F_Custom2_V)),1,IFERROR(IF(ISNUMBER(SEARCH("|"&amp;INDEX(INDIRECT(F_Custom2_resolved_column),787)&amp;"|",F_Custom2_wrapped)),1,0),0))</f>
        <v>1</v>
      </c>
      <c r="F788">
        <f>D788*E788*1</f>
        <v>1</v>
      </c>
      <c r="G788">
        <f>1</f>
        <v>1</v>
      </c>
      <c r="H7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787)&amp;"|",All_Questions_Q_STREAM_F_wrapped)),1,0),0))*1</f>
        <v>1</v>
      </c>
    </row>
    <row r="789">
      <c r="A789" t="n">
        <v>788</v>
      </c>
      <c r="B789" t="inlineStr">
        <is>
          <t>B</t>
        </is>
      </c>
      <c r="C789">
        <f>1</f>
        <v>1</v>
      </c>
      <c r="D789">
        <f>IF(OR(F_Custom1_Q="(None)",F_Custom1_Q="",ISBLANK(F_Custom1_Q),F_Custom1_V="(All)",F_Custom1_V="",ISBLANK(F_Custom1_V)),1,IFERROR(IF(ISNUMBER(SEARCH("|"&amp;INDEX(INDIRECT(F_Custom1_resolved_column),788)&amp;"|",F_Custom1_wrapped)),1,0),0))</f>
        <v>1</v>
      </c>
      <c r="E789">
        <f>IF(OR(F_Custom2_Q="(None)",F_Custom2_Q="",ISBLANK(F_Custom2_Q),F_Custom2_V="(All)",F_Custom2_V="",ISBLANK(F_Custom2_V)),1,IFERROR(IF(ISNUMBER(SEARCH("|"&amp;INDEX(INDIRECT(F_Custom2_resolved_column),788)&amp;"|",F_Custom2_wrapped)),1,0),0))</f>
        <v>1</v>
      </c>
      <c r="F789">
        <f>D789*E789*1</f>
        <v>1</v>
      </c>
      <c r="G789">
        <f>1</f>
        <v>1</v>
      </c>
      <c r="H7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788)&amp;"|",All_Questions_Q_STREAM_F_wrapped)),1,0),0))*1</f>
        <v>1</v>
      </c>
    </row>
    <row r="790">
      <c r="A790" t="n">
        <v>789</v>
      </c>
      <c r="B790" t="inlineStr">
        <is>
          <t>A</t>
        </is>
      </c>
      <c r="C790">
        <f>1</f>
        <v>1</v>
      </c>
      <c r="D790">
        <f>IF(OR(F_Custom1_Q="(None)",F_Custom1_Q="",ISBLANK(F_Custom1_Q),F_Custom1_V="(All)",F_Custom1_V="",ISBLANK(F_Custom1_V)),1,IFERROR(IF(ISNUMBER(SEARCH("|"&amp;INDEX(INDIRECT(F_Custom1_resolved_column),789)&amp;"|",F_Custom1_wrapped)),1,0),0))</f>
        <v>1</v>
      </c>
      <c r="E790">
        <f>IF(OR(F_Custom2_Q="(None)",F_Custom2_Q="",ISBLANK(F_Custom2_Q),F_Custom2_V="(All)",F_Custom2_V="",ISBLANK(F_Custom2_V)),1,IFERROR(IF(ISNUMBER(SEARCH("|"&amp;INDEX(INDIRECT(F_Custom2_resolved_column),789)&amp;"|",F_Custom2_wrapped)),1,0),0))</f>
        <v>1</v>
      </c>
      <c r="F790">
        <f>D790*E790*1</f>
        <v>1</v>
      </c>
      <c r="G790">
        <f>1</f>
        <v>1</v>
      </c>
      <c r="H7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789)&amp;"|",All_Questions_Q_STREAM_F_wrapped)),1,0),0))*1</f>
        <v>1</v>
      </c>
    </row>
    <row r="791">
      <c r="A791" t="n">
        <v>790</v>
      </c>
      <c r="B791" t="inlineStr">
        <is>
          <t>B</t>
        </is>
      </c>
      <c r="C791">
        <f>1</f>
        <v>1</v>
      </c>
      <c r="D791">
        <f>IF(OR(F_Custom1_Q="(None)",F_Custom1_Q="",ISBLANK(F_Custom1_Q),F_Custom1_V="(All)",F_Custom1_V="",ISBLANK(F_Custom1_V)),1,IFERROR(IF(ISNUMBER(SEARCH("|"&amp;INDEX(INDIRECT(F_Custom1_resolved_column),790)&amp;"|",F_Custom1_wrapped)),1,0),0))</f>
        <v>1</v>
      </c>
      <c r="E791">
        <f>IF(OR(F_Custom2_Q="(None)",F_Custom2_Q="",ISBLANK(F_Custom2_Q),F_Custom2_V="(All)",F_Custom2_V="",ISBLANK(F_Custom2_V)),1,IFERROR(IF(ISNUMBER(SEARCH("|"&amp;INDEX(INDIRECT(F_Custom2_resolved_column),790)&amp;"|",F_Custom2_wrapped)),1,0),0))</f>
        <v>1</v>
      </c>
      <c r="F791">
        <f>D791*E791*1</f>
        <v>1</v>
      </c>
      <c r="G791">
        <f>1</f>
        <v>1</v>
      </c>
      <c r="H7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790)&amp;"|",All_Questions_Q_STREAM_F_wrapped)),1,0),0))*1</f>
        <v>1</v>
      </c>
    </row>
    <row r="792">
      <c r="A792" t="n">
        <v>791</v>
      </c>
      <c r="B792" t="inlineStr">
        <is>
          <t>A</t>
        </is>
      </c>
      <c r="C792">
        <f>1</f>
        <v>1</v>
      </c>
      <c r="D792">
        <f>IF(OR(F_Custom1_Q="(None)",F_Custom1_Q="",ISBLANK(F_Custom1_Q),F_Custom1_V="(All)",F_Custom1_V="",ISBLANK(F_Custom1_V)),1,IFERROR(IF(ISNUMBER(SEARCH("|"&amp;INDEX(INDIRECT(F_Custom1_resolved_column),791)&amp;"|",F_Custom1_wrapped)),1,0),0))</f>
        <v>1</v>
      </c>
      <c r="E792">
        <f>IF(OR(F_Custom2_Q="(None)",F_Custom2_Q="",ISBLANK(F_Custom2_Q),F_Custom2_V="(All)",F_Custom2_V="",ISBLANK(F_Custom2_V)),1,IFERROR(IF(ISNUMBER(SEARCH("|"&amp;INDEX(INDIRECT(F_Custom2_resolved_column),791)&amp;"|",F_Custom2_wrapped)),1,0),0))</f>
        <v>1</v>
      </c>
      <c r="F792">
        <f>D792*E792*1</f>
        <v>1</v>
      </c>
      <c r="G792">
        <f>1</f>
        <v>1</v>
      </c>
      <c r="H7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791)&amp;"|",All_Questions_Q_STREAM_F_wrapped)),1,0),0))*1</f>
        <v>1</v>
      </c>
    </row>
    <row r="793">
      <c r="A793" t="n">
        <v>792</v>
      </c>
      <c r="B793" t="inlineStr">
        <is>
          <t>B</t>
        </is>
      </c>
      <c r="C793">
        <f>1</f>
        <v>1</v>
      </c>
      <c r="D793">
        <f>IF(OR(F_Custom1_Q="(None)",F_Custom1_Q="",ISBLANK(F_Custom1_Q),F_Custom1_V="(All)",F_Custom1_V="",ISBLANK(F_Custom1_V)),1,IFERROR(IF(ISNUMBER(SEARCH("|"&amp;INDEX(INDIRECT(F_Custom1_resolved_column),792)&amp;"|",F_Custom1_wrapped)),1,0),0))</f>
        <v>1</v>
      </c>
      <c r="E793">
        <f>IF(OR(F_Custom2_Q="(None)",F_Custom2_Q="",ISBLANK(F_Custom2_Q),F_Custom2_V="(All)",F_Custom2_V="",ISBLANK(F_Custom2_V)),1,IFERROR(IF(ISNUMBER(SEARCH("|"&amp;INDEX(INDIRECT(F_Custom2_resolved_column),792)&amp;"|",F_Custom2_wrapped)),1,0),0))</f>
        <v>1</v>
      </c>
      <c r="F793">
        <f>D793*E793*1</f>
        <v>1</v>
      </c>
      <c r="G793">
        <f>1</f>
        <v>1</v>
      </c>
      <c r="H7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792)&amp;"|",All_Questions_Q_STREAM_F_wrapped)),1,0),0))*1</f>
        <v>1</v>
      </c>
    </row>
    <row r="794">
      <c r="A794" t="n">
        <v>793</v>
      </c>
      <c r="B794" t="inlineStr">
        <is>
          <t>A</t>
        </is>
      </c>
      <c r="C794">
        <f>1</f>
        <v>1</v>
      </c>
      <c r="D794">
        <f>IF(OR(F_Custom1_Q="(None)",F_Custom1_Q="",ISBLANK(F_Custom1_Q),F_Custom1_V="(All)",F_Custom1_V="",ISBLANK(F_Custom1_V)),1,IFERROR(IF(ISNUMBER(SEARCH("|"&amp;INDEX(INDIRECT(F_Custom1_resolved_column),793)&amp;"|",F_Custom1_wrapped)),1,0),0))</f>
        <v>1</v>
      </c>
      <c r="E794">
        <f>IF(OR(F_Custom2_Q="(None)",F_Custom2_Q="",ISBLANK(F_Custom2_Q),F_Custom2_V="(All)",F_Custom2_V="",ISBLANK(F_Custom2_V)),1,IFERROR(IF(ISNUMBER(SEARCH("|"&amp;INDEX(INDIRECT(F_Custom2_resolved_column),793)&amp;"|",F_Custom2_wrapped)),1,0),0))</f>
        <v>1</v>
      </c>
      <c r="F794">
        <f>D794*E794*1</f>
        <v>1</v>
      </c>
      <c r="G794">
        <f>1</f>
        <v>1</v>
      </c>
      <c r="H7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793)&amp;"|",All_Questions_Q_STREAM_F_wrapped)),1,0),0))*1</f>
        <v>1</v>
      </c>
    </row>
    <row r="795">
      <c r="A795" t="n">
        <v>794</v>
      </c>
      <c r="B795" t="inlineStr">
        <is>
          <t>B</t>
        </is>
      </c>
      <c r="C795">
        <f>1</f>
        <v>1</v>
      </c>
      <c r="D795">
        <f>IF(OR(F_Custom1_Q="(None)",F_Custom1_Q="",ISBLANK(F_Custom1_Q),F_Custom1_V="(All)",F_Custom1_V="",ISBLANK(F_Custom1_V)),1,IFERROR(IF(ISNUMBER(SEARCH("|"&amp;INDEX(INDIRECT(F_Custom1_resolved_column),794)&amp;"|",F_Custom1_wrapped)),1,0),0))</f>
        <v>1</v>
      </c>
      <c r="E795">
        <f>IF(OR(F_Custom2_Q="(None)",F_Custom2_Q="",ISBLANK(F_Custom2_Q),F_Custom2_V="(All)",F_Custom2_V="",ISBLANK(F_Custom2_V)),1,IFERROR(IF(ISNUMBER(SEARCH("|"&amp;INDEX(INDIRECT(F_Custom2_resolved_column),794)&amp;"|",F_Custom2_wrapped)),1,0),0))</f>
        <v>1</v>
      </c>
      <c r="F795">
        <f>D795*E795*1</f>
        <v>1</v>
      </c>
      <c r="G795">
        <f>1</f>
        <v>1</v>
      </c>
      <c r="H7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794)&amp;"|",All_Questions_Q_STREAM_F_wrapped)),1,0),0))*1</f>
        <v>1</v>
      </c>
    </row>
    <row r="796">
      <c r="A796" t="n">
        <v>795</v>
      </c>
      <c r="B796" t="inlineStr">
        <is>
          <t>A</t>
        </is>
      </c>
      <c r="C796">
        <f>1</f>
        <v>1</v>
      </c>
      <c r="D796">
        <f>IF(OR(F_Custom1_Q="(None)",F_Custom1_Q="",ISBLANK(F_Custom1_Q),F_Custom1_V="(All)",F_Custom1_V="",ISBLANK(F_Custom1_V)),1,IFERROR(IF(ISNUMBER(SEARCH("|"&amp;INDEX(INDIRECT(F_Custom1_resolved_column),795)&amp;"|",F_Custom1_wrapped)),1,0),0))</f>
        <v>1</v>
      </c>
      <c r="E796">
        <f>IF(OR(F_Custom2_Q="(None)",F_Custom2_Q="",ISBLANK(F_Custom2_Q),F_Custom2_V="(All)",F_Custom2_V="",ISBLANK(F_Custom2_V)),1,IFERROR(IF(ISNUMBER(SEARCH("|"&amp;INDEX(INDIRECT(F_Custom2_resolved_column),795)&amp;"|",F_Custom2_wrapped)),1,0),0))</f>
        <v>1</v>
      </c>
      <c r="F796">
        <f>D796*E796*1</f>
        <v>1</v>
      </c>
      <c r="G796">
        <f>1</f>
        <v>1</v>
      </c>
      <c r="H7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795)&amp;"|",All_Questions_Q_STREAM_F_wrapped)),1,0),0))*1</f>
        <v>1</v>
      </c>
    </row>
    <row r="797">
      <c r="A797" t="n">
        <v>796</v>
      </c>
      <c r="B797" t="inlineStr">
        <is>
          <t>B</t>
        </is>
      </c>
      <c r="C797">
        <f>1</f>
        <v>1</v>
      </c>
      <c r="D797">
        <f>IF(OR(F_Custom1_Q="(None)",F_Custom1_Q="",ISBLANK(F_Custom1_Q),F_Custom1_V="(All)",F_Custom1_V="",ISBLANK(F_Custom1_V)),1,IFERROR(IF(ISNUMBER(SEARCH("|"&amp;INDEX(INDIRECT(F_Custom1_resolved_column),796)&amp;"|",F_Custom1_wrapped)),1,0),0))</f>
        <v>1</v>
      </c>
      <c r="E797">
        <f>IF(OR(F_Custom2_Q="(None)",F_Custom2_Q="",ISBLANK(F_Custom2_Q),F_Custom2_V="(All)",F_Custom2_V="",ISBLANK(F_Custom2_V)),1,IFERROR(IF(ISNUMBER(SEARCH("|"&amp;INDEX(INDIRECT(F_Custom2_resolved_column),796)&amp;"|",F_Custom2_wrapped)),1,0),0))</f>
        <v>1</v>
      </c>
      <c r="F797">
        <f>D797*E797*1</f>
        <v>1</v>
      </c>
      <c r="G797">
        <f>1</f>
        <v>1</v>
      </c>
      <c r="H7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796)&amp;"|",All_Questions_Q_STREAM_F_wrapped)),1,0),0))*1</f>
        <v>1</v>
      </c>
    </row>
    <row r="798">
      <c r="A798" t="n">
        <v>797</v>
      </c>
      <c r="B798" t="inlineStr">
        <is>
          <t>A</t>
        </is>
      </c>
      <c r="C798">
        <f>1</f>
        <v>1</v>
      </c>
      <c r="D798">
        <f>IF(OR(F_Custom1_Q="(None)",F_Custom1_Q="",ISBLANK(F_Custom1_Q),F_Custom1_V="(All)",F_Custom1_V="",ISBLANK(F_Custom1_V)),1,IFERROR(IF(ISNUMBER(SEARCH("|"&amp;INDEX(INDIRECT(F_Custom1_resolved_column),797)&amp;"|",F_Custom1_wrapped)),1,0),0))</f>
        <v>1</v>
      </c>
      <c r="E798">
        <f>IF(OR(F_Custom2_Q="(None)",F_Custom2_Q="",ISBLANK(F_Custom2_Q),F_Custom2_V="(All)",F_Custom2_V="",ISBLANK(F_Custom2_V)),1,IFERROR(IF(ISNUMBER(SEARCH("|"&amp;INDEX(INDIRECT(F_Custom2_resolved_column),797)&amp;"|",F_Custom2_wrapped)),1,0),0))</f>
        <v>1</v>
      </c>
      <c r="F798">
        <f>D798*E798*1</f>
        <v>1</v>
      </c>
      <c r="G798">
        <f>1</f>
        <v>1</v>
      </c>
      <c r="H7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797)&amp;"|",All_Questions_Q_STREAM_F_wrapped)),1,0),0))*1</f>
        <v>1</v>
      </c>
    </row>
    <row r="799">
      <c r="A799" t="n">
        <v>798</v>
      </c>
      <c r="B799" t="inlineStr">
        <is>
          <t>B</t>
        </is>
      </c>
      <c r="C799">
        <f>1</f>
        <v>1</v>
      </c>
      <c r="D799">
        <f>IF(OR(F_Custom1_Q="(None)",F_Custom1_Q="",ISBLANK(F_Custom1_Q),F_Custom1_V="(All)",F_Custom1_V="",ISBLANK(F_Custom1_V)),1,IFERROR(IF(ISNUMBER(SEARCH("|"&amp;INDEX(INDIRECT(F_Custom1_resolved_column),798)&amp;"|",F_Custom1_wrapped)),1,0),0))</f>
        <v>1</v>
      </c>
      <c r="E799">
        <f>IF(OR(F_Custom2_Q="(None)",F_Custom2_Q="",ISBLANK(F_Custom2_Q),F_Custom2_V="(All)",F_Custom2_V="",ISBLANK(F_Custom2_V)),1,IFERROR(IF(ISNUMBER(SEARCH("|"&amp;INDEX(INDIRECT(F_Custom2_resolved_column),798)&amp;"|",F_Custom2_wrapped)),1,0),0))</f>
        <v>1</v>
      </c>
      <c r="F799">
        <f>D799*E799*1</f>
        <v>1</v>
      </c>
      <c r="G799">
        <f>1</f>
        <v>1</v>
      </c>
      <c r="H7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798)&amp;"|",All_Questions_Q_STREAM_F_wrapped)),1,0),0))*1</f>
        <v>1</v>
      </c>
    </row>
    <row r="800">
      <c r="A800" t="n">
        <v>799</v>
      </c>
      <c r="B800" t="inlineStr">
        <is>
          <t>A</t>
        </is>
      </c>
      <c r="C800">
        <f>1</f>
        <v>1</v>
      </c>
      <c r="D800">
        <f>IF(OR(F_Custom1_Q="(None)",F_Custom1_Q="",ISBLANK(F_Custom1_Q),F_Custom1_V="(All)",F_Custom1_V="",ISBLANK(F_Custom1_V)),1,IFERROR(IF(ISNUMBER(SEARCH("|"&amp;INDEX(INDIRECT(F_Custom1_resolved_column),799)&amp;"|",F_Custom1_wrapped)),1,0),0))</f>
        <v>1</v>
      </c>
      <c r="E800">
        <f>IF(OR(F_Custom2_Q="(None)",F_Custom2_Q="",ISBLANK(F_Custom2_Q),F_Custom2_V="(All)",F_Custom2_V="",ISBLANK(F_Custom2_V)),1,IFERROR(IF(ISNUMBER(SEARCH("|"&amp;INDEX(INDIRECT(F_Custom2_resolved_column),799)&amp;"|",F_Custom2_wrapped)),1,0),0))</f>
        <v>1</v>
      </c>
      <c r="F800">
        <f>D800*E800*1</f>
        <v>1</v>
      </c>
      <c r="G800">
        <f>1</f>
        <v>1</v>
      </c>
      <c r="H8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799)&amp;"|",All_Questions_Q_STREAM_F_wrapped)),1,0),0))*1</f>
        <v>1</v>
      </c>
    </row>
    <row r="801">
      <c r="A801" t="n">
        <v>800</v>
      </c>
      <c r="B801" t="inlineStr">
        <is>
          <t>B</t>
        </is>
      </c>
      <c r="C801">
        <f>1</f>
        <v>1</v>
      </c>
      <c r="D801">
        <f>IF(OR(F_Custom1_Q="(None)",F_Custom1_Q="",ISBLANK(F_Custom1_Q),F_Custom1_V="(All)",F_Custom1_V="",ISBLANK(F_Custom1_V)),1,IFERROR(IF(ISNUMBER(SEARCH("|"&amp;INDEX(INDIRECT(F_Custom1_resolved_column),800)&amp;"|",F_Custom1_wrapped)),1,0),0))</f>
        <v>1</v>
      </c>
      <c r="E801">
        <f>IF(OR(F_Custom2_Q="(None)",F_Custom2_Q="",ISBLANK(F_Custom2_Q),F_Custom2_V="(All)",F_Custom2_V="",ISBLANK(F_Custom2_V)),1,IFERROR(IF(ISNUMBER(SEARCH("|"&amp;INDEX(INDIRECT(F_Custom2_resolved_column),800)&amp;"|",F_Custom2_wrapped)),1,0),0))</f>
        <v>1</v>
      </c>
      <c r="F801">
        <f>D801*E801*1</f>
        <v>1</v>
      </c>
      <c r="G801">
        <f>1</f>
        <v>1</v>
      </c>
      <c r="H8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800)&amp;"|",All_Questions_Q_STREAM_F_wrapped)),1,0),0))*1</f>
        <v>1</v>
      </c>
    </row>
    <row r="802">
      <c r="A802" t="n">
        <v>801</v>
      </c>
      <c r="B802" t="inlineStr">
        <is>
          <t>A</t>
        </is>
      </c>
      <c r="C802">
        <f>1</f>
        <v>1</v>
      </c>
      <c r="D802">
        <f>IF(OR(F_Custom1_Q="(None)",F_Custom1_Q="",ISBLANK(F_Custom1_Q),F_Custom1_V="(All)",F_Custom1_V="",ISBLANK(F_Custom1_V)),1,IFERROR(IF(ISNUMBER(SEARCH("|"&amp;INDEX(INDIRECT(F_Custom1_resolved_column),801)&amp;"|",F_Custom1_wrapped)),1,0),0))</f>
        <v>1</v>
      </c>
      <c r="E802">
        <f>IF(OR(F_Custom2_Q="(None)",F_Custom2_Q="",ISBLANK(F_Custom2_Q),F_Custom2_V="(All)",F_Custom2_V="",ISBLANK(F_Custom2_V)),1,IFERROR(IF(ISNUMBER(SEARCH("|"&amp;INDEX(INDIRECT(F_Custom2_resolved_column),801)&amp;"|",F_Custom2_wrapped)),1,0),0))</f>
        <v>1</v>
      </c>
      <c r="F802">
        <f>D802*E802*1</f>
        <v>1</v>
      </c>
      <c r="G802">
        <f>1</f>
        <v>1</v>
      </c>
      <c r="H8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801)&amp;"|",All_Questions_Q_STREAM_F_wrapped)),1,0),0))*1</f>
        <v>1</v>
      </c>
    </row>
    <row r="803">
      <c r="A803" t="n">
        <v>802</v>
      </c>
      <c r="B803" t="inlineStr">
        <is>
          <t>B</t>
        </is>
      </c>
      <c r="C803">
        <f>1</f>
        <v>1</v>
      </c>
      <c r="D803">
        <f>IF(OR(F_Custom1_Q="(None)",F_Custom1_Q="",ISBLANK(F_Custom1_Q),F_Custom1_V="(All)",F_Custom1_V="",ISBLANK(F_Custom1_V)),1,IFERROR(IF(ISNUMBER(SEARCH("|"&amp;INDEX(INDIRECT(F_Custom1_resolved_column),802)&amp;"|",F_Custom1_wrapped)),1,0),0))</f>
        <v>1</v>
      </c>
      <c r="E803">
        <f>IF(OR(F_Custom2_Q="(None)",F_Custom2_Q="",ISBLANK(F_Custom2_Q),F_Custom2_V="(All)",F_Custom2_V="",ISBLANK(F_Custom2_V)),1,IFERROR(IF(ISNUMBER(SEARCH("|"&amp;INDEX(INDIRECT(F_Custom2_resolved_column),802)&amp;"|",F_Custom2_wrapped)),1,0),0))</f>
        <v>1</v>
      </c>
      <c r="F803">
        <f>D803*E803*1</f>
        <v>1</v>
      </c>
      <c r="G803">
        <f>1</f>
        <v>1</v>
      </c>
      <c r="H8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802)&amp;"|",All_Questions_Q_STREAM_F_wrapped)),1,0),0))*1</f>
        <v>1</v>
      </c>
    </row>
    <row r="804">
      <c r="A804" t="n">
        <v>803</v>
      </c>
      <c r="B804" t="inlineStr">
        <is>
          <t>A</t>
        </is>
      </c>
      <c r="C804">
        <f>1</f>
        <v>1</v>
      </c>
      <c r="D804">
        <f>IF(OR(F_Custom1_Q="(None)",F_Custom1_Q="",ISBLANK(F_Custom1_Q),F_Custom1_V="(All)",F_Custom1_V="",ISBLANK(F_Custom1_V)),1,IFERROR(IF(ISNUMBER(SEARCH("|"&amp;INDEX(INDIRECT(F_Custom1_resolved_column),803)&amp;"|",F_Custom1_wrapped)),1,0),0))</f>
        <v>1</v>
      </c>
      <c r="E804">
        <f>IF(OR(F_Custom2_Q="(None)",F_Custom2_Q="",ISBLANK(F_Custom2_Q),F_Custom2_V="(All)",F_Custom2_V="",ISBLANK(F_Custom2_V)),1,IFERROR(IF(ISNUMBER(SEARCH("|"&amp;INDEX(INDIRECT(F_Custom2_resolved_column),803)&amp;"|",F_Custom2_wrapped)),1,0),0))</f>
        <v>1</v>
      </c>
      <c r="F804">
        <f>D804*E804*1</f>
        <v>1</v>
      </c>
      <c r="G804">
        <f>1</f>
        <v>1</v>
      </c>
      <c r="H8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803)&amp;"|",All_Questions_Q_STREAM_F_wrapped)),1,0),0))*1</f>
        <v>1</v>
      </c>
    </row>
    <row r="805">
      <c r="A805" t="n">
        <v>804</v>
      </c>
      <c r="B805" t="inlineStr">
        <is>
          <t>B</t>
        </is>
      </c>
      <c r="C805">
        <f>1</f>
        <v>1</v>
      </c>
      <c r="D805">
        <f>IF(OR(F_Custom1_Q="(None)",F_Custom1_Q="",ISBLANK(F_Custom1_Q),F_Custom1_V="(All)",F_Custom1_V="",ISBLANK(F_Custom1_V)),1,IFERROR(IF(ISNUMBER(SEARCH("|"&amp;INDEX(INDIRECT(F_Custom1_resolved_column),804)&amp;"|",F_Custom1_wrapped)),1,0),0))</f>
        <v>1</v>
      </c>
      <c r="E805">
        <f>IF(OR(F_Custom2_Q="(None)",F_Custom2_Q="",ISBLANK(F_Custom2_Q),F_Custom2_V="(All)",F_Custom2_V="",ISBLANK(F_Custom2_V)),1,IFERROR(IF(ISNUMBER(SEARCH("|"&amp;INDEX(INDIRECT(F_Custom2_resolved_column),804)&amp;"|",F_Custom2_wrapped)),1,0),0))</f>
        <v>1</v>
      </c>
      <c r="F805">
        <f>D805*E805*1</f>
        <v>1</v>
      </c>
      <c r="G805">
        <f>1</f>
        <v>1</v>
      </c>
      <c r="H8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804)&amp;"|",All_Questions_Q_STREAM_F_wrapped)),1,0),0))*1</f>
        <v>1</v>
      </c>
    </row>
    <row r="806">
      <c r="A806" t="n">
        <v>805</v>
      </c>
      <c r="B806" t="inlineStr">
        <is>
          <t>A</t>
        </is>
      </c>
      <c r="C806">
        <f>1</f>
        <v>1</v>
      </c>
      <c r="D806">
        <f>IF(OR(F_Custom1_Q="(None)",F_Custom1_Q="",ISBLANK(F_Custom1_Q),F_Custom1_V="(All)",F_Custom1_V="",ISBLANK(F_Custom1_V)),1,IFERROR(IF(ISNUMBER(SEARCH("|"&amp;INDEX(INDIRECT(F_Custom1_resolved_column),805)&amp;"|",F_Custom1_wrapped)),1,0),0))</f>
        <v>1</v>
      </c>
      <c r="E806">
        <f>IF(OR(F_Custom2_Q="(None)",F_Custom2_Q="",ISBLANK(F_Custom2_Q),F_Custom2_V="(All)",F_Custom2_V="",ISBLANK(F_Custom2_V)),1,IFERROR(IF(ISNUMBER(SEARCH("|"&amp;INDEX(INDIRECT(F_Custom2_resolved_column),805)&amp;"|",F_Custom2_wrapped)),1,0),0))</f>
        <v>1</v>
      </c>
      <c r="F806">
        <f>D806*E806*1</f>
        <v>1</v>
      </c>
      <c r="G806">
        <f>1</f>
        <v>1</v>
      </c>
      <c r="H8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805)&amp;"|",All_Questions_Q_STREAM_F_wrapped)),1,0),0))*1</f>
        <v>1</v>
      </c>
    </row>
    <row r="807">
      <c r="A807" t="n">
        <v>806</v>
      </c>
      <c r="B807" t="inlineStr">
        <is>
          <t>B</t>
        </is>
      </c>
      <c r="C807">
        <f>1</f>
        <v>1</v>
      </c>
      <c r="D807">
        <f>IF(OR(F_Custom1_Q="(None)",F_Custom1_Q="",ISBLANK(F_Custom1_Q),F_Custom1_V="(All)",F_Custom1_V="",ISBLANK(F_Custom1_V)),1,IFERROR(IF(ISNUMBER(SEARCH("|"&amp;INDEX(INDIRECT(F_Custom1_resolved_column),806)&amp;"|",F_Custom1_wrapped)),1,0),0))</f>
        <v>1</v>
      </c>
      <c r="E807">
        <f>IF(OR(F_Custom2_Q="(None)",F_Custom2_Q="",ISBLANK(F_Custom2_Q),F_Custom2_V="(All)",F_Custom2_V="",ISBLANK(F_Custom2_V)),1,IFERROR(IF(ISNUMBER(SEARCH("|"&amp;INDEX(INDIRECT(F_Custom2_resolved_column),806)&amp;"|",F_Custom2_wrapped)),1,0),0))</f>
        <v>1</v>
      </c>
      <c r="F807">
        <f>D807*E807*1</f>
        <v>1</v>
      </c>
      <c r="G807">
        <f>1</f>
        <v>1</v>
      </c>
      <c r="H8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806)&amp;"|",All_Questions_Q_STREAM_F_wrapped)),1,0),0))*1</f>
        <v>1</v>
      </c>
    </row>
    <row r="808">
      <c r="A808" t="n">
        <v>807</v>
      </c>
      <c r="B808" t="inlineStr">
        <is>
          <t>A</t>
        </is>
      </c>
      <c r="C808">
        <f>1</f>
        <v>1</v>
      </c>
      <c r="D808">
        <f>IF(OR(F_Custom1_Q="(None)",F_Custom1_Q="",ISBLANK(F_Custom1_Q),F_Custom1_V="(All)",F_Custom1_V="",ISBLANK(F_Custom1_V)),1,IFERROR(IF(ISNUMBER(SEARCH("|"&amp;INDEX(INDIRECT(F_Custom1_resolved_column),807)&amp;"|",F_Custom1_wrapped)),1,0),0))</f>
        <v>1</v>
      </c>
      <c r="E808">
        <f>IF(OR(F_Custom2_Q="(None)",F_Custom2_Q="",ISBLANK(F_Custom2_Q),F_Custom2_V="(All)",F_Custom2_V="",ISBLANK(F_Custom2_V)),1,IFERROR(IF(ISNUMBER(SEARCH("|"&amp;INDEX(INDIRECT(F_Custom2_resolved_column),807)&amp;"|",F_Custom2_wrapped)),1,0),0))</f>
        <v>1</v>
      </c>
      <c r="F808">
        <f>D808*E808*1</f>
        <v>1</v>
      </c>
      <c r="G808">
        <f>1</f>
        <v>1</v>
      </c>
      <c r="H8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807)&amp;"|",All_Questions_Q_STREAM_F_wrapped)),1,0),0))*1</f>
        <v>1</v>
      </c>
    </row>
    <row r="809">
      <c r="A809" t="n">
        <v>808</v>
      </c>
      <c r="B809" t="inlineStr">
        <is>
          <t>B</t>
        </is>
      </c>
      <c r="C809">
        <f>1</f>
        <v>1</v>
      </c>
      <c r="D809">
        <f>IF(OR(F_Custom1_Q="(None)",F_Custom1_Q="",ISBLANK(F_Custom1_Q),F_Custom1_V="(All)",F_Custom1_V="",ISBLANK(F_Custom1_V)),1,IFERROR(IF(ISNUMBER(SEARCH("|"&amp;INDEX(INDIRECT(F_Custom1_resolved_column),808)&amp;"|",F_Custom1_wrapped)),1,0),0))</f>
        <v>1</v>
      </c>
      <c r="E809">
        <f>IF(OR(F_Custom2_Q="(None)",F_Custom2_Q="",ISBLANK(F_Custom2_Q),F_Custom2_V="(All)",F_Custom2_V="",ISBLANK(F_Custom2_V)),1,IFERROR(IF(ISNUMBER(SEARCH("|"&amp;INDEX(INDIRECT(F_Custom2_resolved_column),808)&amp;"|",F_Custom2_wrapped)),1,0),0))</f>
        <v>1</v>
      </c>
      <c r="F809">
        <f>D809*E809*1</f>
        <v>1</v>
      </c>
      <c r="G809">
        <f>1</f>
        <v>1</v>
      </c>
      <c r="H8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808)&amp;"|",All_Questions_Q_STREAM_F_wrapped)),1,0),0))*1</f>
        <v>1</v>
      </c>
    </row>
    <row r="810">
      <c r="A810" t="n">
        <v>809</v>
      </c>
      <c r="B810" t="inlineStr">
        <is>
          <t>A</t>
        </is>
      </c>
      <c r="C810">
        <f>1</f>
        <v>1</v>
      </c>
      <c r="D810">
        <f>IF(OR(F_Custom1_Q="(None)",F_Custom1_Q="",ISBLANK(F_Custom1_Q),F_Custom1_V="(All)",F_Custom1_V="",ISBLANK(F_Custom1_V)),1,IFERROR(IF(ISNUMBER(SEARCH("|"&amp;INDEX(INDIRECT(F_Custom1_resolved_column),809)&amp;"|",F_Custom1_wrapped)),1,0),0))</f>
        <v>1</v>
      </c>
      <c r="E810">
        <f>IF(OR(F_Custom2_Q="(None)",F_Custom2_Q="",ISBLANK(F_Custom2_Q),F_Custom2_V="(All)",F_Custom2_V="",ISBLANK(F_Custom2_V)),1,IFERROR(IF(ISNUMBER(SEARCH("|"&amp;INDEX(INDIRECT(F_Custom2_resolved_column),809)&amp;"|",F_Custom2_wrapped)),1,0),0))</f>
        <v>1</v>
      </c>
      <c r="F810">
        <f>D810*E810*1</f>
        <v>1</v>
      </c>
      <c r="G810">
        <f>1</f>
        <v>1</v>
      </c>
      <c r="H8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809)&amp;"|",All_Questions_Q_STREAM_F_wrapped)),1,0),0))*1</f>
        <v>1</v>
      </c>
    </row>
    <row r="811">
      <c r="A811" t="n">
        <v>810</v>
      </c>
      <c r="B811" t="inlineStr">
        <is>
          <t>B</t>
        </is>
      </c>
      <c r="C811">
        <f>1</f>
        <v>1</v>
      </c>
      <c r="D811">
        <f>IF(OR(F_Custom1_Q="(None)",F_Custom1_Q="",ISBLANK(F_Custom1_Q),F_Custom1_V="(All)",F_Custom1_V="",ISBLANK(F_Custom1_V)),1,IFERROR(IF(ISNUMBER(SEARCH("|"&amp;INDEX(INDIRECT(F_Custom1_resolved_column),810)&amp;"|",F_Custom1_wrapped)),1,0),0))</f>
        <v>1</v>
      </c>
      <c r="E811">
        <f>IF(OR(F_Custom2_Q="(None)",F_Custom2_Q="",ISBLANK(F_Custom2_Q),F_Custom2_V="(All)",F_Custom2_V="",ISBLANK(F_Custom2_V)),1,IFERROR(IF(ISNUMBER(SEARCH("|"&amp;INDEX(INDIRECT(F_Custom2_resolved_column),810)&amp;"|",F_Custom2_wrapped)),1,0),0))</f>
        <v>1</v>
      </c>
      <c r="F811">
        <f>D811*E811*1</f>
        <v>1</v>
      </c>
      <c r="G811">
        <f>1</f>
        <v>1</v>
      </c>
      <c r="H8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810)&amp;"|",All_Questions_Q_STREAM_F_wrapped)),1,0),0))*1</f>
        <v>1</v>
      </c>
    </row>
    <row r="812">
      <c r="A812" t="n">
        <v>811</v>
      </c>
      <c r="B812" t="inlineStr">
        <is>
          <t>A</t>
        </is>
      </c>
      <c r="C812">
        <f>1</f>
        <v>1</v>
      </c>
      <c r="D812">
        <f>IF(OR(F_Custom1_Q="(None)",F_Custom1_Q="",ISBLANK(F_Custom1_Q),F_Custom1_V="(All)",F_Custom1_V="",ISBLANK(F_Custom1_V)),1,IFERROR(IF(ISNUMBER(SEARCH("|"&amp;INDEX(INDIRECT(F_Custom1_resolved_column),811)&amp;"|",F_Custom1_wrapped)),1,0),0))</f>
        <v>1</v>
      </c>
      <c r="E812">
        <f>IF(OR(F_Custom2_Q="(None)",F_Custom2_Q="",ISBLANK(F_Custom2_Q),F_Custom2_V="(All)",F_Custom2_V="",ISBLANK(F_Custom2_V)),1,IFERROR(IF(ISNUMBER(SEARCH("|"&amp;INDEX(INDIRECT(F_Custom2_resolved_column),811)&amp;"|",F_Custom2_wrapped)),1,0),0))</f>
        <v>1</v>
      </c>
      <c r="F812">
        <f>D812*E812*1</f>
        <v>1</v>
      </c>
      <c r="G812">
        <f>1</f>
        <v>1</v>
      </c>
      <c r="H8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811)&amp;"|",All_Questions_Q_STREAM_F_wrapped)),1,0),0))*1</f>
        <v>1</v>
      </c>
    </row>
    <row r="813">
      <c r="A813" t="n">
        <v>812</v>
      </c>
      <c r="B813" t="inlineStr">
        <is>
          <t>B</t>
        </is>
      </c>
      <c r="C813">
        <f>1</f>
        <v>1</v>
      </c>
      <c r="D813">
        <f>IF(OR(F_Custom1_Q="(None)",F_Custom1_Q="",ISBLANK(F_Custom1_Q),F_Custom1_V="(All)",F_Custom1_V="",ISBLANK(F_Custom1_V)),1,IFERROR(IF(ISNUMBER(SEARCH("|"&amp;INDEX(INDIRECT(F_Custom1_resolved_column),812)&amp;"|",F_Custom1_wrapped)),1,0),0))</f>
        <v>1</v>
      </c>
      <c r="E813">
        <f>IF(OR(F_Custom2_Q="(None)",F_Custom2_Q="",ISBLANK(F_Custom2_Q),F_Custom2_V="(All)",F_Custom2_V="",ISBLANK(F_Custom2_V)),1,IFERROR(IF(ISNUMBER(SEARCH("|"&amp;INDEX(INDIRECT(F_Custom2_resolved_column),812)&amp;"|",F_Custom2_wrapped)),1,0),0))</f>
        <v>1</v>
      </c>
      <c r="F813">
        <f>D813*E813*1</f>
        <v>1</v>
      </c>
      <c r="G813">
        <f>1</f>
        <v>1</v>
      </c>
      <c r="H8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812)&amp;"|",All_Questions_Q_STREAM_F_wrapped)),1,0),0))*1</f>
        <v>1</v>
      </c>
    </row>
    <row r="814">
      <c r="A814" t="n">
        <v>813</v>
      </c>
      <c r="B814" t="inlineStr">
        <is>
          <t>A</t>
        </is>
      </c>
      <c r="C814">
        <f>1</f>
        <v>1</v>
      </c>
      <c r="D814">
        <f>IF(OR(F_Custom1_Q="(None)",F_Custom1_Q="",ISBLANK(F_Custom1_Q),F_Custom1_V="(All)",F_Custom1_V="",ISBLANK(F_Custom1_V)),1,IFERROR(IF(ISNUMBER(SEARCH("|"&amp;INDEX(INDIRECT(F_Custom1_resolved_column),813)&amp;"|",F_Custom1_wrapped)),1,0),0))</f>
        <v>1</v>
      </c>
      <c r="E814">
        <f>IF(OR(F_Custom2_Q="(None)",F_Custom2_Q="",ISBLANK(F_Custom2_Q),F_Custom2_V="(All)",F_Custom2_V="",ISBLANK(F_Custom2_V)),1,IFERROR(IF(ISNUMBER(SEARCH("|"&amp;INDEX(INDIRECT(F_Custom2_resolved_column),813)&amp;"|",F_Custom2_wrapped)),1,0),0))</f>
        <v>1</v>
      </c>
      <c r="F814">
        <f>D814*E814*1</f>
        <v>1</v>
      </c>
      <c r="G814">
        <f>1</f>
        <v>1</v>
      </c>
      <c r="H8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813)&amp;"|",All_Questions_Q_STREAM_F_wrapped)),1,0),0))*1</f>
        <v>1</v>
      </c>
    </row>
    <row r="815">
      <c r="A815" t="n">
        <v>814</v>
      </c>
      <c r="B815" t="inlineStr">
        <is>
          <t>B</t>
        </is>
      </c>
      <c r="C815">
        <f>1</f>
        <v>1</v>
      </c>
      <c r="D815">
        <f>IF(OR(F_Custom1_Q="(None)",F_Custom1_Q="",ISBLANK(F_Custom1_Q),F_Custom1_V="(All)",F_Custom1_V="",ISBLANK(F_Custom1_V)),1,IFERROR(IF(ISNUMBER(SEARCH("|"&amp;INDEX(INDIRECT(F_Custom1_resolved_column),814)&amp;"|",F_Custom1_wrapped)),1,0),0))</f>
        <v>1</v>
      </c>
      <c r="E815">
        <f>IF(OR(F_Custom2_Q="(None)",F_Custom2_Q="",ISBLANK(F_Custom2_Q),F_Custom2_V="(All)",F_Custom2_V="",ISBLANK(F_Custom2_V)),1,IFERROR(IF(ISNUMBER(SEARCH("|"&amp;INDEX(INDIRECT(F_Custom2_resolved_column),814)&amp;"|",F_Custom2_wrapped)),1,0),0))</f>
        <v>1</v>
      </c>
      <c r="F815">
        <f>D815*E815*1</f>
        <v>1</v>
      </c>
      <c r="G815">
        <f>1</f>
        <v>1</v>
      </c>
      <c r="H8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814)&amp;"|",All_Questions_Q_STREAM_F_wrapped)),1,0),0))*1</f>
        <v>1</v>
      </c>
    </row>
    <row r="816">
      <c r="A816" t="n">
        <v>815</v>
      </c>
      <c r="B816" t="inlineStr">
        <is>
          <t>A</t>
        </is>
      </c>
      <c r="C816">
        <f>1</f>
        <v>1</v>
      </c>
      <c r="D816">
        <f>IF(OR(F_Custom1_Q="(None)",F_Custom1_Q="",ISBLANK(F_Custom1_Q),F_Custom1_V="(All)",F_Custom1_V="",ISBLANK(F_Custom1_V)),1,IFERROR(IF(ISNUMBER(SEARCH("|"&amp;INDEX(INDIRECT(F_Custom1_resolved_column),815)&amp;"|",F_Custom1_wrapped)),1,0),0))</f>
        <v>1</v>
      </c>
      <c r="E816">
        <f>IF(OR(F_Custom2_Q="(None)",F_Custom2_Q="",ISBLANK(F_Custom2_Q),F_Custom2_V="(All)",F_Custom2_V="",ISBLANK(F_Custom2_V)),1,IFERROR(IF(ISNUMBER(SEARCH("|"&amp;INDEX(INDIRECT(F_Custom2_resolved_column),815)&amp;"|",F_Custom2_wrapped)),1,0),0))</f>
        <v>1</v>
      </c>
      <c r="F816">
        <f>D816*E816*1</f>
        <v>1</v>
      </c>
      <c r="G816">
        <f>1</f>
        <v>1</v>
      </c>
      <c r="H8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815)&amp;"|",All_Questions_Q_STREAM_F_wrapped)),1,0),0))*1</f>
        <v>1</v>
      </c>
    </row>
    <row r="817">
      <c r="A817" t="n">
        <v>816</v>
      </c>
      <c r="B817" t="inlineStr">
        <is>
          <t>B</t>
        </is>
      </c>
      <c r="C817">
        <f>1</f>
        <v>1</v>
      </c>
      <c r="D817">
        <f>IF(OR(F_Custom1_Q="(None)",F_Custom1_Q="",ISBLANK(F_Custom1_Q),F_Custom1_V="(All)",F_Custom1_V="",ISBLANK(F_Custom1_V)),1,IFERROR(IF(ISNUMBER(SEARCH("|"&amp;INDEX(INDIRECT(F_Custom1_resolved_column),816)&amp;"|",F_Custom1_wrapped)),1,0),0))</f>
        <v>1</v>
      </c>
      <c r="E817">
        <f>IF(OR(F_Custom2_Q="(None)",F_Custom2_Q="",ISBLANK(F_Custom2_Q),F_Custom2_V="(All)",F_Custom2_V="",ISBLANK(F_Custom2_V)),1,IFERROR(IF(ISNUMBER(SEARCH("|"&amp;INDEX(INDIRECT(F_Custom2_resolved_column),816)&amp;"|",F_Custom2_wrapped)),1,0),0))</f>
        <v>1</v>
      </c>
      <c r="F817">
        <f>D817*E817*1</f>
        <v>1</v>
      </c>
      <c r="G817">
        <f>1</f>
        <v>1</v>
      </c>
      <c r="H8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816)&amp;"|",All_Questions_Q_STREAM_F_wrapped)),1,0),0))*1</f>
        <v>1</v>
      </c>
    </row>
    <row r="818">
      <c r="A818" t="n">
        <v>817</v>
      </c>
      <c r="B818" t="inlineStr">
        <is>
          <t>A</t>
        </is>
      </c>
      <c r="C818">
        <f>1</f>
        <v>1</v>
      </c>
      <c r="D818">
        <f>IF(OR(F_Custom1_Q="(None)",F_Custom1_Q="",ISBLANK(F_Custom1_Q),F_Custom1_V="(All)",F_Custom1_V="",ISBLANK(F_Custom1_V)),1,IFERROR(IF(ISNUMBER(SEARCH("|"&amp;INDEX(INDIRECT(F_Custom1_resolved_column),817)&amp;"|",F_Custom1_wrapped)),1,0),0))</f>
        <v>1</v>
      </c>
      <c r="E818">
        <f>IF(OR(F_Custom2_Q="(None)",F_Custom2_Q="",ISBLANK(F_Custom2_Q),F_Custom2_V="(All)",F_Custom2_V="",ISBLANK(F_Custom2_V)),1,IFERROR(IF(ISNUMBER(SEARCH("|"&amp;INDEX(INDIRECT(F_Custom2_resolved_column),817)&amp;"|",F_Custom2_wrapped)),1,0),0))</f>
        <v>1</v>
      </c>
      <c r="F818">
        <f>D818*E818*1</f>
        <v>1</v>
      </c>
      <c r="G818">
        <f>1</f>
        <v>1</v>
      </c>
      <c r="H8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817)&amp;"|",All_Questions_Q_STREAM_F_wrapped)),1,0),0))*1</f>
        <v>1</v>
      </c>
    </row>
    <row r="819">
      <c r="A819" t="n">
        <v>818</v>
      </c>
      <c r="B819" t="inlineStr">
        <is>
          <t>B</t>
        </is>
      </c>
      <c r="C819">
        <f>1</f>
        <v>1</v>
      </c>
      <c r="D819">
        <f>IF(OR(F_Custom1_Q="(None)",F_Custom1_Q="",ISBLANK(F_Custom1_Q),F_Custom1_V="(All)",F_Custom1_V="",ISBLANK(F_Custom1_V)),1,IFERROR(IF(ISNUMBER(SEARCH("|"&amp;INDEX(INDIRECT(F_Custom1_resolved_column),818)&amp;"|",F_Custom1_wrapped)),1,0),0))</f>
        <v>1</v>
      </c>
      <c r="E819">
        <f>IF(OR(F_Custom2_Q="(None)",F_Custom2_Q="",ISBLANK(F_Custom2_Q),F_Custom2_V="(All)",F_Custom2_V="",ISBLANK(F_Custom2_V)),1,IFERROR(IF(ISNUMBER(SEARCH("|"&amp;INDEX(INDIRECT(F_Custom2_resolved_column),818)&amp;"|",F_Custom2_wrapped)),1,0),0))</f>
        <v>1</v>
      </c>
      <c r="F819">
        <f>D819*E819*1</f>
        <v>1</v>
      </c>
      <c r="G819">
        <f>1</f>
        <v>1</v>
      </c>
      <c r="H8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818)&amp;"|",All_Questions_Q_STREAM_F_wrapped)),1,0),0))*1</f>
        <v>1</v>
      </c>
    </row>
    <row r="820">
      <c r="A820" t="n">
        <v>819</v>
      </c>
      <c r="B820" t="inlineStr">
        <is>
          <t>A</t>
        </is>
      </c>
      <c r="C820">
        <f>1</f>
        <v>1</v>
      </c>
      <c r="D820">
        <f>IF(OR(F_Custom1_Q="(None)",F_Custom1_Q="",ISBLANK(F_Custom1_Q),F_Custom1_V="(All)",F_Custom1_V="",ISBLANK(F_Custom1_V)),1,IFERROR(IF(ISNUMBER(SEARCH("|"&amp;INDEX(INDIRECT(F_Custom1_resolved_column),819)&amp;"|",F_Custom1_wrapped)),1,0),0))</f>
        <v>1</v>
      </c>
      <c r="E820">
        <f>IF(OR(F_Custom2_Q="(None)",F_Custom2_Q="",ISBLANK(F_Custom2_Q),F_Custom2_V="(All)",F_Custom2_V="",ISBLANK(F_Custom2_V)),1,IFERROR(IF(ISNUMBER(SEARCH("|"&amp;INDEX(INDIRECT(F_Custom2_resolved_column),819)&amp;"|",F_Custom2_wrapped)),1,0),0))</f>
        <v>1</v>
      </c>
      <c r="F820">
        <f>D820*E820*1</f>
        <v>1</v>
      </c>
      <c r="G820">
        <f>1</f>
        <v>1</v>
      </c>
      <c r="H8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819)&amp;"|",All_Questions_Q_STREAM_F_wrapped)),1,0),0))*1</f>
        <v>1</v>
      </c>
    </row>
    <row r="821">
      <c r="A821" t="n">
        <v>820</v>
      </c>
      <c r="B821" t="inlineStr">
        <is>
          <t>B</t>
        </is>
      </c>
      <c r="C821">
        <f>1</f>
        <v>1</v>
      </c>
      <c r="D821">
        <f>IF(OR(F_Custom1_Q="(None)",F_Custom1_Q="",ISBLANK(F_Custom1_Q),F_Custom1_V="(All)",F_Custom1_V="",ISBLANK(F_Custom1_V)),1,IFERROR(IF(ISNUMBER(SEARCH("|"&amp;INDEX(INDIRECT(F_Custom1_resolved_column),820)&amp;"|",F_Custom1_wrapped)),1,0),0))</f>
        <v>1</v>
      </c>
      <c r="E821">
        <f>IF(OR(F_Custom2_Q="(None)",F_Custom2_Q="",ISBLANK(F_Custom2_Q),F_Custom2_V="(All)",F_Custom2_V="",ISBLANK(F_Custom2_V)),1,IFERROR(IF(ISNUMBER(SEARCH("|"&amp;INDEX(INDIRECT(F_Custom2_resolved_column),820)&amp;"|",F_Custom2_wrapped)),1,0),0))</f>
        <v>1</v>
      </c>
      <c r="F821">
        <f>D821*E821*1</f>
        <v>1</v>
      </c>
      <c r="G821">
        <f>1</f>
        <v>1</v>
      </c>
      <c r="H8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820)&amp;"|",All_Questions_Q_STREAM_F_wrapped)),1,0),0))*1</f>
        <v>1</v>
      </c>
    </row>
    <row r="822">
      <c r="A822" t="n">
        <v>821</v>
      </c>
      <c r="B822" t="inlineStr">
        <is>
          <t>A</t>
        </is>
      </c>
      <c r="C822">
        <f>1</f>
        <v>1</v>
      </c>
      <c r="D822">
        <f>IF(OR(F_Custom1_Q="(None)",F_Custom1_Q="",ISBLANK(F_Custom1_Q),F_Custom1_V="(All)",F_Custom1_V="",ISBLANK(F_Custom1_V)),1,IFERROR(IF(ISNUMBER(SEARCH("|"&amp;INDEX(INDIRECT(F_Custom1_resolved_column),821)&amp;"|",F_Custom1_wrapped)),1,0),0))</f>
        <v>1</v>
      </c>
      <c r="E822">
        <f>IF(OR(F_Custom2_Q="(None)",F_Custom2_Q="",ISBLANK(F_Custom2_Q),F_Custom2_V="(All)",F_Custom2_V="",ISBLANK(F_Custom2_V)),1,IFERROR(IF(ISNUMBER(SEARCH("|"&amp;INDEX(INDIRECT(F_Custom2_resolved_column),821)&amp;"|",F_Custom2_wrapped)),1,0),0))</f>
        <v>1</v>
      </c>
      <c r="F822">
        <f>D822*E822*1</f>
        <v>1</v>
      </c>
      <c r="G822">
        <f>1</f>
        <v>1</v>
      </c>
      <c r="H8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821)&amp;"|",All_Questions_Q_STREAM_F_wrapped)),1,0),0))*1</f>
        <v>1</v>
      </c>
    </row>
    <row r="823">
      <c r="A823" t="n">
        <v>822</v>
      </c>
      <c r="B823" t="inlineStr">
        <is>
          <t>B</t>
        </is>
      </c>
      <c r="C823">
        <f>1</f>
        <v>1</v>
      </c>
      <c r="D823">
        <f>IF(OR(F_Custom1_Q="(None)",F_Custom1_Q="",ISBLANK(F_Custom1_Q),F_Custom1_V="(All)",F_Custom1_V="",ISBLANK(F_Custom1_V)),1,IFERROR(IF(ISNUMBER(SEARCH("|"&amp;INDEX(INDIRECT(F_Custom1_resolved_column),822)&amp;"|",F_Custom1_wrapped)),1,0),0))</f>
        <v>1</v>
      </c>
      <c r="E823">
        <f>IF(OR(F_Custom2_Q="(None)",F_Custom2_Q="",ISBLANK(F_Custom2_Q),F_Custom2_V="(All)",F_Custom2_V="",ISBLANK(F_Custom2_V)),1,IFERROR(IF(ISNUMBER(SEARCH("|"&amp;INDEX(INDIRECT(F_Custom2_resolved_column),822)&amp;"|",F_Custom2_wrapped)),1,0),0))</f>
        <v>1</v>
      </c>
      <c r="F823">
        <f>D823*E823*1</f>
        <v>1</v>
      </c>
      <c r="G823">
        <f>1</f>
        <v>1</v>
      </c>
      <c r="H8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822)&amp;"|",All_Questions_Q_STREAM_F_wrapped)),1,0),0))*1</f>
        <v>1</v>
      </c>
    </row>
    <row r="824">
      <c r="A824" t="n">
        <v>823</v>
      </c>
      <c r="B824" t="inlineStr">
        <is>
          <t>A</t>
        </is>
      </c>
      <c r="C824">
        <f>1</f>
        <v>1</v>
      </c>
      <c r="D824">
        <f>IF(OR(F_Custom1_Q="(None)",F_Custom1_Q="",ISBLANK(F_Custom1_Q),F_Custom1_V="(All)",F_Custom1_V="",ISBLANK(F_Custom1_V)),1,IFERROR(IF(ISNUMBER(SEARCH("|"&amp;INDEX(INDIRECT(F_Custom1_resolved_column),823)&amp;"|",F_Custom1_wrapped)),1,0),0))</f>
        <v>1</v>
      </c>
      <c r="E824">
        <f>IF(OR(F_Custom2_Q="(None)",F_Custom2_Q="",ISBLANK(F_Custom2_Q),F_Custom2_V="(All)",F_Custom2_V="",ISBLANK(F_Custom2_V)),1,IFERROR(IF(ISNUMBER(SEARCH("|"&amp;INDEX(INDIRECT(F_Custom2_resolved_column),823)&amp;"|",F_Custom2_wrapped)),1,0),0))</f>
        <v>1</v>
      </c>
      <c r="F824">
        <f>D824*E824*1</f>
        <v>1</v>
      </c>
      <c r="G824">
        <f>1</f>
        <v>1</v>
      </c>
      <c r="H8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823)&amp;"|",All_Questions_Q_STREAM_F_wrapped)),1,0),0))*1</f>
        <v>1</v>
      </c>
    </row>
    <row r="825">
      <c r="A825" t="n">
        <v>824</v>
      </c>
      <c r="B825" t="inlineStr">
        <is>
          <t>B</t>
        </is>
      </c>
      <c r="C825">
        <f>1</f>
        <v>1</v>
      </c>
      <c r="D825">
        <f>IF(OR(F_Custom1_Q="(None)",F_Custom1_Q="",ISBLANK(F_Custom1_Q),F_Custom1_V="(All)",F_Custom1_V="",ISBLANK(F_Custom1_V)),1,IFERROR(IF(ISNUMBER(SEARCH("|"&amp;INDEX(INDIRECT(F_Custom1_resolved_column),824)&amp;"|",F_Custom1_wrapped)),1,0),0))</f>
        <v>1</v>
      </c>
      <c r="E825">
        <f>IF(OR(F_Custom2_Q="(None)",F_Custom2_Q="",ISBLANK(F_Custom2_Q),F_Custom2_V="(All)",F_Custom2_V="",ISBLANK(F_Custom2_V)),1,IFERROR(IF(ISNUMBER(SEARCH("|"&amp;INDEX(INDIRECT(F_Custom2_resolved_column),824)&amp;"|",F_Custom2_wrapped)),1,0),0))</f>
        <v>1</v>
      </c>
      <c r="F825">
        <f>D825*E825*1</f>
        <v>1</v>
      </c>
      <c r="G825">
        <f>1</f>
        <v>1</v>
      </c>
      <c r="H8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824)&amp;"|",All_Questions_Q_STREAM_F_wrapped)),1,0),0))*1</f>
        <v>1</v>
      </c>
    </row>
    <row r="826">
      <c r="A826" t="n">
        <v>825</v>
      </c>
      <c r="B826" t="inlineStr">
        <is>
          <t>A</t>
        </is>
      </c>
      <c r="C826">
        <f>1</f>
        <v>1</v>
      </c>
      <c r="D826">
        <f>IF(OR(F_Custom1_Q="(None)",F_Custom1_Q="",ISBLANK(F_Custom1_Q),F_Custom1_V="(All)",F_Custom1_V="",ISBLANK(F_Custom1_V)),1,IFERROR(IF(ISNUMBER(SEARCH("|"&amp;INDEX(INDIRECT(F_Custom1_resolved_column),825)&amp;"|",F_Custom1_wrapped)),1,0),0))</f>
        <v>1</v>
      </c>
      <c r="E826">
        <f>IF(OR(F_Custom2_Q="(None)",F_Custom2_Q="",ISBLANK(F_Custom2_Q),F_Custom2_V="(All)",F_Custom2_V="",ISBLANK(F_Custom2_V)),1,IFERROR(IF(ISNUMBER(SEARCH("|"&amp;INDEX(INDIRECT(F_Custom2_resolved_column),825)&amp;"|",F_Custom2_wrapped)),1,0),0))</f>
        <v>1</v>
      </c>
      <c r="F826">
        <f>D826*E826*1</f>
        <v>1</v>
      </c>
      <c r="G826">
        <f>1</f>
        <v>1</v>
      </c>
      <c r="H8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825)&amp;"|",All_Questions_Q_STREAM_F_wrapped)),1,0),0))*1</f>
        <v>1</v>
      </c>
    </row>
    <row r="827">
      <c r="A827" t="n">
        <v>826</v>
      </c>
      <c r="B827" t="inlineStr">
        <is>
          <t>B</t>
        </is>
      </c>
      <c r="C827">
        <f>1</f>
        <v>1</v>
      </c>
      <c r="D827">
        <f>IF(OR(F_Custom1_Q="(None)",F_Custom1_Q="",ISBLANK(F_Custom1_Q),F_Custom1_V="(All)",F_Custom1_V="",ISBLANK(F_Custom1_V)),1,IFERROR(IF(ISNUMBER(SEARCH("|"&amp;INDEX(INDIRECT(F_Custom1_resolved_column),826)&amp;"|",F_Custom1_wrapped)),1,0),0))</f>
        <v>1</v>
      </c>
      <c r="E827">
        <f>IF(OR(F_Custom2_Q="(None)",F_Custom2_Q="",ISBLANK(F_Custom2_Q),F_Custom2_V="(All)",F_Custom2_V="",ISBLANK(F_Custom2_V)),1,IFERROR(IF(ISNUMBER(SEARCH("|"&amp;INDEX(INDIRECT(F_Custom2_resolved_column),826)&amp;"|",F_Custom2_wrapped)),1,0),0))</f>
        <v>1</v>
      </c>
      <c r="F827">
        <f>D827*E827*1</f>
        <v>1</v>
      </c>
      <c r="G827">
        <f>1</f>
        <v>1</v>
      </c>
      <c r="H8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826)&amp;"|",All_Questions_Q_STREAM_F_wrapped)),1,0),0))*1</f>
        <v>1</v>
      </c>
    </row>
    <row r="828">
      <c r="A828" t="n">
        <v>827</v>
      </c>
      <c r="B828" t="inlineStr">
        <is>
          <t>A</t>
        </is>
      </c>
      <c r="C828">
        <f>1</f>
        <v>1</v>
      </c>
      <c r="D828">
        <f>IF(OR(F_Custom1_Q="(None)",F_Custom1_Q="",ISBLANK(F_Custom1_Q),F_Custom1_V="(All)",F_Custom1_V="",ISBLANK(F_Custom1_V)),1,IFERROR(IF(ISNUMBER(SEARCH("|"&amp;INDEX(INDIRECT(F_Custom1_resolved_column),827)&amp;"|",F_Custom1_wrapped)),1,0),0))</f>
        <v>1</v>
      </c>
      <c r="E828">
        <f>IF(OR(F_Custom2_Q="(None)",F_Custom2_Q="",ISBLANK(F_Custom2_Q),F_Custom2_V="(All)",F_Custom2_V="",ISBLANK(F_Custom2_V)),1,IFERROR(IF(ISNUMBER(SEARCH("|"&amp;INDEX(INDIRECT(F_Custom2_resolved_column),827)&amp;"|",F_Custom2_wrapped)),1,0),0))</f>
        <v>1</v>
      </c>
      <c r="F828">
        <f>D828*E828*1</f>
        <v>1</v>
      </c>
      <c r="G828">
        <f>1</f>
        <v>1</v>
      </c>
      <c r="H8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827)&amp;"|",All_Questions_Q_STREAM_F_wrapped)),1,0),0))*1</f>
        <v>1</v>
      </c>
    </row>
    <row r="829">
      <c r="A829" t="n">
        <v>828</v>
      </c>
      <c r="B829" t="inlineStr">
        <is>
          <t>B</t>
        </is>
      </c>
      <c r="C829">
        <f>1</f>
        <v>1</v>
      </c>
      <c r="D829">
        <f>IF(OR(F_Custom1_Q="(None)",F_Custom1_Q="",ISBLANK(F_Custom1_Q),F_Custom1_V="(All)",F_Custom1_V="",ISBLANK(F_Custom1_V)),1,IFERROR(IF(ISNUMBER(SEARCH("|"&amp;INDEX(INDIRECT(F_Custom1_resolved_column),828)&amp;"|",F_Custom1_wrapped)),1,0),0))</f>
        <v>1</v>
      </c>
      <c r="E829">
        <f>IF(OR(F_Custom2_Q="(None)",F_Custom2_Q="",ISBLANK(F_Custom2_Q),F_Custom2_V="(All)",F_Custom2_V="",ISBLANK(F_Custom2_V)),1,IFERROR(IF(ISNUMBER(SEARCH("|"&amp;INDEX(INDIRECT(F_Custom2_resolved_column),828)&amp;"|",F_Custom2_wrapped)),1,0),0))</f>
        <v>1</v>
      </c>
      <c r="F829">
        <f>D829*E829*1</f>
        <v>1</v>
      </c>
      <c r="G829">
        <f>1</f>
        <v>1</v>
      </c>
      <c r="H8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828)&amp;"|",All_Questions_Q_STREAM_F_wrapped)),1,0),0))*1</f>
        <v>1</v>
      </c>
    </row>
    <row r="830">
      <c r="A830" t="n">
        <v>829</v>
      </c>
      <c r="B830" t="inlineStr">
        <is>
          <t>A</t>
        </is>
      </c>
      <c r="C830">
        <f>1</f>
        <v>1</v>
      </c>
      <c r="D830">
        <f>IF(OR(F_Custom1_Q="(None)",F_Custom1_Q="",ISBLANK(F_Custom1_Q),F_Custom1_V="(All)",F_Custom1_V="",ISBLANK(F_Custom1_V)),1,IFERROR(IF(ISNUMBER(SEARCH("|"&amp;INDEX(INDIRECT(F_Custom1_resolved_column),829)&amp;"|",F_Custom1_wrapped)),1,0),0))</f>
        <v>1</v>
      </c>
      <c r="E830">
        <f>IF(OR(F_Custom2_Q="(None)",F_Custom2_Q="",ISBLANK(F_Custom2_Q),F_Custom2_V="(All)",F_Custom2_V="",ISBLANK(F_Custom2_V)),1,IFERROR(IF(ISNUMBER(SEARCH("|"&amp;INDEX(INDIRECT(F_Custom2_resolved_column),829)&amp;"|",F_Custom2_wrapped)),1,0),0))</f>
        <v>1</v>
      </c>
      <c r="F830">
        <f>D830*E830*1</f>
        <v>1</v>
      </c>
      <c r="G830">
        <f>1</f>
        <v>1</v>
      </c>
      <c r="H8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829)&amp;"|",All_Questions_Q_STREAM_F_wrapped)),1,0),0))*1</f>
        <v>1</v>
      </c>
    </row>
    <row r="831">
      <c r="A831" t="n">
        <v>830</v>
      </c>
      <c r="B831" t="inlineStr">
        <is>
          <t>B</t>
        </is>
      </c>
      <c r="C831">
        <f>1</f>
        <v>1</v>
      </c>
      <c r="D831">
        <f>IF(OR(F_Custom1_Q="(None)",F_Custom1_Q="",ISBLANK(F_Custom1_Q),F_Custom1_V="(All)",F_Custom1_V="",ISBLANK(F_Custom1_V)),1,IFERROR(IF(ISNUMBER(SEARCH("|"&amp;INDEX(INDIRECT(F_Custom1_resolved_column),830)&amp;"|",F_Custom1_wrapped)),1,0),0))</f>
        <v>1</v>
      </c>
      <c r="E831">
        <f>IF(OR(F_Custom2_Q="(None)",F_Custom2_Q="",ISBLANK(F_Custom2_Q),F_Custom2_V="(All)",F_Custom2_V="",ISBLANK(F_Custom2_V)),1,IFERROR(IF(ISNUMBER(SEARCH("|"&amp;INDEX(INDIRECT(F_Custom2_resolved_column),830)&amp;"|",F_Custom2_wrapped)),1,0),0))</f>
        <v>1</v>
      </c>
      <c r="F831">
        <f>D831*E831*1</f>
        <v>1</v>
      </c>
      <c r="G831">
        <f>1</f>
        <v>1</v>
      </c>
      <c r="H8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830)&amp;"|",All_Questions_Q_STREAM_F_wrapped)),1,0),0))*1</f>
        <v>1</v>
      </c>
    </row>
    <row r="832">
      <c r="A832" t="n">
        <v>831</v>
      </c>
      <c r="B832" t="inlineStr">
        <is>
          <t>A</t>
        </is>
      </c>
      <c r="C832">
        <f>1</f>
        <v>1</v>
      </c>
      <c r="D832">
        <f>IF(OR(F_Custom1_Q="(None)",F_Custom1_Q="",ISBLANK(F_Custom1_Q),F_Custom1_V="(All)",F_Custom1_V="",ISBLANK(F_Custom1_V)),1,IFERROR(IF(ISNUMBER(SEARCH("|"&amp;INDEX(INDIRECT(F_Custom1_resolved_column),831)&amp;"|",F_Custom1_wrapped)),1,0),0))</f>
        <v>1</v>
      </c>
      <c r="E832">
        <f>IF(OR(F_Custom2_Q="(None)",F_Custom2_Q="",ISBLANK(F_Custom2_Q),F_Custom2_V="(All)",F_Custom2_V="",ISBLANK(F_Custom2_V)),1,IFERROR(IF(ISNUMBER(SEARCH("|"&amp;INDEX(INDIRECT(F_Custom2_resolved_column),831)&amp;"|",F_Custom2_wrapped)),1,0),0))</f>
        <v>1</v>
      </c>
      <c r="F832">
        <f>D832*E832*1</f>
        <v>1</v>
      </c>
      <c r="G832">
        <f>1</f>
        <v>1</v>
      </c>
      <c r="H8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831)&amp;"|",All_Questions_Q_STREAM_F_wrapped)),1,0),0))*1</f>
        <v>1</v>
      </c>
    </row>
    <row r="833">
      <c r="A833" t="n">
        <v>832</v>
      </c>
      <c r="B833" t="inlineStr">
        <is>
          <t>B</t>
        </is>
      </c>
      <c r="C833">
        <f>1</f>
        <v>1</v>
      </c>
      <c r="D833">
        <f>IF(OR(F_Custom1_Q="(None)",F_Custom1_Q="",ISBLANK(F_Custom1_Q),F_Custom1_V="(All)",F_Custom1_V="",ISBLANK(F_Custom1_V)),1,IFERROR(IF(ISNUMBER(SEARCH("|"&amp;INDEX(INDIRECT(F_Custom1_resolved_column),832)&amp;"|",F_Custom1_wrapped)),1,0),0))</f>
        <v>1</v>
      </c>
      <c r="E833">
        <f>IF(OR(F_Custom2_Q="(None)",F_Custom2_Q="",ISBLANK(F_Custom2_Q),F_Custom2_V="(All)",F_Custom2_V="",ISBLANK(F_Custom2_V)),1,IFERROR(IF(ISNUMBER(SEARCH("|"&amp;INDEX(INDIRECT(F_Custom2_resolved_column),832)&amp;"|",F_Custom2_wrapped)),1,0),0))</f>
        <v>1</v>
      </c>
      <c r="F833">
        <f>D833*E833*1</f>
        <v>1</v>
      </c>
      <c r="G833">
        <f>1</f>
        <v>1</v>
      </c>
      <c r="H8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832)&amp;"|",All_Questions_Q_STREAM_F_wrapped)),1,0),0))*1</f>
        <v>1</v>
      </c>
    </row>
    <row r="834">
      <c r="A834" t="n">
        <v>833</v>
      </c>
      <c r="B834" t="inlineStr">
        <is>
          <t>A</t>
        </is>
      </c>
      <c r="C834">
        <f>1</f>
        <v>1</v>
      </c>
      <c r="D834">
        <f>IF(OR(F_Custom1_Q="(None)",F_Custom1_Q="",ISBLANK(F_Custom1_Q),F_Custom1_V="(All)",F_Custom1_V="",ISBLANK(F_Custom1_V)),1,IFERROR(IF(ISNUMBER(SEARCH("|"&amp;INDEX(INDIRECT(F_Custom1_resolved_column),833)&amp;"|",F_Custom1_wrapped)),1,0),0))</f>
        <v>1</v>
      </c>
      <c r="E834">
        <f>IF(OR(F_Custom2_Q="(None)",F_Custom2_Q="",ISBLANK(F_Custom2_Q),F_Custom2_V="(All)",F_Custom2_V="",ISBLANK(F_Custom2_V)),1,IFERROR(IF(ISNUMBER(SEARCH("|"&amp;INDEX(INDIRECT(F_Custom2_resolved_column),833)&amp;"|",F_Custom2_wrapped)),1,0),0))</f>
        <v>1</v>
      </c>
      <c r="F834">
        <f>D834*E834*1</f>
        <v>1</v>
      </c>
      <c r="G834">
        <f>1</f>
        <v>1</v>
      </c>
      <c r="H8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833)&amp;"|",All_Questions_Q_STREAM_F_wrapped)),1,0),0))*1</f>
        <v>1</v>
      </c>
    </row>
    <row r="835">
      <c r="A835" t="n">
        <v>834</v>
      </c>
      <c r="B835" t="inlineStr">
        <is>
          <t>B</t>
        </is>
      </c>
      <c r="C835">
        <f>1</f>
        <v>1</v>
      </c>
      <c r="D835">
        <f>IF(OR(F_Custom1_Q="(None)",F_Custom1_Q="",ISBLANK(F_Custom1_Q),F_Custom1_V="(All)",F_Custom1_V="",ISBLANK(F_Custom1_V)),1,IFERROR(IF(ISNUMBER(SEARCH("|"&amp;INDEX(INDIRECT(F_Custom1_resolved_column),834)&amp;"|",F_Custom1_wrapped)),1,0),0))</f>
        <v>1</v>
      </c>
      <c r="E835">
        <f>IF(OR(F_Custom2_Q="(None)",F_Custom2_Q="",ISBLANK(F_Custom2_Q),F_Custom2_V="(All)",F_Custom2_V="",ISBLANK(F_Custom2_V)),1,IFERROR(IF(ISNUMBER(SEARCH("|"&amp;INDEX(INDIRECT(F_Custom2_resolved_column),834)&amp;"|",F_Custom2_wrapped)),1,0),0))</f>
        <v>1</v>
      </c>
      <c r="F835">
        <f>D835*E835*1</f>
        <v>1</v>
      </c>
      <c r="G835">
        <f>1</f>
        <v>1</v>
      </c>
      <c r="H8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834)&amp;"|",All_Questions_Q_STREAM_F_wrapped)),1,0),0))*1</f>
        <v>1</v>
      </c>
    </row>
    <row r="836">
      <c r="A836" t="n">
        <v>835</v>
      </c>
      <c r="B836" t="inlineStr">
        <is>
          <t>A</t>
        </is>
      </c>
      <c r="C836">
        <f>1</f>
        <v>1</v>
      </c>
      <c r="D836">
        <f>IF(OR(F_Custom1_Q="(None)",F_Custom1_Q="",ISBLANK(F_Custom1_Q),F_Custom1_V="(All)",F_Custom1_V="",ISBLANK(F_Custom1_V)),1,IFERROR(IF(ISNUMBER(SEARCH("|"&amp;INDEX(INDIRECT(F_Custom1_resolved_column),835)&amp;"|",F_Custom1_wrapped)),1,0),0))</f>
        <v>1</v>
      </c>
      <c r="E836">
        <f>IF(OR(F_Custom2_Q="(None)",F_Custom2_Q="",ISBLANK(F_Custom2_Q),F_Custom2_V="(All)",F_Custom2_V="",ISBLANK(F_Custom2_V)),1,IFERROR(IF(ISNUMBER(SEARCH("|"&amp;INDEX(INDIRECT(F_Custom2_resolved_column),835)&amp;"|",F_Custom2_wrapped)),1,0),0))</f>
        <v>1</v>
      </c>
      <c r="F836">
        <f>D836*E836*1</f>
        <v>1</v>
      </c>
      <c r="G836">
        <f>1</f>
        <v>1</v>
      </c>
      <c r="H8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835)&amp;"|",All_Questions_Q_STREAM_F_wrapped)),1,0),0))*1</f>
        <v>1</v>
      </c>
    </row>
    <row r="837">
      <c r="A837" t="n">
        <v>836</v>
      </c>
      <c r="B837" t="inlineStr">
        <is>
          <t>B</t>
        </is>
      </c>
      <c r="C837">
        <f>1</f>
        <v>1</v>
      </c>
      <c r="D837">
        <f>IF(OR(F_Custom1_Q="(None)",F_Custom1_Q="",ISBLANK(F_Custom1_Q),F_Custom1_V="(All)",F_Custom1_V="",ISBLANK(F_Custom1_V)),1,IFERROR(IF(ISNUMBER(SEARCH("|"&amp;INDEX(INDIRECT(F_Custom1_resolved_column),836)&amp;"|",F_Custom1_wrapped)),1,0),0))</f>
        <v>1</v>
      </c>
      <c r="E837">
        <f>IF(OR(F_Custom2_Q="(None)",F_Custom2_Q="",ISBLANK(F_Custom2_Q),F_Custom2_V="(All)",F_Custom2_V="",ISBLANK(F_Custom2_V)),1,IFERROR(IF(ISNUMBER(SEARCH("|"&amp;INDEX(INDIRECT(F_Custom2_resolved_column),836)&amp;"|",F_Custom2_wrapped)),1,0),0))</f>
        <v>1</v>
      </c>
      <c r="F837">
        <f>D837*E837*1</f>
        <v>1</v>
      </c>
      <c r="G837">
        <f>1</f>
        <v>1</v>
      </c>
      <c r="H8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836)&amp;"|",All_Questions_Q_STREAM_F_wrapped)),1,0),0))*1</f>
        <v>1</v>
      </c>
    </row>
    <row r="838">
      <c r="A838" t="n">
        <v>837</v>
      </c>
      <c r="B838" t="inlineStr">
        <is>
          <t>A</t>
        </is>
      </c>
      <c r="C838">
        <f>1</f>
        <v>1</v>
      </c>
      <c r="D838">
        <f>IF(OR(F_Custom1_Q="(None)",F_Custom1_Q="",ISBLANK(F_Custom1_Q),F_Custom1_V="(All)",F_Custom1_V="",ISBLANK(F_Custom1_V)),1,IFERROR(IF(ISNUMBER(SEARCH("|"&amp;INDEX(INDIRECT(F_Custom1_resolved_column),837)&amp;"|",F_Custom1_wrapped)),1,0),0))</f>
        <v>1</v>
      </c>
      <c r="E838">
        <f>IF(OR(F_Custom2_Q="(None)",F_Custom2_Q="",ISBLANK(F_Custom2_Q),F_Custom2_V="(All)",F_Custom2_V="",ISBLANK(F_Custom2_V)),1,IFERROR(IF(ISNUMBER(SEARCH("|"&amp;INDEX(INDIRECT(F_Custom2_resolved_column),837)&amp;"|",F_Custom2_wrapped)),1,0),0))</f>
        <v>1</v>
      </c>
      <c r="F838">
        <f>D838*E838*1</f>
        <v>1</v>
      </c>
      <c r="G838">
        <f>1</f>
        <v>1</v>
      </c>
      <c r="H8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837)&amp;"|",All_Questions_Q_STREAM_F_wrapped)),1,0),0))*1</f>
        <v>1</v>
      </c>
    </row>
    <row r="839">
      <c r="A839" t="n">
        <v>838</v>
      </c>
      <c r="B839" t="inlineStr">
        <is>
          <t>B</t>
        </is>
      </c>
      <c r="C839">
        <f>1</f>
        <v>1</v>
      </c>
      <c r="D839">
        <f>IF(OR(F_Custom1_Q="(None)",F_Custom1_Q="",ISBLANK(F_Custom1_Q),F_Custom1_V="(All)",F_Custom1_V="",ISBLANK(F_Custom1_V)),1,IFERROR(IF(ISNUMBER(SEARCH("|"&amp;INDEX(INDIRECT(F_Custom1_resolved_column),838)&amp;"|",F_Custom1_wrapped)),1,0),0))</f>
        <v>1</v>
      </c>
      <c r="E839">
        <f>IF(OR(F_Custom2_Q="(None)",F_Custom2_Q="",ISBLANK(F_Custom2_Q),F_Custom2_V="(All)",F_Custom2_V="",ISBLANK(F_Custom2_V)),1,IFERROR(IF(ISNUMBER(SEARCH("|"&amp;INDEX(INDIRECT(F_Custom2_resolved_column),838)&amp;"|",F_Custom2_wrapped)),1,0),0))</f>
        <v>1</v>
      </c>
      <c r="F839">
        <f>D839*E839*1</f>
        <v>1</v>
      </c>
      <c r="G839">
        <f>1</f>
        <v>1</v>
      </c>
      <c r="H8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838)&amp;"|",All_Questions_Q_STREAM_F_wrapped)),1,0),0))*1</f>
        <v>1</v>
      </c>
    </row>
    <row r="840">
      <c r="A840" t="n">
        <v>839</v>
      </c>
      <c r="B840" t="inlineStr">
        <is>
          <t>A</t>
        </is>
      </c>
      <c r="C840">
        <f>1</f>
        <v>1</v>
      </c>
      <c r="D840">
        <f>IF(OR(F_Custom1_Q="(None)",F_Custom1_Q="",ISBLANK(F_Custom1_Q),F_Custom1_V="(All)",F_Custom1_V="",ISBLANK(F_Custom1_V)),1,IFERROR(IF(ISNUMBER(SEARCH("|"&amp;INDEX(INDIRECT(F_Custom1_resolved_column),839)&amp;"|",F_Custom1_wrapped)),1,0),0))</f>
        <v>1</v>
      </c>
      <c r="E840">
        <f>IF(OR(F_Custom2_Q="(None)",F_Custom2_Q="",ISBLANK(F_Custom2_Q),F_Custom2_V="(All)",F_Custom2_V="",ISBLANK(F_Custom2_V)),1,IFERROR(IF(ISNUMBER(SEARCH("|"&amp;INDEX(INDIRECT(F_Custom2_resolved_column),839)&amp;"|",F_Custom2_wrapped)),1,0),0))</f>
        <v>1</v>
      </c>
      <c r="F840">
        <f>D840*E840*1</f>
        <v>1</v>
      </c>
      <c r="G840">
        <f>1</f>
        <v>1</v>
      </c>
      <c r="H8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839)&amp;"|",All_Questions_Q_STREAM_F_wrapped)),1,0),0))*1</f>
        <v>1</v>
      </c>
    </row>
    <row r="841">
      <c r="A841" t="n">
        <v>840</v>
      </c>
      <c r="B841" t="inlineStr">
        <is>
          <t>B</t>
        </is>
      </c>
      <c r="C841">
        <f>1</f>
        <v>1</v>
      </c>
      <c r="D841">
        <f>IF(OR(F_Custom1_Q="(None)",F_Custom1_Q="",ISBLANK(F_Custom1_Q),F_Custom1_V="(All)",F_Custom1_V="",ISBLANK(F_Custom1_V)),1,IFERROR(IF(ISNUMBER(SEARCH("|"&amp;INDEX(INDIRECT(F_Custom1_resolved_column),840)&amp;"|",F_Custom1_wrapped)),1,0),0))</f>
        <v>1</v>
      </c>
      <c r="E841">
        <f>IF(OR(F_Custom2_Q="(None)",F_Custom2_Q="",ISBLANK(F_Custom2_Q),F_Custom2_V="(All)",F_Custom2_V="",ISBLANK(F_Custom2_V)),1,IFERROR(IF(ISNUMBER(SEARCH("|"&amp;INDEX(INDIRECT(F_Custom2_resolved_column),840)&amp;"|",F_Custom2_wrapped)),1,0),0))</f>
        <v>1</v>
      </c>
      <c r="F841">
        <f>D841*E841*1</f>
        <v>1</v>
      </c>
      <c r="G841">
        <f>1</f>
        <v>1</v>
      </c>
      <c r="H8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840)&amp;"|",All_Questions_Q_STREAM_F_wrapped)),1,0),0))*1</f>
        <v>1</v>
      </c>
    </row>
    <row r="842">
      <c r="A842" t="n">
        <v>841</v>
      </c>
      <c r="B842" t="inlineStr">
        <is>
          <t>A</t>
        </is>
      </c>
      <c r="C842">
        <f>1</f>
        <v>1</v>
      </c>
      <c r="D842">
        <f>IF(OR(F_Custom1_Q="(None)",F_Custom1_Q="",ISBLANK(F_Custom1_Q),F_Custom1_V="(All)",F_Custom1_V="",ISBLANK(F_Custom1_V)),1,IFERROR(IF(ISNUMBER(SEARCH("|"&amp;INDEX(INDIRECT(F_Custom1_resolved_column),841)&amp;"|",F_Custom1_wrapped)),1,0),0))</f>
        <v>1</v>
      </c>
      <c r="E842">
        <f>IF(OR(F_Custom2_Q="(None)",F_Custom2_Q="",ISBLANK(F_Custom2_Q),F_Custom2_V="(All)",F_Custom2_V="",ISBLANK(F_Custom2_V)),1,IFERROR(IF(ISNUMBER(SEARCH("|"&amp;INDEX(INDIRECT(F_Custom2_resolved_column),841)&amp;"|",F_Custom2_wrapped)),1,0),0))</f>
        <v>1</v>
      </c>
      <c r="F842">
        <f>D842*E842*1</f>
        <v>1</v>
      </c>
      <c r="G842">
        <f>1</f>
        <v>1</v>
      </c>
      <c r="H8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841)&amp;"|",All_Questions_Q_STREAM_F_wrapped)),1,0),0))*1</f>
        <v>1</v>
      </c>
    </row>
    <row r="843">
      <c r="A843" t="n">
        <v>842</v>
      </c>
      <c r="B843" t="inlineStr">
        <is>
          <t>B</t>
        </is>
      </c>
      <c r="C843">
        <f>1</f>
        <v>1</v>
      </c>
      <c r="D843">
        <f>IF(OR(F_Custom1_Q="(None)",F_Custom1_Q="",ISBLANK(F_Custom1_Q),F_Custom1_V="(All)",F_Custom1_V="",ISBLANK(F_Custom1_V)),1,IFERROR(IF(ISNUMBER(SEARCH("|"&amp;INDEX(INDIRECT(F_Custom1_resolved_column),842)&amp;"|",F_Custom1_wrapped)),1,0),0))</f>
        <v>1</v>
      </c>
      <c r="E843">
        <f>IF(OR(F_Custom2_Q="(None)",F_Custom2_Q="",ISBLANK(F_Custom2_Q),F_Custom2_V="(All)",F_Custom2_V="",ISBLANK(F_Custom2_V)),1,IFERROR(IF(ISNUMBER(SEARCH("|"&amp;INDEX(INDIRECT(F_Custom2_resolved_column),842)&amp;"|",F_Custom2_wrapped)),1,0),0))</f>
        <v>1</v>
      </c>
      <c r="F843">
        <f>D843*E843*1</f>
        <v>1</v>
      </c>
      <c r="G843">
        <f>1</f>
        <v>1</v>
      </c>
      <c r="H8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842)&amp;"|",All_Questions_Q_STREAM_F_wrapped)),1,0),0))*1</f>
        <v>1</v>
      </c>
    </row>
    <row r="844">
      <c r="A844" t="n">
        <v>843</v>
      </c>
      <c r="B844" t="inlineStr">
        <is>
          <t>A</t>
        </is>
      </c>
      <c r="C844">
        <f>1</f>
        <v>1</v>
      </c>
      <c r="D844">
        <f>IF(OR(F_Custom1_Q="(None)",F_Custom1_Q="",ISBLANK(F_Custom1_Q),F_Custom1_V="(All)",F_Custom1_V="",ISBLANK(F_Custom1_V)),1,IFERROR(IF(ISNUMBER(SEARCH("|"&amp;INDEX(INDIRECT(F_Custom1_resolved_column),843)&amp;"|",F_Custom1_wrapped)),1,0),0))</f>
        <v>1</v>
      </c>
      <c r="E844">
        <f>IF(OR(F_Custom2_Q="(None)",F_Custom2_Q="",ISBLANK(F_Custom2_Q),F_Custom2_V="(All)",F_Custom2_V="",ISBLANK(F_Custom2_V)),1,IFERROR(IF(ISNUMBER(SEARCH("|"&amp;INDEX(INDIRECT(F_Custom2_resolved_column),843)&amp;"|",F_Custom2_wrapped)),1,0),0))</f>
        <v>1</v>
      </c>
      <c r="F844">
        <f>D844*E844*1</f>
        <v>1</v>
      </c>
      <c r="G844">
        <f>1</f>
        <v>1</v>
      </c>
      <c r="H8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843)&amp;"|",All_Questions_Q_STREAM_F_wrapped)),1,0),0))*1</f>
        <v>1</v>
      </c>
    </row>
    <row r="845">
      <c r="A845" t="n">
        <v>844</v>
      </c>
      <c r="B845" t="inlineStr">
        <is>
          <t>B</t>
        </is>
      </c>
      <c r="C845">
        <f>1</f>
        <v>1</v>
      </c>
      <c r="D845">
        <f>IF(OR(F_Custom1_Q="(None)",F_Custom1_Q="",ISBLANK(F_Custom1_Q),F_Custom1_V="(All)",F_Custom1_V="",ISBLANK(F_Custom1_V)),1,IFERROR(IF(ISNUMBER(SEARCH("|"&amp;INDEX(INDIRECT(F_Custom1_resolved_column),844)&amp;"|",F_Custom1_wrapped)),1,0),0))</f>
        <v>1</v>
      </c>
      <c r="E845">
        <f>IF(OR(F_Custom2_Q="(None)",F_Custom2_Q="",ISBLANK(F_Custom2_Q),F_Custom2_V="(All)",F_Custom2_V="",ISBLANK(F_Custom2_V)),1,IFERROR(IF(ISNUMBER(SEARCH("|"&amp;INDEX(INDIRECT(F_Custom2_resolved_column),844)&amp;"|",F_Custom2_wrapped)),1,0),0))</f>
        <v>1</v>
      </c>
      <c r="F845">
        <f>D845*E845*1</f>
        <v>1</v>
      </c>
      <c r="G845">
        <f>1</f>
        <v>1</v>
      </c>
      <c r="H8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844)&amp;"|",All_Questions_Q_STREAM_F_wrapped)),1,0),0))*1</f>
        <v>1</v>
      </c>
    </row>
    <row r="846">
      <c r="A846" t="n">
        <v>845</v>
      </c>
      <c r="B846" t="inlineStr">
        <is>
          <t>A</t>
        </is>
      </c>
      <c r="C846">
        <f>1</f>
        <v>1</v>
      </c>
      <c r="D846">
        <f>IF(OR(F_Custom1_Q="(None)",F_Custom1_Q="",ISBLANK(F_Custom1_Q),F_Custom1_V="(All)",F_Custom1_V="",ISBLANK(F_Custom1_V)),1,IFERROR(IF(ISNUMBER(SEARCH("|"&amp;INDEX(INDIRECT(F_Custom1_resolved_column),845)&amp;"|",F_Custom1_wrapped)),1,0),0))</f>
        <v>1</v>
      </c>
      <c r="E846">
        <f>IF(OR(F_Custom2_Q="(None)",F_Custom2_Q="",ISBLANK(F_Custom2_Q),F_Custom2_V="(All)",F_Custom2_V="",ISBLANK(F_Custom2_V)),1,IFERROR(IF(ISNUMBER(SEARCH("|"&amp;INDEX(INDIRECT(F_Custom2_resolved_column),845)&amp;"|",F_Custom2_wrapped)),1,0),0))</f>
        <v>1</v>
      </c>
      <c r="F846">
        <f>D846*E846*1</f>
        <v>1</v>
      </c>
      <c r="G846">
        <f>1</f>
        <v>1</v>
      </c>
      <c r="H8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845)&amp;"|",All_Questions_Q_STREAM_F_wrapped)),1,0),0))*1</f>
        <v>1</v>
      </c>
    </row>
    <row r="847">
      <c r="A847" t="n">
        <v>846</v>
      </c>
      <c r="B847" t="inlineStr">
        <is>
          <t>B</t>
        </is>
      </c>
      <c r="C847">
        <f>1</f>
        <v>1</v>
      </c>
      <c r="D847">
        <f>IF(OR(F_Custom1_Q="(None)",F_Custom1_Q="",ISBLANK(F_Custom1_Q),F_Custom1_V="(All)",F_Custom1_V="",ISBLANK(F_Custom1_V)),1,IFERROR(IF(ISNUMBER(SEARCH("|"&amp;INDEX(INDIRECT(F_Custom1_resolved_column),846)&amp;"|",F_Custom1_wrapped)),1,0),0))</f>
        <v>1</v>
      </c>
      <c r="E847">
        <f>IF(OR(F_Custom2_Q="(None)",F_Custom2_Q="",ISBLANK(F_Custom2_Q),F_Custom2_V="(All)",F_Custom2_V="",ISBLANK(F_Custom2_V)),1,IFERROR(IF(ISNUMBER(SEARCH("|"&amp;INDEX(INDIRECT(F_Custom2_resolved_column),846)&amp;"|",F_Custom2_wrapped)),1,0),0))</f>
        <v>1</v>
      </c>
      <c r="F847">
        <f>D847*E847*1</f>
        <v>1</v>
      </c>
      <c r="G847">
        <f>1</f>
        <v>1</v>
      </c>
      <c r="H8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846)&amp;"|",All_Questions_Q_STREAM_F_wrapped)),1,0),0))*1</f>
        <v>1</v>
      </c>
    </row>
    <row r="848">
      <c r="A848" t="n">
        <v>847</v>
      </c>
      <c r="B848" t="inlineStr">
        <is>
          <t>A</t>
        </is>
      </c>
      <c r="C848">
        <f>1</f>
        <v>1</v>
      </c>
      <c r="D848">
        <f>IF(OR(F_Custom1_Q="(None)",F_Custom1_Q="",ISBLANK(F_Custom1_Q),F_Custom1_V="(All)",F_Custom1_V="",ISBLANK(F_Custom1_V)),1,IFERROR(IF(ISNUMBER(SEARCH("|"&amp;INDEX(INDIRECT(F_Custom1_resolved_column),847)&amp;"|",F_Custom1_wrapped)),1,0),0))</f>
        <v>1</v>
      </c>
      <c r="E848">
        <f>IF(OR(F_Custom2_Q="(None)",F_Custom2_Q="",ISBLANK(F_Custom2_Q),F_Custom2_V="(All)",F_Custom2_V="",ISBLANK(F_Custom2_V)),1,IFERROR(IF(ISNUMBER(SEARCH("|"&amp;INDEX(INDIRECT(F_Custom2_resolved_column),847)&amp;"|",F_Custom2_wrapped)),1,0),0))</f>
        <v>1</v>
      </c>
      <c r="F848">
        <f>D848*E848*1</f>
        <v>1</v>
      </c>
      <c r="G848">
        <f>1</f>
        <v>1</v>
      </c>
      <c r="H8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847)&amp;"|",All_Questions_Q_STREAM_F_wrapped)),1,0),0))*1</f>
        <v>1</v>
      </c>
    </row>
    <row r="849">
      <c r="A849" t="n">
        <v>848</v>
      </c>
      <c r="B849" t="inlineStr">
        <is>
          <t>B</t>
        </is>
      </c>
      <c r="C849">
        <f>1</f>
        <v>1</v>
      </c>
      <c r="D849">
        <f>IF(OR(F_Custom1_Q="(None)",F_Custom1_Q="",ISBLANK(F_Custom1_Q),F_Custom1_V="(All)",F_Custom1_V="",ISBLANK(F_Custom1_V)),1,IFERROR(IF(ISNUMBER(SEARCH("|"&amp;INDEX(INDIRECT(F_Custom1_resolved_column),848)&amp;"|",F_Custom1_wrapped)),1,0),0))</f>
        <v>1</v>
      </c>
      <c r="E849">
        <f>IF(OR(F_Custom2_Q="(None)",F_Custom2_Q="",ISBLANK(F_Custom2_Q),F_Custom2_V="(All)",F_Custom2_V="",ISBLANK(F_Custom2_V)),1,IFERROR(IF(ISNUMBER(SEARCH("|"&amp;INDEX(INDIRECT(F_Custom2_resolved_column),848)&amp;"|",F_Custom2_wrapped)),1,0),0))</f>
        <v>1</v>
      </c>
      <c r="F849">
        <f>D849*E849*1</f>
        <v>1</v>
      </c>
      <c r="G849">
        <f>1</f>
        <v>1</v>
      </c>
      <c r="H8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848)&amp;"|",All_Questions_Q_STREAM_F_wrapped)),1,0),0))*1</f>
        <v>1</v>
      </c>
    </row>
    <row r="850">
      <c r="A850" t="n">
        <v>849</v>
      </c>
      <c r="B850" t="inlineStr">
        <is>
          <t>A</t>
        </is>
      </c>
      <c r="C850">
        <f>1</f>
        <v>1</v>
      </c>
      <c r="D850">
        <f>IF(OR(F_Custom1_Q="(None)",F_Custom1_Q="",ISBLANK(F_Custom1_Q),F_Custom1_V="(All)",F_Custom1_V="",ISBLANK(F_Custom1_V)),1,IFERROR(IF(ISNUMBER(SEARCH("|"&amp;INDEX(INDIRECT(F_Custom1_resolved_column),849)&amp;"|",F_Custom1_wrapped)),1,0),0))</f>
        <v>1</v>
      </c>
      <c r="E850">
        <f>IF(OR(F_Custom2_Q="(None)",F_Custom2_Q="",ISBLANK(F_Custom2_Q),F_Custom2_V="(All)",F_Custom2_V="",ISBLANK(F_Custom2_V)),1,IFERROR(IF(ISNUMBER(SEARCH("|"&amp;INDEX(INDIRECT(F_Custom2_resolved_column),849)&amp;"|",F_Custom2_wrapped)),1,0),0))</f>
        <v>1</v>
      </c>
      <c r="F850">
        <f>D850*E850*1</f>
        <v>1</v>
      </c>
      <c r="G850">
        <f>1</f>
        <v>1</v>
      </c>
      <c r="H8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849)&amp;"|",All_Questions_Q_STREAM_F_wrapped)),1,0),0))*1</f>
        <v>1</v>
      </c>
    </row>
    <row r="851">
      <c r="A851" t="n">
        <v>850</v>
      </c>
      <c r="B851" t="inlineStr">
        <is>
          <t>B</t>
        </is>
      </c>
      <c r="C851">
        <f>1</f>
        <v>1</v>
      </c>
      <c r="D851">
        <f>IF(OR(F_Custom1_Q="(None)",F_Custom1_Q="",ISBLANK(F_Custom1_Q),F_Custom1_V="(All)",F_Custom1_V="",ISBLANK(F_Custom1_V)),1,IFERROR(IF(ISNUMBER(SEARCH("|"&amp;INDEX(INDIRECT(F_Custom1_resolved_column),850)&amp;"|",F_Custom1_wrapped)),1,0),0))</f>
        <v>1</v>
      </c>
      <c r="E851">
        <f>IF(OR(F_Custom2_Q="(None)",F_Custom2_Q="",ISBLANK(F_Custom2_Q),F_Custom2_V="(All)",F_Custom2_V="",ISBLANK(F_Custom2_V)),1,IFERROR(IF(ISNUMBER(SEARCH("|"&amp;INDEX(INDIRECT(F_Custom2_resolved_column),850)&amp;"|",F_Custom2_wrapped)),1,0),0))</f>
        <v>1</v>
      </c>
      <c r="F851">
        <f>D851*E851*1</f>
        <v>1</v>
      </c>
      <c r="G851">
        <f>1</f>
        <v>1</v>
      </c>
      <c r="H8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850)&amp;"|",All_Questions_Q_STREAM_F_wrapped)),1,0),0))*1</f>
        <v>1</v>
      </c>
    </row>
    <row r="852">
      <c r="A852" t="n">
        <v>851</v>
      </c>
      <c r="B852" t="inlineStr">
        <is>
          <t>A</t>
        </is>
      </c>
      <c r="C852">
        <f>1</f>
        <v>1</v>
      </c>
      <c r="D852">
        <f>IF(OR(F_Custom1_Q="(None)",F_Custom1_Q="",ISBLANK(F_Custom1_Q),F_Custom1_V="(All)",F_Custom1_V="",ISBLANK(F_Custom1_V)),1,IFERROR(IF(ISNUMBER(SEARCH("|"&amp;INDEX(INDIRECT(F_Custom1_resolved_column),851)&amp;"|",F_Custom1_wrapped)),1,0),0))</f>
        <v>1</v>
      </c>
      <c r="E852">
        <f>IF(OR(F_Custom2_Q="(None)",F_Custom2_Q="",ISBLANK(F_Custom2_Q),F_Custom2_V="(All)",F_Custom2_V="",ISBLANK(F_Custom2_V)),1,IFERROR(IF(ISNUMBER(SEARCH("|"&amp;INDEX(INDIRECT(F_Custom2_resolved_column),851)&amp;"|",F_Custom2_wrapped)),1,0),0))</f>
        <v>1</v>
      </c>
      <c r="F852">
        <f>D852*E852*1</f>
        <v>1</v>
      </c>
      <c r="G852">
        <f>1</f>
        <v>1</v>
      </c>
      <c r="H8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851)&amp;"|",All_Questions_Q_STREAM_F_wrapped)),1,0),0))*1</f>
        <v>1</v>
      </c>
    </row>
    <row r="853">
      <c r="A853" t="n">
        <v>852</v>
      </c>
      <c r="B853" t="inlineStr">
        <is>
          <t>B</t>
        </is>
      </c>
      <c r="C853">
        <f>1</f>
        <v>1</v>
      </c>
      <c r="D853">
        <f>IF(OR(F_Custom1_Q="(None)",F_Custom1_Q="",ISBLANK(F_Custom1_Q),F_Custom1_V="(All)",F_Custom1_V="",ISBLANK(F_Custom1_V)),1,IFERROR(IF(ISNUMBER(SEARCH("|"&amp;INDEX(INDIRECT(F_Custom1_resolved_column),852)&amp;"|",F_Custom1_wrapped)),1,0),0))</f>
        <v>1</v>
      </c>
      <c r="E853">
        <f>IF(OR(F_Custom2_Q="(None)",F_Custom2_Q="",ISBLANK(F_Custom2_Q),F_Custom2_V="(All)",F_Custom2_V="",ISBLANK(F_Custom2_V)),1,IFERROR(IF(ISNUMBER(SEARCH("|"&amp;INDEX(INDIRECT(F_Custom2_resolved_column),852)&amp;"|",F_Custom2_wrapped)),1,0),0))</f>
        <v>1</v>
      </c>
      <c r="F853">
        <f>D853*E853*1</f>
        <v>1</v>
      </c>
      <c r="G853">
        <f>1</f>
        <v>1</v>
      </c>
      <c r="H8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852)&amp;"|",All_Questions_Q_STREAM_F_wrapped)),1,0),0))*1</f>
        <v>1</v>
      </c>
    </row>
    <row r="854">
      <c r="A854" t="n">
        <v>853</v>
      </c>
      <c r="B854" t="inlineStr">
        <is>
          <t>A</t>
        </is>
      </c>
      <c r="C854">
        <f>1</f>
        <v>1</v>
      </c>
      <c r="D854">
        <f>IF(OR(F_Custom1_Q="(None)",F_Custom1_Q="",ISBLANK(F_Custom1_Q),F_Custom1_V="(All)",F_Custom1_V="",ISBLANK(F_Custom1_V)),1,IFERROR(IF(ISNUMBER(SEARCH("|"&amp;INDEX(INDIRECT(F_Custom1_resolved_column),853)&amp;"|",F_Custom1_wrapped)),1,0),0))</f>
        <v>1</v>
      </c>
      <c r="E854">
        <f>IF(OR(F_Custom2_Q="(None)",F_Custom2_Q="",ISBLANK(F_Custom2_Q),F_Custom2_V="(All)",F_Custom2_V="",ISBLANK(F_Custom2_V)),1,IFERROR(IF(ISNUMBER(SEARCH("|"&amp;INDEX(INDIRECT(F_Custom2_resolved_column),853)&amp;"|",F_Custom2_wrapped)),1,0),0))</f>
        <v>1</v>
      </c>
      <c r="F854">
        <f>D854*E854*1</f>
        <v>1</v>
      </c>
      <c r="G854">
        <f>1</f>
        <v>1</v>
      </c>
      <c r="H8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853)&amp;"|",All_Questions_Q_STREAM_F_wrapped)),1,0),0))*1</f>
        <v>1</v>
      </c>
    </row>
    <row r="855">
      <c r="A855" t="n">
        <v>854</v>
      </c>
      <c r="B855" t="inlineStr">
        <is>
          <t>B</t>
        </is>
      </c>
      <c r="C855">
        <f>1</f>
        <v>1</v>
      </c>
      <c r="D855">
        <f>IF(OR(F_Custom1_Q="(None)",F_Custom1_Q="",ISBLANK(F_Custom1_Q),F_Custom1_V="(All)",F_Custom1_V="",ISBLANK(F_Custom1_V)),1,IFERROR(IF(ISNUMBER(SEARCH("|"&amp;INDEX(INDIRECT(F_Custom1_resolved_column),854)&amp;"|",F_Custom1_wrapped)),1,0),0))</f>
        <v>1</v>
      </c>
      <c r="E855">
        <f>IF(OR(F_Custom2_Q="(None)",F_Custom2_Q="",ISBLANK(F_Custom2_Q),F_Custom2_V="(All)",F_Custom2_V="",ISBLANK(F_Custom2_V)),1,IFERROR(IF(ISNUMBER(SEARCH("|"&amp;INDEX(INDIRECT(F_Custom2_resolved_column),854)&amp;"|",F_Custom2_wrapped)),1,0),0))</f>
        <v>1</v>
      </c>
      <c r="F855">
        <f>D855*E855*1</f>
        <v>1</v>
      </c>
      <c r="G855">
        <f>1</f>
        <v>1</v>
      </c>
      <c r="H8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854)&amp;"|",All_Questions_Q_STREAM_F_wrapped)),1,0),0))*1</f>
        <v>1</v>
      </c>
    </row>
    <row r="856">
      <c r="A856" t="n">
        <v>855</v>
      </c>
      <c r="B856" t="inlineStr">
        <is>
          <t>A</t>
        </is>
      </c>
      <c r="C856">
        <f>1</f>
        <v>1</v>
      </c>
      <c r="D856">
        <f>IF(OR(F_Custom1_Q="(None)",F_Custom1_Q="",ISBLANK(F_Custom1_Q),F_Custom1_V="(All)",F_Custom1_V="",ISBLANK(F_Custom1_V)),1,IFERROR(IF(ISNUMBER(SEARCH("|"&amp;INDEX(INDIRECT(F_Custom1_resolved_column),855)&amp;"|",F_Custom1_wrapped)),1,0),0))</f>
        <v>1</v>
      </c>
      <c r="E856">
        <f>IF(OR(F_Custom2_Q="(None)",F_Custom2_Q="",ISBLANK(F_Custom2_Q),F_Custom2_V="(All)",F_Custom2_V="",ISBLANK(F_Custom2_V)),1,IFERROR(IF(ISNUMBER(SEARCH("|"&amp;INDEX(INDIRECT(F_Custom2_resolved_column),855)&amp;"|",F_Custom2_wrapped)),1,0),0))</f>
        <v>1</v>
      </c>
      <c r="F856">
        <f>D856*E856*1</f>
        <v>1</v>
      </c>
      <c r="G856">
        <f>1</f>
        <v>1</v>
      </c>
      <c r="H8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855)&amp;"|",All_Questions_Q_STREAM_F_wrapped)),1,0),0))*1</f>
        <v>1</v>
      </c>
    </row>
    <row r="857">
      <c r="A857" t="n">
        <v>856</v>
      </c>
      <c r="B857" t="inlineStr">
        <is>
          <t>B</t>
        </is>
      </c>
      <c r="C857">
        <f>1</f>
        <v>1</v>
      </c>
      <c r="D857">
        <f>IF(OR(F_Custom1_Q="(None)",F_Custom1_Q="",ISBLANK(F_Custom1_Q),F_Custom1_V="(All)",F_Custom1_V="",ISBLANK(F_Custom1_V)),1,IFERROR(IF(ISNUMBER(SEARCH("|"&amp;INDEX(INDIRECT(F_Custom1_resolved_column),856)&amp;"|",F_Custom1_wrapped)),1,0),0))</f>
        <v>1</v>
      </c>
      <c r="E857">
        <f>IF(OR(F_Custom2_Q="(None)",F_Custom2_Q="",ISBLANK(F_Custom2_Q),F_Custom2_V="(All)",F_Custom2_V="",ISBLANK(F_Custom2_V)),1,IFERROR(IF(ISNUMBER(SEARCH("|"&amp;INDEX(INDIRECT(F_Custom2_resolved_column),856)&amp;"|",F_Custom2_wrapped)),1,0),0))</f>
        <v>1</v>
      </c>
      <c r="F857">
        <f>D857*E857*1</f>
        <v>1</v>
      </c>
      <c r="G857">
        <f>1</f>
        <v>1</v>
      </c>
      <c r="H8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856)&amp;"|",All_Questions_Q_STREAM_F_wrapped)),1,0),0))*1</f>
        <v>1</v>
      </c>
    </row>
    <row r="858">
      <c r="A858" t="n">
        <v>857</v>
      </c>
      <c r="B858" t="inlineStr">
        <is>
          <t>A</t>
        </is>
      </c>
      <c r="C858">
        <f>1</f>
        <v>1</v>
      </c>
      <c r="D858">
        <f>IF(OR(F_Custom1_Q="(None)",F_Custom1_Q="",ISBLANK(F_Custom1_Q),F_Custom1_V="(All)",F_Custom1_V="",ISBLANK(F_Custom1_V)),1,IFERROR(IF(ISNUMBER(SEARCH("|"&amp;INDEX(INDIRECT(F_Custom1_resolved_column),857)&amp;"|",F_Custom1_wrapped)),1,0),0))</f>
        <v>1</v>
      </c>
      <c r="E858">
        <f>IF(OR(F_Custom2_Q="(None)",F_Custom2_Q="",ISBLANK(F_Custom2_Q),F_Custom2_V="(All)",F_Custom2_V="",ISBLANK(F_Custom2_V)),1,IFERROR(IF(ISNUMBER(SEARCH("|"&amp;INDEX(INDIRECT(F_Custom2_resolved_column),857)&amp;"|",F_Custom2_wrapped)),1,0),0))</f>
        <v>1</v>
      </c>
      <c r="F858">
        <f>D858*E858*1</f>
        <v>1</v>
      </c>
      <c r="G858">
        <f>1</f>
        <v>1</v>
      </c>
      <c r="H8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857)&amp;"|",All_Questions_Q_STREAM_F_wrapped)),1,0),0))*1</f>
        <v>1</v>
      </c>
    </row>
    <row r="859">
      <c r="A859" t="n">
        <v>858</v>
      </c>
      <c r="B859" t="inlineStr">
        <is>
          <t>B</t>
        </is>
      </c>
      <c r="C859">
        <f>1</f>
        <v>1</v>
      </c>
      <c r="D859">
        <f>IF(OR(F_Custom1_Q="(None)",F_Custom1_Q="",ISBLANK(F_Custom1_Q),F_Custom1_V="(All)",F_Custom1_V="",ISBLANK(F_Custom1_V)),1,IFERROR(IF(ISNUMBER(SEARCH("|"&amp;INDEX(INDIRECT(F_Custom1_resolved_column),858)&amp;"|",F_Custom1_wrapped)),1,0),0))</f>
        <v>1</v>
      </c>
      <c r="E859">
        <f>IF(OR(F_Custom2_Q="(None)",F_Custom2_Q="",ISBLANK(F_Custom2_Q),F_Custom2_V="(All)",F_Custom2_V="",ISBLANK(F_Custom2_V)),1,IFERROR(IF(ISNUMBER(SEARCH("|"&amp;INDEX(INDIRECT(F_Custom2_resolved_column),858)&amp;"|",F_Custom2_wrapped)),1,0),0))</f>
        <v>1</v>
      </c>
      <c r="F859">
        <f>D859*E859*1</f>
        <v>1</v>
      </c>
      <c r="G859">
        <f>1</f>
        <v>1</v>
      </c>
      <c r="H8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858)&amp;"|",All_Questions_Q_STREAM_F_wrapped)),1,0),0))*1</f>
        <v>1</v>
      </c>
    </row>
    <row r="860">
      <c r="A860" t="n">
        <v>859</v>
      </c>
      <c r="B860" t="inlineStr">
        <is>
          <t>A</t>
        </is>
      </c>
      <c r="C860">
        <f>1</f>
        <v>1</v>
      </c>
      <c r="D860">
        <f>IF(OR(F_Custom1_Q="(None)",F_Custom1_Q="",ISBLANK(F_Custom1_Q),F_Custom1_V="(All)",F_Custom1_V="",ISBLANK(F_Custom1_V)),1,IFERROR(IF(ISNUMBER(SEARCH("|"&amp;INDEX(INDIRECT(F_Custom1_resolved_column),859)&amp;"|",F_Custom1_wrapped)),1,0),0))</f>
        <v>1</v>
      </c>
      <c r="E860">
        <f>IF(OR(F_Custom2_Q="(None)",F_Custom2_Q="",ISBLANK(F_Custom2_Q),F_Custom2_V="(All)",F_Custom2_V="",ISBLANK(F_Custom2_V)),1,IFERROR(IF(ISNUMBER(SEARCH("|"&amp;INDEX(INDIRECT(F_Custom2_resolved_column),859)&amp;"|",F_Custom2_wrapped)),1,0),0))</f>
        <v>1</v>
      </c>
      <c r="F860">
        <f>D860*E860*1</f>
        <v>1</v>
      </c>
      <c r="G860">
        <f>1</f>
        <v>1</v>
      </c>
      <c r="H8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859)&amp;"|",All_Questions_Q_STREAM_F_wrapped)),1,0),0))*1</f>
        <v>1</v>
      </c>
    </row>
    <row r="861">
      <c r="A861" t="n">
        <v>860</v>
      </c>
      <c r="B861" t="inlineStr">
        <is>
          <t>B</t>
        </is>
      </c>
      <c r="C861">
        <f>1</f>
        <v>1</v>
      </c>
      <c r="D861">
        <f>IF(OR(F_Custom1_Q="(None)",F_Custom1_Q="",ISBLANK(F_Custom1_Q),F_Custom1_V="(All)",F_Custom1_V="",ISBLANK(F_Custom1_V)),1,IFERROR(IF(ISNUMBER(SEARCH("|"&amp;INDEX(INDIRECT(F_Custom1_resolved_column),860)&amp;"|",F_Custom1_wrapped)),1,0),0))</f>
        <v>1</v>
      </c>
      <c r="E861">
        <f>IF(OR(F_Custom2_Q="(None)",F_Custom2_Q="",ISBLANK(F_Custom2_Q),F_Custom2_V="(All)",F_Custom2_V="",ISBLANK(F_Custom2_V)),1,IFERROR(IF(ISNUMBER(SEARCH("|"&amp;INDEX(INDIRECT(F_Custom2_resolved_column),860)&amp;"|",F_Custom2_wrapped)),1,0),0))</f>
        <v>1</v>
      </c>
      <c r="F861">
        <f>D861*E861*1</f>
        <v>1</v>
      </c>
      <c r="G861">
        <f>1</f>
        <v>1</v>
      </c>
      <c r="H8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860)&amp;"|",All_Questions_Q_STREAM_F_wrapped)),1,0),0))*1</f>
        <v>1</v>
      </c>
    </row>
    <row r="862">
      <c r="A862" t="n">
        <v>861</v>
      </c>
      <c r="B862" t="inlineStr">
        <is>
          <t>A</t>
        </is>
      </c>
      <c r="C862">
        <f>1</f>
        <v>1</v>
      </c>
      <c r="D862">
        <f>IF(OR(F_Custom1_Q="(None)",F_Custom1_Q="",ISBLANK(F_Custom1_Q),F_Custom1_V="(All)",F_Custom1_V="",ISBLANK(F_Custom1_V)),1,IFERROR(IF(ISNUMBER(SEARCH("|"&amp;INDEX(INDIRECT(F_Custom1_resolved_column),861)&amp;"|",F_Custom1_wrapped)),1,0),0))</f>
        <v>1</v>
      </c>
      <c r="E862">
        <f>IF(OR(F_Custom2_Q="(None)",F_Custom2_Q="",ISBLANK(F_Custom2_Q),F_Custom2_V="(All)",F_Custom2_V="",ISBLANK(F_Custom2_V)),1,IFERROR(IF(ISNUMBER(SEARCH("|"&amp;INDEX(INDIRECT(F_Custom2_resolved_column),861)&amp;"|",F_Custom2_wrapped)),1,0),0))</f>
        <v>1</v>
      </c>
      <c r="F862">
        <f>D862*E862*1</f>
        <v>1</v>
      </c>
      <c r="G862">
        <f>1</f>
        <v>1</v>
      </c>
      <c r="H8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861)&amp;"|",All_Questions_Q_STREAM_F_wrapped)),1,0),0))*1</f>
        <v>1</v>
      </c>
    </row>
    <row r="863">
      <c r="A863" t="n">
        <v>862</v>
      </c>
      <c r="B863" t="inlineStr">
        <is>
          <t>B</t>
        </is>
      </c>
      <c r="C863">
        <f>1</f>
        <v>1</v>
      </c>
      <c r="D863">
        <f>IF(OR(F_Custom1_Q="(None)",F_Custom1_Q="",ISBLANK(F_Custom1_Q),F_Custom1_V="(All)",F_Custom1_V="",ISBLANK(F_Custom1_V)),1,IFERROR(IF(ISNUMBER(SEARCH("|"&amp;INDEX(INDIRECT(F_Custom1_resolved_column),862)&amp;"|",F_Custom1_wrapped)),1,0),0))</f>
        <v>1</v>
      </c>
      <c r="E863">
        <f>IF(OR(F_Custom2_Q="(None)",F_Custom2_Q="",ISBLANK(F_Custom2_Q),F_Custom2_V="(All)",F_Custom2_V="",ISBLANK(F_Custom2_V)),1,IFERROR(IF(ISNUMBER(SEARCH("|"&amp;INDEX(INDIRECT(F_Custom2_resolved_column),862)&amp;"|",F_Custom2_wrapped)),1,0),0))</f>
        <v>1</v>
      </c>
      <c r="F863">
        <f>D863*E863*1</f>
        <v>1</v>
      </c>
      <c r="G863">
        <f>1</f>
        <v>1</v>
      </c>
      <c r="H8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862)&amp;"|",All_Questions_Q_STREAM_F_wrapped)),1,0),0))*1</f>
        <v>1</v>
      </c>
    </row>
    <row r="864">
      <c r="A864" t="n">
        <v>863</v>
      </c>
      <c r="B864" t="inlineStr">
        <is>
          <t>A</t>
        </is>
      </c>
      <c r="C864">
        <f>1</f>
        <v>1</v>
      </c>
      <c r="D864">
        <f>IF(OR(F_Custom1_Q="(None)",F_Custom1_Q="",ISBLANK(F_Custom1_Q),F_Custom1_V="(All)",F_Custom1_V="",ISBLANK(F_Custom1_V)),1,IFERROR(IF(ISNUMBER(SEARCH("|"&amp;INDEX(INDIRECT(F_Custom1_resolved_column),863)&amp;"|",F_Custom1_wrapped)),1,0),0))</f>
        <v>1</v>
      </c>
      <c r="E864">
        <f>IF(OR(F_Custom2_Q="(None)",F_Custom2_Q="",ISBLANK(F_Custom2_Q),F_Custom2_V="(All)",F_Custom2_V="",ISBLANK(F_Custom2_V)),1,IFERROR(IF(ISNUMBER(SEARCH("|"&amp;INDEX(INDIRECT(F_Custom2_resolved_column),863)&amp;"|",F_Custom2_wrapped)),1,0),0))</f>
        <v>1</v>
      </c>
      <c r="F864">
        <f>D864*E864*1</f>
        <v>1</v>
      </c>
      <c r="G864">
        <f>1</f>
        <v>1</v>
      </c>
      <c r="H8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863)&amp;"|",All_Questions_Q_STREAM_F_wrapped)),1,0),0))*1</f>
        <v>1</v>
      </c>
    </row>
    <row r="865">
      <c r="A865" t="n">
        <v>864</v>
      </c>
      <c r="B865" t="inlineStr">
        <is>
          <t>B</t>
        </is>
      </c>
      <c r="C865">
        <f>1</f>
        <v>1</v>
      </c>
      <c r="D865">
        <f>IF(OR(F_Custom1_Q="(None)",F_Custom1_Q="",ISBLANK(F_Custom1_Q),F_Custom1_V="(All)",F_Custom1_V="",ISBLANK(F_Custom1_V)),1,IFERROR(IF(ISNUMBER(SEARCH("|"&amp;INDEX(INDIRECT(F_Custom1_resolved_column),864)&amp;"|",F_Custom1_wrapped)),1,0),0))</f>
        <v>1</v>
      </c>
      <c r="E865">
        <f>IF(OR(F_Custom2_Q="(None)",F_Custom2_Q="",ISBLANK(F_Custom2_Q),F_Custom2_V="(All)",F_Custom2_V="",ISBLANK(F_Custom2_V)),1,IFERROR(IF(ISNUMBER(SEARCH("|"&amp;INDEX(INDIRECT(F_Custom2_resolved_column),864)&amp;"|",F_Custom2_wrapped)),1,0),0))</f>
        <v>1</v>
      </c>
      <c r="F865">
        <f>D865*E865*1</f>
        <v>1</v>
      </c>
      <c r="G865">
        <f>1</f>
        <v>1</v>
      </c>
      <c r="H8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864)&amp;"|",All_Questions_Q_STREAM_F_wrapped)),1,0),0))*1</f>
        <v>1</v>
      </c>
    </row>
    <row r="866">
      <c r="A866" t="n">
        <v>865</v>
      </c>
      <c r="B866" t="inlineStr">
        <is>
          <t>A</t>
        </is>
      </c>
      <c r="C866">
        <f>1</f>
        <v>1</v>
      </c>
      <c r="D866">
        <f>IF(OR(F_Custom1_Q="(None)",F_Custom1_Q="",ISBLANK(F_Custom1_Q),F_Custom1_V="(All)",F_Custom1_V="",ISBLANK(F_Custom1_V)),1,IFERROR(IF(ISNUMBER(SEARCH("|"&amp;INDEX(INDIRECT(F_Custom1_resolved_column),865)&amp;"|",F_Custom1_wrapped)),1,0),0))</f>
        <v>1</v>
      </c>
      <c r="E866">
        <f>IF(OR(F_Custom2_Q="(None)",F_Custom2_Q="",ISBLANK(F_Custom2_Q),F_Custom2_V="(All)",F_Custom2_V="",ISBLANK(F_Custom2_V)),1,IFERROR(IF(ISNUMBER(SEARCH("|"&amp;INDEX(INDIRECT(F_Custom2_resolved_column),865)&amp;"|",F_Custom2_wrapped)),1,0),0))</f>
        <v>1</v>
      </c>
      <c r="F866">
        <f>D866*E866*1</f>
        <v>1</v>
      </c>
      <c r="G866">
        <f>1</f>
        <v>1</v>
      </c>
      <c r="H8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865)&amp;"|",All_Questions_Q_STREAM_F_wrapped)),1,0),0))*1</f>
        <v>1</v>
      </c>
    </row>
    <row r="867">
      <c r="A867" t="n">
        <v>866</v>
      </c>
      <c r="B867" t="inlineStr">
        <is>
          <t>B</t>
        </is>
      </c>
      <c r="C867">
        <f>1</f>
        <v>1</v>
      </c>
      <c r="D867">
        <f>IF(OR(F_Custom1_Q="(None)",F_Custom1_Q="",ISBLANK(F_Custom1_Q),F_Custom1_V="(All)",F_Custom1_V="",ISBLANK(F_Custom1_V)),1,IFERROR(IF(ISNUMBER(SEARCH("|"&amp;INDEX(INDIRECT(F_Custom1_resolved_column),866)&amp;"|",F_Custom1_wrapped)),1,0),0))</f>
        <v>1</v>
      </c>
      <c r="E867">
        <f>IF(OR(F_Custom2_Q="(None)",F_Custom2_Q="",ISBLANK(F_Custom2_Q),F_Custom2_V="(All)",F_Custom2_V="",ISBLANK(F_Custom2_V)),1,IFERROR(IF(ISNUMBER(SEARCH("|"&amp;INDEX(INDIRECT(F_Custom2_resolved_column),866)&amp;"|",F_Custom2_wrapped)),1,0),0))</f>
        <v>1</v>
      </c>
      <c r="F867">
        <f>D867*E867*1</f>
        <v>1</v>
      </c>
      <c r="G867">
        <f>1</f>
        <v>1</v>
      </c>
      <c r="H8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866)&amp;"|",All_Questions_Q_STREAM_F_wrapped)),1,0),0))*1</f>
        <v>1</v>
      </c>
    </row>
    <row r="868">
      <c r="A868" t="n">
        <v>867</v>
      </c>
      <c r="B868" t="inlineStr">
        <is>
          <t>A</t>
        </is>
      </c>
      <c r="C868">
        <f>1</f>
        <v>1</v>
      </c>
      <c r="D868">
        <f>IF(OR(F_Custom1_Q="(None)",F_Custom1_Q="",ISBLANK(F_Custom1_Q),F_Custom1_V="(All)",F_Custom1_V="",ISBLANK(F_Custom1_V)),1,IFERROR(IF(ISNUMBER(SEARCH("|"&amp;INDEX(INDIRECT(F_Custom1_resolved_column),867)&amp;"|",F_Custom1_wrapped)),1,0),0))</f>
        <v>1</v>
      </c>
      <c r="E868">
        <f>IF(OR(F_Custom2_Q="(None)",F_Custom2_Q="",ISBLANK(F_Custom2_Q),F_Custom2_V="(All)",F_Custom2_V="",ISBLANK(F_Custom2_V)),1,IFERROR(IF(ISNUMBER(SEARCH("|"&amp;INDEX(INDIRECT(F_Custom2_resolved_column),867)&amp;"|",F_Custom2_wrapped)),1,0),0))</f>
        <v>1</v>
      </c>
      <c r="F868">
        <f>D868*E868*1</f>
        <v>1</v>
      </c>
      <c r="G868">
        <f>1</f>
        <v>1</v>
      </c>
      <c r="H8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867)&amp;"|",All_Questions_Q_STREAM_F_wrapped)),1,0),0))*1</f>
        <v>1</v>
      </c>
    </row>
    <row r="869">
      <c r="A869" t="n">
        <v>868</v>
      </c>
      <c r="B869" t="inlineStr">
        <is>
          <t>B</t>
        </is>
      </c>
      <c r="C869">
        <f>1</f>
        <v>1</v>
      </c>
      <c r="D869">
        <f>IF(OR(F_Custom1_Q="(None)",F_Custom1_Q="",ISBLANK(F_Custom1_Q),F_Custom1_V="(All)",F_Custom1_V="",ISBLANK(F_Custom1_V)),1,IFERROR(IF(ISNUMBER(SEARCH("|"&amp;INDEX(INDIRECT(F_Custom1_resolved_column),868)&amp;"|",F_Custom1_wrapped)),1,0),0))</f>
        <v>1</v>
      </c>
      <c r="E869">
        <f>IF(OR(F_Custom2_Q="(None)",F_Custom2_Q="",ISBLANK(F_Custom2_Q),F_Custom2_V="(All)",F_Custom2_V="",ISBLANK(F_Custom2_V)),1,IFERROR(IF(ISNUMBER(SEARCH("|"&amp;INDEX(INDIRECT(F_Custom2_resolved_column),868)&amp;"|",F_Custom2_wrapped)),1,0),0))</f>
        <v>1</v>
      </c>
      <c r="F869">
        <f>D869*E869*1</f>
        <v>1</v>
      </c>
      <c r="G869">
        <f>1</f>
        <v>1</v>
      </c>
      <c r="H8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868)&amp;"|",All_Questions_Q_STREAM_F_wrapped)),1,0),0))*1</f>
        <v>1</v>
      </c>
    </row>
    <row r="870">
      <c r="A870" t="n">
        <v>869</v>
      </c>
      <c r="B870" t="inlineStr">
        <is>
          <t>A</t>
        </is>
      </c>
      <c r="C870">
        <f>1</f>
        <v>1</v>
      </c>
      <c r="D870">
        <f>IF(OR(F_Custom1_Q="(None)",F_Custom1_Q="",ISBLANK(F_Custom1_Q),F_Custom1_V="(All)",F_Custom1_V="",ISBLANK(F_Custom1_V)),1,IFERROR(IF(ISNUMBER(SEARCH("|"&amp;INDEX(INDIRECT(F_Custom1_resolved_column),869)&amp;"|",F_Custom1_wrapped)),1,0),0))</f>
        <v>1</v>
      </c>
      <c r="E870">
        <f>IF(OR(F_Custom2_Q="(None)",F_Custom2_Q="",ISBLANK(F_Custom2_Q),F_Custom2_V="(All)",F_Custom2_V="",ISBLANK(F_Custom2_V)),1,IFERROR(IF(ISNUMBER(SEARCH("|"&amp;INDEX(INDIRECT(F_Custom2_resolved_column),869)&amp;"|",F_Custom2_wrapped)),1,0),0))</f>
        <v>1</v>
      </c>
      <c r="F870">
        <f>D870*E870*1</f>
        <v>1</v>
      </c>
      <c r="G870">
        <f>1</f>
        <v>1</v>
      </c>
      <c r="H8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869)&amp;"|",All_Questions_Q_STREAM_F_wrapped)),1,0),0))*1</f>
        <v>1</v>
      </c>
    </row>
    <row r="871">
      <c r="A871" t="n">
        <v>870</v>
      </c>
      <c r="B871" t="inlineStr">
        <is>
          <t>B</t>
        </is>
      </c>
      <c r="C871">
        <f>1</f>
        <v>1</v>
      </c>
      <c r="D871">
        <f>IF(OR(F_Custom1_Q="(None)",F_Custom1_Q="",ISBLANK(F_Custom1_Q),F_Custom1_V="(All)",F_Custom1_V="",ISBLANK(F_Custom1_V)),1,IFERROR(IF(ISNUMBER(SEARCH("|"&amp;INDEX(INDIRECT(F_Custom1_resolved_column),870)&amp;"|",F_Custom1_wrapped)),1,0),0))</f>
        <v>1</v>
      </c>
      <c r="E871">
        <f>IF(OR(F_Custom2_Q="(None)",F_Custom2_Q="",ISBLANK(F_Custom2_Q),F_Custom2_V="(All)",F_Custom2_V="",ISBLANK(F_Custom2_V)),1,IFERROR(IF(ISNUMBER(SEARCH("|"&amp;INDEX(INDIRECT(F_Custom2_resolved_column),870)&amp;"|",F_Custom2_wrapped)),1,0),0))</f>
        <v>1</v>
      </c>
      <c r="F871">
        <f>D871*E871*1</f>
        <v>1</v>
      </c>
      <c r="G871">
        <f>1</f>
        <v>1</v>
      </c>
      <c r="H8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870)&amp;"|",All_Questions_Q_STREAM_F_wrapped)),1,0),0))*1</f>
        <v>1</v>
      </c>
    </row>
    <row r="872">
      <c r="A872" t="n">
        <v>871</v>
      </c>
      <c r="B872" t="inlineStr">
        <is>
          <t>A</t>
        </is>
      </c>
      <c r="C872">
        <f>1</f>
        <v>1</v>
      </c>
      <c r="D872">
        <f>IF(OR(F_Custom1_Q="(None)",F_Custom1_Q="",ISBLANK(F_Custom1_Q),F_Custom1_V="(All)",F_Custom1_V="",ISBLANK(F_Custom1_V)),1,IFERROR(IF(ISNUMBER(SEARCH("|"&amp;INDEX(INDIRECT(F_Custom1_resolved_column),871)&amp;"|",F_Custom1_wrapped)),1,0),0))</f>
        <v>1</v>
      </c>
      <c r="E872">
        <f>IF(OR(F_Custom2_Q="(None)",F_Custom2_Q="",ISBLANK(F_Custom2_Q),F_Custom2_V="(All)",F_Custom2_V="",ISBLANK(F_Custom2_V)),1,IFERROR(IF(ISNUMBER(SEARCH("|"&amp;INDEX(INDIRECT(F_Custom2_resolved_column),871)&amp;"|",F_Custom2_wrapped)),1,0),0))</f>
        <v>1</v>
      </c>
      <c r="F872">
        <f>D872*E872*1</f>
        <v>1</v>
      </c>
      <c r="G872">
        <f>1</f>
        <v>1</v>
      </c>
      <c r="H8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871)&amp;"|",All_Questions_Q_STREAM_F_wrapped)),1,0),0))*1</f>
        <v>1</v>
      </c>
    </row>
    <row r="873">
      <c r="A873" t="n">
        <v>872</v>
      </c>
      <c r="B873" t="inlineStr">
        <is>
          <t>B</t>
        </is>
      </c>
      <c r="C873">
        <f>1</f>
        <v>1</v>
      </c>
      <c r="D873">
        <f>IF(OR(F_Custom1_Q="(None)",F_Custom1_Q="",ISBLANK(F_Custom1_Q),F_Custom1_V="(All)",F_Custom1_V="",ISBLANK(F_Custom1_V)),1,IFERROR(IF(ISNUMBER(SEARCH("|"&amp;INDEX(INDIRECT(F_Custom1_resolved_column),872)&amp;"|",F_Custom1_wrapped)),1,0),0))</f>
        <v>1</v>
      </c>
      <c r="E873">
        <f>IF(OR(F_Custom2_Q="(None)",F_Custom2_Q="",ISBLANK(F_Custom2_Q),F_Custom2_V="(All)",F_Custom2_V="",ISBLANK(F_Custom2_V)),1,IFERROR(IF(ISNUMBER(SEARCH("|"&amp;INDEX(INDIRECT(F_Custom2_resolved_column),872)&amp;"|",F_Custom2_wrapped)),1,0),0))</f>
        <v>1</v>
      </c>
      <c r="F873">
        <f>D873*E873*1</f>
        <v>1</v>
      </c>
      <c r="G873">
        <f>1</f>
        <v>1</v>
      </c>
      <c r="H8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872)&amp;"|",All_Questions_Q_STREAM_F_wrapped)),1,0),0))*1</f>
        <v>1</v>
      </c>
    </row>
    <row r="874">
      <c r="A874" t="n">
        <v>873</v>
      </c>
      <c r="B874" t="inlineStr">
        <is>
          <t>A</t>
        </is>
      </c>
      <c r="C874">
        <f>1</f>
        <v>1</v>
      </c>
      <c r="D874">
        <f>IF(OR(F_Custom1_Q="(None)",F_Custom1_Q="",ISBLANK(F_Custom1_Q),F_Custom1_V="(All)",F_Custom1_V="",ISBLANK(F_Custom1_V)),1,IFERROR(IF(ISNUMBER(SEARCH("|"&amp;INDEX(INDIRECT(F_Custom1_resolved_column),873)&amp;"|",F_Custom1_wrapped)),1,0),0))</f>
        <v>1</v>
      </c>
      <c r="E874">
        <f>IF(OR(F_Custom2_Q="(None)",F_Custom2_Q="",ISBLANK(F_Custom2_Q),F_Custom2_V="(All)",F_Custom2_V="",ISBLANK(F_Custom2_V)),1,IFERROR(IF(ISNUMBER(SEARCH("|"&amp;INDEX(INDIRECT(F_Custom2_resolved_column),873)&amp;"|",F_Custom2_wrapped)),1,0),0))</f>
        <v>1</v>
      </c>
      <c r="F874">
        <f>D874*E874*1</f>
        <v>1</v>
      </c>
      <c r="G874">
        <f>1</f>
        <v>1</v>
      </c>
      <c r="H8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873)&amp;"|",All_Questions_Q_STREAM_F_wrapped)),1,0),0))*1</f>
        <v>1</v>
      </c>
    </row>
    <row r="875">
      <c r="A875" t="n">
        <v>874</v>
      </c>
      <c r="B875" t="inlineStr">
        <is>
          <t>B</t>
        </is>
      </c>
      <c r="C875">
        <f>1</f>
        <v>1</v>
      </c>
      <c r="D875">
        <f>IF(OR(F_Custom1_Q="(None)",F_Custom1_Q="",ISBLANK(F_Custom1_Q),F_Custom1_V="(All)",F_Custom1_V="",ISBLANK(F_Custom1_V)),1,IFERROR(IF(ISNUMBER(SEARCH("|"&amp;INDEX(INDIRECT(F_Custom1_resolved_column),874)&amp;"|",F_Custom1_wrapped)),1,0),0))</f>
        <v>1</v>
      </c>
      <c r="E875">
        <f>IF(OR(F_Custom2_Q="(None)",F_Custom2_Q="",ISBLANK(F_Custom2_Q),F_Custom2_V="(All)",F_Custom2_V="",ISBLANK(F_Custom2_V)),1,IFERROR(IF(ISNUMBER(SEARCH("|"&amp;INDEX(INDIRECT(F_Custom2_resolved_column),874)&amp;"|",F_Custom2_wrapped)),1,0),0))</f>
        <v>1</v>
      </c>
      <c r="F875">
        <f>D875*E875*1</f>
        <v>1</v>
      </c>
      <c r="G875">
        <f>1</f>
        <v>1</v>
      </c>
      <c r="H8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874)&amp;"|",All_Questions_Q_STREAM_F_wrapped)),1,0),0))*1</f>
        <v>1</v>
      </c>
    </row>
    <row r="876">
      <c r="A876" t="n">
        <v>875</v>
      </c>
      <c r="B876" t="inlineStr">
        <is>
          <t>A</t>
        </is>
      </c>
      <c r="C876">
        <f>1</f>
        <v>1</v>
      </c>
      <c r="D876">
        <f>IF(OR(F_Custom1_Q="(None)",F_Custom1_Q="",ISBLANK(F_Custom1_Q),F_Custom1_V="(All)",F_Custom1_V="",ISBLANK(F_Custom1_V)),1,IFERROR(IF(ISNUMBER(SEARCH("|"&amp;INDEX(INDIRECT(F_Custom1_resolved_column),875)&amp;"|",F_Custom1_wrapped)),1,0),0))</f>
        <v>1</v>
      </c>
      <c r="E876">
        <f>IF(OR(F_Custom2_Q="(None)",F_Custom2_Q="",ISBLANK(F_Custom2_Q),F_Custom2_V="(All)",F_Custom2_V="",ISBLANK(F_Custom2_V)),1,IFERROR(IF(ISNUMBER(SEARCH("|"&amp;INDEX(INDIRECT(F_Custom2_resolved_column),875)&amp;"|",F_Custom2_wrapped)),1,0),0))</f>
        <v>1</v>
      </c>
      <c r="F876">
        <f>D876*E876*1</f>
        <v>1</v>
      </c>
      <c r="G876">
        <f>1</f>
        <v>1</v>
      </c>
      <c r="H8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875)&amp;"|",All_Questions_Q_STREAM_F_wrapped)),1,0),0))*1</f>
        <v>1</v>
      </c>
    </row>
    <row r="877">
      <c r="A877" t="n">
        <v>876</v>
      </c>
      <c r="B877" t="inlineStr">
        <is>
          <t>B</t>
        </is>
      </c>
      <c r="C877">
        <f>1</f>
        <v>1</v>
      </c>
      <c r="D877">
        <f>IF(OR(F_Custom1_Q="(None)",F_Custom1_Q="",ISBLANK(F_Custom1_Q),F_Custom1_V="(All)",F_Custom1_V="",ISBLANK(F_Custom1_V)),1,IFERROR(IF(ISNUMBER(SEARCH("|"&amp;INDEX(INDIRECT(F_Custom1_resolved_column),876)&amp;"|",F_Custom1_wrapped)),1,0),0))</f>
        <v>1</v>
      </c>
      <c r="E877">
        <f>IF(OR(F_Custom2_Q="(None)",F_Custom2_Q="",ISBLANK(F_Custom2_Q),F_Custom2_V="(All)",F_Custom2_V="",ISBLANK(F_Custom2_V)),1,IFERROR(IF(ISNUMBER(SEARCH("|"&amp;INDEX(INDIRECT(F_Custom2_resolved_column),876)&amp;"|",F_Custom2_wrapped)),1,0),0))</f>
        <v>1</v>
      </c>
      <c r="F877">
        <f>D877*E877*1</f>
        <v>1</v>
      </c>
      <c r="G877">
        <f>1</f>
        <v>1</v>
      </c>
      <c r="H8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876)&amp;"|",All_Questions_Q_STREAM_F_wrapped)),1,0),0))*1</f>
        <v>1</v>
      </c>
    </row>
    <row r="878">
      <c r="A878" t="n">
        <v>877</v>
      </c>
      <c r="B878" t="inlineStr">
        <is>
          <t>A</t>
        </is>
      </c>
      <c r="C878">
        <f>1</f>
        <v>1</v>
      </c>
      <c r="D878">
        <f>IF(OR(F_Custom1_Q="(None)",F_Custom1_Q="",ISBLANK(F_Custom1_Q),F_Custom1_V="(All)",F_Custom1_V="",ISBLANK(F_Custom1_V)),1,IFERROR(IF(ISNUMBER(SEARCH("|"&amp;INDEX(INDIRECT(F_Custom1_resolved_column),877)&amp;"|",F_Custom1_wrapped)),1,0),0))</f>
        <v>1</v>
      </c>
      <c r="E878">
        <f>IF(OR(F_Custom2_Q="(None)",F_Custom2_Q="",ISBLANK(F_Custom2_Q),F_Custom2_V="(All)",F_Custom2_V="",ISBLANK(F_Custom2_V)),1,IFERROR(IF(ISNUMBER(SEARCH("|"&amp;INDEX(INDIRECT(F_Custom2_resolved_column),877)&amp;"|",F_Custom2_wrapped)),1,0),0))</f>
        <v>1</v>
      </c>
      <c r="F878">
        <f>D878*E878*1</f>
        <v>1</v>
      </c>
      <c r="G878">
        <f>1</f>
        <v>1</v>
      </c>
      <c r="H8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877)&amp;"|",All_Questions_Q_STREAM_F_wrapped)),1,0),0))*1</f>
        <v>1</v>
      </c>
    </row>
    <row r="879">
      <c r="A879" t="n">
        <v>878</v>
      </c>
      <c r="B879" t="inlineStr">
        <is>
          <t>B</t>
        </is>
      </c>
      <c r="C879">
        <f>1</f>
        <v>1</v>
      </c>
      <c r="D879">
        <f>IF(OR(F_Custom1_Q="(None)",F_Custom1_Q="",ISBLANK(F_Custom1_Q),F_Custom1_V="(All)",F_Custom1_V="",ISBLANK(F_Custom1_V)),1,IFERROR(IF(ISNUMBER(SEARCH("|"&amp;INDEX(INDIRECT(F_Custom1_resolved_column),878)&amp;"|",F_Custom1_wrapped)),1,0),0))</f>
        <v>1</v>
      </c>
      <c r="E879">
        <f>IF(OR(F_Custom2_Q="(None)",F_Custom2_Q="",ISBLANK(F_Custom2_Q),F_Custom2_V="(All)",F_Custom2_V="",ISBLANK(F_Custom2_V)),1,IFERROR(IF(ISNUMBER(SEARCH("|"&amp;INDEX(INDIRECT(F_Custom2_resolved_column),878)&amp;"|",F_Custom2_wrapped)),1,0),0))</f>
        <v>1</v>
      </c>
      <c r="F879">
        <f>D879*E879*1</f>
        <v>1</v>
      </c>
      <c r="G879">
        <f>1</f>
        <v>1</v>
      </c>
      <c r="H8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878)&amp;"|",All_Questions_Q_STREAM_F_wrapped)),1,0),0))*1</f>
        <v>1</v>
      </c>
    </row>
    <row r="880">
      <c r="A880" t="n">
        <v>879</v>
      </c>
      <c r="B880" t="inlineStr">
        <is>
          <t>A</t>
        </is>
      </c>
      <c r="C880">
        <f>1</f>
        <v>1</v>
      </c>
      <c r="D880">
        <f>IF(OR(F_Custom1_Q="(None)",F_Custom1_Q="",ISBLANK(F_Custom1_Q),F_Custom1_V="(All)",F_Custom1_V="",ISBLANK(F_Custom1_V)),1,IFERROR(IF(ISNUMBER(SEARCH("|"&amp;INDEX(INDIRECT(F_Custom1_resolved_column),879)&amp;"|",F_Custom1_wrapped)),1,0),0))</f>
        <v>1</v>
      </c>
      <c r="E880">
        <f>IF(OR(F_Custom2_Q="(None)",F_Custom2_Q="",ISBLANK(F_Custom2_Q),F_Custom2_V="(All)",F_Custom2_V="",ISBLANK(F_Custom2_V)),1,IFERROR(IF(ISNUMBER(SEARCH("|"&amp;INDEX(INDIRECT(F_Custom2_resolved_column),879)&amp;"|",F_Custom2_wrapped)),1,0),0))</f>
        <v>1</v>
      </c>
      <c r="F880">
        <f>D880*E880*1</f>
        <v>1</v>
      </c>
      <c r="G880">
        <f>1</f>
        <v>1</v>
      </c>
      <c r="H8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879)&amp;"|",All_Questions_Q_STREAM_F_wrapped)),1,0),0))*1</f>
        <v>1</v>
      </c>
    </row>
    <row r="881">
      <c r="A881" t="n">
        <v>880</v>
      </c>
      <c r="B881" t="inlineStr">
        <is>
          <t>B</t>
        </is>
      </c>
      <c r="C881">
        <f>1</f>
        <v>1</v>
      </c>
      <c r="D881">
        <f>IF(OR(F_Custom1_Q="(None)",F_Custom1_Q="",ISBLANK(F_Custom1_Q),F_Custom1_V="(All)",F_Custom1_V="",ISBLANK(F_Custom1_V)),1,IFERROR(IF(ISNUMBER(SEARCH("|"&amp;INDEX(INDIRECT(F_Custom1_resolved_column),880)&amp;"|",F_Custom1_wrapped)),1,0),0))</f>
        <v>1</v>
      </c>
      <c r="E881">
        <f>IF(OR(F_Custom2_Q="(None)",F_Custom2_Q="",ISBLANK(F_Custom2_Q),F_Custom2_V="(All)",F_Custom2_V="",ISBLANK(F_Custom2_V)),1,IFERROR(IF(ISNUMBER(SEARCH("|"&amp;INDEX(INDIRECT(F_Custom2_resolved_column),880)&amp;"|",F_Custom2_wrapped)),1,0),0))</f>
        <v>1</v>
      </c>
      <c r="F881">
        <f>D881*E881*1</f>
        <v>1</v>
      </c>
      <c r="G881">
        <f>1</f>
        <v>1</v>
      </c>
      <c r="H8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880)&amp;"|",All_Questions_Q_STREAM_F_wrapped)),1,0),0))*1</f>
        <v>1</v>
      </c>
    </row>
    <row r="882">
      <c r="A882" t="n">
        <v>881</v>
      </c>
      <c r="B882" t="inlineStr">
        <is>
          <t>A</t>
        </is>
      </c>
      <c r="C882">
        <f>1</f>
        <v>1</v>
      </c>
      <c r="D882">
        <f>IF(OR(F_Custom1_Q="(None)",F_Custom1_Q="",ISBLANK(F_Custom1_Q),F_Custom1_V="(All)",F_Custom1_V="",ISBLANK(F_Custom1_V)),1,IFERROR(IF(ISNUMBER(SEARCH("|"&amp;INDEX(INDIRECT(F_Custom1_resolved_column),881)&amp;"|",F_Custom1_wrapped)),1,0),0))</f>
        <v>1</v>
      </c>
      <c r="E882">
        <f>IF(OR(F_Custom2_Q="(None)",F_Custom2_Q="",ISBLANK(F_Custom2_Q),F_Custom2_V="(All)",F_Custom2_V="",ISBLANK(F_Custom2_V)),1,IFERROR(IF(ISNUMBER(SEARCH("|"&amp;INDEX(INDIRECT(F_Custom2_resolved_column),881)&amp;"|",F_Custom2_wrapped)),1,0),0))</f>
        <v>1</v>
      </c>
      <c r="F882">
        <f>D882*E882*1</f>
        <v>1</v>
      </c>
      <c r="G882">
        <f>1</f>
        <v>1</v>
      </c>
      <c r="H8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881)&amp;"|",All_Questions_Q_STREAM_F_wrapped)),1,0),0))*1</f>
        <v>1</v>
      </c>
    </row>
    <row r="883">
      <c r="A883" t="n">
        <v>882</v>
      </c>
      <c r="B883" t="inlineStr">
        <is>
          <t>B</t>
        </is>
      </c>
      <c r="C883">
        <f>1</f>
        <v>1</v>
      </c>
      <c r="D883">
        <f>IF(OR(F_Custom1_Q="(None)",F_Custom1_Q="",ISBLANK(F_Custom1_Q),F_Custom1_V="(All)",F_Custom1_V="",ISBLANK(F_Custom1_V)),1,IFERROR(IF(ISNUMBER(SEARCH("|"&amp;INDEX(INDIRECT(F_Custom1_resolved_column),882)&amp;"|",F_Custom1_wrapped)),1,0),0))</f>
        <v>1</v>
      </c>
      <c r="E883">
        <f>IF(OR(F_Custom2_Q="(None)",F_Custom2_Q="",ISBLANK(F_Custom2_Q),F_Custom2_V="(All)",F_Custom2_V="",ISBLANK(F_Custom2_V)),1,IFERROR(IF(ISNUMBER(SEARCH("|"&amp;INDEX(INDIRECT(F_Custom2_resolved_column),882)&amp;"|",F_Custom2_wrapped)),1,0),0))</f>
        <v>1</v>
      </c>
      <c r="F883">
        <f>D883*E883*1</f>
        <v>1</v>
      </c>
      <c r="G883">
        <f>1</f>
        <v>1</v>
      </c>
      <c r="H8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882)&amp;"|",All_Questions_Q_STREAM_F_wrapped)),1,0),0))*1</f>
        <v>1</v>
      </c>
    </row>
    <row r="884">
      <c r="A884" t="n">
        <v>883</v>
      </c>
      <c r="B884" t="inlineStr">
        <is>
          <t>A</t>
        </is>
      </c>
      <c r="C884">
        <f>1</f>
        <v>1</v>
      </c>
      <c r="D884">
        <f>IF(OR(F_Custom1_Q="(None)",F_Custom1_Q="",ISBLANK(F_Custom1_Q),F_Custom1_V="(All)",F_Custom1_V="",ISBLANK(F_Custom1_V)),1,IFERROR(IF(ISNUMBER(SEARCH("|"&amp;INDEX(INDIRECT(F_Custom1_resolved_column),883)&amp;"|",F_Custom1_wrapped)),1,0),0))</f>
        <v>1</v>
      </c>
      <c r="E884">
        <f>IF(OR(F_Custom2_Q="(None)",F_Custom2_Q="",ISBLANK(F_Custom2_Q),F_Custom2_V="(All)",F_Custom2_V="",ISBLANK(F_Custom2_V)),1,IFERROR(IF(ISNUMBER(SEARCH("|"&amp;INDEX(INDIRECT(F_Custom2_resolved_column),883)&amp;"|",F_Custom2_wrapped)),1,0),0))</f>
        <v>1</v>
      </c>
      <c r="F884">
        <f>D884*E884*1</f>
        <v>1</v>
      </c>
      <c r="G884">
        <f>1</f>
        <v>1</v>
      </c>
      <c r="H8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883)&amp;"|",All_Questions_Q_STREAM_F_wrapped)),1,0),0))*1</f>
        <v>1</v>
      </c>
    </row>
    <row r="885">
      <c r="A885" t="n">
        <v>884</v>
      </c>
      <c r="B885" t="inlineStr">
        <is>
          <t>B</t>
        </is>
      </c>
      <c r="C885">
        <f>1</f>
        <v>1</v>
      </c>
      <c r="D885">
        <f>IF(OR(F_Custom1_Q="(None)",F_Custom1_Q="",ISBLANK(F_Custom1_Q),F_Custom1_V="(All)",F_Custom1_V="",ISBLANK(F_Custom1_V)),1,IFERROR(IF(ISNUMBER(SEARCH("|"&amp;INDEX(INDIRECT(F_Custom1_resolved_column),884)&amp;"|",F_Custom1_wrapped)),1,0),0))</f>
        <v>1</v>
      </c>
      <c r="E885">
        <f>IF(OR(F_Custom2_Q="(None)",F_Custom2_Q="",ISBLANK(F_Custom2_Q),F_Custom2_V="(All)",F_Custom2_V="",ISBLANK(F_Custom2_V)),1,IFERROR(IF(ISNUMBER(SEARCH("|"&amp;INDEX(INDIRECT(F_Custom2_resolved_column),884)&amp;"|",F_Custom2_wrapped)),1,0),0))</f>
        <v>1</v>
      </c>
      <c r="F885">
        <f>D885*E885*1</f>
        <v>1</v>
      </c>
      <c r="G885">
        <f>1</f>
        <v>1</v>
      </c>
      <c r="H8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884)&amp;"|",All_Questions_Q_STREAM_F_wrapped)),1,0),0))*1</f>
        <v>1</v>
      </c>
    </row>
    <row r="886">
      <c r="A886" t="n">
        <v>885</v>
      </c>
      <c r="B886" t="inlineStr">
        <is>
          <t>A</t>
        </is>
      </c>
      <c r="C886">
        <f>1</f>
        <v>1</v>
      </c>
      <c r="D886">
        <f>IF(OR(F_Custom1_Q="(None)",F_Custom1_Q="",ISBLANK(F_Custom1_Q),F_Custom1_V="(All)",F_Custom1_V="",ISBLANK(F_Custom1_V)),1,IFERROR(IF(ISNUMBER(SEARCH("|"&amp;INDEX(INDIRECT(F_Custom1_resolved_column),885)&amp;"|",F_Custom1_wrapped)),1,0),0))</f>
        <v>1</v>
      </c>
      <c r="E886">
        <f>IF(OR(F_Custom2_Q="(None)",F_Custom2_Q="",ISBLANK(F_Custom2_Q),F_Custom2_V="(All)",F_Custom2_V="",ISBLANK(F_Custom2_V)),1,IFERROR(IF(ISNUMBER(SEARCH("|"&amp;INDEX(INDIRECT(F_Custom2_resolved_column),885)&amp;"|",F_Custom2_wrapped)),1,0),0))</f>
        <v>1</v>
      </c>
      <c r="F886">
        <f>D886*E886*1</f>
        <v>1</v>
      </c>
      <c r="G886">
        <f>1</f>
        <v>1</v>
      </c>
      <c r="H8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885)&amp;"|",All_Questions_Q_STREAM_F_wrapped)),1,0),0))*1</f>
        <v>1</v>
      </c>
    </row>
    <row r="887">
      <c r="A887" t="n">
        <v>886</v>
      </c>
      <c r="B887" t="inlineStr">
        <is>
          <t>B</t>
        </is>
      </c>
      <c r="C887">
        <f>1</f>
        <v>1</v>
      </c>
      <c r="D887">
        <f>IF(OR(F_Custom1_Q="(None)",F_Custom1_Q="",ISBLANK(F_Custom1_Q),F_Custom1_V="(All)",F_Custom1_V="",ISBLANK(F_Custom1_V)),1,IFERROR(IF(ISNUMBER(SEARCH("|"&amp;INDEX(INDIRECT(F_Custom1_resolved_column),886)&amp;"|",F_Custom1_wrapped)),1,0),0))</f>
        <v>1</v>
      </c>
      <c r="E887">
        <f>IF(OR(F_Custom2_Q="(None)",F_Custom2_Q="",ISBLANK(F_Custom2_Q),F_Custom2_V="(All)",F_Custom2_V="",ISBLANK(F_Custom2_V)),1,IFERROR(IF(ISNUMBER(SEARCH("|"&amp;INDEX(INDIRECT(F_Custom2_resolved_column),886)&amp;"|",F_Custom2_wrapped)),1,0),0))</f>
        <v>1</v>
      </c>
      <c r="F887">
        <f>D887*E887*1</f>
        <v>1</v>
      </c>
      <c r="G887">
        <f>1</f>
        <v>1</v>
      </c>
      <c r="H8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886)&amp;"|",All_Questions_Q_STREAM_F_wrapped)),1,0),0))*1</f>
        <v>1</v>
      </c>
    </row>
    <row r="888">
      <c r="A888" t="n">
        <v>887</v>
      </c>
      <c r="B888" t="inlineStr">
        <is>
          <t>A</t>
        </is>
      </c>
      <c r="C888">
        <f>1</f>
        <v>1</v>
      </c>
      <c r="D888">
        <f>IF(OR(F_Custom1_Q="(None)",F_Custom1_Q="",ISBLANK(F_Custom1_Q),F_Custom1_V="(All)",F_Custom1_V="",ISBLANK(F_Custom1_V)),1,IFERROR(IF(ISNUMBER(SEARCH("|"&amp;INDEX(INDIRECT(F_Custom1_resolved_column),887)&amp;"|",F_Custom1_wrapped)),1,0),0))</f>
        <v>1</v>
      </c>
      <c r="E888">
        <f>IF(OR(F_Custom2_Q="(None)",F_Custom2_Q="",ISBLANK(F_Custom2_Q),F_Custom2_V="(All)",F_Custom2_V="",ISBLANK(F_Custom2_V)),1,IFERROR(IF(ISNUMBER(SEARCH("|"&amp;INDEX(INDIRECT(F_Custom2_resolved_column),887)&amp;"|",F_Custom2_wrapped)),1,0),0))</f>
        <v>1</v>
      </c>
      <c r="F888">
        <f>D888*E888*1</f>
        <v>1</v>
      </c>
      <c r="G888">
        <f>1</f>
        <v>1</v>
      </c>
      <c r="H8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887)&amp;"|",All_Questions_Q_STREAM_F_wrapped)),1,0),0))*1</f>
        <v>1</v>
      </c>
    </row>
    <row r="889">
      <c r="A889" t="n">
        <v>888</v>
      </c>
      <c r="B889" t="inlineStr">
        <is>
          <t>B</t>
        </is>
      </c>
      <c r="C889">
        <f>1</f>
        <v>1</v>
      </c>
      <c r="D889">
        <f>IF(OR(F_Custom1_Q="(None)",F_Custom1_Q="",ISBLANK(F_Custom1_Q),F_Custom1_V="(All)",F_Custom1_V="",ISBLANK(F_Custom1_V)),1,IFERROR(IF(ISNUMBER(SEARCH("|"&amp;INDEX(INDIRECT(F_Custom1_resolved_column),888)&amp;"|",F_Custom1_wrapped)),1,0),0))</f>
        <v>1</v>
      </c>
      <c r="E889">
        <f>IF(OR(F_Custom2_Q="(None)",F_Custom2_Q="",ISBLANK(F_Custom2_Q),F_Custom2_V="(All)",F_Custom2_V="",ISBLANK(F_Custom2_V)),1,IFERROR(IF(ISNUMBER(SEARCH("|"&amp;INDEX(INDIRECT(F_Custom2_resolved_column),888)&amp;"|",F_Custom2_wrapped)),1,0),0))</f>
        <v>1</v>
      </c>
      <c r="F889">
        <f>D889*E889*1</f>
        <v>1</v>
      </c>
      <c r="G889">
        <f>1</f>
        <v>1</v>
      </c>
      <c r="H8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888)&amp;"|",All_Questions_Q_STREAM_F_wrapped)),1,0),0))*1</f>
        <v>1</v>
      </c>
    </row>
    <row r="890">
      <c r="A890" t="n">
        <v>889</v>
      </c>
      <c r="B890" t="inlineStr">
        <is>
          <t>A</t>
        </is>
      </c>
      <c r="C890">
        <f>1</f>
        <v>1</v>
      </c>
      <c r="D890">
        <f>IF(OR(F_Custom1_Q="(None)",F_Custom1_Q="",ISBLANK(F_Custom1_Q),F_Custom1_V="(All)",F_Custom1_V="",ISBLANK(F_Custom1_V)),1,IFERROR(IF(ISNUMBER(SEARCH("|"&amp;INDEX(INDIRECT(F_Custom1_resolved_column),889)&amp;"|",F_Custom1_wrapped)),1,0),0))</f>
        <v>1</v>
      </c>
      <c r="E890">
        <f>IF(OR(F_Custom2_Q="(None)",F_Custom2_Q="",ISBLANK(F_Custom2_Q),F_Custom2_V="(All)",F_Custom2_V="",ISBLANK(F_Custom2_V)),1,IFERROR(IF(ISNUMBER(SEARCH("|"&amp;INDEX(INDIRECT(F_Custom2_resolved_column),889)&amp;"|",F_Custom2_wrapped)),1,0),0))</f>
        <v>1</v>
      </c>
      <c r="F890">
        <f>D890*E890*1</f>
        <v>1</v>
      </c>
      <c r="G890">
        <f>1</f>
        <v>1</v>
      </c>
      <c r="H8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889)&amp;"|",All_Questions_Q_STREAM_F_wrapped)),1,0),0))*1</f>
        <v>1</v>
      </c>
    </row>
    <row r="891">
      <c r="A891" t="n">
        <v>890</v>
      </c>
      <c r="B891" t="inlineStr">
        <is>
          <t>B</t>
        </is>
      </c>
      <c r="C891">
        <f>1</f>
        <v>1</v>
      </c>
      <c r="D891">
        <f>IF(OR(F_Custom1_Q="(None)",F_Custom1_Q="",ISBLANK(F_Custom1_Q),F_Custom1_V="(All)",F_Custom1_V="",ISBLANK(F_Custom1_V)),1,IFERROR(IF(ISNUMBER(SEARCH("|"&amp;INDEX(INDIRECT(F_Custom1_resolved_column),890)&amp;"|",F_Custom1_wrapped)),1,0),0))</f>
        <v>1</v>
      </c>
      <c r="E891">
        <f>IF(OR(F_Custom2_Q="(None)",F_Custom2_Q="",ISBLANK(F_Custom2_Q),F_Custom2_V="(All)",F_Custom2_V="",ISBLANK(F_Custom2_V)),1,IFERROR(IF(ISNUMBER(SEARCH("|"&amp;INDEX(INDIRECT(F_Custom2_resolved_column),890)&amp;"|",F_Custom2_wrapped)),1,0),0))</f>
        <v>1</v>
      </c>
      <c r="F891">
        <f>D891*E891*1</f>
        <v>1</v>
      </c>
      <c r="G891">
        <f>1</f>
        <v>1</v>
      </c>
      <c r="H8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890)&amp;"|",All_Questions_Q_STREAM_F_wrapped)),1,0),0))*1</f>
        <v>1</v>
      </c>
    </row>
    <row r="892">
      <c r="A892" t="n">
        <v>891</v>
      </c>
      <c r="B892" t="inlineStr">
        <is>
          <t>A</t>
        </is>
      </c>
      <c r="C892">
        <f>1</f>
        <v>1</v>
      </c>
      <c r="D892">
        <f>IF(OR(F_Custom1_Q="(None)",F_Custom1_Q="",ISBLANK(F_Custom1_Q),F_Custom1_V="(All)",F_Custom1_V="",ISBLANK(F_Custom1_V)),1,IFERROR(IF(ISNUMBER(SEARCH("|"&amp;INDEX(INDIRECT(F_Custom1_resolved_column),891)&amp;"|",F_Custom1_wrapped)),1,0),0))</f>
        <v>1</v>
      </c>
      <c r="E892">
        <f>IF(OR(F_Custom2_Q="(None)",F_Custom2_Q="",ISBLANK(F_Custom2_Q),F_Custom2_V="(All)",F_Custom2_V="",ISBLANK(F_Custom2_V)),1,IFERROR(IF(ISNUMBER(SEARCH("|"&amp;INDEX(INDIRECT(F_Custom2_resolved_column),891)&amp;"|",F_Custom2_wrapped)),1,0),0))</f>
        <v>1</v>
      </c>
      <c r="F892">
        <f>D892*E892*1</f>
        <v>1</v>
      </c>
      <c r="G892">
        <f>1</f>
        <v>1</v>
      </c>
      <c r="H8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891)&amp;"|",All_Questions_Q_STREAM_F_wrapped)),1,0),0))*1</f>
        <v>1</v>
      </c>
    </row>
    <row r="893">
      <c r="A893" t="n">
        <v>892</v>
      </c>
      <c r="B893" t="inlineStr">
        <is>
          <t>B</t>
        </is>
      </c>
      <c r="C893">
        <f>1</f>
        <v>1</v>
      </c>
      <c r="D893">
        <f>IF(OR(F_Custom1_Q="(None)",F_Custom1_Q="",ISBLANK(F_Custom1_Q),F_Custom1_V="(All)",F_Custom1_V="",ISBLANK(F_Custom1_V)),1,IFERROR(IF(ISNUMBER(SEARCH("|"&amp;INDEX(INDIRECT(F_Custom1_resolved_column),892)&amp;"|",F_Custom1_wrapped)),1,0),0))</f>
        <v>1</v>
      </c>
      <c r="E893">
        <f>IF(OR(F_Custom2_Q="(None)",F_Custom2_Q="",ISBLANK(F_Custom2_Q),F_Custom2_V="(All)",F_Custom2_V="",ISBLANK(F_Custom2_V)),1,IFERROR(IF(ISNUMBER(SEARCH("|"&amp;INDEX(INDIRECT(F_Custom2_resolved_column),892)&amp;"|",F_Custom2_wrapped)),1,0),0))</f>
        <v>1</v>
      </c>
      <c r="F893">
        <f>D893*E893*1</f>
        <v>1</v>
      </c>
      <c r="G893">
        <f>1</f>
        <v>1</v>
      </c>
      <c r="H8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892)&amp;"|",All_Questions_Q_STREAM_F_wrapped)),1,0),0))*1</f>
        <v>1</v>
      </c>
    </row>
    <row r="894">
      <c r="A894" t="n">
        <v>893</v>
      </c>
      <c r="B894" t="inlineStr">
        <is>
          <t>A</t>
        </is>
      </c>
      <c r="C894">
        <f>1</f>
        <v>1</v>
      </c>
      <c r="D894">
        <f>IF(OR(F_Custom1_Q="(None)",F_Custom1_Q="",ISBLANK(F_Custom1_Q),F_Custom1_V="(All)",F_Custom1_V="",ISBLANK(F_Custom1_V)),1,IFERROR(IF(ISNUMBER(SEARCH("|"&amp;INDEX(INDIRECT(F_Custom1_resolved_column),893)&amp;"|",F_Custom1_wrapped)),1,0),0))</f>
        <v>1</v>
      </c>
      <c r="E894">
        <f>IF(OR(F_Custom2_Q="(None)",F_Custom2_Q="",ISBLANK(F_Custom2_Q),F_Custom2_V="(All)",F_Custom2_V="",ISBLANK(F_Custom2_V)),1,IFERROR(IF(ISNUMBER(SEARCH("|"&amp;INDEX(INDIRECT(F_Custom2_resolved_column),893)&amp;"|",F_Custom2_wrapped)),1,0),0))</f>
        <v>1</v>
      </c>
      <c r="F894">
        <f>D894*E894*1</f>
        <v>1</v>
      </c>
      <c r="G894">
        <f>1</f>
        <v>1</v>
      </c>
      <c r="H8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893)&amp;"|",All_Questions_Q_STREAM_F_wrapped)),1,0),0))*1</f>
        <v>1</v>
      </c>
    </row>
    <row r="895">
      <c r="A895" t="n">
        <v>894</v>
      </c>
      <c r="B895" t="inlineStr">
        <is>
          <t>B</t>
        </is>
      </c>
      <c r="C895">
        <f>1</f>
        <v>1</v>
      </c>
      <c r="D895">
        <f>IF(OR(F_Custom1_Q="(None)",F_Custom1_Q="",ISBLANK(F_Custom1_Q),F_Custom1_V="(All)",F_Custom1_V="",ISBLANK(F_Custom1_V)),1,IFERROR(IF(ISNUMBER(SEARCH("|"&amp;INDEX(INDIRECT(F_Custom1_resolved_column),894)&amp;"|",F_Custom1_wrapped)),1,0),0))</f>
        <v>1</v>
      </c>
      <c r="E895">
        <f>IF(OR(F_Custom2_Q="(None)",F_Custom2_Q="",ISBLANK(F_Custom2_Q),F_Custom2_V="(All)",F_Custom2_V="",ISBLANK(F_Custom2_V)),1,IFERROR(IF(ISNUMBER(SEARCH("|"&amp;INDEX(INDIRECT(F_Custom2_resolved_column),894)&amp;"|",F_Custom2_wrapped)),1,0),0))</f>
        <v>1</v>
      </c>
      <c r="F895">
        <f>D895*E895*1</f>
        <v>1</v>
      </c>
      <c r="G895">
        <f>1</f>
        <v>1</v>
      </c>
      <c r="H8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894)&amp;"|",All_Questions_Q_STREAM_F_wrapped)),1,0),0))*1</f>
        <v>1</v>
      </c>
    </row>
    <row r="896">
      <c r="A896" t="n">
        <v>895</v>
      </c>
      <c r="B896" t="inlineStr">
        <is>
          <t>A</t>
        </is>
      </c>
      <c r="C896">
        <f>1</f>
        <v>1</v>
      </c>
      <c r="D896">
        <f>IF(OR(F_Custom1_Q="(None)",F_Custom1_Q="",ISBLANK(F_Custom1_Q),F_Custom1_V="(All)",F_Custom1_V="",ISBLANK(F_Custom1_V)),1,IFERROR(IF(ISNUMBER(SEARCH("|"&amp;INDEX(INDIRECT(F_Custom1_resolved_column),895)&amp;"|",F_Custom1_wrapped)),1,0),0))</f>
        <v>1</v>
      </c>
      <c r="E896">
        <f>IF(OR(F_Custom2_Q="(None)",F_Custom2_Q="",ISBLANK(F_Custom2_Q),F_Custom2_V="(All)",F_Custom2_V="",ISBLANK(F_Custom2_V)),1,IFERROR(IF(ISNUMBER(SEARCH("|"&amp;INDEX(INDIRECT(F_Custom2_resolved_column),895)&amp;"|",F_Custom2_wrapped)),1,0),0))</f>
        <v>1</v>
      </c>
      <c r="F896">
        <f>D896*E896*1</f>
        <v>1</v>
      </c>
      <c r="G896">
        <f>1</f>
        <v>1</v>
      </c>
      <c r="H8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895)&amp;"|",All_Questions_Q_STREAM_F_wrapped)),1,0),0))*1</f>
        <v>1</v>
      </c>
    </row>
    <row r="897">
      <c r="A897" t="n">
        <v>896</v>
      </c>
      <c r="B897" t="inlineStr">
        <is>
          <t>B</t>
        </is>
      </c>
      <c r="C897">
        <f>1</f>
        <v>1</v>
      </c>
      <c r="D897">
        <f>IF(OR(F_Custom1_Q="(None)",F_Custom1_Q="",ISBLANK(F_Custom1_Q),F_Custom1_V="(All)",F_Custom1_V="",ISBLANK(F_Custom1_V)),1,IFERROR(IF(ISNUMBER(SEARCH("|"&amp;INDEX(INDIRECT(F_Custom1_resolved_column),896)&amp;"|",F_Custom1_wrapped)),1,0),0))</f>
        <v>1</v>
      </c>
      <c r="E897">
        <f>IF(OR(F_Custom2_Q="(None)",F_Custom2_Q="",ISBLANK(F_Custom2_Q),F_Custom2_V="(All)",F_Custom2_V="",ISBLANK(F_Custom2_V)),1,IFERROR(IF(ISNUMBER(SEARCH("|"&amp;INDEX(INDIRECT(F_Custom2_resolved_column),896)&amp;"|",F_Custom2_wrapped)),1,0),0))</f>
        <v>1</v>
      </c>
      <c r="F897">
        <f>D897*E897*1</f>
        <v>1</v>
      </c>
      <c r="G897">
        <f>1</f>
        <v>1</v>
      </c>
      <c r="H8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896)&amp;"|",All_Questions_Q_STREAM_F_wrapped)),1,0),0))*1</f>
        <v>1</v>
      </c>
    </row>
    <row r="898">
      <c r="A898" t="n">
        <v>897</v>
      </c>
      <c r="B898" t="inlineStr">
        <is>
          <t>A</t>
        </is>
      </c>
      <c r="C898">
        <f>1</f>
        <v>1</v>
      </c>
      <c r="D898">
        <f>IF(OR(F_Custom1_Q="(None)",F_Custom1_Q="",ISBLANK(F_Custom1_Q),F_Custom1_V="(All)",F_Custom1_V="",ISBLANK(F_Custom1_V)),1,IFERROR(IF(ISNUMBER(SEARCH("|"&amp;INDEX(INDIRECT(F_Custom1_resolved_column),897)&amp;"|",F_Custom1_wrapped)),1,0),0))</f>
        <v>1</v>
      </c>
      <c r="E898">
        <f>IF(OR(F_Custom2_Q="(None)",F_Custom2_Q="",ISBLANK(F_Custom2_Q),F_Custom2_V="(All)",F_Custom2_V="",ISBLANK(F_Custom2_V)),1,IFERROR(IF(ISNUMBER(SEARCH("|"&amp;INDEX(INDIRECT(F_Custom2_resolved_column),897)&amp;"|",F_Custom2_wrapped)),1,0),0))</f>
        <v>1</v>
      </c>
      <c r="F898">
        <f>D898*E898*1</f>
        <v>1</v>
      </c>
      <c r="G898">
        <f>1</f>
        <v>1</v>
      </c>
      <c r="H8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897)&amp;"|",All_Questions_Q_STREAM_F_wrapped)),1,0),0))*1</f>
        <v>1</v>
      </c>
    </row>
    <row r="899">
      <c r="A899" t="n">
        <v>898</v>
      </c>
      <c r="B899" t="inlineStr">
        <is>
          <t>B</t>
        </is>
      </c>
      <c r="C899">
        <f>1</f>
        <v>1</v>
      </c>
      <c r="D899">
        <f>IF(OR(F_Custom1_Q="(None)",F_Custom1_Q="",ISBLANK(F_Custom1_Q),F_Custom1_V="(All)",F_Custom1_V="",ISBLANK(F_Custom1_V)),1,IFERROR(IF(ISNUMBER(SEARCH("|"&amp;INDEX(INDIRECT(F_Custom1_resolved_column),898)&amp;"|",F_Custom1_wrapped)),1,0),0))</f>
        <v>1</v>
      </c>
      <c r="E899">
        <f>IF(OR(F_Custom2_Q="(None)",F_Custom2_Q="",ISBLANK(F_Custom2_Q),F_Custom2_V="(All)",F_Custom2_V="",ISBLANK(F_Custom2_V)),1,IFERROR(IF(ISNUMBER(SEARCH("|"&amp;INDEX(INDIRECT(F_Custom2_resolved_column),898)&amp;"|",F_Custom2_wrapped)),1,0),0))</f>
        <v>1</v>
      </c>
      <c r="F899">
        <f>D899*E899*1</f>
        <v>1</v>
      </c>
      <c r="G899">
        <f>1</f>
        <v>1</v>
      </c>
      <c r="H8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898)&amp;"|",All_Questions_Q_STREAM_F_wrapped)),1,0),0))*1</f>
        <v>1</v>
      </c>
    </row>
    <row r="900">
      <c r="A900" t="n">
        <v>899</v>
      </c>
      <c r="B900" t="inlineStr">
        <is>
          <t>A</t>
        </is>
      </c>
      <c r="C900">
        <f>1</f>
        <v>1</v>
      </c>
      <c r="D900">
        <f>IF(OR(F_Custom1_Q="(None)",F_Custom1_Q="",ISBLANK(F_Custom1_Q),F_Custom1_V="(All)",F_Custom1_V="",ISBLANK(F_Custom1_V)),1,IFERROR(IF(ISNUMBER(SEARCH("|"&amp;INDEX(INDIRECT(F_Custom1_resolved_column),899)&amp;"|",F_Custom1_wrapped)),1,0),0))</f>
        <v>1</v>
      </c>
      <c r="E900">
        <f>IF(OR(F_Custom2_Q="(None)",F_Custom2_Q="",ISBLANK(F_Custom2_Q),F_Custom2_V="(All)",F_Custom2_V="",ISBLANK(F_Custom2_V)),1,IFERROR(IF(ISNUMBER(SEARCH("|"&amp;INDEX(INDIRECT(F_Custom2_resolved_column),899)&amp;"|",F_Custom2_wrapped)),1,0),0))</f>
        <v>1</v>
      </c>
      <c r="F900">
        <f>D900*E900*1</f>
        <v>1</v>
      </c>
      <c r="G900">
        <f>1</f>
        <v>1</v>
      </c>
      <c r="H9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899)&amp;"|",All_Questions_Q_STREAM_F_wrapped)),1,0),0))*1</f>
        <v>1</v>
      </c>
    </row>
    <row r="901">
      <c r="A901" t="n">
        <v>900</v>
      </c>
      <c r="B901" t="inlineStr">
        <is>
          <t>B</t>
        </is>
      </c>
      <c r="C901">
        <f>1</f>
        <v>1</v>
      </c>
      <c r="D901">
        <f>IF(OR(F_Custom1_Q="(None)",F_Custom1_Q="",ISBLANK(F_Custom1_Q),F_Custom1_V="(All)",F_Custom1_V="",ISBLANK(F_Custom1_V)),1,IFERROR(IF(ISNUMBER(SEARCH("|"&amp;INDEX(INDIRECT(F_Custom1_resolved_column),900)&amp;"|",F_Custom1_wrapped)),1,0),0))</f>
        <v>1</v>
      </c>
      <c r="E901">
        <f>IF(OR(F_Custom2_Q="(None)",F_Custom2_Q="",ISBLANK(F_Custom2_Q),F_Custom2_V="(All)",F_Custom2_V="",ISBLANK(F_Custom2_V)),1,IFERROR(IF(ISNUMBER(SEARCH("|"&amp;INDEX(INDIRECT(F_Custom2_resolved_column),900)&amp;"|",F_Custom2_wrapped)),1,0),0))</f>
        <v>1</v>
      </c>
      <c r="F901">
        <f>D901*E901*1</f>
        <v>1</v>
      </c>
      <c r="G901">
        <f>1</f>
        <v>1</v>
      </c>
      <c r="H9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900)&amp;"|",All_Questions_Q_STREAM_F_wrapped)),1,0),0))*1</f>
        <v>1</v>
      </c>
    </row>
    <row r="902">
      <c r="A902" t="n">
        <v>901</v>
      </c>
      <c r="B902" t="inlineStr">
        <is>
          <t>A</t>
        </is>
      </c>
      <c r="C902">
        <f>1</f>
        <v>1</v>
      </c>
      <c r="D902">
        <f>IF(OR(F_Custom1_Q="(None)",F_Custom1_Q="",ISBLANK(F_Custom1_Q),F_Custom1_V="(All)",F_Custom1_V="",ISBLANK(F_Custom1_V)),1,IFERROR(IF(ISNUMBER(SEARCH("|"&amp;INDEX(INDIRECT(F_Custom1_resolved_column),901)&amp;"|",F_Custom1_wrapped)),1,0),0))</f>
        <v>1</v>
      </c>
      <c r="E902">
        <f>IF(OR(F_Custom2_Q="(None)",F_Custom2_Q="",ISBLANK(F_Custom2_Q),F_Custom2_V="(All)",F_Custom2_V="",ISBLANK(F_Custom2_V)),1,IFERROR(IF(ISNUMBER(SEARCH("|"&amp;INDEX(INDIRECT(F_Custom2_resolved_column),901)&amp;"|",F_Custom2_wrapped)),1,0),0))</f>
        <v>1</v>
      </c>
      <c r="F902">
        <f>D902*E902*1</f>
        <v>1</v>
      </c>
      <c r="G902">
        <f>1</f>
        <v>1</v>
      </c>
      <c r="H9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901)&amp;"|",All_Questions_Q_STREAM_F_wrapped)),1,0),0))*1</f>
        <v>1</v>
      </c>
    </row>
    <row r="903">
      <c r="A903" t="n">
        <v>902</v>
      </c>
      <c r="B903" t="inlineStr">
        <is>
          <t>B</t>
        </is>
      </c>
      <c r="C903">
        <f>1</f>
        <v>1</v>
      </c>
      <c r="D903">
        <f>IF(OR(F_Custom1_Q="(None)",F_Custom1_Q="",ISBLANK(F_Custom1_Q),F_Custom1_V="(All)",F_Custom1_V="",ISBLANK(F_Custom1_V)),1,IFERROR(IF(ISNUMBER(SEARCH("|"&amp;INDEX(INDIRECT(F_Custom1_resolved_column),902)&amp;"|",F_Custom1_wrapped)),1,0),0))</f>
        <v>1</v>
      </c>
      <c r="E903">
        <f>IF(OR(F_Custom2_Q="(None)",F_Custom2_Q="",ISBLANK(F_Custom2_Q),F_Custom2_V="(All)",F_Custom2_V="",ISBLANK(F_Custom2_V)),1,IFERROR(IF(ISNUMBER(SEARCH("|"&amp;INDEX(INDIRECT(F_Custom2_resolved_column),902)&amp;"|",F_Custom2_wrapped)),1,0),0))</f>
        <v>1</v>
      </c>
      <c r="F903">
        <f>D903*E903*1</f>
        <v>1</v>
      </c>
      <c r="G903">
        <f>1</f>
        <v>1</v>
      </c>
      <c r="H9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902)&amp;"|",All_Questions_Q_STREAM_F_wrapped)),1,0),0))*1</f>
        <v>1</v>
      </c>
    </row>
    <row r="904">
      <c r="A904" t="n">
        <v>903</v>
      </c>
      <c r="B904" t="inlineStr">
        <is>
          <t>A</t>
        </is>
      </c>
      <c r="C904">
        <f>1</f>
        <v>1</v>
      </c>
      <c r="D904">
        <f>IF(OR(F_Custom1_Q="(None)",F_Custom1_Q="",ISBLANK(F_Custom1_Q),F_Custom1_V="(All)",F_Custom1_V="",ISBLANK(F_Custom1_V)),1,IFERROR(IF(ISNUMBER(SEARCH("|"&amp;INDEX(INDIRECT(F_Custom1_resolved_column),903)&amp;"|",F_Custom1_wrapped)),1,0),0))</f>
        <v>1</v>
      </c>
      <c r="E904">
        <f>IF(OR(F_Custom2_Q="(None)",F_Custom2_Q="",ISBLANK(F_Custom2_Q),F_Custom2_V="(All)",F_Custom2_V="",ISBLANK(F_Custom2_V)),1,IFERROR(IF(ISNUMBER(SEARCH("|"&amp;INDEX(INDIRECT(F_Custom2_resolved_column),903)&amp;"|",F_Custom2_wrapped)),1,0),0))</f>
        <v>1</v>
      </c>
      <c r="F904">
        <f>D904*E904*1</f>
        <v>1</v>
      </c>
      <c r="G904">
        <f>1</f>
        <v>1</v>
      </c>
      <c r="H9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903)&amp;"|",All_Questions_Q_STREAM_F_wrapped)),1,0),0))*1</f>
        <v>1</v>
      </c>
    </row>
    <row r="905">
      <c r="A905" t="n">
        <v>904</v>
      </c>
      <c r="B905" t="inlineStr">
        <is>
          <t>B</t>
        </is>
      </c>
      <c r="C905">
        <f>1</f>
        <v>1</v>
      </c>
      <c r="D905">
        <f>IF(OR(F_Custom1_Q="(None)",F_Custom1_Q="",ISBLANK(F_Custom1_Q),F_Custom1_V="(All)",F_Custom1_V="",ISBLANK(F_Custom1_V)),1,IFERROR(IF(ISNUMBER(SEARCH("|"&amp;INDEX(INDIRECT(F_Custom1_resolved_column),904)&amp;"|",F_Custom1_wrapped)),1,0),0))</f>
        <v>1</v>
      </c>
      <c r="E905">
        <f>IF(OR(F_Custom2_Q="(None)",F_Custom2_Q="",ISBLANK(F_Custom2_Q),F_Custom2_V="(All)",F_Custom2_V="",ISBLANK(F_Custom2_V)),1,IFERROR(IF(ISNUMBER(SEARCH("|"&amp;INDEX(INDIRECT(F_Custom2_resolved_column),904)&amp;"|",F_Custom2_wrapped)),1,0),0))</f>
        <v>1</v>
      </c>
      <c r="F905">
        <f>D905*E905*1</f>
        <v>1</v>
      </c>
      <c r="G905">
        <f>1</f>
        <v>1</v>
      </c>
      <c r="H9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904)&amp;"|",All_Questions_Q_STREAM_F_wrapped)),1,0),0))*1</f>
        <v>1</v>
      </c>
    </row>
    <row r="906">
      <c r="A906" t="n">
        <v>905</v>
      </c>
      <c r="B906" t="inlineStr">
        <is>
          <t>A</t>
        </is>
      </c>
      <c r="C906">
        <f>1</f>
        <v>1</v>
      </c>
      <c r="D906">
        <f>IF(OR(F_Custom1_Q="(None)",F_Custom1_Q="",ISBLANK(F_Custom1_Q),F_Custom1_V="(All)",F_Custom1_V="",ISBLANK(F_Custom1_V)),1,IFERROR(IF(ISNUMBER(SEARCH("|"&amp;INDEX(INDIRECT(F_Custom1_resolved_column),905)&amp;"|",F_Custom1_wrapped)),1,0),0))</f>
        <v>1</v>
      </c>
      <c r="E906">
        <f>IF(OR(F_Custom2_Q="(None)",F_Custom2_Q="",ISBLANK(F_Custom2_Q),F_Custom2_V="(All)",F_Custom2_V="",ISBLANK(F_Custom2_V)),1,IFERROR(IF(ISNUMBER(SEARCH("|"&amp;INDEX(INDIRECT(F_Custom2_resolved_column),905)&amp;"|",F_Custom2_wrapped)),1,0),0))</f>
        <v>1</v>
      </c>
      <c r="F906">
        <f>D906*E906*1</f>
        <v>1</v>
      </c>
      <c r="G906">
        <f>1</f>
        <v>1</v>
      </c>
      <c r="H9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905)&amp;"|",All_Questions_Q_STREAM_F_wrapped)),1,0),0))*1</f>
        <v>1</v>
      </c>
    </row>
    <row r="907">
      <c r="A907" t="n">
        <v>906</v>
      </c>
      <c r="B907" t="inlineStr">
        <is>
          <t>B</t>
        </is>
      </c>
      <c r="C907">
        <f>1</f>
        <v>1</v>
      </c>
      <c r="D907">
        <f>IF(OR(F_Custom1_Q="(None)",F_Custom1_Q="",ISBLANK(F_Custom1_Q),F_Custom1_V="(All)",F_Custom1_V="",ISBLANK(F_Custom1_V)),1,IFERROR(IF(ISNUMBER(SEARCH("|"&amp;INDEX(INDIRECT(F_Custom1_resolved_column),906)&amp;"|",F_Custom1_wrapped)),1,0),0))</f>
        <v>1</v>
      </c>
      <c r="E907">
        <f>IF(OR(F_Custom2_Q="(None)",F_Custom2_Q="",ISBLANK(F_Custom2_Q),F_Custom2_V="(All)",F_Custom2_V="",ISBLANK(F_Custom2_V)),1,IFERROR(IF(ISNUMBER(SEARCH("|"&amp;INDEX(INDIRECT(F_Custom2_resolved_column),906)&amp;"|",F_Custom2_wrapped)),1,0),0))</f>
        <v>1</v>
      </c>
      <c r="F907">
        <f>D907*E907*1</f>
        <v>1</v>
      </c>
      <c r="G907">
        <f>1</f>
        <v>1</v>
      </c>
      <c r="H9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906)&amp;"|",All_Questions_Q_STREAM_F_wrapped)),1,0),0))*1</f>
        <v>1</v>
      </c>
    </row>
    <row r="908">
      <c r="A908" t="n">
        <v>907</v>
      </c>
      <c r="B908" t="inlineStr">
        <is>
          <t>A</t>
        </is>
      </c>
      <c r="C908">
        <f>1</f>
        <v>1</v>
      </c>
      <c r="D908">
        <f>IF(OR(F_Custom1_Q="(None)",F_Custom1_Q="",ISBLANK(F_Custom1_Q),F_Custom1_V="(All)",F_Custom1_V="",ISBLANK(F_Custom1_V)),1,IFERROR(IF(ISNUMBER(SEARCH("|"&amp;INDEX(INDIRECT(F_Custom1_resolved_column),907)&amp;"|",F_Custom1_wrapped)),1,0),0))</f>
        <v>1</v>
      </c>
      <c r="E908">
        <f>IF(OR(F_Custom2_Q="(None)",F_Custom2_Q="",ISBLANK(F_Custom2_Q),F_Custom2_V="(All)",F_Custom2_V="",ISBLANK(F_Custom2_V)),1,IFERROR(IF(ISNUMBER(SEARCH("|"&amp;INDEX(INDIRECT(F_Custom2_resolved_column),907)&amp;"|",F_Custom2_wrapped)),1,0),0))</f>
        <v>1</v>
      </c>
      <c r="F908">
        <f>D908*E908*1</f>
        <v>1</v>
      </c>
      <c r="G908">
        <f>1</f>
        <v>1</v>
      </c>
      <c r="H9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907)&amp;"|",All_Questions_Q_STREAM_F_wrapped)),1,0),0))*1</f>
        <v>1</v>
      </c>
    </row>
    <row r="909">
      <c r="A909" t="n">
        <v>908</v>
      </c>
      <c r="B909" t="inlineStr">
        <is>
          <t>B</t>
        </is>
      </c>
      <c r="C909">
        <f>1</f>
        <v>1</v>
      </c>
      <c r="D909">
        <f>IF(OR(F_Custom1_Q="(None)",F_Custom1_Q="",ISBLANK(F_Custom1_Q),F_Custom1_V="(All)",F_Custom1_V="",ISBLANK(F_Custom1_V)),1,IFERROR(IF(ISNUMBER(SEARCH("|"&amp;INDEX(INDIRECT(F_Custom1_resolved_column),908)&amp;"|",F_Custom1_wrapped)),1,0),0))</f>
        <v>1</v>
      </c>
      <c r="E909">
        <f>IF(OR(F_Custom2_Q="(None)",F_Custom2_Q="",ISBLANK(F_Custom2_Q),F_Custom2_V="(All)",F_Custom2_V="",ISBLANK(F_Custom2_V)),1,IFERROR(IF(ISNUMBER(SEARCH("|"&amp;INDEX(INDIRECT(F_Custom2_resolved_column),908)&amp;"|",F_Custom2_wrapped)),1,0),0))</f>
        <v>1</v>
      </c>
      <c r="F909">
        <f>D909*E909*1</f>
        <v>1</v>
      </c>
      <c r="G909">
        <f>1</f>
        <v>1</v>
      </c>
      <c r="H9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908)&amp;"|",All_Questions_Q_STREAM_F_wrapped)),1,0),0))*1</f>
        <v>1</v>
      </c>
    </row>
    <row r="910">
      <c r="A910" t="n">
        <v>909</v>
      </c>
      <c r="B910" t="inlineStr">
        <is>
          <t>A</t>
        </is>
      </c>
      <c r="C910">
        <f>1</f>
        <v>1</v>
      </c>
      <c r="D910">
        <f>IF(OR(F_Custom1_Q="(None)",F_Custom1_Q="",ISBLANK(F_Custom1_Q),F_Custom1_V="(All)",F_Custom1_V="",ISBLANK(F_Custom1_V)),1,IFERROR(IF(ISNUMBER(SEARCH("|"&amp;INDEX(INDIRECT(F_Custom1_resolved_column),909)&amp;"|",F_Custom1_wrapped)),1,0),0))</f>
        <v>1</v>
      </c>
      <c r="E910">
        <f>IF(OR(F_Custom2_Q="(None)",F_Custom2_Q="",ISBLANK(F_Custom2_Q),F_Custom2_V="(All)",F_Custom2_V="",ISBLANK(F_Custom2_V)),1,IFERROR(IF(ISNUMBER(SEARCH("|"&amp;INDEX(INDIRECT(F_Custom2_resolved_column),909)&amp;"|",F_Custom2_wrapped)),1,0),0))</f>
        <v>1</v>
      </c>
      <c r="F910">
        <f>D910*E910*1</f>
        <v>1</v>
      </c>
      <c r="G910">
        <f>1</f>
        <v>1</v>
      </c>
      <c r="H9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909)&amp;"|",All_Questions_Q_STREAM_F_wrapped)),1,0),0))*1</f>
        <v>1</v>
      </c>
    </row>
    <row r="911">
      <c r="A911" t="n">
        <v>910</v>
      </c>
      <c r="B911" t="inlineStr">
        <is>
          <t>B</t>
        </is>
      </c>
      <c r="C911">
        <f>1</f>
        <v>1</v>
      </c>
      <c r="D911">
        <f>IF(OR(F_Custom1_Q="(None)",F_Custom1_Q="",ISBLANK(F_Custom1_Q),F_Custom1_V="(All)",F_Custom1_V="",ISBLANK(F_Custom1_V)),1,IFERROR(IF(ISNUMBER(SEARCH("|"&amp;INDEX(INDIRECT(F_Custom1_resolved_column),910)&amp;"|",F_Custom1_wrapped)),1,0),0))</f>
        <v>1</v>
      </c>
      <c r="E911">
        <f>IF(OR(F_Custom2_Q="(None)",F_Custom2_Q="",ISBLANK(F_Custom2_Q),F_Custom2_V="(All)",F_Custom2_V="",ISBLANK(F_Custom2_V)),1,IFERROR(IF(ISNUMBER(SEARCH("|"&amp;INDEX(INDIRECT(F_Custom2_resolved_column),910)&amp;"|",F_Custom2_wrapped)),1,0),0))</f>
        <v>1</v>
      </c>
      <c r="F911">
        <f>D911*E911*1</f>
        <v>1</v>
      </c>
      <c r="G911">
        <f>1</f>
        <v>1</v>
      </c>
      <c r="H9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910)&amp;"|",All_Questions_Q_STREAM_F_wrapped)),1,0),0))*1</f>
        <v>1</v>
      </c>
    </row>
    <row r="912">
      <c r="A912" t="n">
        <v>911</v>
      </c>
      <c r="B912" t="inlineStr">
        <is>
          <t>A</t>
        </is>
      </c>
      <c r="C912">
        <f>1</f>
        <v>1</v>
      </c>
      <c r="D912">
        <f>IF(OR(F_Custom1_Q="(None)",F_Custom1_Q="",ISBLANK(F_Custom1_Q),F_Custom1_V="(All)",F_Custom1_V="",ISBLANK(F_Custom1_V)),1,IFERROR(IF(ISNUMBER(SEARCH("|"&amp;INDEX(INDIRECT(F_Custom1_resolved_column),911)&amp;"|",F_Custom1_wrapped)),1,0),0))</f>
        <v>1</v>
      </c>
      <c r="E912">
        <f>IF(OR(F_Custom2_Q="(None)",F_Custom2_Q="",ISBLANK(F_Custom2_Q),F_Custom2_V="(All)",F_Custom2_V="",ISBLANK(F_Custom2_V)),1,IFERROR(IF(ISNUMBER(SEARCH("|"&amp;INDEX(INDIRECT(F_Custom2_resolved_column),911)&amp;"|",F_Custom2_wrapped)),1,0),0))</f>
        <v>1</v>
      </c>
      <c r="F912">
        <f>D912*E912*1</f>
        <v>1</v>
      </c>
      <c r="G912">
        <f>1</f>
        <v>1</v>
      </c>
      <c r="H9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911)&amp;"|",All_Questions_Q_STREAM_F_wrapped)),1,0),0))*1</f>
        <v>1</v>
      </c>
    </row>
    <row r="913">
      <c r="A913" t="n">
        <v>912</v>
      </c>
      <c r="B913" t="inlineStr">
        <is>
          <t>B</t>
        </is>
      </c>
      <c r="C913">
        <f>1</f>
        <v>1</v>
      </c>
      <c r="D913">
        <f>IF(OR(F_Custom1_Q="(None)",F_Custom1_Q="",ISBLANK(F_Custom1_Q),F_Custom1_V="(All)",F_Custom1_V="",ISBLANK(F_Custom1_V)),1,IFERROR(IF(ISNUMBER(SEARCH("|"&amp;INDEX(INDIRECT(F_Custom1_resolved_column),912)&amp;"|",F_Custom1_wrapped)),1,0),0))</f>
        <v>1</v>
      </c>
      <c r="E913">
        <f>IF(OR(F_Custom2_Q="(None)",F_Custom2_Q="",ISBLANK(F_Custom2_Q),F_Custom2_V="(All)",F_Custom2_V="",ISBLANK(F_Custom2_V)),1,IFERROR(IF(ISNUMBER(SEARCH("|"&amp;INDEX(INDIRECT(F_Custom2_resolved_column),912)&amp;"|",F_Custom2_wrapped)),1,0),0))</f>
        <v>1</v>
      </c>
      <c r="F913">
        <f>D913*E913*1</f>
        <v>1</v>
      </c>
      <c r="G913">
        <f>1</f>
        <v>1</v>
      </c>
      <c r="H9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912)&amp;"|",All_Questions_Q_STREAM_F_wrapped)),1,0),0))*1</f>
        <v>1</v>
      </c>
    </row>
    <row r="914">
      <c r="A914" t="n">
        <v>913</v>
      </c>
      <c r="B914" t="inlineStr">
        <is>
          <t>A</t>
        </is>
      </c>
      <c r="C914">
        <f>1</f>
        <v>1</v>
      </c>
      <c r="D914">
        <f>IF(OR(F_Custom1_Q="(None)",F_Custom1_Q="",ISBLANK(F_Custom1_Q),F_Custom1_V="(All)",F_Custom1_V="",ISBLANK(F_Custom1_V)),1,IFERROR(IF(ISNUMBER(SEARCH("|"&amp;INDEX(INDIRECT(F_Custom1_resolved_column),913)&amp;"|",F_Custom1_wrapped)),1,0),0))</f>
        <v>1</v>
      </c>
      <c r="E914">
        <f>IF(OR(F_Custom2_Q="(None)",F_Custom2_Q="",ISBLANK(F_Custom2_Q),F_Custom2_V="(All)",F_Custom2_V="",ISBLANK(F_Custom2_V)),1,IFERROR(IF(ISNUMBER(SEARCH("|"&amp;INDEX(INDIRECT(F_Custom2_resolved_column),913)&amp;"|",F_Custom2_wrapped)),1,0),0))</f>
        <v>1</v>
      </c>
      <c r="F914">
        <f>D914*E914*1</f>
        <v>1</v>
      </c>
      <c r="G914">
        <f>1</f>
        <v>1</v>
      </c>
      <c r="H9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913)&amp;"|",All_Questions_Q_STREAM_F_wrapped)),1,0),0))*1</f>
        <v>1</v>
      </c>
    </row>
    <row r="915">
      <c r="A915" t="n">
        <v>914</v>
      </c>
      <c r="B915" t="inlineStr">
        <is>
          <t>B</t>
        </is>
      </c>
      <c r="C915">
        <f>1</f>
        <v>1</v>
      </c>
      <c r="D915">
        <f>IF(OR(F_Custom1_Q="(None)",F_Custom1_Q="",ISBLANK(F_Custom1_Q),F_Custom1_V="(All)",F_Custom1_V="",ISBLANK(F_Custom1_V)),1,IFERROR(IF(ISNUMBER(SEARCH("|"&amp;INDEX(INDIRECT(F_Custom1_resolved_column),914)&amp;"|",F_Custom1_wrapped)),1,0),0))</f>
        <v>1</v>
      </c>
      <c r="E915">
        <f>IF(OR(F_Custom2_Q="(None)",F_Custom2_Q="",ISBLANK(F_Custom2_Q),F_Custom2_V="(All)",F_Custom2_V="",ISBLANK(F_Custom2_V)),1,IFERROR(IF(ISNUMBER(SEARCH("|"&amp;INDEX(INDIRECT(F_Custom2_resolved_column),914)&amp;"|",F_Custom2_wrapped)),1,0),0))</f>
        <v>1</v>
      </c>
      <c r="F915">
        <f>D915*E915*1</f>
        <v>1</v>
      </c>
      <c r="G915">
        <f>1</f>
        <v>1</v>
      </c>
      <c r="H9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914)&amp;"|",All_Questions_Q_STREAM_F_wrapped)),1,0),0))*1</f>
        <v>1</v>
      </c>
    </row>
    <row r="916">
      <c r="A916" t="n">
        <v>915</v>
      </c>
      <c r="B916" t="inlineStr">
        <is>
          <t>A</t>
        </is>
      </c>
      <c r="C916">
        <f>1</f>
        <v>1</v>
      </c>
      <c r="D916">
        <f>IF(OR(F_Custom1_Q="(None)",F_Custom1_Q="",ISBLANK(F_Custom1_Q),F_Custom1_V="(All)",F_Custom1_V="",ISBLANK(F_Custom1_V)),1,IFERROR(IF(ISNUMBER(SEARCH("|"&amp;INDEX(INDIRECT(F_Custom1_resolved_column),915)&amp;"|",F_Custom1_wrapped)),1,0),0))</f>
        <v>1</v>
      </c>
      <c r="E916">
        <f>IF(OR(F_Custom2_Q="(None)",F_Custom2_Q="",ISBLANK(F_Custom2_Q),F_Custom2_V="(All)",F_Custom2_V="",ISBLANK(F_Custom2_V)),1,IFERROR(IF(ISNUMBER(SEARCH("|"&amp;INDEX(INDIRECT(F_Custom2_resolved_column),915)&amp;"|",F_Custom2_wrapped)),1,0),0))</f>
        <v>1</v>
      </c>
      <c r="F916">
        <f>D916*E916*1</f>
        <v>1</v>
      </c>
      <c r="G916">
        <f>1</f>
        <v>1</v>
      </c>
      <c r="H9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915)&amp;"|",All_Questions_Q_STREAM_F_wrapped)),1,0),0))*1</f>
        <v>1</v>
      </c>
    </row>
    <row r="917">
      <c r="A917" t="n">
        <v>916</v>
      </c>
      <c r="B917" t="inlineStr">
        <is>
          <t>B</t>
        </is>
      </c>
      <c r="C917">
        <f>1</f>
        <v>1</v>
      </c>
      <c r="D917">
        <f>IF(OR(F_Custom1_Q="(None)",F_Custom1_Q="",ISBLANK(F_Custom1_Q),F_Custom1_V="(All)",F_Custom1_V="",ISBLANK(F_Custom1_V)),1,IFERROR(IF(ISNUMBER(SEARCH("|"&amp;INDEX(INDIRECT(F_Custom1_resolved_column),916)&amp;"|",F_Custom1_wrapped)),1,0),0))</f>
        <v>1</v>
      </c>
      <c r="E917">
        <f>IF(OR(F_Custom2_Q="(None)",F_Custom2_Q="",ISBLANK(F_Custom2_Q),F_Custom2_V="(All)",F_Custom2_V="",ISBLANK(F_Custom2_V)),1,IFERROR(IF(ISNUMBER(SEARCH("|"&amp;INDEX(INDIRECT(F_Custom2_resolved_column),916)&amp;"|",F_Custom2_wrapped)),1,0),0))</f>
        <v>1</v>
      </c>
      <c r="F917">
        <f>D917*E917*1</f>
        <v>1</v>
      </c>
      <c r="G917">
        <f>1</f>
        <v>1</v>
      </c>
      <c r="H9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916)&amp;"|",All_Questions_Q_STREAM_F_wrapped)),1,0),0))*1</f>
        <v>1</v>
      </c>
    </row>
    <row r="918">
      <c r="A918" t="n">
        <v>917</v>
      </c>
      <c r="B918" t="inlineStr">
        <is>
          <t>A</t>
        </is>
      </c>
      <c r="C918">
        <f>1</f>
        <v>1</v>
      </c>
      <c r="D918">
        <f>IF(OR(F_Custom1_Q="(None)",F_Custom1_Q="",ISBLANK(F_Custom1_Q),F_Custom1_V="(All)",F_Custom1_V="",ISBLANK(F_Custom1_V)),1,IFERROR(IF(ISNUMBER(SEARCH("|"&amp;INDEX(INDIRECT(F_Custom1_resolved_column),917)&amp;"|",F_Custom1_wrapped)),1,0),0))</f>
        <v>1</v>
      </c>
      <c r="E918">
        <f>IF(OR(F_Custom2_Q="(None)",F_Custom2_Q="",ISBLANK(F_Custom2_Q),F_Custom2_V="(All)",F_Custom2_V="",ISBLANK(F_Custom2_V)),1,IFERROR(IF(ISNUMBER(SEARCH("|"&amp;INDEX(INDIRECT(F_Custom2_resolved_column),917)&amp;"|",F_Custom2_wrapped)),1,0),0))</f>
        <v>1</v>
      </c>
      <c r="F918">
        <f>D918*E918*1</f>
        <v>1</v>
      </c>
      <c r="G918">
        <f>1</f>
        <v>1</v>
      </c>
      <c r="H9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917)&amp;"|",All_Questions_Q_STREAM_F_wrapped)),1,0),0))*1</f>
        <v>1</v>
      </c>
    </row>
    <row r="919">
      <c r="A919" t="n">
        <v>918</v>
      </c>
      <c r="B919" t="inlineStr">
        <is>
          <t>B</t>
        </is>
      </c>
      <c r="C919">
        <f>1</f>
        <v>1</v>
      </c>
      <c r="D919">
        <f>IF(OR(F_Custom1_Q="(None)",F_Custom1_Q="",ISBLANK(F_Custom1_Q),F_Custom1_V="(All)",F_Custom1_V="",ISBLANK(F_Custom1_V)),1,IFERROR(IF(ISNUMBER(SEARCH("|"&amp;INDEX(INDIRECT(F_Custom1_resolved_column),918)&amp;"|",F_Custom1_wrapped)),1,0),0))</f>
        <v>1</v>
      </c>
      <c r="E919">
        <f>IF(OR(F_Custom2_Q="(None)",F_Custom2_Q="",ISBLANK(F_Custom2_Q),F_Custom2_V="(All)",F_Custom2_V="",ISBLANK(F_Custom2_V)),1,IFERROR(IF(ISNUMBER(SEARCH("|"&amp;INDEX(INDIRECT(F_Custom2_resolved_column),918)&amp;"|",F_Custom2_wrapped)),1,0),0))</f>
        <v>1</v>
      </c>
      <c r="F919">
        <f>D919*E919*1</f>
        <v>1</v>
      </c>
      <c r="G919">
        <f>1</f>
        <v>1</v>
      </c>
      <c r="H9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918)&amp;"|",All_Questions_Q_STREAM_F_wrapped)),1,0),0))*1</f>
        <v>1</v>
      </c>
    </row>
    <row r="920">
      <c r="A920" t="n">
        <v>919</v>
      </c>
      <c r="B920" t="inlineStr">
        <is>
          <t>A</t>
        </is>
      </c>
      <c r="C920">
        <f>1</f>
        <v>1</v>
      </c>
      <c r="D920">
        <f>IF(OR(F_Custom1_Q="(None)",F_Custom1_Q="",ISBLANK(F_Custom1_Q),F_Custom1_V="(All)",F_Custom1_V="",ISBLANK(F_Custom1_V)),1,IFERROR(IF(ISNUMBER(SEARCH("|"&amp;INDEX(INDIRECT(F_Custom1_resolved_column),919)&amp;"|",F_Custom1_wrapped)),1,0),0))</f>
        <v>1</v>
      </c>
      <c r="E920">
        <f>IF(OR(F_Custom2_Q="(None)",F_Custom2_Q="",ISBLANK(F_Custom2_Q),F_Custom2_V="(All)",F_Custom2_V="",ISBLANK(F_Custom2_V)),1,IFERROR(IF(ISNUMBER(SEARCH("|"&amp;INDEX(INDIRECT(F_Custom2_resolved_column),919)&amp;"|",F_Custom2_wrapped)),1,0),0))</f>
        <v>1</v>
      </c>
      <c r="F920">
        <f>D920*E920*1</f>
        <v>1</v>
      </c>
      <c r="G920">
        <f>1</f>
        <v>1</v>
      </c>
      <c r="H9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919)&amp;"|",All_Questions_Q_STREAM_F_wrapped)),1,0),0))*1</f>
        <v>1</v>
      </c>
    </row>
    <row r="921">
      <c r="A921" t="n">
        <v>920</v>
      </c>
      <c r="B921" t="inlineStr">
        <is>
          <t>B</t>
        </is>
      </c>
      <c r="C921">
        <f>1</f>
        <v>1</v>
      </c>
      <c r="D921">
        <f>IF(OR(F_Custom1_Q="(None)",F_Custom1_Q="",ISBLANK(F_Custom1_Q),F_Custom1_V="(All)",F_Custom1_V="",ISBLANK(F_Custom1_V)),1,IFERROR(IF(ISNUMBER(SEARCH("|"&amp;INDEX(INDIRECT(F_Custom1_resolved_column),920)&amp;"|",F_Custom1_wrapped)),1,0),0))</f>
        <v>1</v>
      </c>
      <c r="E921">
        <f>IF(OR(F_Custom2_Q="(None)",F_Custom2_Q="",ISBLANK(F_Custom2_Q),F_Custom2_V="(All)",F_Custom2_V="",ISBLANK(F_Custom2_V)),1,IFERROR(IF(ISNUMBER(SEARCH("|"&amp;INDEX(INDIRECT(F_Custom2_resolved_column),920)&amp;"|",F_Custom2_wrapped)),1,0),0))</f>
        <v>1</v>
      </c>
      <c r="F921">
        <f>D921*E921*1</f>
        <v>1</v>
      </c>
      <c r="G921">
        <f>1</f>
        <v>1</v>
      </c>
      <c r="H9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920)&amp;"|",All_Questions_Q_STREAM_F_wrapped)),1,0),0))*1</f>
        <v>1</v>
      </c>
    </row>
    <row r="922">
      <c r="A922" t="n">
        <v>921</v>
      </c>
      <c r="B922" t="inlineStr">
        <is>
          <t>A</t>
        </is>
      </c>
      <c r="C922">
        <f>1</f>
        <v>1</v>
      </c>
      <c r="D922">
        <f>IF(OR(F_Custom1_Q="(None)",F_Custom1_Q="",ISBLANK(F_Custom1_Q),F_Custom1_V="(All)",F_Custom1_V="",ISBLANK(F_Custom1_V)),1,IFERROR(IF(ISNUMBER(SEARCH("|"&amp;INDEX(INDIRECT(F_Custom1_resolved_column),921)&amp;"|",F_Custom1_wrapped)),1,0),0))</f>
        <v>1</v>
      </c>
      <c r="E922">
        <f>IF(OR(F_Custom2_Q="(None)",F_Custom2_Q="",ISBLANK(F_Custom2_Q),F_Custom2_V="(All)",F_Custom2_V="",ISBLANK(F_Custom2_V)),1,IFERROR(IF(ISNUMBER(SEARCH("|"&amp;INDEX(INDIRECT(F_Custom2_resolved_column),921)&amp;"|",F_Custom2_wrapped)),1,0),0))</f>
        <v>1</v>
      </c>
      <c r="F922">
        <f>D922*E922*1</f>
        <v>1</v>
      </c>
      <c r="G922">
        <f>1</f>
        <v>1</v>
      </c>
      <c r="H9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921)&amp;"|",All_Questions_Q_STREAM_F_wrapped)),1,0),0))*1</f>
        <v>1</v>
      </c>
    </row>
    <row r="923">
      <c r="A923" t="n">
        <v>922</v>
      </c>
      <c r="B923" t="inlineStr">
        <is>
          <t>B</t>
        </is>
      </c>
      <c r="C923">
        <f>1</f>
        <v>1</v>
      </c>
      <c r="D923">
        <f>IF(OR(F_Custom1_Q="(None)",F_Custom1_Q="",ISBLANK(F_Custom1_Q),F_Custom1_V="(All)",F_Custom1_V="",ISBLANK(F_Custom1_V)),1,IFERROR(IF(ISNUMBER(SEARCH("|"&amp;INDEX(INDIRECT(F_Custom1_resolved_column),922)&amp;"|",F_Custom1_wrapped)),1,0),0))</f>
        <v>1</v>
      </c>
      <c r="E923">
        <f>IF(OR(F_Custom2_Q="(None)",F_Custom2_Q="",ISBLANK(F_Custom2_Q),F_Custom2_V="(All)",F_Custom2_V="",ISBLANK(F_Custom2_V)),1,IFERROR(IF(ISNUMBER(SEARCH("|"&amp;INDEX(INDIRECT(F_Custom2_resolved_column),922)&amp;"|",F_Custom2_wrapped)),1,0),0))</f>
        <v>1</v>
      </c>
      <c r="F923">
        <f>D923*E923*1</f>
        <v>1</v>
      </c>
      <c r="G923">
        <f>1</f>
        <v>1</v>
      </c>
      <c r="H9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922)&amp;"|",All_Questions_Q_STREAM_F_wrapped)),1,0),0))*1</f>
        <v>1</v>
      </c>
    </row>
    <row r="924">
      <c r="A924" t="n">
        <v>923</v>
      </c>
      <c r="B924" t="inlineStr">
        <is>
          <t>A</t>
        </is>
      </c>
      <c r="C924">
        <f>1</f>
        <v>1</v>
      </c>
      <c r="D924">
        <f>IF(OR(F_Custom1_Q="(None)",F_Custom1_Q="",ISBLANK(F_Custom1_Q),F_Custom1_V="(All)",F_Custom1_V="",ISBLANK(F_Custom1_V)),1,IFERROR(IF(ISNUMBER(SEARCH("|"&amp;INDEX(INDIRECT(F_Custom1_resolved_column),923)&amp;"|",F_Custom1_wrapped)),1,0),0))</f>
        <v>1</v>
      </c>
      <c r="E924">
        <f>IF(OR(F_Custom2_Q="(None)",F_Custom2_Q="",ISBLANK(F_Custom2_Q),F_Custom2_V="(All)",F_Custom2_V="",ISBLANK(F_Custom2_V)),1,IFERROR(IF(ISNUMBER(SEARCH("|"&amp;INDEX(INDIRECT(F_Custom2_resolved_column),923)&amp;"|",F_Custom2_wrapped)),1,0),0))</f>
        <v>1</v>
      </c>
      <c r="F924">
        <f>D924*E924*1</f>
        <v>1</v>
      </c>
      <c r="G924">
        <f>1</f>
        <v>1</v>
      </c>
      <c r="H9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923)&amp;"|",All_Questions_Q_STREAM_F_wrapped)),1,0),0))*1</f>
        <v>1</v>
      </c>
    </row>
    <row r="925">
      <c r="A925" t="n">
        <v>924</v>
      </c>
      <c r="B925" t="inlineStr">
        <is>
          <t>B</t>
        </is>
      </c>
      <c r="C925">
        <f>1</f>
        <v>1</v>
      </c>
      <c r="D925">
        <f>IF(OR(F_Custom1_Q="(None)",F_Custom1_Q="",ISBLANK(F_Custom1_Q),F_Custom1_V="(All)",F_Custom1_V="",ISBLANK(F_Custom1_V)),1,IFERROR(IF(ISNUMBER(SEARCH("|"&amp;INDEX(INDIRECT(F_Custom1_resolved_column),924)&amp;"|",F_Custom1_wrapped)),1,0),0))</f>
        <v>1</v>
      </c>
      <c r="E925">
        <f>IF(OR(F_Custom2_Q="(None)",F_Custom2_Q="",ISBLANK(F_Custom2_Q),F_Custom2_V="(All)",F_Custom2_V="",ISBLANK(F_Custom2_V)),1,IFERROR(IF(ISNUMBER(SEARCH("|"&amp;INDEX(INDIRECT(F_Custom2_resolved_column),924)&amp;"|",F_Custom2_wrapped)),1,0),0))</f>
        <v>1</v>
      </c>
      <c r="F925">
        <f>D925*E925*1</f>
        <v>1</v>
      </c>
      <c r="G925">
        <f>1</f>
        <v>1</v>
      </c>
      <c r="H9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924)&amp;"|",All_Questions_Q_STREAM_F_wrapped)),1,0),0))*1</f>
        <v>1</v>
      </c>
    </row>
    <row r="926">
      <c r="A926" t="n">
        <v>925</v>
      </c>
      <c r="B926" t="inlineStr">
        <is>
          <t>A</t>
        </is>
      </c>
      <c r="C926">
        <f>1</f>
        <v>1</v>
      </c>
      <c r="D926">
        <f>IF(OR(F_Custom1_Q="(None)",F_Custom1_Q="",ISBLANK(F_Custom1_Q),F_Custom1_V="(All)",F_Custom1_V="",ISBLANK(F_Custom1_V)),1,IFERROR(IF(ISNUMBER(SEARCH("|"&amp;INDEX(INDIRECT(F_Custom1_resolved_column),925)&amp;"|",F_Custom1_wrapped)),1,0),0))</f>
        <v>1</v>
      </c>
      <c r="E926">
        <f>IF(OR(F_Custom2_Q="(None)",F_Custom2_Q="",ISBLANK(F_Custom2_Q),F_Custom2_V="(All)",F_Custom2_V="",ISBLANK(F_Custom2_V)),1,IFERROR(IF(ISNUMBER(SEARCH("|"&amp;INDEX(INDIRECT(F_Custom2_resolved_column),925)&amp;"|",F_Custom2_wrapped)),1,0),0))</f>
        <v>1</v>
      </c>
      <c r="F926">
        <f>D926*E926*1</f>
        <v>1</v>
      </c>
      <c r="G926">
        <f>1</f>
        <v>1</v>
      </c>
      <c r="H9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925)&amp;"|",All_Questions_Q_STREAM_F_wrapped)),1,0),0))*1</f>
        <v>1</v>
      </c>
    </row>
    <row r="927">
      <c r="A927" t="n">
        <v>926</v>
      </c>
      <c r="B927" t="inlineStr">
        <is>
          <t>B</t>
        </is>
      </c>
      <c r="C927">
        <f>1</f>
        <v>1</v>
      </c>
      <c r="D927">
        <f>IF(OR(F_Custom1_Q="(None)",F_Custom1_Q="",ISBLANK(F_Custom1_Q),F_Custom1_V="(All)",F_Custom1_V="",ISBLANK(F_Custom1_V)),1,IFERROR(IF(ISNUMBER(SEARCH("|"&amp;INDEX(INDIRECT(F_Custom1_resolved_column),926)&amp;"|",F_Custom1_wrapped)),1,0),0))</f>
        <v>1</v>
      </c>
      <c r="E927">
        <f>IF(OR(F_Custom2_Q="(None)",F_Custom2_Q="",ISBLANK(F_Custom2_Q),F_Custom2_V="(All)",F_Custom2_V="",ISBLANK(F_Custom2_V)),1,IFERROR(IF(ISNUMBER(SEARCH("|"&amp;INDEX(INDIRECT(F_Custom2_resolved_column),926)&amp;"|",F_Custom2_wrapped)),1,0),0))</f>
        <v>1</v>
      </c>
      <c r="F927">
        <f>D927*E927*1</f>
        <v>1</v>
      </c>
      <c r="G927">
        <f>1</f>
        <v>1</v>
      </c>
      <c r="H9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926)&amp;"|",All_Questions_Q_STREAM_F_wrapped)),1,0),0))*1</f>
        <v>1</v>
      </c>
    </row>
    <row r="928">
      <c r="A928" t="n">
        <v>927</v>
      </c>
      <c r="B928" t="inlineStr">
        <is>
          <t>A</t>
        </is>
      </c>
      <c r="C928">
        <f>1</f>
        <v>1</v>
      </c>
      <c r="D928">
        <f>IF(OR(F_Custom1_Q="(None)",F_Custom1_Q="",ISBLANK(F_Custom1_Q),F_Custom1_V="(All)",F_Custom1_V="",ISBLANK(F_Custom1_V)),1,IFERROR(IF(ISNUMBER(SEARCH("|"&amp;INDEX(INDIRECT(F_Custom1_resolved_column),927)&amp;"|",F_Custom1_wrapped)),1,0),0))</f>
        <v>1</v>
      </c>
      <c r="E928">
        <f>IF(OR(F_Custom2_Q="(None)",F_Custom2_Q="",ISBLANK(F_Custom2_Q),F_Custom2_V="(All)",F_Custom2_V="",ISBLANK(F_Custom2_V)),1,IFERROR(IF(ISNUMBER(SEARCH("|"&amp;INDEX(INDIRECT(F_Custom2_resolved_column),927)&amp;"|",F_Custom2_wrapped)),1,0),0))</f>
        <v>1</v>
      </c>
      <c r="F928">
        <f>D928*E928*1</f>
        <v>1</v>
      </c>
      <c r="G928">
        <f>1</f>
        <v>1</v>
      </c>
      <c r="H9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927)&amp;"|",All_Questions_Q_STREAM_F_wrapped)),1,0),0))*1</f>
        <v>1</v>
      </c>
    </row>
    <row r="929">
      <c r="A929" t="n">
        <v>928</v>
      </c>
      <c r="B929" t="inlineStr">
        <is>
          <t>B</t>
        </is>
      </c>
      <c r="C929">
        <f>1</f>
        <v>1</v>
      </c>
      <c r="D929">
        <f>IF(OR(F_Custom1_Q="(None)",F_Custom1_Q="",ISBLANK(F_Custom1_Q),F_Custom1_V="(All)",F_Custom1_V="",ISBLANK(F_Custom1_V)),1,IFERROR(IF(ISNUMBER(SEARCH("|"&amp;INDEX(INDIRECT(F_Custom1_resolved_column),928)&amp;"|",F_Custom1_wrapped)),1,0),0))</f>
        <v>1</v>
      </c>
      <c r="E929">
        <f>IF(OR(F_Custom2_Q="(None)",F_Custom2_Q="",ISBLANK(F_Custom2_Q),F_Custom2_V="(All)",F_Custom2_V="",ISBLANK(F_Custom2_V)),1,IFERROR(IF(ISNUMBER(SEARCH("|"&amp;INDEX(INDIRECT(F_Custom2_resolved_column),928)&amp;"|",F_Custom2_wrapped)),1,0),0))</f>
        <v>1</v>
      </c>
      <c r="F929">
        <f>D929*E929*1</f>
        <v>1</v>
      </c>
      <c r="G929">
        <f>1</f>
        <v>1</v>
      </c>
      <c r="H9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928)&amp;"|",All_Questions_Q_STREAM_F_wrapped)),1,0),0))*1</f>
        <v>1</v>
      </c>
    </row>
    <row r="930">
      <c r="A930" t="n">
        <v>929</v>
      </c>
      <c r="B930" t="inlineStr">
        <is>
          <t>A</t>
        </is>
      </c>
      <c r="C930">
        <f>1</f>
        <v>1</v>
      </c>
      <c r="D930">
        <f>IF(OR(F_Custom1_Q="(None)",F_Custom1_Q="",ISBLANK(F_Custom1_Q),F_Custom1_V="(All)",F_Custom1_V="",ISBLANK(F_Custom1_V)),1,IFERROR(IF(ISNUMBER(SEARCH("|"&amp;INDEX(INDIRECT(F_Custom1_resolved_column),929)&amp;"|",F_Custom1_wrapped)),1,0),0))</f>
        <v>1</v>
      </c>
      <c r="E930">
        <f>IF(OR(F_Custom2_Q="(None)",F_Custom2_Q="",ISBLANK(F_Custom2_Q),F_Custom2_V="(All)",F_Custom2_V="",ISBLANK(F_Custom2_V)),1,IFERROR(IF(ISNUMBER(SEARCH("|"&amp;INDEX(INDIRECT(F_Custom2_resolved_column),929)&amp;"|",F_Custom2_wrapped)),1,0),0))</f>
        <v>1</v>
      </c>
      <c r="F930">
        <f>D930*E930*1</f>
        <v>1</v>
      </c>
      <c r="G930">
        <f>1</f>
        <v>1</v>
      </c>
      <c r="H9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929)&amp;"|",All_Questions_Q_STREAM_F_wrapped)),1,0),0))*1</f>
        <v>1</v>
      </c>
    </row>
    <row r="931">
      <c r="A931" t="n">
        <v>930</v>
      </c>
      <c r="B931" t="inlineStr">
        <is>
          <t>B</t>
        </is>
      </c>
      <c r="C931">
        <f>1</f>
        <v>1</v>
      </c>
      <c r="D931">
        <f>IF(OR(F_Custom1_Q="(None)",F_Custom1_Q="",ISBLANK(F_Custom1_Q),F_Custom1_V="(All)",F_Custom1_V="",ISBLANK(F_Custom1_V)),1,IFERROR(IF(ISNUMBER(SEARCH("|"&amp;INDEX(INDIRECT(F_Custom1_resolved_column),930)&amp;"|",F_Custom1_wrapped)),1,0),0))</f>
        <v>1</v>
      </c>
      <c r="E931">
        <f>IF(OR(F_Custom2_Q="(None)",F_Custom2_Q="",ISBLANK(F_Custom2_Q),F_Custom2_V="(All)",F_Custom2_V="",ISBLANK(F_Custom2_V)),1,IFERROR(IF(ISNUMBER(SEARCH("|"&amp;INDEX(INDIRECT(F_Custom2_resolved_column),930)&amp;"|",F_Custom2_wrapped)),1,0),0))</f>
        <v>1</v>
      </c>
      <c r="F931">
        <f>D931*E931*1</f>
        <v>1</v>
      </c>
      <c r="G931">
        <f>1</f>
        <v>1</v>
      </c>
      <c r="H9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930)&amp;"|",All_Questions_Q_STREAM_F_wrapped)),1,0),0))*1</f>
        <v>1</v>
      </c>
    </row>
    <row r="932">
      <c r="A932" t="n">
        <v>931</v>
      </c>
      <c r="B932" t="inlineStr">
        <is>
          <t>A</t>
        </is>
      </c>
      <c r="C932">
        <f>1</f>
        <v>1</v>
      </c>
      <c r="D932">
        <f>IF(OR(F_Custom1_Q="(None)",F_Custom1_Q="",ISBLANK(F_Custom1_Q),F_Custom1_V="(All)",F_Custom1_V="",ISBLANK(F_Custom1_V)),1,IFERROR(IF(ISNUMBER(SEARCH("|"&amp;INDEX(INDIRECT(F_Custom1_resolved_column),931)&amp;"|",F_Custom1_wrapped)),1,0),0))</f>
        <v>1</v>
      </c>
      <c r="E932">
        <f>IF(OR(F_Custom2_Q="(None)",F_Custom2_Q="",ISBLANK(F_Custom2_Q),F_Custom2_V="(All)",F_Custom2_V="",ISBLANK(F_Custom2_V)),1,IFERROR(IF(ISNUMBER(SEARCH("|"&amp;INDEX(INDIRECT(F_Custom2_resolved_column),931)&amp;"|",F_Custom2_wrapped)),1,0),0))</f>
        <v>1</v>
      </c>
      <c r="F932">
        <f>D932*E932*1</f>
        <v>1</v>
      </c>
      <c r="G932">
        <f>1</f>
        <v>1</v>
      </c>
      <c r="H9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931)&amp;"|",All_Questions_Q_STREAM_F_wrapped)),1,0),0))*1</f>
        <v>1</v>
      </c>
    </row>
    <row r="933">
      <c r="A933" t="n">
        <v>932</v>
      </c>
      <c r="B933" t="inlineStr">
        <is>
          <t>B</t>
        </is>
      </c>
      <c r="C933">
        <f>1</f>
        <v>1</v>
      </c>
      <c r="D933">
        <f>IF(OR(F_Custom1_Q="(None)",F_Custom1_Q="",ISBLANK(F_Custom1_Q),F_Custom1_V="(All)",F_Custom1_V="",ISBLANK(F_Custom1_V)),1,IFERROR(IF(ISNUMBER(SEARCH("|"&amp;INDEX(INDIRECT(F_Custom1_resolved_column),932)&amp;"|",F_Custom1_wrapped)),1,0),0))</f>
        <v>1</v>
      </c>
      <c r="E933">
        <f>IF(OR(F_Custom2_Q="(None)",F_Custom2_Q="",ISBLANK(F_Custom2_Q),F_Custom2_V="(All)",F_Custom2_V="",ISBLANK(F_Custom2_V)),1,IFERROR(IF(ISNUMBER(SEARCH("|"&amp;INDEX(INDIRECT(F_Custom2_resolved_column),932)&amp;"|",F_Custom2_wrapped)),1,0),0))</f>
        <v>1</v>
      </c>
      <c r="F933">
        <f>D933*E933*1</f>
        <v>1</v>
      </c>
      <c r="G933">
        <f>1</f>
        <v>1</v>
      </c>
      <c r="H9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932)&amp;"|",All_Questions_Q_STREAM_F_wrapped)),1,0),0))*1</f>
        <v>1</v>
      </c>
    </row>
    <row r="934">
      <c r="A934" t="n">
        <v>933</v>
      </c>
      <c r="B934" t="inlineStr">
        <is>
          <t>A</t>
        </is>
      </c>
      <c r="C934">
        <f>1</f>
        <v>1</v>
      </c>
      <c r="D934">
        <f>IF(OR(F_Custom1_Q="(None)",F_Custom1_Q="",ISBLANK(F_Custom1_Q),F_Custom1_V="(All)",F_Custom1_V="",ISBLANK(F_Custom1_V)),1,IFERROR(IF(ISNUMBER(SEARCH("|"&amp;INDEX(INDIRECT(F_Custom1_resolved_column),933)&amp;"|",F_Custom1_wrapped)),1,0),0))</f>
        <v>1</v>
      </c>
      <c r="E934">
        <f>IF(OR(F_Custom2_Q="(None)",F_Custom2_Q="",ISBLANK(F_Custom2_Q),F_Custom2_V="(All)",F_Custom2_V="",ISBLANK(F_Custom2_V)),1,IFERROR(IF(ISNUMBER(SEARCH("|"&amp;INDEX(INDIRECT(F_Custom2_resolved_column),933)&amp;"|",F_Custom2_wrapped)),1,0),0))</f>
        <v>1</v>
      </c>
      <c r="F934">
        <f>D934*E934*1</f>
        <v>1</v>
      </c>
      <c r="G934">
        <f>1</f>
        <v>1</v>
      </c>
      <c r="H9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933)&amp;"|",All_Questions_Q_STREAM_F_wrapped)),1,0),0))*1</f>
        <v>1</v>
      </c>
    </row>
    <row r="935">
      <c r="A935" t="n">
        <v>934</v>
      </c>
      <c r="B935" t="inlineStr">
        <is>
          <t>B</t>
        </is>
      </c>
      <c r="C935">
        <f>1</f>
        <v>1</v>
      </c>
      <c r="D935">
        <f>IF(OR(F_Custom1_Q="(None)",F_Custom1_Q="",ISBLANK(F_Custom1_Q),F_Custom1_V="(All)",F_Custom1_V="",ISBLANK(F_Custom1_V)),1,IFERROR(IF(ISNUMBER(SEARCH("|"&amp;INDEX(INDIRECT(F_Custom1_resolved_column),934)&amp;"|",F_Custom1_wrapped)),1,0),0))</f>
        <v>1</v>
      </c>
      <c r="E935">
        <f>IF(OR(F_Custom2_Q="(None)",F_Custom2_Q="",ISBLANK(F_Custom2_Q),F_Custom2_V="(All)",F_Custom2_V="",ISBLANK(F_Custom2_V)),1,IFERROR(IF(ISNUMBER(SEARCH("|"&amp;INDEX(INDIRECT(F_Custom2_resolved_column),934)&amp;"|",F_Custom2_wrapped)),1,0),0))</f>
        <v>1</v>
      </c>
      <c r="F935">
        <f>D935*E935*1</f>
        <v>1</v>
      </c>
      <c r="G935">
        <f>1</f>
        <v>1</v>
      </c>
      <c r="H9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934)&amp;"|",All_Questions_Q_STREAM_F_wrapped)),1,0),0))*1</f>
        <v>1</v>
      </c>
    </row>
    <row r="936">
      <c r="A936" t="n">
        <v>935</v>
      </c>
      <c r="B936" t="inlineStr">
        <is>
          <t>A</t>
        </is>
      </c>
      <c r="C936">
        <f>1</f>
        <v>1</v>
      </c>
      <c r="D936">
        <f>IF(OR(F_Custom1_Q="(None)",F_Custom1_Q="",ISBLANK(F_Custom1_Q),F_Custom1_V="(All)",F_Custom1_V="",ISBLANK(F_Custom1_V)),1,IFERROR(IF(ISNUMBER(SEARCH("|"&amp;INDEX(INDIRECT(F_Custom1_resolved_column),935)&amp;"|",F_Custom1_wrapped)),1,0),0))</f>
        <v>1</v>
      </c>
      <c r="E936">
        <f>IF(OR(F_Custom2_Q="(None)",F_Custom2_Q="",ISBLANK(F_Custom2_Q),F_Custom2_V="(All)",F_Custom2_V="",ISBLANK(F_Custom2_V)),1,IFERROR(IF(ISNUMBER(SEARCH("|"&amp;INDEX(INDIRECT(F_Custom2_resolved_column),935)&amp;"|",F_Custom2_wrapped)),1,0),0))</f>
        <v>1</v>
      </c>
      <c r="F936">
        <f>D936*E936*1</f>
        <v>1</v>
      </c>
      <c r="G936">
        <f>1</f>
        <v>1</v>
      </c>
      <c r="H9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935)&amp;"|",All_Questions_Q_STREAM_F_wrapped)),1,0),0))*1</f>
        <v>1</v>
      </c>
    </row>
    <row r="937">
      <c r="A937" t="n">
        <v>936</v>
      </c>
      <c r="B937" t="inlineStr">
        <is>
          <t>B</t>
        </is>
      </c>
      <c r="C937">
        <f>1</f>
        <v>1</v>
      </c>
      <c r="D937">
        <f>IF(OR(F_Custom1_Q="(None)",F_Custom1_Q="",ISBLANK(F_Custom1_Q),F_Custom1_V="(All)",F_Custom1_V="",ISBLANK(F_Custom1_V)),1,IFERROR(IF(ISNUMBER(SEARCH("|"&amp;INDEX(INDIRECT(F_Custom1_resolved_column),936)&amp;"|",F_Custom1_wrapped)),1,0),0))</f>
        <v>1</v>
      </c>
      <c r="E937">
        <f>IF(OR(F_Custom2_Q="(None)",F_Custom2_Q="",ISBLANK(F_Custom2_Q),F_Custom2_V="(All)",F_Custom2_V="",ISBLANK(F_Custom2_V)),1,IFERROR(IF(ISNUMBER(SEARCH("|"&amp;INDEX(INDIRECT(F_Custom2_resolved_column),936)&amp;"|",F_Custom2_wrapped)),1,0),0))</f>
        <v>1</v>
      </c>
      <c r="F937">
        <f>D937*E937*1</f>
        <v>1</v>
      </c>
      <c r="G937">
        <f>1</f>
        <v>1</v>
      </c>
      <c r="H9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936)&amp;"|",All_Questions_Q_STREAM_F_wrapped)),1,0),0))*1</f>
        <v>1</v>
      </c>
    </row>
    <row r="938">
      <c r="A938" t="n">
        <v>937</v>
      </c>
      <c r="B938" t="inlineStr">
        <is>
          <t>A</t>
        </is>
      </c>
      <c r="C938">
        <f>1</f>
        <v>1</v>
      </c>
      <c r="D938">
        <f>IF(OR(F_Custom1_Q="(None)",F_Custom1_Q="",ISBLANK(F_Custom1_Q),F_Custom1_V="(All)",F_Custom1_V="",ISBLANK(F_Custom1_V)),1,IFERROR(IF(ISNUMBER(SEARCH("|"&amp;INDEX(INDIRECT(F_Custom1_resolved_column),937)&amp;"|",F_Custom1_wrapped)),1,0),0))</f>
        <v>1</v>
      </c>
      <c r="E938">
        <f>IF(OR(F_Custom2_Q="(None)",F_Custom2_Q="",ISBLANK(F_Custom2_Q),F_Custom2_V="(All)",F_Custom2_V="",ISBLANK(F_Custom2_V)),1,IFERROR(IF(ISNUMBER(SEARCH("|"&amp;INDEX(INDIRECT(F_Custom2_resolved_column),937)&amp;"|",F_Custom2_wrapped)),1,0),0))</f>
        <v>1</v>
      </c>
      <c r="F938">
        <f>D938*E938*1</f>
        <v>1</v>
      </c>
      <c r="G938">
        <f>1</f>
        <v>1</v>
      </c>
      <c r="H9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937)&amp;"|",All_Questions_Q_STREAM_F_wrapped)),1,0),0))*1</f>
        <v>1</v>
      </c>
    </row>
    <row r="939">
      <c r="A939" t="n">
        <v>938</v>
      </c>
      <c r="B939" t="inlineStr">
        <is>
          <t>B</t>
        </is>
      </c>
      <c r="C939">
        <f>1</f>
        <v>1</v>
      </c>
      <c r="D939">
        <f>IF(OR(F_Custom1_Q="(None)",F_Custom1_Q="",ISBLANK(F_Custom1_Q),F_Custom1_V="(All)",F_Custom1_V="",ISBLANK(F_Custom1_V)),1,IFERROR(IF(ISNUMBER(SEARCH("|"&amp;INDEX(INDIRECT(F_Custom1_resolved_column),938)&amp;"|",F_Custom1_wrapped)),1,0),0))</f>
        <v>1</v>
      </c>
      <c r="E939">
        <f>IF(OR(F_Custom2_Q="(None)",F_Custom2_Q="",ISBLANK(F_Custom2_Q),F_Custom2_V="(All)",F_Custom2_V="",ISBLANK(F_Custom2_V)),1,IFERROR(IF(ISNUMBER(SEARCH("|"&amp;INDEX(INDIRECT(F_Custom2_resolved_column),938)&amp;"|",F_Custom2_wrapped)),1,0),0))</f>
        <v>1</v>
      </c>
      <c r="F939">
        <f>D939*E939*1</f>
        <v>1</v>
      </c>
      <c r="G939">
        <f>1</f>
        <v>1</v>
      </c>
      <c r="H9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938)&amp;"|",All_Questions_Q_STREAM_F_wrapped)),1,0),0))*1</f>
        <v>1</v>
      </c>
    </row>
    <row r="940">
      <c r="A940" t="n">
        <v>939</v>
      </c>
      <c r="B940" t="inlineStr">
        <is>
          <t>A</t>
        </is>
      </c>
      <c r="C940">
        <f>1</f>
        <v>1</v>
      </c>
      <c r="D940">
        <f>IF(OR(F_Custom1_Q="(None)",F_Custom1_Q="",ISBLANK(F_Custom1_Q),F_Custom1_V="(All)",F_Custom1_V="",ISBLANK(F_Custom1_V)),1,IFERROR(IF(ISNUMBER(SEARCH("|"&amp;INDEX(INDIRECT(F_Custom1_resolved_column),939)&amp;"|",F_Custom1_wrapped)),1,0),0))</f>
        <v>1</v>
      </c>
      <c r="E940">
        <f>IF(OR(F_Custom2_Q="(None)",F_Custom2_Q="",ISBLANK(F_Custom2_Q),F_Custom2_V="(All)",F_Custom2_V="",ISBLANK(F_Custom2_V)),1,IFERROR(IF(ISNUMBER(SEARCH("|"&amp;INDEX(INDIRECT(F_Custom2_resolved_column),939)&amp;"|",F_Custom2_wrapped)),1,0),0))</f>
        <v>1</v>
      </c>
      <c r="F940">
        <f>D940*E940*1</f>
        <v>1</v>
      </c>
      <c r="G940">
        <f>1</f>
        <v>1</v>
      </c>
      <c r="H9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939)&amp;"|",All_Questions_Q_STREAM_F_wrapped)),1,0),0))*1</f>
        <v>1</v>
      </c>
    </row>
    <row r="941">
      <c r="A941" t="n">
        <v>940</v>
      </c>
      <c r="B941" t="inlineStr">
        <is>
          <t>B</t>
        </is>
      </c>
      <c r="C941">
        <f>1</f>
        <v>1</v>
      </c>
      <c r="D941">
        <f>IF(OR(F_Custom1_Q="(None)",F_Custom1_Q="",ISBLANK(F_Custom1_Q),F_Custom1_V="(All)",F_Custom1_V="",ISBLANK(F_Custom1_V)),1,IFERROR(IF(ISNUMBER(SEARCH("|"&amp;INDEX(INDIRECT(F_Custom1_resolved_column),940)&amp;"|",F_Custom1_wrapped)),1,0),0))</f>
        <v>1</v>
      </c>
      <c r="E941">
        <f>IF(OR(F_Custom2_Q="(None)",F_Custom2_Q="",ISBLANK(F_Custom2_Q),F_Custom2_V="(All)",F_Custom2_V="",ISBLANK(F_Custom2_V)),1,IFERROR(IF(ISNUMBER(SEARCH("|"&amp;INDEX(INDIRECT(F_Custom2_resolved_column),940)&amp;"|",F_Custom2_wrapped)),1,0),0))</f>
        <v>1</v>
      </c>
      <c r="F941">
        <f>D941*E941*1</f>
        <v>1</v>
      </c>
      <c r="G941">
        <f>1</f>
        <v>1</v>
      </c>
      <c r="H9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940)&amp;"|",All_Questions_Q_STREAM_F_wrapped)),1,0),0))*1</f>
        <v>1</v>
      </c>
    </row>
    <row r="942">
      <c r="A942" t="n">
        <v>941</v>
      </c>
      <c r="B942" t="inlineStr">
        <is>
          <t>A</t>
        </is>
      </c>
      <c r="C942">
        <f>1</f>
        <v>1</v>
      </c>
      <c r="D942">
        <f>IF(OR(F_Custom1_Q="(None)",F_Custom1_Q="",ISBLANK(F_Custom1_Q),F_Custom1_V="(All)",F_Custom1_V="",ISBLANK(F_Custom1_V)),1,IFERROR(IF(ISNUMBER(SEARCH("|"&amp;INDEX(INDIRECT(F_Custom1_resolved_column),941)&amp;"|",F_Custom1_wrapped)),1,0),0))</f>
        <v>1</v>
      </c>
      <c r="E942">
        <f>IF(OR(F_Custom2_Q="(None)",F_Custom2_Q="",ISBLANK(F_Custom2_Q),F_Custom2_V="(All)",F_Custom2_V="",ISBLANK(F_Custom2_V)),1,IFERROR(IF(ISNUMBER(SEARCH("|"&amp;INDEX(INDIRECT(F_Custom2_resolved_column),941)&amp;"|",F_Custom2_wrapped)),1,0),0))</f>
        <v>1</v>
      </c>
      <c r="F942">
        <f>D942*E942*1</f>
        <v>1</v>
      </c>
      <c r="G942">
        <f>1</f>
        <v>1</v>
      </c>
      <c r="H9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941)&amp;"|",All_Questions_Q_STREAM_F_wrapped)),1,0),0))*1</f>
        <v>1</v>
      </c>
    </row>
    <row r="943">
      <c r="A943" t="n">
        <v>942</v>
      </c>
      <c r="B943" t="inlineStr">
        <is>
          <t>B</t>
        </is>
      </c>
      <c r="C943">
        <f>1</f>
        <v>1</v>
      </c>
      <c r="D943">
        <f>IF(OR(F_Custom1_Q="(None)",F_Custom1_Q="",ISBLANK(F_Custom1_Q),F_Custom1_V="(All)",F_Custom1_V="",ISBLANK(F_Custom1_V)),1,IFERROR(IF(ISNUMBER(SEARCH("|"&amp;INDEX(INDIRECT(F_Custom1_resolved_column),942)&amp;"|",F_Custom1_wrapped)),1,0),0))</f>
        <v>1</v>
      </c>
      <c r="E943">
        <f>IF(OR(F_Custom2_Q="(None)",F_Custom2_Q="",ISBLANK(F_Custom2_Q),F_Custom2_V="(All)",F_Custom2_V="",ISBLANK(F_Custom2_V)),1,IFERROR(IF(ISNUMBER(SEARCH("|"&amp;INDEX(INDIRECT(F_Custom2_resolved_column),942)&amp;"|",F_Custom2_wrapped)),1,0),0))</f>
        <v>1</v>
      </c>
      <c r="F943">
        <f>D943*E943*1</f>
        <v>1</v>
      </c>
      <c r="G943">
        <f>1</f>
        <v>1</v>
      </c>
      <c r="H9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942)&amp;"|",All_Questions_Q_STREAM_F_wrapped)),1,0),0))*1</f>
        <v>1</v>
      </c>
    </row>
    <row r="944">
      <c r="A944" t="n">
        <v>943</v>
      </c>
      <c r="B944" t="inlineStr">
        <is>
          <t>A</t>
        </is>
      </c>
      <c r="C944">
        <f>1</f>
        <v>1</v>
      </c>
      <c r="D944">
        <f>IF(OR(F_Custom1_Q="(None)",F_Custom1_Q="",ISBLANK(F_Custom1_Q),F_Custom1_V="(All)",F_Custom1_V="",ISBLANK(F_Custom1_V)),1,IFERROR(IF(ISNUMBER(SEARCH("|"&amp;INDEX(INDIRECT(F_Custom1_resolved_column),943)&amp;"|",F_Custom1_wrapped)),1,0),0))</f>
        <v>1</v>
      </c>
      <c r="E944">
        <f>IF(OR(F_Custom2_Q="(None)",F_Custom2_Q="",ISBLANK(F_Custom2_Q),F_Custom2_V="(All)",F_Custom2_V="",ISBLANK(F_Custom2_V)),1,IFERROR(IF(ISNUMBER(SEARCH("|"&amp;INDEX(INDIRECT(F_Custom2_resolved_column),943)&amp;"|",F_Custom2_wrapped)),1,0),0))</f>
        <v>1</v>
      </c>
      <c r="F944">
        <f>D944*E944*1</f>
        <v>1</v>
      </c>
      <c r="G944">
        <f>1</f>
        <v>1</v>
      </c>
      <c r="H9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943)&amp;"|",All_Questions_Q_STREAM_F_wrapped)),1,0),0))*1</f>
        <v>1</v>
      </c>
    </row>
    <row r="945">
      <c r="A945" t="n">
        <v>944</v>
      </c>
      <c r="B945" t="inlineStr">
        <is>
          <t>B</t>
        </is>
      </c>
      <c r="C945">
        <f>1</f>
        <v>1</v>
      </c>
      <c r="D945">
        <f>IF(OR(F_Custom1_Q="(None)",F_Custom1_Q="",ISBLANK(F_Custom1_Q),F_Custom1_V="(All)",F_Custom1_V="",ISBLANK(F_Custom1_V)),1,IFERROR(IF(ISNUMBER(SEARCH("|"&amp;INDEX(INDIRECT(F_Custom1_resolved_column),944)&amp;"|",F_Custom1_wrapped)),1,0),0))</f>
        <v>1</v>
      </c>
      <c r="E945">
        <f>IF(OR(F_Custom2_Q="(None)",F_Custom2_Q="",ISBLANK(F_Custom2_Q),F_Custom2_V="(All)",F_Custom2_V="",ISBLANK(F_Custom2_V)),1,IFERROR(IF(ISNUMBER(SEARCH("|"&amp;INDEX(INDIRECT(F_Custom2_resolved_column),944)&amp;"|",F_Custom2_wrapped)),1,0),0))</f>
        <v>1</v>
      </c>
      <c r="F945">
        <f>D945*E945*1</f>
        <v>1</v>
      </c>
      <c r="G945">
        <f>1</f>
        <v>1</v>
      </c>
      <c r="H9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944)&amp;"|",All_Questions_Q_STREAM_F_wrapped)),1,0),0))*1</f>
        <v>1</v>
      </c>
    </row>
    <row r="946">
      <c r="A946" t="n">
        <v>945</v>
      </c>
      <c r="B946" t="inlineStr">
        <is>
          <t>A</t>
        </is>
      </c>
      <c r="C946">
        <f>1</f>
        <v>1</v>
      </c>
      <c r="D946">
        <f>IF(OR(F_Custom1_Q="(None)",F_Custom1_Q="",ISBLANK(F_Custom1_Q),F_Custom1_V="(All)",F_Custom1_V="",ISBLANK(F_Custom1_V)),1,IFERROR(IF(ISNUMBER(SEARCH("|"&amp;INDEX(INDIRECT(F_Custom1_resolved_column),945)&amp;"|",F_Custom1_wrapped)),1,0),0))</f>
        <v>1</v>
      </c>
      <c r="E946">
        <f>IF(OR(F_Custom2_Q="(None)",F_Custom2_Q="",ISBLANK(F_Custom2_Q),F_Custom2_V="(All)",F_Custom2_V="",ISBLANK(F_Custom2_V)),1,IFERROR(IF(ISNUMBER(SEARCH("|"&amp;INDEX(INDIRECT(F_Custom2_resolved_column),945)&amp;"|",F_Custom2_wrapped)),1,0),0))</f>
        <v>1</v>
      </c>
      <c r="F946">
        <f>D946*E946*1</f>
        <v>1</v>
      </c>
      <c r="G946">
        <f>1</f>
        <v>1</v>
      </c>
      <c r="H9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945)&amp;"|",All_Questions_Q_STREAM_F_wrapped)),1,0),0))*1</f>
        <v>1</v>
      </c>
    </row>
    <row r="947">
      <c r="A947" t="n">
        <v>946</v>
      </c>
      <c r="B947" t="inlineStr">
        <is>
          <t>B</t>
        </is>
      </c>
      <c r="C947">
        <f>1</f>
        <v>1</v>
      </c>
      <c r="D947">
        <f>IF(OR(F_Custom1_Q="(None)",F_Custom1_Q="",ISBLANK(F_Custom1_Q),F_Custom1_V="(All)",F_Custom1_V="",ISBLANK(F_Custom1_V)),1,IFERROR(IF(ISNUMBER(SEARCH("|"&amp;INDEX(INDIRECT(F_Custom1_resolved_column),946)&amp;"|",F_Custom1_wrapped)),1,0),0))</f>
        <v>1</v>
      </c>
      <c r="E947">
        <f>IF(OR(F_Custom2_Q="(None)",F_Custom2_Q="",ISBLANK(F_Custom2_Q),F_Custom2_V="(All)",F_Custom2_V="",ISBLANK(F_Custom2_V)),1,IFERROR(IF(ISNUMBER(SEARCH("|"&amp;INDEX(INDIRECT(F_Custom2_resolved_column),946)&amp;"|",F_Custom2_wrapped)),1,0),0))</f>
        <v>1</v>
      </c>
      <c r="F947">
        <f>D947*E947*1</f>
        <v>1</v>
      </c>
      <c r="G947">
        <f>1</f>
        <v>1</v>
      </c>
      <c r="H9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946)&amp;"|",All_Questions_Q_STREAM_F_wrapped)),1,0),0))*1</f>
        <v>1</v>
      </c>
    </row>
    <row r="948">
      <c r="A948" t="n">
        <v>947</v>
      </c>
      <c r="B948" t="inlineStr">
        <is>
          <t>A</t>
        </is>
      </c>
      <c r="C948">
        <f>1</f>
        <v>1</v>
      </c>
      <c r="D948">
        <f>IF(OR(F_Custom1_Q="(None)",F_Custom1_Q="",ISBLANK(F_Custom1_Q),F_Custom1_V="(All)",F_Custom1_V="",ISBLANK(F_Custom1_V)),1,IFERROR(IF(ISNUMBER(SEARCH("|"&amp;INDEX(INDIRECT(F_Custom1_resolved_column),947)&amp;"|",F_Custom1_wrapped)),1,0),0))</f>
        <v>1</v>
      </c>
      <c r="E948">
        <f>IF(OR(F_Custom2_Q="(None)",F_Custom2_Q="",ISBLANK(F_Custom2_Q),F_Custom2_V="(All)",F_Custom2_V="",ISBLANK(F_Custom2_V)),1,IFERROR(IF(ISNUMBER(SEARCH("|"&amp;INDEX(INDIRECT(F_Custom2_resolved_column),947)&amp;"|",F_Custom2_wrapped)),1,0),0))</f>
        <v>1</v>
      </c>
      <c r="F948">
        <f>D948*E948*1</f>
        <v>1</v>
      </c>
      <c r="G948">
        <f>1</f>
        <v>1</v>
      </c>
      <c r="H9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947)&amp;"|",All_Questions_Q_STREAM_F_wrapped)),1,0),0))*1</f>
        <v>1</v>
      </c>
    </row>
    <row r="949">
      <c r="A949" t="n">
        <v>948</v>
      </c>
      <c r="B949" t="inlineStr">
        <is>
          <t>B</t>
        </is>
      </c>
      <c r="C949">
        <f>1</f>
        <v>1</v>
      </c>
      <c r="D949">
        <f>IF(OR(F_Custom1_Q="(None)",F_Custom1_Q="",ISBLANK(F_Custom1_Q),F_Custom1_V="(All)",F_Custom1_V="",ISBLANK(F_Custom1_V)),1,IFERROR(IF(ISNUMBER(SEARCH("|"&amp;INDEX(INDIRECT(F_Custom1_resolved_column),948)&amp;"|",F_Custom1_wrapped)),1,0),0))</f>
        <v>1</v>
      </c>
      <c r="E949">
        <f>IF(OR(F_Custom2_Q="(None)",F_Custom2_Q="",ISBLANK(F_Custom2_Q),F_Custom2_V="(All)",F_Custom2_V="",ISBLANK(F_Custom2_V)),1,IFERROR(IF(ISNUMBER(SEARCH("|"&amp;INDEX(INDIRECT(F_Custom2_resolved_column),948)&amp;"|",F_Custom2_wrapped)),1,0),0))</f>
        <v>1</v>
      </c>
      <c r="F949">
        <f>D949*E949*1</f>
        <v>1</v>
      </c>
      <c r="G949">
        <f>1</f>
        <v>1</v>
      </c>
      <c r="H9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948)&amp;"|",All_Questions_Q_STREAM_F_wrapped)),1,0),0))*1</f>
        <v>1</v>
      </c>
    </row>
    <row r="950">
      <c r="A950" t="n">
        <v>949</v>
      </c>
      <c r="B950" t="inlineStr">
        <is>
          <t>A</t>
        </is>
      </c>
      <c r="C950">
        <f>1</f>
        <v>1</v>
      </c>
      <c r="D950">
        <f>IF(OR(F_Custom1_Q="(None)",F_Custom1_Q="",ISBLANK(F_Custom1_Q),F_Custom1_V="(All)",F_Custom1_V="",ISBLANK(F_Custom1_V)),1,IFERROR(IF(ISNUMBER(SEARCH("|"&amp;INDEX(INDIRECT(F_Custom1_resolved_column),949)&amp;"|",F_Custom1_wrapped)),1,0),0))</f>
        <v>1</v>
      </c>
      <c r="E950">
        <f>IF(OR(F_Custom2_Q="(None)",F_Custom2_Q="",ISBLANK(F_Custom2_Q),F_Custom2_V="(All)",F_Custom2_V="",ISBLANK(F_Custom2_V)),1,IFERROR(IF(ISNUMBER(SEARCH("|"&amp;INDEX(INDIRECT(F_Custom2_resolved_column),949)&amp;"|",F_Custom2_wrapped)),1,0),0))</f>
        <v>1</v>
      </c>
      <c r="F950">
        <f>D950*E950*1</f>
        <v>1</v>
      </c>
      <c r="G950">
        <f>1</f>
        <v>1</v>
      </c>
      <c r="H9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949)&amp;"|",All_Questions_Q_STREAM_F_wrapped)),1,0),0))*1</f>
        <v>1</v>
      </c>
    </row>
    <row r="951">
      <c r="A951" t="n">
        <v>950</v>
      </c>
      <c r="B951" t="inlineStr">
        <is>
          <t>B</t>
        </is>
      </c>
      <c r="C951">
        <f>1</f>
        <v>1</v>
      </c>
      <c r="D951">
        <f>IF(OR(F_Custom1_Q="(None)",F_Custom1_Q="",ISBLANK(F_Custom1_Q),F_Custom1_V="(All)",F_Custom1_V="",ISBLANK(F_Custom1_V)),1,IFERROR(IF(ISNUMBER(SEARCH("|"&amp;INDEX(INDIRECT(F_Custom1_resolved_column),950)&amp;"|",F_Custom1_wrapped)),1,0),0))</f>
        <v>1</v>
      </c>
      <c r="E951">
        <f>IF(OR(F_Custom2_Q="(None)",F_Custom2_Q="",ISBLANK(F_Custom2_Q),F_Custom2_V="(All)",F_Custom2_V="",ISBLANK(F_Custom2_V)),1,IFERROR(IF(ISNUMBER(SEARCH("|"&amp;INDEX(INDIRECT(F_Custom2_resolved_column),950)&amp;"|",F_Custom2_wrapped)),1,0),0))</f>
        <v>1</v>
      </c>
      <c r="F951">
        <f>D951*E951*1</f>
        <v>1</v>
      </c>
      <c r="G951">
        <f>1</f>
        <v>1</v>
      </c>
      <c r="H9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950)&amp;"|",All_Questions_Q_STREAM_F_wrapped)),1,0),0))*1</f>
        <v>1</v>
      </c>
    </row>
    <row r="952">
      <c r="A952" t="n">
        <v>951</v>
      </c>
      <c r="B952" t="inlineStr">
        <is>
          <t>A</t>
        </is>
      </c>
      <c r="C952">
        <f>1</f>
        <v>1</v>
      </c>
      <c r="D952">
        <f>IF(OR(F_Custom1_Q="(None)",F_Custom1_Q="",ISBLANK(F_Custom1_Q),F_Custom1_V="(All)",F_Custom1_V="",ISBLANK(F_Custom1_V)),1,IFERROR(IF(ISNUMBER(SEARCH("|"&amp;INDEX(INDIRECT(F_Custom1_resolved_column),951)&amp;"|",F_Custom1_wrapped)),1,0),0))</f>
        <v>1</v>
      </c>
      <c r="E952">
        <f>IF(OR(F_Custom2_Q="(None)",F_Custom2_Q="",ISBLANK(F_Custom2_Q),F_Custom2_V="(All)",F_Custom2_V="",ISBLANK(F_Custom2_V)),1,IFERROR(IF(ISNUMBER(SEARCH("|"&amp;INDEX(INDIRECT(F_Custom2_resolved_column),951)&amp;"|",F_Custom2_wrapped)),1,0),0))</f>
        <v>1</v>
      </c>
      <c r="F952">
        <f>D952*E952*1</f>
        <v>1</v>
      </c>
      <c r="G952">
        <f>1</f>
        <v>1</v>
      </c>
      <c r="H9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951)&amp;"|",All_Questions_Q_STREAM_F_wrapped)),1,0),0))*1</f>
        <v>1</v>
      </c>
    </row>
    <row r="953">
      <c r="A953" t="n">
        <v>952</v>
      </c>
      <c r="B953" t="inlineStr">
        <is>
          <t>B</t>
        </is>
      </c>
      <c r="C953">
        <f>1</f>
        <v>1</v>
      </c>
      <c r="D953">
        <f>IF(OR(F_Custom1_Q="(None)",F_Custom1_Q="",ISBLANK(F_Custom1_Q),F_Custom1_V="(All)",F_Custom1_V="",ISBLANK(F_Custom1_V)),1,IFERROR(IF(ISNUMBER(SEARCH("|"&amp;INDEX(INDIRECT(F_Custom1_resolved_column),952)&amp;"|",F_Custom1_wrapped)),1,0),0))</f>
        <v>1</v>
      </c>
      <c r="E953">
        <f>IF(OR(F_Custom2_Q="(None)",F_Custom2_Q="",ISBLANK(F_Custom2_Q),F_Custom2_V="(All)",F_Custom2_V="",ISBLANK(F_Custom2_V)),1,IFERROR(IF(ISNUMBER(SEARCH("|"&amp;INDEX(INDIRECT(F_Custom2_resolved_column),952)&amp;"|",F_Custom2_wrapped)),1,0),0))</f>
        <v>1</v>
      </c>
      <c r="F953">
        <f>D953*E953*1</f>
        <v>1</v>
      </c>
      <c r="G953">
        <f>1</f>
        <v>1</v>
      </c>
      <c r="H9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952)&amp;"|",All_Questions_Q_STREAM_F_wrapped)),1,0),0))*1</f>
        <v>1</v>
      </c>
    </row>
    <row r="954">
      <c r="A954" t="n">
        <v>953</v>
      </c>
      <c r="B954" t="inlineStr">
        <is>
          <t>A</t>
        </is>
      </c>
      <c r="C954">
        <f>1</f>
        <v>1</v>
      </c>
      <c r="D954">
        <f>IF(OR(F_Custom1_Q="(None)",F_Custom1_Q="",ISBLANK(F_Custom1_Q),F_Custom1_V="(All)",F_Custom1_V="",ISBLANK(F_Custom1_V)),1,IFERROR(IF(ISNUMBER(SEARCH("|"&amp;INDEX(INDIRECT(F_Custom1_resolved_column),953)&amp;"|",F_Custom1_wrapped)),1,0),0))</f>
        <v>1</v>
      </c>
      <c r="E954">
        <f>IF(OR(F_Custom2_Q="(None)",F_Custom2_Q="",ISBLANK(F_Custom2_Q),F_Custom2_V="(All)",F_Custom2_V="",ISBLANK(F_Custom2_V)),1,IFERROR(IF(ISNUMBER(SEARCH("|"&amp;INDEX(INDIRECT(F_Custom2_resolved_column),953)&amp;"|",F_Custom2_wrapped)),1,0),0))</f>
        <v>1</v>
      </c>
      <c r="F954">
        <f>D954*E954*1</f>
        <v>1</v>
      </c>
      <c r="G954">
        <f>1</f>
        <v>1</v>
      </c>
      <c r="H9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953)&amp;"|",All_Questions_Q_STREAM_F_wrapped)),1,0),0))*1</f>
        <v>1</v>
      </c>
    </row>
    <row r="955">
      <c r="A955" t="n">
        <v>954</v>
      </c>
      <c r="B955" t="inlineStr">
        <is>
          <t>B</t>
        </is>
      </c>
      <c r="C955">
        <f>1</f>
        <v>1</v>
      </c>
      <c r="D955">
        <f>IF(OR(F_Custom1_Q="(None)",F_Custom1_Q="",ISBLANK(F_Custom1_Q),F_Custom1_V="(All)",F_Custom1_V="",ISBLANK(F_Custom1_V)),1,IFERROR(IF(ISNUMBER(SEARCH("|"&amp;INDEX(INDIRECT(F_Custom1_resolved_column),954)&amp;"|",F_Custom1_wrapped)),1,0),0))</f>
        <v>1</v>
      </c>
      <c r="E955">
        <f>IF(OR(F_Custom2_Q="(None)",F_Custom2_Q="",ISBLANK(F_Custom2_Q),F_Custom2_V="(All)",F_Custom2_V="",ISBLANK(F_Custom2_V)),1,IFERROR(IF(ISNUMBER(SEARCH("|"&amp;INDEX(INDIRECT(F_Custom2_resolved_column),954)&amp;"|",F_Custom2_wrapped)),1,0),0))</f>
        <v>1</v>
      </c>
      <c r="F955">
        <f>D955*E955*1</f>
        <v>1</v>
      </c>
      <c r="G955">
        <f>1</f>
        <v>1</v>
      </c>
      <c r="H9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954)&amp;"|",All_Questions_Q_STREAM_F_wrapped)),1,0),0))*1</f>
        <v>1</v>
      </c>
    </row>
    <row r="956">
      <c r="A956" t="n">
        <v>955</v>
      </c>
      <c r="B956" t="inlineStr">
        <is>
          <t>A</t>
        </is>
      </c>
      <c r="C956">
        <f>1</f>
        <v>1</v>
      </c>
      <c r="D956">
        <f>IF(OR(F_Custom1_Q="(None)",F_Custom1_Q="",ISBLANK(F_Custom1_Q),F_Custom1_V="(All)",F_Custom1_V="",ISBLANK(F_Custom1_V)),1,IFERROR(IF(ISNUMBER(SEARCH("|"&amp;INDEX(INDIRECT(F_Custom1_resolved_column),955)&amp;"|",F_Custom1_wrapped)),1,0),0))</f>
        <v>1</v>
      </c>
      <c r="E956">
        <f>IF(OR(F_Custom2_Q="(None)",F_Custom2_Q="",ISBLANK(F_Custom2_Q),F_Custom2_V="(All)",F_Custom2_V="",ISBLANK(F_Custom2_V)),1,IFERROR(IF(ISNUMBER(SEARCH("|"&amp;INDEX(INDIRECT(F_Custom2_resolved_column),955)&amp;"|",F_Custom2_wrapped)),1,0),0))</f>
        <v>1</v>
      </c>
      <c r="F956">
        <f>D956*E956*1</f>
        <v>1</v>
      </c>
      <c r="G956">
        <f>1</f>
        <v>1</v>
      </c>
      <c r="H9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955)&amp;"|",All_Questions_Q_STREAM_F_wrapped)),1,0),0))*1</f>
        <v>1</v>
      </c>
    </row>
    <row r="957">
      <c r="A957" t="n">
        <v>956</v>
      </c>
      <c r="B957" t="inlineStr">
        <is>
          <t>B</t>
        </is>
      </c>
      <c r="C957">
        <f>1</f>
        <v>1</v>
      </c>
      <c r="D957">
        <f>IF(OR(F_Custom1_Q="(None)",F_Custom1_Q="",ISBLANK(F_Custom1_Q),F_Custom1_V="(All)",F_Custom1_V="",ISBLANK(F_Custom1_V)),1,IFERROR(IF(ISNUMBER(SEARCH("|"&amp;INDEX(INDIRECT(F_Custom1_resolved_column),956)&amp;"|",F_Custom1_wrapped)),1,0),0))</f>
        <v>1</v>
      </c>
      <c r="E957">
        <f>IF(OR(F_Custom2_Q="(None)",F_Custom2_Q="",ISBLANK(F_Custom2_Q),F_Custom2_V="(All)",F_Custom2_V="",ISBLANK(F_Custom2_V)),1,IFERROR(IF(ISNUMBER(SEARCH("|"&amp;INDEX(INDIRECT(F_Custom2_resolved_column),956)&amp;"|",F_Custom2_wrapped)),1,0),0))</f>
        <v>1</v>
      </c>
      <c r="F957">
        <f>D957*E957*1</f>
        <v>1</v>
      </c>
      <c r="G957">
        <f>1</f>
        <v>1</v>
      </c>
      <c r="H9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956)&amp;"|",All_Questions_Q_STREAM_F_wrapped)),1,0),0))*1</f>
        <v>1</v>
      </c>
    </row>
    <row r="958">
      <c r="A958" t="n">
        <v>957</v>
      </c>
      <c r="B958" t="inlineStr">
        <is>
          <t>A</t>
        </is>
      </c>
      <c r="C958">
        <f>1</f>
        <v>1</v>
      </c>
      <c r="D958">
        <f>IF(OR(F_Custom1_Q="(None)",F_Custom1_Q="",ISBLANK(F_Custom1_Q),F_Custom1_V="(All)",F_Custom1_V="",ISBLANK(F_Custom1_V)),1,IFERROR(IF(ISNUMBER(SEARCH("|"&amp;INDEX(INDIRECT(F_Custom1_resolved_column),957)&amp;"|",F_Custom1_wrapped)),1,0),0))</f>
        <v>1</v>
      </c>
      <c r="E958">
        <f>IF(OR(F_Custom2_Q="(None)",F_Custom2_Q="",ISBLANK(F_Custom2_Q),F_Custom2_V="(All)",F_Custom2_V="",ISBLANK(F_Custom2_V)),1,IFERROR(IF(ISNUMBER(SEARCH("|"&amp;INDEX(INDIRECT(F_Custom2_resolved_column),957)&amp;"|",F_Custom2_wrapped)),1,0),0))</f>
        <v>1</v>
      </c>
      <c r="F958">
        <f>D958*E958*1</f>
        <v>1</v>
      </c>
      <c r="G958">
        <f>1</f>
        <v>1</v>
      </c>
      <c r="H9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957)&amp;"|",All_Questions_Q_STREAM_F_wrapped)),1,0),0))*1</f>
        <v>1</v>
      </c>
    </row>
    <row r="959">
      <c r="A959" t="n">
        <v>958</v>
      </c>
      <c r="B959" t="inlineStr">
        <is>
          <t>B</t>
        </is>
      </c>
      <c r="C959">
        <f>1</f>
        <v>1</v>
      </c>
      <c r="D959">
        <f>IF(OR(F_Custom1_Q="(None)",F_Custom1_Q="",ISBLANK(F_Custom1_Q),F_Custom1_V="(All)",F_Custom1_V="",ISBLANK(F_Custom1_V)),1,IFERROR(IF(ISNUMBER(SEARCH("|"&amp;INDEX(INDIRECT(F_Custom1_resolved_column),958)&amp;"|",F_Custom1_wrapped)),1,0),0))</f>
        <v>1</v>
      </c>
      <c r="E959">
        <f>IF(OR(F_Custom2_Q="(None)",F_Custom2_Q="",ISBLANK(F_Custom2_Q),F_Custom2_V="(All)",F_Custom2_V="",ISBLANK(F_Custom2_V)),1,IFERROR(IF(ISNUMBER(SEARCH("|"&amp;INDEX(INDIRECT(F_Custom2_resolved_column),958)&amp;"|",F_Custom2_wrapped)),1,0),0))</f>
        <v>1</v>
      </c>
      <c r="F959">
        <f>D959*E959*1</f>
        <v>1</v>
      </c>
      <c r="G959">
        <f>1</f>
        <v>1</v>
      </c>
      <c r="H9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958)&amp;"|",All_Questions_Q_STREAM_F_wrapped)),1,0),0))*1</f>
        <v>1</v>
      </c>
    </row>
    <row r="960">
      <c r="A960" t="n">
        <v>959</v>
      </c>
      <c r="B960" t="inlineStr">
        <is>
          <t>A</t>
        </is>
      </c>
      <c r="C960">
        <f>1</f>
        <v>1</v>
      </c>
      <c r="D960">
        <f>IF(OR(F_Custom1_Q="(None)",F_Custom1_Q="",ISBLANK(F_Custom1_Q),F_Custom1_V="(All)",F_Custom1_V="",ISBLANK(F_Custom1_V)),1,IFERROR(IF(ISNUMBER(SEARCH("|"&amp;INDEX(INDIRECT(F_Custom1_resolved_column),959)&amp;"|",F_Custom1_wrapped)),1,0),0))</f>
        <v>1</v>
      </c>
      <c r="E960">
        <f>IF(OR(F_Custom2_Q="(None)",F_Custom2_Q="",ISBLANK(F_Custom2_Q),F_Custom2_V="(All)",F_Custom2_V="",ISBLANK(F_Custom2_V)),1,IFERROR(IF(ISNUMBER(SEARCH("|"&amp;INDEX(INDIRECT(F_Custom2_resolved_column),959)&amp;"|",F_Custom2_wrapped)),1,0),0))</f>
        <v>1</v>
      </c>
      <c r="F960">
        <f>D960*E960*1</f>
        <v>1</v>
      </c>
      <c r="G960">
        <f>1</f>
        <v>1</v>
      </c>
      <c r="H9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959)&amp;"|",All_Questions_Q_STREAM_F_wrapped)),1,0),0))*1</f>
        <v>1</v>
      </c>
    </row>
    <row r="961">
      <c r="A961" t="n">
        <v>960</v>
      </c>
      <c r="B961" t="inlineStr">
        <is>
          <t>B</t>
        </is>
      </c>
      <c r="C961">
        <f>1</f>
        <v>1</v>
      </c>
      <c r="D961">
        <f>IF(OR(F_Custom1_Q="(None)",F_Custom1_Q="",ISBLANK(F_Custom1_Q),F_Custom1_V="(All)",F_Custom1_V="",ISBLANK(F_Custom1_V)),1,IFERROR(IF(ISNUMBER(SEARCH("|"&amp;INDEX(INDIRECT(F_Custom1_resolved_column),960)&amp;"|",F_Custom1_wrapped)),1,0),0))</f>
        <v>1</v>
      </c>
      <c r="E961">
        <f>IF(OR(F_Custom2_Q="(None)",F_Custom2_Q="",ISBLANK(F_Custom2_Q),F_Custom2_V="(All)",F_Custom2_V="",ISBLANK(F_Custom2_V)),1,IFERROR(IF(ISNUMBER(SEARCH("|"&amp;INDEX(INDIRECT(F_Custom2_resolved_column),960)&amp;"|",F_Custom2_wrapped)),1,0),0))</f>
        <v>1</v>
      </c>
      <c r="F961">
        <f>D961*E961*1</f>
        <v>1</v>
      </c>
      <c r="G961">
        <f>1</f>
        <v>1</v>
      </c>
      <c r="H9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960)&amp;"|",All_Questions_Q_STREAM_F_wrapped)),1,0),0))*1</f>
        <v>1</v>
      </c>
    </row>
    <row r="962">
      <c r="A962" t="n">
        <v>961</v>
      </c>
      <c r="B962" t="inlineStr">
        <is>
          <t>A</t>
        </is>
      </c>
      <c r="C962">
        <f>1</f>
        <v>1</v>
      </c>
      <c r="D962">
        <f>IF(OR(F_Custom1_Q="(None)",F_Custom1_Q="",ISBLANK(F_Custom1_Q),F_Custom1_V="(All)",F_Custom1_V="",ISBLANK(F_Custom1_V)),1,IFERROR(IF(ISNUMBER(SEARCH("|"&amp;INDEX(INDIRECT(F_Custom1_resolved_column),961)&amp;"|",F_Custom1_wrapped)),1,0),0))</f>
        <v>1</v>
      </c>
      <c r="E962">
        <f>IF(OR(F_Custom2_Q="(None)",F_Custom2_Q="",ISBLANK(F_Custom2_Q),F_Custom2_V="(All)",F_Custom2_V="",ISBLANK(F_Custom2_V)),1,IFERROR(IF(ISNUMBER(SEARCH("|"&amp;INDEX(INDIRECT(F_Custom2_resolved_column),961)&amp;"|",F_Custom2_wrapped)),1,0),0))</f>
        <v>1</v>
      </c>
      <c r="F962">
        <f>D962*E962*1</f>
        <v>1</v>
      </c>
      <c r="G962">
        <f>1</f>
        <v>1</v>
      </c>
      <c r="H9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961)&amp;"|",All_Questions_Q_STREAM_F_wrapped)),1,0),0))*1</f>
        <v>1</v>
      </c>
    </row>
    <row r="963">
      <c r="A963" t="n">
        <v>962</v>
      </c>
      <c r="B963" t="inlineStr">
        <is>
          <t>B</t>
        </is>
      </c>
      <c r="C963">
        <f>1</f>
        <v>1</v>
      </c>
      <c r="D963">
        <f>IF(OR(F_Custom1_Q="(None)",F_Custom1_Q="",ISBLANK(F_Custom1_Q),F_Custom1_V="(All)",F_Custom1_V="",ISBLANK(F_Custom1_V)),1,IFERROR(IF(ISNUMBER(SEARCH("|"&amp;INDEX(INDIRECT(F_Custom1_resolved_column),962)&amp;"|",F_Custom1_wrapped)),1,0),0))</f>
        <v>1</v>
      </c>
      <c r="E963">
        <f>IF(OR(F_Custom2_Q="(None)",F_Custom2_Q="",ISBLANK(F_Custom2_Q),F_Custom2_V="(All)",F_Custom2_V="",ISBLANK(F_Custom2_V)),1,IFERROR(IF(ISNUMBER(SEARCH("|"&amp;INDEX(INDIRECT(F_Custom2_resolved_column),962)&amp;"|",F_Custom2_wrapped)),1,0),0))</f>
        <v>1</v>
      </c>
      <c r="F963">
        <f>D963*E963*1</f>
        <v>1</v>
      </c>
      <c r="G963">
        <f>1</f>
        <v>1</v>
      </c>
      <c r="H9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962)&amp;"|",All_Questions_Q_STREAM_F_wrapped)),1,0),0))*1</f>
        <v>1</v>
      </c>
    </row>
    <row r="964">
      <c r="A964" t="n">
        <v>963</v>
      </c>
      <c r="B964" t="inlineStr">
        <is>
          <t>A</t>
        </is>
      </c>
      <c r="C964">
        <f>1</f>
        <v>1</v>
      </c>
      <c r="D964">
        <f>IF(OR(F_Custom1_Q="(None)",F_Custom1_Q="",ISBLANK(F_Custom1_Q),F_Custom1_V="(All)",F_Custom1_V="",ISBLANK(F_Custom1_V)),1,IFERROR(IF(ISNUMBER(SEARCH("|"&amp;INDEX(INDIRECT(F_Custom1_resolved_column),963)&amp;"|",F_Custom1_wrapped)),1,0),0))</f>
        <v>1</v>
      </c>
      <c r="E964">
        <f>IF(OR(F_Custom2_Q="(None)",F_Custom2_Q="",ISBLANK(F_Custom2_Q),F_Custom2_V="(All)",F_Custom2_V="",ISBLANK(F_Custom2_V)),1,IFERROR(IF(ISNUMBER(SEARCH("|"&amp;INDEX(INDIRECT(F_Custom2_resolved_column),963)&amp;"|",F_Custom2_wrapped)),1,0),0))</f>
        <v>1</v>
      </c>
      <c r="F964">
        <f>D964*E964*1</f>
        <v>1</v>
      </c>
      <c r="G964">
        <f>1</f>
        <v>1</v>
      </c>
      <c r="H9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963)&amp;"|",All_Questions_Q_STREAM_F_wrapped)),1,0),0))*1</f>
        <v>1</v>
      </c>
    </row>
    <row r="965">
      <c r="A965" t="n">
        <v>964</v>
      </c>
      <c r="B965" t="inlineStr">
        <is>
          <t>B</t>
        </is>
      </c>
      <c r="C965">
        <f>1</f>
        <v>1</v>
      </c>
      <c r="D965">
        <f>IF(OR(F_Custom1_Q="(None)",F_Custom1_Q="",ISBLANK(F_Custom1_Q),F_Custom1_V="(All)",F_Custom1_V="",ISBLANK(F_Custom1_V)),1,IFERROR(IF(ISNUMBER(SEARCH("|"&amp;INDEX(INDIRECT(F_Custom1_resolved_column),964)&amp;"|",F_Custom1_wrapped)),1,0),0))</f>
        <v>1</v>
      </c>
      <c r="E965">
        <f>IF(OR(F_Custom2_Q="(None)",F_Custom2_Q="",ISBLANK(F_Custom2_Q),F_Custom2_V="(All)",F_Custom2_V="",ISBLANK(F_Custom2_V)),1,IFERROR(IF(ISNUMBER(SEARCH("|"&amp;INDEX(INDIRECT(F_Custom2_resolved_column),964)&amp;"|",F_Custom2_wrapped)),1,0),0))</f>
        <v>1</v>
      </c>
      <c r="F965">
        <f>D965*E965*1</f>
        <v>1</v>
      </c>
      <c r="G965">
        <f>1</f>
        <v>1</v>
      </c>
      <c r="H9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964)&amp;"|",All_Questions_Q_STREAM_F_wrapped)),1,0),0))*1</f>
        <v>1</v>
      </c>
    </row>
    <row r="966">
      <c r="A966" t="n">
        <v>965</v>
      </c>
      <c r="B966" t="inlineStr">
        <is>
          <t>A</t>
        </is>
      </c>
      <c r="C966">
        <f>1</f>
        <v>1</v>
      </c>
      <c r="D966">
        <f>IF(OR(F_Custom1_Q="(None)",F_Custom1_Q="",ISBLANK(F_Custom1_Q),F_Custom1_V="(All)",F_Custom1_V="",ISBLANK(F_Custom1_V)),1,IFERROR(IF(ISNUMBER(SEARCH("|"&amp;INDEX(INDIRECT(F_Custom1_resolved_column),965)&amp;"|",F_Custom1_wrapped)),1,0),0))</f>
        <v>1</v>
      </c>
      <c r="E966">
        <f>IF(OR(F_Custom2_Q="(None)",F_Custom2_Q="",ISBLANK(F_Custom2_Q),F_Custom2_V="(All)",F_Custom2_V="",ISBLANK(F_Custom2_V)),1,IFERROR(IF(ISNUMBER(SEARCH("|"&amp;INDEX(INDIRECT(F_Custom2_resolved_column),965)&amp;"|",F_Custom2_wrapped)),1,0),0))</f>
        <v>1</v>
      </c>
      <c r="F966">
        <f>D966*E966*1</f>
        <v>1</v>
      </c>
      <c r="G966">
        <f>1</f>
        <v>1</v>
      </c>
      <c r="H9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965)&amp;"|",All_Questions_Q_STREAM_F_wrapped)),1,0),0))*1</f>
        <v>1</v>
      </c>
    </row>
    <row r="967">
      <c r="A967" t="n">
        <v>966</v>
      </c>
      <c r="B967" t="inlineStr">
        <is>
          <t>B</t>
        </is>
      </c>
      <c r="C967">
        <f>1</f>
        <v>1</v>
      </c>
      <c r="D967">
        <f>IF(OR(F_Custom1_Q="(None)",F_Custom1_Q="",ISBLANK(F_Custom1_Q),F_Custom1_V="(All)",F_Custom1_V="",ISBLANK(F_Custom1_V)),1,IFERROR(IF(ISNUMBER(SEARCH("|"&amp;INDEX(INDIRECT(F_Custom1_resolved_column),966)&amp;"|",F_Custom1_wrapped)),1,0),0))</f>
        <v>1</v>
      </c>
      <c r="E967">
        <f>IF(OR(F_Custom2_Q="(None)",F_Custom2_Q="",ISBLANK(F_Custom2_Q),F_Custom2_V="(All)",F_Custom2_V="",ISBLANK(F_Custom2_V)),1,IFERROR(IF(ISNUMBER(SEARCH("|"&amp;INDEX(INDIRECT(F_Custom2_resolved_column),966)&amp;"|",F_Custom2_wrapped)),1,0),0))</f>
        <v>1</v>
      </c>
      <c r="F967">
        <f>D967*E967*1</f>
        <v>1</v>
      </c>
      <c r="G967">
        <f>1</f>
        <v>1</v>
      </c>
      <c r="H9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966)&amp;"|",All_Questions_Q_STREAM_F_wrapped)),1,0),0))*1</f>
        <v>1</v>
      </c>
    </row>
    <row r="968">
      <c r="A968" t="n">
        <v>967</v>
      </c>
      <c r="B968" t="inlineStr">
        <is>
          <t>A</t>
        </is>
      </c>
      <c r="C968">
        <f>1</f>
        <v>1</v>
      </c>
      <c r="D968">
        <f>IF(OR(F_Custom1_Q="(None)",F_Custom1_Q="",ISBLANK(F_Custom1_Q),F_Custom1_V="(All)",F_Custom1_V="",ISBLANK(F_Custom1_V)),1,IFERROR(IF(ISNUMBER(SEARCH("|"&amp;INDEX(INDIRECT(F_Custom1_resolved_column),967)&amp;"|",F_Custom1_wrapped)),1,0),0))</f>
        <v>1</v>
      </c>
      <c r="E968">
        <f>IF(OR(F_Custom2_Q="(None)",F_Custom2_Q="",ISBLANK(F_Custom2_Q),F_Custom2_V="(All)",F_Custom2_V="",ISBLANK(F_Custom2_V)),1,IFERROR(IF(ISNUMBER(SEARCH("|"&amp;INDEX(INDIRECT(F_Custom2_resolved_column),967)&amp;"|",F_Custom2_wrapped)),1,0),0))</f>
        <v>1</v>
      </c>
      <c r="F968">
        <f>D968*E968*1</f>
        <v>1</v>
      </c>
      <c r="G968">
        <f>1</f>
        <v>1</v>
      </c>
      <c r="H9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967)&amp;"|",All_Questions_Q_STREAM_F_wrapped)),1,0),0))*1</f>
        <v>1</v>
      </c>
    </row>
    <row r="969">
      <c r="A969" t="n">
        <v>968</v>
      </c>
      <c r="B969" t="inlineStr">
        <is>
          <t>B</t>
        </is>
      </c>
      <c r="C969">
        <f>1</f>
        <v>1</v>
      </c>
      <c r="D969">
        <f>IF(OR(F_Custom1_Q="(None)",F_Custom1_Q="",ISBLANK(F_Custom1_Q),F_Custom1_V="(All)",F_Custom1_V="",ISBLANK(F_Custom1_V)),1,IFERROR(IF(ISNUMBER(SEARCH("|"&amp;INDEX(INDIRECT(F_Custom1_resolved_column),968)&amp;"|",F_Custom1_wrapped)),1,0),0))</f>
        <v>1</v>
      </c>
      <c r="E969">
        <f>IF(OR(F_Custom2_Q="(None)",F_Custom2_Q="",ISBLANK(F_Custom2_Q),F_Custom2_V="(All)",F_Custom2_V="",ISBLANK(F_Custom2_V)),1,IFERROR(IF(ISNUMBER(SEARCH("|"&amp;INDEX(INDIRECT(F_Custom2_resolved_column),968)&amp;"|",F_Custom2_wrapped)),1,0),0))</f>
        <v>1</v>
      </c>
      <c r="F969">
        <f>D969*E969*1</f>
        <v>1</v>
      </c>
      <c r="G969">
        <f>1</f>
        <v>1</v>
      </c>
      <c r="H9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968)&amp;"|",All_Questions_Q_STREAM_F_wrapped)),1,0),0))*1</f>
        <v>1</v>
      </c>
    </row>
    <row r="970">
      <c r="A970" t="n">
        <v>969</v>
      </c>
      <c r="B970" t="inlineStr">
        <is>
          <t>A</t>
        </is>
      </c>
      <c r="C970">
        <f>1</f>
        <v>1</v>
      </c>
      <c r="D970">
        <f>IF(OR(F_Custom1_Q="(None)",F_Custom1_Q="",ISBLANK(F_Custom1_Q),F_Custom1_V="(All)",F_Custom1_V="",ISBLANK(F_Custom1_V)),1,IFERROR(IF(ISNUMBER(SEARCH("|"&amp;INDEX(INDIRECT(F_Custom1_resolved_column),969)&amp;"|",F_Custom1_wrapped)),1,0),0))</f>
        <v>1</v>
      </c>
      <c r="E970">
        <f>IF(OR(F_Custom2_Q="(None)",F_Custom2_Q="",ISBLANK(F_Custom2_Q),F_Custom2_V="(All)",F_Custom2_V="",ISBLANK(F_Custom2_V)),1,IFERROR(IF(ISNUMBER(SEARCH("|"&amp;INDEX(INDIRECT(F_Custom2_resolved_column),969)&amp;"|",F_Custom2_wrapped)),1,0),0))</f>
        <v>1</v>
      </c>
      <c r="F970">
        <f>D970*E970*1</f>
        <v>1</v>
      </c>
      <c r="G970">
        <f>1</f>
        <v>1</v>
      </c>
      <c r="H9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969)&amp;"|",All_Questions_Q_STREAM_F_wrapped)),1,0),0))*1</f>
        <v>1</v>
      </c>
    </row>
    <row r="971">
      <c r="A971" t="n">
        <v>970</v>
      </c>
      <c r="B971" t="inlineStr">
        <is>
          <t>B</t>
        </is>
      </c>
      <c r="C971">
        <f>1</f>
        <v>1</v>
      </c>
      <c r="D971">
        <f>IF(OR(F_Custom1_Q="(None)",F_Custom1_Q="",ISBLANK(F_Custom1_Q),F_Custom1_V="(All)",F_Custom1_V="",ISBLANK(F_Custom1_V)),1,IFERROR(IF(ISNUMBER(SEARCH("|"&amp;INDEX(INDIRECT(F_Custom1_resolved_column),970)&amp;"|",F_Custom1_wrapped)),1,0),0))</f>
        <v>1</v>
      </c>
      <c r="E971">
        <f>IF(OR(F_Custom2_Q="(None)",F_Custom2_Q="",ISBLANK(F_Custom2_Q),F_Custom2_V="(All)",F_Custom2_V="",ISBLANK(F_Custom2_V)),1,IFERROR(IF(ISNUMBER(SEARCH("|"&amp;INDEX(INDIRECT(F_Custom2_resolved_column),970)&amp;"|",F_Custom2_wrapped)),1,0),0))</f>
        <v>1</v>
      </c>
      <c r="F971">
        <f>D971*E971*1</f>
        <v>1</v>
      </c>
      <c r="G971">
        <f>1</f>
        <v>1</v>
      </c>
      <c r="H9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970)&amp;"|",All_Questions_Q_STREAM_F_wrapped)),1,0),0))*1</f>
        <v>1</v>
      </c>
    </row>
    <row r="972">
      <c r="A972" t="n">
        <v>971</v>
      </c>
      <c r="B972" t="inlineStr">
        <is>
          <t>A</t>
        </is>
      </c>
      <c r="C972">
        <f>1</f>
        <v>1</v>
      </c>
      <c r="D972">
        <f>IF(OR(F_Custom1_Q="(None)",F_Custom1_Q="",ISBLANK(F_Custom1_Q),F_Custom1_V="(All)",F_Custom1_V="",ISBLANK(F_Custom1_V)),1,IFERROR(IF(ISNUMBER(SEARCH("|"&amp;INDEX(INDIRECT(F_Custom1_resolved_column),971)&amp;"|",F_Custom1_wrapped)),1,0),0))</f>
        <v>1</v>
      </c>
      <c r="E972">
        <f>IF(OR(F_Custom2_Q="(None)",F_Custom2_Q="",ISBLANK(F_Custom2_Q),F_Custom2_V="(All)",F_Custom2_V="",ISBLANK(F_Custom2_V)),1,IFERROR(IF(ISNUMBER(SEARCH("|"&amp;INDEX(INDIRECT(F_Custom2_resolved_column),971)&amp;"|",F_Custom2_wrapped)),1,0),0))</f>
        <v>1</v>
      </c>
      <c r="F972">
        <f>D972*E972*1</f>
        <v>1</v>
      </c>
      <c r="G972">
        <f>1</f>
        <v>1</v>
      </c>
      <c r="H9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971)&amp;"|",All_Questions_Q_STREAM_F_wrapped)),1,0),0))*1</f>
        <v>1</v>
      </c>
    </row>
    <row r="973">
      <c r="A973" t="n">
        <v>972</v>
      </c>
      <c r="B973" t="inlineStr">
        <is>
          <t>B</t>
        </is>
      </c>
      <c r="C973">
        <f>1</f>
        <v>1</v>
      </c>
      <c r="D973">
        <f>IF(OR(F_Custom1_Q="(None)",F_Custom1_Q="",ISBLANK(F_Custom1_Q),F_Custom1_V="(All)",F_Custom1_V="",ISBLANK(F_Custom1_V)),1,IFERROR(IF(ISNUMBER(SEARCH("|"&amp;INDEX(INDIRECT(F_Custom1_resolved_column),972)&amp;"|",F_Custom1_wrapped)),1,0),0))</f>
        <v>1</v>
      </c>
      <c r="E973">
        <f>IF(OR(F_Custom2_Q="(None)",F_Custom2_Q="",ISBLANK(F_Custom2_Q),F_Custom2_V="(All)",F_Custom2_V="",ISBLANK(F_Custom2_V)),1,IFERROR(IF(ISNUMBER(SEARCH("|"&amp;INDEX(INDIRECT(F_Custom2_resolved_column),972)&amp;"|",F_Custom2_wrapped)),1,0),0))</f>
        <v>1</v>
      </c>
      <c r="F973">
        <f>D973*E973*1</f>
        <v>1</v>
      </c>
      <c r="G973">
        <f>1</f>
        <v>1</v>
      </c>
      <c r="H9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972)&amp;"|",All_Questions_Q_STREAM_F_wrapped)),1,0),0))*1</f>
        <v>1</v>
      </c>
    </row>
    <row r="974">
      <c r="A974" t="n">
        <v>973</v>
      </c>
      <c r="B974" t="inlineStr">
        <is>
          <t>A</t>
        </is>
      </c>
      <c r="C974">
        <f>1</f>
        <v>1</v>
      </c>
      <c r="D974">
        <f>IF(OR(F_Custom1_Q="(None)",F_Custom1_Q="",ISBLANK(F_Custom1_Q),F_Custom1_V="(All)",F_Custom1_V="",ISBLANK(F_Custom1_V)),1,IFERROR(IF(ISNUMBER(SEARCH("|"&amp;INDEX(INDIRECT(F_Custom1_resolved_column),973)&amp;"|",F_Custom1_wrapped)),1,0),0))</f>
        <v>1</v>
      </c>
      <c r="E974">
        <f>IF(OR(F_Custom2_Q="(None)",F_Custom2_Q="",ISBLANK(F_Custom2_Q),F_Custom2_V="(All)",F_Custom2_V="",ISBLANK(F_Custom2_V)),1,IFERROR(IF(ISNUMBER(SEARCH("|"&amp;INDEX(INDIRECT(F_Custom2_resolved_column),973)&amp;"|",F_Custom2_wrapped)),1,0),0))</f>
        <v>1</v>
      </c>
      <c r="F974">
        <f>D974*E974*1</f>
        <v>1</v>
      </c>
      <c r="G974">
        <f>1</f>
        <v>1</v>
      </c>
      <c r="H9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973)&amp;"|",All_Questions_Q_STREAM_F_wrapped)),1,0),0))*1</f>
        <v>1</v>
      </c>
    </row>
    <row r="975">
      <c r="A975" t="n">
        <v>974</v>
      </c>
      <c r="B975" t="inlineStr">
        <is>
          <t>B</t>
        </is>
      </c>
      <c r="C975">
        <f>1</f>
        <v>1</v>
      </c>
      <c r="D975">
        <f>IF(OR(F_Custom1_Q="(None)",F_Custom1_Q="",ISBLANK(F_Custom1_Q),F_Custom1_V="(All)",F_Custom1_V="",ISBLANK(F_Custom1_V)),1,IFERROR(IF(ISNUMBER(SEARCH("|"&amp;INDEX(INDIRECT(F_Custom1_resolved_column),974)&amp;"|",F_Custom1_wrapped)),1,0),0))</f>
        <v>1</v>
      </c>
      <c r="E975">
        <f>IF(OR(F_Custom2_Q="(None)",F_Custom2_Q="",ISBLANK(F_Custom2_Q),F_Custom2_V="(All)",F_Custom2_V="",ISBLANK(F_Custom2_V)),1,IFERROR(IF(ISNUMBER(SEARCH("|"&amp;INDEX(INDIRECT(F_Custom2_resolved_column),974)&amp;"|",F_Custom2_wrapped)),1,0),0))</f>
        <v>1</v>
      </c>
      <c r="F975">
        <f>D975*E975*1</f>
        <v>1</v>
      </c>
      <c r="G975">
        <f>1</f>
        <v>1</v>
      </c>
      <c r="H9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974)&amp;"|",All_Questions_Q_STREAM_F_wrapped)),1,0),0))*1</f>
        <v>1</v>
      </c>
    </row>
    <row r="976">
      <c r="A976" t="n">
        <v>975</v>
      </c>
      <c r="B976" t="inlineStr">
        <is>
          <t>A</t>
        </is>
      </c>
      <c r="C976">
        <f>1</f>
        <v>1</v>
      </c>
      <c r="D976">
        <f>IF(OR(F_Custom1_Q="(None)",F_Custom1_Q="",ISBLANK(F_Custom1_Q),F_Custom1_V="(All)",F_Custom1_V="",ISBLANK(F_Custom1_V)),1,IFERROR(IF(ISNUMBER(SEARCH("|"&amp;INDEX(INDIRECT(F_Custom1_resolved_column),975)&amp;"|",F_Custom1_wrapped)),1,0),0))</f>
        <v>1</v>
      </c>
      <c r="E976">
        <f>IF(OR(F_Custom2_Q="(None)",F_Custom2_Q="",ISBLANK(F_Custom2_Q),F_Custom2_V="(All)",F_Custom2_V="",ISBLANK(F_Custom2_V)),1,IFERROR(IF(ISNUMBER(SEARCH("|"&amp;INDEX(INDIRECT(F_Custom2_resolved_column),975)&amp;"|",F_Custom2_wrapped)),1,0),0))</f>
        <v>1</v>
      </c>
      <c r="F976">
        <f>D976*E976*1</f>
        <v>1</v>
      </c>
      <c r="G976">
        <f>1</f>
        <v>1</v>
      </c>
      <c r="H9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975)&amp;"|",All_Questions_Q_STREAM_F_wrapped)),1,0),0))*1</f>
        <v>1</v>
      </c>
    </row>
    <row r="977">
      <c r="A977" t="n">
        <v>976</v>
      </c>
      <c r="B977" t="inlineStr">
        <is>
          <t>B</t>
        </is>
      </c>
      <c r="C977">
        <f>1</f>
        <v>1</v>
      </c>
      <c r="D977">
        <f>IF(OR(F_Custom1_Q="(None)",F_Custom1_Q="",ISBLANK(F_Custom1_Q),F_Custom1_V="(All)",F_Custom1_V="",ISBLANK(F_Custom1_V)),1,IFERROR(IF(ISNUMBER(SEARCH("|"&amp;INDEX(INDIRECT(F_Custom1_resolved_column),976)&amp;"|",F_Custom1_wrapped)),1,0),0))</f>
        <v>1</v>
      </c>
      <c r="E977">
        <f>IF(OR(F_Custom2_Q="(None)",F_Custom2_Q="",ISBLANK(F_Custom2_Q),F_Custom2_V="(All)",F_Custom2_V="",ISBLANK(F_Custom2_V)),1,IFERROR(IF(ISNUMBER(SEARCH("|"&amp;INDEX(INDIRECT(F_Custom2_resolved_column),976)&amp;"|",F_Custom2_wrapped)),1,0),0))</f>
        <v>1</v>
      </c>
      <c r="F977">
        <f>D977*E977*1</f>
        <v>1</v>
      </c>
      <c r="G977">
        <f>1</f>
        <v>1</v>
      </c>
      <c r="H9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976)&amp;"|",All_Questions_Q_STREAM_F_wrapped)),1,0),0))*1</f>
        <v>1</v>
      </c>
    </row>
    <row r="978">
      <c r="A978" t="n">
        <v>977</v>
      </c>
      <c r="B978" t="inlineStr">
        <is>
          <t>A</t>
        </is>
      </c>
      <c r="C978">
        <f>1</f>
        <v>1</v>
      </c>
      <c r="D978">
        <f>IF(OR(F_Custom1_Q="(None)",F_Custom1_Q="",ISBLANK(F_Custom1_Q),F_Custom1_V="(All)",F_Custom1_V="",ISBLANK(F_Custom1_V)),1,IFERROR(IF(ISNUMBER(SEARCH("|"&amp;INDEX(INDIRECT(F_Custom1_resolved_column),977)&amp;"|",F_Custom1_wrapped)),1,0),0))</f>
        <v>1</v>
      </c>
      <c r="E978">
        <f>IF(OR(F_Custom2_Q="(None)",F_Custom2_Q="",ISBLANK(F_Custom2_Q),F_Custom2_V="(All)",F_Custom2_V="",ISBLANK(F_Custom2_V)),1,IFERROR(IF(ISNUMBER(SEARCH("|"&amp;INDEX(INDIRECT(F_Custom2_resolved_column),977)&amp;"|",F_Custom2_wrapped)),1,0),0))</f>
        <v>1</v>
      </c>
      <c r="F978">
        <f>D978*E978*1</f>
        <v>1</v>
      </c>
      <c r="G978">
        <f>1</f>
        <v>1</v>
      </c>
      <c r="H9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977)&amp;"|",All_Questions_Q_STREAM_F_wrapped)),1,0),0))*1</f>
        <v>1</v>
      </c>
    </row>
    <row r="979">
      <c r="A979" t="n">
        <v>978</v>
      </c>
      <c r="B979" t="inlineStr">
        <is>
          <t>B</t>
        </is>
      </c>
      <c r="C979">
        <f>1</f>
        <v>1</v>
      </c>
      <c r="D979">
        <f>IF(OR(F_Custom1_Q="(None)",F_Custom1_Q="",ISBLANK(F_Custom1_Q),F_Custom1_V="(All)",F_Custom1_V="",ISBLANK(F_Custom1_V)),1,IFERROR(IF(ISNUMBER(SEARCH("|"&amp;INDEX(INDIRECT(F_Custom1_resolved_column),978)&amp;"|",F_Custom1_wrapped)),1,0),0))</f>
        <v>1</v>
      </c>
      <c r="E979">
        <f>IF(OR(F_Custom2_Q="(None)",F_Custom2_Q="",ISBLANK(F_Custom2_Q),F_Custom2_V="(All)",F_Custom2_V="",ISBLANK(F_Custom2_V)),1,IFERROR(IF(ISNUMBER(SEARCH("|"&amp;INDEX(INDIRECT(F_Custom2_resolved_column),978)&amp;"|",F_Custom2_wrapped)),1,0),0))</f>
        <v>1</v>
      </c>
      <c r="F979">
        <f>D979*E979*1</f>
        <v>1</v>
      </c>
      <c r="G979">
        <f>1</f>
        <v>1</v>
      </c>
      <c r="H9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978)&amp;"|",All_Questions_Q_STREAM_F_wrapped)),1,0),0))*1</f>
        <v>1</v>
      </c>
    </row>
    <row r="980">
      <c r="A980" t="n">
        <v>979</v>
      </c>
      <c r="B980" t="inlineStr">
        <is>
          <t>A</t>
        </is>
      </c>
      <c r="C980">
        <f>1</f>
        <v>1</v>
      </c>
      <c r="D980">
        <f>IF(OR(F_Custom1_Q="(None)",F_Custom1_Q="",ISBLANK(F_Custom1_Q),F_Custom1_V="(All)",F_Custom1_V="",ISBLANK(F_Custom1_V)),1,IFERROR(IF(ISNUMBER(SEARCH("|"&amp;INDEX(INDIRECT(F_Custom1_resolved_column),979)&amp;"|",F_Custom1_wrapped)),1,0),0))</f>
        <v>1</v>
      </c>
      <c r="E980">
        <f>IF(OR(F_Custom2_Q="(None)",F_Custom2_Q="",ISBLANK(F_Custom2_Q),F_Custom2_V="(All)",F_Custom2_V="",ISBLANK(F_Custom2_V)),1,IFERROR(IF(ISNUMBER(SEARCH("|"&amp;INDEX(INDIRECT(F_Custom2_resolved_column),979)&amp;"|",F_Custom2_wrapped)),1,0),0))</f>
        <v>1</v>
      </c>
      <c r="F980">
        <f>D980*E980*1</f>
        <v>1</v>
      </c>
      <c r="G980">
        <f>1</f>
        <v>1</v>
      </c>
      <c r="H9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979)&amp;"|",All_Questions_Q_STREAM_F_wrapped)),1,0),0))*1</f>
        <v>1</v>
      </c>
    </row>
    <row r="981">
      <c r="A981" t="n">
        <v>980</v>
      </c>
      <c r="B981" t="inlineStr">
        <is>
          <t>B</t>
        </is>
      </c>
      <c r="C981">
        <f>1</f>
        <v>1</v>
      </c>
      <c r="D981">
        <f>IF(OR(F_Custom1_Q="(None)",F_Custom1_Q="",ISBLANK(F_Custom1_Q),F_Custom1_V="(All)",F_Custom1_V="",ISBLANK(F_Custom1_V)),1,IFERROR(IF(ISNUMBER(SEARCH("|"&amp;INDEX(INDIRECT(F_Custom1_resolved_column),980)&amp;"|",F_Custom1_wrapped)),1,0),0))</f>
        <v>1</v>
      </c>
      <c r="E981">
        <f>IF(OR(F_Custom2_Q="(None)",F_Custom2_Q="",ISBLANK(F_Custom2_Q),F_Custom2_V="(All)",F_Custom2_V="",ISBLANK(F_Custom2_V)),1,IFERROR(IF(ISNUMBER(SEARCH("|"&amp;INDEX(INDIRECT(F_Custom2_resolved_column),980)&amp;"|",F_Custom2_wrapped)),1,0),0))</f>
        <v>1</v>
      </c>
      <c r="F981">
        <f>D981*E981*1</f>
        <v>1</v>
      </c>
      <c r="G981">
        <f>1</f>
        <v>1</v>
      </c>
      <c r="H9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980)&amp;"|",All_Questions_Q_STREAM_F_wrapped)),1,0),0))*1</f>
        <v>1</v>
      </c>
    </row>
    <row r="982">
      <c r="A982" t="n">
        <v>981</v>
      </c>
      <c r="B982" t="inlineStr">
        <is>
          <t>A</t>
        </is>
      </c>
      <c r="C982">
        <f>1</f>
        <v>1</v>
      </c>
      <c r="D982">
        <f>IF(OR(F_Custom1_Q="(None)",F_Custom1_Q="",ISBLANK(F_Custom1_Q),F_Custom1_V="(All)",F_Custom1_V="",ISBLANK(F_Custom1_V)),1,IFERROR(IF(ISNUMBER(SEARCH("|"&amp;INDEX(INDIRECT(F_Custom1_resolved_column),981)&amp;"|",F_Custom1_wrapped)),1,0),0))</f>
        <v>1</v>
      </c>
      <c r="E982">
        <f>IF(OR(F_Custom2_Q="(None)",F_Custom2_Q="",ISBLANK(F_Custom2_Q),F_Custom2_V="(All)",F_Custom2_V="",ISBLANK(F_Custom2_V)),1,IFERROR(IF(ISNUMBER(SEARCH("|"&amp;INDEX(INDIRECT(F_Custom2_resolved_column),981)&amp;"|",F_Custom2_wrapped)),1,0),0))</f>
        <v>1</v>
      </c>
      <c r="F982">
        <f>D982*E982*1</f>
        <v>1</v>
      </c>
      <c r="G982">
        <f>1</f>
        <v>1</v>
      </c>
      <c r="H9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981)&amp;"|",All_Questions_Q_STREAM_F_wrapped)),1,0),0))*1</f>
        <v>1</v>
      </c>
    </row>
    <row r="983">
      <c r="A983" t="n">
        <v>982</v>
      </c>
      <c r="B983" t="inlineStr">
        <is>
          <t>B</t>
        </is>
      </c>
      <c r="C983">
        <f>1</f>
        <v>1</v>
      </c>
      <c r="D983">
        <f>IF(OR(F_Custom1_Q="(None)",F_Custom1_Q="",ISBLANK(F_Custom1_Q),F_Custom1_V="(All)",F_Custom1_V="",ISBLANK(F_Custom1_V)),1,IFERROR(IF(ISNUMBER(SEARCH("|"&amp;INDEX(INDIRECT(F_Custom1_resolved_column),982)&amp;"|",F_Custom1_wrapped)),1,0),0))</f>
        <v>1</v>
      </c>
      <c r="E983">
        <f>IF(OR(F_Custom2_Q="(None)",F_Custom2_Q="",ISBLANK(F_Custom2_Q),F_Custom2_V="(All)",F_Custom2_V="",ISBLANK(F_Custom2_V)),1,IFERROR(IF(ISNUMBER(SEARCH("|"&amp;INDEX(INDIRECT(F_Custom2_resolved_column),982)&amp;"|",F_Custom2_wrapped)),1,0),0))</f>
        <v>1</v>
      </c>
      <c r="F983">
        <f>D983*E983*1</f>
        <v>1</v>
      </c>
      <c r="G983">
        <f>1</f>
        <v>1</v>
      </c>
      <c r="H9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982)&amp;"|",All_Questions_Q_STREAM_F_wrapped)),1,0),0))*1</f>
        <v>1</v>
      </c>
    </row>
    <row r="984">
      <c r="A984" t="n">
        <v>983</v>
      </c>
      <c r="B984" t="inlineStr">
        <is>
          <t>A</t>
        </is>
      </c>
      <c r="C984">
        <f>1</f>
        <v>1</v>
      </c>
      <c r="D984">
        <f>IF(OR(F_Custom1_Q="(None)",F_Custom1_Q="",ISBLANK(F_Custom1_Q),F_Custom1_V="(All)",F_Custom1_V="",ISBLANK(F_Custom1_V)),1,IFERROR(IF(ISNUMBER(SEARCH("|"&amp;INDEX(INDIRECT(F_Custom1_resolved_column),983)&amp;"|",F_Custom1_wrapped)),1,0),0))</f>
        <v>1</v>
      </c>
      <c r="E984">
        <f>IF(OR(F_Custom2_Q="(None)",F_Custom2_Q="",ISBLANK(F_Custom2_Q),F_Custom2_V="(All)",F_Custom2_V="",ISBLANK(F_Custom2_V)),1,IFERROR(IF(ISNUMBER(SEARCH("|"&amp;INDEX(INDIRECT(F_Custom2_resolved_column),983)&amp;"|",F_Custom2_wrapped)),1,0),0))</f>
        <v>1</v>
      </c>
      <c r="F984">
        <f>D984*E984*1</f>
        <v>1</v>
      </c>
      <c r="G984">
        <f>1</f>
        <v>1</v>
      </c>
      <c r="H9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983)&amp;"|",All_Questions_Q_STREAM_F_wrapped)),1,0),0))*1</f>
        <v>1</v>
      </c>
    </row>
    <row r="985">
      <c r="A985" t="n">
        <v>984</v>
      </c>
      <c r="B985" t="inlineStr">
        <is>
          <t>B</t>
        </is>
      </c>
      <c r="C985">
        <f>1</f>
        <v>1</v>
      </c>
      <c r="D985">
        <f>IF(OR(F_Custom1_Q="(None)",F_Custom1_Q="",ISBLANK(F_Custom1_Q),F_Custom1_V="(All)",F_Custom1_V="",ISBLANK(F_Custom1_V)),1,IFERROR(IF(ISNUMBER(SEARCH("|"&amp;INDEX(INDIRECT(F_Custom1_resolved_column),984)&amp;"|",F_Custom1_wrapped)),1,0),0))</f>
        <v>1</v>
      </c>
      <c r="E985">
        <f>IF(OR(F_Custom2_Q="(None)",F_Custom2_Q="",ISBLANK(F_Custom2_Q),F_Custom2_V="(All)",F_Custom2_V="",ISBLANK(F_Custom2_V)),1,IFERROR(IF(ISNUMBER(SEARCH("|"&amp;INDEX(INDIRECT(F_Custom2_resolved_column),984)&amp;"|",F_Custom2_wrapped)),1,0),0))</f>
        <v>1</v>
      </c>
      <c r="F985">
        <f>D985*E985*1</f>
        <v>1</v>
      </c>
      <c r="G985">
        <f>1</f>
        <v>1</v>
      </c>
      <c r="H9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984)&amp;"|",All_Questions_Q_STREAM_F_wrapped)),1,0),0))*1</f>
        <v>1</v>
      </c>
    </row>
    <row r="986">
      <c r="A986" t="n">
        <v>985</v>
      </c>
      <c r="B986" t="inlineStr">
        <is>
          <t>A</t>
        </is>
      </c>
      <c r="C986">
        <f>1</f>
        <v>1</v>
      </c>
      <c r="D986">
        <f>IF(OR(F_Custom1_Q="(None)",F_Custom1_Q="",ISBLANK(F_Custom1_Q),F_Custom1_V="(All)",F_Custom1_V="",ISBLANK(F_Custom1_V)),1,IFERROR(IF(ISNUMBER(SEARCH("|"&amp;INDEX(INDIRECT(F_Custom1_resolved_column),985)&amp;"|",F_Custom1_wrapped)),1,0),0))</f>
        <v>1</v>
      </c>
      <c r="E986">
        <f>IF(OR(F_Custom2_Q="(None)",F_Custom2_Q="",ISBLANK(F_Custom2_Q),F_Custom2_V="(All)",F_Custom2_V="",ISBLANK(F_Custom2_V)),1,IFERROR(IF(ISNUMBER(SEARCH("|"&amp;INDEX(INDIRECT(F_Custom2_resolved_column),985)&amp;"|",F_Custom2_wrapped)),1,0),0))</f>
        <v>1</v>
      </c>
      <c r="F986">
        <f>D986*E986*1</f>
        <v>1</v>
      </c>
      <c r="G986">
        <f>1</f>
        <v>1</v>
      </c>
      <c r="H9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985)&amp;"|",All_Questions_Q_STREAM_F_wrapped)),1,0),0))*1</f>
        <v>1</v>
      </c>
    </row>
    <row r="987">
      <c r="A987" t="n">
        <v>986</v>
      </c>
      <c r="B987" t="inlineStr">
        <is>
          <t>B</t>
        </is>
      </c>
      <c r="C987">
        <f>1</f>
        <v>1</v>
      </c>
      <c r="D987">
        <f>IF(OR(F_Custom1_Q="(None)",F_Custom1_Q="",ISBLANK(F_Custom1_Q),F_Custom1_V="(All)",F_Custom1_V="",ISBLANK(F_Custom1_V)),1,IFERROR(IF(ISNUMBER(SEARCH("|"&amp;INDEX(INDIRECT(F_Custom1_resolved_column),986)&amp;"|",F_Custom1_wrapped)),1,0),0))</f>
        <v>1</v>
      </c>
      <c r="E987">
        <f>IF(OR(F_Custom2_Q="(None)",F_Custom2_Q="",ISBLANK(F_Custom2_Q),F_Custom2_V="(All)",F_Custom2_V="",ISBLANK(F_Custom2_V)),1,IFERROR(IF(ISNUMBER(SEARCH("|"&amp;INDEX(INDIRECT(F_Custom2_resolved_column),986)&amp;"|",F_Custom2_wrapped)),1,0),0))</f>
        <v>1</v>
      </c>
      <c r="F987">
        <f>D987*E987*1</f>
        <v>1</v>
      </c>
      <c r="G987">
        <f>1</f>
        <v>1</v>
      </c>
      <c r="H9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986)&amp;"|",All_Questions_Q_STREAM_F_wrapped)),1,0),0))*1</f>
        <v>1</v>
      </c>
    </row>
    <row r="988">
      <c r="A988" t="n">
        <v>987</v>
      </c>
      <c r="B988" t="inlineStr">
        <is>
          <t>A</t>
        </is>
      </c>
      <c r="C988">
        <f>1</f>
        <v>1</v>
      </c>
      <c r="D988">
        <f>IF(OR(F_Custom1_Q="(None)",F_Custom1_Q="",ISBLANK(F_Custom1_Q),F_Custom1_V="(All)",F_Custom1_V="",ISBLANK(F_Custom1_V)),1,IFERROR(IF(ISNUMBER(SEARCH("|"&amp;INDEX(INDIRECT(F_Custom1_resolved_column),987)&amp;"|",F_Custom1_wrapped)),1,0),0))</f>
        <v>1</v>
      </c>
      <c r="E988">
        <f>IF(OR(F_Custom2_Q="(None)",F_Custom2_Q="",ISBLANK(F_Custom2_Q),F_Custom2_V="(All)",F_Custom2_V="",ISBLANK(F_Custom2_V)),1,IFERROR(IF(ISNUMBER(SEARCH("|"&amp;INDEX(INDIRECT(F_Custom2_resolved_column),987)&amp;"|",F_Custom2_wrapped)),1,0),0))</f>
        <v>1</v>
      </c>
      <c r="F988">
        <f>D988*E988*1</f>
        <v>1</v>
      </c>
      <c r="G988">
        <f>1</f>
        <v>1</v>
      </c>
      <c r="H9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987)&amp;"|",All_Questions_Q_STREAM_F_wrapped)),1,0),0))*1</f>
        <v>1</v>
      </c>
    </row>
    <row r="989">
      <c r="A989" t="n">
        <v>988</v>
      </c>
      <c r="B989" t="inlineStr">
        <is>
          <t>B</t>
        </is>
      </c>
      <c r="C989">
        <f>1</f>
        <v>1</v>
      </c>
      <c r="D989">
        <f>IF(OR(F_Custom1_Q="(None)",F_Custom1_Q="",ISBLANK(F_Custom1_Q),F_Custom1_V="(All)",F_Custom1_V="",ISBLANK(F_Custom1_V)),1,IFERROR(IF(ISNUMBER(SEARCH("|"&amp;INDEX(INDIRECT(F_Custom1_resolved_column),988)&amp;"|",F_Custom1_wrapped)),1,0),0))</f>
        <v>1</v>
      </c>
      <c r="E989">
        <f>IF(OR(F_Custom2_Q="(None)",F_Custom2_Q="",ISBLANK(F_Custom2_Q),F_Custom2_V="(All)",F_Custom2_V="",ISBLANK(F_Custom2_V)),1,IFERROR(IF(ISNUMBER(SEARCH("|"&amp;INDEX(INDIRECT(F_Custom2_resolved_column),988)&amp;"|",F_Custom2_wrapped)),1,0),0))</f>
        <v>1</v>
      </c>
      <c r="F989">
        <f>D989*E989*1</f>
        <v>1</v>
      </c>
      <c r="G989">
        <f>1</f>
        <v>1</v>
      </c>
      <c r="H9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988)&amp;"|",All_Questions_Q_STREAM_F_wrapped)),1,0),0))*1</f>
        <v>1</v>
      </c>
    </row>
    <row r="990">
      <c r="A990" t="n">
        <v>989</v>
      </c>
      <c r="B990" t="inlineStr">
        <is>
          <t>A</t>
        </is>
      </c>
      <c r="C990">
        <f>1</f>
        <v>1</v>
      </c>
      <c r="D990">
        <f>IF(OR(F_Custom1_Q="(None)",F_Custom1_Q="",ISBLANK(F_Custom1_Q),F_Custom1_V="(All)",F_Custom1_V="",ISBLANK(F_Custom1_V)),1,IFERROR(IF(ISNUMBER(SEARCH("|"&amp;INDEX(INDIRECT(F_Custom1_resolved_column),989)&amp;"|",F_Custom1_wrapped)),1,0),0))</f>
        <v>1</v>
      </c>
      <c r="E990">
        <f>IF(OR(F_Custom2_Q="(None)",F_Custom2_Q="",ISBLANK(F_Custom2_Q),F_Custom2_V="(All)",F_Custom2_V="",ISBLANK(F_Custom2_V)),1,IFERROR(IF(ISNUMBER(SEARCH("|"&amp;INDEX(INDIRECT(F_Custom2_resolved_column),989)&amp;"|",F_Custom2_wrapped)),1,0),0))</f>
        <v>1</v>
      </c>
      <c r="F990">
        <f>D990*E990*1</f>
        <v>1</v>
      </c>
      <c r="G990">
        <f>1</f>
        <v>1</v>
      </c>
      <c r="H9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989)&amp;"|",All_Questions_Q_STREAM_F_wrapped)),1,0),0))*1</f>
        <v>1</v>
      </c>
    </row>
    <row r="991">
      <c r="A991" t="n">
        <v>990</v>
      </c>
      <c r="B991" t="inlineStr">
        <is>
          <t>B</t>
        </is>
      </c>
      <c r="C991">
        <f>1</f>
        <v>1</v>
      </c>
      <c r="D991">
        <f>IF(OR(F_Custom1_Q="(None)",F_Custom1_Q="",ISBLANK(F_Custom1_Q),F_Custom1_V="(All)",F_Custom1_V="",ISBLANK(F_Custom1_V)),1,IFERROR(IF(ISNUMBER(SEARCH("|"&amp;INDEX(INDIRECT(F_Custom1_resolved_column),990)&amp;"|",F_Custom1_wrapped)),1,0),0))</f>
        <v>1</v>
      </c>
      <c r="E991">
        <f>IF(OR(F_Custom2_Q="(None)",F_Custom2_Q="",ISBLANK(F_Custom2_Q),F_Custom2_V="(All)",F_Custom2_V="",ISBLANK(F_Custom2_V)),1,IFERROR(IF(ISNUMBER(SEARCH("|"&amp;INDEX(INDIRECT(F_Custom2_resolved_column),990)&amp;"|",F_Custom2_wrapped)),1,0),0))</f>
        <v>1</v>
      </c>
      <c r="F991">
        <f>D991*E991*1</f>
        <v>1</v>
      </c>
      <c r="G991">
        <f>1</f>
        <v>1</v>
      </c>
      <c r="H9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990)&amp;"|",All_Questions_Q_STREAM_F_wrapped)),1,0),0))*1</f>
        <v>1</v>
      </c>
    </row>
    <row r="992">
      <c r="A992" t="n">
        <v>991</v>
      </c>
      <c r="B992" t="inlineStr">
        <is>
          <t>A</t>
        </is>
      </c>
      <c r="C992">
        <f>1</f>
        <v>1</v>
      </c>
      <c r="D992">
        <f>IF(OR(F_Custom1_Q="(None)",F_Custom1_Q="",ISBLANK(F_Custom1_Q),F_Custom1_V="(All)",F_Custom1_V="",ISBLANK(F_Custom1_V)),1,IFERROR(IF(ISNUMBER(SEARCH("|"&amp;INDEX(INDIRECT(F_Custom1_resolved_column),991)&amp;"|",F_Custom1_wrapped)),1,0),0))</f>
        <v>1</v>
      </c>
      <c r="E992">
        <f>IF(OR(F_Custom2_Q="(None)",F_Custom2_Q="",ISBLANK(F_Custom2_Q),F_Custom2_V="(All)",F_Custom2_V="",ISBLANK(F_Custom2_V)),1,IFERROR(IF(ISNUMBER(SEARCH("|"&amp;INDEX(INDIRECT(F_Custom2_resolved_column),991)&amp;"|",F_Custom2_wrapped)),1,0),0))</f>
        <v>1</v>
      </c>
      <c r="F992">
        <f>D992*E992*1</f>
        <v>1</v>
      </c>
      <c r="G992">
        <f>1</f>
        <v>1</v>
      </c>
      <c r="H9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991)&amp;"|",All_Questions_Q_STREAM_F_wrapped)),1,0),0))*1</f>
        <v>1</v>
      </c>
    </row>
    <row r="993">
      <c r="A993" t="n">
        <v>992</v>
      </c>
      <c r="B993" t="inlineStr">
        <is>
          <t>B</t>
        </is>
      </c>
      <c r="C993">
        <f>1</f>
        <v>1</v>
      </c>
      <c r="D993">
        <f>IF(OR(F_Custom1_Q="(None)",F_Custom1_Q="",ISBLANK(F_Custom1_Q),F_Custom1_V="(All)",F_Custom1_V="",ISBLANK(F_Custom1_V)),1,IFERROR(IF(ISNUMBER(SEARCH("|"&amp;INDEX(INDIRECT(F_Custom1_resolved_column),992)&amp;"|",F_Custom1_wrapped)),1,0),0))</f>
        <v>1</v>
      </c>
      <c r="E993">
        <f>IF(OR(F_Custom2_Q="(None)",F_Custom2_Q="",ISBLANK(F_Custom2_Q),F_Custom2_V="(All)",F_Custom2_V="",ISBLANK(F_Custom2_V)),1,IFERROR(IF(ISNUMBER(SEARCH("|"&amp;INDEX(INDIRECT(F_Custom2_resolved_column),992)&amp;"|",F_Custom2_wrapped)),1,0),0))</f>
        <v>1</v>
      </c>
      <c r="F993">
        <f>D993*E993*1</f>
        <v>1</v>
      </c>
      <c r="G993">
        <f>1</f>
        <v>1</v>
      </c>
      <c r="H9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992)&amp;"|",All_Questions_Q_STREAM_F_wrapped)),1,0),0))*1</f>
        <v>1</v>
      </c>
    </row>
    <row r="994">
      <c r="A994" t="n">
        <v>993</v>
      </c>
      <c r="B994" t="inlineStr">
        <is>
          <t>A</t>
        </is>
      </c>
      <c r="C994">
        <f>1</f>
        <v>1</v>
      </c>
      <c r="D994">
        <f>IF(OR(F_Custom1_Q="(None)",F_Custom1_Q="",ISBLANK(F_Custom1_Q),F_Custom1_V="(All)",F_Custom1_V="",ISBLANK(F_Custom1_V)),1,IFERROR(IF(ISNUMBER(SEARCH("|"&amp;INDEX(INDIRECT(F_Custom1_resolved_column),993)&amp;"|",F_Custom1_wrapped)),1,0),0))</f>
        <v>1</v>
      </c>
      <c r="E994">
        <f>IF(OR(F_Custom2_Q="(None)",F_Custom2_Q="",ISBLANK(F_Custom2_Q),F_Custom2_V="(All)",F_Custom2_V="",ISBLANK(F_Custom2_V)),1,IFERROR(IF(ISNUMBER(SEARCH("|"&amp;INDEX(INDIRECT(F_Custom2_resolved_column),993)&amp;"|",F_Custom2_wrapped)),1,0),0))</f>
        <v>1</v>
      </c>
      <c r="F994">
        <f>D994*E994*1</f>
        <v>1</v>
      </c>
      <c r="G994">
        <f>1</f>
        <v>1</v>
      </c>
      <c r="H9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993)&amp;"|",All_Questions_Q_STREAM_F_wrapped)),1,0),0))*1</f>
        <v>1</v>
      </c>
    </row>
    <row r="995">
      <c r="A995" t="n">
        <v>994</v>
      </c>
      <c r="B995" t="inlineStr">
        <is>
          <t>B</t>
        </is>
      </c>
      <c r="C995">
        <f>1</f>
        <v>1</v>
      </c>
      <c r="D995">
        <f>IF(OR(F_Custom1_Q="(None)",F_Custom1_Q="",ISBLANK(F_Custom1_Q),F_Custom1_V="(All)",F_Custom1_V="",ISBLANK(F_Custom1_V)),1,IFERROR(IF(ISNUMBER(SEARCH("|"&amp;INDEX(INDIRECT(F_Custom1_resolved_column),994)&amp;"|",F_Custom1_wrapped)),1,0),0))</f>
        <v>1</v>
      </c>
      <c r="E995">
        <f>IF(OR(F_Custom2_Q="(None)",F_Custom2_Q="",ISBLANK(F_Custom2_Q),F_Custom2_V="(All)",F_Custom2_V="",ISBLANK(F_Custom2_V)),1,IFERROR(IF(ISNUMBER(SEARCH("|"&amp;INDEX(INDIRECT(F_Custom2_resolved_column),994)&amp;"|",F_Custom2_wrapped)),1,0),0))</f>
        <v>1</v>
      </c>
      <c r="F995">
        <f>D995*E995*1</f>
        <v>1</v>
      </c>
      <c r="G995">
        <f>1</f>
        <v>1</v>
      </c>
      <c r="H9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994)&amp;"|",All_Questions_Q_STREAM_F_wrapped)),1,0),0))*1</f>
        <v>1</v>
      </c>
    </row>
    <row r="996">
      <c r="A996" t="n">
        <v>995</v>
      </c>
      <c r="B996" t="inlineStr">
        <is>
          <t>A</t>
        </is>
      </c>
      <c r="C996">
        <f>1</f>
        <v>1</v>
      </c>
      <c r="D996">
        <f>IF(OR(F_Custom1_Q="(None)",F_Custom1_Q="",ISBLANK(F_Custom1_Q),F_Custom1_V="(All)",F_Custom1_V="",ISBLANK(F_Custom1_V)),1,IFERROR(IF(ISNUMBER(SEARCH("|"&amp;INDEX(INDIRECT(F_Custom1_resolved_column),995)&amp;"|",F_Custom1_wrapped)),1,0),0))</f>
        <v>1</v>
      </c>
      <c r="E996">
        <f>IF(OR(F_Custom2_Q="(None)",F_Custom2_Q="",ISBLANK(F_Custom2_Q),F_Custom2_V="(All)",F_Custom2_V="",ISBLANK(F_Custom2_V)),1,IFERROR(IF(ISNUMBER(SEARCH("|"&amp;INDEX(INDIRECT(F_Custom2_resolved_column),995)&amp;"|",F_Custom2_wrapped)),1,0),0))</f>
        <v>1</v>
      </c>
      <c r="F996">
        <f>D996*E996*1</f>
        <v>1</v>
      </c>
      <c r="G996">
        <f>1</f>
        <v>1</v>
      </c>
      <c r="H9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995)&amp;"|",All_Questions_Q_STREAM_F_wrapped)),1,0),0))*1</f>
        <v>1</v>
      </c>
    </row>
    <row r="997">
      <c r="A997" t="n">
        <v>996</v>
      </c>
      <c r="B997" t="inlineStr">
        <is>
          <t>B</t>
        </is>
      </c>
      <c r="C997">
        <f>1</f>
        <v>1</v>
      </c>
      <c r="D997">
        <f>IF(OR(F_Custom1_Q="(None)",F_Custom1_Q="",ISBLANK(F_Custom1_Q),F_Custom1_V="(All)",F_Custom1_V="",ISBLANK(F_Custom1_V)),1,IFERROR(IF(ISNUMBER(SEARCH("|"&amp;INDEX(INDIRECT(F_Custom1_resolved_column),996)&amp;"|",F_Custom1_wrapped)),1,0),0))</f>
        <v>1</v>
      </c>
      <c r="E997">
        <f>IF(OR(F_Custom2_Q="(None)",F_Custom2_Q="",ISBLANK(F_Custom2_Q),F_Custom2_V="(All)",F_Custom2_V="",ISBLANK(F_Custom2_V)),1,IFERROR(IF(ISNUMBER(SEARCH("|"&amp;INDEX(INDIRECT(F_Custom2_resolved_column),996)&amp;"|",F_Custom2_wrapped)),1,0),0))</f>
        <v>1</v>
      </c>
      <c r="F997">
        <f>D997*E997*1</f>
        <v>1</v>
      </c>
      <c r="G997">
        <f>1</f>
        <v>1</v>
      </c>
      <c r="H9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996)&amp;"|",All_Questions_Q_STREAM_F_wrapped)),1,0),0))*1</f>
        <v>1</v>
      </c>
    </row>
    <row r="998">
      <c r="A998" t="n">
        <v>997</v>
      </c>
      <c r="B998" t="inlineStr">
        <is>
          <t>A</t>
        </is>
      </c>
      <c r="C998">
        <f>1</f>
        <v>1</v>
      </c>
      <c r="D998">
        <f>IF(OR(F_Custom1_Q="(None)",F_Custom1_Q="",ISBLANK(F_Custom1_Q),F_Custom1_V="(All)",F_Custom1_V="",ISBLANK(F_Custom1_V)),1,IFERROR(IF(ISNUMBER(SEARCH("|"&amp;INDEX(INDIRECT(F_Custom1_resolved_column),997)&amp;"|",F_Custom1_wrapped)),1,0),0))</f>
        <v>1</v>
      </c>
      <c r="E998">
        <f>IF(OR(F_Custom2_Q="(None)",F_Custom2_Q="",ISBLANK(F_Custom2_Q),F_Custom2_V="(All)",F_Custom2_V="",ISBLANK(F_Custom2_V)),1,IFERROR(IF(ISNUMBER(SEARCH("|"&amp;INDEX(INDIRECT(F_Custom2_resolved_column),997)&amp;"|",F_Custom2_wrapped)),1,0),0))</f>
        <v>1</v>
      </c>
      <c r="F998">
        <f>D998*E998*1</f>
        <v>1</v>
      </c>
      <c r="G998">
        <f>1</f>
        <v>1</v>
      </c>
      <c r="H9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997)&amp;"|",All_Questions_Q_STREAM_F_wrapped)),1,0),0))*1</f>
        <v>1</v>
      </c>
    </row>
    <row r="999">
      <c r="A999" t="n">
        <v>998</v>
      </c>
      <c r="B999" t="inlineStr">
        <is>
          <t>B</t>
        </is>
      </c>
      <c r="C999">
        <f>1</f>
        <v>1</v>
      </c>
      <c r="D999">
        <f>IF(OR(F_Custom1_Q="(None)",F_Custom1_Q="",ISBLANK(F_Custom1_Q),F_Custom1_V="(All)",F_Custom1_V="",ISBLANK(F_Custom1_V)),1,IFERROR(IF(ISNUMBER(SEARCH("|"&amp;INDEX(INDIRECT(F_Custom1_resolved_column),998)&amp;"|",F_Custom1_wrapped)),1,0),0))</f>
        <v>1</v>
      </c>
      <c r="E999">
        <f>IF(OR(F_Custom2_Q="(None)",F_Custom2_Q="",ISBLANK(F_Custom2_Q),F_Custom2_V="(All)",F_Custom2_V="",ISBLANK(F_Custom2_V)),1,IFERROR(IF(ISNUMBER(SEARCH("|"&amp;INDEX(INDIRECT(F_Custom2_resolved_column),998)&amp;"|",F_Custom2_wrapped)),1,0),0))</f>
        <v>1</v>
      </c>
      <c r="F999">
        <f>D999*E999*1</f>
        <v>1</v>
      </c>
      <c r="G999">
        <f>1</f>
        <v>1</v>
      </c>
      <c r="H9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998)&amp;"|",All_Questions_Q_STREAM_F_wrapped)),1,0),0))*1</f>
        <v>1</v>
      </c>
    </row>
    <row r="1000">
      <c r="A1000" t="n">
        <v>999</v>
      </c>
      <c r="B1000" t="inlineStr">
        <is>
          <t>A</t>
        </is>
      </c>
      <c r="C1000">
        <f>1</f>
        <v>1</v>
      </c>
      <c r="D1000">
        <f>IF(OR(F_Custom1_Q="(None)",F_Custom1_Q="",ISBLANK(F_Custom1_Q),F_Custom1_V="(All)",F_Custom1_V="",ISBLANK(F_Custom1_V)),1,IFERROR(IF(ISNUMBER(SEARCH("|"&amp;INDEX(INDIRECT(F_Custom1_resolved_column),999)&amp;"|",F_Custom1_wrapped)),1,0),0))</f>
        <v>1</v>
      </c>
      <c r="E1000">
        <f>IF(OR(F_Custom2_Q="(None)",F_Custom2_Q="",ISBLANK(F_Custom2_Q),F_Custom2_V="(All)",F_Custom2_V="",ISBLANK(F_Custom2_V)),1,IFERROR(IF(ISNUMBER(SEARCH("|"&amp;INDEX(INDIRECT(F_Custom2_resolved_column),999)&amp;"|",F_Custom2_wrapped)),1,0),0))</f>
        <v>1</v>
      </c>
      <c r="F1000">
        <f>D1000*E1000*1</f>
        <v>1</v>
      </c>
      <c r="G1000">
        <f>1</f>
        <v>1</v>
      </c>
      <c r="H10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999)&amp;"|",All_Questions_Q_STREAM_F_wrapped)),1,0),0))*1</f>
        <v>1</v>
      </c>
    </row>
    <row r="1001">
      <c r="A1001" t="n">
        <v>1000</v>
      </c>
      <c r="B1001" t="inlineStr">
        <is>
          <t>B</t>
        </is>
      </c>
      <c r="C1001">
        <f>1</f>
        <v>1</v>
      </c>
      <c r="D1001">
        <f>IF(OR(F_Custom1_Q="(None)",F_Custom1_Q="",ISBLANK(F_Custom1_Q),F_Custom1_V="(All)",F_Custom1_V="",ISBLANK(F_Custom1_V)),1,IFERROR(IF(ISNUMBER(SEARCH("|"&amp;INDEX(INDIRECT(F_Custom1_resolved_column),1000)&amp;"|",F_Custom1_wrapped)),1,0),0))</f>
        <v>1</v>
      </c>
      <c r="E1001">
        <f>IF(OR(F_Custom2_Q="(None)",F_Custom2_Q="",ISBLANK(F_Custom2_Q),F_Custom2_V="(All)",F_Custom2_V="",ISBLANK(F_Custom2_V)),1,IFERROR(IF(ISNUMBER(SEARCH("|"&amp;INDEX(INDIRECT(F_Custom2_resolved_column),1000)&amp;"|",F_Custom2_wrapped)),1,0),0))</f>
        <v>1</v>
      </c>
      <c r="F1001">
        <f>D1001*E1001*1</f>
        <v>1</v>
      </c>
      <c r="G1001">
        <f>1</f>
        <v>1</v>
      </c>
      <c r="H10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1000)&amp;"|",All_Questions_Q_STREAM_F_wrapped)),1,0),0))*1</f>
        <v>1</v>
      </c>
    </row>
    <row r="1002">
      <c r="A1002" t="n">
        <v>1001</v>
      </c>
      <c r="B1002" t="inlineStr">
        <is>
          <t>A</t>
        </is>
      </c>
      <c r="C1002">
        <f>1</f>
        <v>1</v>
      </c>
      <c r="D1002">
        <f>IF(OR(F_Custom1_Q="(None)",F_Custom1_Q="",ISBLANK(F_Custom1_Q),F_Custom1_V="(All)",F_Custom1_V="",ISBLANK(F_Custom1_V)),1,IFERROR(IF(ISNUMBER(SEARCH("|"&amp;INDEX(INDIRECT(F_Custom1_resolved_column),1001)&amp;"|",F_Custom1_wrapped)),1,0),0))</f>
        <v>1</v>
      </c>
      <c r="E1002">
        <f>IF(OR(F_Custom2_Q="(None)",F_Custom2_Q="",ISBLANK(F_Custom2_Q),F_Custom2_V="(All)",F_Custom2_V="",ISBLANK(F_Custom2_V)),1,IFERROR(IF(ISNUMBER(SEARCH("|"&amp;INDEX(INDIRECT(F_Custom2_resolved_column),1001)&amp;"|",F_Custom2_wrapped)),1,0),0))</f>
        <v>1</v>
      </c>
      <c r="F1002">
        <f>D1002*E1002*1</f>
        <v>1</v>
      </c>
      <c r="G1002">
        <f>1</f>
        <v>1</v>
      </c>
      <c r="H10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1001)&amp;"|",All_Questions_Q_STREAM_F_wrapped)),1,0),0))*1</f>
        <v>1</v>
      </c>
    </row>
    <row r="1003">
      <c r="A1003" t="n">
        <v>1002</v>
      </c>
      <c r="B1003" t="inlineStr">
        <is>
          <t>B</t>
        </is>
      </c>
      <c r="C1003">
        <f>1</f>
        <v>1</v>
      </c>
      <c r="D1003">
        <f>IF(OR(F_Custom1_Q="(None)",F_Custom1_Q="",ISBLANK(F_Custom1_Q),F_Custom1_V="(All)",F_Custom1_V="",ISBLANK(F_Custom1_V)),1,IFERROR(IF(ISNUMBER(SEARCH("|"&amp;INDEX(INDIRECT(F_Custom1_resolved_column),1002)&amp;"|",F_Custom1_wrapped)),1,0),0))</f>
        <v>1</v>
      </c>
      <c r="E1003">
        <f>IF(OR(F_Custom2_Q="(None)",F_Custom2_Q="",ISBLANK(F_Custom2_Q),F_Custom2_V="(All)",F_Custom2_V="",ISBLANK(F_Custom2_V)),1,IFERROR(IF(ISNUMBER(SEARCH("|"&amp;INDEX(INDIRECT(F_Custom2_resolved_column),1002)&amp;"|",F_Custom2_wrapped)),1,0),0))</f>
        <v>1</v>
      </c>
      <c r="F1003">
        <f>D1003*E1003*1</f>
        <v>1</v>
      </c>
      <c r="G1003">
        <f>1</f>
        <v>1</v>
      </c>
      <c r="H10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1002)&amp;"|",All_Questions_Q_STREAM_F_wrapped)),1,0),0))*1</f>
        <v>1</v>
      </c>
    </row>
    <row r="1004">
      <c r="A1004" t="n">
        <v>1003</v>
      </c>
      <c r="B1004" t="inlineStr">
        <is>
          <t>A</t>
        </is>
      </c>
      <c r="C1004">
        <f>1</f>
        <v>1</v>
      </c>
      <c r="D1004">
        <f>IF(OR(F_Custom1_Q="(None)",F_Custom1_Q="",ISBLANK(F_Custom1_Q),F_Custom1_V="(All)",F_Custom1_V="",ISBLANK(F_Custom1_V)),1,IFERROR(IF(ISNUMBER(SEARCH("|"&amp;INDEX(INDIRECT(F_Custom1_resolved_column),1003)&amp;"|",F_Custom1_wrapped)),1,0),0))</f>
        <v>1</v>
      </c>
      <c r="E1004">
        <f>IF(OR(F_Custom2_Q="(None)",F_Custom2_Q="",ISBLANK(F_Custom2_Q),F_Custom2_V="(All)",F_Custom2_V="",ISBLANK(F_Custom2_V)),1,IFERROR(IF(ISNUMBER(SEARCH("|"&amp;INDEX(INDIRECT(F_Custom2_resolved_column),1003)&amp;"|",F_Custom2_wrapped)),1,0),0))</f>
        <v>1</v>
      </c>
      <c r="F1004">
        <f>D1004*E1004*1</f>
        <v>1</v>
      </c>
      <c r="G1004">
        <f>1</f>
        <v>1</v>
      </c>
      <c r="H10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1003)&amp;"|",All_Questions_Q_STREAM_F_wrapped)),1,0),0))*1</f>
        <v>1</v>
      </c>
    </row>
    <row r="1005">
      <c r="A1005" t="n">
        <v>1004</v>
      </c>
      <c r="B1005" t="inlineStr">
        <is>
          <t>B</t>
        </is>
      </c>
      <c r="C1005">
        <f>1</f>
        <v>1</v>
      </c>
      <c r="D1005">
        <f>IF(OR(F_Custom1_Q="(None)",F_Custom1_Q="",ISBLANK(F_Custom1_Q),F_Custom1_V="(All)",F_Custom1_V="",ISBLANK(F_Custom1_V)),1,IFERROR(IF(ISNUMBER(SEARCH("|"&amp;INDEX(INDIRECT(F_Custom1_resolved_column),1004)&amp;"|",F_Custom1_wrapped)),1,0),0))</f>
        <v>1</v>
      </c>
      <c r="E1005">
        <f>IF(OR(F_Custom2_Q="(None)",F_Custom2_Q="",ISBLANK(F_Custom2_Q),F_Custom2_V="(All)",F_Custom2_V="",ISBLANK(F_Custom2_V)),1,IFERROR(IF(ISNUMBER(SEARCH("|"&amp;INDEX(INDIRECT(F_Custom2_resolved_column),1004)&amp;"|",F_Custom2_wrapped)),1,0),0))</f>
        <v>1</v>
      </c>
      <c r="F1005">
        <f>D1005*E1005*1</f>
        <v>1</v>
      </c>
      <c r="G1005">
        <f>1</f>
        <v>1</v>
      </c>
      <c r="H10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1004)&amp;"|",All_Questions_Q_STREAM_F_wrapped)),1,0),0))*1</f>
        <v>1</v>
      </c>
    </row>
    <row r="1006">
      <c r="A1006" t="n">
        <v>1005</v>
      </c>
      <c r="B1006" t="inlineStr">
        <is>
          <t>A</t>
        </is>
      </c>
      <c r="C1006">
        <f>1</f>
        <v>1</v>
      </c>
      <c r="D1006">
        <f>IF(OR(F_Custom1_Q="(None)",F_Custom1_Q="",ISBLANK(F_Custom1_Q),F_Custom1_V="(All)",F_Custom1_V="",ISBLANK(F_Custom1_V)),1,IFERROR(IF(ISNUMBER(SEARCH("|"&amp;INDEX(INDIRECT(F_Custom1_resolved_column),1005)&amp;"|",F_Custom1_wrapped)),1,0),0))</f>
        <v>1</v>
      </c>
      <c r="E1006">
        <f>IF(OR(F_Custom2_Q="(None)",F_Custom2_Q="",ISBLANK(F_Custom2_Q),F_Custom2_V="(All)",F_Custom2_V="",ISBLANK(F_Custom2_V)),1,IFERROR(IF(ISNUMBER(SEARCH("|"&amp;INDEX(INDIRECT(F_Custom2_resolved_column),1005)&amp;"|",F_Custom2_wrapped)),1,0),0))</f>
        <v>1</v>
      </c>
      <c r="F1006">
        <f>D1006*E1006*1</f>
        <v>1</v>
      </c>
      <c r="G1006">
        <f>1</f>
        <v>1</v>
      </c>
      <c r="H10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1005)&amp;"|",All_Questions_Q_STREAM_F_wrapped)),1,0),0))*1</f>
        <v>1</v>
      </c>
    </row>
    <row r="1007">
      <c r="A1007" t="n">
        <v>1006</v>
      </c>
      <c r="B1007" t="inlineStr">
        <is>
          <t>B</t>
        </is>
      </c>
      <c r="C1007">
        <f>1</f>
        <v>1</v>
      </c>
      <c r="D1007">
        <f>IF(OR(F_Custom1_Q="(None)",F_Custom1_Q="",ISBLANK(F_Custom1_Q),F_Custom1_V="(All)",F_Custom1_V="",ISBLANK(F_Custom1_V)),1,IFERROR(IF(ISNUMBER(SEARCH("|"&amp;INDEX(INDIRECT(F_Custom1_resolved_column),1006)&amp;"|",F_Custom1_wrapped)),1,0),0))</f>
        <v>1</v>
      </c>
      <c r="E1007">
        <f>IF(OR(F_Custom2_Q="(None)",F_Custom2_Q="",ISBLANK(F_Custom2_Q),F_Custom2_V="(All)",F_Custom2_V="",ISBLANK(F_Custom2_V)),1,IFERROR(IF(ISNUMBER(SEARCH("|"&amp;INDEX(INDIRECT(F_Custom2_resolved_column),1006)&amp;"|",F_Custom2_wrapped)),1,0),0))</f>
        <v>1</v>
      </c>
      <c r="F1007">
        <f>D1007*E1007*1</f>
        <v>1</v>
      </c>
      <c r="G1007">
        <f>1</f>
        <v>1</v>
      </c>
      <c r="H10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1006)&amp;"|",All_Questions_Q_STREAM_F_wrapped)),1,0),0))*1</f>
        <v>1</v>
      </c>
    </row>
    <row r="1008">
      <c r="A1008" t="n">
        <v>1007</v>
      </c>
      <c r="B1008" t="inlineStr">
        <is>
          <t>A</t>
        </is>
      </c>
      <c r="C1008">
        <f>1</f>
        <v>1</v>
      </c>
      <c r="D1008">
        <f>IF(OR(F_Custom1_Q="(None)",F_Custom1_Q="",ISBLANK(F_Custom1_Q),F_Custom1_V="(All)",F_Custom1_V="",ISBLANK(F_Custom1_V)),1,IFERROR(IF(ISNUMBER(SEARCH("|"&amp;INDEX(INDIRECT(F_Custom1_resolved_column),1007)&amp;"|",F_Custom1_wrapped)),1,0),0))</f>
        <v>1</v>
      </c>
      <c r="E1008">
        <f>IF(OR(F_Custom2_Q="(None)",F_Custom2_Q="",ISBLANK(F_Custom2_Q),F_Custom2_V="(All)",F_Custom2_V="",ISBLANK(F_Custom2_V)),1,IFERROR(IF(ISNUMBER(SEARCH("|"&amp;INDEX(INDIRECT(F_Custom2_resolved_column),1007)&amp;"|",F_Custom2_wrapped)),1,0),0))</f>
        <v>1</v>
      </c>
      <c r="F1008">
        <f>D1008*E1008*1</f>
        <v>1</v>
      </c>
      <c r="G1008">
        <f>1</f>
        <v>1</v>
      </c>
      <c r="H10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1007)&amp;"|",All_Questions_Q_STREAM_F_wrapped)),1,0),0))*1</f>
        <v>1</v>
      </c>
    </row>
    <row r="1009">
      <c r="A1009" t="n">
        <v>1008</v>
      </c>
      <c r="B1009" t="inlineStr">
        <is>
          <t>B</t>
        </is>
      </c>
      <c r="C1009">
        <f>1</f>
        <v>1</v>
      </c>
      <c r="D1009">
        <f>IF(OR(F_Custom1_Q="(None)",F_Custom1_Q="",ISBLANK(F_Custom1_Q),F_Custom1_V="(All)",F_Custom1_V="",ISBLANK(F_Custom1_V)),1,IFERROR(IF(ISNUMBER(SEARCH("|"&amp;INDEX(INDIRECT(F_Custom1_resolved_column),1008)&amp;"|",F_Custom1_wrapped)),1,0),0))</f>
        <v>1</v>
      </c>
      <c r="E1009">
        <f>IF(OR(F_Custom2_Q="(None)",F_Custom2_Q="",ISBLANK(F_Custom2_Q),F_Custom2_V="(All)",F_Custom2_V="",ISBLANK(F_Custom2_V)),1,IFERROR(IF(ISNUMBER(SEARCH("|"&amp;INDEX(INDIRECT(F_Custom2_resolved_column),1008)&amp;"|",F_Custom2_wrapped)),1,0),0))</f>
        <v>1</v>
      </c>
      <c r="F1009">
        <f>D1009*E1009*1</f>
        <v>1</v>
      </c>
      <c r="G1009">
        <f>1</f>
        <v>1</v>
      </c>
      <c r="H10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1008)&amp;"|",All_Questions_Q_STREAM_F_wrapped)),1,0),0))*1</f>
        <v>1</v>
      </c>
    </row>
    <row r="1010">
      <c r="A1010" t="n">
        <v>1009</v>
      </c>
      <c r="B1010" t="inlineStr">
        <is>
          <t>A</t>
        </is>
      </c>
      <c r="C1010">
        <f>1</f>
        <v>1</v>
      </c>
      <c r="D1010">
        <f>IF(OR(F_Custom1_Q="(None)",F_Custom1_Q="",ISBLANK(F_Custom1_Q),F_Custom1_V="(All)",F_Custom1_V="",ISBLANK(F_Custom1_V)),1,IFERROR(IF(ISNUMBER(SEARCH("|"&amp;INDEX(INDIRECT(F_Custom1_resolved_column),1009)&amp;"|",F_Custom1_wrapped)),1,0),0))</f>
        <v>1</v>
      </c>
      <c r="E1010">
        <f>IF(OR(F_Custom2_Q="(None)",F_Custom2_Q="",ISBLANK(F_Custom2_Q),F_Custom2_V="(All)",F_Custom2_V="",ISBLANK(F_Custom2_V)),1,IFERROR(IF(ISNUMBER(SEARCH("|"&amp;INDEX(INDIRECT(F_Custom2_resolved_column),1009)&amp;"|",F_Custom2_wrapped)),1,0),0))</f>
        <v>1</v>
      </c>
      <c r="F1010">
        <f>D1010*E1010*1</f>
        <v>1</v>
      </c>
      <c r="G1010">
        <f>1</f>
        <v>1</v>
      </c>
      <c r="H10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1009)&amp;"|",All_Questions_Q_STREAM_F_wrapped)),1,0),0))*1</f>
        <v>1</v>
      </c>
    </row>
    <row r="1011">
      <c r="A1011" t="n">
        <v>1010</v>
      </c>
      <c r="B1011" t="inlineStr">
        <is>
          <t>B</t>
        </is>
      </c>
      <c r="C1011">
        <f>1</f>
        <v>1</v>
      </c>
      <c r="D1011">
        <f>IF(OR(F_Custom1_Q="(None)",F_Custom1_Q="",ISBLANK(F_Custom1_Q),F_Custom1_V="(All)",F_Custom1_V="",ISBLANK(F_Custom1_V)),1,IFERROR(IF(ISNUMBER(SEARCH("|"&amp;INDEX(INDIRECT(F_Custom1_resolved_column),1010)&amp;"|",F_Custom1_wrapped)),1,0),0))</f>
        <v>1</v>
      </c>
      <c r="E1011">
        <f>IF(OR(F_Custom2_Q="(None)",F_Custom2_Q="",ISBLANK(F_Custom2_Q),F_Custom2_V="(All)",F_Custom2_V="",ISBLANK(F_Custom2_V)),1,IFERROR(IF(ISNUMBER(SEARCH("|"&amp;INDEX(INDIRECT(F_Custom2_resolved_column),1010)&amp;"|",F_Custom2_wrapped)),1,0),0))</f>
        <v>1</v>
      </c>
      <c r="F1011">
        <f>D1011*E1011*1</f>
        <v>1</v>
      </c>
      <c r="G1011">
        <f>1</f>
        <v>1</v>
      </c>
      <c r="H10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1010)&amp;"|",All_Questions_Q_STREAM_F_wrapped)),1,0),0))*1</f>
        <v>1</v>
      </c>
    </row>
    <row r="1012">
      <c r="A1012" t="n">
        <v>1011</v>
      </c>
      <c r="B1012" t="inlineStr">
        <is>
          <t>A</t>
        </is>
      </c>
      <c r="C1012">
        <f>1</f>
        <v>1</v>
      </c>
      <c r="D1012">
        <f>IF(OR(F_Custom1_Q="(None)",F_Custom1_Q="",ISBLANK(F_Custom1_Q),F_Custom1_V="(All)",F_Custom1_V="",ISBLANK(F_Custom1_V)),1,IFERROR(IF(ISNUMBER(SEARCH("|"&amp;INDEX(INDIRECT(F_Custom1_resolved_column),1011)&amp;"|",F_Custom1_wrapped)),1,0),0))</f>
        <v>1</v>
      </c>
      <c r="E1012">
        <f>IF(OR(F_Custom2_Q="(None)",F_Custom2_Q="",ISBLANK(F_Custom2_Q),F_Custom2_V="(All)",F_Custom2_V="",ISBLANK(F_Custom2_V)),1,IFERROR(IF(ISNUMBER(SEARCH("|"&amp;INDEX(INDIRECT(F_Custom2_resolved_column),1011)&amp;"|",F_Custom2_wrapped)),1,0),0))</f>
        <v>1</v>
      </c>
      <c r="F1012">
        <f>D1012*E1012*1</f>
        <v>1</v>
      </c>
      <c r="G1012">
        <f>1</f>
        <v>1</v>
      </c>
      <c r="H10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1011)&amp;"|",All_Questions_Q_STREAM_F_wrapped)),1,0),0))*1</f>
        <v>1</v>
      </c>
    </row>
    <row r="1013">
      <c r="A1013" t="n">
        <v>1012</v>
      </c>
      <c r="B1013" t="inlineStr">
        <is>
          <t>B</t>
        </is>
      </c>
      <c r="C1013">
        <f>1</f>
        <v>1</v>
      </c>
      <c r="D1013">
        <f>IF(OR(F_Custom1_Q="(None)",F_Custom1_Q="",ISBLANK(F_Custom1_Q),F_Custom1_V="(All)",F_Custom1_V="",ISBLANK(F_Custom1_V)),1,IFERROR(IF(ISNUMBER(SEARCH("|"&amp;INDEX(INDIRECT(F_Custom1_resolved_column),1012)&amp;"|",F_Custom1_wrapped)),1,0),0))</f>
        <v>1</v>
      </c>
      <c r="E1013">
        <f>IF(OR(F_Custom2_Q="(None)",F_Custom2_Q="",ISBLANK(F_Custom2_Q),F_Custom2_V="(All)",F_Custom2_V="",ISBLANK(F_Custom2_V)),1,IFERROR(IF(ISNUMBER(SEARCH("|"&amp;INDEX(INDIRECT(F_Custom2_resolved_column),1012)&amp;"|",F_Custom2_wrapped)),1,0),0))</f>
        <v>1</v>
      </c>
      <c r="F1013">
        <f>D1013*E1013*1</f>
        <v>1</v>
      </c>
      <c r="G1013">
        <f>1</f>
        <v>1</v>
      </c>
      <c r="H10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1012)&amp;"|",All_Questions_Q_STREAM_F_wrapped)),1,0),0))*1</f>
        <v>1</v>
      </c>
    </row>
    <row r="1014">
      <c r="A1014" t="n">
        <v>1013</v>
      </c>
      <c r="B1014" t="inlineStr">
        <is>
          <t>A</t>
        </is>
      </c>
      <c r="C1014">
        <f>1</f>
        <v>1</v>
      </c>
      <c r="D1014">
        <f>IF(OR(F_Custom1_Q="(None)",F_Custom1_Q="",ISBLANK(F_Custom1_Q),F_Custom1_V="(All)",F_Custom1_V="",ISBLANK(F_Custom1_V)),1,IFERROR(IF(ISNUMBER(SEARCH("|"&amp;INDEX(INDIRECT(F_Custom1_resolved_column),1013)&amp;"|",F_Custom1_wrapped)),1,0),0))</f>
        <v>1</v>
      </c>
      <c r="E1014">
        <f>IF(OR(F_Custom2_Q="(None)",F_Custom2_Q="",ISBLANK(F_Custom2_Q),F_Custom2_V="(All)",F_Custom2_V="",ISBLANK(F_Custom2_V)),1,IFERROR(IF(ISNUMBER(SEARCH("|"&amp;INDEX(INDIRECT(F_Custom2_resolved_column),1013)&amp;"|",F_Custom2_wrapped)),1,0),0))</f>
        <v>1</v>
      </c>
      <c r="F1014">
        <f>D1014*E1014*1</f>
        <v>1</v>
      </c>
      <c r="G1014">
        <f>1</f>
        <v>1</v>
      </c>
      <c r="H10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1013)&amp;"|",All_Questions_Q_STREAM_F_wrapped)),1,0),0))*1</f>
        <v>1</v>
      </c>
    </row>
    <row r="1015">
      <c r="A1015" t="n">
        <v>1014</v>
      </c>
      <c r="B1015" t="inlineStr">
        <is>
          <t>B</t>
        </is>
      </c>
      <c r="C1015">
        <f>1</f>
        <v>1</v>
      </c>
      <c r="D1015">
        <f>IF(OR(F_Custom1_Q="(None)",F_Custom1_Q="",ISBLANK(F_Custom1_Q),F_Custom1_V="(All)",F_Custom1_V="",ISBLANK(F_Custom1_V)),1,IFERROR(IF(ISNUMBER(SEARCH("|"&amp;INDEX(INDIRECT(F_Custom1_resolved_column),1014)&amp;"|",F_Custom1_wrapped)),1,0),0))</f>
        <v>1</v>
      </c>
      <c r="E1015">
        <f>IF(OR(F_Custom2_Q="(None)",F_Custom2_Q="",ISBLANK(F_Custom2_Q),F_Custom2_V="(All)",F_Custom2_V="",ISBLANK(F_Custom2_V)),1,IFERROR(IF(ISNUMBER(SEARCH("|"&amp;INDEX(INDIRECT(F_Custom2_resolved_column),1014)&amp;"|",F_Custom2_wrapped)),1,0),0))</f>
        <v>1</v>
      </c>
      <c r="F1015">
        <f>D1015*E1015*1</f>
        <v>1</v>
      </c>
      <c r="G1015">
        <f>1</f>
        <v>1</v>
      </c>
      <c r="H10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1014)&amp;"|",All_Questions_Q_STREAM_F_wrapped)),1,0),0))*1</f>
        <v>1</v>
      </c>
    </row>
    <row r="1016">
      <c r="A1016" t="n">
        <v>1015</v>
      </c>
      <c r="B1016" t="inlineStr">
        <is>
          <t>A</t>
        </is>
      </c>
      <c r="C1016">
        <f>1</f>
        <v>1</v>
      </c>
      <c r="D1016">
        <f>IF(OR(F_Custom1_Q="(None)",F_Custom1_Q="",ISBLANK(F_Custom1_Q),F_Custom1_V="(All)",F_Custom1_V="",ISBLANK(F_Custom1_V)),1,IFERROR(IF(ISNUMBER(SEARCH("|"&amp;INDEX(INDIRECT(F_Custom1_resolved_column),1015)&amp;"|",F_Custom1_wrapped)),1,0),0))</f>
        <v>1</v>
      </c>
      <c r="E1016">
        <f>IF(OR(F_Custom2_Q="(None)",F_Custom2_Q="",ISBLANK(F_Custom2_Q),F_Custom2_V="(All)",F_Custom2_V="",ISBLANK(F_Custom2_V)),1,IFERROR(IF(ISNUMBER(SEARCH("|"&amp;INDEX(INDIRECT(F_Custom2_resolved_column),1015)&amp;"|",F_Custom2_wrapped)),1,0),0))</f>
        <v>1</v>
      </c>
      <c r="F1016">
        <f>D1016*E1016*1</f>
        <v>1</v>
      </c>
      <c r="G1016">
        <f>1</f>
        <v>1</v>
      </c>
      <c r="H10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1015)&amp;"|",All_Questions_Q_STREAM_F_wrapped)),1,0),0))*1</f>
        <v>1</v>
      </c>
    </row>
    <row r="1017">
      <c r="A1017" t="n">
        <v>1016</v>
      </c>
      <c r="B1017" t="inlineStr">
        <is>
          <t>B</t>
        </is>
      </c>
      <c r="C1017">
        <f>1</f>
        <v>1</v>
      </c>
      <c r="D1017">
        <f>IF(OR(F_Custom1_Q="(None)",F_Custom1_Q="",ISBLANK(F_Custom1_Q),F_Custom1_V="(All)",F_Custom1_V="",ISBLANK(F_Custom1_V)),1,IFERROR(IF(ISNUMBER(SEARCH("|"&amp;INDEX(INDIRECT(F_Custom1_resolved_column),1016)&amp;"|",F_Custom1_wrapped)),1,0),0))</f>
        <v>1</v>
      </c>
      <c r="E1017">
        <f>IF(OR(F_Custom2_Q="(None)",F_Custom2_Q="",ISBLANK(F_Custom2_Q),F_Custom2_V="(All)",F_Custom2_V="",ISBLANK(F_Custom2_V)),1,IFERROR(IF(ISNUMBER(SEARCH("|"&amp;INDEX(INDIRECT(F_Custom2_resolved_column),1016)&amp;"|",F_Custom2_wrapped)),1,0),0))</f>
        <v>1</v>
      </c>
      <c r="F1017">
        <f>D1017*E1017*1</f>
        <v>1</v>
      </c>
      <c r="G1017">
        <f>1</f>
        <v>1</v>
      </c>
      <c r="H10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1016)&amp;"|",All_Questions_Q_STREAM_F_wrapped)),1,0),0))*1</f>
        <v>1</v>
      </c>
    </row>
    <row r="1018">
      <c r="A1018" t="n">
        <v>1017</v>
      </c>
      <c r="B1018" t="inlineStr">
        <is>
          <t>A</t>
        </is>
      </c>
      <c r="C1018">
        <f>1</f>
        <v>1</v>
      </c>
      <c r="D1018">
        <f>IF(OR(F_Custom1_Q="(None)",F_Custom1_Q="",ISBLANK(F_Custom1_Q),F_Custom1_V="(All)",F_Custom1_V="",ISBLANK(F_Custom1_V)),1,IFERROR(IF(ISNUMBER(SEARCH("|"&amp;INDEX(INDIRECT(F_Custom1_resolved_column),1017)&amp;"|",F_Custom1_wrapped)),1,0),0))</f>
        <v>1</v>
      </c>
      <c r="E1018">
        <f>IF(OR(F_Custom2_Q="(None)",F_Custom2_Q="",ISBLANK(F_Custom2_Q),F_Custom2_V="(All)",F_Custom2_V="",ISBLANK(F_Custom2_V)),1,IFERROR(IF(ISNUMBER(SEARCH("|"&amp;INDEX(INDIRECT(F_Custom2_resolved_column),1017)&amp;"|",F_Custom2_wrapped)),1,0),0))</f>
        <v>1</v>
      </c>
      <c r="F1018">
        <f>D1018*E1018*1</f>
        <v>1</v>
      </c>
      <c r="G1018">
        <f>1</f>
        <v>1</v>
      </c>
      <c r="H10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1017)&amp;"|",All_Questions_Q_STREAM_F_wrapped)),1,0),0))*1</f>
        <v>1</v>
      </c>
    </row>
    <row r="1019">
      <c r="A1019" t="n">
        <v>1018</v>
      </c>
      <c r="B1019" t="inlineStr">
        <is>
          <t>B</t>
        </is>
      </c>
      <c r="C1019">
        <f>1</f>
        <v>1</v>
      </c>
      <c r="D1019">
        <f>IF(OR(F_Custom1_Q="(None)",F_Custom1_Q="",ISBLANK(F_Custom1_Q),F_Custom1_V="(All)",F_Custom1_V="",ISBLANK(F_Custom1_V)),1,IFERROR(IF(ISNUMBER(SEARCH("|"&amp;INDEX(INDIRECT(F_Custom1_resolved_column),1018)&amp;"|",F_Custom1_wrapped)),1,0),0))</f>
        <v>1</v>
      </c>
      <c r="E1019">
        <f>IF(OR(F_Custom2_Q="(None)",F_Custom2_Q="",ISBLANK(F_Custom2_Q),F_Custom2_V="(All)",F_Custom2_V="",ISBLANK(F_Custom2_V)),1,IFERROR(IF(ISNUMBER(SEARCH("|"&amp;INDEX(INDIRECT(F_Custom2_resolved_column),1018)&amp;"|",F_Custom2_wrapped)),1,0),0))</f>
        <v>1</v>
      </c>
      <c r="F1019">
        <f>D1019*E1019*1</f>
        <v>1</v>
      </c>
      <c r="G1019">
        <f>1</f>
        <v>1</v>
      </c>
      <c r="H10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1018)&amp;"|",All_Questions_Q_STREAM_F_wrapped)),1,0),0))*1</f>
        <v>1</v>
      </c>
    </row>
    <row r="1020">
      <c r="A1020" t="n">
        <v>1019</v>
      </c>
      <c r="B1020" t="inlineStr">
        <is>
          <t>A</t>
        </is>
      </c>
      <c r="C1020">
        <f>1</f>
        <v>1</v>
      </c>
      <c r="D1020">
        <f>IF(OR(F_Custom1_Q="(None)",F_Custom1_Q="",ISBLANK(F_Custom1_Q),F_Custom1_V="(All)",F_Custom1_V="",ISBLANK(F_Custom1_V)),1,IFERROR(IF(ISNUMBER(SEARCH("|"&amp;INDEX(INDIRECT(F_Custom1_resolved_column),1019)&amp;"|",F_Custom1_wrapped)),1,0),0))</f>
        <v>1</v>
      </c>
      <c r="E1020">
        <f>IF(OR(F_Custom2_Q="(None)",F_Custom2_Q="",ISBLANK(F_Custom2_Q),F_Custom2_V="(All)",F_Custom2_V="",ISBLANK(F_Custom2_V)),1,IFERROR(IF(ISNUMBER(SEARCH("|"&amp;INDEX(INDIRECT(F_Custom2_resolved_column),1019)&amp;"|",F_Custom2_wrapped)),1,0),0))</f>
        <v>1</v>
      </c>
      <c r="F1020">
        <f>D1020*E1020*1</f>
        <v>1</v>
      </c>
      <c r="G1020">
        <f>1</f>
        <v>1</v>
      </c>
      <c r="H10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1019)&amp;"|",All_Questions_Q_STREAM_F_wrapped)),1,0),0))*1</f>
        <v>1</v>
      </c>
    </row>
    <row r="1021">
      <c r="A1021" t="n">
        <v>1020</v>
      </c>
      <c r="B1021" t="inlineStr">
        <is>
          <t>B</t>
        </is>
      </c>
      <c r="C1021">
        <f>1</f>
        <v>1</v>
      </c>
      <c r="D1021">
        <f>IF(OR(F_Custom1_Q="(None)",F_Custom1_Q="",ISBLANK(F_Custom1_Q),F_Custom1_V="(All)",F_Custom1_V="",ISBLANK(F_Custom1_V)),1,IFERROR(IF(ISNUMBER(SEARCH("|"&amp;INDEX(INDIRECT(F_Custom1_resolved_column),1020)&amp;"|",F_Custom1_wrapped)),1,0),0))</f>
        <v>1</v>
      </c>
      <c r="E1021">
        <f>IF(OR(F_Custom2_Q="(None)",F_Custom2_Q="",ISBLANK(F_Custom2_Q),F_Custom2_V="(All)",F_Custom2_V="",ISBLANK(F_Custom2_V)),1,IFERROR(IF(ISNUMBER(SEARCH("|"&amp;INDEX(INDIRECT(F_Custom2_resolved_column),1020)&amp;"|",F_Custom2_wrapped)),1,0),0))</f>
        <v>1</v>
      </c>
      <c r="F1021">
        <f>D1021*E1021*1</f>
        <v>1</v>
      </c>
      <c r="G1021">
        <f>1</f>
        <v>1</v>
      </c>
      <c r="H10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1020)&amp;"|",All_Questions_Q_STREAM_F_wrapped)),1,0),0))*1</f>
        <v>1</v>
      </c>
    </row>
    <row r="1022">
      <c r="A1022" t="n">
        <v>1021</v>
      </c>
      <c r="B1022" t="inlineStr">
        <is>
          <t>A</t>
        </is>
      </c>
      <c r="C1022">
        <f>1</f>
        <v>1</v>
      </c>
      <c r="D1022">
        <f>IF(OR(F_Custom1_Q="(None)",F_Custom1_Q="",ISBLANK(F_Custom1_Q),F_Custom1_V="(All)",F_Custom1_V="",ISBLANK(F_Custom1_V)),1,IFERROR(IF(ISNUMBER(SEARCH("|"&amp;INDEX(INDIRECT(F_Custom1_resolved_column),1021)&amp;"|",F_Custom1_wrapped)),1,0),0))</f>
        <v>1</v>
      </c>
      <c r="E1022">
        <f>IF(OR(F_Custom2_Q="(None)",F_Custom2_Q="",ISBLANK(F_Custom2_Q),F_Custom2_V="(All)",F_Custom2_V="",ISBLANK(F_Custom2_V)),1,IFERROR(IF(ISNUMBER(SEARCH("|"&amp;INDEX(INDIRECT(F_Custom2_resolved_column),1021)&amp;"|",F_Custom2_wrapped)),1,0),0))</f>
        <v>1</v>
      </c>
      <c r="F1022">
        <f>D1022*E1022*1</f>
        <v>1</v>
      </c>
      <c r="G1022">
        <f>1</f>
        <v>1</v>
      </c>
      <c r="H10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1021)&amp;"|",All_Questions_Q_STREAM_F_wrapped)),1,0),0))*1</f>
        <v>1</v>
      </c>
    </row>
    <row r="1023">
      <c r="A1023" t="n">
        <v>1022</v>
      </c>
      <c r="B1023" t="inlineStr">
        <is>
          <t>B</t>
        </is>
      </c>
      <c r="C1023">
        <f>1</f>
        <v>1</v>
      </c>
      <c r="D1023">
        <f>IF(OR(F_Custom1_Q="(None)",F_Custom1_Q="",ISBLANK(F_Custom1_Q),F_Custom1_V="(All)",F_Custom1_V="",ISBLANK(F_Custom1_V)),1,IFERROR(IF(ISNUMBER(SEARCH("|"&amp;INDEX(INDIRECT(F_Custom1_resolved_column),1022)&amp;"|",F_Custom1_wrapped)),1,0),0))</f>
        <v>1</v>
      </c>
      <c r="E1023">
        <f>IF(OR(F_Custom2_Q="(None)",F_Custom2_Q="",ISBLANK(F_Custom2_Q),F_Custom2_V="(All)",F_Custom2_V="",ISBLANK(F_Custom2_V)),1,IFERROR(IF(ISNUMBER(SEARCH("|"&amp;INDEX(INDIRECT(F_Custom2_resolved_column),1022)&amp;"|",F_Custom2_wrapped)),1,0),0))</f>
        <v>1</v>
      </c>
      <c r="F1023">
        <f>D1023*E1023*1</f>
        <v>1</v>
      </c>
      <c r="G1023">
        <f>1</f>
        <v>1</v>
      </c>
      <c r="H10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1022)&amp;"|",All_Questions_Q_STREAM_F_wrapped)),1,0),0))*1</f>
        <v>1</v>
      </c>
    </row>
    <row r="1024">
      <c r="A1024" t="n">
        <v>1023</v>
      </c>
      <c r="B1024" t="inlineStr">
        <is>
          <t>A</t>
        </is>
      </c>
      <c r="C1024">
        <f>1</f>
        <v>1</v>
      </c>
      <c r="D1024">
        <f>IF(OR(F_Custom1_Q="(None)",F_Custom1_Q="",ISBLANK(F_Custom1_Q),F_Custom1_V="(All)",F_Custom1_V="",ISBLANK(F_Custom1_V)),1,IFERROR(IF(ISNUMBER(SEARCH("|"&amp;INDEX(INDIRECT(F_Custom1_resolved_column),1023)&amp;"|",F_Custom1_wrapped)),1,0),0))</f>
        <v>1</v>
      </c>
      <c r="E1024">
        <f>IF(OR(F_Custom2_Q="(None)",F_Custom2_Q="",ISBLANK(F_Custom2_Q),F_Custom2_V="(All)",F_Custom2_V="",ISBLANK(F_Custom2_V)),1,IFERROR(IF(ISNUMBER(SEARCH("|"&amp;INDEX(INDIRECT(F_Custom2_resolved_column),1023)&amp;"|",F_Custom2_wrapped)),1,0),0))</f>
        <v>1</v>
      </c>
      <c r="F1024">
        <f>D1024*E1024*1</f>
        <v>1</v>
      </c>
      <c r="G1024">
        <f>1</f>
        <v>1</v>
      </c>
      <c r="H10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1023)&amp;"|",All_Questions_Q_STREAM_F_wrapped)),1,0),0))*1</f>
        <v>1</v>
      </c>
    </row>
    <row r="1025">
      <c r="A1025" t="n">
        <v>1024</v>
      </c>
      <c r="B1025" t="inlineStr">
        <is>
          <t>B</t>
        </is>
      </c>
      <c r="C1025">
        <f>1</f>
        <v>1</v>
      </c>
      <c r="D1025">
        <f>IF(OR(F_Custom1_Q="(None)",F_Custom1_Q="",ISBLANK(F_Custom1_Q),F_Custom1_V="(All)",F_Custom1_V="",ISBLANK(F_Custom1_V)),1,IFERROR(IF(ISNUMBER(SEARCH("|"&amp;INDEX(INDIRECT(F_Custom1_resolved_column),1024)&amp;"|",F_Custom1_wrapped)),1,0),0))</f>
        <v>1</v>
      </c>
      <c r="E1025">
        <f>IF(OR(F_Custom2_Q="(None)",F_Custom2_Q="",ISBLANK(F_Custom2_Q),F_Custom2_V="(All)",F_Custom2_V="",ISBLANK(F_Custom2_V)),1,IFERROR(IF(ISNUMBER(SEARCH("|"&amp;INDEX(INDIRECT(F_Custom2_resolved_column),1024)&amp;"|",F_Custom2_wrapped)),1,0),0))</f>
        <v>1</v>
      </c>
      <c r="F1025">
        <f>D1025*E1025*1</f>
        <v>1</v>
      </c>
      <c r="G1025">
        <f>1</f>
        <v>1</v>
      </c>
      <c r="H10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1024)&amp;"|",All_Questions_Q_STREAM_F_wrapped)),1,0),0))*1</f>
        <v>1</v>
      </c>
    </row>
    <row r="1026">
      <c r="A1026" t="n">
        <v>1025</v>
      </c>
      <c r="B1026" t="inlineStr">
        <is>
          <t>A</t>
        </is>
      </c>
      <c r="C1026">
        <f>1</f>
        <v>1</v>
      </c>
      <c r="D1026">
        <f>IF(OR(F_Custom1_Q="(None)",F_Custom1_Q="",ISBLANK(F_Custom1_Q),F_Custom1_V="(All)",F_Custom1_V="",ISBLANK(F_Custom1_V)),1,IFERROR(IF(ISNUMBER(SEARCH("|"&amp;INDEX(INDIRECT(F_Custom1_resolved_column),1025)&amp;"|",F_Custom1_wrapped)),1,0),0))</f>
        <v>1</v>
      </c>
      <c r="E1026">
        <f>IF(OR(F_Custom2_Q="(None)",F_Custom2_Q="",ISBLANK(F_Custom2_Q),F_Custom2_V="(All)",F_Custom2_V="",ISBLANK(F_Custom2_V)),1,IFERROR(IF(ISNUMBER(SEARCH("|"&amp;INDEX(INDIRECT(F_Custom2_resolved_column),1025)&amp;"|",F_Custom2_wrapped)),1,0),0))</f>
        <v>1</v>
      </c>
      <c r="F1026">
        <f>D1026*E1026*1</f>
        <v>1</v>
      </c>
      <c r="G1026">
        <f>1</f>
        <v>1</v>
      </c>
      <c r="H10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1025)&amp;"|",All_Questions_Q_STREAM_F_wrapped)),1,0),0))*1</f>
        <v>1</v>
      </c>
    </row>
    <row r="1027">
      <c r="A1027" t="n">
        <v>1026</v>
      </c>
      <c r="B1027" t="inlineStr">
        <is>
          <t>B</t>
        </is>
      </c>
      <c r="C1027">
        <f>1</f>
        <v>1</v>
      </c>
      <c r="D1027">
        <f>IF(OR(F_Custom1_Q="(None)",F_Custom1_Q="",ISBLANK(F_Custom1_Q),F_Custom1_V="(All)",F_Custom1_V="",ISBLANK(F_Custom1_V)),1,IFERROR(IF(ISNUMBER(SEARCH("|"&amp;INDEX(INDIRECT(F_Custom1_resolved_column),1026)&amp;"|",F_Custom1_wrapped)),1,0),0))</f>
        <v>1</v>
      </c>
      <c r="E1027">
        <f>IF(OR(F_Custom2_Q="(None)",F_Custom2_Q="",ISBLANK(F_Custom2_Q),F_Custom2_V="(All)",F_Custom2_V="",ISBLANK(F_Custom2_V)),1,IFERROR(IF(ISNUMBER(SEARCH("|"&amp;INDEX(INDIRECT(F_Custom2_resolved_column),1026)&amp;"|",F_Custom2_wrapped)),1,0),0))</f>
        <v>1</v>
      </c>
      <c r="F1027">
        <f>D1027*E1027*1</f>
        <v>1</v>
      </c>
      <c r="G1027">
        <f>1</f>
        <v>1</v>
      </c>
      <c r="H10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1026)&amp;"|",All_Questions_Q_STREAM_F_wrapped)),1,0),0))*1</f>
        <v>1</v>
      </c>
    </row>
    <row r="1028">
      <c r="A1028" t="n">
        <v>1027</v>
      </c>
      <c r="B1028" t="inlineStr">
        <is>
          <t>A</t>
        </is>
      </c>
      <c r="C1028">
        <f>1</f>
        <v>1</v>
      </c>
      <c r="D1028">
        <f>IF(OR(F_Custom1_Q="(None)",F_Custom1_Q="",ISBLANK(F_Custom1_Q),F_Custom1_V="(All)",F_Custom1_V="",ISBLANK(F_Custom1_V)),1,IFERROR(IF(ISNUMBER(SEARCH("|"&amp;INDEX(INDIRECT(F_Custom1_resolved_column),1027)&amp;"|",F_Custom1_wrapped)),1,0),0))</f>
        <v>1</v>
      </c>
      <c r="E1028">
        <f>IF(OR(F_Custom2_Q="(None)",F_Custom2_Q="",ISBLANK(F_Custom2_Q),F_Custom2_V="(All)",F_Custom2_V="",ISBLANK(F_Custom2_V)),1,IFERROR(IF(ISNUMBER(SEARCH("|"&amp;INDEX(INDIRECT(F_Custom2_resolved_column),1027)&amp;"|",F_Custom2_wrapped)),1,0),0))</f>
        <v>1</v>
      </c>
      <c r="F1028">
        <f>D1028*E1028*1</f>
        <v>1</v>
      </c>
      <c r="G1028">
        <f>1</f>
        <v>1</v>
      </c>
      <c r="H10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1027)&amp;"|",All_Questions_Q_STREAM_F_wrapped)),1,0),0))*1</f>
        <v>1</v>
      </c>
    </row>
    <row r="1029">
      <c r="A1029" t="n">
        <v>1028</v>
      </c>
      <c r="B1029" t="inlineStr">
        <is>
          <t>B</t>
        </is>
      </c>
      <c r="C1029">
        <f>1</f>
        <v>1</v>
      </c>
      <c r="D1029">
        <f>IF(OR(F_Custom1_Q="(None)",F_Custom1_Q="",ISBLANK(F_Custom1_Q),F_Custom1_V="(All)",F_Custom1_V="",ISBLANK(F_Custom1_V)),1,IFERROR(IF(ISNUMBER(SEARCH("|"&amp;INDEX(INDIRECT(F_Custom1_resolved_column),1028)&amp;"|",F_Custom1_wrapped)),1,0),0))</f>
        <v>1</v>
      </c>
      <c r="E1029">
        <f>IF(OR(F_Custom2_Q="(None)",F_Custom2_Q="",ISBLANK(F_Custom2_Q),F_Custom2_V="(All)",F_Custom2_V="",ISBLANK(F_Custom2_V)),1,IFERROR(IF(ISNUMBER(SEARCH("|"&amp;INDEX(INDIRECT(F_Custom2_resolved_column),1028)&amp;"|",F_Custom2_wrapped)),1,0),0))</f>
        <v>1</v>
      </c>
      <c r="F1029">
        <f>D1029*E1029*1</f>
        <v>1</v>
      </c>
      <c r="G1029">
        <f>1</f>
        <v>1</v>
      </c>
      <c r="H10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1028)&amp;"|",All_Questions_Q_STREAM_F_wrapped)),1,0),0))*1</f>
        <v>1</v>
      </c>
    </row>
    <row r="1030">
      <c r="A1030" t="n">
        <v>1029</v>
      </c>
      <c r="B1030" t="inlineStr">
        <is>
          <t>A</t>
        </is>
      </c>
      <c r="C1030">
        <f>1</f>
        <v>1</v>
      </c>
      <c r="D1030">
        <f>IF(OR(F_Custom1_Q="(None)",F_Custom1_Q="",ISBLANK(F_Custom1_Q),F_Custom1_V="(All)",F_Custom1_V="",ISBLANK(F_Custom1_V)),1,IFERROR(IF(ISNUMBER(SEARCH("|"&amp;INDEX(INDIRECT(F_Custom1_resolved_column),1029)&amp;"|",F_Custom1_wrapped)),1,0),0))</f>
        <v>1</v>
      </c>
      <c r="E1030">
        <f>IF(OR(F_Custom2_Q="(None)",F_Custom2_Q="",ISBLANK(F_Custom2_Q),F_Custom2_V="(All)",F_Custom2_V="",ISBLANK(F_Custom2_V)),1,IFERROR(IF(ISNUMBER(SEARCH("|"&amp;INDEX(INDIRECT(F_Custom2_resolved_column),1029)&amp;"|",F_Custom2_wrapped)),1,0),0))</f>
        <v>1</v>
      </c>
      <c r="F1030">
        <f>D1030*E1030*1</f>
        <v>1</v>
      </c>
      <c r="G1030">
        <f>1</f>
        <v>1</v>
      </c>
      <c r="H10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1029)&amp;"|",All_Questions_Q_STREAM_F_wrapped)),1,0),0))*1</f>
        <v>1</v>
      </c>
    </row>
    <row r="1031">
      <c r="A1031" t="n">
        <v>1030</v>
      </c>
      <c r="B1031" t="inlineStr">
        <is>
          <t>B</t>
        </is>
      </c>
      <c r="C1031">
        <f>1</f>
        <v>1</v>
      </c>
      <c r="D1031">
        <f>IF(OR(F_Custom1_Q="(None)",F_Custom1_Q="",ISBLANK(F_Custom1_Q),F_Custom1_V="(All)",F_Custom1_V="",ISBLANK(F_Custom1_V)),1,IFERROR(IF(ISNUMBER(SEARCH("|"&amp;INDEX(INDIRECT(F_Custom1_resolved_column),1030)&amp;"|",F_Custom1_wrapped)),1,0),0))</f>
        <v>1</v>
      </c>
      <c r="E1031">
        <f>IF(OR(F_Custom2_Q="(None)",F_Custom2_Q="",ISBLANK(F_Custom2_Q),F_Custom2_V="(All)",F_Custom2_V="",ISBLANK(F_Custom2_V)),1,IFERROR(IF(ISNUMBER(SEARCH("|"&amp;INDEX(INDIRECT(F_Custom2_resolved_column),1030)&amp;"|",F_Custom2_wrapped)),1,0),0))</f>
        <v>1</v>
      </c>
      <c r="F1031">
        <f>D1031*E1031*1</f>
        <v>1</v>
      </c>
      <c r="G1031">
        <f>1</f>
        <v>1</v>
      </c>
      <c r="H10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1030)&amp;"|",All_Questions_Q_STREAM_F_wrapped)),1,0),0))*1</f>
        <v>1</v>
      </c>
    </row>
    <row r="1032">
      <c r="A1032" t="n">
        <v>1031</v>
      </c>
      <c r="B1032" t="inlineStr">
        <is>
          <t>A</t>
        </is>
      </c>
      <c r="C1032">
        <f>1</f>
        <v>1</v>
      </c>
      <c r="D1032">
        <f>IF(OR(F_Custom1_Q="(None)",F_Custom1_Q="",ISBLANK(F_Custom1_Q),F_Custom1_V="(All)",F_Custom1_V="",ISBLANK(F_Custom1_V)),1,IFERROR(IF(ISNUMBER(SEARCH("|"&amp;INDEX(INDIRECT(F_Custom1_resolved_column),1031)&amp;"|",F_Custom1_wrapped)),1,0),0))</f>
        <v>1</v>
      </c>
      <c r="E1032">
        <f>IF(OR(F_Custom2_Q="(None)",F_Custom2_Q="",ISBLANK(F_Custom2_Q),F_Custom2_V="(All)",F_Custom2_V="",ISBLANK(F_Custom2_V)),1,IFERROR(IF(ISNUMBER(SEARCH("|"&amp;INDEX(INDIRECT(F_Custom2_resolved_column),1031)&amp;"|",F_Custom2_wrapped)),1,0),0))</f>
        <v>1</v>
      </c>
      <c r="F1032">
        <f>D1032*E1032*1</f>
        <v>1</v>
      </c>
      <c r="G1032">
        <f>1</f>
        <v>1</v>
      </c>
      <c r="H10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1031)&amp;"|",All_Questions_Q_STREAM_F_wrapped)),1,0),0))*1</f>
        <v>1</v>
      </c>
    </row>
    <row r="1033">
      <c r="A1033" t="n">
        <v>1032</v>
      </c>
      <c r="B1033" t="inlineStr">
        <is>
          <t>B</t>
        </is>
      </c>
      <c r="C1033">
        <f>1</f>
        <v>1</v>
      </c>
      <c r="D1033">
        <f>IF(OR(F_Custom1_Q="(None)",F_Custom1_Q="",ISBLANK(F_Custom1_Q),F_Custom1_V="(All)",F_Custom1_V="",ISBLANK(F_Custom1_V)),1,IFERROR(IF(ISNUMBER(SEARCH("|"&amp;INDEX(INDIRECT(F_Custom1_resolved_column),1032)&amp;"|",F_Custom1_wrapped)),1,0),0))</f>
        <v>1</v>
      </c>
      <c r="E1033">
        <f>IF(OR(F_Custom2_Q="(None)",F_Custom2_Q="",ISBLANK(F_Custom2_Q),F_Custom2_V="(All)",F_Custom2_V="",ISBLANK(F_Custom2_V)),1,IFERROR(IF(ISNUMBER(SEARCH("|"&amp;INDEX(INDIRECT(F_Custom2_resolved_column),1032)&amp;"|",F_Custom2_wrapped)),1,0),0))</f>
        <v>1</v>
      </c>
      <c r="F1033">
        <f>D1033*E1033*1</f>
        <v>1</v>
      </c>
      <c r="G1033">
        <f>1</f>
        <v>1</v>
      </c>
      <c r="H10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1032)&amp;"|",All_Questions_Q_STREAM_F_wrapped)),1,0),0))*1</f>
        <v>1</v>
      </c>
    </row>
    <row r="1034">
      <c r="A1034" t="n">
        <v>1033</v>
      </c>
      <c r="B1034" t="inlineStr">
        <is>
          <t>A</t>
        </is>
      </c>
      <c r="C1034">
        <f>1</f>
        <v>1</v>
      </c>
      <c r="D1034">
        <f>IF(OR(F_Custom1_Q="(None)",F_Custom1_Q="",ISBLANK(F_Custom1_Q),F_Custom1_V="(All)",F_Custom1_V="",ISBLANK(F_Custom1_V)),1,IFERROR(IF(ISNUMBER(SEARCH("|"&amp;INDEX(INDIRECT(F_Custom1_resolved_column),1033)&amp;"|",F_Custom1_wrapped)),1,0),0))</f>
        <v>1</v>
      </c>
      <c r="E1034">
        <f>IF(OR(F_Custom2_Q="(None)",F_Custom2_Q="",ISBLANK(F_Custom2_Q),F_Custom2_V="(All)",F_Custom2_V="",ISBLANK(F_Custom2_V)),1,IFERROR(IF(ISNUMBER(SEARCH("|"&amp;INDEX(INDIRECT(F_Custom2_resolved_column),1033)&amp;"|",F_Custom2_wrapped)),1,0),0))</f>
        <v>1</v>
      </c>
      <c r="F1034">
        <f>D1034*E1034*1</f>
        <v>1</v>
      </c>
      <c r="G1034">
        <f>1</f>
        <v>1</v>
      </c>
      <c r="H10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1033)&amp;"|",All_Questions_Q_STREAM_F_wrapped)),1,0),0))*1</f>
        <v>1</v>
      </c>
    </row>
    <row r="1035">
      <c r="A1035" t="n">
        <v>1034</v>
      </c>
      <c r="B1035" t="inlineStr">
        <is>
          <t>B</t>
        </is>
      </c>
      <c r="C1035">
        <f>1</f>
        <v>1</v>
      </c>
      <c r="D1035">
        <f>IF(OR(F_Custom1_Q="(None)",F_Custom1_Q="",ISBLANK(F_Custom1_Q),F_Custom1_V="(All)",F_Custom1_V="",ISBLANK(F_Custom1_V)),1,IFERROR(IF(ISNUMBER(SEARCH("|"&amp;INDEX(INDIRECT(F_Custom1_resolved_column),1034)&amp;"|",F_Custom1_wrapped)),1,0),0))</f>
        <v>1</v>
      </c>
      <c r="E1035">
        <f>IF(OR(F_Custom2_Q="(None)",F_Custom2_Q="",ISBLANK(F_Custom2_Q),F_Custom2_V="(All)",F_Custom2_V="",ISBLANK(F_Custom2_V)),1,IFERROR(IF(ISNUMBER(SEARCH("|"&amp;INDEX(INDIRECT(F_Custom2_resolved_column),1034)&amp;"|",F_Custom2_wrapped)),1,0),0))</f>
        <v>1</v>
      </c>
      <c r="F1035">
        <f>D1035*E1035*1</f>
        <v>1</v>
      </c>
      <c r="G1035">
        <f>1</f>
        <v>1</v>
      </c>
      <c r="H10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1034)&amp;"|",All_Questions_Q_STREAM_F_wrapped)),1,0),0))*1</f>
        <v>1</v>
      </c>
    </row>
    <row r="1036">
      <c r="A1036" t="n">
        <v>1035</v>
      </c>
      <c r="B1036" t="inlineStr">
        <is>
          <t>A</t>
        </is>
      </c>
      <c r="C1036">
        <f>1</f>
        <v>1</v>
      </c>
      <c r="D1036">
        <f>IF(OR(F_Custom1_Q="(None)",F_Custom1_Q="",ISBLANK(F_Custom1_Q),F_Custom1_V="(All)",F_Custom1_V="",ISBLANK(F_Custom1_V)),1,IFERROR(IF(ISNUMBER(SEARCH("|"&amp;INDEX(INDIRECT(F_Custom1_resolved_column),1035)&amp;"|",F_Custom1_wrapped)),1,0),0))</f>
        <v>1</v>
      </c>
      <c r="E1036">
        <f>IF(OR(F_Custom2_Q="(None)",F_Custom2_Q="",ISBLANK(F_Custom2_Q),F_Custom2_V="(All)",F_Custom2_V="",ISBLANK(F_Custom2_V)),1,IFERROR(IF(ISNUMBER(SEARCH("|"&amp;INDEX(INDIRECT(F_Custom2_resolved_column),1035)&amp;"|",F_Custom2_wrapped)),1,0),0))</f>
        <v>1</v>
      </c>
      <c r="F1036">
        <f>D1036*E1036*1</f>
        <v>1</v>
      </c>
      <c r="G1036">
        <f>1</f>
        <v>1</v>
      </c>
      <c r="H10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1035)&amp;"|",All_Questions_Q_STREAM_F_wrapped)),1,0),0))*1</f>
        <v>1</v>
      </c>
    </row>
    <row r="1037">
      <c r="A1037" t="n">
        <v>1036</v>
      </c>
      <c r="B1037" t="inlineStr">
        <is>
          <t>B</t>
        </is>
      </c>
      <c r="C1037">
        <f>1</f>
        <v>1</v>
      </c>
      <c r="D1037">
        <f>IF(OR(F_Custom1_Q="(None)",F_Custom1_Q="",ISBLANK(F_Custom1_Q),F_Custom1_V="(All)",F_Custom1_V="",ISBLANK(F_Custom1_V)),1,IFERROR(IF(ISNUMBER(SEARCH("|"&amp;INDEX(INDIRECT(F_Custom1_resolved_column),1036)&amp;"|",F_Custom1_wrapped)),1,0),0))</f>
        <v>1</v>
      </c>
      <c r="E1037">
        <f>IF(OR(F_Custom2_Q="(None)",F_Custom2_Q="",ISBLANK(F_Custom2_Q),F_Custom2_V="(All)",F_Custom2_V="",ISBLANK(F_Custom2_V)),1,IFERROR(IF(ISNUMBER(SEARCH("|"&amp;INDEX(INDIRECT(F_Custom2_resolved_column),1036)&amp;"|",F_Custom2_wrapped)),1,0),0))</f>
        <v>1</v>
      </c>
      <c r="F1037">
        <f>D1037*E1037*1</f>
        <v>1</v>
      </c>
      <c r="G1037">
        <f>1</f>
        <v>1</v>
      </c>
      <c r="H10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1036)&amp;"|",All_Questions_Q_STREAM_F_wrapped)),1,0),0))*1</f>
        <v>1</v>
      </c>
    </row>
    <row r="1038">
      <c r="A1038" t="n">
        <v>1037</v>
      </c>
      <c r="B1038" t="inlineStr">
        <is>
          <t>A</t>
        </is>
      </c>
      <c r="C1038">
        <f>1</f>
        <v>1</v>
      </c>
      <c r="D1038">
        <f>IF(OR(F_Custom1_Q="(None)",F_Custom1_Q="",ISBLANK(F_Custom1_Q),F_Custom1_V="(All)",F_Custom1_V="",ISBLANK(F_Custom1_V)),1,IFERROR(IF(ISNUMBER(SEARCH("|"&amp;INDEX(INDIRECT(F_Custom1_resolved_column),1037)&amp;"|",F_Custom1_wrapped)),1,0),0))</f>
        <v>1</v>
      </c>
      <c r="E1038">
        <f>IF(OR(F_Custom2_Q="(None)",F_Custom2_Q="",ISBLANK(F_Custom2_Q),F_Custom2_V="(All)",F_Custom2_V="",ISBLANK(F_Custom2_V)),1,IFERROR(IF(ISNUMBER(SEARCH("|"&amp;INDEX(INDIRECT(F_Custom2_resolved_column),1037)&amp;"|",F_Custom2_wrapped)),1,0),0))</f>
        <v>1</v>
      </c>
      <c r="F1038">
        <f>D1038*E1038*1</f>
        <v>1</v>
      </c>
      <c r="G1038">
        <f>1</f>
        <v>1</v>
      </c>
      <c r="H10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1037)&amp;"|",All_Questions_Q_STREAM_F_wrapped)),1,0),0))*1</f>
        <v>1</v>
      </c>
    </row>
    <row r="1039">
      <c r="A1039" t="n">
        <v>1038</v>
      </c>
      <c r="B1039" t="inlineStr">
        <is>
          <t>B</t>
        </is>
      </c>
      <c r="C1039">
        <f>1</f>
        <v>1</v>
      </c>
      <c r="D1039">
        <f>IF(OR(F_Custom1_Q="(None)",F_Custom1_Q="",ISBLANK(F_Custom1_Q),F_Custom1_V="(All)",F_Custom1_V="",ISBLANK(F_Custom1_V)),1,IFERROR(IF(ISNUMBER(SEARCH("|"&amp;INDEX(INDIRECT(F_Custom1_resolved_column),1038)&amp;"|",F_Custom1_wrapped)),1,0),0))</f>
        <v>1</v>
      </c>
      <c r="E1039">
        <f>IF(OR(F_Custom2_Q="(None)",F_Custom2_Q="",ISBLANK(F_Custom2_Q),F_Custom2_V="(All)",F_Custom2_V="",ISBLANK(F_Custom2_V)),1,IFERROR(IF(ISNUMBER(SEARCH("|"&amp;INDEX(INDIRECT(F_Custom2_resolved_column),1038)&amp;"|",F_Custom2_wrapped)),1,0),0))</f>
        <v>1</v>
      </c>
      <c r="F1039">
        <f>D1039*E1039*1</f>
        <v>1</v>
      </c>
      <c r="G1039">
        <f>1</f>
        <v>1</v>
      </c>
      <c r="H10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1038)&amp;"|",All_Questions_Q_STREAM_F_wrapped)),1,0),0))*1</f>
        <v>1</v>
      </c>
    </row>
    <row r="1040">
      <c r="A1040" t="n">
        <v>1039</v>
      </c>
      <c r="B1040" t="inlineStr">
        <is>
          <t>A</t>
        </is>
      </c>
      <c r="C1040">
        <f>1</f>
        <v>1</v>
      </c>
      <c r="D1040">
        <f>IF(OR(F_Custom1_Q="(None)",F_Custom1_Q="",ISBLANK(F_Custom1_Q),F_Custom1_V="(All)",F_Custom1_V="",ISBLANK(F_Custom1_V)),1,IFERROR(IF(ISNUMBER(SEARCH("|"&amp;INDEX(INDIRECT(F_Custom1_resolved_column),1039)&amp;"|",F_Custom1_wrapped)),1,0),0))</f>
        <v>1</v>
      </c>
      <c r="E1040">
        <f>IF(OR(F_Custom2_Q="(None)",F_Custom2_Q="",ISBLANK(F_Custom2_Q),F_Custom2_V="(All)",F_Custom2_V="",ISBLANK(F_Custom2_V)),1,IFERROR(IF(ISNUMBER(SEARCH("|"&amp;INDEX(INDIRECT(F_Custom2_resolved_column),1039)&amp;"|",F_Custom2_wrapped)),1,0),0))</f>
        <v>1</v>
      </c>
      <c r="F1040">
        <f>D1040*E1040*1</f>
        <v>1</v>
      </c>
      <c r="G1040">
        <f>1</f>
        <v>1</v>
      </c>
      <c r="H10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1039)&amp;"|",All_Questions_Q_STREAM_F_wrapped)),1,0),0))*1</f>
        <v>1</v>
      </c>
    </row>
    <row r="1041">
      <c r="A1041" t="n">
        <v>1040</v>
      </c>
      <c r="B1041" t="inlineStr">
        <is>
          <t>B</t>
        </is>
      </c>
      <c r="C1041">
        <f>1</f>
        <v>1</v>
      </c>
      <c r="D1041">
        <f>IF(OR(F_Custom1_Q="(None)",F_Custom1_Q="",ISBLANK(F_Custom1_Q),F_Custom1_V="(All)",F_Custom1_V="",ISBLANK(F_Custom1_V)),1,IFERROR(IF(ISNUMBER(SEARCH("|"&amp;INDEX(INDIRECT(F_Custom1_resolved_column),1040)&amp;"|",F_Custom1_wrapped)),1,0),0))</f>
        <v>1</v>
      </c>
      <c r="E1041">
        <f>IF(OR(F_Custom2_Q="(None)",F_Custom2_Q="",ISBLANK(F_Custom2_Q),F_Custom2_V="(All)",F_Custom2_V="",ISBLANK(F_Custom2_V)),1,IFERROR(IF(ISNUMBER(SEARCH("|"&amp;INDEX(INDIRECT(F_Custom2_resolved_column),1040)&amp;"|",F_Custom2_wrapped)),1,0),0))</f>
        <v>1</v>
      </c>
      <c r="F1041">
        <f>D1041*E1041*1</f>
        <v>1</v>
      </c>
      <c r="G1041">
        <f>1</f>
        <v>1</v>
      </c>
      <c r="H10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1040)&amp;"|",All_Questions_Q_STREAM_F_wrapped)),1,0),0))*1</f>
        <v>1</v>
      </c>
    </row>
    <row r="1042">
      <c r="A1042" t="n">
        <v>1041</v>
      </c>
      <c r="B1042" t="inlineStr">
        <is>
          <t>A</t>
        </is>
      </c>
      <c r="C1042">
        <f>1</f>
        <v>1</v>
      </c>
      <c r="D1042">
        <f>IF(OR(F_Custom1_Q="(None)",F_Custom1_Q="",ISBLANK(F_Custom1_Q),F_Custom1_V="(All)",F_Custom1_V="",ISBLANK(F_Custom1_V)),1,IFERROR(IF(ISNUMBER(SEARCH("|"&amp;INDEX(INDIRECT(F_Custom1_resolved_column),1041)&amp;"|",F_Custom1_wrapped)),1,0),0))</f>
        <v>1</v>
      </c>
      <c r="E1042">
        <f>IF(OR(F_Custom2_Q="(None)",F_Custom2_Q="",ISBLANK(F_Custom2_Q),F_Custom2_V="(All)",F_Custom2_V="",ISBLANK(F_Custom2_V)),1,IFERROR(IF(ISNUMBER(SEARCH("|"&amp;INDEX(INDIRECT(F_Custom2_resolved_column),1041)&amp;"|",F_Custom2_wrapped)),1,0),0))</f>
        <v>1</v>
      </c>
      <c r="F1042">
        <f>D1042*E1042*1</f>
        <v>1</v>
      </c>
      <c r="G1042">
        <f>1</f>
        <v>1</v>
      </c>
      <c r="H10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1041)&amp;"|",All_Questions_Q_STREAM_F_wrapped)),1,0),0))*1</f>
        <v>1</v>
      </c>
    </row>
    <row r="1043">
      <c r="A1043" t="n">
        <v>1042</v>
      </c>
      <c r="B1043" t="inlineStr">
        <is>
          <t>B</t>
        </is>
      </c>
      <c r="C1043">
        <f>1</f>
        <v>1</v>
      </c>
      <c r="D1043">
        <f>IF(OR(F_Custom1_Q="(None)",F_Custom1_Q="",ISBLANK(F_Custom1_Q),F_Custom1_V="(All)",F_Custom1_V="",ISBLANK(F_Custom1_V)),1,IFERROR(IF(ISNUMBER(SEARCH("|"&amp;INDEX(INDIRECT(F_Custom1_resolved_column),1042)&amp;"|",F_Custom1_wrapped)),1,0),0))</f>
        <v>1</v>
      </c>
      <c r="E1043">
        <f>IF(OR(F_Custom2_Q="(None)",F_Custom2_Q="",ISBLANK(F_Custom2_Q),F_Custom2_V="(All)",F_Custom2_V="",ISBLANK(F_Custom2_V)),1,IFERROR(IF(ISNUMBER(SEARCH("|"&amp;INDEX(INDIRECT(F_Custom2_resolved_column),1042)&amp;"|",F_Custom2_wrapped)),1,0),0))</f>
        <v>1</v>
      </c>
      <c r="F1043">
        <f>D1043*E1043*1</f>
        <v>1</v>
      </c>
      <c r="G1043">
        <f>1</f>
        <v>1</v>
      </c>
      <c r="H10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1042)&amp;"|",All_Questions_Q_STREAM_F_wrapped)),1,0),0))*1</f>
        <v>1</v>
      </c>
    </row>
    <row r="1044">
      <c r="A1044" t="n">
        <v>1043</v>
      </c>
      <c r="B1044" t="inlineStr">
        <is>
          <t>A</t>
        </is>
      </c>
      <c r="C1044">
        <f>1</f>
        <v>1</v>
      </c>
      <c r="D1044">
        <f>IF(OR(F_Custom1_Q="(None)",F_Custom1_Q="",ISBLANK(F_Custom1_Q),F_Custom1_V="(All)",F_Custom1_V="",ISBLANK(F_Custom1_V)),1,IFERROR(IF(ISNUMBER(SEARCH("|"&amp;INDEX(INDIRECT(F_Custom1_resolved_column),1043)&amp;"|",F_Custom1_wrapped)),1,0),0))</f>
        <v>1</v>
      </c>
      <c r="E1044">
        <f>IF(OR(F_Custom2_Q="(None)",F_Custom2_Q="",ISBLANK(F_Custom2_Q),F_Custom2_V="(All)",F_Custom2_V="",ISBLANK(F_Custom2_V)),1,IFERROR(IF(ISNUMBER(SEARCH("|"&amp;INDEX(INDIRECT(F_Custom2_resolved_column),1043)&amp;"|",F_Custom2_wrapped)),1,0),0))</f>
        <v>1</v>
      </c>
      <c r="F1044">
        <f>D1044*E1044*1</f>
        <v>1</v>
      </c>
      <c r="G1044">
        <f>1</f>
        <v>1</v>
      </c>
      <c r="H10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1043)&amp;"|",All_Questions_Q_STREAM_F_wrapped)),1,0),0))*1</f>
        <v>1</v>
      </c>
    </row>
    <row r="1045">
      <c r="A1045" t="n">
        <v>1044</v>
      </c>
      <c r="B1045" t="inlineStr">
        <is>
          <t>B</t>
        </is>
      </c>
      <c r="C1045">
        <f>1</f>
        <v>1</v>
      </c>
      <c r="D1045">
        <f>IF(OR(F_Custom1_Q="(None)",F_Custom1_Q="",ISBLANK(F_Custom1_Q),F_Custom1_V="(All)",F_Custom1_V="",ISBLANK(F_Custom1_V)),1,IFERROR(IF(ISNUMBER(SEARCH("|"&amp;INDEX(INDIRECT(F_Custom1_resolved_column),1044)&amp;"|",F_Custom1_wrapped)),1,0),0))</f>
        <v>1</v>
      </c>
      <c r="E1045">
        <f>IF(OR(F_Custom2_Q="(None)",F_Custom2_Q="",ISBLANK(F_Custom2_Q),F_Custom2_V="(All)",F_Custom2_V="",ISBLANK(F_Custom2_V)),1,IFERROR(IF(ISNUMBER(SEARCH("|"&amp;INDEX(INDIRECT(F_Custom2_resolved_column),1044)&amp;"|",F_Custom2_wrapped)),1,0),0))</f>
        <v>1</v>
      </c>
      <c r="F1045">
        <f>D1045*E1045*1</f>
        <v>1</v>
      </c>
      <c r="G1045">
        <f>1</f>
        <v>1</v>
      </c>
      <c r="H10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1044)&amp;"|",All_Questions_Q_STREAM_F_wrapped)),1,0),0))*1</f>
        <v>1</v>
      </c>
    </row>
    <row r="1046">
      <c r="A1046" t="n">
        <v>1045</v>
      </c>
      <c r="B1046" t="inlineStr">
        <is>
          <t>A</t>
        </is>
      </c>
      <c r="C1046">
        <f>1</f>
        <v>1</v>
      </c>
      <c r="D1046">
        <f>IF(OR(F_Custom1_Q="(None)",F_Custom1_Q="",ISBLANK(F_Custom1_Q),F_Custom1_V="(All)",F_Custom1_V="",ISBLANK(F_Custom1_V)),1,IFERROR(IF(ISNUMBER(SEARCH("|"&amp;INDEX(INDIRECT(F_Custom1_resolved_column),1045)&amp;"|",F_Custom1_wrapped)),1,0),0))</f>
        <v>1</v>
      </c>
      <c r="E1046">
        <f>IF(OR(F_Custom2_Q="(None)",F_Custom2_Q="",ISBLANK(F_Custom2_Q),F_Custom2_V="(All)",F_Custom2_V="",ISBLANK(F_Custom2_V)),1,IFERROR(IF(ISNUMBER(SEARCH("|"&amp;INDEX(INDIRECT(F_Custom2_resolved_column),1045)&amp;"|",F_Custom2_wrapped)),1,0),0))</f>
        <v>1</v>
      </c>
      <c r="F1046">
        <f>D1046*E1046*1</f>
        <v>1</v>
      </c>
      <c r="G1046">
        <f>1</f>
        <v>1</v>
      </c>
      <c r="H10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1045)&amp;"|",All_Questions_Q_STREAM_F_wrapped)),1,0),0))*1</f>
        <v>1</v>
      </c>
    </row>
    <row r="1047">
      <c r="A1047" t="n">
        <v>1046</v>
      </c>
      <c r="B1047" t="inlineStr">
        <is>
          <t>B</t>
        </is>
      </c>
      <c r="C1047">
        <f>1</f>
        <v>1</v>
      </c>
      <c r="D1047">
        <f>IF(OR(F_Custom1_Q="(None)",F_Custom1_Q="",ISBLANK(F_Custom1_Q),F_Custom1_V="(All)",F_Custom1_V="",ISBLANK(F_Custom1_V)),1,IFERROR(IF(ISNUMBER(SEARCH("|"&amp;INDEX(INDIRECT(F_Custom1_resolved_column),1046)&amp;"|",F_Custom1_wrapped)),1,0),0))</f>
        <v>1</v>
      </c>
      <c r="E1047">
        <f>IF(OR(F_Custom2_Q="(None)",F_Custom2_Q="",ISBLANK(F_Custom2_Q),F_Custom2_V="(All)",F_Custom2_V="",ISBLANK(F_Custom2_V)),1,IFERROR(IF(ISNUMBER(SEARCH("|"&amp;INDEX(INDIRECT(F_Custom2_resolved_column),1046)&amp;"|",F_Custom2_wrapped)),1,0),0))</f>
        <v>1</v>
      </c>
      <c r="F1047">
        <f>D1047*E1047*1</f>
        <v>1</v>
      </c>
      <c r="G1047">
        <f>1</f>
        <v>1</v>
      </c>
      <c r="H10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1046)&amp;"|",All_Questions_Q_STREAM_F_wrapped)),1,0),0))*1</f>
        <v>1</v>
      </c>
    </row>
    <row r="1048">
      <c r="A1048" t="n">
        <v>1047</v>
      </c>
      <c r="B1048" t="inlineStr">
        <is>
          <t>A</t>
        </is>
      </c>
      <c r="C1048">
        <f>1</f>
        <v>1</v>
      </c>
      <c r="D1048">
        <f>IF(OR(F_Custom1_Q="(None)",F_Custom1_Q="",ISBLANK(F_Custom1_Q),F_Custom1_V="(All)",F_Custom1_V="",ISBLANK(F_Custom1_V)),1,IFERROR(IF(ISNUMBER(SEARCH("|"&amp;INDEX(INDIRECT(F_Custom1_resolved_column),1047)&amp;"|",F_Custom1_wrapped)),1,0),0))</f>
        <v>1</v>
      </c>
      <c r="E1048">
        <f>IF(OR(F_Custom2_Q="(None)",F_Custom2_Q="",ISBLANK(F_Custom2_Q),F_Custom2_V="(All)",F_Custom2_V="",ISBLANK(F_Custom2_V)),1,IFERROR(IF(ISNUMBER(SEARCH("|"&amp;INDEX(INDIRECT(F_Custom2_resolved_column),1047)&amp;"|",F_Custom2_wrapped)),1,0),0))</f>
        <v>1</v>
      </c>
      <c r="F1048">
        <f>D1048*E1048*1</f>
        <v>1</v>
      </c>
      <c r="G1048">
        <f>1</f>
        <v>1</v>
      </c>
      <c r="H10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1047)&amp;"|",All_Questions_Q_STREAM_F_wrapped)),1,0),0))*1</f>
        <v>1</v>
      </c>
    </row>
    <row r="1049">
      <c r="A1049" t="n">
        <v>1048</v>
      </c>
      <c r="B1049" t="inlineStr">
        <is>
          <t>B</t>
        </is>
      </c>
      <c r="C1049">
        <f>1</f>
        <v>1</v>
      </c>
      <c r="D1049">
        <f>IF(OR(F_Custom1_Q="(None)",F_Custom1_Q="",ISBLANK(F_Custom1_Q),F_Custom1_V="(All)",F_Custom1_V="",ISBLANK(F_Custom1_V)),1,IFERROR(IF(ISNUMBER(SEARCH("|"&amp;INDEX(INDIRECT(F_Custom1_resolved_column),1048)&amp;"|",F_Custom1_wrapped)),1,0),0))</f>
        <v>1</v>
      </c>
      <c r="E1049">
        <f>IF(OR(F_Custom2_Q="(None)",F_Custom2_Q="",ISBLANK(F_Custom2_Q),F_Custom2_V="(All)",F_Custom2_V="",ISBLANK(F_Custom2_V)),1,IFERROR(IF(ISNUMBER(SEARCH("|"&amp;INDEX(INDIRECT(F_Custom2_resolved_column),1048)&amp;"|",F_Custom2_wrapped)),1,0),0))</f>
        <v>1</v>
      </c>
      <c r="F1049">
        <f>D1049*E1049*1</f>
        <v>1</v>
      </c>
      <c r="G1049">
        <f>1</f>
        <v>1</v>
      </c>
      <c r="H10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1048)&amp;"|",All_Questions_Q_STREAM_F_wrapped)),1,0),0))*1</f>
        <v>1</v>
      </c>
    </row>
    <row r="1050">
      <c r="A1050" t="n">
        <v>1049</v>
      </c>
      <c r="B1050" t="inlineStr">
        <is>
          <t>A</t>
        </is>
      </c>
      <c r="C1050">
        <f>1</f>
        <v>1</v>
      </c>
      <c r="D1050">
        <f>IF(OR(F_Custom1_Q="(None)",F_Custom1_Q="",ISBLANK(F_Custom1_Q),F_Custom1_V="(All)",F_Custom1_V="",ISBLANK(F_Custom1_V)),1,IFERROR(IF(ISNUMBER(SEARCH("|"&amp;INDEX(INDIRECT(F_Custom1_resolved_column),1049)&amp;"|",F_Custom1_wrapped)),1,0),0))</f>
        <v>1</v>
      </c>
      <c r="E1050">
        <f>IF(OR(F_Custom2_Q="(None)",F_Custom2_Q="",ISBLANK(F_Custom2_Q),F_Custom2_V="(All)",F_Custom2_V="",ISBLANK(F_Custom2_V)),1,IFERROR(IF(ISNUMBER(SEARCH("|"&amp;INDEX(INDIRECT(F_Custom2_resolved_column),1049)&amp;"|",F_Custom2_wrapped)),1,0),0))</f>
        <v>1</v>
      </c>
      <c r="F1050">
        <f>D1050*E1050*1</f>
        <v>1</v>
      </c>
      <c r="G1050">
        <f>1</f>
        <v>1</v>
      </c>
      <c r="H10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1049)&amp;"|",All_Questions_Q_STREAM_F_wrapped)),1,0),0))*1</f>
        <v>1</v>
      </c>
    </row>
    <row r="1051">
      <c r="A1051" t="n">
        <v>1050</v>
      </c>
      <c r="B1051" t="inlineStr">
        <is>
          <t>B</t>
        </is>
      </c>
      <c r="C1051">
        <f>1</f>
        <v>1</v>
      </c>
      <c r="D1051">
        <f>IF(OR(F_Custom1_Q="(None)",F_Custom1_Q="",ISBLANK(F_Custom1_Q),F_Custom1_V="(All)",F_Custom1_V="",ISBLANK(F_Custom1_V)),1,IFERROR(IF(ISNUMBER(SEARCH("|"&amp;INDEX(INDIRECT(F_Custom1_resolved_column),1050)&amp;"|",F_Custom1_wrapped)),1,0),0))</f>
        <v>1</v>
      </c>
      <c r="E1051">
        <f>IF(OR(F_Custom2_Q="(None)",F_Custom2_Q="",ISBLANK(F_Custom2_Q),F_Custom2_V="(All)",F_Custom2_V="",ISBLANK(F_Custom2_V)),1,IFERROR(IF(ISNUMBER(SEARCH("|"&amp;INDEX(INDIRECT(F_Custom2_resolved_column),1050)&amp;"|",F_Custom2_wrapped)),1,0),0))</f>
        <v>1</v>
      </c>
      <c r="F1051">
        <f>D1051*E1051*1</f>
        <v>1</v>
      </c>
      <c r="G1051">
        <f>1</f>
        <v>1</v>
      </c>
      <c r="H10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1050)&amp;"|",All_Questions_Q_STREAM_F_wrapped)),1,0),0))*1</f>
        <v>1</v>
      </c>
    </row>
    <row r="1052">
      <c r="A1052" t="n">
        <v>1051</v>
      </c>
      <c r="B1052" t="inlineStr">
        <is>
          <t>A</t>
        </is>
      </c>
      <c r="C1052">
        <f>1</f>
        <v>1</v>
      </c>
      <c r="D1052">
        <f>IF(OR(F_Custom1_Q="(None)",F_Custom1_Q="",ISBLANK(F_Custom1_Q),F_Custom1_V="(All)",F_Custom1_V="",ISBLANK(F_Custom1_V)),1,IFERROR(IF(ISNUMBER(SEARCH("|"&amp;INDEX(INDIRECT(F_Custom1_resolved_column),1051)&amp;"|",F_Custom1_wrapped)),1,0),0))</f>
        <v>1</v>
      </c>
      <c r="E1052">
        <f>IF(OR(F_Custom2_Q="(None)",F_Custom2_Q="",ISBLANK(F_Custom2_Q),F_Custom2_V="(All)",F_Custom2_V="",ISBLANK(F_Custom2_V)),1,IFERROR(IF(ISNUMBER(SEARCH("|"&amp;INDEX(INDIRECT(F_Custom2_resolved_column),1051)&amp;"|",F_Custom2_wrapped)),1,0),0))</f>
        <v>1</v>
      </c>
      <c r="F1052">
        <f>D1052*E1052*1</f>
        <v>1</v>
      </c>
      <c r="G1052">
        <f>1</f>
        <v>1</v>
      </c>
      <c r="H10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1051)&amp;"|",All_Questions_Q_STREAM_F_wrapped)),1,0),0))*1</f>
        <v>1</v>
      </c>
    </row>
    <row r="1053">
      <c r="A1053" t="n">
        <v>1052</v>
      </c>
      <c r="B1053" t="inlineStr">
        <is>
          <t>B</t>
        </is>
      </c>
      <c r="C1053">
        <f>1</f>
        <v>1</v>
      </c>
      <c r="D1053">
        <f>IF(OR(F_Custom1_Q="(None)",F_Custom1_Q="",ISBLANK(F_Custom1_Q),F_Custom1_V="(All)",F_Custom1_V="",ISBLANK(F_Custom1_V)),1,IFERROR(IF(ISNUMBER(SEARCH("|"&amp;INDEX(INDIRECT(F_Custom1_resolved_column),1052)&amp;"|",F_Custom1_wrapped)),1,0),0))</f>
        <v>1</v>
      </c>
      <c r="E1053">
        <f>IF(OR(F_Custom2_Q="(None)",F_Custom2_Q="",ISBLANK(F_Custom2_Q),F_Custom2_V="(All)",F_Custom2_V="",ISBLANK(F_Custom2_V)),1,IFERROR(IF(ISNUMBER(SEARCH("|"&amp;INDEX(INDIRECT(F_Custom2_resolved_column),1052)&amp;"|",F_Custom2_wrapped)),1,0),0))</f>
        <v>1</v>
      </c>
      <c r="F1053">
        <f>D1053*E1053*1</f>
        <v>1</v>
      </c>
      <c r="G1053">
        <f>1</f>
        <v>1</v>
      </c>
      <c r="H10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1052)&amp;"|",All_Questions_Q_STREAM_F_wrapped)),1,0),0))*1</f>
        <v>1</v>
      </c>
    </row>
    <row r="1054">
      <c r="A1054" t="n">
        <v>1053</v>
      </c>
      <c r="B1054" t="inlineStr">
        <is>
          <t>A</t>
        </is>
      </c>
      <c r="C1054">
        <f>1</f>
        <v>1</v>
      </c>
      <c r="D1054">
        <f>IF(OR(F_Custom1_Q="(None)",F_Custom1_Q="",ISBLANK(F_Custom1_Q),F_Custom1_V="(All)",F_Custom1_V="",ISBLANK(F_Custom1_V)),1,IFERROR(IF(ISNUMBER(SEARCH("|"&amp;INDEX(INDIRECT(F_Custom1_resolved_column),1053)&amp;"|",F_Custom1_wrapped)),1,0),0))</f>
        <v>1</v>
      </c>
      <c r="E1054">
        <f>IF(OR(F_Custom2_Q="(None)",F_Custom2_Q="",ISBLANK(F_Custom2_Q),F_Custom2_V="(All)",F_Custom2_V="",ISBLANK(F_Custom2_V)),1,IFERROR(IF(ISNUMBER(SEARCH("|"&amp;INDEX(INDIRECT(F_Custom2_resolved_column),1053)&amp;"|",F_Custom2_wrapped)),1,0),0))</f>
        <v>1</v>
      </c>
      <c r="F1054">
        <f>D1054*E1054*1</f>
        <v>1</v>
      </c>
      <c r="G1054">
        <f>1</f>
        <v>1</v>
      </c>
      <c r="H10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1053)&amp;"|",All_Questions_Q_STREAM_F_wrapped)),1,0),0))*1</f>
        <v>1</v>
      </c>
    </row>
    <row r="1055">
      <c r="A1055" t="n">
        <v>1054</v>
      </c>
      <c r="B1055" t="inlineStr">
        <is>
          <t>B</t>
        </is>
      </c>
      <c r="C1055">
        <f>1</f>
        <v>1</v>
      </c>
      <c r="D1055">
        <f>IF(OR(F_Custom1_Q="(None)",F_Custom1_Q="",ISBLANK(F_Custom1_Q),F_Custom1_V="(All)",F_Custom1_V="",ISBLANK(F_Custom1_V)),1,IFERROR(IF(ISNUMBER(SEARCH("|"&amp;INDEX(INDIRECT(F_Custom1_resolved_column),1054)&amp;"|",F_Custom1_wrapped)),1,0),0))</f>
        <v>1</v>
      </c>
      <c r="E1055">
        <f>IF(OR(F_Custom2_Q="(None)",F_Custom2_Q="",ISBLANK(F_Custom2_Q),F_Custom2_V="(All)",F_Custom2_V="",ISBLANK(F_Custom2_V)),1,IFERROR(IF(ISNUMBER(SEARCH("|"&amp;INDEX(INDIRECT(F_Custom2_resolved_column),1054)&amp;"|",F_Custom2_wrapped)),1,0),0))</f>
        <v>1</v>
      </c>
      <c r="F1055">
        <f>D1055*E1055*1</f>
        <v>1</v>
      </c>
      <c r="G1055">
        <f>1</f>
        <v>1</v>
      </c>
      <c r="H10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1054)&amp;"|",All_Questions_Q_STREAM_F_wrapped)),1,0),0))*1</f>
        <v>1</v>
      </c>
    </row>
    <row r="1056">
      <c r="A1056" t="n">
        <v>1055</v>
      </c>
      <c r="B1056" t="inlineStr">
        <is>
          <t>A</t>
        </is>
      </c>
      <c r="C1056">
        <f>1</f>
        <v>1</v>
      </c>
      <c r="D1056">
        <f>IF(OR(F_Custom1_Q="(None)",F_Custom1_Q="",ISBLANK(F_Custom1_Q),F_Custom1_V="(All)",F_Custom1_V="",ISBLANK(F_Custom1_V)),1,IFERROR(IF(ISNUMBER(SEARCH("|"&amp;INDEX(INDIRECT(F_Custom1_resolved_column),1055)&amp;"|",F_Custom1_wrapped)),1,0),0))</f>
        <v>1</v>
      </c>
      <c r="E1056">
        <f>IF(OR(F_Custom2_Q="(None)",F_Custom2_Q="",ISBLANK(F_Custom2_Q),F_Custom2_V="(All)",F_Custom2_V="",ISBLANK(F_Custom2_V)),1,IFERROR(IF(ISNUMBER(SEARCH("|"&amp;INDEX(INDIRECT(F_Custom2_resolved_column),1055)&amp;"|",F_Custom2_wrapped)),1,0),0))</f>
        <v>1</v>
      </c>
      <c r="F1056">
        <f>D1056*E1056*1</f>
        <v>1</v>
      </c>
      <c r="G1056">
        <f>1</f>
        <v>1</v>
      </c>
      <c r="H10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1055)&amp;"|",All_Questions_Q_STREAM_F_wrapped)),1,0),0))*1</f>
        <v>1</v>
      </c>
    </row>
    <row r="1057">
      <c r="A1057" t="n">
        <v>1056</v>
      </c>
      <c r="B1057" t="inlineStr">
        <is>
          <t>B</t>
        </is>
      </c>
      <c r="C1057">
        <f>1</f>
        <v>1</v>
      </c>
      <c r="D1057">
        <f>IF(OR(F_Custom1_Q="(None)",F_Custom1_Q="",ISBLANK(F_Custom1_Q),F_Custom1_V="(All)",F_Custom1_V="",ISBLANK(F_Custom1_V)),1,IFERROR(IF(ISNUMBER(SEARCH("|"&amp;INDEX(INDIRECT(F_Custom1_resolved_column),1056)&amp;"|",F_Custom1_wrapped)),1,0),0))</f>
        <v>1</v>
      </c>
      <c r="E1057">
        <f>IF(OR(F_Custom2_Q="(None)",F_Custom2_Q="",ISBLANK(F_Custom2_Q),F_Custom2_V="(All)",F_Custom2_V="",ISBLANK(F_Custom2_V)),1,IFERROR(IF(ISNUMBER(SEARCH("|"&amp;INDEX(INDIRECT(F_Custom2_resolved_column),1056)&amp;"|",F_Custom2_wrapped)),1,0),0))</f>
        <v>1</v>
      </c>
      <c r="F1057">
        <f>D1057*E1057*1</f>
        <v>1</v>
      </c>
      <c r="G1057">
        <f>1</f>
        <v>1</v>
      </c>
      <c r="H10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1056)&amp;"|",All_Questions_Q_STREAM_F_wrapped)),1,0),0))*1</f>
        <v>1</v>
      </c>
    </row>
    <row r="1058">
      <c r="A1058" t="n">
        <v>1057</v>
      </c>
      <c r="B1058" t="inlineStr">
        <is>
          <t>A</t>
        </is>
      </c>
      <c r="C1058">
        <f>1</f>
        <v>1</v>
      </c>
      <c r="D1058">
        <f>IF(OR(F_Custom1_Q="(None)",F_Custom1_Q="",ISBLANK(F_Custom1_Q),F_Custom1_V="(All)",F_Custom1_V="",ISBLANK(F_Custom1_V)),1,IFERROR(IF(ISNUMBER(SEARCH("|"&amp;INDEX(INDIRECT(F_Custom1_resolved_column),1057)&amp;"|",F_Custom1_wrapped)),1,0),0))</f>
        <v>1</v>
      </c>
      <c r="E1058">
        <f>IF(OR(F_Custom2_Q="(None)",F_Custom2_Q="",ISBLANK(F_Custom2_Q),F_Custom2_V="(All)",F_Custom2_V="",ISBLANK(F_Custom2_V)),1,IFERROR(IF(ISNUMBER(SEARCH("|"&amp;INDEX(INDIRECT(F_Custom2_resolved_column),1057)&amp;"|",F_Custom2_wrapped)),1,0),0))</f>
        <v>1</v>
      </c>
      <c r="F1058">
        <f>D1058*E1058*1</f>
        <v>1</v>
      </c>
      <c r="G1058">
        <f>1</f>
        <v>1</v>
      </c>
      <c r="H10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1057)&amp;"|",All_Questions_Q_STREAM_F_wrapped)),1,0),0))*1</f>
        <v>1</v>
      </c>
    </row>
    <row r="1059">
      <c r="A1059" t="n">
        <v>1058</v>
      </c>
      <c r="B1059" t="inlineStr">
        <is>
          <t>B</t>
        </is>
      </c>
      <c r="C1059">
        <f>1</f>
        <v>1</v>
      </c>
      <c r="D1059">
        <f>IF(OR(F_Custom1_Q="(None)",F_Custom1_Q="",ISBLANK(F_Custom1_Q),F_Custom1_V="(All)",F_Custom1_V="",ISBLANK(F_Custom1_V)),1,IFERROR(IF(ISNUMBER(SEARCH("|"&amp;INDEX(INDIRECT(F_Custom1_resolved_column),1058)&amp;"|",F_Custom1_wrapped)),1,0),0))</f>
        <v>1</v>
      </c>
      <c r="E1059">
        <f>IF(OR(F_Custom2_Q="(None)",F_Custom2_Q="",ISBLANK(F_Custom2_Q),F_Custom2_V="(All)",F_Custom2_V="",ISBLANK(F_Custom2_V)),1,IFERROR(IF(ISNUMBER(SEARCH("|"&amp;INDEX(INDIRECT(F_Custom2_resolved_column),1058)&amp;"|",F_Custom2_wrapped)),1,0),0))</f>
        <v>1</v>
      </c>
      <c r="F1059">
        <f>D1059*E1059*1</f>
        <v>1</v>
      </c>
      <c r="G1059">
        <f>1</f>
        <v>1</v>
      </c>
      <c r="H10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1058)&amp;"|",All_Questions_Q_STREAM_F_wrapped)),1,0),0))*1</f>
        <v>1</v>
      </c>
    </row>
    <row r="1060">
      <c r="A1060" t="n">
        <v>1059</v>
      </c>
      <c r="B1060" t="inlineStr">
        <is>
          <t>A</t>
        </is>
      </c>
      <c r="C1060">
        <f>1</f>
        <v>1</v>
      </c>
      <c r="D1060">
        <f>IF(OR(F_Custom1_Q="(None)",F_Custom1_Q="",ISBLANK(F_Custom1_Q),F_Custom1_V="(All)",F_Custom1_V="",ISBLANK(F_Custom1_V)),1,IFERROR(IF(ISNUMBER(SEARCH("|"&amp;INDEX(INDIRECT(F_Custom1_resolved_column),1059)&amp;"|",F_Custom1_wrapped)),1,0),0))</f>
        <v>1</v>
      </c>
      <c r="E1060">
        <f>IF(OR(F_Custom2_Q="(None)",F_Custom2_Q="",ISBLANK(F_Custom2_Q),F_Custom2_V="(All)",F_Custom2_V="",ISBLANK(F_Custom2_V)),1,IFERROR(IF(ISNUMBER(SEARCH("|"&amp;INDEX(INDIRECT(F_Custom2_resolved_column),1059)&amp;"|",F_Custom2_wrapped)),1,0),0))</f>
        <v>1</v>
      </c>
      <c r="F1060">
        <f>D1060*E1060*1</f>
        <v>1</v>
      </c>
      <c r="G1060">
        <f>1</f>
        <v>1</v>
      </c>
      <c r="H10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1059)&amp;"|",All_Questions_Q_STREAM_F_wrapped)),1,0),0))*1</f>
        <v>1</v>
      </c>
    </row>
    <row r="1061">
      <c r="A1061" t="n">
        <v>1060</v>
      </c>
      <c r="B1061" t="inlineStr">
        <is>
          <t>B</t>
        </is>
      </c>
      <c r="C1061">
        <f>1</f>
        <v>1</v>
      </c>
      <c r="D1061">
        <f>IF(OR(F_Custom1_Q="(None)",F_Custom1_Q="",ISBLANK(F_Custom1_Q),F_Custom1_V="(All)",F_Custom1_V="",ISBLANK(F_Custom1_V)),1,IFERROR(IF(ISNUMBER(SEARCH("|"&amp;INDEX(INDIRECT(F_Custom1_resolved_column),1060)&amp;"|",F_Custom1_wrapped)),1,0),0))</f>
        <v>1</v>
      </c>
      <c r="E1061">
        <f>IF(OR(F_Custom2_Q="(None)",F_Custom2_Q="",ISBLANK(F_Custom2_Q),F_Custom2_V="(All)",F_Custom2_V="",ISBLANK(F_Custom2_V)),1,IFERROR(IF(ISNUMBER(SEARCH("|"&amp;INDEX(INDIRECT(F_Custom2_resolved_column),1060)&amp;"|",F_Custom2_wrapped)),1,0),0))</f>
        <v>1</v>
      </c>
      <c r="F1061">
        <f>D1061*E1061*1</f>
        <v>1</v>
      </c>
      <c r="G1061">
        <f>1</f>
        <v>1</v>
      </c>
      <c r="H10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1060)&amp;"|",All_Questions_Q_STREAM_F_wrapped)),1,0),0))*1</f>
        <v>1</v>
      </c>
    </row>
    <row r="1062">
      <c r="A1062" t="n">
        <v>1061</v>
      </c>
      <c r="B1062" t="inlineStr">
        <is>
          <t>A</t>
        </is>
      </c>
      <c r="C1062">
        <f>1</f>
        <v>1</v>
      </c>
      <c r="D1062">
        <f>IF(OR(F_Custom1_Q="(None)",F_Custom1_Q="",ISBLANK(F_Custom1_Q),F_Custom1_V="(All)",F_Custom1_V="",ISBLANK(F_Custom1_V)),1,IFERROR(IF(ISNUMBER(SEARCH("|"&amp;INDEX(INDIRECT(F_Custom1_resolved_column),1061)&amp;"|",F_Custom1_wrapped)),1,0),0))</f>
        <v>1</v>
      </c>
      <c r="E1062">
        <f>IF(OR(F_Custom2_Q="(None)",F_Custom2_Q="",ISBLANK(F_Custom2_Q),F_Custom2_V="(All)",F_Custom2_V="",ISBLANK(F_Custom2_V)),1,IFERROR(IF(ISNUMBER(SEARCH("|"&amp;INDEX(INDIRECT(F_Custom2_resolved_column),1061)&amp;"|",F_Custom2_wrapped)),1,0),0))</f>
        <v>1</v>
      </c>
      <c r="F1062">
        <f>D1062*E1062*1</f>
        <v>1</v>
      </c>
      <c r="G1062">
        <f>1</f>
        <v>1</v>
      </c>
      <c r="H10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1061)&amp;"|",All_Questions_Q_STREAM_F_wrapped)),1,0),0))*1</f>
        <v>1</v>
      </c>
    </row>
    <row r="1063">
      <c r="A1063" t="n">
        <v>1062</v>
      </c>
      <c r="B1063" t="inlineStr">
        <is>
          <t>B</t>
        </is>
      </c>
      <c r="C1063">
        <f>1</f>
        <v>1</v>
      </c>
      <c r="D1063">
        <f>IF(OR(F_Custom1_Q="(None)",F_Custom1_Q="",ISBLANK(F_Custom1_Q),F_Custom1_V="(All)",F_Custom1_V="",ISBLANK(F_Custom1_V)),1,IFERROR(IF(ISNUMBER(SEARCH("|"&amp;INDEX(INDIRECT(F_Custom1_resolved_column),1062)&amp;"|",F_Custom1_wrapped)),1,0),0))</f>
        <v>1</v>
      </c>
      <c r="E1063">
        <f>IF(OR(F_Custom2_Q="(None)",F_Custom2_Q="",ISBLANK(F_Custom2_Q),F_Custom2_V="(All)",F_Custom2_V="",ISBLANK(F_Custom2_V)),1,IFERROR(IF(ISNUMBER(SEARCH("|"&amp;INDEX(INDIRECT(F_Custom2_resolved_column),1062)&amp;"|",F_Custom2_wrapped)),1,0),0))</f>
        <v>1</v>
      </c>
      <c r="F1063">
        <f>D1063*E1063*1</f>
        <v>1</v>
      </c>
      <c r="G1063">
        <f>1</f>
        <v>1</v>
      </c>
      <c r="H10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1062)&amp;"|",All_Questions_Q_STREAM_F_wrapped)),1,0),0))*1</f>
        <v>1</v>
      </c>
    </row>
    <row r="1064">
      <c r="A1064" t="n">
        <v>1063</v>
      </c>
      <c r="B1064" t="inlineStr">
        <is>
          <t>A</t>
        </is>
      </c>
      <c r="C1064">
        <f>1</f>
        <v>1</v>
      </c>
      <c r="D1064">
        <f>IF(OR(F_Custom1_Q="(None)",F_Custom1_Q="",ISBLANK(F_Custom1_Q),F_Custom1_V="(All)",F_Custom1_V="",ISBLANK(F_Custom1_V)),1,IFERROR(IF(ISNUMBER(SEARCH("|"&amp;INDEX(INDIRECT(F_Custom1_resolved_column),1063)&amp;"|",F_Custom1_wrapped)),1,0),0))</f>
        <v>1</v>
      </c>
      <c r="E1064">
        <f>IF(OR(F_Custom2_Q="(None)",F_Custom2_Q="",ISBLANK(F_Custom2_Q),F_Custom2_V="(All)",F_Custom2_V="",ISBLANK(F_Custom2_V)),1,IFERROR(IF(ISNUMBER(SEARCH("|"&amp;INDEX(INDIRECT(F_Custom2_resolved_column),1063)&amp;"|",F_Custom2_wrapped)),1,0),0))</f>
        <v>1</v>
      </c>
      <c r="F1064">
        <f>D1064*E1064*1</f>
        <v>1</v>
      </c>
      <c r="G1064">
        <f>1</f>
        <v>1</v>
      </c>
      <c r="H10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1063)&amp;"|",All_Questions_Q_STREAM_F_wrapped)),1,0),0))*1</f>
        <v>1</v>
      </c>
    </row>
    <row r="1065">
      <c r="A1065" t="n">
        <v>1064</v>
      </c>
      <c r="B1065" t="inlineStr">
        <is>
          <t>B</t>
        </is>
      </c>
      <c r="C1065">
        <f>1</f>
        <v>1</v>
      </c>
      <c r="D1065">
        <f>IF(OR(F_Custom1_Q="(None)",F_Custom1_Q="",ISBLANK(F_Custom1_Q),F_Custom1_V="(All)",F_Custom1_V="",ISBLANK(F_Custom1_V)),1,IFERROR(IF(ISNUMBER(SEARCH("|"&amp;INDEX(INDIRECT(F_Custom1_resolved_column),1064)&amp;"|",F_Custom1_wrapped)),1,0),0))</f>
        <v>1</v>
      </c>
      <c r="E1065">
        <f>IF(OR(F_Custom2_Q="(None)",F_Custom2_Q="",ISBLANK(F_Custom2_Q),F_Custom2_V="(All)",F_Custom2_V="",ISBLANK(F_Custom2_V)),1,IFERROR(IF(ISNUMBER(SEARCH("|"&amp;INDEX(INDIRECT(F_Custom2_resolved_column),1064)&amp;"|",F_Custom2_wrapped)),1,0),0))</f>
        <v>1</v>
      </c>
      <c r="F1065">
        <f>D1065*E1065*1</f>
        <v>1</v>
      </c>
      <c r="G1065">
        <f>1</f>
        <v>1</v>
      </c>
      <c r="H10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1064)&amp;"|",All_Questions_Q_STREAM_F_wrapped)),1,0),0))*1</f>
        <v>1</v>
      </c>
    </row>
    <row r="1066">
      <c r="A1066" t="n">
        <v>1065</v>
      </c>
      <c r="B1066" t="inlineStr">
        <is>
          <t>A</t>
        </is>
      </c>
      <c r="C1066">
        <f>1</f>
        <v>1</v>
      </c>
      <c r="D1066">
        <f>IF(OR(F_Custom1_Q="(None)",F_Custom1_Q="",ISBLANK(F_Custom1_Q),F_Custom1_V="(All)",F_Custom1_V="",ISBLANK(F_Custom1_V)),1,IFERROR(IF(ISNUMBER(SEARCH("|"&amp;INDEX(INDIRECT(F_Custom1_resolved_column),1065)&amp;"|",F_Custom1_wrapped)),1,0),0))</f>
        <v>1</v>
      </c>
      <c r="E1066">
        <f>IF(OR(F_Custom2_Q="(None)",F_Custom2_Q="",ISBLANK(F_Custom2_Q),F_Custom2_V="(All)",F_Custom2_V="",ISBLANK(F_Custom2_V)),1,IFERROR(IF(ISNUMBER(SEARCH("|"&amp;INDEX(INDIRECT(F_Custom2_resolved_column),1065)&amp;"|",F_Custom2_wrapped)),1,0),0))</f>
        <v>1</v>
      </c>
      <c r="F1066">
        <f>D1066*E1066*1</f>
        <v>1</v>
      </c>
      <c r="G1066">
        <f>1</f>
        <v>1</v>
      </c>
      <c r="H10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1065)&amp;"|",All_Questions_Q_STREAM_F_wrapped)),1,0),0))*1</f>
        <v>1</v>
      </c>
    </row>
    <row r="1067">
      <c r="A1067" t="n">
        <v>1066</v>
      </c>
      <c r="B1067" t="inlineStr">
        <is>
          <t>B</t>
        </is>
      </c>
      <c r="C1067">
        <f>1</f>
        <v>1</v>
      </c>
      <c r="D1067">
        <f>IF(OR(F_Custom1_Q="(None)",F_Custom1_Q="",ISBLANK(F_Custom1_Q),F_Custom1_V="(All)",F_Custom1_V="",ISBLANK(F_Custom1_V)),1,IFERROR(IF(ISNUMBER(SEARCH("|"&amp;INDEX(INDIRECT(F_Custom1_resolved_column),1066)&amp;"|",F_Custom1_wrapped)),1,0),0))</f>
        <v>1</v>
      </c>
      <c r="E1067">
        <f>IF(OR(F_Custom2_Q="(None)",F_Custom2_Q="",ISBLANK(F_Custom2_Q),F_Custom2_V="(All)",F_Custom2_V="",ISBLANK(F_Custom2_V)),1,IFERROR(IF(ISNUMBER(SEARCH("|"&amp;INDEX(INDIRECT(F_Custom2_resolved_column),1066)&amp;"|",F_Custom2_wrapped)),1,0),0))</f>
        <v>1</v>
      </c>
      <c r="F1067">
        <f>D1067*E1067*1</f>
        <v>1</v>
      </c>
      <c r="G1067">
        <f>1</f>
        <v>1</v>
      </c>
      <c r="H10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1066)&amp;"|",All_Questions_Q_STREAM_F_wrapped)),1,0),0))*1</f>
        <v>1</v>
      </c>
    </row>
    <row r="1068">
      <c r="A1068" t="n">
        <v>1067</v>
      </c>
      <c r="B1068" t="inlineStr">
        <is>
          <t>A</t>
        </is>
      </c>
      <c r="C1068">
        <f>1</f>
        <v>1</v>
      </c>
      <c r="D1068">
        <f>IF(OR(F_Custom1_Q="(None)",F_Custom1_Q="",ISBLANK(F_Custom1_Q),F_Custom1_V="(All)",F_Custom1_V="",ISBLANK(F_Custom1_V)),1,IFERROR(IF(ISNUMBER(SEARCH("|"&amp;INDEX(INDIRECT(F_Custom1_resolved_column),1067)&amp;"|",F_Custom1_wrapped)),1,0),0))</f>
        <v>1</v>
      </c>
      <c r="E1068">
        <f>IF(OR(F_Custom2_Q="(None)",F_Custom2_Q="",ISBLANK(F_Custom2_Q),F_Custom2_V="(All)",F_Custom2_V="",ISBLANK(F_Custom2_V)),1,IFERROR(IF(ISNUMBER(SEARCH("|"&amp;INDEX(INDIRECT(F_Custom2_resolved_column),1067)&amp;"|",F_Custom2_wrapped)),1,0),0))</f>
        <v>1</v>
      </c>
      <c r="F1068">
        <f>D1068*E1068*1</f>
        <v>1</v>
      </c>
      <c r="G1068">
        <f>1</f>
        <v>1</v>
      </c>
      <c r="H10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1067)&amp;"|",All_Questions_Q_STREAM_F_wrapped)),1,0),0))*1</f>
        <v>1</v>
      </c>
    </row>
    <row r="1069">
      <c r="A1069" t="n">
        <v>1068</v>
      </c>
      <c r="B1069" t="inlineStr">
        <is>
          <t>B</t>
        </is>
      </c>
      <c r="C1069">
        <f>1</f>
        <v>1</v>
      </c>
      <c r="D1069">
        <f>IF(OR(F_Custom1_Q="(None)",F_Custom1_Q="",ISBLANK(F_Custom1_Q),F_Custom1_V="(All)",F_Custom1_V="",ISBLANK(F_Custom1_V)),1,IFERROR(IF(ISNUMBER(SEARCH("|"&amp;INDEX(INDIRECT(F_Custom1_resolved_column),1068)&amp;"|",F_Custom1_wrapped)),1,0),0))</f>
        <v>1</v>
      </c>
      <c r="E1069">
        <f>IF(OR(F_Custom2_Q="(None)",F_Custom2_Q="",ISBLANK(F_Custom2_Q),F_Custom2_V="(All)",F_Custom2_V="",ISBLANK(F_Custom2_V)),1,IFERROR(IF(ISNUMBER(SEARCH("|"&amp;INDEX(INDIRECT(F_Custom2_resolved_column),1068)&amp;"|",F_Custom2_wrapped)),1,0),0))</f>
        <v>1</v>
      </c>
      <c r="F1069">
        <f>D1069*E1069*1</f>
        <v>1</v>
      </c>
      <c r="G1069">
        <f>1</f>
        <v>1</v>
      </c>
      <c r="H10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1068)&amp;"|",All_Questions_Q_STREAM_F_wrapped)),1,0),0))*1</f>
        <v>1</v>
      </c>
    </row>
    <row r="1070">
      <c r="A1070" t="n">
        <v>1069</v>
      </c>
      <c r="B1070" t="inlineStr">
        <is>
          <t>A</t>
        </is>
      </c>
      <c r="C1070">
        <f>1</f>
        <v>1</v>
      </c>
      <c r="D1070">
        <f>IF(OR(F_Custom1_Q="(None)",F_Custom1_Q="",ISBLANK(F_Custom1_Q),F_Custom1_V="(All)",F_Custom1_V="",ISBLANK(F_Custom1_V)),1,IFERROR(IF(ISNUMBER(SEARCH("|"&amp;INDEX(INDIRECT(F_Custom1_resolved_column),1069)&amp;"|",F_Custom1_wrapped)),1,0),0))</f>
        <v>1</v>
      </c>
      <c r="E1070">
        <f>IF(OR(F_Custom2_Q="(None)",F_Custom2_Q="",ISBLANK(F_Custom2_Q),F_Custom2_V="(All)",F_Custom2_V="",ISBLANK(F_Custom2_V)),1,IFERROR(IF(ISNUMBER(SEARCH("|"&amp;INDEX(INDIRECT(F_Custom2_resolved_column),1069)&amp;"|",F_Custom2_wrapped)),1,0),0))</f>
        <v>1</v>
      </c>
      <c r="F1070">
        <f>D1070*E1070*1</f>
        <v>1</v>
      </c>
      <c r="G1070">
        <f>1</f>
        <v>1</v>
      </c>
      <c r="H10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1069)&amp;"|",All_Questions_Q_STREAM_F_wrapped)),1,0),0))*1</f>
        <v>1</v>
      </c>
    </row>
    <row r="1071">
      <c r="A1071" t="n">
        <v>1070</v>
      </c>
      <c r="B1071" t="inlineStr">
        <is>
          <t>B</t>
        </is>
      </c>
      <c r="C1071">
        <f>1</f>
        <v>1</v>
      </c>
      <c r="D1071">
        <f>IF(OR(F_Custom1_Q="(None)",F_Custom1_Q="",ISBLANK(F_Custom1_Q),F_Custom1_V="(All)",F_Custom1_V="",ISBLANK(F_Custom1_V)),1,IFERROR(IF(ISNUMBER(SEARCH("|"&amp;INDEX(INDIRECT(F_Custom1_resolved_column),1070)&amp;"|",F_Custom1_wrapped)),1,0),0))</f>
        <v>1</v>
      </c>
      <c r="E1071">
        <f>IF(OR(F_Custom2_Q="(None)",F_Custom2_Q="",ISBLANK(F_Custom2_Q),F_Custom2_V="(All)",F_Custom2_V="",ISBLANK(F_Custom2_V)),1,IFERROR(IF(ISNUMBER(SEARCH("|"&amp;INDEX(INDIRECT(F_Custom2_resolved_column),1070)&amp;"|",F_Custom2_wrapped)),1,0),0))</f>
        <v>1</v>
      </c>
      <c r="F1071">
        <f>D1071*E1071*1</f>
        <v>1</v>
      </c>
      <c r="G1071">
        <f>1</f>
        <v>1</v>
      </c>
      <c r="H10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1070)&amp;"|",All_Questions_Q_STREAM_F_wrapped)),1,0),0))*1</f>
        <v>1</v>
      </c>
    </row>
    <row r="1072">
      <c r="A1072" t="n">
        <v>1071</v>
      </c>
      <c r="B1072" t="inlineStr">
        <is>
          <t>A</t>
        </is>
      </c>
      <c r="C1072">
        <f>1</f>
        <v>1</v>
      </c>
      <c r="D1072">
        <f>IF(OR(F_Custom1_Q="(None)",F_Custom1_Q="",ISBLANK(F_Custom1_Q),F_Custom1_V="(All)",F_Custom1_V="",ISBLANK(F_Custom1_V)),1,IFERROR(IF(ISNUMBER(SEARCH("|"&amp;INDEX(INDIRECT(F_Custom1_resolved_column),1071)&amp;"|",F_Custom1_wrapped)),1,0),0))</f>
        <v>1</v>
      </c>
      <c r="E1072">
        <f>IF(OR(F_Custom2_Q="(None)",F_Custom2_Q="",ISBLANK(F_Custom2_Q),F_Custom2_V="(All)",F_Custom2_V="",ISBLANK(F_Custom2_V)),1,IFERROR(IF(ISNUMBER(SEARCH("|"&amp;INDEX(INDIRECT(F_Custom2_resolved_column),1071)&amp;"|",F_Custom2_wrapped)),1,0),0))</f>
        <v>1</v>
      </c>
      <c r="F1072">
        <f>D1072*E1072*1</f>
        <v>1</v>
      </c>
      <c r="G1072">
        <f>1</f>
        <v>1</v>
      </c>
      <c r="H10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1071)&amp;"|",All_Questions_Q_STREAM_F_wrapped)),1,0),0))*1</f>
        <v>1</v>
      </c>
    </row>
    <row r="1073">
      <c r="A1073" t="n">
        <v>1072</v>
      </c>
      <c r="B1073" t="inlineStr">
        <is>
          <t>B</t>
        </is>
      </c>
      <c r="C1073">
        <f>1</f>
        <v>1</v>
      </c>
      <c r="D1073">
        <f>IF(OR(F_Custom1_Q="(None)",F_Custom1_Q="",ISBLANK(F_Custom1_Q),F_Custom1_V="(All)",F_Custom1_V="",ISBLANK(F_Custom1_V)),1,IFERROR(IF(ISNUMBER(SEARCH("|"&amp;INDEX(INDIRECT(F_Custom1_resolved_column),1072)&amp;"|",F_Custom1_wrapped)),1,0),0))</f>
        <v>1</v>
      </c>
      <c r="E1073">
        <f>IF(OR(F_Custom2_Q="(None)",F_Custom2_Q="",ISBLANK(F_Custom2_Q),F_Custom2_V="(All)",F_Custom2_V="",ISBLANK(F_Custom2_V)),1,IFERROR(IF(ISNUMBER(SEARCH("|"&amp;INDEX(INDIRECT(F_Custom2_resolved_column),1072)&amp;"|",F_Custom2_wrapped)),1,0),0))</f>
        <v>1</v>
      </c>
      <c r="F1073">
        <f>D1073*E1073*1</f>
        <v>1</v>
      </c>
      <c r="G1073">
        <f>1</f>
        <v>1</v>
      </c>
      <c r="H10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1072)&amp;"|",All_Questions_Q_STREAM_F_wrapped)),1,0),0))*1</f>
        <v>1</v>
      </c>
    </row>
    <row r="1074">
      <c r="A1074" t="n">
        <v>1073</v>
      </c>
      <c r="B1074" t="inlineStr">
        <is>
          <t>A</t>
        </is>
      </c>
      <c r="C1074">
        <f>1</f>
        <v>1</v>
      </c>
      <c r="D1074">
        <f>IF(OR(F_Custom1_Q="(None)",F_Custom1_Q="",ISBLANK(F_Custom1_Q),F_Custom1_V="(All)",F_Custom1_V="",ISBLANK(F_Custom1_V)),1,IFERROR(IF(ISNUMBER(SEARCH("|"&amp;INDEX(INDIRECT(F_Custom1_resolved_column),1073)&amp;"|",F_Custom1_wrapped)),1,0),0))</f>
        <v>1</v>
      </c>
      <c r="E1074">
        <f>IF(OR(F_Custom2_Q="(None)",F_Custom2_Q="",ISBLANK(F_Custom2_Q),F_Custom2_V="(All)",F_Custom2_V="",ISBLANK(F_Custom2_V)),1,IFERROR(IF(ISNUMBER(SEARCH("|"&amp;INDEX(INDIRECT(F_Custom2_resolved_column),1073)&amp;"|",F_Custom2_wrapped)),1,0),0))</f>
        <v>1</v>
      </c>
      <c r="F1074">
        <f>D1074*E1074*1</f>
        <v>1</v>
      </c>
      <c r="G1074">
        <f>1</f>
        <v>1</v>
      </c>
      <c r="H10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1073)&amp;"|",All_Questions_Q_STREAM_F_wrapped)),1,0),0))*1</f>
        <v>1</v>
      </c>
    </row>
    <row r="1075">
      <c r="A1075" t="n">
        <v>1074</v>
      </c>
      <c r="B1075" t="inlineStr">
        <is>
          <t>B</t>
        </is>
      </c>
      <c r="C1075">
        <f>1</f>
        <v>1</v>
      </c>
      <c r="D1075">
        <f>IF(OR(F_Custom1_Q="(None)",F_Custom1_Q="",ISBLANK(F_Custom1_Q),F_Custom1_V="(All)",F_Custom1_V="",ISBLANK(F_Custom1_V)),1,IFERROR(IF(ISNUMBER(SEARCH("|"&amp;INDEX(INDIRECT(F_Custom1_resolved_column),1074)&amp;"|",F_Custom1_wrapped)),1,0),0))</f>
        <v>1</v>
      </c>
      <c r="E1075">
        <f>IF(OR(F_Custom2_Q="(None)",F_Custom2_Q="",ISBLANK(F_Custom2_Q),F_Custom2_V="(All)",F_Custom2_V="",ISBLANK(F_Custom2_V)),1,IFERROR(IF(ISNUMBER(SEARCH("|"&amp;INDEX(INDIRECT(F_Custom2_resolved_column),1074)&amp;"|",F_Custom2_wrapped)),1,0),0))</f>
        <v>1</v>
      </c>
      <c r="F1075">
        <f>D1075*E1075*1</f>
        <v>1</v>
      </c>
      <c r="G1075">
        <f>1</f>
        <v>1</v>
      </c>
      <c r="H10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1074)&amp;"|",All_Questions_Q_STREAM_F_wrapped)),1,0),0))*1</f>
        <v>1</v>
      </c>
    </row>
    <row r="1076">
      <c r="A1076" t="n">
        <v>1075</v>
      </c>
      <c r="B1076" t="inlineStr">
        <is>
          <t>A</t>
        </is>
      </c>
      <c r="C1076">
        <f>1</f>
        <v>1</v>
      </c>
      <c r="D1076">
        <f>IF(OR(F_Custom1_Q="(None)",F_Custom1_Q="",ISBLANK(F_Custom1_Q),F_Custom1_V="(All)",F_Custom1_V="",ISBLANK(F_Custom1_V)),1,IFERROR(IF(ISNUMBER(SEARCH("|"&amp;INDEX(INDIRECT(F_Custom1_resolved_column),1075)&amp;"|",F_Custom1_wrapped)),1,0),0))</f>
        <v>1</v>
      </c>
      <c r="E1076">
        <f>IF(OR(F_Custom2_Q="(None)",F_Custom2_Q="",ISBLANK(F_Custom2_Q),F_Custom2_V="(All)",F_Custom2_V="",ISBLANK(F_Custom2_V)),1,IFERROR(IF(ISNUMBER(SEARCH("|"&amp;INDEX(INDIRECT(F_Custom2_resolved_column),1075)&amp;"|",F_Custom2_wrapped)),1,0),0))</f>
        <v>1</v>
      </c>
      <c r="F1076">
        <f>D1076*E1076*1</f>
        <v>1</v>
      </c>
      <c r="G1076">
        <f>1</f>
        <v>1</v>
      </c>
      <c r="H10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1075)&amp;"|",All_Questions_Q_STREAM_F_wrapped)),1,0),0))*1</f>
        <v>1</v>
      </c>
    </row>
    <row r="1077">
      <c r="A1077" t="n">
        <v>1076</v>
      </c>
      <c r="B1077" t="inlineStr">
        <is>
          <t>B</t>
        </is>
      </c>
      <c r="C1077">
        <f>1</f>
        <v>1</v>
      </c>
      <c r="D1077">
        <f>IF(OR(F_Custom1_Q="(None)",F_Custom1_Q="",ISBLANK(F_Custom1_Q),F_Custom1_V="(All)",F_Custom1_V="",ISBLANK(F_Custom1_V)),1,IFERROR(IF(ISNUMBER(SEARCH("|"&amp;INDEX(INDIRECT(F_Custom1_resolved_column),1076)&amp;"|",F_Custom1_wrapped)),1,0),0))</f>
        <v>1</v>
      </c>
      <c r="E1077">
        <f>IF(OR(F_Custom2_Q="(None)",F_Custom2_Q="",ISBLANK(F_Custom2_Q),F_Custom2_V="(All)",F_Custom2_V="",ISBLANK(F_Custom2_V)),1,IFERROR(IF(ISNUMBER(SEARCH("|"&amp;INDEX(INDIRECT(F_Custom2_resolved_column),1076)&amp;"|",F_Custom2_wrapped)),1,0),0))</f>
        <v>1</v>
      </c>
      <c r="F1077">
        <f>D1077*E1077*1</f>
        <v>1</v>
      </c>
      <c r="G1077">
        <f>1</f>
        <v>1</v>
      </c>
      <c r="H10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1076)&amp;"|",All_Questions_Q_STREAM_F_wrapped)),1,0),0))*1</f>
        <v>1</v>
      </c>
    </row>
    <row r="1078">
      <c r="A1078" t="n">
        <v>1077</v>
      </c>
      <c r="B1078" t="inlineStr">
        <is>
          <t>A</t>
        </is>
      </c>
      <c r="C1078">
        <f>1</f>
        <v>1</v>
      </c>
      <c r="D1078">
        <f>IF(OR(F_Custom1_Q="(None)",F_Custom1_Q="",ISBLANK(F_Custom1_Q),F_Custom1_V="(All)",F_Custom1_V="",ISBLANK(F_Custom1_V)),1,IFERROR(IF(ISNUMBER(SEARCH("|"&amp;INDEX(INDIRECT(F_Custom1_resolved_column),1077)&amp;"|",F_Custom1_wrapped)),1,0),0))</f>
        <v>1</v>
      </c>
      <c r="E1078">
        <f>IF(OR(F_Custom2_Q="(None)",F_Custom2_Q="",ISBLANK(F_Custom2_Q),F_Custom2_V="(All)",F_Custom2_V="",ISBLANK(F_Custom2_V)),1,IFERROR(IF(ISNUMBER(SEARCH("|"&amp;INDEX(INDIRECT(F_Custom2_resolved_column),1077)&amp;"|",F_Custom2_wrapped)),1,0),0))</f>
        <v>1</v>
      </c>
      <c r="F1078">
        <f>D1078*E1078*1</f>
        <v>1</v>
      </c>
      <c r="G1078">
        <f>1</f>
        <v>1</v>
      </c>
      <c r="H10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1077)&amp;"|",All_Questions_Q_STREAM_F_wrapped)),1,0),0))*1</f>
        <v>1</v>
      </c>
    </row>
    <row r="1079">
      <c r="A1079" t="n">
        <v>1078</v>
      </c>
      <c r="B1079" t="inlineStr">
        <is>
          <t>B</t>
        </is>
      </c>
      <c r="C1079">
        <f>1</f>
        <v>1</v>
      </c>
      <c r="D1079">
        <f>IF(OR(F_Custom1_Q="(None)",F_Custom1_Q="",ISBLANK(F_Custom1_Q),F_Custom1_V="(All)",F_Custom1_V="",ISBLANK(F_Custom1_V)),1,IFERROR(IF(ISNUMBER(SEARCH("|"&amp;INDEX(INDIRECT(F_Custom1_resolved_column),1078)&amp;"|",F_Custom1_wrapped)),1,0),0))</f>
        <v>1</v>
      </c>
      <c r="E1079">
        <f>IF(OR(F_Custom2_Q="(None)",F_Custom2_Q="",ISBLANK(F_Custom2_Q),F_Custom2_V="(All)",F_Custom2_V="",ISBLANK(F_Custom2_V)),1,IFERROR(IF(ISNUMBER(SEARCH("|"&amp;INDEX(INDIRECT(F_Custom2_resolved_column),1078)&amp;"|",F_Custom2_wrapped)),1,0),0))</f>
        <v>1</v>
      </c>
      <c r="F1079">
        <f>D1079*E1079*1</f>
        <v>1</v>
      </c>
      <c r="G1079">
        <f>1</f>
        <v>1</v>
      </c>
      <c r="H10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1078)&amp;"|",All_Questions_Q_STREAM_F_wrapped)),1,0),0))*1</f>
        <v>1</v>
      </c>
    </row>
    <row r="1080">
      <c r="A1080" t="n">
        <v>1079</v>
      </c>
      <c r="B1080" t="inlineStr">
        <is>
          <t>A</t>
        </is>
      </c>
      <c r="C1080">
        <f>1</f>
        <v>1</v>
      </c>
      <c r="D1080">
        <f>IF(OR(F_Custom1_Q="(None)",F_Custom1_Q="",ISBLANK(F_Custom1_Q),F_Custom1_V="(All)",F_Custom1_V="",ISBLANK(F_Custom1_V)),1,IFERROR(IF(ISNUMBER(SEARCH("|"&amp;INDEX(INDIRECT(F_Custom1_resolved_column),1079)&amp;"|",F_Custom1_wrapped)),1,0),0))</f>
        <v>1</v>
      </c>
      <c r="E1080">
        <f>IF(OR(F_Custom2_Q="(None)",F_Custom2_Q="",ISBLANK(F_Custom2_Q),F_Custom2_V="(All)",F_Custom2_V="",ISBLANK(F_Custom2_V)),1,IFERROR(IF(ISNUMBER(SEARCH("|"&amp;INDEX(INDIRECT(F_Custom2_resolved_column),1079)&amp;"|",F_Custom2_wrapped)),1,0),0))</f>
        <v>1</v>
      </c>
      <c r="F1080">
        <f>D1080*E1080*1</f>
        <v>1</v>
      </c>
      <c r="G1080">
        <f>1</f>
        <v>1</v>
      </c>
      <c r="H10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1079)&amp;"|",All_Questions_Q_STREAM_F_wrapped)),1,0),0))*1</f>
        <v>1</v>
      </c>
    </row>
    <row r="1081">
      <c r="A1081" t="n">
        <v>1080</v>
      </c>
      <c r="B1081" t="inlineStr">
        <is>
          <t>B</t>
        </is>
      </c>
      <c r="C1081">
        <f>1</f>
        <v>1</v>
      </c>
      <c r="D1081">
        <f>IF(OR(F_Custom1_Q="(None)",F_Custom1_Q="",ISBLANK(F_Custom1_Q),F_Custom1_V="(All)",F_Custom1_V="",ISBLANK(F_Custom1_V)),1,IFERROR(IF(ISNUMBER(SEARCH("|"&amp;INDEX(INDIRECT(F_Custom1_resolved_column),1080)&amp;"|",F_Custom1_wrapped)),1,0),0))</f>
        <v>1</v>
      </c>
      <c r="E1081">
        <f>IF(OR(F_Custom2_Q="(None)",F_Custom2_Q="",ISBLANK(F_Custom2_Q),F_Custom2_V="(All)",F_Custom2_V="",ISBLANK(F_Custom2_V)),1,IFERROR(IF(ISNUMBER(SEARCH("|"&amp;INDEX(INDIRECT(F_Custom2_resolved_column),1080)&amp;"|",F_Custom2_wrapped)),1,0),0))</f>
        <v>1</v>
      </c>
      <c r="F1081">
        <f>D1081*E1081*1</f>
        <v>1</v>
      </c>
      <c r="G1081">
        <f>1</f>
        <v>1</v>
      </c>
      <c r="H10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1080)&amp;"|",All_Questions_Q_STREAM_F_wrapped)),1,0),0))*1</f>
        <v>1</v>
      </c>
    </row>
    <row r="1082">
      <c r="A1082" t="n">
        <v>1081</v>
      </c>
      <c r="B1082" t="inlineStr">
        <is>
          <t>A</t>
        </is>
      </c>
      <c r="C1082">
        <f>1</f>
        <v>1</v>
      </c>
      <c r="D1082">
        <f>IF(OR(F_Custom1_Q="(None)",F_Custom1_Q="",ISBLANK(F_Custom1_Q),F_Custom1_V="(All)",F_Custom1_V="",ISBLANK(F_Custom1_V)),1,IFERROR(IF(ISNUMBER(SEARCH("|"&amp;INDEX(INDIRECT(F_Custom1_resolved_column),1081)&amp;"|",F_Custom1_wrapped)),1,0),0))</f>
        <v>1</v>
      </c>
      <c r="E1082">
        <f>IF(OR(F_Custom2_Q="(None)",F_Custom2_Q="",ISBLANK(F_Custom2_Q),F_Custom2_V="(All)",F_Custom2_V="",ISBLANK(F_Custom2_V)),1,IFERROR(IF(ISNUMBER(SEARCH("|"&amp;INDEX(INDIRECT(F_Custom2_resolved_column),1081)&amp;"|",F_Custom2_wrapped)),1,0),0))</f>
        <v>1</v>
      </c>
      <c r="F1082">
        <f>D1082*E1082*1</f>
        <v>1</v>
      </c>
      <c r="G1082">
        <f>1</f>
        <v>1</v>
      </c>
      <c r="H10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1081)&amp;"|",All_Questions_Q_STREAM_F_wrapped)),1,0),0))*1</f>
        <v>1</v>
      </c>
    </row>
    <row r="1083">
      <c r="A1083" t="n">
        <v>1082</v>
      </c>
      <c r="B1083" t="inlineStr">
        <is>
          <t>B</t>
        </is>
      </c>
      <c r="C1083">
        <f>1</f>
        <v>1</v>
      </c>
      <c r="D1083">
        <f>IF(OR(F_Custom1_Q="(None)",F_Custom1_Q="",ISBLANK(F_Custom1_Q),F_Custom1_V="(All)",F_Custom1_V="",ISBLANK(F_Custom1_V)),1,IFERROR(IF(ISNUMBER(SEARCH("|"&amp;INDEX(INDIRECT(F_Custom1_resolved_column),1082)&amp;"|",F_Custom1_wrapped)),1,0),0))</f>
        <v>1</v>
      </c>
      <c r="E1083">
        <f>IF(OR(F_Custom2_Q="(None)",F_Custom2_Q="",ISBLANK(F_Custom2_Q),F_Custom2_V="(All)",F_Custom2_V="",ISBLANK(F_Custom2_V)),1,IFERROR(IF(ISNUMBER(SEARCH("|"&amp;INDEX(INDIRECT(F_Custom2_resolved_column),1082)&amp;"|",F_Custom2_wrapped)),1,0),0))</f>
        <v>1</v>
      </c>
      <c r="F1083">
        <f>D1083*E1083*1</f>
        <v>1</v>
      </c>
      <c r="G1083">
        <f>1</f>
        <v>1</v>
      </c>
      <c r="H10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1082)&amp;"|",All_Questions_Q_STREAM_F_wrapped)),1,0),0))*1</f>
        <v>1</v>
      </c>
    </row>
    <row r="1084">
      <c r="A1084" t="n">
        <v>1083</v>
      </c>
      <c r="B1084" t="inlineStr">
        <is>
          <t>A</t>
        </is>
      </c>
      <c r="C1084">
        <f>1</f>
        <v>1</v>
      </c>
      <c r="D1084">
        <f>IF(OR(F_Custom1_Q="(None)",F_Custom1_Q="",ISBLANK(F_Custom1_Q),F_Custom1_V="(All)",F_Custom1_V="",ISBLANK(F_Custom1_V)),1,IFERROR(IF(ISNUMBER(SEARCH("|"&amp;INDEX(INDIRECT(F_Custom1_resolved_column),1083)&amp;"|",F_Custom1_wrapped)),1,0),0))</f>
        <v>1</v>
      </c>
      <c r="E1084">
        <f>IF(OR(F_Custom2_Q="(None)",F_Custom2_Q="",ISBLANK(F_Custom2_Q),F_Custom2_V="(All)",F_Custom2_V="",ISBLANK(F_Custom2_V)),1,IFERROR(IF(ISNUMBER(SEARCH("|"&amp;INDEX(INDIRECT(F_Custom2_resolved_column),1083)&amp;"|",F_Custom2_wrapped)),1,0),0))</f>
        <v>1</v>
      </c>
      <c r="F1084">
        <f>D1084*E1084*1</f>
        <v>1</v>
      </c>
      <c r="G1084">
        <f>1</f>
        <v>1</v>
      </c>
      <c r="H10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1083)&amp;"|",All_Questions_Q_STREAM_F_wrapped)),1,0),0))*1</f>
        <v>1</v>
      </c>
    </row>
    <row r="1085">
      <c r="A1085" t="n">
        <v>1084</v>
      </c>
      <c r="B1085" t="inlineStr">
        <is>
          <t>B</t>
        </is>
      </c>
      <c r="C1085">
        <f>1</f>
        <v>1</v>
      </c>
      <c r="D1085">
        <f>IF(OR(F_Custom1_Q="(None)",F_Custom1_Q="",ISBLANK(F_Custom1_Q),F_Custom1_V="(All)",F_Custom1_V="",ISBLANK(F_Custom1_V)),1,IFERROR(IF(ISNUMBER(SEARCH("|"&amp;INDEX(INDIRECT(F_Custom1_resolved_column),1084)&amp;"|",F_Custom1_wrapped)),1,0),0))</f>
        <v>1</v>
      </c>
      <c r="E1085">
        <f>IF(OR(F_Custom2_Q="(None)",F_Custom2_Q="",ISBLANK(F_Custom2_Q),F_Custom2_V="(All)",F_Custom2_V="",ISBLANK(F_Custom2_V)),1,IFERROR(IF(ISNUMBER(SEARCH("|"&amp;INDEX(INDIRECT(F_Custom2_resolved_column),1084)&amp;"|",F_Custom2_wrapped)),1,0),0))</f>
        <v>1</v>
      </c>
      <c r="F1085">
        <f>D1085*E1085*1</f>
        <v>1</v>
      </c>
      <c r="G1085">
        <f>1</f>
        <v>1</v>
      </c>
      <c r="H10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1084)&amp;"|",All_Questions_Q_STREAM_F_wrapped)),1,0),0))*1</f>
        <v>1</v>
      </c>
    </row>
    <row r="1086">
      <c r="A1086" t="n">
        <v>1085</v>
      </c>
      <c r="B1086" t="inlineStr">
        <is>
          <t>A</t>
        </is>
      </c>
      <c r="C1086">
        <f>1</f>
        <v>1</v>
      </c>
      <c r="D1086">
        <f>IF(OR(F_Custom1_Q="(None)",F_Custom1_Q="",ISBLANK(F_Custom1_Q),F_Custom1_V="(All)",F_Custom1_V="",ISBLANK(F_Custom1_V)),1,IFERROR(IF(ISNUMBER(SEARCH("|"&amp;INDEX(INDIRECT(F_Custom1_resolved_column),1085)&amp;"|",F_Custom1_wrapped)),1,0),0))</f>
        <v>1</v>
      </c>
      <c r="E1086">
        <f>IF(OR(F_Custom2_Q="(None)",F_Custom2_Q="",ISBLANK(F_Custom2_Q),F_Custom2_V="(All)",F_Custom2_V="",ISBLANK(F_Custom2_V)),1,IFERROR(IF(ISNUMBER(SEARCH("|"&amp;INDEX(INDIRECT(F_Custom2_resolved_column),1085)&amp;"|",F_Custom2_wrapped)),1,0),0))</f>
        <v>1</v>
      </c>
      <c r="F1086">
        <f>D1086*E1086*1</f>
        <v>1</v>
      </c>
      <c r="G1086">
        <f>1</f>
        <v>1</v>
      </c>
      <c r="H10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1085)&amp;"|",All_Questions_Q_STREAM_F_wrapped)),1,0),0))*1</f>
        <v>1</v>
      </c>
    </row>
    <row r="1087">
      <c r="A1087" t="n">
        <v>1086</v>
      </c>
      <c r="B1087" t="inlineStr">
        <is>
          <t>B</t>
        </is>
      </c>
      <c r="C1087">
        <f>1</f>
        <v>1</v>
      </c>
      <c r="D1087">
        <f>IF(OR(F_Custom1_Q="(None)",F_Custom1_Q="",ISBLANK(F_Custom1_Q),F_Custom1_V="(All)",F_Custom1_V="",ISBLANK(F_Custom1_V)),1,IFERROR(IF(ISNUMBER(SEARCH("|"&amp;INDEX(INDIRECT(F_Custom1_resolved_column),1086)&amp;"|",F_Custom1_wrapped)),1,0),0))</f>
        <v>1</v>
      </c>
      <c r="E1087">
        <f>IF(OR(F_Custom2_Q="(None)",F_Custom2_Q="",ISBLANK(F_Custom2_Q),F_Custom2_V="(All)",F_Custom2_V="",ISBLANK(F_Custom2_V)),1,IFERROR(IF(ISNUMBER(SEARCH("|"&amp;INDEX(INDIRECT(F_Custom2_resolved_column),1086)&amp;"|",F_Custom2_wrapped)),1,0),0))</f>
        <v>1</v>
      </c>
      <c r="F1087">
        <f>D1087*E1087*1</f>
        <v>1</v>
      </c>
      <c r="G1087">
        <f>1</f>
        <v>1</v>
      </c>
      <c r="H10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1086)&amp;"|",All_Questions_Q_STREAM_F_wrapped)),1,0),0))*1</f>
        <v>1</v>
      </c>
    </row>
    <row r="1088">
      <c r="A1088" t="n">
        <v>1087</v>
      </c>
      <c r="B1088" t="inlineStr">
        <is>
          <t>A</t>
        </is>
      </c>
      <c r="C1088">
        <f>1</f>
        <v>1</v>
      </c>
      <c r="D1088">
        <f>IF(OR(F_Custom1_Q="(None)",F_Custom1_Q="",ISBLANK(F_Custom1_Q),F_Custom1_V="(All)",F_Custom1_V="",ISBLANK(F_Custom1_V)),1,IFERROR(IF(ISNUMBER(SEARCH("|"&amp;INDEX(INDIRECT(F_Custom1_resolved_column),1087)&amp;"|",F_Custom1_wrapped)),1,0),0))</f>
        <v>1</v>
      </c>
      <c r="E1088">
        <f>IF(OR(F_Custom2_Q="(None)",F_Custom2_Q="",ISBLANK(F_Custom2_Q),F_Custom2_V="(All)",F_Custom2_V="",ISBLANK(F_Custom2_V)),1,IFERROR(IF(ISNUMBER(SEARCH("|"&amp;INDEX(INDIRECT(F_Custom2_resolved_column),1087)&amp;"|",F_Custom2_wrapped)),1,0),0))</f>
        <v>1</v>
      </c>
      <c r="F1088">
        <f>D1088*E1088*1</f>
        <v>1</v>
      </c>
      <c r="G1088">
        <f>1</f>
        <v>1</v>
      </c>
      <c r="H10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1087)&amp;"|",All_Questions_Q_STREAM_F_wrapped)),1,0),0))*1</f>
        <v>1</v>
      </c>
    </row>
    <row r="1089">
      <c r="A1089" t="n">
        <v>1088</v>
      </c>
      <c r="B1089" t="inlineStr">
        <is>
          <t>B</t>
        </is>
      </c>
      <c r="C1089">
        <f>1</f>
        <v>1</v>
      </c>
      <c r="D1089">
        <f>IF(OR(F_Custom1_Q="(None)",F_Custom1_Q="",ISBLANK(F_Custom1_Q),F_Custom1_V="(All)",F_Custom1_V="",ISBLANK(F_Custom1_V)),1,IFERROR(IF(ISNUMBER(SEARCH("|"&amp;INDEX(INDIRECT(F_Custom1_resolved_column),1088)&amp;"|",F_Custom1_wrapped)),1,0),0))</f>
        <v>1</v>
      </c>
      <c r="E1089">
        <f>IF(OR(F_Custom2_Q="(None)",F_Custom2_Q="",ISBLANK(F_Custom2_Q),F_Custom2_V="(All)",F_Custom2_V="",ISBLANK(F_Custom2_V)),1,IFERROR(IF(ISNUMBER(SEARCH("|"&amp;INDEX(INDIRECT(F_Custom2_resolved_column),1088)&amp;"|",F_Custom2_wrapped)),1,0),0))</f>
        <v>1</v>
      </c>
      <c r="F1089">
        <f>D1089*E1089*1</f>
        <v>1</v>
      </c>
      <c r="G1089">
        <f>1</f>
        <v>1</v>
      </c>
      <c r="H10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1088)&amp;"|",All_Questions_Q_STREAM_F_wrapped)),1,0),0))*1</f>
        <v>1</v>
      </c>
    </row>
    <row r="1090">
      <c r="A1090" t="n">
        <v>1089</v>
      </c>
      <c r="B1090" t="inlineStr">
        <is>
          <t>A</t>
        </is>
      </c>
      <c r="C1090">
        <f>1</f>
        <v>1</v>
      </c>
      <c r="D1090">
        <f>IF(OR(F_Custom1_Q="(None)",F_Custom1_Q="",ISBLANK(F_Custom1_Q),F_Custom1_V="(All)",F_Custom1_V="",ISBLANK(F_Custom1_V)),1,IFERROR(IF(ISNUMBER(SEARCH("|"&amp;INDEX(INDIRECT(F_Custom1_resolved_column),1089)&amp;"|",F_Custom1_wrapped)),1,0),0))</f>
        <v>1</v>
      </c>
      <c r="E1090">
        <f>IF(OR(F_Custom2_Q="(None)",F_Custom2_Q="",ISBLANK(F_Custom2_Q),F_Custom2_V="(All)",F_Custom2_V="",ISBLANK(F_Custom2_V)),1,IFERROR(IF(ISNUMBER(SEARCH("|"&amp;INDEX(INDIRECT(F_Custom2_resolved_column),1089)&amp;"|",F_Custom2_wrapped)),1,0),0))</f>
        <v>1</v>
      </c>
      <c r="F1090">
        <f>D1090*E1090*1</f>
        <v>1</v>
      </c>
      <c r="G1090">
        <f>1</f>
        <v>1</v>
      </c>
      <c r="H10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1089)&amp;"|",All_Questions_Q_STREAM_F_wrapped)),1,0),0))*1</f>
        <v>1</v>
      </c>
    </row>
    <row r="1091">
      <c r="A1091" t="n">
        <v>1090</v>
      </c>
      <c r="B1091" t="inlineStr">
        <is>
          <t>B</t>
        </is>
      </c>
      <c r="C1091">
        <f>1</f>
        <v>1</v>
      </c>
      <c r="D1091">
        <f>IF(OR(F_Custom1_Q="(None)",F_Custom1_Q="",ISBLANK(F_Custom1_Q),F_Custom1_V="(All)",F_Custom1_V="",ISBLANK(F_Custom1_V)),1,IFERROR(IF(ISNUMBER(SEARCH("|"&amp;INDEX(INDIRECT(F_Custom1_resolved_column),1090)&amp;"|",F_Custom1_wrapped)),1,0),0))</f>
        <v>1</v>
      </c>
      <c r="E1091">
        <f>IF(OR(F_Custom2_Q="(None)",F_Custom2_Q="",ISBLANK(F_Custom2_Q),F_Custom2_V="(All)",F_Custom2_V="",ISBLANK(F_Custom2_V)),1,IFERROR(IF(ISNUMBER(SEARCH("|"&amp;INDEX(INDIRECT(F_Custom2_resolved_column),1090)&amp;"|",F_Custom2_wrapped)),1,0),0))</f>
        <v>1</v>
      </c>
      <c r="F1091">
        <f>D1091*E1091*1</f>
        <v>1</v>
      </c>
      <c r="G1091">
        <f>1</f>
        <v>1</v>
      </c>
      <c r="H10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1090)&amp;"|",All_Questions_Q_STREAM_F_wrapped)),1,0),0))*1</f>
        <v>1</v>
      </c>
    </row>
    <row r="1092">
      <c r="A1092" t="n">
        <v>1091</v>
      </c>
      <c r="B1092" t="inlineStr">
        <is>
          <t>A</t>
        </is>
      </c>
      <c r="C1092">
        <f>1</f>
        <v>1</v>
      </c>
      <c r="D1092">
        <f>IF(OR(F_Custom1_Q="(None)",F_Custom1_Q="",ISBLANK(F_Custom1_Q),F_Custom1_V="(All)",F_Custom1_V="",ISBLANK(F_Custom1_V)),1,IFERROR(IF(ISNUMBER(SEARCH("|"&amp;INDEX(INDIRECT(F_Custom1_resolved_column),1091)&amp;"|",F_Custom1_wrapped)),1,0),0))</f>
        <v>1</v>
      </c>
      <c r="E1092">
        <f>IF(OR(F_Custom2_Q="(None)",F_Custom2_Q="",ISBLANK(F_Custom2_Q),F_Custom2_V="(All)",F_Custom2_V="",ISBLANK(F_Custom2_V)),1,IFERROR(IF(ISNUMBER(SEARCH("|"&amp;INDEX(INDIRECT(F_Custom2_resolved_column),1091)&amp;"|",F_Custom2_wrapped)),1,0),0))</f>
        <v>1</v>
      </c>
      <c r="F1092">
        <f>D1092*E1092*1</f>
        <v>1</v>
      </c>
      <c r="G1092">
        <f>1</f>
        <v>1</v>
      </c>
      <c r="H10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1091)&amp;"|",All_Questions_Q_STREAM_F_wrapped)),1,0),0))*1</f>
        <v>1</v>
      </c>
    </row>
    <row r="1093">
      <c r="A1093" t="n">
        <v>1092</v>
      </c>
      <c r="B1093" t="inlineStr">
        <is>
          <t>B</t>
        </is>
      </c>
      <c r="C1093">
        <f>1</f>
        <v>1</v>
      </c>
      <c r="D1093">
        <f>IF(OR(F_Custom1_Q="(None)",F_Custom1_Q="",ISBLANK(F_Custom1_Q),F_Custom1_V="(All)",F_Custom1_V="",ISBLANK(F_Custom1_V)),1,IFERROR(IF(ISNUMBER(SEARCH("|"&amp;INDEX(INDIRECT(F_Custom1_resolved_column),1092)&amp;"|",F_Custom1_wrapped)),1,0),0))</f>
        <v>1</v>
      </c>
      <c r="E1093">
        <f>IF(OR(F_Custom2_Q="(None)",F_Custom2_Q="",ISBLANK(F_Custom2_Q),F_Custom2_V="(All)",F_Custom2_V="",ISBLANK(F_Custom2_V)),1,IFERROR(IF(ISNUMBER(SEARCH("|"&amp;INDEX(INDIRECT(F_Custom2_resolved_column),1092)&amp;"|",F_Custom2_wrapped)),1,0),0))</f>
        <v>1</v>
      </c>
      <c r="F1093">
        <f>D1093*E1093*1</f>
        <v>1</v>
      </c>
      <c r="G1093">
        <f>1</f>
        <v>1</v>
      </c>
      <c r="H10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1092)&amp;"|",All_Questions_Q_STREAM_F_wrapped)),1,0),0))*1</f>
        <v>1</v>
      </c>
    </row>
    <row r="1094">
      <c r="A1094" t="n">
        <v>1093</v>
      </c>
      <c r="B1094" t="inlineStr">
        <is>
          <t>A</t>
        </is>
      </c>
      <c r="C1094">
        <f>1</f>
        <v>1</v>
      </c>
      <c r="D1094">
        <f>IF(OR(F_Custom1_Q="(None)",F_Custom1_Q="",ISBLANK(F_Custom1_Q),F_Custom1_V="(All)",F_Custom1_V="",ISBLANK(F_Custom1_V)),1,IFERROR(IF(ISNUMBER(SEARCH("|"&amp;INDEX(INDIRECT(F_Custom1_resolved_column),1093)&amp;"|",F_Custom1_wrapped)),1,0),0))</f>
        <v>1</v>
      </c>
      <c r="E1094">
        <f>IF(OR(F_Custom2_Q="(None)",F_Custom2_Q="",ISBLANK(F_Custom2_Q),F_Custom2_V="(All)",F_Custom2_V="",ISBLANK(F_Custom2_V)),1,IFERROR(IF(ISNUMBER(SEARCH("|"&amp;INDEX(INDIRECT(F_Custom2_resolved_column),1093)&amp;"|",F_Custom2_wrapped)),1,0),0))</f>
        <v>1</v>
      </c>
      <c r="F1094">
        <f>D1094*E1094*1</f>
        <v>1</v>
      </c>
      <c r="G1094">
        <f>1</f>
        <v>1</v>
      </c>
      <c r="H10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1093)&amp;"|",All_Questions_Q_STREAM_F_wrapped)),1,0),0))*1</f>
        <v>1</v>
      </c>
    </row>
    <row r="1095">
      <c r="A1095" t="n">
        <v>1094</v>
      </c>
      <c r="B1095" t="inlineStr">
        <is>
          <t>B</t>
        </is>
      </c>
      <c r="C1095">
        <f>1</f>
        <v>1</v>
      </c>
      <c r="D1095">
        <f>IF(OR(F_Custom1_Q="(None)",F_Custom1_Q="",ISBLANK(F_Custom1_Q),F_Custom1_V="(All)",F_Custom1_V="",ISBLANK(F_Custom1_V)),1,IFERROR(IF(ISNUMBER(SEARCH("|"&amp;INDEX(INDIRECT(F_Custom1_resolved_column),1094)&amp;"|",F_Custom1_wrapped)),1,0),0))</f>
        <v>1</v>
      </c>
      <c r="E1095">
        <f>IF(OR(F_Custom2_Q="(None)",F_Custom2_Q="",ISBLANK(F_Custom2_Q),F_Custom2_V="(All)",F_Custom2_V="",ISBLANK(F_Custom2_V)),1,IFERROR(IF(ISNUMBER(SEARCH("|"&amp;INDEX(INDIRECT(F_Custom2_resolved_column),1094)&amp;"|",F_Custom2_wrapped)),1,0),0))</f>
        <v>1</v>
      </c>
      <c r="F1095">
        <f>D1095*E1095*1</f>
        <v>1</v>
      </c>
      <c r="G1095">
        <f>1</f>
        <v>1</v>
      </c>
      <c r="H10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1094)&amp;"|",All_Questions_Q_STREAM_F_wrapped)),1,0),0))*1</f>
        <v>1</v>
      </c>
    </row>
    <row r="1096">
      <c r="A1096" t="n">
        <v>1095</v>
      </c>
      <c r="B1096" t="inlineStr">
        <is>
          <t>A</t>
        </is>
      </c>
      <c r="C1096">
        <f>1</f>
        <v>1</v>
      </c>
      <c r="D1096">
        <f>IF(OR(F_Custom1_Q="(None)",F_Custom1_Q="",ISBLANK(F_Custom1_Q),F_Custom1_V="(All)",F_Custom1_V="",ISBLANK(F_Custom1_V)),1,IFERROR(IF(ISNUMBER(SEARCH("|"&amp;INDEX(INDIRECT(F_Custom1_resolved_column),1095)&amp;"|",F_Custom1_wrapped)),1,0),0))</f>
        <v>1</v>
      </c>
      <c r="E1096">
        <f>IF(OR(F_Custom2_Q="(None)",F_Custom2_Q="",ISBLANK(F_Custom2_Q),F_Custom2_V="(All)",F_Custom2_V="",ISBLANK(F_Custom2_V)),1,IFERROR(IF(ISNUMBER(SEARCH("|"&amp;INDEX(INDIRECT(F_Custom2_resolved_column),1095)&amp;"|",F_Custom2_wrapped)),1,0),0))</f>
        <v>1</v>
      </c>
      <c r="F1096">
        <f>D1096*E1096*1</f>
        <v>1</v>
      </c>
      <c r="G1096">
        <f>1</f>
        <v>1</v>
      </c>
      <c r="H10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1095)&amp;"|",All_Questions_Q_STREAM_F_wrapped)),1,0),0))*1</f>
        <v>1</v>
      </c>
    </row>
    <row r="1097">
      <c r="A1097" t="n">
        <v>1096</v>
      </c>
      <c r="B1097" t="inlineStr">
        <is>
          <t>B</t>
        </is>
      </c>
      <c r="C1097">
        <f>1</f>
        <v>1</v>
      </c>
      <c r="D1097">
        <f>IF(OR(F_Custom1_Q="(None)",F_Custom1_Q="",ISBLANK(F_Custom1_Q),F_Custom1_V="(All)",F_Custom1_V="",ISBLANK(F_Custom1_V)),1,IFERROR(IF(ISNUMBER(SEARCH("|"&amp;INDEX(INDIRECT(F_Custom1_resolved_column),1096)&amp;"|",F_Custom1_wrapped)),1,0),0))</f>
        <v>1</v>
      </c>
      <c r="E1097">
        <f>IF(OR(F_Custom2_Q="(None)",F_Custom2_Q="",ISBLANK(F_Custom2_Q),F_Custom2_V="(All)",F_Custom2_V="",ISBLANK(F_Custom2_V)),1,IFERROR(IF(ISNUMBER(SEARCH("|"&amp;INDEX(INDIRECT(F_Custom2_resolved_column),1096)&amp;"|",F_Custom2_wrapped)),1,0),0))</f>
        <v>1</v>
      </c>
      <c r="F1097">
        <f>D1097*E1097*1</f>
        <v>1</v>
      </c>
      <c r="G1097">
        <f>1</f>
        <v>1</v>
      </c>
      <c r="H10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1096)&amp;"|",All_Questions_Q_STREAM_F_wrapped)),1,0),0))*1</f>
        <v>1</v>
      </c>
    </row>
    <row r="1098">
      <c r="A1098" t="n">
        <v>1097</v>
      </c>
      <c r="B1098" t="inlineStr">
        <is>
          <t>A</t>
        </is>
      </c>
      <c r="C1098">
        <f>1</f>
        <v>1</v>
      </c>
      <c r="D1098">
        <f>IF(OR(F_Custom1_Q="(None)",F_Custom1_Q="",ISBLANK(F_Custom1_Q),F_Custom1_V="(All)",F_Custom1_V="",ISBLANK(F_Custom1_V)),1,IFERROR(IF(ISNUMBER(SEARCH("|"&amp;INDEX(INDIRECT(F_Custom1_resolved_column),1097)&amp;"|",F_Custom1_wrapped)),1,0),0))</f>
        <v>1</v>
      </c>
      <c r="E1098">
        <f>IF(OR(F_Custom2_Q="(None)",F_Custom2_Q="",ISBLANK(F_Custom2_Q),F_Custom2_V="(All)",F_Custom2_V="",ISBLANK(F_Custom2_V)),1,IFERROR(IF(ISNUMBER(SEARCH("|"&amp;INDEX(INDIRECT(F_Custom2_resolved_column),1097)&amp;"|",F_Custom2_wrapped)),1,0),0))</f>
        <v>1</v>
      </c>
      <c r="F1098">
        <f>D1098*E1098*1</f>
        <v>1</v>
      </c>
      <c r="G1098">
        <f>1</f>
        <v>1</v>
      </c>
      <c r="H10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1097)&amp;"|",All_Questions_Q_STREAM_F_wrapped)),1,0),0))*1</f>
        <v>1</v>
      </c>
    </row>
    <row r="1099">
      <c r="A1099" t="n">
        <v>1098</v>
      </c>
      <c r="B1099" t="inlineStr">
        <is>
          <t>B</t>
        </is>
      </c>
      <c r="C1099">
        <f>1</f>
        <v>1</v>
      </c>
      <c r="D1099">
        <f>IF(OR(F_Custom1_Q="(None)",F_Custom1_Q="",ISBLANK(F_Custom1_Q),F_Custom1_V="(All)",F_Custom1_V="",ISBLANK(F_Custom1_V)),1,IFERROR(IF(ISNUMBER(SEARCH("|"&amp;INDEX(INDIRECT(F_Custom1_resolved_column),1098)&amp;"|",F_Custom1_wrapped)),1,0),0))</f>
        <v>1</v>
      </c>
      <c r="E1099">
        <f>IF(OR(F_Custom2_Q="(None)",F_Custom2_Q="",ISBLANK(F_Custom2_Q),F_Custom2_V="(All)",F_Custom2_V="",ISBLANK(F_Custom2_V)),1,IFERROR(IF(ISNUMBER(SEARCH("|"&amp;INDEX(INDIRECT(F_Custom2_resolved_column),1098)&amp;"|",F_Custom2_wrapped)),1,0),0))</f>
        <v>1</v>
      </c>
      <c r="F1099">
        <f>D1099*E1099*1</f>
        <v>1</v>
      </c>
      <c r="G1099">
        <f>1</f>
        <v>1</v>
      </c>
      <c r="H10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1098)&amp;"|",All_Questions_Q_STREAM_F_wrapped)),1,0),0))*1</f>
        <v>1</v>
      </c>
    </row>
    <row r="1100">
      <c r="A1100" t="n">
        <v>1099</v>
      </c>
      <c r="B1100" t="inlineStr">
        <is>
          <t>A</t>
        </is>
      </c>
      <c r="C1100">
        <f>1</f>
        <v>1</v>
      </c>
      <c r="D1100">
        <f>IF(OR(F_Custom1_Q="(None)",F_Custom1_Q="",ISBLANK(F_Custom1_Q),F_Custom1_V="(All)",F_Custom1_V="",ISBLANK(F_Custom1_V)),1,IFERROR(IF(ISNUMBER(SEARCH("|"&amp;INDEX(INDIRECT(F_Custom1_resolved_column),1099)&amp;"|",F_Custom1_wrapped)),1,0),0))</f>
        <v>1</v>
      </c>
      <c r="E1100">
        <f>IF(OR(F_Custom2_Q="(None)",F_Custom2_Q="",ISBLANK(F_Custom2_Q),F_Custom2_V="(All)",F_Custom2_V="",ISBLANK(F_Custom2_V)),1,IFERROR(IF(ISNUMBER(SEARCH("|"&amp;INDEX(INDIRECT(F_Custom2_resolved_column),1099)&amp;"|",F_Custom2_wrapped)),1,0),0))</f>
        <v>1</v>
      </c>
      <c r="F1100">
        <f>D1100*E1100*1</f>
        <v>1</v>
      </c>
      <c r="G1100">
        <f>1</f>
        <v>1</v>
      </c>
      <c r="H11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1099)&amp;"|",All_Questions_Q_STREAM_F_wrapped)),1,0),0))*1</f>
        <v>1</v>
      </c>
    </row>
    <row r="1101">
      <c r="A1101" t="n">
        <v>1100</v>
      </c>
      <c r="B1101" t="inlineStr">
        <is>
          <t>B</t>
        </is>
      </c>
      <c r="C1101">
        <f>1</f>
        <v>1</v>
      </c>
      <c r="D1101">
        <f>IF(OR(F_Custom1_Q="(None)",F_Custom1_Q="",ISBLANK(F_Custom1_Q),F_Custom1_V="(All)",F_Custom1_V="",ISBLANK(F_Custom1_V)),1,IFERROR(IF(ISNUMBER(SEARCH("|"&amp;INDEX(INDIRECT(F_Custom1_resolved_column),1100)&amp;"|",F_Custom1_wrapped)),1,0),0))</f>
        <v>1</v>
      </c>
      <c r="E1101">
        <f>IF(OR(F_Custom2_Q="(None)",F_Custom2_Q="",ISBLANK(F_Custom2_Q),F_Custom2_V="(All)",F_Custom2_V="",ISBLANK(F_Custom2_V)),1,IFERROR(IF(ISNUMBER(SEARCH("|"&amp;INDEX(INDIRECT(F_Custom2_resolved_column),1100)&amp;"|",F_Custom2_wrapped)),1,0),0))</f>
        <v>1</v>
      </c>
      <c r="F1101">
        <f>D1101*E1101*1</f>
        <v>1</v>
      </c>
      <c r="G1101">
        <f>1</f>
        <v>1</v>
      </c>
      <c r="H11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1100)&amp;"|",All_Questions_Q_STREAM_F_wrapped)),1,0),0))*1</f>
        <v>1</v>
      </c>
    </row>
    <row r="1102">
      <c r="A1102" t="n">
        <v>1101</v>
      </c>
      <c r="B1102" t="inlineStr">
        <is>
          <t>A</t>
        </is>
      </c>
      <c r="C1102">
        <f>1</f>
        <v>1</v>
      </c>
      <c r="D1102">
        <f>IF(OR(F_Custom1_Q="(None)",F_Custom1_Q="",ISBLANK(F_Custom1_Q),F_Custom1_V="(All)",F_Custom1_V="",ISBLANK(F_Custom1_V)),1,IFERROR(IF(ISNUMBER(SEARCH("|"&amp;INDEX(INDIRECT(F_Custom1_resolved_column),1101)&amp;"|",F_Custom1_wrapped)),1,0),0))</f>
        <v>1</v>
      </c>
      <c r="E1102">
        <f>IF(OR(F_Custom2_Q="(None)",F_Custom2_Q="",ISBLANK(F_Custom2_Q),F_Custom2_V="(All)",F_Custom2_V="",ISBLANK(F_Custom2_V)),1,IFERROR(IF(ISNUMBER(SEARCH("|"&amp;INDEX(INDIRECT(F_Custom2_resolved_column),1101)&amp;"|",F_Custom2_wrapped)),1,0),0))</f>
        <v>1</v>
      </c>
      <c r="F1102">
        <f>D1102*E1102*1</f>
        <v>1</v>
      </c>
      <c r="G1102">
        <f>1</f>
        <v>1</v>
      </c>
      <c r="H11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1101)&amp;"|",All_Questions_Q_STREAM_F_wrapped)),1,0),0))*1</f>
        <v>1</v>
      </c>
    </row>
    <row r="1103">
      <c r="A1103" t="n">
        <v>1102</v>
      </c>
      <c r="B1103" t="inlineStr">
        <is>
          <t>B</t>
        </is>
      </c>
      <c r="C1103">
        <f>1</f>
        <v>1</v>
      </c>
      <c r="D1103">
        <f>IF(OR(F_Custom1_Q="(None)",F_Custom1_Q="",ISBLANK(F_Custom1_Q),F_Custom1_V="(All)",F_Custom1_V="",ISBLANK(F_Custom1_V)),1,IFERROR(IF(ISNUMBER(SEARCH("|"&amp;INDEX(INDIRECT(F_Custom1_resolved_column),1102)&amp;"|",F_Custom1_wrapped)),1,0),0))</f>
        <v>1</v>
      </c>
      <c r="E1103">
        <f>IF(OR(F_Custom2_Q="(None)",F_Custom2_Q="",ISBLANK(F_Custom2_Q),F_Custom2_V="(All)",F_Custom2_V="",ISBLANK(F_Custom2_V)),1,IFERROR(IF(ISNUMBER(SEARCH("|"&amp;INDEX(INDIRECT(F_Custom2_resolved_column),1102)&amp;"|",F_Custom2_wrapped)),1,0),0))</f>
        <v>1</v>
      </c>
      <c r="F1103">
        <f>D1103*E1103*1</f>
        <v>1</v>
      </c>
      <c r="G1103">
        <f>1</f>
        <v>1</v>
      </c>
      <c r="H11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1102)&amp;"|",All_Questions_Q_STREAM_F_wrapped)),1,0),0))*1</f>
        <v>1</v>
      </c>
    </row>
    <row r="1104">
      <c r="A1104" t="n">
        <v>1103</v>
      </c>
      <c r="B1104" t="inlineStr">
        <is>
          <t>A</t>
        </is>
      </c>
      <c r="C1104">
        <f>1</f>
        <v>1</v>
      </c>
      <c r="D1104">
        <f>IF(OR(F_Custom1_Q="(None)",F_Custom1_Q="",ISBLANK(F_Custom1_Q),F_Custom1_V="(All)",F_Custom1_V="",ISBLANK(F_Custom1_V)),1,IFERROR(IF(ISNUMBER(SEARCH("|"&amp;INDEX(INDIRECT(F_Custom1_resolved_column),1103)&amp;"|",F_Custom1_wrapped)),1,0),0))</f>
        <v>1</v>
      </c>
      <c r="E1104">
        <f>IF(OR(F_Custom2_Q="(None)",F_Custom2_Q="",ISBLANK(F_Custom2_Q),F_Custom2_V="(All)",F_Custom2_V="",ISBLANK(F_Custom2_V)),1,IFERROR(IF(ISNUMBER(SEARCH("|"&amp;INDEX(INDIRECT(F_Custom2_resolved_column),1103)&amp;"|",F_Custom2_wrapped)),1,0),0))</f>
        <v>1</v>
      </c>
      <c r="F1104">
        <f>D1104*E1104*1</f>
        <v>1</v>
      </c>
      <c r="G1104">
        <f>1</f>
        <v>1</v>
      </c>
      <c r="H11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1103)&amp;"|",All_Questions_Q_STREAM_F_wrapped)),1,0),0))*1</f>
        <v>1</v>
      </c>
    </row>
    <row r="1105">
      <c r="A1105" t="n">
        <v>1104</v>
      </c>
      <c r="B1105" t="inlineStr">
        <is>
          <t>B</t>
        </is>
      </c>
      <c r="C1105">
        <f>1</f>
        <v>1</v>
      </c>
      <c r="D1105">
        <f>IF(OR(F_Custom1_Q="(None)",F_Custom1_Q="",ISBLANK(F_Custom1_Q),F_Custom1_V="(All)",F_Custom1_V="",ISBLANK(F_Custom1_V)),1,IFERROR(IF(ISNUMBER(SEARCH("|"&amp;INDEX(INDIRECT(F_Custom1_resolved_column),1104)&amp;"|",F_Custom1_wrapped)),1,0),0))</f>
        <v>1</v>
      </c>
      <c r="E1105">
        <f>IF(OR(F_Custom2_Q="(None)",F_Custom2_Q="",ISBLANK(F_Custom2_Q),F_Custom2_V="(All)",F_Custom2_V="",ISBLANK(F_Custom2_V)),1,IFERROR(IF(ISNUMBER(SEARCH("|"&amp;INDEX(INDIRECT(F_Custom2_resolved_column),1104)&amp;"|",F_Custom2_wrapped)),1,0),0))</f>
        <v>1</v>
      </c>
      <c r="F1105">
        <f>D1105*E1105*1</f>
        <v>1</v>
      </c>
      <c r="G1105">
        <f>1</f>
        <v>1</v>
      </c>
      <c r="H11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1104)&amp;"|",All_Questions_Q_STREAM_F_wrapped)),1,0),0))*1</f>
        <v>1</v>
      </c>
    </row>
    <row r="1106">
      <c r="A1106" t="n">
        <v>1105</v>
      </c>
      <c r="B1106" t="inlineStr">
        <is>
          <t>A</t>
        </is>
      </c>
      <c r="C1106">
        <f>1</f>
        <v>1</v>
      </c>
      <c r="D1106">
        <f>IF(OR(F_Custom1_Q="(None)",F_Custom1_Q="",ISBLANK(F_Custom1_Q),F_Custom1_V="(All)",F_Custom1_V="",ISBLANK(F_Custom1_V)),1,IFERROR(IF(ISNUMBER(SEARCH("|"&amp;INDEX(INDIRECT(F_Custom1_resolved_column),1105)&amp;"|",F_Custom1_wrapped)),1,0),0))</f>
        <v>1</v>
      </c>
      <c r="E1106">
        <f>IF(OR(F_Custom2_Q="(None)",F_Custom2_Q="",ISBLANK(F_Custom2_Q),F_Custom2_V="(All)",F_Custom2_V="",ISBLANK(F_Custom2_V)),1,IFERROR(IF(ISNUMBER(SEARCH("|"&amp;INDEX(INDIRECT(F_Custom2_resolved_column),1105)&amp;"|",F_Custom2_wrapped)),1,0),0))</f>
        <v>1</v>
      </c>
      <c r="F1106">
        <f>D1106*E1106*1</f>
        <v>1</v>
      </c>
      <c r="G1106">
        <f>1</f>
        <v>1</v>
      </c>
      <c r="H11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1105)&amp;"|",All_Questions_Q_STREAM_F_wrapped)),1,0),0))*1</f>
        <v>1</v>
      </c>
    </row>
    <row r="1107">
      <c r="A1107" t="n">
        <v>1106</v>
      </c>
      <c r="B1107" t="inlineStr">
        <is>
          <t>B</t>
        </is>
      </c>
      <c r="C1107">
        <f>1</f>
        <v>1</v>
      </c>
      <c r="D1107">
        <f>IF(OR(F_Custom1_Q="(None)",F_Custom1_Q="",ISBLANK(F_Custom1_Q),F_Custom1_V="(All)",F_Custom1_V="",ISBLANK(F_Custom1_V)),1,IFERROR(IF(ISNUMBER(SEARCH("|"&amp;INDEX(INDIRECT(F_Custom1_resolved_column),1106)&amp;"|",F_Custom1_wrapped)),1,0),0))</f>
        <v>1</v>
      </c>
      <c r="E1107">
        <f>IF(OR(F_Custom2_Q="(None)",F_Custom2_Q="",ISBLANK(F_Custom2_Q),F_Custom2_V="(All)",F_Custom2_V="",ISBLANK(F_Custom2_V)),1,IFERROR(IF(ISNUMBER(SEARCH("|"&amp;INDEX(INDIRECT(F_Custom2_resolved_column),1106)&amp;"|",F_Custom2_wrapped)),1,0),0))</f>
        <v>1</v>
      </c>
      <c r="F1107">
        <f>D1107*E1107*1</f>
        <v>1</v>
      </c>
      <c r="G1107">
        <f>1</f>
        <v>1</v>
      </c>
      <c r="H11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1106)&amp;"|",All_Questions_Q_STREAM_F_wrapped)),1,0),0))*1</f>
        <v>1</v>
      </c>
    </row>
    <row r="1108">
      <c r="A1108" t="n">
        <v>1107</v>
      </c>
      <c r="B1108" t="inlineStr">
        <is>
          <t>A</t>
        </is>
      </c>
      <c r="C1108">
        <f>1</f>
        <v>1</v>
      </c>
      <c r="D1108">
        <f>IF(OR(F_Custom1_Q="(None)",F_Custom1_Q="",ISBLANK(F_Custom1_Q),F_Custom1_V="(All)",F_Custom1_V="",ISBLANK(F_Custom1_V)),1,IFERROR(IF(ISNUMBER(SEARCH("|"&amp;INDEX(INDIRECT(F_Custom1_resolved_column),1107)&amp;"|",F_Custom1_wrapped)),1,0),0))</f>
        <v>1</v>
      </c>
      <c r="E1108">
        <f>IF(OR(F_Custom2_Q="(None)",F_Custom2_Q="",ISBLANK(F_Custom2_Q),F_Custom2_V="(All)",F_Custom2_V="",ISBLANK(F_Custom2_V)),1,IFERROR(IF(ISNUMBER(SEARCH("|"&amp;INDEX(INDIRECT(F_Custom2_resolved_column),1107)&amp;"|",F_Custom2_wrapped)),1,0),0))</f>
        <v>1</v>
      </c>
      <c r="F1108">
        <f>D1108*E1108*1</f>
        <v>1</v>
      </c>
      <c r="G1108">
        <f>1</f>
        <v>1</v>
      </c>
      <c r="H11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1107)&amp;"|",All_Questions_Q_STREAM_F_wrapped)),1,0),0))*1</f>
        <v>1</v>
      </c>
    </row>
    <row r="1109">
      <c r="A1109" t="n">
        <v>1108</v>
      </c>
      <c r="B1109" t="inlineStr">
        <is>
          <t>B</t>
        </is>
      </c>
      <c r="C1109">
        <f>1</f>
        <v>1</v>
      </c>
      <c r="D1109">
        <f>IF(OR(F_Custom1_Q="(None)",F_Custom1_Q="",ISBLANK(F_Custom1_Q),F_Custom1_V="(All)",F_Custom1_V="",ISBLANK(F_Custom1_V)),1,IFERROR(IF(ISNUMBER(SEARCH("|"&amp;INDEX(INDIRECT(F_Custom1_resolved_column),1108)&amp;"|",F_Custom1_wrapped)),1,0),0))</f>
        <v>1</v>
      </c>
      <c r="E1109">
        <f>IF(OR(F_Custom2_Q="(None)",F_Custom2_Q="",ISBLANK(F_Custom2_Q),F_Custom2_V="(All)",F_Custom2_V="",ISBLANK(F_Custom2_V)),1,IFERROR(IF(ISNUMBER(SEARCH("|"&amp;INDEX(INDIRECT(F_Custom2_resolved_column),1108)&amp;"|",F_Custom2_wrapped)),1,0),0))</f>
        <v>1</v>
      </c>
      <c r="F1109">
        <f>D1109*E1109*1</f>
        <v>1</v>
      </c>
      <c r="G1109">
        <f>1</f>
        <v>1</v>
      </c>
      <c r="H11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1108)&amp;"|",All_Questions_Q_STREAM_F_wrapped)),1,0),0))*1</f>
        <v>1</v>
      </c>
    </row>
    <row r="1110">
      <c r="A1110" t="n">
        <v>1109</v>
      </c>
      <c r="B1110" t="inlineStr">
        <is>
          <t>A</t>
        </is>
      </c>
      <c r="C1110">
        <f>1</f>
        <v>1</v>
      </c>
      <c r="D1110">
        <f>IF(OR(F_Custom1_Q="(None)",F_Custom1_Q="",ISBLANK(F_Custom1_Q),F_Custom1_V="(All)",F_Custom1_V="",ISBLANK(F_Custom1_V)),1,IFERROR(IF(ISNUMBER(SEARCH("|"&amp;INDEX(INDIRECT(F_Custom1_resolved_column),1109)&amp;"|",F_Custom1_wrapped)),1,0),0))</f>
        <v>1</v>
      </c>
      <c r="E1110">
        <f>IF(OR(F_Custom2_Q="(None)",F_Custom2_Q="",ISBLANK(F_Custom2_Q),F_Custom2_V="(All)",F_Custom2_V="",ISBLANK(F_Custom2_V)),1,IFERROR(IF(ISNUMBER(SEARCH("|"&amp;INDEX(INDIRECT(F_Custom2_resolved_column),1109)&amp;"|",F_Custom2_wrapped)),1,0),0))</f>
        <v>1</v>
      </c>
      <c r="F1110">
        <f>D1110*E1110*1</f>
        <v>1</v>
      </c>
      <c r="G1110">
        <f>1</f>
        <v>1</v>
      </c>
      <c r="H11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1109)&amp;"|",All_Questions_Q_STREAM_F_wrapped)),1,0),0))*1</f>
        <v>1</v>
      </c>
    </row>
    <row r="1111">
      <c r="A1111" t="n">
        <v>1110</v>
      </c>
      <c r="B1111" t="inlineStr">
        <is>
          <t>B</t>
        </is>
      </c>
      <c r="C1111">
        <f>1</f>
        <v>1</v>
      </c>
      <c r="D1111">
        <f>IF(OR(F_Custom1_Q="(None)",F_Custom1_Q="",ISBLANK(F_Custom1_Q),F_Custom1_V="(All)",F_Custom1_V="",ISBLANK(F_Custom1_V)),1,IFERROR(IF(ISNUMBER(SEARCH("|"&amp;INDEX(INDIRECT(F_Custom1_resolved_column),1110)&amp;"|",F_Custom1_wrapped)),1,0),0))</f>
        <v>1</v>
      </c>
      <c r="E1111">
        <f>IF(OR(F_Custom2_Q="(None)",F_Custom2_Q="",ISBLANK(F_Custom2_Q),F_Custom2_V="(All)",F_Custom2_V="",ISBLANK(F_Custom2_V)),1,IFERROR(IF(ISNUMBER(SEARCH("|"&amp;INDEX(INDIRECT(F_Custom2_resolved_column),1110)&amp;"|",F_Custom2_wrapped)),1,0),0))</f>
        <v>1</v>
      </c>
      <c r="F1111">
        <f>D1111*E1111*1</f>
        <v>1</v>
      </c>
      <c r="G1111">
        <f>1</f>
        <v>1</v>
      </c>
      <c r="H11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1110)&amp;"|",All_Questions_Q_STREAM_F_wrapped)),1,0),0))*1</f>
        <v>1</v>
      </c>
    </row>
    <row r="1112">
      <c r="A1112" t="n">
        <v>1111</v>
      </c>
      <c r="B1112" t="inlineStr">
        <is>
          <t>A</t>
        </is>
      </c>
      <c r="C1112">
        <f>1</f>
        <v>1</v>
      </c>
      <c r="D1112">
        <f>IF(OR(F_Custom1_Q="(None)",F_Custom1_Q="",ISBLANK(F_Custom1_Q),F_Custom1_V="(All)",F_Custom1_V="",ISBLANK(F_Custom1_V)),1,IFERROR(IF(ISNUMBER(SEARCH("|"&amp;INDEX(INDIRECT(F_Custom1_resolved_column),1111)&amp;"|",F_Custom1_wrapped)),1,0),0))</f>
        <v>1</v>
      </c>
      <c r="E1112">
        <f>IF(OR(F_Custom2_Q="(None)",F_Custom2_Q="",ISBLANK(F_Custom2_Q),F_Custom2_V="(All)",F_Custom2_V="",ISBLANK(F_Custom2_V)),1,IFERROR(IF(ISNUMBER(SEARCH("|"&amp;INDEX(INDIRECT(F_Custom2_resolved_column),1111)&amp;"|",F_Custom2_wrapped)),1,0),0))</f>
        <v>1</v>
      </c>
      <c r="F1112">
        <f>D1112*E1112*1</f>
        <v>1</v>
      </c>
      <c r="G1112">
        <f>1</f>
        <v>1</v>
      </c>
      <c r="H11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1111)&amp;"|",All_Questions_Q_STREAM_F_wrapped)),1,0),0))*1</f>
        <v>1</v>
      </c>
    </row>
    <row r="1113">
      <c r="A1113" t="n">
        <v>1112</v>
      </c>
      <c r="B1113" t="inlineStr">
        <is>
          <t>B</t>
        </is>
      </c>
      <c r="C1113">
        <f>1</f>
        <v>1</v>
      </c>
      <c r="D1113">
        <f>IF(OR(F_Custom1_Q="(None)",F_Custom1_Q="",ISBLANK(F_Custom1_Q),F_Custom1_V="(All)",F_Custom1_V="",ISBLANK(F_Custom1_V)),1,IFERROR(IF(ISNUMBER(SEARCH("|"&amp;INDEX(INDIRECT(F_Custom1_resolved_column),1112)&amp;"|",F_Custom1_wrapped)),1,0),0))</f>
        <v>1</v>
      </c>
      <c r="E1113">
        <f>IF(OR(F_Custom2_Q="(None)",F_Custom2_Q="",ISBLANK(F_Custom2_Q),F_Custom2_V="(All)",F_Custom2_V="",ISBLANK(F_Custom2_V)),1,IFERROR(IF(ISNUMBER(SEARCH("|"&amp;INDEX(INDIRECT(F_Custom2_resolved_column),1112)&amp;"|",F_Custom2_wrapped)),1,0),0))</f>
        <v>1</v>
      </c>
      <c r="F1113">
        <f>D1113*E1113*1</f>
        <v>1</v>
      </c>
      <c r="G1113">
        <f>1</f>
        <v>1</v>
      </c>
      <c r="H11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1112)&amp;"|",All_Questions_Q_STREAM_F_wrapped)),1,0),0))*1</f>
        <v>1</v>
      </c>
    </row>
    <row r="1114">
      <c r="A1114" t="n">
        <v>1113</v>
      </c>
      <c r="B1114" t="inlineStr">
        <is>
          <t>A</t>
        </is>
      </c>
      <c r="C1114">
        <f>1</f>
        <v>1</v>
      </c>
      <c r="D1114">
        <f>IF(OR(F_Custom1_Q="(None)",F_Custom1_Q="",ISBLANK(F_Custom1_Q),F_Custom1_V="(All)",F_Custom1_V="",ISBLANK(F_Custom1_V)),1,IFERROR(IF(ISNUMBER(SEARCH("|"&amp;INDEX(INDIRECT(F_Custom1_resolved_column),1113)&amp;"|",F_Custom1_wrapped)),1,0),0))</f>
        <v>1</v>
      </c>
      <c r="E1114">
        <f>IF(OR(F_Custom2_Q="(None)",F_Custom2_Q="",ISBLANK(F_Custom2_Q),F_Custom2_V="(All)",F_Custom2_V="",ISBLANK(F_Custom2_V)),1,IFERROR(IF(ISNUMBER(SEARCH("|"&amp;INDEX(INDIRECT(F_Custom2_resolved_column),1113)&amp;"|",F_Custom2_wrapped)),1,0),0))</f>
        <v>1</v>
      </c>
      <c r="F1114">
        <f>D1114*E1114*1</f>
        <v>1</v>
      </c>
      <c r="G1114">
        <f>1</f>
        <v>1</v>
      </c>
      <c r="H11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1113)&amp;"|",All_Questions_Q_STREAM_F_wrapped)),1,0),0))*1</f>
        <v>1</v>
      </c>
    </row>
    <row r="1115">
      <c r="A1115" t="n">
        <v>1114</v>
      </c>
      <c r="B1115" t="inlineStr">
        <is>
          <t>B</t>
        </is>
      </c>
      <c r="C1115">
        <f>1</f>
        <v>1</v>
      </c>
      <c r="D1115">
        <f>IF(OR(F_Custom1_Q="(None)",F_Custom1_Q="",ISBLANK(F_Custom1_Q),F_Custom1_V="(All)",F_Custom1_V="",ISBLANK(F_Custom1_V)),1,IFERROR(IF(ISNUMBER(SEARCH("|"&amp;INDEX(INDIRECT(F_Custom1_resolved_column),1114)&amp;"|",F_Custom1_wrapped)),1,0),0))</f>
        <v>1</v>
      </c>
      <c r="E1115">
        <f>IF(OR(F_Custom2_Q="(None)",F_Custom2_Q="",ISBLANK(F_Custom2_Q),F_Custom2_V="(All)",F_Custom2_V="",ISBLANK(F_Custom2_V)),1,IFERROR(IF(ISNUMBER(SEARCH("|"&amp;INDEX(INDIRECT(F_Custom2_resolved_column),1114)&amp;"|",F_Custom2_wrapped)),1,0),0))</f>
        <v>1</v>
      </c>
      <c r="F1115">
        <f>D1115*E1115*1</f>
        <v>1</v>
      </c>
      <c r="G1115">
        <f>1</f>
        <v>1</v>
      </c>
      <c r="H11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1114)&amp;"|",All_Questions_Q_STREAM_F_wrapped)),1,0),0))*1</f>
        <v>1</v>
      </c>
    </row>
    <row r="1116">
      <c r="A1116" t="n">
        <v>1115</v>
      </c>
      <c r="B1116" t="inlineStr">
        <is>
          <t>A</t>
        </is>
      </c>
      <c r="C1116">
        <f>1</f>
        <v>1</v>
      </c>
      <c r="D1116">
        <f>IF(OR(F_Custom1_Q="(None)",F_Custom1_Q="",ISBLANK(F_Custom1_Q),F_Custom1_V="(All)",F_Custom1_V="",ISBLANK(F_Custom1_V)),1,IFERROR(IF(ISNUMBER(SEARCH("|"&amp;INDEX(INDIRECT(F_Custom1_resolved_column),1115)&amp;"|",F_Custom1_wrapped)),1,0),0))</f>
        <v>1</v>
      </c>
      <c r="E1116">
        <f>IF(OR(F_Custom2_Q="(None)",F_Custom2_Q="",ISBLANK(F_Custom2_Q),F_Custom2_V="(All)",F_Custom2_V="",ISBLANK(F_Custom2_V)),1,IFERROR(IF(ISNUMBER(SEARCH("|"&amp;INDEX(INDIRECT(F_Custom2_resolved_column),1115)&amp;"|",F_Custom2_wrapped)),1,0),0))</f>
        <v>1</v>
      </c>
      <c r="F1116">
        <f>D1116*E1116*1</f>
        <v>1</v>
      </c>
      <c r="G1116">
        <f>1</f>
        <v>1</v>
      </c>
      <c r="H11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1115)&amp;"|",All_Questions_Q_STREAM_F_wrapped)),1,0),0))*1</f>
        <v>1</v>
      </c>
    </row>
    <row r="1117">
      <c r="A1117" t="n">
        <v>1116</v>
      </c>
      <c r="B1117" t="inlineStr">
        <is>
          <t>B</t>
        </is>
      </c>
      <c r="C1117">
        <f>1</f>
        <v>1</v>
      </c>
      <c r="D1117">
        <f>IF(OR(F_Custom1_Q="(None)",F_Custom1_Q="",ISBLANK(F_Custom1_Q),F_Custom1_V="(All)",F_Custom1_V="",ISBLANK(F_Custom1_V)),1,IFERROR(IF(ISNUMBER(SEARCH("|"&amp;INDEX(INDIRECT(F_Custom1_resolved_column),1116)&amp;"|",F_Custom1_wrapped)),1,0),0))</f>
        <v>1</v>
      </c>
      <c r="E1117">
        <f>IF(OR(F_Custom2_Q="(None)",F_Custom2_Q="",ISBLANK(F_Custom2_Q),F_Custom2_V="(All)",F_Custom2_V="",ISBLANK(F_Custom2_V)),1,IFERROR(IF(ISNUMBER(SEARCH("|"&amp;INDEX(INDIRECT(F_Custom2_resolved_column),1116)&amp;"|",F_Custom2_wrapped)),1,0),0))</f>
        <v>1</v>
      </c>
      <c r="F1117">
        <f>D1117*E1117*1</f>
        <v>1</v>
      </c>
      <c r="G1117">
        <f>1</f>
        <v>1</v>
      </c>
      <c r="H11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1116)&amp;"|",All_Questions_Q_STREAM_F_wrapped)),1,0),0))*1</f>
        <v>1</v>
      </c>
    </row>
    <row r="1118">
      <c r="A1118" t="n">
        <v>1117</v>
      </c>
      <c r="B1118" t="inlineStr">
        <is>
          <t>A</t>
        </is>
      </c>
      <c r="C1118">
        <f>1</f>
        <v>1</v>
      </c>
      <c r="D1118">
        <f>IF(OR(F_Custom1_Q="(None)",F_Custom1_Q="",ISBLANK(F_Custom1_Q),F_Custom1_V="(All)",F_Custom1_V="",ISBLANK(F_Custom1_V)),1,IFERROR(IF(ISNUMBER(SEARCH("|"&amp;INDEX(INDIRECT(F_Custom1_resolved_column),1117)&amp;"|",F_Custom1_wrapped)),1,0),0))</f>
        <v>1</v>
      </c>
      <c r="E1118">
        <f>IF(OR(F_Custom2_Q="(None)",F_Custom2_Q="",ISBLANK(F_Custom2_Q),F_Custom2_V="(All)",F_Custom2_V="",ISBLANK(F_Custom2_V)),1,IFERROR(IF(ISNUMBER(SEARCH("|"&amp;INDEX(INDIRECT(F_Custom2_resolved_column),1117)&amp;"|",F_Custom2_wrapped)),1,0),0))</f>
        <v>1</v>
      </c>
      <c r="F1118">
        <f>D1118*E1118*1</f>
        <v>1</v>
      </c>
      <c r="G1118">
        <f>1</f>
        <v>1</v>
      </c>
      <c r="H11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1117)&amp;"|",All_Questions_Q_STREAM_F_wrapped)),1,0),0))*1</f>
        <v>1</v>
      </c>
    </row>
    <row r="1119">
      <c r="A1119" t="n">
        <v>1118</v>
      </c>
      <c r="B1119" t="inlineStr">
        <is>
          <t>B</t>
        </is>
      </c>
      <c r="C1119">
        <f>1</f>
        <v>1</v>
      </c>
      <c r="D1119">
        <f>IF(OR(F_Custom1_Q="(None)",F_Custom1_Q="",ISBLANK(F_Custom1_Q),F_Custom1_V="(All)",F_Custom1_V="",ISBLANK(F_Custom1_V)),1,IFERROR(IF(ISNUMBER(SEARCH("|"&amp;INDEX(INDIRECT(F_Custom1_resolved_column),1118)&amp;"|",F_Custom1_wrapped)),1,0),0))</f>
        <v>1</v>
      </c>
      <c r="E1119">
        <f>IF(OR(F_Custom2_Q="(None)",F_Custom2_Q="",ISBLANK(F_Custom2_Q),F_Custom2_V="(All)",F_Custom2_V="",ISBLANK(F_Custom2_V)),1,IFERROR(IF(ISNUMBER(SEARCH("|"&amp;INDEX(INDIRECT(F_Custom2_resolved_column),1118)&amp;"|",F_Custom2_wrapped)),1,0),0))</f>
        <v>1</v>
      </c>
      <c r="F1119">
        <f>D1119*E1119*1</f>
        <v>1</v>
      </c>
      <c r="G1119">
        <f>1</f>
        <v>1</v>
      </c>
      <c r="H11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1118)&amp;"|",All_Questions_Q_STREAM_F_wrapped)),1,0),0))*1</f>
        <v>1</v>
      </c>
    </row>
    <row r="1120">
      <c r="A1120" t="n">
        <v>1119</v>
      </c>
      <c r="B1120" t="inlineStr">
        <is>
          <t>A</t>
        </is>
      </c>
      <c r="C1120">
        <f>1</f>
        <v>1</v>
      </c>
      <c r="D1120">
        <f>IF(OR(F_Custom1_Q="(None)",F_Custom1_Q="",ISBLANK(F_Custom1_Q),F_Custom1_V="(All)",F_Custom1_V="",ISBLANK(F_Custom1_V)),1,IFERROR(IF(ISNUMBER(SEARCH("|"&amp;INDEX(INDIRECT(F_Custom1_resolved_column),1119)&amp;"|",F_Custom1_wrapped)),1,0),0))</f>
        <v>1</v>
      </c>
      <c r="E1120">
        <f>IF(OR(F_Custom2_Q="(None)",F_Custom2_Q="",ISBLANK(F_Custom2_Q),F_Custom2_V="(All)",F_Custom2_V="",ISBLANK(F_Custom2_V)),1,IFERROR(IF(ISNUMBER(SEARCH("|"&amp;INDEX(INDIRECT(F_Custom2_resolved_column),1119)&amp;"|",F_Custom2_wrapped)),1,0),0))</f>
        <v>1</v>
      </c>
      <c r="F1120">
        <f>D1120*E1120*1</f>
        <v>1</v>
      </c>
      <c r="G1120">
        <f>1</f>
        <v>1</v>
      </c>
      <c r="H11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1119)&amp;"|",All_Questions_Q_STREAM_F_wrapped)),1,0),0))*1</f>
        <v>1</v>
      </c>
    </row>
    <row r="1121">
      <c r="A1121" t="n">
        <v>1120</v>
      </c>
      <c r="B1121" t="inlineStr">
        <is>
          <t>B</t>
        </is>
      </c>
      <c r="C1121">
        <f>1</f>
        <v>1</v>
      </c>
      <c r="D1121">
        <f>IF(OR(F_Custom1_Q="(None)",F_Custom1_Q="",ISBLANK(F_Custom1_Q),F_Custom1_V="(All)",F_Custom1_V="",ISBLANK(F_Custom1_V)),1,IFERROR(IF(ISNUMBER(SEARCH("|"&amp;INDEX(INDIRECT(F_Custom1_resolved_column),1120)&amp;"|",F_Custom1_wrapped)),1,0),0))</f>
        <v>1</v>
      </c>
      <c r="E1121">
        <f>IF(OR(F_Custom2_Q="(None)",F_Custom2_Q="",ISBLANK(F_Custom2_Q),F_Custom2_V="(All)",F_Custom2_V="",ISBLANK(F_Custom2_V)),1,IFERROR(IF(ISNUMBER(SEARCH("|"&amp;INDEX(INDIRECT(F_Custom2_resolved_column),1120)&amp;"|",F_Custom2_wrapped)),1,0),0))</f>
        <v>1</v>
      </c>
      <c r="F1121">
        <f>D1121*E1121*1</f>
        <v>1</v>
      </c>
      <c r="G1121">
        <f>1</f>
        <v>1</v>
      </c>
      <c r="H11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1120)&amp;"|",All_Questions_Q_STREAM_F_wrapped)),1,0),0))*1</f>
        <v>1</v>
      </c>
    </row>
    <row r="1122">
      <c r="A1122" t="n">
        <v>1121</v>
      </c>
      <c r="B1122" t="inlineStr">
        <is>
          <t>A</t>
        </is>
      </c>
      <c r="C1122">
        <f>1</f>
        <v>1</v>
      </c>
      <c r="D1122">
        <f>IF(OR(F_Custom1_Q="(None)",F_Custom1_Q="",ISBLANK(F_Custom1_Q),F_Custom1_V="(All)",F_Custom1_V="",ISBLANK(F_Custom1_V)),1,IFERROR(IF(ISNUMBER(SEARCH("|"&amp;INDEX(INDIRECT(F_Custom1_resolved_column),1121)&amp;"|",F_Custom1_wrapped)),1,0),0))</f>
        <v>1</v>
      </c>
      <c r="E1122">
        <f>IF(OR(F_Custom2_Q="(None)",F_Custom2_Q="",ISBLANK(F_Custom2_Q),F_Custom2_V="(All)",F_Custom2_V="",ISBLANK(F_Custom2_V)),1,IFERROR(IF(ISNUMBER(SEARCH("|"&amp;INDEX(INDIRECT(F_Custom2_resolved_column),1121)&amp;"|",F_Custom2_wrapped)),1,0),0))</f>
        <v>1</v>
      </c>
      <c r="F1122">
        <f>D1122*E1122*1</f>
        <v>1</v>
      </c>
      <c r="G1122">
        <f>1</f>
        <v>1</v>
      </c>
      <c r="H11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1121)&amp;"|",All_Questions_Q_STREAM_F_wrapped)),1,0),0))*1</f>
        <v>1</v>
      </c>
    </row>
    <row r="1123">
      <c r="A1123" t="n">
        <v>1122</v>
      </c>
      <c r="B1123" t="inlineStr">
        <is>
          <t>B</t>
        </is>
      </c>
      <c r="C1123">
        <f>1</f>
        <v>1</v>
      </c>
      <c r="D1123">
        <f>IF(OR(F_Custom1_Q="(None)",F_Custom1_Q="",ISBLANK(F_Custom1_Q),F_Custom1_V="(All)",F_Custom1_V="",ISBLANK(F_Custom1_V)),1,IFERROR(IF(ISNUMBER(SEARCH("|"&amp;INDEX(INDIRECT(F_Custom1_resolved_column),1122)&amp;"|",F_Custom1_wrapped)),1,0),0))</f>
        <v>1</v>
      </c>
      <c r="E1123">
        <f>IF(OR(F_Custom2_Q="(None)",F_Custom2_Q="",ISBLANK(F_Custom2_Q),F_Custom2_V="(All)",F_Custom2_V="",ISBLANK(F_Custom2_V)),1,IFERROR(IF(ISNUMBER(SEARCH("|"&amp;INDEX(INDIRECT(F_Custom2_resolved_column),1122)&amp;"|",F_Custom2_wrapped)),1,0),0))</f>
        <v>1</v>
      </c>
      <c r="F1123">
        <f>D1123*E1123*1</f>
        <v>1</v>
      </c>
      <c r="G1123">
        <f>1</f>
        <v>1</v>
      </c>
      <c r="H11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1122)&amp;"|",All_Questions_Q_STREAM_F_wrapped)),1,0),0))*1</f>
        <v>1</v>
      </c>
    </row>
    <row r="1124">
      <c r="A1124" t="n">
        <v>1123</v>
      </c>
      <c r="B1124" t="inlineStr">
        <is>
          <t>A</t>
        </is>
      </c>
      <c r="C1124">
        <f>1</f>
        <v>1</v>
      </c>
      <c r="D1124">
        <f>IF(OR(F_Custom1_Q="(None)",F_Custom1_Q="",ISBLANK(F_Custom1_Q),F_Custom1_V="(All)",F_Custom1_V="",ISBLANK(F_Custom1_V)),1,IFERROR(IF(ISNUMBER(SEARCH("|"&amp;INDEX(INDIRECT(F_Custom1_resolved_column),1123)&amp;"|",F_Custom1_wrapped)),1,0),0))</f>
        <v>1</v>
      </c>
      <c r="E1124">
        <f>IF(OR(F_Custom2_Q="(None)",F_Custom2_Q="",ISBLANK(F_Custom2_Q),F_Custom2_V="(All)",F_Custom2_V="",ISBLANK(F_Custom2_V)),1,IFERROR(IF(ISNUMBER(SEARCH("|"&amp;INDEX(INDIRECT(F_Custom2_resolved_column),1123)&amp;"|",F_Custom2_wrapped)),1,0),0))</f>
        <v>1</v>
      </c>
      <c r="F1124">
        <f>D1124*E1124*1</f>
        <v>1</v>
      </c>
      <c r="G1124">
        <f>1</f>
        <v>1</v>
      </c>
      <c r="H11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1123)&amp;"|",All_Questions_Q_STREAM_F_wrapped)),1,0),0))*1</f>
        <v>1</v>
      </c>
    </row>
    <row r="1125">
      <c r="A1125" t="n">
        <v>1124</v>
      </c>
      <c r="B1125" t="inlineStr">
        <is>
          <t>B</t>
        </is>
      </c>
      <c r="C1125">
        <f>1</f>
        <v>1</v>
      </c>
      <c r="D1125">
        <f>IF(OR(F_Custom1_Q="(None)",F_Custom1_Q="",ISBLANK(F_Custom1_Q),F_Custom1_V="(All)",F_Custom1_V="",ISBLANK(F_Custom1_V)),1,IFERROR(IF(ISNUMBER(SEARCH("|"&amp;INDEX(INDIRECT(F_Custom1_resolved_column),1124)&amp;"|",F_Custom1_wrapped)),1,0),0))</f>
        <v>1</v>
      </c>
      <c r="E1125">
        <f>IF(OR(F_Custom2_Q="(None)",F_Custom2_Q="",ISBLANK(F_Custom2_Q),F_Custom2_V="(All)",F_Custom2_V="",ISBLANK(F_Custom2_V)),1,IFERROR(IF(ISNUMBER(SEARCH("|"&amp;INDEX(INDIRECT(F_Custom2_resolved_column),1124)&amp;"|",F_Custom2_wrapped)),1,0),0))</f>
        <v>1</v>
      </c>
      <c r="F1125">
        <f>D1125*E1125*1</f>
        <v>1</v>
      </c>
      <c r="G1125">
        <f>1</f>
        <v>1</v>
      </c>
      <c r="H11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1124)&amp;"|",All_Questions_Q_STREAM_F_wrapped)),1,0),0))*1</f>
        <v>1</v>
      </c>
    </row>
    <row r="1126">
      <c r="A1126" t="n">
        <v>1125</v>
      </c>
      <c r="B1126" t="inlineStr">
        <is>
          <t>A</t>
        </is>
      </c>
      <c r="C1126">
        <f>1</f>
        <v>1</v>
      </c>
      <c r="D1126">
        <f>IF(OR(F_Custom1_Q="(None)",F_Custom1_Q="",ISBLANK(F_Custom1_Q),F_Custom1_V="(All)",F_Custom1_V="",ISBLANK(F_Custom1_V)),1,IFERROR(IF(ISNUMBER(SEARCH("|"&amp;INDEX(INDIRECT(F_Custom1_resolved_column),1125)&amp;"|",F_Custom1_wrapped)),1,0),0))</f>
        <v>1</v>
      </c>
      <c r="E1126">
        <f>IF(OR(F_Custom2_Q="(None)",F_Custom2_Q="",ISBLANK(F_Custom2_Q),F_Custom2_V="(All)",F_Custom2_V="",ISBLANK(F_Custom2_V)),1,IFERROR(IF(ISNUMBER(SEARCH("|"&amp;INDEX(INDIRECT(F_Custom2_resolved_column),1125)&amp;"|",F_Custom2_wrapped)),1,0),0))</f>
        <v>1</v>
      </c>
      <c r="F1126">
        <f>D1126*E1126*1</f>
        <v>1</v>
      </c>
      <c r="G1126">
        <f>1</f>
        <v>1</v>
      </c>
      <c r="H11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1125)&amp;"|",All_Questions_Q_STREAM_F_wrapped)),1,0),0))*1</f>
        <v>1</v>
      </c>
    </row>
    <row r="1127">
      <c r="A1127" t="n">
        <v>1126</v>
      </c>
      <c r="B1127" t="inlineStr">
        <is>
          <t>B</t>
        </is>
      </c>
      <c r="C1127">
        <f>1</f>
        <v>1</v>
      </c>
      <c r="D1127">
        <f>IF(OR(F_Custom1_Q="(None)",F_Custom1_Q="",ISBLANK(F_Custom1_Q),F_Custom1_V="(All)",F_Custom1_V="",ISBLANK(F_Custom1_V)),1,IFERROR(IF(ISNUMBER(SEARCH("|"&amp;INDEX(INDIRECT(F_Custom1_resolved_column),1126)&amp;"|",F_Custom1_wrapped)),1,0),0))</f>
        <v>1</v>
      </c>
      <c r="E1127">
        <f>IF(OR(F_Custom2_Q="(None)",F_Custom2_Q="",ISBLANK(F_Custom2_Q),F_Custom2_V="(All)",F_Custom2_V="",ISBLANK(F_Custom2_V)),1,IFERROR(IF(ISNUMBER(SEARCH("|"&amp;INDEX(INDIRECT(F_Custom2_resolved_column),1126)&amp;"|",F_Custom2_wrapped)),1,0),0))</f>
        <v>1</v>
      </c>
      <c r="F1127">
        <f>D1127*E1127*1</f>
        <v>1</v>
      </c>
      <c r="G1127">
        <f>1</f>
        <v>1</v>
      </c>
      <c r="H11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1126)&amp;"|",All_Questions_Q_STREAM_F_wrapped)),1,0),0))*1</f>
        <v>1</v>
      </c>
    </row>
    <row r="1128">
      <c r="A1128" t="n">
        <v>1127</v>
      </c>
      <c r="B1128" t="inlineStr">
        <is>
          <t>A</t>
        </is>
      </c>
      <c r="C1128">
        <f>1</f>
        <v>1</v>
      </c>
      <c r="D1128">
        <f>IF(OR(F_Custom1_Q="(None)",F_Custom1_Q="",ISBLANK(F_Custom1_Q),F_Custom1_V="(All)",F_Custom1_V="",ISBLANK(F_Custom1_V)),1,IFERROR(IF(ISNUMBER(SEARCH("|"&amp;INDEX(INDIRECT(F_Custom1_resolved_column),1127)&amp;"|",F_Custom1_wrapped)),1,0),0))</f>
        <v>1</v>
      </c>
      <c r="E1128">
        <f>IF(OR(F_Custom2_Q="(None)",F_Custom2_Q="",ISBLANK(F_Custom2_Q),F_Custom2_V="(All)",F_Custom2_V="",ISBLANK(F_Custom2_V)),1,IFERROR(IF(ISNUMBER(SEARCH("|"&amp;INDEX(INDIRECT(F_Custom2_resolved_column),1127)&amp;"|",F_Custom2_wrapped)),1,0),0))</f>
        <v>1</v>
      </c>
      <c r="F1128">
        <f>D1128*E1128*1</f>
        <v>1</v>
      </c>
      <c r="G1128">
        <f>1</f>
        <v>1</v>
      </c>
      <c r="H11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1127)&amp;"|",All_Questions_Q_STREAM_F_wrapped)),1,0),0))*1</f>
        <v>1</v>
      </c>
    </row>
    <row r="1129">
      <c r="A1129" t="n">
        <v>1128</v>
      </c>
      <c r="B1129" t="inlineStr">
        <is>
          <t>B</t>
        </is>
      </c>
      <c r="C1129">
        <f>1</f>
        <v>1</v>
      </c>
      <c r="D1129">
        <f>IF(OR(F_Custom1_Q="(None)",F_Custom1_Q="",ISBLANK(F_Custom1_Q),F_Custom1_V="(All)",F_Custom1_V="",ISBLANK(F_Custom1_V)),1,IFERROR(IF(ISNUMBER(SEARCH("|"&amp;INDEX(INDIRECT(F_Custom1_resolved_column),1128)&amp;"|",F_Custom1_wrapped)),1,0),0))</f>
        <v>1</v>
      </c>
      <c r="E1129">
        <f>IF(OR(F_Custom2_Q="(None)",F_Custom2_Q="",ISBLANK(F_Custom2_Q),F_Custom2_V="(All)",F_Custom2_V="",ISBLANK(F_Custom2_V)),1,IFERROR(IF(ISNUMBER(SEARCH("|"&amp;INDEX(INDIRECT(F_Custom2_resolved_column),1128)&amp;"|",F_Custom2_wrapped)),1,0),0))</f>
        <v>1</v>
      </c>
      <c r="F1129">
        <f>D1129*E1129*1</f>
        <v>1</v>
      </c>
      <c r="G1129">
        <f>1</f>
        <v>1</v>
      </c>
      <c r="H11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1128)&amp;"|",All_Questions_Q_STREAM_F_wrapped)),1,0),0))*1</f>
        <v>1</v>
      </c>
    </row>
    <row r="1130">
      <c r="A1130" t="n">
        <v>1129</v>
      </c>
      <c r="B1130" t="inlineStr">
        <is>
          <t>A</t>
        </is>
      </c>
      <c r="C1130">
        <f>1</f>
        <v>1</v>
      </c>
      <c r="D1130">
        <f>IF(OR(F_Custom1_Q="(None)",F_Custom1_Q="",ISBLANK(F_Custom1_Q),F_Custom1_V="(All)",F_Custom1_V="",ISBLANK(F_Custom1_V)),1,IFERROR(IF(ISNUMBER(SEARCH("|"&amp;INDEX(INDIRECT(F_Custom1_resolved_column),1129)&amp;"|",F_Custom1_wrapped)),1,0),0))</f>
        <v>1</v>
      </c>
      <c r="E1130">
        <f>IF(OR(F_Custom2_Q="(None)",F_Custom2_Q="",ISBLANK(F_Custom2_Q),F_Custom2_V="(All)",F_Custom2_V="",ISBLANK(F_Custom2_V)),1,IFERROR(IF(ISNUMBER(SEARCH("|"&amp;INDEX(INDIRECT(F_Custom2_resolved_column),1129)&amp;"|",F_Custom2_wrapped)),1,0),0))</f>
        <v>1</v>
      </c>
      <c r="F1130">
        <f>D1130*E1130*1</f>
        <v>1</v>
      </c>
      <c r="G1130">
        <f>1</f>
        <v>1</v>
      </c>
      <c r="H11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1129)&amp;"|",All_Questions_Q_STREAM_F_wrapped)),1,0),0))*1</f>
        <v>1</v>
      </c>
    </row>
    <row r="1131">
      <c r="A1131" t="n">
        <v>1130</v>
      </c>
      <c r="B1131" t="inlineStr">
        <is>
          <t>B</t>
        </is>
      </c>
      <c r="C1131">
        <f>1</f>
        <v>1</v>
      </c>
      <c r="D1131">
        <f>IF(OR(F_Custom1_Q="(None)",F_Custom1_Q="",ISBLANK(F_Custom1_Q),F_Custom1_V="(All)",F_Custom1_V="",ISBLANK(F_Custom1_V)),1,IFERROR(IF(ISNUMBER(SEARCH("|"&amp;INDEX(INDIRECT(F_Custom1_resolved_column),1130)&amp;"|",F_Custom1_wrapped)),1,0),0))</f>
        <v>1</v>
      </c>
      <c r="E1131">
        <f>IF(OR(F_Custom2_Q="(None)",F_Custom2_Q="",ISBLANK(F_Custom2_Q),F_Custom2_V="(All)",F_Custom2_V="",ISBLANK(F_Custom2_V)),1,IFERROR(IF(ISNUMBER(SEARCH("|"&amp;INDEX(INDIRECT(F_Custom2_resolved_column),1130)&amp;"|",F_Custom2_wrapped)),1,0),0))</f>
        <v>1</v>
      </c>
      <c r="F1131">
        <f>D1131*E1131*1</f>
        <v>1</v>
      </c>
      <c r="G1131">
        <f>1</f>
        <v>1</v>
      </c>
      <c r="H11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1130)&amp;"|",All_Questions_Q_STREAM_F_wrapped)),1,0),0))*1</f>
        <v>1</v>
      </c>
    </row>
    <row r="1132">
      <c r="A1132" t="n">
        <v>1131</v>
      </c>
      <c r="B1132" t="inlineStr">
        <is>
          <t>A</t>
        </is>
      </c>
      <c r="C1132">
        <f>1</f>
        <v>1</v>
      </c>
      <c r="D1132">
        <f>IF(OR(F_Custom1_Q="(None)",F_Custom1_Q="",ISBLANK(F_Custom1_Q),F_Custom1_V="(All)",F_Custom1_V="",ISBLANK(F_Custom1_V)),1,IFERROR(IF(ISNUMBER(SEARCH("|"&amp;INDEX(INDIRECT(F_Custom1_resolved_column),1131)&amp;"|",F_Custom1_wrapped)),1,0),0))</f>
        <v>1</v>
      </c>
      <c r="E1132">
        <f>IF(OR(F_Custom2_Q="(None)",F_Custom2_Q="",ISBLANK(F_Custom2_Q),F_Custom2_V="(All)",F_Custom2_V="",ISBLANK(F_Custom2_V)),1,IFERROR(IF(ISNUMBER(SEARCH("|"&amp;INDEX(INDIRECT(F_Custom2_resolved_column),1131)&amp;"|",F_Custom2_wrapped)),1,0),0))</f>
        <v>1</v>
      </c>
      <c r="F1132">
        <f>D1132*E1132*1</f>
        <v>1</v>
      </c>
      <c r="G1132">
        <f>1</f>
        <v>1</v>
      </c>
      <c r="H11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1131)&amp;"|",All_Questions_Q_STREAM_F_wrapped)),1,0),0))*1</f>
        <v>1</v>
      </c>
    </row>
    <row r="1133">
      <c r="A1133" t="n">
        <v>1132</v>
      </c>
      <c r="B1133" t="inlineStr">
        <is>
          <t>B</t>
        </is>
      </c>
      <c r="C1133">
        <f>1</f>
        <v>1</v>
      </c>
      <c r="D1133">
        <f>IF(OR(F_Custom1_Q="(None)",F_Custom1_Q="",ISBLANK(F_Custom1_Q),F_Custom1_V="(All)",F_Custom1_V="",ISBLANK(F_Custom1_V)),1,IFERROR(IF(ISNUMBER(SEARCH("|"&amp;INDEX(INDIRECT(F_Custom1_resolved_column),1132)&amp;"|",F_Custom1_wrapped)),1,0),0))</f>
        <v>1</v>
      </c>
      <c r="E1133">
        <f>IF(OR(F_Custom2_Q="(None)",F_Custom2_Q="",ISBLANK(F_Custom2_Q),F_Custom2_V="(All)",F_Custom2_V="",ISBLANK(F_Custom2_V)),1,IFERROR(IF(ISNUMBER(SEARCH("|"&amp;INDEX(INDIRECT(F_Custom2_resolved_column),1132)&amp;"|",F_Custom2_wrapped)),1,0),0))</f>
        <v>1</v>
      </c>
      <c r="F1133">
        <f>D1133*E1133*1</f>
        <v>1</v>
      </c>
      <c r="G1133">
        <f>1</f>
        <v>1</v>
      </c>
      <c r="H11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1132)&amp;"|",All_Questions_Q_STREAM_F_wrapped)),1,0),0))*1</f>
        <v>1</v>
      </c>
    </row>
    <row r="1134">
      <c r="A1134" t="n">
        <v>1133</v>
      </c>
      <c r="B1134" t="inlineStr">
        <is>
          <t>A</t>
        </is>
      </c>
      <c r="C1134">
        <f>1</f>
        <v>1</v>
      </c>
      <c r="D1134">
        <f>IF(OR(F_Custom1_Q="(None)",F_Custom1_Q="",ISBLANK(F_Custom1_Q),F_Custom1_V="(All)",F_Custom1_V="",ISBLANK(F_Custom1_V)),1,IFERROR(IF(ISNUMBER(SEARCH("|"&amp;INDEX(INDIRECT(F_Custom1_resolved_column),1133)&amp;"|",F_Custom1_wrapped)),1,0),0))</f>
        <v>1</v>
      </c>
      <c r="E1134">
        <f>IF(OR(F_Custom2_Q="(None)",F_Custom2_Q="",ISBLANK(F_Custom2_Q),F_Custom2_V="(All)",F_Custom2_V="",ISBLANK(F_Custom2_V)),1,IFERROR(IF(ISNUMBER(SEARCH("|"&amp;INDEX(INDIRECT(F_Custom2_resolved_column),1133)&amp;"|",F_Custom2_wrapped)),1,0),0))</f>
        <v>1</v>
      </c>
      <c r="F1134">
        <f>D1134*E1134*1</f>
        <v>1</v>
      </c>
      <c r="G1134">
        <f>1</f>
        <v>1</v>
      </c>
      <c r="H11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1133)&amp;"|",All_Questions_Q_STREAM_F_wrapped)),1,0),0))*1</f>
        <v>1</v>
      </c>
    </row>
    <row r="1135">
      <c r="A1135" t="n">
        <v>1134</v>
      </c>
      <c r="B1135" t="inlineStr">
        <is>
          <t>B</t>
        </is>
      </c>
      <c r="C1135">
        <f>1</f>
        <v>1</v>
      </c>
      <c r="D1135">
        <f>IF(OR(F_Custom1_Q="(None)",F_Custom1_Q="",ISBLANK(F_Custom1_Q),F_Custom1_V="(All)",F_Custom1_V="",ISBLANK(F_Custom1_V)),1,IFERROR(IF(ISNUMBER(SEARCH("|"&amp;INDEX(INDIRECT(F_Custom1_resolved_column),1134)&amp;"|",F_Custom1_wrapped)),1,0),0))</f>
        <v>1</v>
      </c>
      <c r="E1135">
        <f>IF(OR(F_Custom2_Q="(None)",F_Custom2_Q="",ISBLANK(F_Custom2_Q),F_Custom2_V="(All)",F_Custom2_V="",ISBLANK(F_Custom2_V)),1,IFERROR(IF(ISNUMBER(SEARCH("|"&amp;INDEX(INDIRECT(F_Custom2_resolved_column),1134)&amp;"|",F_Custom2_wrapped)),1,0),0))</f>
        <v>1</v>
      </c>
      <c r="F1135">
        <f>D1135*E1135*1</f>
        <v>1</v>
      </c>
      <c r="G1135">
        <f>1</f>
        <v>1</v>
      </c>
      <c r="H11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1134)&amp;"|",All_Questions_Q_STREAM_F_wrapped)),1,0),0))*1</f>
        <v>1</v>
      </c>
    </row>
    <row r="1136">
      <c r="A1136" t="n">
        <v>1135</v>
      </c>
      <c r="B1136" t="inlineStr">
        <is>
          <t>A</t>
        </is>
      </c>
      <c r="C1136">
        <f>1</f>
        <v>1</v>
      </c>
      <c r="D1136">
        <f>IF(OR(F_Custom1_Q="(None)",F_Custom1_Q="",ISBLANK(F_Custom1_Q),F_Custom1_V="(All)",F_Custom1_V="",ISBLANK(F_Custom1_V)),1,IFERROR(IF(ISNUMBER(SEARCH("|"&amp;INDEX(INDIRECT(F_Custom1_resolved_column),1135)&amp;"|",F_Custom1_wrapped)),1,0),0))</f>
        <v>1</v>
      </c>
      <c r="E1136">
        <f>IF(OR(F_Custom2_Q="(None)",F_Custom2_Q="",ISBLANK(F_Custom2_Q),F_Custom2_V="(All)",F_Custom2_V="",ISBLANK(F_Custom2_V)),1,IFERROR(IF(ISNUMBER(SEARCH("|"&amp;INDEX(INDIRECT(F_Custom2_resolved_column),1135)&amp;"|",F_Custom2_wrapped)),1,0),0))</f>
        <v>1</v>
      </c>
      <c r="F1136">
        <f>D1136*E1136*1</f>
        <v>1</v>
      </c>
      <c r="G1136">
        <f>1</f>
        <v>1</v>
      </c>
      <c r="H11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1135)&amp;"|",All_Questions_Q_STREAM_F_wrapped)),1,0),0))*1</f>
        <v>1</v>
      </c>
    </row>
    <row r="1137">
      <c r="A1137" t="n">
        <v>1136</v>
      </c>
      <c r="B1137" t="inlineStr">
        <is>
          <t>B</t>
        </is>
      </c>
      <c r="C1137">
        <f>1</f>
        <v>1</v>
      </c>
      <c r="D1137">
        <f>IF(OR(F_Custom1_Q="(None)",F_Custom1_Q="",ISBLANK(F_Custom1_Q),F_Custom1_V="(All)",F_Custom1_V="",ISBLANK(F_Custom1_V)),1,IFERROR(IF(ISNUMBER(SEARCH("|"&amp;INDEX(INDIRECT(F_Custom1_resolved_column),1136)&amp;"|",F_Custom1_wrapped)),1,0),0))</f>
        <v>1</v>
      </c>
      <c r="E1137">
        <f>IF(OR(F_Custom2_Q="(None)",F_Custom2_Q="",ISBLANK(F_Custom2_Q),F_Custom2_V="(All)",F_Custom2_V="",ISBLANK(F_Custom2_V)),1,IFERROR(IF(ISNUMBER(SEARCH("|"&amp;INDEX(INDIRECT(F_Custom2_resolved_column),1136)&amp;"|",F_Custom2_wrapped)),1,0),0))</f>
        <v>1</v>
      </c>
      <c r="F1137">
        <f>D1137*E1137*1</f>
        <v>1</v>
      </c>
      <c r="G1137">
        <f>1</f>
        <v>1</v>
      </c>
      <c r="H11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1136)&amp;"|",All_Questions_Q_STREAM_F_wrapped)),1,0),0))*1</f>
        <v>1</v>
      </c>
    </row>
    <row r="1138">
      <c r="A1138" t="n">
        <v>1137</v>
      </c>
      <c r="B1138" t="inlineStr">
        <is>
          <t>A</t>
        </is>
      </c>
      <c r="C1138">
        <f>1</f>
        <v>1</v>
      </c>
      <c r="D1138">
        <f>IF(OR(F_Custom1_Q="(None)",F_Custom1_Q="",ISBLANK(F_Custom1_Q),F_Custom1_V="(All)",F_Custom1_V="",ISBLANK(F_Custom1_V)),1,IFERROR(IF(ISNUMBER(SEARCH("|"&amp;INDEX(INDIRECT(F_Custom1_resolved_column),1137)&amp;"|",F_Custom1_wrapped)),1,0),0))</f>
        <v>1</v>
      </c>
      <c r="E1138">
        <f>IF(OR(F_Custom2_Q="(None)",F_Custom2_Q="",ISBLANK(F_Custom2_Q),F_Custom2_V="(All)",F_Custom2_V="",ISBLANK(F_Custom2_V)),1,IFERROR(IF(ISNUMBER(SEARCH("|"&amp;INDEX(INDIRECT(F_Custom2_resolved_column),1137)&amp;"|",F_Custom2_wrapped)),1,0),0))</f>
        <v>1</v>
      </c>
      <c r="F1138">
        <f>D1138*E1138*1</f>
        <v>1</v>
      </c>
      <c r="G1138">
        <f>1</f>
        <v>1</v>
      </c>
      <c r="H11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1137)&amp;"|",All_Questions_Q_STREAM_F_wrapped)),1,0),0))*1</f>
        <v>1</v>
      </c>
    </row>
    <row r="1139">
      <c r="A1139" t="n">
        <v>1138</v>
      </c>
      <c r="B1139" t="inlineStr">
        <is>
          <t>B</t>
        </is>
      </c>
      <c r="C1139">
        <f>1</f>
        <v>1</v>
      </c>
      <c r="D1139">
        <f>IF(OR(F_Custom1_Q="(None)",F_Custom1_Q="",ISBLANK(F_Custom1_Q),F_Custom1_V="(All)",F_Custom1_V="",ISBLANK(F_Custom1_V)),1,IFERROR(IF(ISNUMBER(SEARCH("|"&amp;INDEX(INDIRECT(F_Custom1_resolved_column),1138)&amp;"|",F_Custom1_wrapped)),1,0),0))</f>
        <v>1</v>
      </c>
      <c r="E1139">
        <f>IF(OR(F_Custom2_Q="(None)",F_Custom2_Q="",ISBLANK(F_Custom2_Q),F_Custom2_V="(All)",F_Custom2_V="",ISBLANK(F_Custom2_V)),1,IFERROR(IF(ISNUMBER(SEARCH("|"&amp;INDEX(INDIRECT(F_Custom2_resolved_column),1138)&amp;"|",F_Custom2_wrapped)),1,0),0))</f>
        <v>1</v>
      </c>
      <c r="F1139">
        <f>D1139*E1139*1</f>
        <v>1</v>
      </c>
      <c r="G1139">
        <f>1</f>
        <v>1</v>
      </c>
      <c r="H11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1138)&amp;"|",All_Questions_Q_STREAM_F_wrapped)),1,0),0))*1</f>
        <v>1</v>
      </c>
    </row>
    <row r="1140">
      <c r="A1140" t="n">
        <v>1139</v>
      </c>
      <c r="B1140" t="inlineStr">
        <is>
          <t>A</t>
        </is>
      </c>
      <c r="C1140">
        <f>1</f>
        <v>1</v>
      </c>
      <c r="D1140">
        <f>IF(OR(F_Custom1_Q="(None)",F_Custom1_Q="",ISBLANK(F_Custom1_Q),F_Custom1_V="(All)",F_Custom1_V="",ISBLANK(F_Custom1_V)),1,IFERROR(IF(ISNUMBER(SEARCH("|"&amp;INDEX(INDIRECT(F_Custom1_resolved_column),1139)&amp;"|",F_Custom1_wrapped)),1,0),0))</f>
        <v>1</v>
      </c>
      <c r="E1140">
        <f>IF(OR(F_Custom2_Q="(None)",F_Custom2_Q="",ISBLANK(F_Custom2_Q),F_Custom2_V="(All)",F_Custom2_V="",ISBLANK(F_Custom2_V)),1,IFERROR(IF(ISNUMBER(SEARCH("|"&amp;INDEX(INDIRECT(F_Custom2_resolved_column),1139)&amp;"|",F_Custom2_wrapped)),1,0),0))</f>
        <v>1</v>
      </c>
      <c r="F1140">
        <f>D1140*E1140*1</f>
        <v>1</v>
      </c>
      <c r="G1140">
        <f>1</f>
        <v>1</v>
      </c>
      <c r="H11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1139)&amp;"|",All_Questions_Q_STREAM_F_wrapped)),1,0),0))*1</f>
        <v>1</v>
      </c>
    </row>
    <row r="1141">
      <c r="A1141" t="n">
        <v>1140</v>
      </c>
      <c r="B1141" t="inlineStr">
        <is>
          <t>B</t>
        </is>
      </c>
      <c r="C1141">
        <f>1</f>
        <v>1</v>
      </c>
      <c r="D1141">
        <f>IF(OR(F_Custom1_Q="(None)",F_Custom1_Q="",ISBLANK(F_Custom1_Q),F_Custom1_V="(All)",F_Custom1_V="",ISBLANK(F_Custom1_V)),1,IFERROR(IF(ISNUMBER(SEARCH("|"&amp;INDEX(INDIRECT(F_Custom1_resolved_column),1140)&amp;"|",F_Custom1_wrapped)),1,0),0))</f>
        <v>1</v>
      </c>
      <c r="E1141">
        <f>IF(OR(F_Custom2_Q="(None)",F_Custom2_Q="",ISBLANK(F_Custom2_Q),F_Custom2_V="(All)",F_Custom2_V="",ISBLANK(F_Custom2_V)),1,IFERROR(IF(ISNUMBER(SEARCH("|"&amp;INDEX(INDIRECT(F_Custom2_resolved_column),1140)&amp;"|",F_Custom2_wrapped)),1,0),0))</f>
        <v>1</v>
      </c>
      <c r="F1141">
        <f>D1141*E1141*1</f>
        <v>1</v>
      </c>
      <c r="G1141">
        <f>1</f>
        <v>1</v>
      </c>
      <c r="H11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1140)&amp;"|",All_Questions_Q_STREAM_F_wrapped)),1,0),0))*1</f>
        <v>1</v>
      </c>
    </row>
    <row r="1142">
      <c r="A1142" t="n">
        <v>1141</v>
      </c>
      <c r="B1142" t="inlineStr">
        <is>
          <t>A</t>
        </is>
      </c>
      <c r="C1142">
        <f>1</f>
        <v>1</v>
      </c>
      <c r="D1142">
        <f>IF(OR(F_Custom1_Q="(None)",F_Custom1_Q="",ISBLANK(F_Custom1_Q),F_Custom1_V="(All)",F_Custom1_V="",ISBLANK(F_Custom1_V)),1,IFERROR(IF(ISNUMBER(SEARCH("|"&amp;INDEX(INDIRECT(F_Custom1_resolved_column),1141)&amp;"|",F_Custom1_wrapped)),1,0),0))</f>
        <v>1</v>
      </c>
      <c r="E1142">
        <f>IF(OR(F_Custom2_Q="(None)",F_Custom2_Q="",ISBLANK(F_Custom2_Q),F_Custom2_V="(All)",F_Custom2_V="",ISBLANK(F_Custom2_V)),1,IFERROR(IF(ISNUMBER(SEARCH("|"&amp;INDEX(INDIRECT(F_Custom2_resolved_column),1141)&amp;"|",F_Custom2_wrapped)),1,0),0))</f>
        <v>1</v>
      </c>
      <c r="F1142">
        <f>D1142*E1142*1</f>
        <v>1</v>
      </c>
      <c r="G1142">
        <f>1</f>
        <v>1</v>
      </c>
      <c r="H11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1141)&amp;"|",All_Questions_Q_STREAM_F_wrapped)),1,0),0))*1</f>
        <v>1</v>
      </c>
    </row>
    <row r="1143">
      <c r="A1143" t="n">
        <v>1142</v>
      </c>
      <c r="B1143" t="inlineStr">
        <is>
          <t>B</t>
        </is>
      </c>
      <c r="C1143">
        <f>1</f>
        <v>1</v>
      </c>
      <c r="D1143">
        <f>IF(OR(F_Custom1_Q="(None)",F_Custom1_Q="",ISBLANK(F_Custom1_Q),F_Custom1_V="(All)",F_Custom1_V="",ISBLANK(F_Custom1_V)),1,IFERROR(IF(ISNUMBER(SEARCH("|"&amp;INDEX(INDIRECT(F_Custom1_resolved_column),1142)&amp;"|",F_Custom1_wrapped)),1,0),0))</f>
        <v>1</v>
      </c>
      <c r="E1143">
        <f>IF(OR(F_Custom2_Q="(None)",F_Custom2_Q="",ISBLANK(F_Custom2_Q),F_Custom2_V="(All)",F_Custom2_V="",ISBLANK(F_Custom2_V)),1,IFERROR(IF(ISNUMBER(SEARCH("|"&amp;INDEX(INDIRECT(F_Custom2_resolved_column),1142)&amp;"|",F_Custom2_wrapped)),1,0),0))</f>
        <v>1</v>
      </c>
      <c r="F1143">
        <f>D1143*E1143*1</f>
        <v>1</v>
      </c>
      <c r="G1143">
        <f>1</f>
        <v>1</v>
      </c>
      <c r="H11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1142)&amp;"|",All_Questions_Q_STREAM_F_wrapped)),1,0),0))*1</f>
        <v>1</v>
      </c>
    </row>
    <row r="1144">
      <c r="A1144" t="n">
        <v>1143</v>
      </c>
      <c r="B1144" t="inlineStr">
        <is>
          <t>A</t>
        </is>
      </c>
      <c r="C1144">
        <f>1</f>
        <v>1</v>
      </c>
      <c r="D1144">
        <f>IF(OR(F_Custom1_Q="(None)",F_Custom1_Q="",ISBLANK(F_Custom1_Q),F_Custom1_V="(All)",F_Custom1_V="",ISBLANK(F_Custom1_V)),1,IFERROR(IF(ISNUMBER(SEARCH("|"&amp;INDEX(INDIRECT(F_Custom1_resolved_column),1143)&amp;"|",F_Custom1_wrapped)),1,0),0))</f>
        <v>1</v>
      </c>
      <c r="E1144">
        <f>IF(OR(F_Custom2_Q="(None)",F_Custom2_Q="",ISBLANK(F_Custom2_Q),F_Custom2_V="(All)",F_Custom2_V="",ISBLANK(F_Custom2_V)),1,IFERROR(IF(ISNUMBER(SEARCH("|"&amp;INDEX(INDIRECT(F_Custom2_resolved_column),1143)&amp;"|",F_Custom2_wrapped)),1,0),0))</f>
        <v>1</v>
      </c>
      <c r="F1144">
        <f>D1144*E1144*1</f>
        <v>1</v>
      </c>
      <c r="G1144">
        <f>1</f>
        <v>1</v>
      </c>
      <c r="H11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1143)&amp;"|",All_Questions_Q_STREAM_F_wrapped)),1,0),0))*1</f>
        <v>1</v>
      </c>
    </row>
    <row r="1145">
      <c r="A1145" t="n">
        <v>1144</v>
      </c>
      <c r="B1145" t="inlineStr">
        <is>
          <t>B</t>
        </is>
      </c>
      <c r="C1145">
        <f>1</f>
        <v>1</v>
      </c>
      <c r="D1145">
        <f>IF(OR(F_Custom1_Q="(None)",F_Custom1_Q="",ISBLANK(F_Custom1_Q),F_Custom1_V="(All)",F_Custom1_V="",ISBLANK(F_Custom1_V)),1,IFERROR(IF(ISNUMBER(SEARCH("|"&amp;INDEX(INDIRECT(F_Custom1_resolved_column),1144)&amp;"|",F_Custom1_wrapped)),1,0),0))</f>
        <v>1</v>
      </c>
      <c r="E1145">
        <f>IF(OR(F_Custom2_Q="(None)",F_Custom2_Q="",ISBLANK(F_Custom2_Q),F_Custom2_V="(All)",F_Custom2_V="",ISBLANK(F_Custom2_V)),1,IFERROR(IF(ISNUMBER(SEARCH("|"&amp;INDEX(INDIRECT(F_Custom2_resolved_column),1144)&amp;"|",F_Custom2_wrapped)),1,0),0))</f>
        <v>1</v>
      </c>
      <c r="F1145">
        <f>D1145*E1145*1</f>
        <v>1</v>
      </c>
      <c r="G1145">
        <f>1</f>
        <v>1</v>
      </c>
      <c r="H11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1144)&amp;"|",All_Questions_Q_STREAM_F_wrapped)),1,0),0))*1</f>
        <v>1</v>
      </c>
    </row>
    <row r="1146">
      <c r="A1146" t="n">
        <v>1145</v>
      </c>
      <c r="B1146" t="inlineStr">
        <is>
          <t>A</t>
        </is>
      </c>
      <c r="C1146">
        <f>1</f>
        <v>1</v>
      </c>
      <c r="D1146">
        <f>IF(OR(F_Custom1_Q="(None)",F_Custom1_Q="",ISBLANK(F_Custom1_Q),F_Custom1_V="(All)",F_Custom1_V="",ISBLANK(F_Custom1_V)),1,IFERROR(IF(ISNUMBER(SEARCH("|"&amp;INDEX(INDIRECT(F_Custom1_resolved_column),1145)&amp;"|",F_Custom1_wrapped)),1,0),0))</f>
        <v>1</v>
      </c>
      <c r="E1146">
        <f>IF(OR(F_Custom2_Q="(None)",F_Custom2_Q="",ISBLANK(F_Custom2_Q),F_Custom2_V="(All)",F_Custom2_V="",ISBLANK(F_Custom2_V)),1,IFERROR(IF(ISNUMBER(SEARCH("|"&amp;INDEX(INDIRECT(F_Custom2_resolved_column),1145)&amp;"|",F_Custom2_wrapped)),1,0),0))</f>
        <v>1</v>
      </c>
      <c r="F1146">
        <f>D1146*E1146*1</f>
        <v>1</v>
      </c>
      <c r="G1146">
        <f>1</f>
        <v>1</v>
      </c>
      <c r="H11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1145)&amp;"|",All_Questions_Q_STREAM_F_wrapped)),1,0),0))*1</f>
        <v>1</v>
      </c>
    </row>
    <row r="1147">
      <c r="A1147" t="n">
        <v>1146</v>
      </c>
      <c r="B1147" t="inlineStr">
        <is>
          <t>B</t>
        </is>
      </c>
      <c r="C1147">
        <f>1</f>
        <v>1</v>
      </c>
      <c r="D1147">
        <f>IF(OR(F_Custom1_Q="(None)",F_Custom1_Q="",ISBLANK(F_Custom1_Q),F_Custom1_V="(All)",F_Custom1_V="",ISBLANK(F_Custom1_V)),1,IFERROR(IF(ISNUMBER(SEARCH("|"&amp;INDEX(INDIRECT(F_Custom1_resolved_column),1146)&amp;"|",F_Custom1_wrapped)),1,0),0))</f>
        <v>1</v>
      </c>
      <c r="E1147">
        <f>IF(OR(F_Custom2_Q="(None)",F_Custom2_Q="",ISBLANK(F_Custom2_Q),F_Custom2_V="(All)",F_Custom2_V="",ISBLANK(F_Custom2_V)),1,IFERROR(IF(ISNUMBER(SEARCH("|"&amp;INDEX(INDIRECT(F_Custom2_resolved_column),1146)&amp;"|",F_Custom2_wrapped)),1,0),0))</f>
        <v>1</v>
      </c>
      <c r="F1147">
        <f>D1147*E1147*1</f>
        <v>1</v>
      </c>
      <c r="G1147">
        <f>1</f>
        <v>1</v>
      </c>
      <c r="H11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1146)&amp;"|",All_Questions_Q_STREAM_F_wrapped)),1,0),0))*1</f>
        <v>1</v>
      </c>
    </row>
    <row r="1148">
      <c r="A1148" t="n">
        <v>1147</v>
      </c>
      <c r="B1148" t="inlineStr">
        <is>
          <t>A</t>
        </is>
      </c>
      <c r="C1148">
        <f>1</f>
        <v>1</v>
      </c>
      <c r="D1148">
        <f>IF(OR(F_Custom1_Q="(None)",F_Custom1_Q="",ISBLANK(F_Custom1_Q),F_Custom1_V="(All)",F_Custom1_V="",ISBLANK(F_Custom1_V)),1,IFERROR(IF(ISNUMBER(SEARCH("|"&amp;INDEX(INDIRECT(F_Custom1_resolved_column),1147)&amp;"|",F_Custom1_wrapped)),1,0),0))</f>
        <v>1</v>
      </c>
      <c r="E1148">
        <f>IF(OR(F_Custom2_Q="(None)",F_Custom2_Q="",ISBLANK(F_Custom2_Q),F_Custom2_V="(All)",F_Custom2_V="",ISBLANK(F_Custom2_V)),1,IFERROR(IF(ISNUMBER(SEARCH("|"&amp;INDEX(INDIRECT(F_Custom2_resolved_column),1147)&amp;"|",F_Custom2_wrapped)),1,0),0))</f>
        <v>1</v>
      </c>
      <c r="F1148">
        <f>D1148*E1148*1</f>
        <v>1</v>
      </c>
      <c r="G1148">
        <f>1</f>
        <v>1</v>
      </c>
      <c r="H11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1147)&amp;"|",All_Questions_Q_STREAM_F_wrapped)),1,0),0))*1</f>
        <v>1</v>
      </c>
    </row>
    <row r="1149">
      <c r="A1149" t="n">
        <v>1148</v>
      </c>
      <c r="B1149" t="inlineStr">
        <is>
          <t>B</t>
        </is>
      </c>
      <c r="C1149">
        <f>1</f>
        <v>1</v>
      </c>
      <c r="D1149">
        <f>IF(OR(F_Custom1_Q="(None)",F_Custom1_Q="",ISBLANK(F_Custom1_Q),F_Custom1_V="(All)",F_Custom1_V="",ISBLANK(F_Custom1_V)),1,IFERROR(IF(ISNUMBER(SEARCH("|"&amp;INDEX(INDIRECT(F_Custom1_resolved_column),1148)&amp;"|",F_Custom1_wrapped)),1,0),0))</f>
        <v>1</v>
      </c>
      <c r="E1149">
        <f>IF(OR(F_Custom2_Q="(None)",F_Custom2_Q="",ISBLANK(F_Custom2_Q),F_Custom2_V="(All)",F_Custom2_V="",ISBLANK(F_Custom2_V)),1,IFERROR(IF(ISNUMBER(SEARCH("|"&amp;INDEX(INDIRECT(F_Custom2_resolved_column),1148)&amp;"|",F_Custom2_wrapped)),1,0),0))</f>
        <v>1</v>
      </c>
      <c r="F1149">
        <f>D1149*E1149*1</f>
        <v>1</v>
      </c>
      <c r="G1149">
        <f>1</f>
        <v>1</v>
      </c>
      <c r="H11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1148)&amp;"|",All_Questions_Q_STREAM_F_wrapped)),1,0),0))*1</f>
        <v>1</v>
      </c>
    </row>
    <row r="1150">
      <c r="A1150" t="n">
        <v>1149</v>
      </c>
      <c r="B1150" t="inlineStr">
        <is>
          <t>A</t>
        </is>
      </c>
      <c r="C1150">
        <f>1</f>
        <v>1</v>
      </c>
      <c r="D1150">
        <f>IF(OR(F_Custom1_Q="(None)",F_Custom1_Q="",ISBLANK(F_Custom1_Q),F_Custom1_V="(All)",F_Custom1_V="",ISBLANK(F_Custom1_V)),1,IFERROR(IF(ISNUMBER(SEARCH("|"&amp;INDEX(INDIRECT(F_Custom1_resolved_column),1149)&amp;"|",F_Custom1_wrapped)),1,0),0))</f>
        <v>1</v>
      </c>
      <c r="E1150">
        <f>IF(OR(F_Custom2_Q="(None)",F_Custom2_Q="",ISBLANK(F_Custom2_Q),F_Custom2_V="(All)",F_Custom2_V="",ISBLANK(F_Custom2_V)),1,IFERROR(IF(ISNUMBER(SEARCH("|"&amp;INDEX(INDIRECT(F_Custom2_resolved_column),1149)&amp;"|",F_Custom2_wrapped)),1,0),0))</f>
        <v>1</v>
      </c>
      <c r="F1150">
        <f>D1150*E1150*1</f>
        <v>1</v>
      </c>
      <c r="G1150">
        <f>1</f>
        <v>1</v>
      </c>
      <c r="H11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1149)&amp;"|",All_Questions_Q_STREAM_F_wrapped)),1,0),0))*1</f>
        <v>1</v>
      </c>
    </row>
    <row r="1151">
      <c r="A1151" t="n">
        <v>1150</v>
      </c>
      <c r="B1151" t="inlineStr">
        <is>
          <t>B</t>
        </is>
      </c>
      <c r="C1151">
        <f>1</f>
        <v>1</v>
      </c>
      <c r="D1151">
        <f>IF(OR(F_Custom1_Q="(None)",F_Custom1_Q="",ISBLANK(F_Custom1_Q),F_Custom1_V="(All)",F_Custom1_V="",ISBLANK(F_Custom1_V)),1,IFERROR(IF(ISNUMBER(SEARCH("|"&amp;INDEX(INDIRECT(F_Custom1_resolved_column),1150)&amp;"|",F_Custom1_wrapped)),1,0),0))</f>
        <v>1</v>
      </c>
      <c r="E1151">
        <f>IF(OR(F_Custom2_Q="(None)",F_Custom2_Q="",ISBLANK(F_Custom2_Q),F_Custom2_V="(All)",F_Custom2_V="",ISBLANK(F_Custom2_V)),1,IFERROR(IF(ISNUMBER(SEARCH("|"&amp;INDEX(INDIRECT(F_Custom2_resolved_column),1150)&amp;"|",F_Custom2_wrapped)),1,0),0))</f>
        <v>1</v>
      </c>
      <c r="F1151">
        <f>D1151*E1151*1</f>
        <v>1</v>
      </c>
      <c r="G1151">
        <f>1</f>
        <v>1</v>
      </c>
      <c r="H11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1150)&amp;"|",All_Questions_Q_STREAM_F_wrapped)),1,0),0))*1</f>
        <v>1</v>
      </c>
    </row>
    <row r="1152">
      <c r="A1152" t="n">
        <v>1151</v>
      </c>
      <c r="B1152" t="inlineStr">
        <is>
          <t>A</t>
        </is>
      </c>
      <c r="C1152">
        <f>1</f>
        <v>1</v>
      </c>
      <c r="D1152">
        <f>IF(OR(F_Custom1_Q="(None)",F_Custom1_Q="",ISBLANK(F_Custom1_Q),F_Custom1_V="(All)",F_Custom1_V="",ISBLANK(F_Custom1_V)),1,IFERROR(IF(ISNUMBER(SEARCH("|"&amp;INDEX(INDIRECT(F_Custom1_resolved_column),1151)&amp;"|",F_Custom1_wrapped)),1,0),0))</f>
        <v>1</v>
      </c>
      <c r="E1152">
        <f>IF(OR(F_Custom2_Q="(None)",F_Custom2_Q="",ISBLANK(F_Custom2_Q),F_Custom2_V="(All)",F_Custom2_V="",ISBLANK(F_Custom2_V)),1,IFERROR(IF(ISNUMBER(SEARCH("|"&amp;INDEX(INDIRECT(F_Custom2_resolved_column),1151)&amp;"|",F_Custom2_wrapped)),1,0),0))</f>
        <v>1</v>
      </c>
      <c r="F1152">
        <f>D1152*E1152*1</f>
        <v>1</v>
      </c>
      <c r="G1152">
        <f>1</f>
        <v>1</v>
      </c>
      <c r="H11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1151)&amp;"|",All_Questions_Q_STREAM_F_wrapped)),1,0),0))*1</f>
        <v>1</v>
      </c>
    </row>
    <row r="1153">
      <c r="A1153" t="n">
        <v>1152</v>
      </c>
      <c r="B1153" t="inlineStr">
        <is>
          <t>B</t>
        </is>
      </c>
      <c r="C1153">
        <f>1</f>
        <v>1</v>
      </c>
      <c r="D1153">
        <f>IF(OR(F_Custom1_Q="(None)",F_Custom1_Q="",ISBLANK(F_Custom1_Q),F_Custom1_V="(All)",F_Custom1_V="",ISBLANK(F_Custom1_V)),1,IFERROR(IF(ISNUMBER(SEARCH("|"&amp;INDEX(INDIRECT(F_Custom1_resolved_column),1152)&amp;"|",F_Custom1_wrapped)),1,0),0))</f>
        <v>1</v>
      </c>
      <c r="E1153">
        <f>IF(OR(F_Custom2_Q="(None)",F_Custom2_Q="",ISBLANK(F_Custom2_Q),F_Custom2_V="(All)",F_Custom2_V="",ISBLANK(F_Custom2_V)),1,IFERROR(IF(ISNUMBER(SEARCH("|"&amp;INDEX(INDIRECT(F_Custom2_resolved_column),1152)&amp;"|",F_Custom2_wrapped)),1,0),0))</f>
        <v>1</v>
      </c>
      <c r="F1153">
        <f>D1153*E1153*1</f>
        <v>1</v>
      </c>
      <c r="G1153">
        <f>1</f>
        <v>1</v>
      </c>
      <c r="H11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1152)&amp;"|",All_Questions_Q_STREAM_F_wrapped)),1,0),0))*1</f>
        <v>1</v>
      </c>
    </row>
    <row r="1154">
      <c r="A1154" t="n">
        <v>1153</v>
      </c>
      <c r="B1154" t="inlineStr">
        <is>
          <t>A</t>
        </is>
      </c>
      <c r="C1154">
        <f>1</f>
        <v>1</v>
      </c>
      <c r="D1154">
        <f>IF(OR(F_Custom1_Q="(None)",F_Custom1_Q="",ISBLANK(F_Custom1_Q),F_Custom1_V="(All)",F_Custom1_V="",ISBLANK(F_Custom1_V)),1,IFERROR(IF(ISNUMBER(SEARCH("|"&amp;INDEX(INDIRECT(F_Custom1_resolved_column),1153)&amp;"|",F_Custom1_wrapped)),1,0),0))</f>
        <v>1</v>
      </c>
      <c r="E1154">
        <f>IF(OR(F_Custom2_Q="(None)",F_Custom2_Q="",ISBLANK(F_Custom2_Q),F_Custom2_V="(All)",F_Custom2_V="",ISBLANK(F_Custom2_V)),1,IFERROR(IF(ISNUMBER(SEARCH("|"&amp;INDEX(INDIRECT(F_Custom2_resolved_column),1153)&amp;"|",F_Custom2_wrapped)),1,0),0))</f>
        <v>1</v>
      </c>
      <c r="F1154">
        <f>D1154*E1154*1</f>
        <v>1</v>
      </c>
      <c r="G1154">
        <f>1</f>
        <v>1</v>
      </c>
      <c r="H11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1153)&amp;"|",All_Questions_Q_STREAM_F_wrapped)),1,0),0))*1</f>
        <v>1</v>
      </c>
    </row>
    <row r="1155">
      <c r="A1155" t="n">
        <v>1154</v>
      </c>
      <c r="B1155" t="inlineStr">
        <is>
          <t>B</t>
        </is>
      </c>
      <c r="C1155">
        <f>1</f>
        <v>1</v>
      </c>
      <c r="D1155">
        <f>IF(OR(F_Custom1_Q="(None)",F_Custom1_Q="",ISBLANK(F_Custom1_Q),F_Custom1_V="(All)",F_Custom1_V="",ISBLANK(F_Custom1_V)),1,IFERROR(IF(ISNUMBER(SEARCH("|"&amp;INDEX(INDIRECT(F_Custom1_resolved_column),1154)&amp;"|",F_Custom1_wrapped)),1,0),0))</f>
        <v>1</v>
      </c>
      <c r="E1155">
        <f>IF(OR(F_Custom2_Q="(None)",F_Custom2_Q="",ISBLANK(F_Custom2_Q),F_Custom2_V="(All)",F_Custom2_V="",ISBLANK(F_Custom2_V)),1,IFERROR(IF(ISNUMBER(SEARCH("|"&amp;INDEX(INDIRECT(F_Custom2_resolved_column),1154)&amp;"|",F_Custom2_wrapped)),1,0),0))</f>
        <v>1</v>
      </c>
      <c r="F1155">
        <f>D1155*E1155*1</f>
        <v>1</v>
      </c>
      <c r="G1155">
        <f>1</f>
        <v>1</v>
      </c>
      <c r="H11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1154)&amp;"|",All_Questions_Q_STREAM_F_wrapped)),1,0),0))*1</f>
        <v>1</v>
      </c>
    </row>
    <row r="1156">
      <c r="A1156" t="n">
        <v>1155</v>
      </c>
      <c r="B1156" t="inlineStr">
        <is>
          <t>A</t>
        </is>
      </c>
      <c r="C1156">
        <f>1</f>
        <v>1</v>
      </c>
      <c r="D1156">
        <f>IF(OR(F_Custom1_Q="(None)",F_Custom1_Q="",ISBLANK(F_Custom1_Q),F_Custom1_V="(All)",F_Custom1_V="",ISBLANK(F_Custom1_V)),1,IFERROR(IF(ISNUMBER(SEARCH("|"&amp;INDEX(INDIRECT(F_Custom1_resolved_column),1155)&amp;"|",F_Custom1_wrapped)),1,0),0))</f>
        <v>1</v>
      </c>
      <c r="E1156">
        <f>IF(OR(F_Custom2_Q="(None)",F_Custom2_Q="",ISBLANK(F_Custom2_Q),F_Custom2_V="(All)",F_Custom2_V="",ISBLANK(F_Custom2_V)),1,IFERROR(IF(ISNUMBER(SEARCH("|"&amp;INDEX(INDIRECT(F_Custom2_resolved_column),1155)&amp;"|",F_Custom2_wrapped)),1,0),0))</f>
        <v>1</v>
      </c>
      <c r="F1156">
        <f>D1156*E1156*1</f>
        <v>1</v>
      </c>
      <c r="G1156">
        <f>1</f>
        <v>1</v>
      </c>
      <c r="H11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1155)&amp;"|",All_Questions_Q_STREAM_F_wrapped)),1,0),0))*1</f>
        <v>1</v>
      </c>
    </row>
    <row r="1157">
      <c r="A1157" t="n">
        <v>1156</v>
      </c>
      <c r="B1157" t="inlineStr">
        <is>
          <t>B</t>
        </is>
      </c>
      <c r="C1157">
        <f>1</f>
        <v>1</v>
      </c>
      <c r="D1157">
        <f>IF(OR(F_Custom1_Q="(None)",F_Custom1_Q="",ISBLANK(F_Custom1_Q),F_Custom1_V="(All)",F_Custom1_V="",ISBLANK(F_Custom1_V)),1,IFERROR(IF(ISNUMBER(SEARCH("|"&amp;INDEX(INDIRECT(F_Custom1_resolved_column),1156)&amp;"|",F_Custom1_wrapped)),1,0),0))</f>
        <v>1</v>
      </c>
      <c r="E1157">
        <f>IF(OR(F_Custom2_Q="(None)",F_Custom2_Q="",ISBLANK(F_Custom2_Q),F_Custom2_V="(All)",F_Custom2_V="",ISBLANK(F_Custom2_V)),1,IFERROR(IF(ISNUMBER(SEARCH("|"&amp;INDEX(INDIRECT(F_Custom2_resolved_column),1156)&amp;"|",F_Custom2_wrapped)),1,0),0))</f>
        <v>1</v>
      </c>
      <c r="F1157">
        <f>D1157*E1157*1</f>
        <v>1</v>
      </c>
      <c r="G1157">
        <f>1</f>
        <v>1</v>
      </c>
      <c r="H11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1156)&amp;"|",All_Questions_Q_STREAM_F_wrapped)),1,0),0))*1</f>
        <v>1</v>
      </c>
    </row>
    <row r="1158">
      <c r="A1158" t="n">
        <v>1157</v>
      </c>
      <c r="B1158" t="inlineStr">
        <is>
          <t>A</t>
        </is>
      </c>
      <c r="C1158">
        <f>1</f>
        <v>1</v>
      </c>
      <c r="D1158">
        <f>IF(OR(F_Custom1_Q="(None)",F_Custom1_Q="",ISBLANK(F_Custom1_Q),F_Custom1_V="(All)",F_Custom1_V="",ISBLANK(F_Custom1_V)),1,IFERROR(IF(ISNUMBER(SEARCH("|"&amp;INDEX(INDIRECT(F_Custom1_resolved_column),1157)&amp;"|",F_Custom1_wrapped)),1,0),0))</f>
        <v>1</v>
      </c>
      <c r="E1158">
        <f>IF(OR(F_Custom2_Q="(None)",F_Custom2_Q="",ISBLANK(F_Custom2_Q),F_Custom2_V="(All)",F_Custom2_V="",ISBLANK(F_Custom2_V)),1,IFERROR(IF(ISNUMBER(SEARCH("|"&amp;INDEX(INDIRECT(F_Custom2_resolved_column),1157)&amp;"|",F_Custom2_wrapped)),1,0),0))</f>
        <v>1</v>
      </c>
      <c r="F1158">
        <f>D1158*E1158*1</f>
        <v>1</v>
      </c>
      <c r="G1158">
        <f>1</f>
        <v>1</v>
      </c>
      <c r="H11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1157)&amp;"|",All_Questions_Q_STREAM_F_wrapped)),1,0),0))*1</f>
        <v>1</v>
      </c>
    </row>
    <row r="1159">
      <c r="A1159" t="n">
        <v>1158</v>
      </c>
      <c r="B1159" t="inlineStr">
        <is>
          <t>B</t>
        </is>
      </c>
      <c r="C1159">
        <f>1</f>
        <v>1</v>
      </c>
      <c r="D1159">
        <f>IF(OR(F_Custom1_Q="(None)",F_Custom1_Q="",ISBLANK(F_Custom1_Q),F_Custom1_V="(All)",F_Custom1_V="",ISBLANK(F_Custom1_V)),1,IFERROR(IF(ISNUMBER(SEARCH("|"&amp;INDEX(INDIRECT(F_Custom1_resolved_column),1158)&amp;"|",F_Custom1_wrapped)),1,0),0))</f>
        <v>1</v>
      </c>
      <c r="E1159">
        <f>IF(OR(F_Custom2_Q="(None)",F_Custom2_Q="",ISBLANK(F_Custom2_Q),F_Custom2_V="(All)",F_Custom2_V="",ISBLANK(F_Custom2_V)),1,IFERROR(IF(ISNUMBER(SEARCH("|"&amp;INDEX(INDIRECT(F_Custom2_resolved_column),1158)&amp;"|",F_Custom2_wrapped)),1,0),0))</f>
        <v>1</v>
      </c>
      <c r="F1159">
        <f>D1159*E1159*1</f>
        <v>1</v>
      </c>
      <c r="G1159">
        <f>1</f>
        <v>1</v>
      </c>
      <c r="H11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1158)&amp;"|",All_Questions_Q_STREAM_F_wrapped)),1,0),0))*1</f>
        <v>1</v>
      </c>
    </row>
    <row r="1160">
      <c r="A1160" t="n">
        <v>1159</v>
      </c>
      <c r="B1160" t="inlineStr">
        <is>
          <t>A</t>
        </is>
      </c>
      <c r="C1160">
        <f>1</f>
        <v>1</v>
      </c>
      <c r="D1160">
        <f>IF(OR(F_Custom1_Q="(None)",F_Custom1_Q="",ISBLANK(F_Custom1_Q),F_Custom1_V="(All)",F_Custom1_V="",ISBLANK(F_Custom1_V)),1,IFERROR(IF(ISNUMBER(SEARCH("|"&amp;INDEX(INDIRECT(F_Custom1_resolved_column),1159)&amp;"|",F_Custom1_wrapped)),1,0),0))</f>
        <v>1</v>
      </c>
      <c r="E1160">
        <f>IF(OR(F_Custom2_Q="(None)",F_Custom2_Q="",ISBLANK(F_Custom2_Q),F_Custom2_V="(All)",F_Custom2_V="",ISBLANK(F_Custom2_V)),1,IFERROR(IF(ISNUMBER(SEARCH("|"&amp;INDEX(INDIRECT(F_Custom2_resolved_column),1159)&amp;"|",F_Custom2_wrapped)),1,0),0))</f>
        <v>1</v>
      </c>
      <c r="F1160">
        <f>D1160*E1160*1</f>
        <v>1</v>
      </c>
      <c r="G1160">
        <f>1</f>
        <v>1</v>
      </c>
      <c r="H11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1159)&amp;"|",All_Questions_Q_STREAM_F_wrapped)),1,0),0))*1</f>
        <v>1</v>
      </c>
    </row>
    <row r="1161">
      <c r="A1161" t="n">
        <v>1160</v>
      </c>
      <c r="B1161" t="inlineStr">
        <is>
          <t>B</t>
        </is>
      </c>
      <c r="C1161">
        <f>1</f>
        <v>1</v>
      </c>
      <c r="D1161">
        <f>IF(OR(F_Custom1_Q="(None)",F_Custom1_Q="",ISBLANK(F_Custom1_Q),F_Custom1_V="(All)",F_Custom1_V="",ISBLANK(F_Custom1_V)),1,IFERROR(IF(ISNUMBER(SEARCH("|"&amp;INDEX(INDIRECT(F_Custom1_resolved_column),1160)&amp;"|",F_Custom1_wrapped)),1,0),0))</f>
        <v>1</v>
      </c>
      <c r="E1161">
        <f>IF(OR(F_Custom2_Q="(None)",F_Custom2_Q="",ISBLANK(F_Custom2_Q),F_Custom2_V="(All)",F_Custom2_V="",ISBLANK(F_Custom2_V)),1,IFERROR(IF(ISNUMBER(SEARCH("|"&amp;INDEX(INDIRECT(F_Custom2_resolved_column),1160)&amp;"|",F_Custom2_wrapped)),1,0),0))</f>
        <v>1</v>
      </c>
      <c r="F1161">
        <f>D1161*E1161*1</f>
        <v>1</v>
      </c>
      <c r="G1161">
        <f>1</f>
        <v>1</v>
      </c>
      <c r="H11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1160)&amp;"|",All_Questions_Q_STREAM_F_wrapped)),1,0),0))*1</f>
        <v>1</v>
      </c>
    </row>
    <row r="1162">
      <c r="A1162" t="n">
        <v>1161</v>
      </c>
      <c r="B1162" t="inlineStr">
        <is>
          <t>A</t>
        </is>
      </c>
      <c r="C1162">
        <f>1</f>
        <v>1</v>
      </c>
      <c r="D1162">
        <f>IF(OR(F_Custom1_Q="(None)",F_Custom1_Q="",ISBLANK(F_Custom1_Q),F_Custom1_V="(All)",F_Custom1_V="",ISBLANK(F_Custom1_V)),1,IFERROR(IF(ISNUMBER(SEARCH("|"&amp;INDEX(INDIRECT(F_Custom1_resolved_column),1161)&amp;"|",F_Custom1_wrapped)),1,0),0))</f>
        <v>1</v>
      </c>
      <c r="E1162">
        <f>IF(OR(F_Custom2_Q="(None)",F_Custom2_Q="",ISBLANK(F_Custom2_Q),F_Custom2_V="(All)",F_Custom2_V="",ISBLANK(F_Custom2_V)),1,IFERROR(IF(ISNUMBER(SEARCH("|"&amp;INDEX(INDIRECT(F_Custom2_resolved_column),1161)&amp;"|",F_Custom2_wrapped)),1,0),0))</f>
        <v>1</v>
      </c>
      <c r="F1162">
        <f>D1162*E1162*1</f>
        <v>1</v>
      </c>
      <c r="G1162">
        <f>1</f>
        <v>1</v>
      </c>
      <c r="H11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1161)&amp;"|",All_Questions_Q_STREAM_F_wrapped)),1,0),0))*1</f>
        <v>1</v>
      </c>
    </row>
    <row r="1163">
      <c r="A1163" t="n">
        <v>1162</v>
      </c>
      <c r="B1163" t="inlineStr">
        <is>
          <t>B</t>
        </is>
      </c>
      <c r="C1163">
        <f>1</f>
        <v>1</v>
      </c>
      <c r="D1163">
        <f>IF(OR(F_Custom1_Q="(None)",F_Custom1_Q="",ISBLANK(F_Custom1_Q),F_Custom1_V="(All)",F_Custom1_V="",ISBLANK(F_Custom1_V)),1,IFERROR(IF(ISNUMBER(SEARCH("|"&amp;INDEX(INDIRECT(F_Custom1_resolved_column),1162)&amp;"|",F_Custom1_wrapped)),1,0),0))</f>
        <v>1</v>
      </c>
      <c r="E1163">
        <f>IF(OR(F_Custom2_Q="(None)",F_Custom2_Q="",ISBLANK(F_Custom2_Q),F_Custom2_V="(All)",F_Custom2_V="",ISBLANK(F_Custom2_V)),1,IFERROR(IF(ISNUMBER(SEARCH("|"&amp;INDEX(INDIRECT(F_Custom2_resolved_column),1162)&amp;"|",F_Custom2_wrapped)),1,0),0))</f>
        <v>1</v>
      </c>
      <c r="F1163">
        <f>D1163*E1163*1</f>
        <v>1</v>
      </c>
      <c r="G1163">
        <f>1</f>
        <v>1</v>
      </c>
      <c r="H11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1162)&amp;"|",All_Questions_Q_STREAM_F_wrapped)),1,0),0))*1</f>
        <v>1</v>
      </c>
    </row>
    <row r="1164">
      <c r="A1164" t="n">
        <v>1163</v>
      </c>
      <c r="B1164" t="inlineStr">
        <is>
          <t>A</t>
        </is>
      </c>
      <c r="C1164">
        <f>1</f>
        <v>1</v>
      </c>
      <c r="D1164">
        <f>IF(OR(F_Custom1_Q="(None)",F_Custom1_Q="",ISBLANK(F_Custom1_Q),F_Custom1_V="(All)",F_Custom1_V="",ISBLANK(F_Custom1_V)),1,IFERROR(IF(ISNUMBER(SEARCH("|"&amp;INDEX(INDIRECT(F_Custom1_resolved_column),1163)&amp;"|",F_Custom1_wrapped)),1,0),0))</f>
        <v>1</v>
      </c>
      <c r="E1164">
        <f>IF(OR(F_Custom2_Q="(None)",F_Custom2_Q="",ISBLANK(F_Custom2_Q),F_Custom2_V="(All)",F_Custom2_V="",ISBLANK(F_Custom2_V)),1,IFERROR(IF(ISNUMBER(SEARCH("|"&amp;INDEX(INDIRECT(F_Custom2_resolved_column),1163)&amp;"|",F_Custom2_wrapped)),1,0),0))</f>
        <v>1</v>
      </c>
      <c r="F1164">
        <f>D1164*E1164*1</f>
        <v>1</v>
      </c>
      <c r="G1164">
        <f>1</f>
        <v>1</v>
      </c>
      <c r="H11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1163)&amp;"|",All_Questions_Q_STREAM_F_wrapped)),1,0),0))*1</f>
        <v>1</v>
      </c>
    </row>
    <row r="1165">
      <c r="A1165" t="n">
        <v>1164</v>
      </c>
      <c r="B1165" t="inlineStr">
        <is>
          <t>B</t>
        </is>
      </c>
      <c r="C1165">
        <f>1</f>
        <v>1</v>
      </c>
      <c r="D1165">
        <f>IF(OR(F_Custom1_Q="(None)",F_Custom1_Q="",ISBLANK(F_Custom1_Q),F_Custom1_V="(All)",F_Custom1_V="",ISBLANK(F_Custom1_V)),1,IFERROR(IF(ISNUMBER(SEARCH("|"&amp;INDEX(INDIRECT(F_Custom1_resolved_column),1164)&amp;"|",F_Custom1_wrapped)),1,0),0))</f>
        <v>1</v>
      </c>
      <c r="E1165">
        <f>IF(OR(F_Custom2_Q="(None)",F_Custom2_Q="",ISBLANK(F_Custom2_Q),F_Custom2_V="(All)",F_Custom2_V="",ISBLANK(F_Custom2_V)),1,IFERROR(IF(ISNUMBER(SEARCH("|"&amp;INDEX(INDIRECT(F_Custom2_resolved_column),1164)&amp;"|",F_Custom2_wrapped)),1,0),0))</f>
        <v>1</v>
      </c>
      <c r="F1165">
        <f>D1165*E1165*1</f>
        <v>1</v>
      </c>
      <c r="G1165">
        <f>1</f>
        <v>1</v>
      </c>
      <c r="H11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1164)&amp;"|",All_Questions_Q_STREAM_F_wrapped)),1,0),0))*1</f>
        <v>1</v>
      </c>
    </row>
    <row r="1166">
      <c r="A1166" t="n">
        <v>1165</v>
      </c>
      <c r="B1166" t="inlineStr">
        <is>
          <t>A</t>
        </is>
      </c>
      <c r="C1166">
        <f>1</f>
        <v>1</v>
      </c>
      <c r="D1166">
        <f>IF(OR(F_Custom1_Q="(None)",F_Custom1_Q="",ISBLANK(F_Custom1_Q),F_Custom1_V="(All)",F_Custom1_V="",ISBLANK(F_Custom1_V)),1,IFERROR(IF(ISNUMBER(SEARCH("|"&amp;INDEX(INDIRECT(F_Custom1_resolved_column),1165)&amp;"|",F_Custom1_wrapped)),1,0),0))</f>
        <v>1</v>
      </c>
      <c r="E1166">
        <f>IF(OR(F_Custom2_Q="(None)",F_Custom2_Q="",ISBLANK(F_Custom2_Q),F_Custom2_V="(All)",F_Custom2_V="",ISBLANK(F_Custom2_V)),1,IFERROR(IF(ISNUMBER(SEARCH("|"&amp;INDEX(INDIRECT(F_Custom2_resolved_column),1165)&amp;"|",F_Custom2_wrapped)),1,0),0))</f>
        <v>1</v>
      </c>
      <c r="F1166">
        <f>D1166*E1166*1</f>
        <v>1</v>
      </c>
      <c r="G1166">
        <f>1</f>
        <v>1</v>
      </c>
      <c r="H11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1165)&amp;"|",All_Questions_Q_STREAM_F_wrapped)),1,0),0))*1</f>
        <v>1</v>
      </c>
    </row>
    <row r="1167">
      <c r="A1167" t="n">
        <v>1166</v>
      </c>
      <c r="B1167" t="inlineStr">
        <is>
          <t>B</t>
        </is>
      </c>
      <c r="C1167">
        <f>1</f>
        <v>1</v>
      </c>
      <c r="D1167">
        <f>IF(OR(F_Custom1_Q="(None)",F_Custom1_Q="",ISBLANK(F_Custom1_Q),F_Custom1_V="(All)",F_Custom1_V="",ISBLANK(F_Custom1_V)),1,IFERROR(IF(ISNUMBER(SEARCH("|"&amp;INDEX(INDIRECT(F_Custom1_resolved_column),1166)&amp;"|",F_Custom1_wrapped)),1,0),0))</f>
        <v>1</v>
      </c>
      <c r="E1167">
        <f>IF(OR(F_Custom2_Q="(None)",F_Custom2_Q="",ISBLANK(F_Custom2_Q),F_Custom2_V="(All)",F_Custom2_V="",ISBLANK(F_Custom2_V)),1,IFERROR(IF(ISNUMBER(SEARCH("|"&amp;INDEX(INDIRECT(F_Custom2_resolved_column),1166)&amp;"|",F_Custom2_wrapped)),1,0),0))</f>
        <v>1</v>
      </c>
      <c r="F1167">
        <f>D1167*E1167*1</f>
        <v>1</v>
      </c>
      <c r="G1167">
        <f>1</f>
        <v>1</v>
      </c>
      <c r="H11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1166)&amp;"|",All_Questions_Q_STREAM_F_wrapped)),1,0),0))*1</f>
        <v>1</v>
      </c>
    </row>
    <row r="1168">
      <c r="A1168" t="n">
        <v>1167</v>
      </c>
      <c r="B1168" t="inlineStr">
        <is>
          <t>A</t>
        </is>
      </c>
      <c r="C1168">
        <f>1</f>
        <v>1</v>
      </c>
      <c r="D1168">
        <f>IF(OR(F_Custom1_Q="(None)",F_Custom1_Q="",ISBLANK(F_Custom1_Q),F_Custom1_V="(All)",F_Custom1_V="",ISBLANK(F_Custom1_V)),1,IFERROR(IF(ISNUMBER(SEARCH("|"&amp;INDEX(INDIRECT(F_Custom1_resolved_column),1167)&amp;"|",F_Custom1_wrapped)),1,0),0))</f>
        <v>1</v>
      </c>
      <c r="E1168">
        <f>IF(OR(F_Custom2_Q="(None)",F_Custom2_Q="",ISBLANK(F_Custom2_Q),F_Custom2_V="(All)",F_Custom2_V="",ISBLANK(F_Custom2_V)),1,IFERROR(IF(ISNUMBER(SEARCH("|"&amp;INDEX(INDIRECT(F_Custom2_resolved_column),1167)&amp;"|",F_Custom2_wrapped)),1,0),0))</f>
        <v>1</v>
      </c>
      <c r="F1168">
        <f>D1168*E1168*1</f>
        <v>1</v>
      </c>
      <c r="G1168">
        <f>1</f>
        <v>1</v>
      </c>
      <c r="H11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1167)&amp;"|",All_Questions_Q_STREAM_F_wrapped)),1,0),0))*1</f>
        <v>1</v>
      </c>
    </row>
    <row r="1169">
      <c r="A1169" t="n">
        <v>1168</v>
      </c>
      <c r="B1169" t="inlineStr">
        <is>
          <t>B</t>
        </is>
      </c>
      <c r="C1169">
        <f>1</f>
        <v>1</v>
      </c>
      <c r="D1169">
        <f>IF(OR(F_Custom1_Q="(None)",F_Custom1_Q="",ISBLANK(F_Custom1_Q),F_Custom1_V="(All)",F_Custom1_V="",ISBLANK(F_Custom1_V)),1,IFERROR(IF(ISNUMBER(SEARCH("|"&amp;INDEX(INDIRECT(F_Custom1_resolved_column),1168)&amp;"|",F_Custom1_wrapped)),1,0),0))</f>
        <v>1</v>
      </c>
      <c r="E1169">
        <f>IF(OR(F_Custom2_Q="(None)",F_Custom2_Q="",ISBLANK(F_Custom2_Q),F_Custom2_V="(All)",F_Custom2_V="",ISBLANK(F_Custom2_V)),1,IFERROR(IF(ISNUMBER(SEARCH("|"&amp;INDEX(INDIRECT(F_Custom2_resolved_column),1168)&amp;"|",F_Custom2_wrapped)),1,0),0))</f>
        <v>1</v>
      </c>
      <c r="F1169">
        <f>D1169*E1169*1</f>
        <v>1</v>
      </c>
      <c r="G1169">
        <f>1</f>
        <v>1</v>
      </c>
      <c r="H11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1168)&amp;"|",All_Questions_Q_STREAM_F_wrapped)),1,0),0))*1</f>
        <v>1</v>
      </c>
    </row>
    <row r="1170">
      <c r="A1170" t="n">
        <v>1169</v>
      </c>
      <c r="B1170" t="inlineStr">
        <is>
          <t>A</t>
        </is>
      </c>
      <c r="C1170">
        <f>1</f>
        <v>1</v>
      </c>
      <c r="D1170">
        <f>IF(OR(F_Custom1_Q="(None)",F_Custom1_Q="",ISBLANK(F_Custom1_Q),F_Custom1_V="(All)",F_Custom1_V="",ISBLANK(F_Custom1_V)),1,IFERROR(IF(ISNUMBER(SEARCH("|"&amp;INDEX(INDIRECT(F_Custom1_resolved_column),1169)&amp;"|",F_Custom1_wrapped)),1,0),0))</f>
        <v>1</v>
      </c>
      <c r="E1170">
        <f>IF(OR(F_Custom2_Q="(None)",F_Custom2_Q="",ISBLANK(F_Custom2_Q),F_Custom2_V="(All)",F_Custom2_V="",ISBLANK(F_Custom2_V)),1,IFERROR(IF(ISNUMBER(SEARCH("|"&amp;INDEX(INDIRECT(F_Custom2_resolved_column),1169)&amp;"|",F_Custom2_wrapped)),1,0),0))</f>
        <v>1</v>
      </c>
      <c r="F1170">
        <f>D1170*E1170*1</f>
        <v>1</v>
      </c>
      <c r="G1170">
        <f>1</f>
        <v>1</v>
      </c>
      <c r="H11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1169)&amp;"|",All_Questions_Q_STREAM_F_wrapped)),1,0),0))*1</f>
        <v>1</v>
      </c>
    </row>
    <row r="1171">
      <c r="A1171" t="n">
        <v>1170</v>
      </c>
      <c r="B1171" t="inlineStr">
        <is>
          <t>B</t>
        </is>
      </c>
      <c r="C1171">
        <f>1</f>
        <v>1</v>
      </c>
      <c r="D1171">
        <f>IF(OR(F_Custom1_Q="(None)",F_Custom1_Q="",ISBLANK(F_Custom1_Q),F_Custom1_V="(All)",F_Custom1_V="",ISBLANK(F_Custom1_V)),1,IFERROR(IF(ISNUMBER(SEARCH("|"&amp;INDEX(INDIRECT(F_Custom1_resolved_column),1170)&amp;"|",F_Custom1_wrapped)),1,0),0))</f>
        <v>1</v>
      </c>
      <c r="E1171">
        <f>IF(OR(F_Custom2_Q="(None)",F_Custom2_Q="",ISBLANK(F_Custom2_Q),F_Custom2_V="(All)",F_Custom2_V="",ISBLANK(F_Custom2_V)),1,IFERROR(IF(ISNUMBER(SEARCH("|"&amp;INDEX(INDIRECT(F_Custom2_resolved_column),1170)&amp;"|",F_Custom2_wrapped)),1,0),0))</f>
        <v>1</v>
      </c>
      <c r="F1171">
        <f>D1171*E1171*1</f>
        <v>1</v>
      </c>
      <c r="G1171">
        <f>1</f>
        <v>1</v>
      </c>
      <c r="H11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1170)&amp;"|",All_Questions_Q_STREAM_F_wrapped)),1,0),0))*1</f>
        <v>1</v>
      </c>
    </row>
    <row r="1172">
      <c r="A1172" t="n">
        <v>1171</v>
      </c>
      <c r="B1172" t="inlineStr">
        <is>
          <t>A</t>
        </is>
      </c>
      <c r="C1172">
        <f>1</f>
        <v>1</v>
      </c>
      <c r="D1172">
        <f>IF(OR(F_Custom1_Q="(None)",F_Custom1_Q="",ISBLANK(F_Custom1_Q),F_Custom1_V="(All)",F_Custom1_V="",ISBLANK(F_Custom1_V)),1,IFERROR(IF(ISNUMBER(SEARCH("|"&amp;INDEX(INDIRECT(F_Custom1_resolved_column),1171)&amp;"|",F_Custom1_wrapped)),1,0),0))</f>
        <v>1</v>
      </c>
      <c r="E1172">
        <f>IF(OR(F_Custom2_Q="(None)",F_Custom2_Q="",ISBLANK(F_Custom2_Q),F_Custom2_V="(All)",F_Custom2_V="",ISBLANK(F_Custom2_V)),1,IFERROR(IF(ISNUMBER(SEARCH("|"&amp;INDEX(INDIRECT(F_Custom2_resolved_column),1171)&amp;"|",F_Custom2_wrapped)),1,0),0))</f>
        <v>1</v>
      </c>
      <c r="F1172">
        <f>D1172*E1172*1</f>
        <v>1</v>
      </c>
      <c r="G1172">
        <f>1</f>
        <v>1</v>
      </c>
      <c r="H11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1171)&amp;"|",All_Questions_Q_STREAM_F_wrapped)),1,0),0))*1</f>
        <v>1</v>
      </c>
    </row>
    <row r="1173">
      <c r="A1173" t="n">
        <v>1172</v>
      </c>
      <c r="B1173" t="inlineStr">
        <is>
          <t>B</t>
        </is>
      </c>
      <c r="C1173">
        <f>1</f>
        <v>1</v>
      </c>
      <c r="D1173">
        <f>IF(OR(F_Custom1_Q="(None)",F_Custom1_Q="",ISBLANK(F_Custom1_Q),F_Custom1_V="(All)",F_Custom1_V="",ISBLANK(F_Custom1_V)),1,IFERROR(IF(ISNUMBER(SEARCH("|"&amp;INDEX(INDIRECT(F_Custom1_resolved_column),1172)&amp;"|",F_Custom1_wrapped)),1,0),0))</f>
        <v>1</v>
      </c>
      <c r="E1173">
        <f>IF(OR(F_Custom2_Q="(None)",F_Custom2_Q="",ISBLANK(F_Custom2_Q),F_Custom2_V="(All)",F_Custom2_V="",ISBLANK(F_Custom2_V)),1,IFERROR(IF(ISNUMBER(SEARCH("|"&amp;INDEX(INDIRECT(F_Custom2_resolved_column),1172)&amp;"|",F_Custom2_wrapped)),1,0),0))</f>
        <v>1</v>
      </c>
      <c r="F1173">
        <f>D1173*E1173*1</f>
        <v>1</v>
      </c>
      <c r="G1173">
        <f>1</f>
        <v>1</v>
      </c>
      <c r="H11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1172)&amp;"|",All_Questions_Q_STREAM_F_wrapped)),1,0),0))*1</f>
        <v>1</v>
      </c>
    </row>
    <row r="1174">
      <c r="A1174" t="n">
        <v>1173</v>
      </c>
      <c r="B1174" t="inlineStr">
        <is>
          <t>A</t>
        </is>
      </c>
      <c r="C1174">
        <f>1</f>
        <v>1</v>
      </c>
      <c r="D1174">
        <f>IF(OR(F_Custom1_Q="(None)",F_Custom1_Q="",ISBLANK(F_Custom1_Q),F_Custom1_V="(All)",F_Custom1_V="",ISBLANK(F_Custom1_V)),1,IFERROR(IF(ISNUMBER(SEARCH("|"&amp;INDEX(INDIRECT(F_Custom1_resolved_column),1173)&amp;"|",F_Custom1_wrapped)),1,0),0))</f>
        <v>1</v>
      </c>
      <c r="E1174">
        <f>IF(OR(F_Custom2_Q="(None)",F_Custom2_Q="",ISBLANK(F_Custom2_Q),F_Custom2_V="(All)",F_Custom2_V="",ISBLANK(F_Custom2_V)),1,IFERROR(IF(ISNUMBER(SEARCH("|"&amp;INDEX(INDIRECT(F_Custom2_resolved_column),1173)&amp;"|",F_Custom2_wrapped)),1,0),0))</f>
        <v>1</v>
      </c>
      <c r="F1174">
        <f>D1174*E1174*1</f>
        <v>1</v>
      </c>
      <c r="G1174">
        <f>1</f>
        <v>1</v>
      </c>
      <c r="H11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1173)&amp;"|",All_Questions_Q_STREAM_F_wrapped)),1,0),0))*1</f>
        <v>1</v>
      </c>
    </row>
    <row r="1175">
      <c r="A1175" t="n">
        <v>1174</v>
      </c>
      <c r="B1175" t="inlineStr">
        <is>
          <t>B</t>
        </is>
      </c>
      <c r="C1175">
        <f>1</f>
        <v>1</v>
      </c>
      <c r="D1175">
        <f>IF(OR(F_Custom1_Q="(None)",F_Custom1_Q="",ISBLANK(F_Custom1_Q),F_Custom1_V="(All)",F_Custom1_V="",ISBLANK(F_Custom1_V)),1,IFERROR(IF(ISNUMBER(SEARCH("|"&amp;INDEX(INDIRECT(F_Custom1_resolved_column),1174)&amp;"|",F_Custom1_wrapped)),1,0),0))</f>
        <v>1</v>
      </c>
      <c r="E1175">
        <f>IF(OR(F_Custom2_Q="(None)",F_Custom2_Q="",ISBLANK(F_Custom2_Q),F_Custom2_V="(All)",F_Custom2_V="",ISBLANK(F_Custom2_V)),1,IFERROR(IF(ISNUMBER(SEARCH("|"&amp;INDEX(INDIRECT(F_Custom2_resolved_column),1174)&amp;"|",F_Custom2_wrapped)),1,0),0))</f>
        <v>1</v>
      </c>
      <c r="F1175">
        <f>D1175*E1175*1</f>
        <v>1</v>
      </c>
      <c r="G1175">
        <f>1</f>
        <v>1</v>
      </c>
      <c r="H11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1174)&amp;"|",All_Questions_Q_STREAM_F_wrapped)),1,0),0))*1</f>
        <v>1</v>
      </c>
    </row>
    <row r="1176">
      <c r="A1176" t="n">
        <v>1175</v>
      </c>
      <c r="B1176" t="inlineStr">
        <is>
          <t>A</t>
        </is>
      </c>
      <c r="C1176">
        <f>1</f>
        <v>1</v>
      </c>
      <c r="D1176">
        <f>IF(OR(F_Custom1_Q="(None)",F_Custom1_Q="",ISBLANK(F_Custom1_Q),F_Custom1_V="(All)",F_Custom1_V="",ISBLANK(F_Custom1_V)),1,IFERROR(IF(ISNUMBER(SEARCH("|"&amp;INDEX(INDIRECT(F_Custom1_resolved_column),1175)&amp;"|",F_Custom1_wrapped)),1,0),0))</f>
        <v>1</v>
      </c>
      <c r="E1176">
        <f>IF(OR(F_Custom2_Q="(None)",F_Custom2_Q="",ISBLANK(F_Custom2_Q),F_Custom2_V="(All)",F_Custom2_V="",ISBLANK(F_Custom2_V)),1,IFERROR(IF(ISNUMBER(SEARCH("|"&amp;INDEX(INDIRECT(F_Custom2_resolved_column),1175)&amp;"|",F_Custom2_wrapped)),1,0),0))</f>
        <v>1</v>
      </c>
      <c r="F1176">
        <f>D1176*E1176*1</f>
        <v>1</v>
      </c>
      <c r="G1176">
        <f>1</f>
        <v>1</v>
      </c>
      <c r="H11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1175)&amp;"|",All_Questions_Q_STREAM_F_wrapped)),1,0),0))*1</f>
        <v>1</v>
      </c>
    </row>
    <row r="1177">
      <c r="A1177" t="n">
        <v>1176</v>
      </c>
      <c r="B1177" t="inlineStr">
        <is>
          <t>B</t>
        </is>
      </c>
      <c r="C1177">
        <f>1</f>
        <v>1</v>
      </c>
      <c r="D1177">
        <f>IF(OR(F_Custom1_Q="(None)",F_Custom1_Q="",ISBLANK(F_Custom1_Q),F_Custom1_V="(All)",F_Custom1_V="",ISBLANK(F_Custom1_V)),1,IFERROR(IF(ISNUMBER(SEARCH("|"&amp;INDEX(INDIRECT(F_Custom1_resolved_column),1176)&amp;"|",F_Custom1_wrapped)),1,0),0))</f>
        <v>1</v>
      </c>
      <c r="E1177">
        <f>IF(OR(F_Custom2_Q="(None)",F_Custom2_Q="",ISBLANK(F_Custom2_Q),F_Custom2_V="(All)",F_Custom2_V="",ISBLANK(F_Custom2_V)),1,IFERROR(IF(ISNUMBER(SEARCH("|"&amp;INDEX(INDIRECT(F_Custom2_resolved_column),1176)&amp;"|",F_Custom2_wrapped)),1,0),0))</f>
        <v>1</v>
      </c>
      <c r="F1177">
        <f>D1177*E1177*1</f>
        <v>1</v>
      </c>
      <c r="G1177">
        <f>1</f>
        <v>1</v>
      </c>
      <c r="H11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1176)&amp;"|",All_Questions_Q_STREAM_F_wrapped)),1,0),0))*1</f>
        <v>1</v>
      </c>
    </row>
    <row r="1178">
      <c r="A1178" t="n">
        <v>1177</v>
      </c>
      <c r="B1178" t="inlineStr">
        <is>
          <t>A</t>
        </is>
      </c>
      <c r="C1178">
        <f>1</f>
        <v>1</v>
      </c>
      <c r="D1178">
        <f>IF(OR(F_Custom1_Q="(None)",F_Custom1_Q="",ISBLANK(F_Custom1_Q),F_Custom1_V="(All)",F_Custom1_V="",ISBLANK(F_Custom1_V)),1,IFERROR(IF(ISNUMBER(SEARCH("|"&amp;INDEX(INDIRECT(F_Custom1_resolved_column),1177)&amp;"|",F_Custom1_wrapped)),1,0),0))</f>
        <v>1</v>
      </c>
      <c r="E1178">
        <f>IF(OR(F_Custom2_Q="(None)",F_Custom2_Q="",ISBLANK(F_Custom2_Q),F_Custom2_V="(All)",F_Custom2_V="",ISBLANK(F_Custom2_V)),1,IFERROR(IF(ISNUMBER(SEARCH("|"&amp;INDEX(INDIRECT(F_Custom2_resolved_column),1177)&amp;"|",F_Custom2_wrapped)),1,0),0))</f>
        <v>1</v>
      </c>
      <c r="F1178">
        <f>D1178*E1178*1</f>
        <v>1</v>
      </c>
      <c r="G1178">
        <f>1</f>
        <v>1</v>
      </c>
      <c r="H11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1177)&amp;"|",All_Questions_Q_STREAM_F_wrapped)),1,0),0))*1</f>
        <v>1</v>
      </c>
    </row>
    <row r="1179">
      <c r="A1179" t="n">
        <v>1178</v>
      </c>
      <c r="B1179" t="inlineStr">
        <is>
          <t>B</t>
        </is>
      </c>
      <c r="C1179">
        <f>1</f>
        <v>1</v>
      </c>
      <c r="D1179">
        <f>IF(OR(F_Custom1_Q="(None)",F_Custom1_Q="",ISBLANK(F_Custom1_Q),F_Custom1_V="(All)",F_Custom1_V="",ISBLANK(F_Custom1_V)),1,IFERROR(IF(ISNUMBER(SEARCH("|"&amp;INDEX(INDIRECT(F_Custom1_resolved_column),1178)&amp;"|",F_Custom1_wrapped)),1,0),0))</f>
        <v>1</v>
      </c>
      <c r="E1179">
        <f>IF(OR(F_Custom2_Q="(None)",F_Custom2_Q="",ISBLANK(F_Custom2_Q),F_Custom2_V="(All)",F_Custom2_V="",ISBLANK(F_Custom2_V)),1,IFERROR(IF(ISNUMBER(SEARCH("|"&amp;INDEX(INDIRECT(F_Custom2_resolved_column),1178)&amp;"|",F_Custom2_wrapped)),1,0),0))</f>
        <v>1</v>
      </c>
      <c r="F1179">
        <f>D1179*E1179*1</f>
        <v>1</v>
      </c>
      <c r="G1179">
        <f>1</f>
        <v>1</v>
      </c>
      <c r="H11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1178)&amp;"|",All_Questions_Q_STREAM_F_wrapped)),1,0),0))*1</f>
        <v>1</v>
      </c>
    </row>
    <row r="1180">
      <c r="A1180" t="n">
        <v>1179</v>
      </c>
      <c r="B1180" t="inlineStr">
        <is>
          <t>A</t>
        </is>
      </c>
      <c r="C1180">
        <f>1</f>
        <v>1</v>
      </c>
      <c r="D1180">
        <f>IF(OR(F_Custom1_Q="(None)",F_Custom1_Q="",ISBLANK(F_Custom1_Q),F_Custom1_V="(All)",F_Custom1_V="",ISBLANK(F_Custom1_V)),1,IFERROR(IF(ISNUMBER(SEARCH("|"&amp;INDEX(INDIRECT(F_Custom1_resolved_column),1179)&amp;"|",F_Custom1_wrapped)),1,0),0))</f>
        <v>1</v>
      </c>
      <c r="E1180">
        <f>IF(OR(F_Custom2_Q="(None)",F_Custom2_Q="",ISBLANK(F_Custom2_Q),F_Custom2_V="(All)",F_Custom2_V="",ISBLANK(F_Custom2_V)),1,IFERROR(IF(ISNUMBER(SEARCH("|"&amp;INDEX(INDIRECT(F_Custom2_resolved_column),1179)&amp;"|",F_Custom2_wrapped)),1,0),0))</f>
        <v>1</v>
      </c>
      <c r="F1180">
        <f>D1180*E1180*1</f>
        <v>1</v>
      </c>
      <c r="G1180">
        <f>1</f>
        <v>1</v>
      </c>
      <c r="H11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1179)&amp;"|",All_Questions_Q_STREAM_F_wrapped)),1,0),0))*1</f>
        <v>1</v>
      </c>
    </row>
    <row r="1181">
      <c r="A1181" t="n">
        <v>1180</v>
      </c>
      <c r="B1181" t="inlineStr">
        <is>
          <t>B</t>
        </is>
      </c>
      <c r="C1181">
        <f>1</f>
        <v>1</v>
      </c>
      <c r="D1181">
        <f>IF(OR(F_Custom1_Q="(None)",F_Custom1_Q="",ISBLANK(F_Custom1_Q),F_Custom1_V="(All)",F_Custom1_V="",ISBLANK(F_Custom1_V)),1,IFERROR(IF(ISNUMBER(SEARCH("|"&amp;INDEX(INDIRECT(F_Custom1_resolved_column),1180)&amp;"|",F_Custom1_wrapped)),1,0),0))</f>
        <v>1</v>
      </c>
      <c r="E1181">
        <f>IF(OR(F_Custom2_Q="(None)",F_Custom2_Q="",ISBLANK(F_Custom2_Q),F_Custom2_V="(All)",F_Custom2_V="",ISBLANK(F_Custom2_V)),1,IFERROR(IF(ISNUMBER(SEARCH("|"&amp;INDEX(INDIRECT(F_Custom2_resolved_column),1180)&amp;"|",F_Custom2_wrapped)),1,0),0))</f>
        <v>1</v>
      </c>
      <c r="F1181">
        <f>D1181*E1181*1</f>
        <v>1</v>
      </c>
      <c r="G1181">
        <f>1</f>
        <v>1</v>
      </c>
      <c r="H11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1180)&amp;"|",All_Questions_Q_STREAM_F_wrapped)),1,0),0))*1</f>
        <v>1</v>
      </c>
    </row>
    <row r="1182">
      <c r="A1182" t="n">
        <v>1181</v>
      </c>
      <c r="B1182" t="inlineStr">
        <is>
          <t>A</t>
        </is>
      </c>
      <c r="C1182">
        <f>1</f>
        <v>1</v>
      </c>
      <c r="D1182">
        <f>IF(OR(F_Custom1_Q="(None)",F_Custom1_Q="",ISBLANK(F_Custom1_Q),F_Custom1_V="(All)",F_Custom1_V="",ISBLANK(F_Custom1_V)),1,IFERROR(IF(ISNUMBER(SEARCH("|"&amp;INDEX(INDIRECT(F_Custom1_resolved_column),1181)&amp;"|",F_Custom1_wrapped)),1,0),0))</f>
        <v>1</v>
      </c>
      <c r="E1182">
        <f>IF(OR(F_Custom2_Q="(None)",F_Custom2_Q="",ISBLANK(F_Custom2_Q),F_Custom2_V="(All)",F_Custom2_V="",ISBLANK(F_Custom2_V)),1,IFERROR(IF(ISNUMBER(SEARCH("|"&amp;INDEX(INDIRECT(F_Custom2_resolved_column),1181)&amp;"|",F_Custom2_wrapped)),1,0),0))</f>
        <v>1</v>
      </c>
      <c r="F1182">
        <f>D1182*E1182*1</f>
        <v>1</v>
      </c>
      <c r="G1182">
        <f>1</f>
        <v>1</v>
      </c>
      <c r="H11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1181)&amp;"|",All_Questions_Q_STREAM_F_wrapped)),1,0),0))*1</f>
        <v>1</v>
      </c>
    </row>
    <row r="1183">
      <c r="A1183" t="n">
        <v>1182</v>
      </c>
      <c r="B1183" t="inlineStr">
        <is>
          <t>B</t>
        </is>
      </c>
      <c r="C1183">
        <f>1</f>
        <v>1</v>
      </c>
      <c r="D1183">
        <f>IF(OR(F_Custom1_Q="(None)",F_Custom1_Q="",ISBLANK(F_Custom1_Q),F_Custom1_V="(All)",F_Custom1_V="",ISBLANK(F_Custom1_V)),1,IFERROR(IF(ISNUMBER(SEARCH("|"&amp;INDEX(INDIRECT(F_Custom1_resolved_column),1182)&amp;"|",F_Custom1_wrapped)),1,0),0))</f>
        <v>1</v>
      </c>
      <c r="E1183">
        <f>IF(OR(F_Custom2_Q="(None)",F_Custom2_Q="",ISBLANK(F_Custom2_Q),F_Custom2_V="(All)",F_Custom2_V="",ISBLANK(F_Custom2_V)),1,IFERROR(IF(ISNUMBER(SEARCH("|"&amp;INDEX(INDIRECT(F_Custom2_resolved_column),1182)&amp;"|",F_Custom2_wrapped)),1,0),0))</f>
        <v>1</v>
      </c>
      <c r="F1183">
        <f>D1183*E1183*1</f>
        <v>1</v>
      </c>
      <c r="G1183">
        <f>1</f>
        <v>1</v>
      </c>
      <c r="H11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1182)&amp;"|",All_Questions_Q_STREAM_F_wrapped)),1,0),0))*1</f>
        <v>1</v>
      </c>
    </row>
    <row r="1184">
      <c r="A1184" t="n">
        <v>1183</v>
      </c>
      <c r="B1184" t="inlineStr">
        <is>
          <t>A</t>
        </is>
      </c>
      <c r="C1184">
        <f>1</f>
        <v>1</v>
      </c>
      <c r="D1184">
        <f>IF(OR(F_Custom1_Q="(None)",F_Custom1_Q="",ISBLANK(F_Custom1_Q),F_Custom1_V="(All)",F_Custom1_V="",ISBLANK(F_Custom1_V)),1,IFERROR(IF(ISNUMBER(SEARCH("|"&amp;INDEX(INDIRECT(F_Custom1_resolved_column),1183)&amp;"|",F_Custom1_wrapped)),1,0),0))</f>
        <v>1</v>
      </c>
      <c r="E1184">
        <f>IF(OR(F_Custom2_Q="(None)",F_Custom2_Q="",ISBLANK(F_Custom2_Q),F_Custom2_V="(All)",F_Custom2_V="",ISBLANK(F_Custom2_V)),1,IFERROR(IF(ISNUMBER(SEARCH("|"&amp;INDEX(INDIRECT(F_Custom2_resolved_column),1183)&amp;"|",F_Custom2_wrapped)),1,0),0))</f>
        <v>1</v>
      </c>
      <c r="F1184">
        <f>D1184*E1184*1</f>
        <v>1</v>
      </c>
      <c r="G1184">
        <f>1</f>
        <v>1</v>
      </c>
      <c r="H11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1183)&amp;"|",All_Questions_Q_STREAM_F_wrapped)),1,0),0))*1</f>
        <v>1</v>
      </c>
    </row>
    <row r="1185">
      <c r="A1185" t="n">
        <v>1184</v>
      </c>
      <c r="B1185" t="inlineStr">
        <is>
          <t>B</t>
        </is>
      </c>
      <c r="C1185">
        <f>1</f>
        <v>1</v>
      </c>
      <c r="D1185">
        <f>IF(OR(F_Custom1_Q="(None)",F_Custom1_Q="",ISBLANK(F_Custom1_Q),F_Custom1_V="(All)",F_Custom1_V="",ISBLANK(F_Custom1_V)),1,IFERROR(IF(ISNUMBER(SEARCH("|"&amp;INDEX(INDIRECT(F_Custom1_resolved_column),1184)&amp;"|",F_Custom1_wrapped)),1,0),0))</f>
        <v>1</v>
      </c>
      <c r="E1185">
        <f>IF(OR(F_Custom2_Q="(None)",F_Custom2_Q="",ISBLANK(F_Custom2_Q),F_Custom2_V="(All)",F_Custom2_V="",ISBLANK(F_Custom2_V)),1,IFERROR(IF(ISNUMBER(SEARCH("|"&amp;INDEX(INDIRECT(F_Custom2_resolved_column),1184)&amp;"|",F_Custom2_wrapped)),1,0),0))</f>
        <v>1</v>
      </c>
      <c r="F1185">
        <f>D1185*E1185*1</f>
        <v>1</v>
      </c>
      <c r="G1185">
        <f>1</f>
        <v>1</v>
      </c>
      <c r="H11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1184)&amp;"|",All_Questions_Q_STREAM_F_wrapped)),1,0),0))*1</f>
        <v>1</v>
      </c>
    </row>
    <row r="1186">
      <c r="A1186" t="n">
        <v>1185</v>
      </c>
      <c r="B1186" t="inlineStr">
        <is>
          <t>A</t>
        </is>
      </c>
      <c r="C1186">
        <f>1</f>
        <v>1</v>
      </c>
      <c r="D1186">
        <f>IF(OR(F_Custom1_Q="(None)",F_Custom1_Q="",ISBLANK(F_Custom1_Q),F_Custom1_V="(All)",F_Custom1_V="",ISBLANK(F_Custom1_V)),1,IFERROR(IF(ISNUMBER(SEARCH("|"&amp;INDEX(INDIRECT(F_Custom1_resolved_column),1185)&amp;"|",F_Custom1_wrapped)),1,0),0))</f>
        <v>1</v>
      </c>
      <c r="E1186">
        <f>IF(OR(F_Custom2_Q="(None)",F_Custom2_Q="",ISBLANK(F_Custom2_Q),F_Custom2_V="(All)",F_Custom2_V="",ISBLANK(F_Custom2_V)),1,IFERROR(IF(ISNUMBER(SEARCH("|"&amp;INDEX(INDIRECT(F_Custom2_resolved_column),1185)&amp;"|",F_Custom2_wrapped)),1,0),0))</f>
        <v>1</v>
      </c>
      <c r="F1186">
        <f>D1186*E1186*1</f>
        <v>1</v>
      </c>
      <c r="G1186">
        <f>1</f>
        <v>1</v>
      </c>
      <c r="H11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1185)&amp;"|",All_Questions_Q_STREAM_F_wrapped)),1,0),0))*1</f>
        <v>1</v>
      </c>
    </row>
    <row r="1187">
      <c r="A1187" t="n">
        <v>1186</v>
      </c>
      <c r="B1187" t="inlineStr">
        <is>
          <t>B</t>
        </is>
      </c>
      <c r="C1187">
        <f>1</f>
        <v>1</v>
      </c>
      <c r="D1187">
        <f>IF(OR(F_Custom1_Q="(None)",F_Custom1_Q="",ISBLANK(F_Custom1_Q),F_Custom1_V="(All)",F_Custom1_V="",ISBLANK(F_Custom1_V)),1,IFERROR(IF(ISNUMBER(SEARCH("|"&amp;INDEX(INDIRECT(F_Custom1_resolved_column),1186)&amp;"|",F_Custom1_wrapped)),1,0),0))</f>
        <v>1</v>
      </c>
      <c r="E1187">
        <f>IF(OR(F_Custom2_Q="(None)",F_Custom2_Q="",ISBLANK(F_Custom2_Q),F_Custom2_V="(All)",F_Custom2_V="",ISBLANK(F_Custom2_V)),1,IFERROR(IF(ISNUMBER(SEARCH("|"&amp;INDEX(INDIRECT(F_Custom2_resolved_column),1186)&amp;"|",F_Custom2_wrapped)),1,0),0))</f>
        <v>1</v>
      </c>
      <c r="F1187">
        <f>D1187*E1187*1</f>
        <v>1</v>
      </c>
      <c r="G1187">
        <f>1</f>
        <v>1</v>
      </c>
      <c r="H11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1186)&amp;"|",All_Questions_Q_STREAM_F_wrapped)),1,0),0))*1</f>
        <v>1</v>
      </c>
    </row>
    <row r="1188">
      <c r="A1188" t="n">
        <v>1187</v>
      </c>
      <c r="B1188" t="inlineStr">
        <is>
          <t>A</t>
        </is>
      </c>
      <c r="C1188">
        <f>1</f>
        <v>1</v>
      </c>
      <c r="D1188">
        <f>IF(OR(F_Custom1_Q="(None)",F_Custom1_Q="",ISBLANK(F_Custom1_Q),F_Custom1_V="(All)",F_Custom1_V="",ISBLANK(F_Custom1_V)),1,IFERROR(IF(ISNUMBER(SEARCH("|"&amp;INDEX(INDIRECT(F_Custom1_resolved_column),1187)&amp;"|",F_Custom1_wrapped)),1,0),0))</f>
        <v>1</v>
      </c>
      <c r="E1188">
        <f>IF(OR(F_Custom2_Q="(None)",F_Custom2_Q="",ISBLANK(F_Custom2_Q),F_Custom2_V="(All)",F_Custom2_V="",ISBLANK(F_Custom2_V)),1,IFERROR(IF(ISNUMBER(SEARCH("|"&amp;INDEX(INDIRECT(F_Custom2_resolved_column),1187)&amp;"|",F_Custom2_wrapped)),1,0),0))</f>
        <v>1</v>
      </c>
      <c r="F1188">
        <f>D1188*E1188*1</f>
        <v>1</v>
      </c>
      <c r="G1188">
        <f>1</f>
        <v>1</v>
      </c>
      <c r="H11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1187)&amp;"|",All_Questions_Q_STREAM_F_wrapped)),1,0),0))*1</f>
        <v>1</v>
      </c>
    </row>
    <row r="1189">
      <c r="A1189" t="n">
        <v>1188</v>
      </c>
      <c r="B1189" t="inlineStr">
        <is>
          <t>B</t>
        </is>
      </c>
      <c r="C1189">
        <f>1</f>
        <v>1</v>
      </c>
      <c r="D1189">
        <f>IF(OR(F_Custom1_Q="(None)",F_Custom1_Q="",ISBLANK(F_Custom1_Q),F_Custom1_V="(All)",F_Custom1_V="",ISBLANK(F_Custom1_V)),1,IFERROR(IF(ISNUMBER(SEARCH("|"&amp;INDEX(INDIRECT(F_Custom1_resolved_column),1188)&amp;"|",F_Custom1_wrapped)),1,0),0))</f>
        <v>1</v>
      </c>
      <c r="E1189">
        <f>IF(OR(F_Custom2_Q="(None)",F_Custom2_Q="",ISBLANK(F_Custom2_Q),F_Custom2_V="(All)",F_Custom2_V="",ISBLANK(F_Custom2_V)),1,IFERROR(IF(ISNUMBER(SEARCH("|"&amp;INDEX(INDIRECT(F_Custom2_resolved_column),1188)&amp;"|",F_Custom2_wrapped)),1,0),0))</f>
        <v>1</v>
      </c>
      <c r="F1189">
        <f>D1189*E1189*1</f>
        <v>1</v>
      </c>
      <c r="G1189">
        <f>1</f>
        <v>1</v>
      </c>
      <c r="H11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1188)&amp;"|",All_Questions_Q_STREAM_F_wrapped)),1,0),0))*1</f>
        <v>1</v>
      </c>
    </row>
    <row r="1190">
      <c r="A1190" t="n">
        <v>1189</v>
      </c>
      <c r="B1190" t="inlineStr">
        <is>
          <t>A</t>
        </is>
      </c>
      <c r="C1190">
        <f>1</f>
        <v>1</v>
      </c>
      <c r="D1190">
        <f>IF(OR(F_Custom1_Q="(None)",F_Custom1_Q="",ISBLANK(F_Custom1_Q),F_Custom1_V="(All)",F_Custom1_V="",ISBLANK(F_Custom1_V)),1,IFERROR(IF(ISNUMBER(SEARCH("|"&amp;INDEX(INDIRECT(F_Custom1_resolved_column),1189)&amp;"|",F_Custom1_wrapped)),1,0),0))</f>
        <v>1</v>
      </c>
      <c r="E1190">
        <f>IF(OR(F_Custom2_Q="(None)",F_Custom2_Q="",ISBLANK(F_Custom2_Q),F_Custom2_V="(All)",F_Custom2_V="",ISBLANK(F_Custom2_V)),1,IFERROR(IF(ISNUMBER(SEARCH("|"&amp;INDEX(INDIRECT(F_Custom2_resolved_column),1189)&amp;"|",F_Custom2_wrapped)),1,0),0))</f>
        <v>1</v>
      </c>
      <c r="F1190">
        <f>D1190*E1190*1</f>
        <v>1</v>
      </c>
      <c r="G1190">
        <f>1</f>
        <v>1</v>
      </c>
      <c r="H11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1189)&amp;"|",All_Questions_Q_STREAM_F_wrapped)),1,0),0))*1</f>
        <v>1</v>
      </c>
    </row>
    <row r="1191">
      <c r="A1191" t="n">
        <v>1190</v>
      </c>
      <c r="B1191" t="inlineStr">
        <is>
          <t>B</t>
        </is>
      </c>
      <c r="C1191">
        <f>1</f>
        <v>1</v>
      </c>
      <c r="D1191">
        <f>IF(OR(F_Custom1_Q="(None)",F_Custom1_Q="",ISBLANK(F_Custom1_Q),F_Custom1_V="(All)",F_Custom1_V="",ISBLANK(F_Custom1_V)),1,IFERROR(IF(ISNUMBER(SEARCH("|"&amp;INDEX(INDIRECT(F_Custom1_resolved_column),1190)&amp;"|",F_Custom1_wrapped)),1,0),0))</f>
        <v>1</v>
      </c>
      <c r="E1191">
        <f>IF(OR(F_Custom2_Q="(None)",F_Custom2_Q="",ISBLANK(F_Custom2_Q),F_Custom2_V="(All)",F_Custom2_V="",ISBLANK(F_Custom2_V)),1,IFERROR(IF(ISNUMBER(SEARCH("|"&amp;INDEX(INDIRECT(F_Custom2_resolved_column),1190)&amp;"|",F_Custom2_wrapped)),1,0),0))</f>
        <v>1</v>
      </c>
      <c r="F1191">
        <f>D1191*E1191*1</f>
        <v>1</v>
      </c>
      <c r="G1191">
        <f>1</f>
        <v>1</v>
      </c>
      <c r="H11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1190)&amp;"|",All_Questions_Q_STREAM_F_wrapped)),1,0),0))*1</f>
        <v>1</v>
      </c>
    </row>
    <row r="1192">
      <c r="A1192" t="n">
        <v>1191</v>
      </c>
      <c r="B1192" t="inlineStr">
        <is>
          <t>A</t>
        </is>
      </c>
      <c r="C1192">
        <f>1</f>
        <v>1</v>
      </c>
      <c r="D1192">
        <f>IF(OR(F_Custom1_Q="(None)",F_Custom1_Q="",ISBLANK(F_Custom1_Q),F_Custom1_V="(All)",F_Custom1_V="",ISBLANK(F_Custom1_V)),1,IFERROR(IF(ISNUMBER(SEARCH("|"&amp;INDEX(INDIRECT(F_Custom1_resolved_column),1191)&amp;"|",F_Custom1_wrapped)),1,0),0))</f>
        <v>1</v>
      </c>
      <c r="E1192">
        <f>IF(OR(F_Custom2_Q="(None)",F_Custom2_Q="",ISBLANK(F_Custom2_Q),F_Custom2_V="(All)",F_Custom2_V="",ISBLANK(F_Custom2_V)),1,IFERROR(IF(ISNUMBER(SEARCH("|"&amp;INDEX(INDIRECT(F_Custom2_resolved_column),1191)&amp;"|",F_Custom2_wrapped)),1,0),0))</f>
        <v>1</v>
      </c>
      <c r="F1192">
        <f>D1192*E1192*1</f>
        <v>1</v>
      </c>
      <c r="G1192">
        <f>1</f>
        <v>1</v>
      </c>
      <c r="H11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1191)&amp;"|",All_Questions_Q_STREAM_F_wrapped)),1,0),0))*1</f>
        <v>1</v>
      </c>
    </row>
    <row r="1193">
      <c r="A1193" t="n">
        <v>1192</v>
      </c>
      <c r="B1193" t="inlineStr">
        <is>
          <t>B</t>
        </is>
      </c>
      <c r="C1193">
        <f>1</f>
        <v>1</v>
      </c>
      <c r="D1193">
        <f>IF(OR(F_Custom1_Q="(None)",F_Custom1_Q="",ISBLANK(F_Custom1_Q),F_Custom1_V="(All)",F_Custom1_V="",ISBLANK(F_Custom1_V)),1,IFERROR(IF(ISNUMBER(SEARCH("|"&amp;INDEX(INDIRECT(F_Custom1_resolved_column),1192)&amp;"|",F_Custom1_wrapped)),1,0),0))</f>
        <v>1</v>
      </c>
      <c r="E1193">
        <f>IF(OR(F_Custom2_Q="(None)",F_Custom2_Q="",ISBLANK(F_Custom2_Q),F_Custom2_V="(All)",F_Custom2_V="",ISBLANK(F_Custom2_V)),1,IFERROR(IF(ISNUMBER(SEARCH("|"&amp;INDEX(INDIRECT(F_Custom2_resolved_column),1192)&amp;"|",F_Custom2_wrapped)),1,0),0))</f>
        <v>1</v>
      </c>
      <c r="F1193">
        <f>D1193*E1193*1</f>
        <v>1</v>
      </c>
      <c r="G1193">
        <f>1</f>
        <v>1</v>
      </c>
      <c r="H11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1192)&amp;"|",All_Questions_Q_STREAM_F_wrapped)),1,0),0))*1</f>
        <v>1</v>
      </c>
    </row>
    <row r="1194">
      <c r="A1194" t="n">
        <v>1193</v>
      </c>
      <c r="B1194" t="inlineStr">
        <is>
          <t>A</t>
        </is>
      </c>
      <c r="C1194">
        <f>1</f>
        <v>1</v>
      </c>
      <c r="D1194">
        <f>IF(OR(F_Custom1_Q="(None)",F_Custom1_Q="",ISBLANK(F_Custom1_Q),F_Custom1_V="(All)",F_Custom1_V="",ISBLANK(F_Custom1_V)),1,IFERROR(IF(ISNUMBER(SEARCH("|"&amp;INDEX(INDIRECT(F_Custom1_resolved_column),1193)&amp;"|",F_Custom1_wrapped)),1,0),0))</f>
        <v>1</v>
      </c>
      <c r="E1194">
        <f>IF(OR(F_Custom2_Q="(None)",F_Custom2_Q="",ISBLANK(F_Custom2_Q),F_Custom2_V="(All)",F_Custom2_V="",ISBLANK(F_Custom2_V)),1,IFERROR(IF(ISNUMBER(SEARCH("|"&amp;INDEX(INDIRECT(F_Custom2_resolved_column),1193)&amp;"|",F_Custom2_wrapped)),1,0),0))</f>
        <v>1</v>
      </c>
      <c r="F1194">
        <f>D1194*E1194*1</f>
        <v>1</v>
      </c>
      <c r="G1194">
        <f>1</f>
        <v>1</v>
      </c>
      <c r="H11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1193)&amp;"|",All_Questions_Q_STREAM_F_wrapped)),1,0),0))*1</f>
        <v>1</v>
      </c>
    </row>
    <row r="1195">
      <c r="A1195" t="n">
        <v>1194</v>
      </c>
      <c r="B1195" t="inlineStr">
        <is>
          <t>B</t>
        </is>
      </c>
      <c r="C1195">
        <f>1</f>
        <v>1</v>
      </c>
      <c r="D1195">
        <f>IF(OR(F_Custom1_Q="(None)",F_Custom1_Q="",ISBLANK(F_Custom1_Q),F_Custom1_V="(All)",F_Custom1_V="",ISBLANK(F_Custom1_V)),1,IFERROR(IF(ISNUMBER(SEARCH("|"&amp;INDEX(INDIRECT(F_Custom1_resolved_column),1194)&amp;"|",F_Custom1_wrapped)),1,0),0))</f>
        <v>1</v>
      </c>
      <c r="E1195">
        <f>IF(OR(F_Custom2_Q="(None)",F_Custom2_Q="",ISBLANK(F_Custom2_Q),F_Custom2_V="(All)",F_Custom2_V="",ISBLANK(F_Custom2_V)),1,IFERROR(IF(ISNUMBER(SEARCH("|"&amp;INDEX(INDIRECT(F_Custom2_resolved_column),1194)&amp;"|",F_Custom2_wrapped)),1,0),0))</f>
        <v>1</v>
      </c>
      <c r="F1195">
        <f>D1195*E1195*1</f>
        <v>1</v>
      </c>
      <c r="G1195">
        <f>1</f>
        <v>1</v>
      </c>
      <c r="H11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1194)&amp;"|",All_Questions_Q_STREAM_F_wrapped)),1,0),0))*1</f>
        <v>1</v>
      </c>
    </row>
    <row r="1196">
      <c r="A1196" t="n">
        <v>1195</v>
      </c>
      <c r="B1196" t="inlineStr">
        <is>
          <t>A</t>
        </is>
      </c>
      <c r="C1196">
        <f>1</f>
        <v>1</v>
      </c>
      <c r="D1196">
        <f>IF(OR(F_Custom1_Q="(None)",F_Custom1_Q="",ISBLANK(F_Custom1_Q),F_Custom1_V="(All)",F_Custom1_V="",ISBLANK(F_Custom1_V)),1,IFERROR(IF(ISNUMBER(SEARCH("|"&amp;INDEX(INDIRECT(F_Custom1_resolved_column),1195)&amp;"|",F_Custom1_wrapped)),1,0),0))</f>
        <v>1</v>
      </c>
      <c r="E1196">
        <f>IF(OR(F_Custom2_Q="(None)",F_Custom2_Q="",ISBLANK(F_Custom2_Q),F_Custom2_V="(All)",F_Custom2_V="",ISBLANK(F_Custom2_V)),1,IFERROR(IF(ISNUMBER(SEARCH("|"&amp;INDEX(INDIRECT(F_Custom2_resolved_column),1195)&amp;"|",F_Custom2_wrapped)),1,0),0))</f>
        <v>1</v>
      </c>
      <c r="F1196">
        <f>D1196*E1196*1</f>
        <v>1</v>
      </c>
      <c r="G1196">
        <f>1</f>
        <v>1</v>
      </c>
      <c r="H11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1195)&amp;"|",All_Questions_Q_STREAM_F_wrapped)),1,0),0))*1</f>
        <v>1</v>
      </c>
    </row>
    <row r="1197">
      <c r="A1197" t="n">
        <v>1196</v>
      </c>
      <c r="B1197" t="inlineStr">
        <is>
          <t>B</t>
        </is>
      </c>
      <c r="C1197">
        <f>1</f>
        <v>1</v>
      </c>
      <c r="D1197">
        <f>IF(OR(F_Custom1_Q="(None)",F_Custom1_Q="",ISBLANK(F_Custom1_Q),F_Custom1_V="(All)",F_Custom1_V="",ISBLANK(F_Custom1_V)),1,IFERROR(IF(ISNUMBER(SEARCH("|"&amp;INDEX(INDIRECT(F_Custom1_resolved_column),1196)&amp;"|",F_Custom1_wrapped)),1,0),0))</f>
        <v>1</v>
      </c>
      <c r="E1197">
        <f>IF(OR(F_Custom2_Q="(None)",F_Custom2_Q="",ISBLANK(F_Custom2_Q),F_Custom2_V="(All)",F_Custom2_V="",ISBLANK(F_Custom2_V)),1,IFERROR(IF(ISNUMBER(SEARCH("|"&amp;INDEX(INDIRECT(F_Custom2_resolved_column),1196)&amp;"|",F_Custom2_wrapped)),1,0),0))</f>
        <v>1</v>
      </c>
      <c r="F1197">
        <f>D1197*E1197*1</f>
        <v>1</v>
      </c>
      <c r="G1197">
        <f>1</f>
        <v>1</v>
      </c>
      <c r="H11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1196)&amp;"|",All_Questions_Q_STREAM_F_wrapped)),1,0),0))*1</f>
        <v>1</v>
      </c>
    </row>
    <row r="1198">
      <c r="A1198" t="n">
        <v>1197</v>
      </c>
      <c r="B1198" t="inlineStr">
        <is>
          <t>A</t>
        </is>
      </c>
      <c r="C1198">
        <f>1</f>
        <v>1</v>
      </c>
      <c r="D1198">
        <f>IF(OR(F_Custom1_Q="(None)",F_Custom1_Q="",ISBLANK(F_Custom1_Q),F_Custom1_V="(All)",F_Custom1_V="",ISBLANK(F_Custom1_V)),1,IFERROR(IF(ISNUMBER(SEARCH("|"&amp;INDEX(INDIRECT(F_Custom1_resolved_column),1197)&amp;"|",F_Custom1_wrapped)),1,0),0))</f>
        <v>1</v>
      </c>
      <c r="E1198">
        <f>IF(OR(F_Custom2_Q="(None)",F_Custom2_Q="",ISBLANK(F_Custom2_Q),F_Custom2_V="(All)",F_Custom2_V="",ISBLANK(F_Custom2_V)),1,IFERROR(IF(ISNUMBER(SEARCH("|"&amp;INDEX(INDIRECT(F_Custom2_resolved_column),1197)&amp;"|",F_Custom2_wrapped)),1,0),0))</f>
        <v>1</v>
      </c>
      <c r="F1198">
        <f>D1198*E1198*1</f>
        <v>1</v>
      </c>
      <c r="G1198">
        <f>1</f>
        <v>1</v>
      </c>
      <c r="H11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1197)&amp;"|",All_Questions_Q_STREAM_F_wrapped)),1,0),0))*1</f>
        <v>1</v>
      </c>
    </row>
    <row r="1199">
      <c r="A1199" t="n">
        <v>1198</v>
      </c>
      <c r="B1199" t="inlineStr">
        <is>
          <t>B</t>
        </is>
      </c>
      <c r="C1199">
        <f>1</f>
        <v>1</v>
      </c>
      <c r="D1199">
        <f>IF(OR(F_Custom1_Q="(None)",F_Custom1_Q="",ISBLANK(F_Custom1_Q),F_Custom1_V="(All)",F_Custom1_V="",ISBLANK(F_Custom1_V)),1,IFERROR(IF(ISNUMBER(SEARCH("|"&amp;INDEX(INDIRECT(F_Custom1_resolved_column),1198)&amp;"|",F_Custom1_wrapped)),1,0),0))</f>
        <v>1</v>
      </c>
      <c r="E1199">
        <f>IF(OR(F_Custom2_Q="(None)",F_Custom2_Q="",ISBLANK(F_Custom2_Q),F_Custom2_V="(All)",F_Custom2_V="",ISBLANK(F_Custom2_V)),1,IFERROR(IF(ISNUMBER(SEARCH("|"&amp;INDEX(INDIRECT(F_Custom2_resolved_column),1198)&amp;"|",F_Custom2_wrapped)),1,0),0))</f>
        <v>1</v>
      </c>
      <c r="F1199">
        <f>D1199*E1199*1</f>
        <v>1</v>
      </c>
      <c r="G1199">
        <f>1</f>
        <v>1</v>
      </c>
      <c r="H11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1198)&amp;"|",All_Questions_Q_STREAM_F_wrapped)),1,0),0))*1</f>
        <v>1</v>
      </c>
    </row>
    <row r="1200">
      <c r="A1200" t="n">
        <v>1199</v>
      </c>
      <c r="B1200" t="inlineStr">
        <is>
          <t>A</t>
        </is>
      </c>
      <c r="C1200">
        <f>1</f>
        <v>1</v>
      </c>
      <c r="D1200">
        <f>IF(OR(F_Custom1_Q="(None)",F_Custom1_Q="",ISBLANK(F_Custom1_Q),F_Custom1_V="(All)",F_Custom1_V="",ISBLANK(F_Custom1_V)),1,IFERROR(IF(ISNUMBER(SEARCH("|"&amp;INDEX(INDIRECT(F_Custom1_resolved_column),1199)&amp;"|",F_Custom1_wrapped)),1,0),0))</f>
        <v>1</v>
      </c>
      <c r="E1200">
        <f>IF(OR(F_Custom2_Q="(None)",F_Custom2_Q="",ISBLANK(F_Custom2_Q),F_Custom2_V="(All)",F_Custom2_V="",ISBLANK(F_Custom2_V)),1,IFERROR(IF(ISNUMBER(SEARCH("|"&amp;INDEX(INDIRECT(F_Custom2_resolved_column),1199)&amp;"|",F_Custom2_wrapped)),1,0),0))</f>
        <v>1</v>
      </c>
      <c r="F1200">
        <f>D1200*E1200*1</f>
        <v>1</v>
      </c>
      <c r="G1200">
        <f>1</f>
        <v>1</v>
      </c>
      <c r="H12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1199)&amp;"|",All_Questions_Q_STREAM_F_wrapped)),1,0),0))*1</f>
        <v>1</v>
      </c>
    </row>
    <row r="1201">
      <c r="A1201" t="n">
        <v>1200</v>
      </c>
      <c r="B1201" t="inlineStr">
        <is>
          <t>B</t>
        </is>
      </c>
      <c r="C1201">
        <f>1</f>
        <v>1</v>
      </c>
      <c r="D1201">
        <f>IF(OR(F_Custom1_Q="(None)",F_Custom1_Q="",ISBLANK(F_Custom1_Q),F_Custom1_V="(All)",F_Custom1_V="",ISBLANK(F_Custom1_V)),1,IFERROR(IF(ISNUMBER(SEARCH("|"&amp;INDEX(INDIRECT(F_Custom1_resolved_column),1200)&amp;"|",F_Custom1_wrapped)),1,0),0))</f>
        <v>1</v>
      </c>
      <c r="E1201">
        <f>IF(OR(F_Custom2_Q="(None)",F_Custom2_Q="",ISBLANK(F_Custom2_Q),F_Custom2_V="(All)",F_Custom2_V="",ISBLANK(F_Custom2_V)),1,IFERROR(IF(ISNUMBER(SEARCH("|"&amp;INDEX(INDIRECT(F_Custom2_resolved_column),1200)&amp;"|",F_Custom2_wrapped)),1,0),0))</f>
        <v>1</v>
      </c>
      <c r="F1201">
        <f>D1201*E1201*1</f>
        <v>1</v>
      </c>
      <c r="G1201">
        <f>1</f>
        <v>1</v>
      </c>
      <c r="H12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1200)&amp;"|",All_Questions_Q_STREAM_F_wrapped)),1,0),0))*1</f>
        <v>1</v>
      </c>
    </row>
    <row r="1202">
      <c r="A1202" t="n">
        <v>1201</v>
      </c>
      <c r="B1202" t="inlineStr">
        <is>
          <t>A</t>
        </is>
      </c>
      <c r="C1202">
        <f>1</f>
        <v>1</v>
      </c>
      <c r="D1202">
        <f>IF(OR(F_Custom1_Q="(None)",F_Custom1_Q="",ISBLANK(F_Custom1_Q),F_Custom1_V="(All)",F_Custom1_V="",ISBLANK(F_Custom1_V)),1,IFERROR(IF(ISNUMBER(SEARCH("|"&amp;INDEX(INDIRECT(F_Custom1_resolved_column),1201)&amp;"|",F_Custom1_wrapped)),1,0),0))</f>
        <v>1</v>
      </c>
      <c r="E1202">
        <f>IF(OR(F_Custom2_Q="(None)",F_Custom2_Q="",ISBLANK(F_Custom2_Q),F_Custom2_V="(All)",F_Custom2_V="",ISBLANK(F_Custom2_V)),1,IFERROR(IF(ISNUMBER(SEARCH("|"&amp;INDEX(INDIRECT(F_Custom2_resolved_column),1201)&amp;"|",F_Custom2_wrapped)),1,0),0))</f>
        <v>1</v>
      </c>
      <c r="F1202">
        <f>D1202*E1202*1</f>
        <v>1</v>
      </c>
      <c r="G1202">
        <f>1</f>
        <v>1</v>
      </c>
      <c r="H12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1201)&amp;"|",All_Questions_Q_STREAM_F_wrapped)),1,0),0))*1</f>
        <v>1</v>
      </c>
    </row>
    <row r="1203">
      <c r="A1203" t="n">
        <v>1202</v>
      </c>
      <c r="B1203" t="inlineStr">
        <is>
          <t>B</t>
        </is>
      </c>
      <c r="C1203">
        <f>1</f>
        <v>1</v>
      </c>
      <c r="D1203">
        <f>IF(OR(F_Custom1_Q="(None)",F_Custom1_Q="",ISBLANK(F_Custom1_Q),F_Custom1_V="(All)",F_Custom1_V="",ISBLANK(F_Custom1_V)),1,IFERROR(IF(ISNUMBER(SEARCH("|"&amp;INDEX(INDIRECT(F_Custom1_resolved_column),1202)&amp;"|",F_Custom1_wrapped)),1,0),0))</f>
        <v>1</v>
      </c>
      <c r="E1203">
        <f>IF(OR(F_Custom2_Q="(None)",F_Custom2_Q="",ISBLANK(F_Custom2_Q),F_Custom2_V="(All)",F_Custom2_V="",ISBLANK(F_Custom2_V)),1,IFERROR(IF(ISNUMBER(SEARCH("|"&amp;INDEX(INDIRECT(F_Custom2_resolved_column),1202)&amp;"|",F_Custom2_wrapped)),1,0),0))</f>
        <v>1</v>
      </c>
      <c r="F1203">
        <f>D1203*E1203*1</f>
        <v>1</v>
      </c>
      <c r="G1203">
        <f>1</f>
        <v>1</v>
      </c>
      <c r="H12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1202)&amp;"|",All_Questions_Q_STREAM_F_wrapped)),1,0),0))*1</f>
        <v>1</v>
      </c>
    </row>
    <row r="1204">
      <c r="A1204" t="n">
        <v>1203</v>
      </c>
      <c r="B1204" t="inlineStr">
        <is>
          <t>A</t>
        </is>
      </c>
      <c r="C1204">
        <f>1</f>
        <v>1</v>
      </c>
      <c r="D1204">
        <f>IF(OR(F_Custom1_Q="(None)",F_Custom1_Q="",ISBLANK(F_Custom1_Q),F_Custom1_V="(All)",F_Custom1_V="",ISBLANK(F_Custom1_V)),1,IFERROR(IF(ISNUMBER(SEARCH("|"&amp;INDEX(INDIRECT(F_Custom1_resolved_column),1203)&amp;"|",F_Custom1_wrapped)),1,0),0))</f>
        <v>1</v>
      </c>
      <c r="E1204">
        <f>IF(OR(F_Custom2_Q="(None)",F_Custom2_Q="",ISBLANK(F_Custom2_Q),F_Custom2_V="(All)",F_Custom2_V="",ISBLANK(F_Custom2_V)),1,IFERROR(IF(ISNUMBER(SEARCH("|"&amp;INDEX(INDIRECT(F_Custom2_resolved_column),1203)&amp;"|",F_Custom2_wrapped)),1,0),0))</f>
        <v>1</v>
      </c>
      <c r="F1204">
        <f>D1204*E1204*1</f>
        <v>1</v>
      </c>
      <c r="G1204">
        <f>1</f>
        <v>1</v>
      </c>
      <c r="H12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1203)&amp;"|",All_Questions_Q_STREAM_F_wrapped)),1,0),0))*1</f>
        <v>1</v>
      </c>
    </row>
    <row r="1205">
      <c r="A1205" t="n">
        <v>1204</v>
      </c>
      <c r="B1205" t="inlineStr">
        <is>
          <t>B</t>
        </is>
      </c>
      <c r="C1205">
        <f>1</f>
        <v>1</v>
      </c>
      <c r="D1205">
        <f>IF(OR(F_Custom1_Q="(None)",F_Custom1_Q="",ISBLANK(F_Custom1_Q),F_Custom1_V="(All)",F_Custom1_V="",ISBLANK(F_Custom1_V)),1,IFERROR(IF(ISNUMBER(SEARCH("|"&amp;INDEX(INDIRECT(F_Custom1_resolved_column),1204)&amp;"|",F_Custom1_wrapped)),1,0),0))</f>
        <v>1</v>
      </c>
      <c r="E1205">
        <f>IF(OR(F_Custom2_Q="(None)",F_Custom2_Q="",ISBLANK(F_Custom2_Q),F_Custom2_V="(All)",F_Custom2_V="",ISBLANK(F_Custom2_V)),1,IFERROR(IF(ISNUMBER(SEARCH("|"&amp;INDEX(INDIRECT(F_Custom2_resolved_column),1204)&amp;"|",F_Custom2_wrapped)),1,0),0))</f>
        <v>1</v>
      </c>
      <c r="F1205">
        <f>D1205*E1205*1</f>
        <v>1</v>
      </c>
      <c r="G1205">
        <f>1</f>
        <v>1</v>
      </c>
      <c r="H12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1204)&amp;"|",All_Questions_Q_STREAM_F_wrapped)),1,0),0))*1</f>
        <v>1</v>
      </c>
    </row>
    <row r="1206">
      <c r="A1206" t="n">
        <v>1205</v>
      </c>
      <c r="B1206" t="inlineStr">
        <is>
          <t>A</t>
        </is>
      </c>
      <c r="C1206">
        <f>1</f>
        <v>1</v>
      </c>
      <c r="D1206">
        <f>IF(OR(F_Custom1_Q="(None)",F_Custom1_Q="",ISBLANK(F_Custom1_Q),F_Custom1_V="(All)",F_Custom1_V="",ISBLANK(F_Custom1_V)),1,IFERROR(IF(ISNUMBER(SEARCH("|"&amp;INDEX(INDIRECT(F_Custom1_resolved_column),1205)&amp;"|",F_Custom1_wrapped)),1,0),0))</f>
        <v>1</v>
      </c>
      <c r="E1206">
        <f>IF(OR(F_Custom2_Q="(None)",F_Custom2_Q="",ISBLANK(F_Custom2_Q),F_Custom2_V="(All)",F_Custom2_V="",ISBLANK(F_Custom2_V)),1,IFERROR(IF(ISNUMBER(SEARCH("|"&amp;INDEX(INDIRECT(F_Custom2_resolved_column),1205)&amp;"|",F_Custom2_wrapped)),1,0),0))</f>
        <v>1</v>
      </c>
      <c r="F1206">
        <f>D1206*E1206*1</f>
        <v>1</v>
      </c>
      <c r="G1206">
        <f>1</f>
        <v>1</v>
      </c>
      <c r="H12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1205)&amp;"|",All_Questions_Q_STREAM_F_wrapped)),1,0),0))*1</f>
        <v>1</v>
      </c>
    </row>
    <row r="1207">
      <c r="A1207" t="n">
        <v>1206</v>
      </c>
      <c r="B1207" t="inlineStr">
        <is>
          <t>B</t>
        </is>
      </c>
      <c r="C1207">
        <f>1</f>
        <v>1</v>
      </c>
      <c r="D1207">
        <f>IF(OR(F_Custom1_Q="(None)",F_Custom1_Q="",ISBLANK(F_Custom1_Q),F_Custom1_V="(All)",F_Custom1_V="",ISBLANK(F_Custom1_V)),1,IFERROR(IF(ISNUMBER(SEARCH("|"&amp;INDEX(INDIRECT(F_Custom1_resolved_column),1206)&amp;"|",F_Custom1_wrapped)),1,0),0))</f>
        <v>1</v>
      </c>
      <c r="E1207">
        <f>IF(OR(F_Custom2_Q="(None)",F_Custom2_Q="",ISBLANK(F_Custom2_Q),F_Custom2_V="(All)",F_Custom2_V="",ISBLANK(F_Custom2_V)),1,IFERROR(IF(ISNUMBER(SEARCH("|"&amp;INDEX(INDIRECT(F_Custom2_resolved_column),1206)&amp;"|",F_Custom2_wrapped)),1,0),0))</f>
        <v>1</v>
      </c>
      <c r="F1207">
        <f>D1207*E1207*1</f>
        <v>1</v>
      </c>
      <c r="G1207">
        <f>1</f>
        <v>1</v>
      </c>
      <c r="H12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1206)&amp;"|",All_Questions_Q_STREAM_F_wrapped)),1,0),0))*1</f>
        <v>1</v>
      </c>
    </row>
    <row r="1208">
      <c r="A1208" t="n">
        <v>1207</v>
      </c>
      <c r="B1208" t="inlineStr">
        <is>
          <t>A</t>
        </is>
      </c>
      <c r="C1208">
        <f>1</f>
        <v>1</v>
      </c>
      <c r="D1208">
        <f>IF(OR(F_Custom1_Q="(None)",F_Custom1_Q="",ISBLANK(F_Custom1_Q),F_Custom1_V="(All)",F_Custom1_V="",ISBLANK(F_Custom1_V)),1,IFERROR(IF(ISNUMBER(SEARCH("|"&amp;INDEX(INDIRECT(F_Custom1_resolved_column),1207)&amp;"|",F_Custom1_wrapped)),1,0),0))</f>
        <v>1</v>
      </c>
      <c r="E1208">
        <f>IF(OR(F_Custom2_Q="(None)",F_Custom2_Q="",ISBLANK(F_Custom2_Q),F_Custom2_V="(All)",F_Custom2_V="",ISBLANK(F_Custom2_V)),1,IFERROR(IF(ISNUMBER(SEARCH("|"&amp;INDEX(INDIRECT(F_Custom2_resolved_column),1207)&amp;"|",F_Custom2_wrapped)),1,0),0))</f>
        <v>1</v>
      </c>
      <c r="F1208">
        <f>D1208*E1208*1</f>
        <v>1</v>
      </c>
      <c r="G1208">
        <f>1</f>
        <v>1</v>
      </c>
      <c r="H12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1207)&amp;"|",All_Questions_Q_STREAM_F_wrapped)),1,0),0))*1</f>
        <v>1</v>
      </c>
    </row>
    <row r="1209">
      <c r="A1209" t="n">
        <v>1208</v>
      </c>
      <c r="B1209" t="inlineStr">
        <is>
          <t>B</t>
        </is>
      </c>
      <c r="C1209">
        <f>1</f>
        <v>1</v>
      </c>
      <c r="D1209">
        <f>IF(OR(F_Custom1_Q="(None)",F_Custom1_Q="",ISBLANK(F_Custom1_Q),F_Custom1_V="(All)",F_Custom1_V="",ISBLANK(F_Custom1_V)),1,IFERROR(IF(ISNUMBER(SEARCH("|"&amp;INDEX(INDIRECT(F_Custom1_resolved_column),1208)&amp;"|",F_Custom1_wrapped)),1,0),0))</f>
        <v>1</v>
      </c>
      <c r="E1209">
        <f>IF(OR(F_Custom2_Q="(None)",F_Custom2_Q="",ISBLANK(F_Custom2_Q),F_Custom2_V="(All)",F_Custom2_V="",ISBLANK(F_Custom2_V)),1,IFERROR(IF(ISNUMBER(SEARCH("|"&amp;INDEX(INDIRECT(F_Custom2_resolved_column),1208)&amp;"|",F_Custom2_wrapped)),1,0),0))</f>
        <v>1</v>
      </c>
      <c r="F1209">
        <f>D1209*E1209*1</f>
        <v>1</v>
      </c>
      <c r="G1209">
        <f>1</f>
        <v>1</v>
      </c>
      <c r="H12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1208)&amp;"|",All_Questions_Q_STREAM_F_wrapped)),1,0),0))*1</f>
        <v>1</v>
      </c>
    </row>
    <row r="1210">
      <c r="A1210" t="n">
        <v>1209</v>
      </c>
      <c r="B1210" t="inlineStr">
        <is>
          <t>A</t>
        </is>
      </c>
      <c r="C1210">
        <f>1</f>
        <v>1</v>
      </c>
      <c r="D1210">
        <f>IF(OR(F_Custom1_Q="(None)",F_Custom1_Q="",ISBLANK(F_Custom1_Q),F_Custom1_V="(All)",F_Custom1_V="",ISBLANK(F_Custom1_V)),1,IFERROR(IF(ISNUMBER(SEARCH("|"&amp;INDEX(INDIRECT(F_Custom1_resolved_column),1209)&amp;"|",F_Custom1_wrapped)),1,0),0))</f>
        <v>1</v>
      </c>
      <c r="E1210">
        <f>IF(OR(F_Custom2_Q="(None)",F_Custom2_Q="",ISBLANK(F_Custom2_Q),F_Custom2_V="(All)",F_Custom2_V="",ISBLANK(F_Custom2_V)),1,IFERROR(IF(ISNUMBER(SEARCH("|"&amp;INDEX(INDIRECT(F_Custom2_resolved_column),1209)&amp;"|",F_Custom2_wrapped)),1,0),0))</f>
        <v>1</v>
      </c>
      <c r="F1210">
        <f>D1210*E1210*1</f>
        <v>1</v>
      </c>
      <c r="G1210">
        <f>1</f>
        <v>1</v>
      </c>
      <c r="H12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1209)&amp;"|",All_Questions_Q_STREAM_F_wrapped)),1,0),0))*1</f>
        <v>1</v>
      </c>
    </row>
    <row r="1211">
      <c r="A1211" t="n">
        <v>1210</v>
      </c>
      <c r="B1211" t="inlineStr">
        <is>
          <t>B</t>
        </is>
      </c>
      <c r="C1211">
        <f>1</f>
        <v>1</v>
      </c>
      <c r="D1211">
        <f>IF(OR(F_Custom1_Q="(None)",F_Custom1_Q="",ISBLANK(F_Custom1_Q),F_Custom1_V="(All)",F_Custom1_V="",ISBLANK(F_Custom1_V)),1,IFERROR(IF(ISNUMBER(SEARCH("|"&amp;INDEX(INDIRECT(F_Custom1_resolved_column),1210)&amp;"|",F_Custom1_wrapped)),1,0),0))</f>
        <v>1</v>
      </c>
      <c r="E1211">
        <f>IF(OR(F_Custom2_Q="(None)",F_Custom2_Q="",ISBLANK(F_Custom2_Q),F_Custom2_V="(All)",F_Custom2_V="",ISBLANK(F_Custom2_V)),1,IFERROR(IF(ISNUMBER(SEARCH("|"&amp;INDEX(INDIRECT(F_Custom2_resolved_column),1210)&amp;"|",F_Custom2_wrapped)),1,0),0))</f>
        <v>1</v>
      </c>
      <c r="F1211">
        <f>D1211*E1211*1</f>
        <v>1</v>
      </c>
      <c r="G1211">
        <f>1</f>
        <v>1</v>
      </c>
      <c r="H12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1210)&amp;"|",All_Questions_Q_STREAM_F_wrapped)),1,0),0))*1</f>
        <v>1</v>
      </c>
    </row>
    <row r="1212">
      <c r="A1212" t="n">
        <v>1211</v>
      </c>
      <c r="B1212" t="inlineStr">
        <is>
          <t>A</t>
        </is>
      </c>
      <c r="C1212">
        <f>1</f>
        <v>1</v>
      </c>
      <c r="D1212">
        <f>IF(OR(F_Custom1_Q="(None)",F_Custom1_Q="",ISBLANK(F_Custom1_Q),F_Custom1_V="(All)",F_Custom1_V="",ISBLANK(F_Custom1_V)),1,IFERROR(IF(ISNUMBER(SEARCH("|"&amp;INDEX(INDIRECT(F_Custom1_resolved_column),1211)&amp;"|",F_Custom1_wrapped)),1,0),0))</f>
        <v>1</v>
      </c>
      <c r="E1212">
        <f>IF(OR(F_Custom2_Q="(None)",F_Custom2_Q="",ISBLANK(F_Custom2_Q),F_Custom2_V="(All)",F_Custom2_V="",ISBLANK(F_Custom2_V)),1,IFERROR(IF(ISNUMBER(SEARCH("|"&amp;INDEX(INDIRECT(F_Custom2_resolved_column),1211)&amp;"|",F_Custom2_wrapped)),1,0),0))</f>
        <v>1</v>
      </c>
      <c r="F1212">
        <f>D1212*E1212*1</f>
        <v>1</v>
      </c>
      <c r="G1212">
        <f>1</f>
        <v>1</v>
      </c>
      <c r="H12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1211)&amp;"|",All_Questions_Q_STREAM_F_wrapped)),1,0),0))*1</f>
        <v>1</v>
      </c>
    </row>
    <row r="1213">
      <c r="A1213" t="n">
        <v>1212</v>
      </c>
      <c r="B1213" t="inlineStr">
        <is>
          <t>B</t>
        </is>
      </c>
      <c r="C1213">
        <f>1</f>
        <v>1</v>
      </c>
      <c r="D1213">
        <f>IF(OR(F_Custom1_Q="(None)",F_Custom1_Q="",ISBLANK(F_Custom1_Q),F_Custom1_V="(All)",F_Custom1_V="",ISBLANK(F_Custom1_V)),1,IFERROR(IF(ISNUMBER(SEARCH("|"&amp;INDEX(INDIRECT(F_Custom1_resolved_column),1212)&amp;"|",F_Custom1_wrapped)),1,0),0))</f>
        <v>1</v>
      </c>
      <c r="E1213">
        <f>IF(OR(F_Custom2_Q="(None)",F_Custom2_Q="",ISBLANK(F_Custom2_Q),F_Custom2_V="(All)",F_Custom2_V="",ISBLANK(F_Custom2_V)),1,IFERROR(IF(ISNUMBER(SEARCH("|"&amp;INDEX(INDIRECT(F_Custom2_resolved_column),1212)&amp;"|",F_Custom2_wrapped)),1,0),0))</f>
        <v>1</v>
      </c>
      <c r="F1213">
        <f>D1213*E1213*1</f>
        <v>1</v>
      </c>
      <c r="G1213">
        <f>1</f>
        <v>1</v>
      </c>
      <c r="H12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1212)&amp;"|",All_Questions_Q_STREAM_F_wrapped)),1,0),0))*1</f>
        <v>1</v>
      </c>
    </row>
    <row r="1214">
      <c r="A1214" t="n">
        <v>1213</v>
      </c>
      <c r="B1214" t="inlineStr">
        <is>
          <t>A</t>
        </is>
      </c>
      <c r="C1214">
        <f>1</f>
        <v>1</v>
      </c>
      <c r="D1214">
        <f>IF(OR(F_Custom1_Q="(None)",F_Custom1_Q="",ISBLANK(F_Custom1_Q),F_Custom1_V="(All)",F_Custom1_V="",ISBLANK(F_Custom1_V)),1,IFERROR(IF(ISNUMBER(SEARCH("|"&amp;INDEX(INDIRECT(F_Custom1_resolved_column),1213)&amp;"|",F_Custom1_wrapped)),1,0),0))</f>
        <v>1</v>
      </c>
      <c r="E1214">
        <f>IF(OR(F_Custom2_Q="(None)",F_Custom2_Q="",ISBLANK(F_Custom2_Q),F_Custom2_V="(All)",F_Custom2_V="",ISBLANK(F_Custom2_V)),1,IFERROR(IF(ISNUMBER(SEARCH("|"&amp;INDEX(INDIRECT(F_Custom2_resolved_column),1213)&amp;"|",F_Custom2_wrapped)),1,0),0))</f>
        <v>1</v>
      </c>
      <c r="F1214">
        <f>D1214*E1214*1</f>
        <v>1</v>
      </c>
      <c r="G1214">
        <f>1</f>
        <v>1</v>
      </c>
      <c r="H12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1213)&amp;"|",All_Questions_Q_STREAM_F_wrapped)),1,0),0))*1</f>
        <v>1</v>
      </c>
    </row>
    <row r="1215">
      <c r="A1215" t="n">
        <v>1214</v>
      </c>
      <c r="B1215" t="inlineStr">
        <is>
          <t>B</t>
        </is>
      </c>
      <c r="C1215">
        <f>1</f>
        <v>1</v>
      </c>
      <c r="D1215">
        <f>IF(OR(F_Custom1_Q="(None)",F_Custom1_Q="",ISBLANK(F_Custom1_Q),F_Custom1_V="(All)",F_Custom1_V="",ISBLANK(F_Custom1_V)),1,IFERROR(IF(ISNUMBER(SEARCH("|"&amp;INDEX(INDIRECT(F_Custom1_resolved_column),1214)&amp;"|",F_Custom1_wrapped)),1,0),0))</f>
        <v>1</v>
      </c>
      <c r="E1215">
        <f>IF(OR(F_Custom2_Q="(None)",F_Custom2_Q="",ISBLANK(F_Custom2_Q),F_Custom2_V="(All)",F_Custom2_V="",ISBLANK(F_Custom2_V)),1,IFERROR(IF(ISNUMBER(SEARCH("|"&amp;INDEX(INDIRECT(F_Custom2_resolved_column),1214)&amp;"|",F_Custom2_wrapped)),1,0),0))</f>
        <v>1</v>
      </c>
      <c r="F1215">
        <f>D1215*E1215*1</f>
        <v>1</v>
      </c>
      <c r="G1215">
        <f>1</f>
        <v>1</v>
      </c>
      <c r="H12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1214)&amp;"|",All_Questions_Q_STREAM_F_wrapped)),1,0),0))*1</f>
        <v>1</v>
      </c>
    </row>
    <row r="1216">
      <c r="A1216" t="n">
        <v>1215</v>
      </c>
      <c r="B1216" t="inlineStr">
        <is>
          <t>A</t>
        </is>
      </c>
      <c r="C1216">
        <f>1</f>
        <v>1</v>
      </c>
      <c r="D1216">
        <f>IF(OR(F_Custom1_Q="(None)",F_Custom1_Q="",ISBLANK(F_Custom1_Q),F_Custom1_V="(All)",F_Custom1_V="",ISBLANK(F_Custom1_V)),1,IFERROR(IF(ISNUMBER(SEARCH("|"&amp;INDEX(INDIRECT(F_Custom1_resolved_column),1215)&amp;"|",F_Custom1_wrapped)),1,0),0))</f>
        <v>1</v>
      </c>
      <c r="E1216">
        <f>IF(OR(F_Custom2_Q="(None)",F_Custom2_Q="",ISBLANK(F_Custom2_Q),F_Custom2_V="(All)",F_Custom2_V="",ISBLANK(F_Custom2_V)),1,IFERROR(IF(ISNUMBER(SEARCH("|"&amp;INDEX(INDIRECT(F_Custom2_resolved_column),1215)&amp;"|",F_Custom2_wrapped)),1,0),0))</f>
        <v>1</v>
      </c>
      <c r="F1216">
        <f>D1216*E1216*1</f>
        <v>1</v>
      </c>
      <c r="G1216">
        <f>1</f>
        <v>1</v>
      </c>
      <c r="H12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1215)&amp;"|",All_Questions_Q_STREAM_F_wrapped)),1,0),0))*1</f>
        <v>1</v>
      </c>
    </row>
    <row r="1217">
      <c r="A1217" t="n">
        <v>1216</v>
      </c>
      <c r="B1217" t="inlineStr">
        <is>
          <t>B</t>
        </is>
      </c>
      <c r="C1217">
        <f>1</f>
        <v>1</v>
      </c>
      <c r="D1217">
        <f>IF(OR(F_Custom1_Q="(None)",F_Custom1_Q="",ISBLANK(F_Custom1_Q),F_Custom1_V="(All)",F_Custom1_V="",ISBLANK(F_Custom1_V)),1,IFERROR(IF(ISNUMBER(SEARCH("|"&amp;INDEX(INDIRECT(F_Custom1_resolved_column),1216)&amp;"|",F_Custom1_wrapped)),1,0),0))</f>
        <v>1</v>
      </c>
      <c r="E1217">
        <f>IF(OR(F_Custom2_Q="(None)",F_Custom2_Q="",ISBLANK(F_Custom2_Q),F_Custom2_V="(All)",F_Custom2_V="",ISBLANK(F_Custom2_V)),1,IFERROR(IF(ISNUMBER(SEARCH("|"&amp;INDEX(INDIRECT(F_Custom2_resolved_column),1216)&amp;"|",F_Custom2_wrapped)),1,0),0))</f>
        <v>1</v>
      </c>
      <c r="F1217">
        <f>D1217*E1217*1</f>
        <v>1</v>
      </c>
      <c r="G1217">
        <f>1</f>
        <v>1</v>
      </c>
      <c r="H12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1216)&amp;"|",All_Questions_Q_STREAM_F_wrapped)),1,0),0))*1</f>
        <v>1</v>
      </c>
    </row>
    <row r="1218">
      <c r="A1218" t="n">
        <v>1217</v>
      </c>
      <c r="B1218" t="inlineStr">
        <is>
          <t>A</t>
        </is>
      </c>
      <c r="C1218">
        <f>1</f>
        <v>1</v>
      </c>
      <c r="D1218">
        <f>IF(OR(F_Custom1_Q="(None)",F_Custom1_Q="",ISBLANK(F_Custom1_Q),F_Custom1_V="(All)",F_Custom1_V="",ISBLANK(F_Custom1_V)),1,IFERROR(IF(ISNUMBER(SEARCH("|"&amp;INDEX(INDIRECT(F_Custom1_resolved_column),1217)&amp;"|",F_Custom1_wrapped)),1,0),0))</f>
        <v>1</v>
      </c>
      <c r="E1218">
        <f>IF(OR(F_Custom2_Q="(None)",F_Custom2_Q="",ISBLANK(F_Custom2_Q),F_Custom2_V="(All)",F_Custom2_V="",ISBLANK(F_Custom2_V)),1,IFERROR(IF(ISNUMBER(SEARCH("|"&amp;INDEX(INDIRECT(F_Custom2_resolved_column),1217)&amp;"|",F_Custom2_wrapped)),1,0),0))</f>
        <v>1</v>
      </c>
      <c r="F1218">
        <f>D1218*E1218*1</f>
        <v>1</v>
      </c>
      <c r="G1218">
        <f>1</f>
        <v>1</v>
      </c>
      <c r="H12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1217)&amp;"|",All_Questions_Q_STREAM_F_wrapped)),1,0),0))*1</f>
        <v>1</v>
      </c>
    </row>
    <row r="1219">
      <c r="A1219" t="n">
        <v>1218</v>
      </c>
      <c r="B1219" t="inlineStr">
        <is>
          <t>B</t>
        </is>
      </c>
      <c r="C1219">
        <f>1</f>
        <v>1</v>
      </c>
      <c r="D1219">
        <f>IF(OR(F_Custom1_Q="(None)",F_Custom1_Q="",ISBLANK(F_Custom1_Q),F_Custom1_V="(All)",F_Custom1_V="",ISBLANK(F_Custom1_V)),1,IFERROR(IF(ISNUMBER(SEARCH("|"&amp;INDEX(INDIRECT(F_Custom1_resolved_column),1218)&amp;"|",F_Custom1_wrapped)),1,0),0))</f>
        <v>1</v>
      </c>
      <c r="E1219">
        <f>IF(OR(F_Custom2_Q="(None)",F_Custom2_Q="",ISBLANK(F_Custom2_Q),F_Custom2_V="(All)",F_Custom2_V="",ISBLANK(F_Custom2_V)),1,IFERROR(IF(ISNUMBER(SEARCH("|"&amp;INDEX(INDIRECT(F_Custom2_resolved_column),1218)&amp;"|",F_Custom2_wrapped)),1,0),0))</f>
        <v>1</v>
      </c>
      <c r="F1219">
        <f>D1219*E1219*1</f>
        <v>1</v>
      </c>
      <c r="G1219">
        <f>1</f>
        <v>1</v>
      </c>
      <c r="H12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1218)&amp;"|",All_Questions_Q_STREAM_F_wrapped)),1,0),0))*1</f>
        <v>1</v>
      </c>
    </row>
    <row r="1220">
      <c r="A1220" t="n">
        <v>1219</v>
      </c>
      <c r="B1220" t="inlineStr">
        <is>
          <t>A</t>
        </is>
      </c>
      <c r="C1220">
        <f>1</f>
        <v>1</v>
      </c>
      <c r="D1220">
        <f>IF(OR(F_Custom1_Q="(None)",F_Custom1_Q="",ISBLANK(F_Custom1_Q),F_Custom1_V="(All)",F_Custom1_V="",ISBLANK(F_Custom1_V)),1,IFERROR(IF(ISNUMBER(SEARCH("|"&amp;INDEX(INDIRECT(F_Custom1_resolved_column),1219)&amp;"|",F_Custom1_wrapped)),1,0),0))</f>
        <v>1</v>
      </c>
      <c r="E1220">
        <f>IF(OR(F_Custom2_Q="(None)",F_Custom2_Q="",ISBLANK(F_Custom2_Q),F_Custom2_V="(All)",F_Custom2_V="",ISBLANK(F_Custom2_V)),1,IFERROR(IF(ISNUMBER(SEARCH("|"&amp;INDEX(INDIRECT(F_Custom2_resolved_column),1219)&amp;"|",F_Custom2_wrapped)),1,0),0))</f>
        <v>1</v>
      </c>
      <c r="F1220">
        <f>D1220*E1220*1</f>
        <v>1</v>
      </c>
      <c r="G1220">
        <f>1</f>
        <v>1</v>
      </c>
      <c r="H12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1219)&amp;"|",All_Questions_Q_STREAM_F_wrapped)),1,0),0))*1</f>
        <v>1</v>
      </c>
    </row>
    <row r="1221">
      <c r="A1221" t="n">
        <v>1220</v>
      </c>
      <c r="B1221" t="inlineStr">
        <is>
          <t>B</t>
        </is>
      </c>
      <c r="C1221">
        <f>1</f>
        <v>1</v>
      </c>
      <c r="D1221">
        <f>IF(OR(F_Custom1_Q="(None)",F_Custom1_Q="",ISBLANK(F_Custom1_Q),F_Custom1_V="(All)",F_Custom1_V="",ISBLANK(F_Custom1_V)),1,IFERROR(IF(ISNUMBER(SEARCH("|"&amp;INDEX(INDIRECT(F_Custom1_resolved_column),1220)&amp;"|",F_Custom1_wrapped)),1,0),0))</f>
        <v>1</v>
      </c>
      <c r="E1221">
        <f>IF(OR(F_Custom2_Q="(None)",F_Custom2_Q="",ISBLANK(F_Custom2_Q),F_Custom2_V="(All)",F_Custom2_V="",ISBLANK(F_Custom2_V)),1,IFERROR(IF(ISNUMBER(SEARCH("|"&amp;INDEX(INDIRECT(F_Custom2_resolved_column),1220)&amp;"|",F_Custom2_wrapped)),1,0),0))</f>
        <v>1</v>
      </c>
      <c r="F1221">
        <f>D1221*E1221*1</f>
        <v>1</v>
      </c>
      <c r="G1221">
        <f>1</f>
        <v>1</v>
      </c>
      <c r="H12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1220)&amp;"|",All_Questions_Q_STREAM_F_wrapped)),1,0),0))*1</f>
        <v>1</v>
      </c>
    </row>
    <row r="1222">
      <c r="A1222" t="n">
        <v>1221</v>
      </c>
      <c r="B1222" t="inlineStr">
        <is>
          <t>A</t>
        </is>
      </c>
      <c r="C1222">
        <f>1</f>
        <v>1</v>
      </c>
      <c r="D1222">
        <f>IF(OR(F_Custom1_Q="(None)",F_Custom1_Q="",ISBLANK(F_Custom1_Q),F_Custom1_V="(All)",F_Custom1_V="",ISBLANK(F_Custom1_V)),1,IFERROR(IF(ISNUMBER(SEARCH("|"&amp;INDEX(INDIRECT(F_Custom1_resolved_column),1221)&amp;"|",F_Custom1_wrapped)),1,0),0))</f>
        <v>1</v>
      </c>
      <c r="E1222">
        <f>IF(OR(F_Custom2_Q="(None)",F_Custom2_Q="",ISBLANK(F_Custom2_Q),F_Custom2_V="(All)",F_Custom2_V="",ISBLANK(F_Custom2_V)),1,IFERROR(IF(ISNUMBER(SEARCH("|"&amp;INDEX(INDIRECT(F_Custom2_resolved_column),1221)&amp;"|",F_Custom2_wrapped)),1,0),0))</f>
        <v>1</v>
      </c>
      <c r="F1222">
        <f>D1222*E1222*1</f>
        <v>1</v>
      </c>
      <c r="G1222">
        <f>1</f>
        <v>1</v>
      </c>
      <c r="H12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1221)&amp;"|",All_Questions_Q_STREAM_F_wrapped)),1,0),0))*1</f>
        <v>1</v>
      </c>
    </row>
    <row r="1223">
      <c r="A1223" t="n">
        <v>1222</v>
      </c>
      <c r="B1223" t="inlineStr">
        <is>
          <t>B</t>
        </is>
      </c>
      <c r="C1223">
        <f>1</f>
        <v>1</v>
      </c>
      <c r="D1223">
        <f>IF(OR(F_Custom1_Q="(None)",F_Custom1_Q="",ISBLANK(F_Custom1_Q),F_Custom1_V="(All)",F_Custom1_V="",ISBLANK(F_Custom1_V)),1,IFERROR(IF(ISNUMBER(SEARCH("|"&amp;INDEX(INDIRECT(F_Custom1_resolved_column),1222)&amp;"|",F_Custom1_wrapped)),1,0),0))</f>
        <v>1</v>
      </c>
      <c r="E1223">
        <f>IF(OR(F_Custom2_Q="(None)",F_Custom2_Q="",ISBLANK(F_Custom2_Q),F_Custom2_V="(All)",F_Custom2_V="",ISBLANK(F_Custom2_V)),1,IFERROR(IF(ISNUMBER(SEARCH("|"&amp;INDEX(INDIRECT(F_Custom2_resolved_column),1222)&amp;"|",F_Custom2_wrapped)),1,0),0))</f>
        <v>1</v>
      </c>
      <c r="F1223">
        <f>D1223*E1223*1</f>
        <v>1</v>
      </c>
      <c r="G1223">
        <f>1</f>
        <v>1</v>
      </c>
      <c r="H12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1222)&amp;"|",All_Questions_Q_STREAM_F_wrapped)),1,0),0))*1</f>
        <v>1</v>
      </c>
    </row>
    <row r="1224">
      <c r="A1224" t="n">
        <v>1223</v>
      </c>
      <c r="B1224" t="inlineStr">
        <is>
          <t>A</t>
        </is>
      </c>
      <c r="C1224">
        <f>1</f>
        <v>1</v>
      </c>
      <c r="D1224">
        <f>IF(OR(F_Custom1_Q="(None)",F_Custom1_Q="",ISBLANK(F_Custom1_Q),F_Custom1_V="(All)",F_Custom1_V="",ISBLANK(F_Custom1_V)),1,IFERROR(IF(ISNUMBER(SEARCH("|"&amp;INDEX(INDIRECT(F_Custom1_resolved_column),1223)&amp;"|",F_Custom1_wrapped)),1,0),0))</f>
        <v>1</v>
      </c>
      <c r="E1224">
        <f>IF(OR(F_Custom2_Q="(None)",F_Custom2_Q="",ISBLANK(F_Custom2_Q),F_Custom2_V="(All)",F_Custom2_V="",ISBLANK(F_Custom2_V)),1,IFERROR(IF(ISNUMBER(SEARCH("|"&amp;INDEX(INDIRECT(F_Custom2_resolved_column),1223)&amp;"|",F_Custom2_wrapped)),1,0),0))</f>
        <v>1</v>
      </c>
      <c r="F1224">
        <f>D1224*E1224*1</f>
        <v>1</v>
      </c>
      <c r="G1224">
        <f>1</f>
        <v>1</v>
      </c>
      <c r="H12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1223)&amp;"|",All_Questions_Q_STREAM_F_wrapped)),1,0),0))*1</f>
        <v>1</v>
      </c>
    </row>
    <row r="1225">
      <c r="A1225" t="n">
        <v>1224</v>
      </c>
      <c r="B1225" t="inlineStr">
        <is>
          <t>B</t>
        </is>
      </c>
      <c r="C1225">
        <f>1</f>
        <v>1</v>
      </c>
      <c r="D1225">
        <f>IF(OR(F_Custom1_Q="(None)",F_Custom1_Q="",ISBLANK(F_Custom1_Q),F_Custom1_V="(All)",F_Custom1_V="",ISBLANK(F_Custom1_V)),1,IFERROR(IF(ISNUMBER(SEARCH("|"&amp;INDEX(INDIRECT(F_Custom1_resolved_column),1224)&amp;"|",F_Custom1_wrapped)),1,0),0))</f>
        <v>1</v>
      </c>
      <c r="E1225">
        <f>IF(OR(F_Custom2_Q="(None)",F_Custom2_Q="",ISBLANK(F_Custom2_Q),F_Custom2_V="(All)",F_Custom2_V="",ISBLANK(F_Custom2_V)),1,IFERROR(IF(ISNUMBER(SEARCH("|"&amp;INDEX(INDIRECT(F_Custom2_resolved_column),1224)&amp;"|",F_Custom2_wrapped)),1,0),0))</f>
        <v>1</v>
      </c>
      <c r="F1225">
        <f>D1225*E1225*1</f>
        <v>1</v>
      </c>
      <c r="G1225">
        <f>1</f>
        <v>1</v>
      </c>
      <c r="H12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1224)&amp;"|",All_Questions_Q_STREAM_F_wrapped)),1,0),0))*1</f>
        <v>1</v>
      </c>
    </row>
    <row r="1226">
      <c r="A1226" t="n">
        <v>1225</v>
      </c>
      <c r="B1226" t="inlineStr">
        <is>
          <t>A</t>
        </is>
      </c>
      <c r="C1226">
        <f>1</f>
        <v>1</v>
      </c>
      <c r="D1226">
        <f>IF(OR(F_Custom1_Q="(None)",F_Custom1_Q="",ISBLANK(F_Custom1_Q),F_Custom1_V="(All)",F_Custom1_V="",ISBLANK(F_Custom1_V)),1,IFERROR(IF(ISNUMBER(SEARCH("|"&amp;INDEX(INDIRECT(F_Custom1_resolved_column),1225)&amp;"|",F_Custom1_wrapped)),1,0),0))</f>
        <v>1</v>
      </c>
      <c r="E1226">
        <f>IF(OR(F_Custom2_Q="(None)",F_Custom2_Q="",ISBLANK(F_Custom2_Q),F_Custom2_V="(All)",F_Custom2_V="",ISBLANK(F_Custom2_V)),1,IFERROR(IF(ISNUMBER(SEARCH("|"&amp;INDEX(INDIRECT(F_Custom2_resolved_column),1225)&amp;"|",F_Custom2_wrapped)),1,0),0))</f>
        <v>1</v>
      </c>
      <c r="F1226">
        <f>D1226*E1226*1</f>
        <v>1</v>
      </c>
      <c r="G1226">
        <f>1</f>
        <v>1</v>
      </c>
      <c r="H12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1225)&amp;"|",All_Questions_Q_STREAM_F_wrapped)),1,0),0))*1</f>
        <v>1</v>
      </c>
    </row>
    <row r="1227">
      <c r="A1227" t="n">
        <v>1226</v>
      </c>
      <c r="B1227" t="inlineStr">
        <is>
          <t>B</t>
        </is>
      </c>
      <c r="C1227">
        <f>1</f>
        <v>1</v>
      </c>
      <c r="D1227">
        <f>IF(OR(F_Custom1_Q="(None)",F_Custom1_Q="",ISBLANK(F_Custom1_Q),F_Custom1_V="(All)",F_Custom1_V="",ISBLANK(F_Custom1_V)),1,IFERROR(IF(ISNUMBER(SEARCH("|"&amp;INDEX(INDIRECT(F_Custom1_resolved_column),1226)&amp;"|",F_Custom1_wrapped)),1,0),0))</f>
        <v>1</v>
      </c>
      <c r="E1227">
        <f>IF(OR(F_Custom2_Q="(None)",F_Custom2_Q="",ISBLANK(F_Custom2_Q),F_Custom2_V="(All)",F_Custom2_V="",ISBLANK(F_Custom2_V)),1,IFERROR(IF(ISNUMBER(SEARCH("|"&amp;INDEX(INDIRECT(F_Custom2_resolved_column),1226)&amp;"|",F_Custom2_wrapped)),1,0),0))</f>
        <v>1</v>
      </c>
      <c r="F1227">
        <f>D1227*E1227*1</f>
        <v>1</v>
      </c>
      <c r="G1227">
        <f>1</f>
        <v>1</v>
      </c>
      <c r="H12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1226)&amp;"|",All_Questions_Q_STREAM_F_wrapped)),1,0),0))*1</f>
        <v>1</v>
      </c>
    </row>
    <row r="1228">
      <c r="A1228" t="n">
        <v>1227</v>
      </c>
      <c r="B1228" t="inlineStr">
        <is>
          <t>A</t>
        </is>
      </c>
      <c r="C1228">
        <f>1</f>
        <v>1</v>
      </c>
      <c r="D1228">
        <f>IF(OR(F_Custom1_Q="(None)",F_Custom1_Q="",ISBLANK(F_Custom1_Q),F_Custom1_V="(All)",F_Custom1_V="",ISBLANK(F_Custom1_V)),1,IFERROR(IF(ISNUMBER(SEARCH("|"&amp;INDEX(INDIRECT(F_Custom1_resolved_column),1227)&amp;"|",F_Custom1_wrapped)),1,0),0))</f>
        <v>1</v>
      </c>
      <c r="E1228">
        <f>IF(OR(F_Custom2_Q="(None)",F_Custom2_Q="",ISBLANK(F_Custom2_Q),F_Custom2_V="(All)",F_Custom2_V="",ISBLANK(F_Custom2_V)),1,IFERROR(IF(ISNUMBER(SEARCH("|"&amp;INDEX(INDIRECT(F_Custom2_resolved_column),1227)&amp;"|",F_Custom2_wrapped)),1,0),0))</f>
        <v>1</v>
      </c>
      <c r="F1228">
        <f>D1228*E1228*1</f>
        <v>1</v>
      </c>
      <c r="G1228">
        <f>1</f>
        <v>1</v>
      </c>
      <c r="H12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1227)&amp;"|",All_Questions_Q_STREAM_F_wrapped)),1,0),0))*1</f>
        <v>1</v>
      </c>
    </row>
    <row r="1229">
      <c r="A1229" t="n">
        <v>1228</v>
      </c>
      <c r="B1229" t="inlineStr">
        <is>
          <t>B</t>
        </is>
      </c>
      <c r="C1229">
        <f>1</f>
        <v>1</v>
      </c>
      <c r="D1229">
        <f>IF(OR(F_Custom1_Q="(None)",F_Custom1_Q="",ISBLANK(F_Custom1_Q),F_Custom1_V="(All)",F_Custom1_V="",ISBLANK(F_Custom1_V)),1,IFERROR(IF(ISNUMBER(SEARCH("|"&amp;INDEX(INDIRECT(F_Custom1_resolved_column),1228)&amp;"|",F_Custom1_wrapped)),1,0),0))</f>
        <v>1</v>
      </c>
      <c r="E1229">
        <f>IF(OR(F_Custom2_Q="(None)",F_Custom2_Q="",ISBLANK(F_Custom2_Q),F_Custom2_V="(All)",F_Custom2_V="",ISBLANK(F_Custom2_V)),1,IFERROR(IF(ISNUMBER(SEARCH("|"&amp;INDEX(INDIRECT(F_Custom2_resolved_column),1228)&amp;"|",F_Custom2_wrapped)),1,0),0))</f>
        <v>1</v>
      </c>
      <c r="F1229">
        <f>D1229*E1229*1</f>
        <v>1</v>
      </c>
      <c r="G1229">
        <f>1</f>
        <v>1</v>
      </c>
      <c r="H12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1228)&amp;"|",All_Questions_Q_STREAM_F_wrapped)),1,0),0))*1</f>
        <v>1</v>
      </c>
    </row>
    <row r="1230">
      <c r="A1230" t="n">
        <v>1229</v>
      </c>
      <c r="B1230" t="inlineStr">
        <is>
          <t>A</t>
        </is>
      </c>
      <c r="C1230">
        <f>1</f>
        <v>1</v>
      </c>
      <c r="D1230">
        <f>IF(OR(F_Custom1_Q="(None)",F_Custom1_Q="",ISBLANK(F_Custom1_Q),F_Custom1_V="(All)",F_Custom1_V="",ISBLANK(F_Custom1_V)),1,IFERROR(IF(ISNUMBER(SEARCH("|"&amp;INDEX(INDIRECT(F_Custom1_resolved_column),1229)&amp;"|",F_Custom1_wrapped)),1,0),0))</f>
        <v>1</v>
      </c>
      <c r="E1230">
        <f>IF(OR(F_Custom2_Q="(None)",F_Custom2_Q="",ISBLANK(F_Custom2_Q),F_Custom2_V="(All)",F_Custom2_V="",ISBLANK(F_Custom2_V)),1,IFERROR(IF(ISNUMBER(SEARCH("|"&amp;INDEX(INDIRECT(F_Custom2_resolved_column),1229)&amp;"|",F_Custom2_wrapped)),1,0),0))</f>
        <v>1</v>
      </c>
      <c r="F1230">
        <f>D1230*E1230*1</f>
        <v>1</v>
      </c>
      <c r="G1230">
        <f>1</f>
        <v>1</v>
      </c>
      <c r="H12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1229)&amp;"|",All_Questions_Q_STREAM_F_wrapped)),1,0),0))*1</f>
        <v>1</v>
      </c>
    </row>
    <row r="1231">
      <c r="A1231" t="n">
        <v>1230</v>
      </c>
      <c r="B1231" t="inlineStr">
        <is>
          <t>B</t>
        </is>
      </c>
      <c r="C1231">
        <f>1</f>
        <v>1</v>
      </c>
      <c r="D1231">
        <f>IF(OR(F_Custom1_Q="(None)",F_Custom1_Q="",ISBLANK(F_Custom1_Q),F_Custom1_V="(All)",F_Custom1_V="",ISBLANK(F_Custom1_V)),1,IFERROR(IF(ISNUMBER(SEARCH("|"&amp;INDEX(INDIRECT(F_Custom1_resolved_column),1230)&amp;"|",F_Custom1_wrapped)),1,0),0))</f>
        <v>1</v>
      </c>
      <c r="E1231">
        <f>IF(OR(F_Custom2_Q="(None)",F_Custom2_Q="",ISBLANK(F_Custom2_Q),F_Custom2_V="(All)",F_Custom2_V="",ISBLANK(F_Custom2_V)),1,IFERROR(IF(ISNUMBER(SEARCH("|"&amp;INDEX(INDIRECT(F_Custom2_resolved_column),1230)&amp;"|",F_Custom2_wrapped)),1,0),0))</f>
        <v>1</v>
      </c>
      <c r="F1231">
        <f>D1231*E1231*1</f>
        <v>1</v>
      </c>
      <c r="G1231">
        <f>1</f>
        <v>1</v>
      </c>
      <c r="H12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1230)&amp;"|",All_Questions_Q_STREAM_F_wrapped)),1,0),0))*1</f>
        <v>1</v>
      </c>
    </row>
    <row r="1232">
      <c r="A1232" t="n">
        <v>1231</v>
      </c>
      <c r="B1232" t="inlineStr">
        <is>
          <t>A</t>
        </is>
      </c>
      <c r="C1232">
        <f>1</f>
        <v>1</v>
      </c>
      <c r="D1232">
        <f>IF(OR(F_Custom1_Q="(None)",F_Custom1_Q="",ISBLANK(F_Custom1_Q),F_Custom1_V="(All)",F_Custom1_V="",ISBLANK(F_Custom1_V)),1,IFERROR(IF(ISNUMBER(SEARCH("|"&amp;INDEX(INDIRECT(F_Custom1_resolved_column),1231)&amp;"|",F_Custom1_wrapped)),1,0),0))</f>
        <v>1</v>
      </c>
      <c r="E1232">
        <f>IF(OR(F_Custom2_Q="(None)",F_Custom2_Q="",ISBLANK(F_Custom2_Q),F_Custom2_V="(All)",F_Custom2_V="",ISBLANK(F_Custom2_V)),1,IFERROR(IF(ISNUMBER(SEARCH("|"&amp;INDEX(INDIRECT(F_Custom2_resolved_column),1231)&amp;"|",F_Custom2_wrapped)),1,0),0))</f>
        <v>1</v>
      </c>
      <c r="F1232">
        <f>D1232*E1232*1</f>
        <v>1</v>
      </c>
      <c r="G1232">
        <f>1</f>
        <v>1</v>
      </c>
      <c r="H12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1231)&amp;"|",All_Questions_Q_STREAM_F_wrapped)),1,0),0))*1</f>
        <v>1</v>
      </c>
    </row>
    <row r="1233">
      <c r="A1233" t="n">
        <v>1232</v>
      </c>
      <c r="B1233" t="inlineStr">
        <is>
          <t>B</t>
        </is>
      </c>
      <c r="C1233">
        <f>1</f>
        <v>1</v>
      </c>
      <c r="D1233">
        <f>IF(OR(F_Custom1_Q="(None)",F_Custom1_Q="",ISBLANK(F_Custom1_Q),F_Custom1_V="(All)",F_Custom1_V="",ISBLANK(F_Custom1_V)),1,IFERROR(IF(ISNUMBER(SEARCH("|"&amp;INDEX(INDIRECT(F_Custom1_resolved_column),1232)&amp;"|",F_Custom1_wrapped)),1,0),0))</f>
        <v>1</v>
      </c>
      <c r="E1233">
        <f>IF(OR(F_Custom2_Q="(None)",F_Custom2_Q="",ISBLANK(F_Custom2_Q),F_Custom2_V="(All)",F_Custom2_V="",ISBLANK(F_Custom2_V)),1,IFERROR(IF(ISNUMBER(SEARCH("|"&amp;INDEX(INDIRECT(F_Custom2_resolved_column),1232)&amp;"|",F_Custom2_wrapped)),1,0),0))</f>
        <v>1</v>
      </c>
      <c r="F1233">
        <f>D1233*E1233*1</f>
        <v>1</v>
      </c>
      <c r="G1233">
        <f>1</f>
        <v>1</v>
      </c>
      <c r="H12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1232)&amp;"|",All_Questions_Q_STREAM_F_wrapped)),1,0),0))*1</f>
        <v>1</v>
      </c>
    </row>
    <row r="1234">
      <c r="A1234" t="n">
        <v>1233</v>
      </c>
      <c r="B1234" t="inlineStr">
        <is>
          <t>A</t>
        </is>
      </c>
      <c r="C1234">
        <f>1</f>
        <v>1</v>
      </c>
      <c r="D1234">
        <f>IF(OR(F_Custom1_Q="(None)",F_Custom1_Q="",ISBLANK(F_Custom1_Q),F_Custom1_V="(All)",F_Custom1_V="",ISBLANK(F_Custom1_V)),1,IFERROR(IF(ISNUMBER(SEARCH("|"&amp;INDEX(INDIRECT(F_Custom1_resolved_column),1233)&amp;"|",F_Custom1_wrapped)),1,0),0))</f>
        <v>1</v>
      </c>
      <c r="E1234">
        <f>IF(OR(F_Custom2_Q="(None)",F_Custom2_Q="",ISBLANK(F_Custom2_Q),F_Custom2_V="(All)",F_Custom2_V="",ISBLANK(F_Custom2_V)),1,IFERROR(IF(ISNUMBER(SEARCH("|"&amp;INDEX(INDIRECT(F_Custom2_resolved_column),1233)&amp;"|",F_Custom2_wrapped)),1,0),0))</f>
        <v>1</v>
      </c>
      <c r="F1234">
        <f>D1234*E1234*1</f>
        <v>1</v>
      </c>
      <c r="G1234">
        <f>1</f>
        <v>1</v>
      </c>
      <c r="H12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1233)&amp;"|",All_Questions_Q_STREAM_F_wrapped)),1,0),0))*1</f>
        <v>1</v>
      </c>
    </row>
    <row r="1235">
      <c r="A1235" t="n">
        <v>1234</v>
      </c>
      <c r="B1235" t="inlineStr">
        <is>
          <t>B</t>
        </is>
      </c>
      <c r="C1235">
        <f>1</f>
        <v>1</v>
      </c>
      <c r="D1235">
        <f>IF(OR(F_Custom1_Q="(None)",F_Custom1_Q="",ISBLANK(F_Custom1_Q),F_Custom1_V="(All)",F_Custom1_V="",ISBLANK(F_Custom1_V)),1,IFERROR(IF(ISNUMBER(SEARCH("|"&amp;INDEX(INDIRECT(F_Custom1_resolved_column),1234)&amp;"|",F_Custom1_wrapped)),1,0),0))</f>
        <v>1</v>
      </c>
      <c r="E1235">
        <f>IF(OR(F_Custom2_Q="(None)",F_Custom2_Q="",ISBLANK(F_Custom2_Q),F_Custom2_V="(All)",F_Custom2_V="",ISBLANK(F_Custom2_V)),1,IFERROR(IF(ISNUMBER(SEARCH("|"&amp;INDEX(INDIRECT(F_Custom2_resolved_column),1234)&amp;"|",F_Custom2_wrapped)),1,0),0))</f>
        <v>1</v>
      </c>
      <c r="F1235">
        <f>D1235*E1235*1</f>
        <v>1</v>
      </c>
      <c r="G1235">
        <f>1</f>
        <v>1</v>
      </c>
      <c r="H12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1234)&amp;"|",All_Questions_Q_STREAM_F_wrapped)),1,0),0))*1</f>
        <v>1</v>
      </c>
    </row>
    <row r="1236">
      <c r="A1236" t="n">
        <v>1235</v>
      </c>
      <c r="B1236" t="inlineStr">
        <is>
          <t>A</t>
        </is>
      </c>
      <c r="C1236">
        <f>1</f>
        <v>1</v>
      </c>
      <c r="D1236">
        <f>IF(OR(F_Custom1_Q="(None)",F_Custom1_Q="",ISBLANK(F_Custom1_Q),F_Custom1_V="(All)",F_Custom1_V="",ISBLANK(F_Custom1_V)),1,IFERROR(IF(ISNUMBER(SEARCH("|"&amp;INDEX(INDIRECT(F_Custom1_resolved_column),1235)&amp;"|",F_Custom1_wrapped)),1,0),0))</f>
        <v>1</v>
      </c>
      <c r="E1236">
        <f>IF(OR(F_Custom2_Q="(None)",F_Custom2_Q="",ISBLANK(F_Custom2_Q),F_Custom2_V="(All)",F_Custom2_V="",ISBLANK(F_Custom2_V)),1,IFERROR(IF(ISNUMBER(SEARCH("|"&amp;INDEX(INDIRECT(F_Custom2_resolved_column),1235)&amp;"|",F_Custom2_wrapped)),1,0),0))</f>
        <v>1</v>
      </c>
      <c r="F1236">
        <f>D1236*E1236*1</f>
        <v>1</v>
      </c>
      <c r="G1236">
        <f>1</f>
        <v>1</v>
      </c>
      <c r="H12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1235)&amp;"|",All_Questions_Q_STREAM_F_wrapped)),1,0),0))*1</f>
        <v>1</v>
      </c>
    </row>
    <row r="1237">
      <c r="A1237" t="n">
        <v>1236</v>
      </c>
      <c r="B1237" t="inlineStr">
        <is>
          <t>B</t>
        </is>
      </c>
      <c r="C1237">
        <f>1</f>
        <v>1</v>
      </c>
      <c r="D1237">
        <f>IF(OR(F_Custom1_Q="(None)",F_Custom1_Q="",ISBLANK(F_Custom1_Q),F_Custom1_V="(All)",F_Custom1_V="",ISBLANK(F_Custom1_V)),1,IFERROR(IF(ISNUMBER(SEARCH("|"&amp;INDEX(INDIRECT(F_Custom1_resolved_column),1236)&amp;"|",F_Custom1_wrapped)),1,0),0))</f>
        <v>1</v>
      </c>
      <c r="E1237">
        <f>IF(OR(F_Custom2_Q="(None)",F_Custom2_Q="",ISBLANK(F_Custom2_Q),F_Custom2_V="(All)",F_Custom2_V="",ISBLANK(F_Custom2_V)),1,IFERROR(IF(ISNUMBER(SEARCH("|"&amp;INDEX(INDIRECT(F_Custom2_resolved_column),1236)&amp;"|",F_Custom2_wrapped)),1,0),0))</f>
        <v>1</v>
      </c>
      <c r="F1237">
        <f>D1237*E1237*1</f>
        <v>1</v>
      </c>
      <c r="G1237">
        <f>1</f>
        <v>1</v>
      </c>
      <c r="H12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1236)&amp;"|",All_Questions_Q_STREAM_F_wrapped)),1,0),0))*1</f>
        <v>1</v>
      </c>
    </row>
    <row r="1238">
      <c r="A1238" t="n">
        <v>1237</v>
      </c>
      <c r="B1238" t="inlineStr">
        <is>
          <t>A</t>
        </is>
      </c>
      <c r="C1238">
        <f>1</f>
        <v>1</v>
      </c>
      <c r="D1238">
        <f>IF(OR(F_Custom1_Q="(None)",F_Custom1_Q="",ISBLANK(F_Custom1_Q),F_Custom1_V="(All)",F_Custom1_V="",ISBLANK(F_Custom1_V)),1,IFERROR(IF(ISNUMBER(SEARCH("|"&amp;INDEX(INDIRECT(F_Custom1_resolved_column),1237)&amp;"|",F_Custom1_wrapped)),1,0),0))</f>
        <v>1</v>
      </c>
      <c r="E1238">
        <f>IF(OR(F_Custom2_Q="(None)",F_Custom2_Q="",ISBLANK(F_Custom2_Q),F_Custom2_V="(All)",F_Custom2_V="",ISBLANK(F_Custom2_V)),1,IFERROR(IF(ISNUMBER(SEARCH("|"&amp;INDEX(INDIRECT(F_Custom2_resolved_column),1237)&amp;"|",F_Custom2_wrapped)),1,0),0))</f>
        <v>1</v>
      </c>
      <c r="F1238">
        <f>D1238*E1238*1</f>
        <v>1</v>
      </c>
      <c r="G1238">
        <f>1</f>
        <v>1</v>
      </c>
      <c r="H12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1237)&amp;"|",All_Questions_Q_STREAM_F_wrapped)),1,0),0))*1</f>
        <v>1</v>
      </c>
    </row>
    <row r="1239">
      <c r="A1239" t="n">
        <v>1238</v>
      </c>
      <c r="B1239" t="inlineStr">
        <is>
          <t>B</t>
        </is>
      </c>
      <c r="C1239">
        <f>1</f>
        <v>1</v>
      </c>
      <c r="D1239">
        <f>IF(OR(F_Custom1_Q="(None)",F_Custom1_Q="",ISBLANK(F_Custom1_Q),F_Custom1_V="(All)",F_Custom1_V="",ISBLANK(F_Custom1_V)),1,IFERROR(IF(ISNUMBER(SEARCH("|"&amp;INDEX(INDIRECT(F_Custom1_resolved_column),1238)&amp;"|",F_Custom1_wrapped)),1,0),0))</f>
        <v>1</v>
      </c>
      <c r="E1239">
        <f>IF(OR(F_Custom2_Q="(None)",F_Custom2_Q="",ISBLANK(F_Custom2_Q),F_Custom2_V="(All)",F_Custom2_V="",ISBLANK(F_Custom2_V)),1,IFERROR(IF(ISNUMBER(SEARCH("|"&amp;INDEX(INDIRECT(F_Custom2_resolved_column),1238)&amp;"|",F_Custom2_wrapped)),1,0),0))</f>
        <v>1</v>
      </c>
      <c r="F1239">
        <f>D1239*E1239*1</f>
        <v>1</v>
      </c>
      <c r="G1239">
        <f>1</f>
        <v>1</v>
      </c>
      <c r="H12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1238)&amp;"|",All_Questions_Q_STREAM_F_wrapped)),1,0),0))*1</f>
        <v>1</v>
      </c>
    </row>
    <row r="1240">
      <c r="A1240" t="n">
        <v>1239</v>
      </c>
      <c r="B1240" t="inlineStr">
        <is>
          <t>A</t>
        </is>
      </c>
      <c r="C1240">
        <f>1</f>
        <v>1</v>
      </c>
      <c r="D1240">
        <f>IF(OR(F_Custom1_Q="(None)",F_Custom1_Q="",ISBLANK(F_Custom1_Q),F_Custom1_V="(All)",F_Custom1_V="",ISBLANK(F_Custom1_V)),1,IFERROR(IF(ISNUMBER(SEARCH("|"&amp;INDEX(INDIRECT(F_Custom1_resolved_column),1239)&amp;"|",F_Custom1_wrapped)),1,0),0))</f>
        <v>1</v>
      </c>
      <c r="E1240">
        <f>IF(OR(F_Custom2_Q="(None)",F_Custom2_Q="",ISBLANK(F_Custom2_Q),F_Custom2_V="(All)",F_Custom2_V="",ISBLANK(F_Custom2_V)),1,IFERROR(IF(ISNUMBER(SEARCH("|"&amp;INDEX(INDIRECT(F_Custom2_resolved_column),1239)&amp;"|",F_Custom2_wrapped)),1,0),0))</f>
        <v>1</v>
      </c>
      <c r="F1240">
        <f>D1240*E1240*1</f>
        <v>1</v>
      </c>
      <c r="G1240">
        <f>1</f>
        <v>1</v>
      </c>
      <c r="H12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1239)&amp;"|",All_Questions_Q_STREAM_F_wrapped)),1,0),0))*1</f>
        <v>1</v>
      </c>
    </row>
    <row r="1241">
      <c r="A1241" t="n">
        <v>1240</v>
      </c>
      <c r="B1241" t="inlineStr">
        <is>
          <t>B</t>
        </is>
      </c>
      <c r="C1241">
        <f>1</f>
        <v>1</v>
      </c>
      <c r="D1241">
        <f>IF(OR(F_Custom1_Q="(None)",F_Custom1_Q="",ISBLANK(F_Custom1_Q),F_Custom1_V="(All)",F_Custom1_V="",ISBLANK(F_Custom1_V)),1,IFERROR(IF(ISNUMBER(SEARCH("|"&amp;INDEX(INDIRECT(F_Custom1_resolved_column),1240)&amp;"|",F_Custom1_wrapped)),1,0),0))</f>
        <v>1</v>
      </c>
      <c r="E1241">
        <f>IF(OR(F_Custom2_Q="(None)",F_Custom2_Q="",ISBLANK(F_Custom2_Q),F_Custom2_V="(All)",F_Custom2_V="",ISBLANK(F_Custom2_V)),1,IFERROR(IF(ISNUMBER(SEARCH("|"&amp;INDEX(INDIRECT(F_Custom2_resolved_column),1240)&amp;"|",F_Custom2_wrapped)),1,0),0))</f>
        <v>1</v>
      </c>
      <c r="F1241">
        <f>D1241*E1241*1</f>
        <v>1</v>
      </c>
      <c r="G1241">
        <f>1</f>
        <v>1</v>
      </c>
      <c r="H12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1240)&amp;"|",All_Questions_Q_STREAM_F_wrapped)),1,0),0))*1</f>
        <v>1</v>
      </c>
    </row>
    <row r="1242">
      <c r="A1242" t="n">
        <v>1241</v>
      </c>
      <c r="B1242" t="inlineStr">
        <is>
          <t>A</t>
        </is>
      </c>
      <c r="C1242">
        <f>1</f>
        <v>1</v>
      </c>
      <c r="D1242">
        <f>IF(OR(F_Custom1_Q="(None)",F_Custom1_Q="",ISBLANK(F_Custom1_Q),F_Custom1_V="(All)",F_Custom1_V="",ISBLANK(F_Custom1_V)),1,IFERROR(IF(ISNUMBER(SEARCH("|"&amp;INDEX(INDIRECT(F_Custom1_resolved_column),1241)&amp;"|",F_Custom1_wrapped)),1,0),0))</f>
        <v>1</v>
      </c>
      <c r="E1242">
        <f>IF(OR(F_Custom2_Q="(None)",F_Custom2_Q="",ISBLANK(F_Custom2_Q),F_Custom2_V="(All)",F_Custom2_V="",ISBLANK(F_Custom2_V)),1,IFERROR(IF(ISNUMBER(SEARCH("|"&amp;INDEX(INDIRECT(F_Custom2_resolved_column),1241)&amp;"|",F_Custom2_wrapped)),1,0),0))</f>
        <v>1</v>
      </c>
      <c r="F1242">
        <f>D1242*E1242*1</f>
        <v>1</v>
      </c>
      <c r="G1242">
        <f>1</f>
        <v>1</v>
      </c>
      <c r="H12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1241)&amp;"|",All_Questions_Q_STREAM_F_wrapped)),1,0),0))*1</f>
        <v>1</v>
      </c>
    </row>
    <row r="1243">
      <c r="A1243" t="n">
        <v>1242</v>
      </c>
      <c r="B1243" t="inlineStr">
        <is>
          <t>B</t>
        </is>
      </c>
      <c r="C1243">
        <f>1</f>
        <v>1</v>
      </c>
      <c r="D1243">
        <f>IF(OR(F_Custom1_Q="(None)",F_Custom1_Q="",ISBLANK(F_Custom1_Q),F_Custom1_V="(All)",F_Custom1_V="",ISBLANK(F_Custom1_V)),1,IFERROR(IF(ISNUMBER(SEARCH("|"&amp;INDEX(INDIRECT(F_Custom1_resolved_column),1242)&amp;"|",F_Custom1_wrapped)),1,0),0))</f>
        <v>1</v>
      </c>
      <c r="E1243">
        <f>IF(OR(F_Custom2_Q="(None)",F_Custom2_Q="",ISBLANK(F_Custom2_Q),F_Custom2_V="(All)",F_Custom2_V="",ISBLANK(F_Custom2_V)),1,IFERROR(IF(ISNUMBER(SEARCH("|"&amp;INDEX(INDIRECT(F_Custom2_resolved_column),1242)&amp;"|",F_Custom2_wrapped)),1,0),0))</f>
        <v>1</v>
      </c>
      <c r="F1243">
        <f>D1243*E1243*1</f>
        <v>1</v>
      </c>
      <c r="G1243">
        <f>1</f>
        <v>1</v>
      </c>
      <c r="H12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1242)&amp;"|",All_Questions_Q_STREAM_F_wrapped)),1,0),0))*1</f>
        <v>1</v>
      </c>
    </row>
    <row r="1244">
      <c r="A1244" t="n">
        <v>1243</v>
      </c>
      <c r="B1244" t="inlineStr">
        <is>
          <t>A</t>
        </is>
      </c>
      <c r="C1244">
        <f>1</f>
        <v>1</v>
      </c>
      <c r="D1244">
        <f>IF(OR(F_Custom1_Q="(None)",F_Custom1_Q="",ISBLANK(F_Custom1_Q),F_Custom1_V="(All)",F_Custom1_V="",ISBLANK(F_Custom1_V)),1,IFERROR(IF(ISNUMBER(SEARCH("|"&amp;INDEX(INDIRECT(F_Custom1_resolved_column),1243)&amp;"|",F_Custom1_wrapped)),1,0),0))</f>
        <v>1</v>
      </c>
      <c r="E1244">
        <f>IF(OR(F_Custom2_Q="(None)",F_Custom2_Q="",ISBLANK(F_Custom2_Q),F_Custom2_V="(All)",F_Custom2_V="",ISBLANK(F_Custom2_V)),1,IFERROR(IF(ISNUMBER(SEARCH("|"&amp;INDEX(INDIRECT(F_Custom2_resolved_column),1243)&amp;"|",F_Custom2_wrapped)),1,0),0))</f>
        <v>1</v>
      </c>
      <c r="F1244">
        <f>D1244*E1244*1</f>
        <v>1</v>
      </c>
      <c r="G1244">
        <f>1</f>
        <v>1</v>
      </c>
      <c r="H12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1243)&amp;"|",All_Questions_Q_STREAM_F_wrapped)),1,0),0))*1</f>
        <v>1</v>
      </c>
    </row>
    <row r="1245">
      <c r="A1245" t="n">
        <v>1244</v>
      </c>
      <c r="B1245" t="inlineStr">
        <is>
          <t>B</t>
        </is>
      </c>
      <c r="C1245">
        <f>1</f>
        <v>1</v>
      </c>
      <c r="D1245">
        <f>IF(OR(F_Custom1_Q="(None)",F_Custom1_Q="",ISBLANK(F_Custom1_Q),F_Custom1_V="(All)",F_Custom1_V="",ISBLANK(F_Custom1_V)),1,IFERROR(IF(ISNUMBER(SEARCH("|"&amp;INDEX(INDIRECT(F_Custom1_resolved_column),1244)&amp;"|",F_Custom1_wrapped)),1,0),0))</f>
        <v>1</v>
      </c>
      <c r="E1245">
        <f>IF(OR(F_Custom2_Q="(None)",F_Custom2_Q="",ISBLANK(F_Custom2_Q),F_Custom2_V="(All)",F_Custom2_V="",ISBLANK(F_Custom2_V)),1,IFERROR(IF(ISNUMBER(SEARCH("|"&amp;INDEX(INDIRECT(F_Custom2_resolved_column),1244)&amp;"|",F_Custom2_wrapped)),1,0),0))</f>
        <v>1</v>
      </c>
      <c r="F1245">
        <f>D1245*E1245*1</f>
        <v>1</v>
      </c>
      <c r="G1245">
        <f>1</f>
        <v>1</v>
      </c>
      <c r="H12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1244)&amp;"|",All_Questions_Q_STREAM_F_wrapped)),1,0),0))*1</f>
        <v>1</v>
      </c>
    </row>
    <row r="1246">
      <c r="A1246" t="n">
        <v>1245</v>
      </c>
      <c r="B1246" t="inlineStr">
        <is>
          <t>A</t>
        </is>
      </c>
      <c r="C1246">
        <f>1</f>
        <v>1</v>
      </c>
      <c r="D1246">
        <f>IF(OR(F_Custom1_Q="(None)",F_Custom1_Q="",ISBLANK(F_Custom1_Q),F_Custom1_V="(All)",F_Custom1_V="",ISBLANK(F_Custom1_V)),1,IFERROR(IF(ISNUMBER(SEARCH("|"&amp;INDEX(INDIRECT(F_Custom1_resolved_column),1245)&amp;"|",F_Custom1_wrapped)),1,0),0))</f>
        <v>1</v>
      </c>
      <c r="E1246">
        <f>IF(OR(F_Custom2_Q="(None)",F_Custom2_Q="",ISBLANK(F_Custom2_Q),F_Custom2_V="(All)",F_Custom2_V="",ISBLANK(F_Custom2_V)),1,IFERROR(IF(ISNUMBER(SEARCH("|"&amp;INDEX(INDIRECT(F_Custom2_resolved_column),1245)&amp;"|",F_Custom2_wrapped)),1,0),0))</f>
        <v>1</v>
      </c>
      <c r="F1246">
        <f>D1246*E1246*1</f>
        <v>1</v>
      </c>
      <c r="G1246">
        <f>1</f>
        <v>1</v>
      </c>
      <c r="H12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1245)&amp;"|",All_Questions_Q_STREAM_F_wrapped)),1,0),0))*1</f>
        <v>1</v>
      </c>
    </row>
    <row r="1247">
      <c r="A1247" t="n">
        <v>1246</v>
      </c>
      <c r="B1247" t="inlineStr">
        <is>
          <t>B</t>
        </is>
      </c>
      <c r="C1247">
        <f>1</f>
        <v>1</v>
      </c>
      <c r="D1247">
        <f>IF(OR(F_Custom1_Q="(None)",F_Custom1_Q="",ISBLANK(F_Custom1_Q),F_Custom1_V="(All)",F_Custom1_V="",ISBLANK(F_Custom1_V)),1,IFERROR(IF(ISNUMBER(SEARCH("|"&amp;INDEX(INDIRECT(F_Custom1_resolved_column),1246)&amp;"|",F_Custom1_wrapped)),1,0),0))</f>
        <v>1</v>
      </c>
      <c r="E1247">
        <f>IF(OR(F_Custom2_Q="(None)",F_Custom2_Q="",ISBLANK(F_Custom2_Q),F_Custom2_V="(All)",F_Custom2_V="",ISBLANK(F_Custom2_V)),1,IFERROR(IF(ISNUMBER(SEARCH("|"&amp;INDEX(INDIRECT(F_Custom2_resolved_column),1246)&amp;"|",F_Custom2_wrapped)),1,0),0))</f>
        <v>1</v>
      </c>
      <c r="F1247">
        <f>D1247*E1247*1</f>
        <v>1</v>
      </c>
      <c r="G1247">
        <f>1</f>
        <v>1</v>
      </c>
      <c r="H12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1246)&amp;"|",All_Questions_Q_STREAM_F_wrapped)),1,0),0))*1</f>
        <v>1</v>
      </c>
    </row>
    <row r="1248">
      <c r="A1248" t="n">
        <v>1247</v>
      </c>
      <c r="B1248" t="inlineStr">
        <is>
          <t>A</t>
        </is>
      </c>
      <c r="C1248">
        <f>1</f>
        <v>1</v>
      </c>
      <c r="D1248">
        <f>IF(OR(F_Custom1_Q="(None)",F_Custom1_Q="",ISBLANK(F_Custom1_Q),F_Custom1_V="(All)",F_Custom1_V="",ISBLANK(F_Custom1_V)),1,IFERROR(IF(ISNUMBER(SEARCH("|"&amp;INDEX(INDIRECT(F_Custom1_resolved_column),1247)&amp;"|",F_Custom1_wrapped)),1,0),0))</f>
        <v>1</v>
      </c>
      <c r="E1248">
        <f>IF(OR(F_Custom2_Q="(None)",F_Custom2_Q="",ISBLANK(F_Custom2_Q),F_Custom2_V="(All)",F_Custom2_V="",ISBLANK(F_Custom2_V)),1,IFERROR(IF(ISNUMBER(SEARCH("|"&amp;INDEX(INDIRECT(F_Custom2_resolved_column),1247)&amp;"|",F_Custom2_wrapped)),1,0),0))</f>
        <v>1</v>
      </c>
      <c r="F1248">
        <f>D1248*E1248*1</f>
        <v>1</v>
      </c>
      <c r="G1248">
        <f>1</f>
        <v>1</v>
      </c>
      <c r="H12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1247)&amp;"|",All_Questions_Q_STREAM_F_wrapped)),1,0),0))*1</f>
        <v>1</v>
      </c>
    </row>
    <row r="1249">
      <c r="A1249" t="n">
        <v>1248</v>
      </c>
      <c r="B1249" t="inlineStr">
        <is>
          <t>B</t>
        </is>
      </c>
      <c r="C1249">
        <f>1</f>
        <v>1</v>
      </c>
      <c r="D1249">
        <f>IF(OR(F_Custom1_Q="(None)",F_Custom1_Q="",ISBLANK(F_Custom1_Q),F_Custom1_V="(All)",F_Custom1_V="",ISBLANK(F_Custom1_V)),1,IFERROR(IF(ISNUMBER(SEARCH("|"&amp;INDEX(INDIRECT(F_Custom1_resolved_column),1248)&amp;"|",F_Custom1_wrapped)),1,0),0))</f>
        <v>1</v>
      </c>
      <c r="E1249">
        <f>IF(OR(F_Custom2_Q="(None)",F_Custom2_Q="",ISBLANK(F_Custom2_Q),F_Custom2_V="(All)",F_Custom2_V="",ISBLANK(F_Custom2_V)),1,IFERROR(IF(ISNUMBER(SEARCH("|"&amp;INDEX(INDIRECT(F_Custom2_resolved_column),1248)&amp;"|",F_Custom2_wrapped)),1,0),0))</f>
        <v>1</v>
      </c>
      <c r="F1249">
        <f>D1249*E1249*1</f>
        <v>1</v>
      </c>
      <c r="G1249">
        <f>1</f>
        <v>1</v>
      </c>
      <c r="H12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1248)&amp;"|",All_Questions_Q_STREAM_F_wrapped)),1,0),0))*1</f>
        <v>1</v>
      </c>
    </row>
    <row r="1250">
      <c r="A1250" t="n">
        <v>1249</v>
      </c>
      <c r="B1250" t="inlineStr">
        <is>
          <t>A</t>
        </is>
      </c>
      <c r="C1250">
        <f>1</f>
        <v>1</v>
      </c>
      <c r="D1250">
        <f>IF(OR(F_Custom1_Q="(None)",F_Custom1_Q="",ISBLANK(F_Custom1_Q),F_Custom1_V="(All)",F_Custom1_V="",ISBLANK(F_Custom1_V)),1,IFERROR(IF(ISNUMBER(SEARCH("|"&amp;INDEX(INDIRECT(F_Custom1_resolved_column),1249)&amp;"|",F_Custom1_wrapped)),1,0),0))</f>
        <v>1</v>
      </c>
      <c r="E1250">
        <f>IF(OR(F_Custom2_Q="(None)",F_Custom2_Q="",ISBLANK(F_Custom2_Q),F_Custom2_V="(All)",F_Custom2_V="",ISBLANK(F_Custom2_V)),1,IFERROR(IF(ISNUMBER(SEARCH("|"&amp;INDEX(INDIRECT(F_Custom2_resolved_column),1249)&amp;"|",F_Custom2_wrapped)),1,0),0))</f>
        <v>1</v>
      </c>
      <c r="F1250">
        <f>D1250*E1250*1</f>
        <v>1</v>
      </c>
      <c r="G1250">
        <f>1</f>
        <v>1</v>
      </c>
      <c r="H12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1249)&amp;"|",All_Questions_Q_STREAM_F_wrapped)),1,0),0))*1</f>
        <v>1</v>
      </c>
    </row>
    <row r="1251">
      <c r="A1251" t="n">
        <v>1250</v>
      </c>
      <c r="B1251" t="inlineStr">
        <is>
          <t>B</t>
        </is>
      </c>
      <c r="C1251">
        <f>1</f>
        <v>1</v>
      </c>
      <c r="D1251">
        <f>IF(OR(F_Custom1_Q="(None)",F_Custom1_Q="",ISBLANK(F_Custom1_Q),F_Custom1_V="(All)",F_Custom1_V="",ISBLANK(F_Custom1_V)),1,IFERROR(IF(ISNUMBER(SEARCH("|"&amp;INDEX(INDIRECT(F_Custom1_resolved_column),1250)&amp;"|",F_Custom1_wrapped)),1,0),0))</f>
        <v>1</v>
      </c>
      <c r="E1251">
        <f>IF(OR(F_Custom2_Q="(None)",F_Custom2_Q="",ISBLANK(F_Custom2_Q),F_Custom2_V="(All)",F_Custom2_V="",ISBLANK(F_Custom2_V)),1,IFERROR(IF(ISNUMBER(SEARCH("|"&amp;INDEX(INDIRECT(F_Custom2_resolved_column),1250)&amp;"|",F_Custom2_wrapped)),1,0),0))</f>
        <v>1</v>
      </c>
      <c r="F1251">
        <f>D1251*E1251*1</f>
        <v>1</v>
      </c>
      <c r="G1251">
        <f>1</f>
        <v>1</v>
      </c>
      <c r="H12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1250)&amp;"|",All_Questions_Q_STREAM_F_wrapped)),1,0),0))*1</f>
        <v>1</v>
      </c>
    </row>
    <row r="1252">
      <c r="A1252" t="n">
        <v>1251</v>
      </c>
      <c r="B1252" t="inlineStr">
        <is>
          <t>A</t>
        </is>
      </c>
      <c r="C1252">
        <f>1</f>
        <v>1</v>
      </c>
      <c r="D1252">
        <f>IF(OR(F_Custom1_Q="(None)",F_Custom1_Q="",ISBLANK(F_Custom1_Q),F_Custom1_V="(All)",F_Custom1_V="",ISBLANK(F_Custom1_V)),1,IFERROR(IF(ISNUMBER(SEARCH("|"&amp;INDEX(INDIRECT(F_Custom1_resolved_column),1251)&amp;"|",F_Custom1_wrapped)),1,0),0))</f>
        <v>1</v>
      </c>
      <c r="E1252">
        <f>IF(OR(F_Custom2_Q="(None)",F_Custom2_Q="",ISBLANK(F_Custom2_Q),F_Custom2_V="(All)",F_Custom2_V="",ISBLANK(F_Custom2_V)),1,IFERROR(IF(ISNUMBER(SEARCH("|"&amp;INDEX(INDIRECT(F_Custom2_resolved_column),1251)&amp;"|",F_Custom2_wrapped)),1,0),0))</f>
        <v>1</v>
      </c>
      <c r="F1252">
        <f>D1252*E1252*1</f>
        <v>1</v>
      </c>
      <c r="G1252">
        <f>1</f>
        <v>1</v>
      </c>
      <c r="H12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1251)&amp;"|",All_Questions_Q_STREAM_F_wrapped)),1,0),0))*1</f>
        <v>1</v>
      </c>
    </row>
    <row r="1253">
      <c r="A1253" t="n">
        <v>1252</v>
      </c>
      <c r="B1253" t="inlineStr">
        <is>
          <t>B</t>
        </is>
      </c>
      <c r="C1253">
        <f>1</f>
        <v>1</v>
      </c>
      <c r="D1253">
        <f>IF(OR(F_Custom1_Q="(None)",F_Custom1_Q="",ISBLANK(F_Custom1_Q),F_Custom1_V="(All)",F_Custom1_V="",ISBLANK(F_Custom1_V)),1,IFERROR(IF(ISNUMBER(SEARCH("|"&amp;INDEX(INDIRECT(F_Custom1_resolved_column),1252)&amp;"|",F_Custom1_wrapped)),1,0),0))</f>
        <v>1</v>
      </c>
      <c r="E1253">
        <f>IF(OR(F_Custom2_Q="(None)",F_Custom2_Q="",ISBLANK(F_Custom2_Q),F_Custom2_V="(All)",F_Custom2_V="",ISBLANK(F_Custom2_V)),1,IFERROR(IF(ISNUMBER(SEARCH("|"&amp;INDEX(INDIRECT(F_Custom2_resolved_column),1252)&amp;"|",F_Custom2_wrapped)),1,0),0))</f>
        <v>1</v>
      </c>
      <c r="F1253">
        <f>D1253*E1253*1</f>
        <v>1</v>
      </c>
      <c r="G1253">
        <f>1</f>
        <v>1</v>
      </c>
      <c r="H12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1252)&amp;"|",All_Questions_Q_STREAM_F_wrapped)),1,0),0))*1</f>
        <v>1</v>
      </c>
    </row>
    <row r="1254">
      <c r="A1254" t="n">
        <v>1253</v>
      </c>
      <c r="B1254" t="inlineStr">
        <is>
          <t>A</t>
        </is>
      </c>
      <c r="C1254">
        <f>1</f>
        <v>1</v>
      </c>
      <c r="D1254">
        <f>IF(OR(F_Custom1_Q="(None)",F_Custom1_Q="",ISBLANK(F_Custom1_Q),F_Custom1_V="(All)",F_Custom1_V="",ISBLANK(F_Custom1_V)),1,IFERROR(IF(ISNUMBER(SEARCH("|"&amp;INDEX(INDIRECT(F_Custom1_resolved_column),1253)&amp;"|",F_Custom1_wrapped)),1,0),0))</f>
        <v>1</v>
      </c>
      <c r="E1254">
        <f>IF(OR(F_Custom2_Q="(None)",F_Custom2_Q="",ISBLANK(F_Custom2_Q),F_Custom2_V="(All)",F_Custom2_V="",ISBLANK(F_Custom2_V)),1,IFERROR(IF(ISNUMBER(SEARCH("|"&amp;INDEX(INDIRECT(F_Custom2_resolved_column),1253)&amp;"|",F_Custom2_wrapped)),1,0),0))</f>
        <v>1</v>
      </c>
      <c r="F1254">
        <f>D1254*E1254*1</f>
        <v>1</v>
      </c>
      <c r="G1254">
        <f>1</f>
        <v>1</v>
      </c>
      <c r="H12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1253)&amp;"|",All_Questions_Q_STREAM_F_wrapped)),1,0),0))*1</f>
        <v>1</v>
      </c>
    </row>
    <row r="1255">
      <c r="A1255" t="n">
        <v>1254</v>
      </c>
      <c r="B1255" t="inlineStr">
        <is>
          <t>B</t>
        </is>
      </c>
      <c r="C1255">
        <f>1</f>
        <v>1</v>
      </c>
      <c r="D1255">
        <f>IF(OR(F_Custom1_Q="(None)",F_Custom1_Q="",ISBLANK(F_Custom1_Q),F_Custom1_V="(All)",F_Custom1_V="",ISBLANK(F_Custom1_V)),1,IFERROR(IF(ISNUMBER(SEARCH("|"&amp;INDEX(INDIRECT(F_Custom1_resolved_column),1254)&amp;"|",F_Custom1_wrapped)),1,0),0))</f>
        <v>1</v>
      </c>
      <c r="E1255">
        <f>IF(OR(F_Custom2_Q="(None)",F_Custom2_Q="",ISBLANK(F_Custom2_Q),F_Custom2_V="(All)",F_Custom2_V="",ISBLANK(F_Custom2_V)),1,IFERROR(IF(ISNUMBER(SEARCH("|"&amp;INDEX(INDIRECT(F_Custom2_resolved_column),1254)&amp;"|",F_Custom2_wrapped)),1,0),0))</f>
        <v>1</v>
      </c>
      <c r="F1255">
        <f>D1255*E1255*1</f>
        <v>1</v>
      </c>
      <c r="G1255">
        <f>1</f>
        <v>1</v>
      </c>
      <c r="H12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1254)&amp;"|",All_Questions_Q_STREAM_F_wrapped)),1,0),0))*1</f>
        <v>1</v>
      </c>
    </row>
    <row r="1256">
      <c r="A1256" t="n">
        <v>1255</v>
      </c>
      <c r="B1256" t="inlineStr">
        <is>
          <t>A</t>
        </is>
      </c>
      <c r="C1256">
        <f>1</f>
        <v>1</v>
      </c>
      <c r="D1256">
        <f>IF(OR(F_Custom1_Q="(None)",F_Custom1_Q="",ISBLANK(F_Custom1_Q),F_Custom1_V="(All)",F_Custom1_V="",ISBLANK(F_Custom1_V)),1,IFERROR(IF(ISNUMBER(SEARCH("|"&amp;INDEX(INDIRECT(F_Custom1_resolved_column),1255)&amp;"|",F_Custom1_wrapped)),1,0),0))</f>
        <v>1</v>
      </c>
      <c r="E1256">
        <f>IF(OR(F_Custom2_Q="(None)",F_Custom2_Q="",ISBLANK(F_Custom2_Q),F_Custom2_V="(All)",F_Custom2_V="",ISBLANK(F_Custom2_V)),1,IFERROR(IF(ISNUMBER(SEARCH("|"&amp;INDEX(INDIRECT(F_Custom2_resolved_column),1255)&amp;"|",F_Custom2_wrapped)),1,0),0))</f>
        <v>1</v>
      </c>
      <c r="F1256">
        <f>D1256*E1256*1</f>
        <v>1</v>
      </c>
      <c r="G1256">
        <f>1</f>
        <v>1</v>
      </c>
      <c r="H12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1255)&amp;"|",All_Questions_Q_STREAM_F_wrapped)),1,0),0))*1</f>
        <v>1</v>
      </c>
    </row>
    <row r="1257">
      <c r="A1257" t="n">
        <v>1256</v>
      </c>
      <c r="B1257" t="inlineStr">
        <is>
          <t>B</t>
        </is>
      </c>
      <c r="C1257">
        <f>1</f>
        <v>1</v>
      </c>
      <c r="D1257">
        <f>IF(OR(F_Custom1_Q="(None)",F_Custom1_Q="",ISBLANK(F_Custom1_Q),F_Custom1_V="(All)",F_Custom1_V="",ISBLANK(F_Custom1_V)),1,IFERROR(IF(ISNUMBER(SEARCH("|"&amp;INDEX(INDIRECT(F_Custom1_resolved_column),1256)&amp;"|",F_Custom1_wrapped)),1,0),0))</f>
        <v>1</v>
      </c>
      <c r="E1257">
        <f>IF(OR(F_Custom2_Q="(None)",F_Custom2_Q="",ISBLANK(F_Custom2_Q),F_Custom2_V="(All)",F_Custom2_V="",ISBLANK(F_Custom2_V)),1,IFERROR(IF(ISNUMBER(SEARCH("|"&amp;INDEX(INDIRECT(F_Custom2_resolved_column),1256)&amp;"|",F_Custom2_wrapped)),1,0),0))</f>
        <v>1</v>
      </c>
      <c r="F1257">
        <f>D1257*E1257*1</f>
        <v>1</v>
      </c>
      <c r="G1257">
        <f>1</f>
        <v>1</v>
      </c>
      <c r="H12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1256)&amp;"|",All_Questions_Q_STREAM_F_wrapped)),1,0),0))*1</f>
        <v>1</v>
      </c>
    </row>
    <row r="1258">
      <c r="A1258" t="n">
        <v>1257</v>
      </c>
      <c r="B1258" t="inlineStr">
        <is>
          <t>A</t>
        </is>
      </c>
      <c r="C1258">
        <f>1</f>
        <v>1</v>
      </c>
      <c r="D1258">
        <f>IF(OR(F_Custom1_Q="(None)",F_Custom1_Q="",ISBLANK(F_Custom1_Q),F_Custom1_V="(All)",F_Custom1_V="",ISBLANK(F_Custom1_V)),1,IFERROR(IF(ISNUMBER(SEARCH("|"&amp;INDEX(INDIRECT(F_Custom1_resolved_column),1257)&amp;"|",F_Custom1_wrapped)),1,0),0))</f>
        <v>1</v>
      </c>
      <c r="E1258">
        <f>IF(OR(F_Custom2_Q="(None)",F_Custom2_Q="",ISBLANK(F_Custom2_Q),F_Custom2_V="(All)",F_Custom2_V="",ISBLANK(F_Custom2_V)),1,IFERROR(IF(ISNUMBER(SEARCH("|"&amp;INDEX(INDIRECT(F_Custom2_resolved_column),1257)&amp;"|",F_Custom2_wrapped)),1,0),0))</f>
        <v>1</v>
      </c>
      <c r="F1258">
        <f>D1258*E1258*1</f>
        <v>1</v>
      </c>
      <c r="G1258">
        <f>1</f>
        <v>1</v>
      </c>
      <c r="H12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1257)&amp;"|",All_Questions_Q_STREAM_F_wrapped)),1,0),0))*1</f>
        <v>1</v>
      </c>
    </row>
    <row r="1259">
      <c r="A1259" t="n">
        <v>1258</v>
      </c>
      <c r="B1259" t="inlineStr">
        <is>
          <t>B</t>
        </is>
      </c>
      <c r="C1259">
        <f>1</f>
        <v>1</v>
      </c>
      <c r="D1259">
        <f>IF(OR(F_Custom1_Q="(None)",F_Custom1_Q="",ISBLANK(F_Custom1_Q),F_Custom1_V="(All)",F_Custom1_V="",ISBLANK(F_Custom1_V)),1,IFERROR(IF(ISNUMBER(SEARCH("|"&amp;INDEX(INDIRECT(F_Custom1_resolved_column),1258)&amp;"|",F_Custom1_wrapped)),1,0),0))</f>
        <v>1</v>
      </c>
      <c r="E1259">
        <f>IF(OR(F_Custom2_Q="(None)",F_Custom2_Q="",ISBLANK(F_Custom2_Q),F_Custom2_V="(All)",F_Custom2_V="",ISBLANK(F_Custom2_V)),1,IFERROR(IF(ISNUMBER(SEARCH("|"&amp;INDEX(INDIRECT(F_Custom2_resolved_column),1258)&amp;"|",F_Custom2_wrapped)),1,0),0))</f>
        <v>1</v>
      </c>
      <c r="F1259">
        <f>D1259*E1259*1</f>
        <v>1</v>
      </c>
      <c r="G1259">
        <f>1</f>
        <v>1</v>
      </c>
      <c r="H12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1258)&amp;"|",All_Questions_Q_STREAM_F_wrapped)),1,0),0))*1</f>
        <v>1</v>
      </c>
    </row>
    <row r="1260">
      <c r="A1260" t="n">
        <v>1259</v>
      </c>
      <c r="B1260" t="inlineStr">
        <is>
          <t>A</t>
        </is>
      </c>
      <c r="C1260">
        <f>1</f>
        <v>1</v>
      </c>
      <c r="D1260">
        <f>IF(OR(F_Custom1_Q="(None)",F_Custom1_Q="",ISBLANK(F_Custom1_Q),F_Custom1_V="(All)",F_Custom1_V="",ISBLANK(F_Custom1_V)),1,IFERROR(IF(ISNUMBER(SEARCH("|"&amp;INDEX(INDIRECT(F_Custom1_resolved_column),1259)&amp;"|",F_Custom1_wrapped)),1,0),0))</f>
        <v>1</v>
      </c>
      <c r="E1260">
        <f>IF(OR(F_Custom2_Q="(None)",F_Custom2_Q="",ISBLANK(F_Custom2_Q),F_Custom2_V="(All)",F_Custom2_V="",ISBLANK(F_Custom2_V)),1,IFERROR(IF(ISNUMBER(SEARCH("|"&amp;INDEX(INDIRECT(F_Custom2_resolved_column),1259)&amp;"|",F_Custom2_wrapped)),1,0),0))</f>
        <v>1</v>
      </c>
      <c r="F1260">
        <f>D1260*E1260*1</f>
        <v>1</v>
      </c>
      <c r="G1260">
        <f>1</f>
        <v>1</v>
      </c>
      <c r="H12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1259)&amp;"|",All_Questions_Q_STREAM_F_wrapped)),1,0),0))*1</f>
        <v>1</v>
      </c>
    </row>
    <row r="1261">
      <c r="A1261" t="n">
        <v>1260</v>
      </c>
      <c r="B1261" t="inlineStr">
        <is>
          <t>B</t>
        </is>
      </c>
      <c r="C1261">
        <f>1</f>
        <v>1</v>
      </c>
      <c r="D1261">
        <f>IF(OR(F_Custom1_Q="(None)",F_Custom1_Q="",ISBLANK(F_Custom1_Q),F_Custom1_V="(All)",F_Custom1_V="",ISBLANK(F_Custom1_V)),1,IFERROR(IF(ISNUMBER(SEARCH("|"&amp;INDEX(INDIRECT(F_Custom1_resolved_column),1260)&amp;"|",F_Custom1_wrapped)),1,0),0))</f>
        <v>1</v>
      </c>
      <c r="E1261">
        <f>IF(OR(F_Custom2_Q="(None)",F_Custom2_Q="",ISBLANK(F_Custom2_Q),F_Custom2_V="(All)",F_Custom2_V="",ISBLANK(F_Custom2_V)),1,IFERROR(IF(ISNUMBER(SEARCH("|"&amp;INDEX(INDIRECT(F_Custom2_resolved_column),1260)&amp;"|",F_Custom2_wrapped)),1,0),0))</f>
        <v>1</v>
      </c>
      <c r="F1261">
        <f>D1261*E1261*1</f>
        <v>1</v>
      </c>
      <c r="G1261">
        <f>1</f>
        <v>1</v>
      </c>
      <c r="H12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1260)&amp;"|",All_Questions_Q_STREAM_F_wrapped)),1,0),0))*1</f>
        <v>1</v>
      </c>
    </row>
    <row r="1262">
      <c r="A1262" t="n">
        <v>1261</v>
      </c>
      <c r="B1262" t="inlineStr">
        <is>
          <t>A</t>
        </is>
      </c>
      <c r="C1262">
        <f>1</f>
        <v>1</v>
      </c>
      <c r="D1262">
        <f>IF(OR(F_Custom1_Q="(None)",F_Custom1_Q="",ISBLANK(F_Custom1_Q),F_Custom1_V="(All)",F_Custom1_V="",ISBLANK(F_Custom1_V)),1,IFERROR(IF(ISNUMBER(SEARCH("|"&amp;INDEX(INDIRECT(F_Custom1_resolved_column),1261)&amp;"|",F_Custom1_wrapped)),1,0),0))</f>
        <v>1</v>
      </c>
      <c r="E1262">
        <f>IF(OR(F_Custom2_Q="(None)",F_Custom2_Q="",ISBLANK(F_Custom2_Q),F_Custom2_V="(All)",F_Custom2_V="",ISBLANK(F_Custom2_V)),1,IFERROR(IF(ISNUMBER(SEARCH("|"&amp;INDEX(INDIRECT(F_Custom2_resolved_column),1261)&amp;"|",F_Custom2_wrapped)),1,0),0))</f>
        <v>1</v>
      </c>
      <c r="F1262">
        <f>D1262*E1262*1</f>
        <v>1</v>
      </c>
      <c r="G1262">
        <f>1</f>
        <v>1</v>
      </c>
      <c r="H12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1261)&amp;"|",All_Questions_Q_STREAM_F_wrapped)),1,0),0))*1</f>
        <v>1</v>
      </c>
    </row>
    <row r="1263">
      <c r="A1263" t="n">
        <v>1262</v>
      </c>
      <c r="B1263" t="inlineStr">
        <is>
          <t>B</t>
        </is>
      </c>
      <c r="C1263">
        <f>1</f>
        <v>1</v>
      </c>
      <c r="D1263">
        <f>IF(OR(F_Custom1_Q="(None)",F_Custom1_Q="",ISBLANK(F_Custom1_Q),F_Custom1_V="(All)",F_Custom1_V="",ISBLANK(F_Custom1_V)),1,IFERROR(IF(ISNUMBER(SEARCH("|"&amp;INDEX(INDIRECT(F_Custom1_resolved_column),1262)&amp;"|",F_Custom1_wrapped)),1,0),0))</f>
        <v>1</v>
      </c>
      <c r="E1263">
        <f>IF(OR(F_Custom2_Q="(None)",F_Custom2_Q="",ISBLANK(F_Custom2_Q),F_Custom2_V="(All)",F_Custom2_V="",ISBLANK(F_Custom2_V)),1,IFERROR(IF(ISNUMBER(SEARCH("|"&amp;INDEX(INDIRECT(F_Custom2_resolved_column),1262)&amp;"|",F_Custom2_wrapped)),1,0),0))</f>
        <v>1</v>
      </c>
      <c r="F1263">
        <f>D1263*E1263*1</f>
        <v>1</v>
      </c>
      <c r="G1263">
        <f>1</f>
        <v>1</v>
      </c>
      <c r="H12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1262)&amp;"|",All_Questions_Q_STREAM_F_wrapped)),1,0),0))*1</f>
        <v>1</v>
      </c>
    </row>
    <row r="1264">
      <c r="A1264" t="n">
        <v>1263</v>
      </c>
      <c r="B1264" t="inlineStr">
        <is>
          <t>A</t>
        </is>
      </c>
      <c r="C1264">
        <f>1</f>
        <v>1</v>
      </c>
      <c r="D1264">
        <f>IF(OR(F_Custom1_Q="(None)",F_Custom1_Q="",ISBLANK(F_Custom1_Q),F_Custom1_V="(All)",F_Custom1_V="",ISBLANK(F_Custom1_V)),1,IFERROR(IF(ISNUMBER(SEARCH("|"&amp;INDEX(INDIRECT(F_Custom1_resolved_column),1263)&amp;"|",F_Custom1_wrapped)),1,0),0))</f>
        <v>1</v>
      </c>
      <c r="E1264">
        <f>IF(OR(F_Custom2_Q="(None)",F_Custom2_Q="",ISBLANK(F_Custom2_Q),F_Custom2_V="(All)",F_Custom2_V="",ISBLANK(F_Custom2_V)),1,IFERROR(IF(ISNUMBER(SEARCH("|"&amp;INDEX(INDIRECT(F_Custom2_resolved_column),1263)&amp;"|",F_Custom2_wrapped)),1,0),0))</f>
        <v>1</v>
      </c>
      <c r="F1264">
        <f>D1264*E1264*1</f>
        <v>1</v>
      </c>
      <c r="G1264">
        <f>1</f>
        <v>1</v>
      </c>
      <c r="H12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1263)&amp;"|",All_Questions_Q_STREAM_F_wrapped)),1,0),0))*1</f>
        <v>1</v>
      </c>
    </row>
    <row r="1265">
      <c r="A1265" t="n">
        <v>1264</v>
      </c>
      <c r="B1265" t="inlineStr">
        <is>
          <t>B</t>
        </is>
      </c>
      <c r="C1265">
        <f>1</f>
        <v>1</v>
      </c>
      <c r="D1265">
        <f>IF(OR(F_Custom1_Q="(None)",F_Custom1_Q="",ISBLANK(F_Custom1_Q),F_Custom1_V="(All)",F_Custom1_V="",ISBLANK(F_Custom1_V)),1,IFERROR(IF(ISNUMBER(SEARCH("|"&amp;INDEX(INDIRECT(F_Custom1_resolved_column),1264)&amp;"|",F_Custom1_wrapped)),1,0),0))</f>
        <v>1</v>
      </c>
      <c r="E1265">
        <f>IF(OR(F_Custom2_Q="(None)",F_Custom2_Q="",ISBLANK(F_Custom2_Q),F_Custom2_V="(All)",F_Custom2_V="",ISBLANK(F_Custom2_V)),1,IFERROR(IF(ISNUMBER(SEARCH("|"&amp;INDEX(INDIRECT(F_Custom2_resolved_column),1264)&amp;"|",F_Custom2_wrapped)),1,0),0))</f>
        <v>1</v>
      </c>
      <c r="F1265">
        <f>D1265*E1265*1</f>
        <v>1</v>
      </c>
      <c r="G1265">
        <f>1</f>
        <v>1</v>
      </c>
      <c r="H12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1264)&amp;"|",All_Questions_Q_STREAM_F_wrapped)),1,0),0))*1</f>
        <v>1</v>
      </c>
    </row>
    <row r="1266">
      <c r="A1266" t="n">
        <v>1265</v>
      </c>
      <c r="B1266" t="inlineStr">
        <is>
          <t>A</t>
        </is>
      </c>
      <c r="C1266">
        <f>1</f>
        <v>1</v>
      </c>
      <c r="D1266">
        <f>IF(OR(F_Custom1_Q="(None)",F_Custom1_Q="",ISBLANK(F_Custom1_Q),F_Custom1_V="(All)",F_Custom1_V="",ISBLANK(F_Custom1_V)),1,IFERROR(IF(ISNUMBER(SEARCH("|"&amp;INDEX(INDIRECT(F_Custom1_resolved_column),1265)&amp;"|",F_Custom1_wrapped)),1,0),0))</f>
        <v>1</v>
      </c>
      <c r="E1266">
        <f>IF(OR(F_Custom2_Q="(None)",F_Custom2_Q="",ISBLANK(F_Custom2_Q),F_Custom2_V="(All)",F_Custom2_V="",ISBLANK(F_Custom2_V)),1,IFERROR(IF(ISNUMBER(SEARCH("|"&amp;INDEX(INDIRECT(F_Custom2_resolved_column),1265)&amp;"|",F_Custom2_wrapped)),1,0),0))</f>
        <v>1</v>
      </c>
      <c r="F1266">
        <f>D1266*E1266*1</f>
        <v>1</v>
      </c>
      <c r="G1266">
        <f>1</f>
        <v>1</v>
      </c>
      <c r="H12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1265)&amp;"|",All_Questions_Q_STREAM_F_wrapped)),1,0),0))*1</f>
        <v>1</v>
      </c>
    </row>
    <row r="1267">
      <c r="A1267" t="n">
        <v>1266</v>
      </c>
      <c r="B1267" t="inlineStr">
        <is>
          <t>B</t>
        </is>
      </c>
      <c r="C1267">
        <f>1</f>
        <v>1</v>
      </c>
      <c r="D1267">
        <f>IF(OR(F_Custom1_Q="(None)",F_Custom1_Q="",ISBLANK(F_Custom1_Q),F_Custom1_V="(All)",F_Custom1_V="",ISBLANK(F_Custom1_V)),1,IFERROR(IF(ISNUMBER(SEARCH("|"&amp;INDEX(INDIRECT(F_Custom1_resolved_column),1266)&amp;"|",F_Custom1_wrapped)),1,0),0))</f>
        <v>1</v>
      </c>
      <c r="E1267">
        <f>IF(OR(F_Custom2_Q="(None)",F_Custom2_Q="",ISBLANK(F_Custom2_Q),F_Custom2_V="(All)",F_Custom2_V="",ISBLANK(F_Custom2_V)),1,IFERROR(IF(ISNUMBER(SEARCH("|"&amp;INDEX(INDIRECT(F_Custom2_resolved_column),1266)&amp;"|",F_Custom2_wrapped)),1,0),0))</f>
        <v>1</v>
      </c>
      <c r="F1267">
        <f>D1267*E1267*1</f>
        <v>1</v>
      </c>
      <c r="G1267">
        <f>1</f>
        <v>1</v>
      </c>
      <c r="H12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1266)&amp;"|",All_Questions_Q_STREAM_F_wrapped)),1,0),0))*1</f>
        <v>1</v>
      </c>
    </row>
    <row r="1268">
      <c r="A1268" t="n">
        <v>1267</v>
      </c>
      <c r="B1268" t="inlineStr">
        <is>
          <t>A</t>
        </is>
      </c>
      <c r="C1268">
        <f>1</f>
        <v>1</v>
      </c>
      <c r="D1268">
        <f>IF(OR(F_Custom1_Q="(None)",F_Custom1_Q="",ISBLANK(F_Custom1_Q),F_Custom1_V="(All)",F_Custom1_V="",ISBLANK(F_Custom1_V)),1,IFERROR(IF(ISNUMBER(SEARCH("|"&amp;INDEX(INDIRECT(F_Custom1_resolved_column),1267)&amp;"|",F_Custom1_wrapped)),1,0),0))</f>
        <v>1</v>
      </c>
      <c r="E1268">
        <f>IF(OR(F_Custom2_Q="(None)",F_Custom2_Q="",ISBLANK(F_Custom2_Q),F_Custom2_V="(All)",F_Custom2_V="",ISBLANK(F_Custom2_V)),1,IFERROR(IF(ISNUMBER(SEARCH("|"&amp;INDEX(INDIRECT(F_Custom2_resolved_column),1267)&amp;"|",F_Custom2_wrapped)),1,0),0))</f>
        <v>1</v>
      </c>
      <c r="F1268">
        <f>D1268*E1268*1</f>
        <v>1</v>
      </c>
      <c r="G1268">
        <f>1</f>
        <v>1</v>
      </c>
      <c r="H12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1267)&amp;"|",All_Questions_Q_STREAM_F_wrapped)),1,0),0))*1</f>
        <v>1</v>
      </c>
    </row>
    <row r="1269">
      <c r="A1269" t="n">
        <v>1268</v>
      </c>
      <c r="B1269" t="inlineStr">
        <is>
          <t>B</t>
        </is>
      </c>
      <c r="C1269">
        <f>1</f>
        <v>1</v>
      </c>
      <c r="D1269">
        <f>IF(OR(F_Custom1_Q="(None)",F_Custom1_Q="",ISBLANK(F_Custom1_Q),F_Custom1_V="(All)",F_Custom1_V="",ISBLANK(F_Custom1_V)),1,IFERROR(IF(ISNUMBER(SEARCH("|"&amp;INDEX(INDIRECT(F_Custom1_resolved_column),1268)&amp;"|",F_Custom1_wrapped)),1,0),0))</f>
        <v>1</v>
      </c>
      <c r="E1269">
        <f>IF(OR(F_Custom2_Q="(None)",F_Custom2_Q="",ISBLANK(F_Custom2_Q),F_Custom2_V="(All)",F_Custom2_V="",ISBLANK(F_Custom2_V)),1,IFERROR(IF(ISNUMBER(SEARCH("|"&amp;INDEX(INDIRECT(F_Custom2_resolved_column),1268)&amp;"|",F_Custom2_wrapped)),1,0),0))</f>
        <v>1</v>
      </c>
      <c r="F1269">
        <f>D1269*E1269*1</f>
        <v>1</v>
      </c>
      <c r="G1269">
        <f>1</f>
        <v>1</v>
      </c>
      <c r="H12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1268)&amp;"|",All_Questions_Q_STREAM_F_wrapped)),1,0),0))*1</f>
        <v>1</v>
      </c>
    </row>
    <row r="1270">
      <c r="A1270" t="n">
        <v>1269</v>
      </c>
      <c r="B1270" t="inlineStr">
        <is>
          <t>A</t>
        </is>
      </c>
      <c r="C1270">
        <f>1</f>
        <v>1</v>
      </c>
      <c r="D1270">
        <f>IF(OR(F_Custom1_Q="(None)",F_Custom1_Q="",ISBLANK(F_Custom1_Q),F_Custom1_V="(All)",F_Custom1_V="",ISBLANK(F_Custom1_V)),1,IFERROR(IF(ISNUMBER(SEARCH("|"&amp;INDEX(INDIRECT(F_Custom1_resolved_column),1269)&amp;"|",F_Custom1_wrapped)),1,0),0))</f>
        <v>1</v>
      </c>
      <c r="E1270">
        <f>IF(OR(F_Custom2_Q="(None)",F_Custom2_Q="",ISBLANK(F_Custom2_Q),F_Custom2_V="(All)",F_Custom2_V="",ISBLANK(F_Custom2_V)),1,IFERROR(IF(ISNUMBER(SEARCH("|"&amp;INDEX(INDIRECT(F_Custom2_resolved_column),1269)&amp;"|",F_Custom2_wrapped)),1,0),0))</f>
        <v>1</v>
      </c>
      <c r="F1270">
        <f>D1270*E1270*1</f>
        <v>1</v>
      </c>
      <c r="G1270">
        <f>1</f>
        <v>1</v>
      </c>
      <c r="H12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1269)&amp;"|",All_Questions_Q_STREAM_F_wrapped)),1,0),0))*1</f>
        <v>1</v>
      </c>
    </row>
    <row r="1271">
      <c r="A1271" t="n">
        <v>1270</v>
      </c>
      <c r="B1271" t="inlineStr">
        <is>
          <t>B</t>
        </is>
      </c>
      <c r="C1271">
        <f>1</f>
        <v>1</v>
      </c>
      <c r="D1271">
        <f>IF(OR(F_Custom1_Q="(None)",F_Custom1_Q="",ISBLANK(F_Custom1_Q),F_Custom1_V="(All)",F_Custom1_V="",ISBLANK(F_Custom1_V)),1,IFERROR(IF(ISNUMBER(SEARCH("|"&amp;INDEX(INDIRECT(F_Custom1_resolved_column),1270)&amp;"|",F_Custom1_wrapped)),1,0),0))</f>
        <v>1</v>
      </c>
      <c r="E1271">
        <f>IF(OR(F_Custom2_Q="(None)",F_Custom2_Q="",ISBLANK(F_Custom2_Q),F_Custom2_V="(All)",F_Custom2_V="",ISBLANK(F_Custom2_V)),1,IFERROR(IF(ISNUMBER(SEARCH("|"&amp;INDEX(INDIRECT(F_Custom2_resolved_column),1270)&amp;"|",F_Custom2_wrapped)),1,0),0))</f>
        <v>1</v>
      </c>
      <c r="F1271">
        <f>D1271*E1271*1</f>
        <v>1</v>
      </c>
      <c r="G1271">
        <f>1</f>
        <v>1</v>
      </c>
      <c r="H12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1270)&amp;"|",All_Questions_Q_STREAM_F_wrapped)),1,0),0))*1</f>
        <v>1</v>
      </c>
    </row>
    <row r="1272">
      <c r="A1272" t="n">
        <v>1271</v>
      </c>
      <c r="B1272" t="inlineStr">
        <is>
          <t>A</t>
        </is>
      </c>
      <c r="C1272">
        <f>1</f>
        <v>1</v>
      </c>
      <c r="D1272">
        <f>IF(OR(F_Custom1_Q="(None)",F_Custom1_Q="",ISBLANK(F_Custom1_Q),F_Custom1_V="(All)",F_Custom1_V="",ISBLANK(F_Custom1_V)),1,IFERROR(IF(ISNUMBER(SEARCH("|"&amp;INDEX(INDIRECT(F_Custom1_resolved_column),1271)&amp;"|",F_Custom1_wrapped)),1,0),0))</f>
        <v>1</v>
      </c>
      <c r="E1272">
        <f>IF(OR(F_Custom2_Q="(None)",F_Custom2_Q="",ISBLANK(F_Custom2_Q),F_Custom2_V="(All)",F_Custom2_V="",ISBLANK(F_Custom2_V)),1,IFERROR(IF(ISNUMBER(SEARCH("|"&amp;INDEX(INDIRECT(F_Custom2_resolved_column),1271)&amp;"|",F_Custom2_wrapped)),1,0),0))</f>
        <v>1</v>
      </c>
      <c r="F1272">
        <f>D1272*E1272*1</f>
        <v>1</v>
      </c>
      <c r="G1272">
        <f>1</f>
        <v>1</v>
      </c>
      <c r="H12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1271)&amp;"|",All_Questions_Q_STREAM_F_wrapped)),1,0),0))*1</f>
        <v>1</v>
      </c>
    </row>
    <row r="1273">
      <c r="A1273" t="n">
        <v>1272</v>
      </c>
      <c r="B1273" t="inlineStr">
        <is>
          <t>B</t>
        </is>
      </c>
      <c r="C1273">
        <f>1</f>
        <v>1</v>
      </c>
      <c r="D1273">
        <f>IF(OR(F_Custom1_Q="(None)",F_Custom1_Q="",ISBLANK(F_Custom1_Q),F_Custom1_V="(All)",F_Custom1_V="",ISBLANK(F_Custom1_V)),1,IFERROR(IF(ISNUMBER(SEARCH("|"&amp;INDEX(INDIRECT(F_Custom1_resolved_column),1272)&amp;"|",F_Custom1_wrapped)),1,0),0))</f>
        <v>1</v>
      </c>
      <c r="E1273">
        <f>IF(OR(F_Custom2_Q="(None)",F_Custom2_Q="",ISBLANK(F_Custom2_Q),F_Custom2_V="(All)",F_Custom2_V="",ISBLANK(F_Custom2_V)),1,IFERROR(IF(ISNUMBER(SEARCH("|"&amp;INDEX(INDIRECT(F_Custom2_resolved_column),1272)&amp;"|",F_Custom2_wrapped)),1,0),0))</f>
        <v>1</v>
      </c>
      <c r="F1273">
        <f>D1273*E1273*1</f>
        <v>1</v>
      </c>
      <c r="G1273">
        <f>1</f>
        <v>1</v>
      </c>
      <c r="H12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1272)&amp;"|",All_Questions_Q_STREAM_F_wrapped)),1,0),0))*1</f>
        <v>1</v>
      </c>
    </row>
    <row r="1274">
      <c r="A1274" t="n">
        <v>1273</v>
      </c>
      <c r="B1274" t="inlineStr">
        <is>
          <t>A</t>
        </is>
      </c>
      <c r="C1274">
        <f>1</f>
        <v>1</v>
      </c>
      <c r="D1274">
        <f>IF(OR(F_Custom1_Q="(None)",F_Custom1_Q="",ISBLANK(F_Custom1_Q),F_Custom1_V="(All)",F_Custom1_V="",ISBLANK(F_Custom1_V)),1,IFERROR(IF(ISNUMBER(SEARCH("|"&amp;INDEX(INDIRECT(F_Custom1_resolved_column),1273)&amp;"|",F_Custom1_wrapped)),1,0),0))</f>
        <v>1</v>
      </c>
      <c r="E1274">
        <f>IF(OR(F_Custom2_Q="(None)",F_Custom2_Q="",ISBLANK(F_Custom2_Q),F_Custom2_V="(All)",F_Custom2_V="",ISBLANK(F_Custom2_V)),1,IFERROR(IF(ISNUMBER(SEARCH("|"&amp;INDEX(INDIRECT(F_Custom2_resolved_column),1273)&amp;"|",F_Custom2_wrapped)),1,0),0))</f>
        <v>1</v>
      </c>
      <c r="F1274">
        <f>D1274*E1274*1</f>
        <v>1</v>
      </c>
      <c r="G1274">
        <f>1</f>
        <v>1</v>
      </c>
      <c r="H12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1273)&amp;"|",All_Questions_Q_STREAM_F_wrapped)),1,0),0))*1</f>
        <v>1</v>
      </c>
    </row>
    <row r="1275">
      <c r="A1275" t="n">
        <v>1274</v>
      </c>
      <c r="B1275" t="inlineStr">
        <is>
          <t>B</t>
        </is>
      </c>
      <c r="C1275">
        <f>1</f>
        <v>1</v>
      </c>
      <c r="D1275">
        <f>IF(OR(F_Custom1_Q="(None)",F_Custom1_Q="",ISBLANK(F_Custom1_Q),F_Custom1_V="(All)",F_Custom1_V="",ISBLANK(F_Custom1_V)),1,IFERROR(IF(ISNUMBER(SEARCH("|"&amp;INDEX(INDIRECT(F_Custom1_resolved_column),1274)&amp;"|",F_Custom1_wrapped)),1,0),0))</f>
        <v>1</v>
      </c>
      <c r="E1275">
        <f>IF(OR(F_Custom2_Q="(None)",F_Custom2_Q="",ISBLANK(F_Custom2_Q),F_Custom2_V="(All)",F_Custom2_V="",ISBLANK(F_Custom2_V)),1,IFERROR(IF(ISNUMBER(SEARCH("|"&amp;INDEX(INDIRECT(F_Custom2_resolved_column),1274)&amp;"|",F_Custom2_wrapped)),1,0),0))</f>
        <v>1</v>
      </c>
      <c r="F1275">
        <f>D1275*E1275*1</f>
        <v>1</v>
      </c>
      <c r="G1275">
        <f>1</f>
        <v>1</v>
      </c>
      <c r="H12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1274)&amp;"|",All_Questions_Q_STREAM_F_wrapped)),1,0),0))*1</f>
        <v>1</v>
      </c>
    </row>
    <row r="1276">
      <c r="A1276" t="n">
        <v>1275</v>
      </c>
      <c r="B1276" t="inlineStr">
        <is>
          <t>A</t>
        </is>
      </c>
      <c r="C1276">
        <f>1</f>
        <v>1</v>
      </c>
      <c r="D1276">
        <f>IF(OR(F_Custom1_Q="(None)",F_Custom1_Q="",ISBLANK(F_Custom1_Q),F_Custom1_V="(All)",F_Custom1_V="",ISBLANK(F_Custom1_V)),1,IFERROR(IF(ISNUMBER(SEARCH("|"&amp;INDEX(INDIRECT(F_Custom1_resolved_column),1275)&amp;"|",F_Custom1_wrapped)),1,0),0))</f>
        <v>1</v>
      </c>
      <c r="E1276">
        <f>IF(OR(F_Custom2_Q="(None)",F_Custom2_Q="",ISBLANK(F_Custom2_Q),F_Custom2_V="(All)",F_Custom2_V="",ISBLANK(F_Custom2_V)),1,IFERROR(IF(ISNUMBER(SEARCH("|"&amp;INDEX(INDIRECT(F_Custom2_resolved_column),1275)&amp;"|",F_Custom2_wrapped)),1,0),0))</f>
        <v>1</v>
      </c>
      <c r="F1276">
        <f>D1276*E1276*1</f>
        <v>1</v>
      </c>
      <c r="G1276">
        <f>1</f>
        <v>1</v>
      </c>
      <c r="H12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1275)&amp;"|",All_Questions_Q_STREAM_F_wrapped)),1,0),0))*1</f>
        <v>1</v>
      </c>
    </row>
    <row r="1277">
      <c r="A1277" t="n">
        <v>1276</v>
      </c>
      <c r="B1277" t="inlineStr">
        <is>
          <t>B</t>
        </is>
      </c>
      <c r="C1277">
        <f>1</f>
        <v>1</v>
      </c>
      <c r="D1277">
        <f>IF(OR(F_Custom1_Q="(None)",F_Custom1_Q="",ISBLANK(F_Custom1_Q),F_Custom1_V="(All)",F_Custom1_V="",ISBLANK(F_Custom1_V)),1,IFERROR(IF(ISNUMBER(SEARCH("|"&amp;INDEX(INDIRECT(F_Custom1_resolved_column),1276)&amp;"|",F_Custom1_wrapped)),1,0),0))</f>
        <v>1</v>
      </c>
      <c r="E1277">
        <f>IF(OR(F_Custom2_Q="(None)",F_Custom2_Q="",ISBLANK(F_Custom2_Q),F_Custom2_V="(All)",F_Custom2_V="",ISBLANK(F_Custom2_V)),1,IFERROR(IF(ISNUMBER(SEARCH("|"&amp;INDEX(INDIRECT(F_Custom2_resolved_column),1276)&amp;"|",F_Custom2_wrapped)),1,0),0))</f>
        <v>1</v>
      </c>
      <c r="F1277">
        <f>D1277*E1277*1</f>
        <v>1</v>
      </c>
      <c r="G1277">
        <f>1</f>
        <v>1</v>
      </c>
      <c r="H12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1276)&amp;"|",All_Questions_Q_STREAM_F_wrapped)),1,0),0))*1</f>
        <v>1</v>
      </c>
    </row>
    <row r="1278">
      <c r="A1278" t="n">
        <v>1277</v>
      </c>
      <c r="B1278" t="inlineStr">
        <is>
          <t>A</t>
        </is>
      </c>
      <c r="C1278">
        <f>1</f>
        <v>1</v>
      </c>
      <c r="D1278">
        <f>IF(OR(F_Custom1_Q="(None)",F_Custom1_Q="",ISBLANK(F_Custom1_Q),F_Custom1_V="(All)",F_Custom1_V="",ISBLANK(F_Custom1_V)),1,IFERROR(IF(ISNUMBER(SEARCH("|"&amp;INDEX(INDIRECT(F_Custom1_resolved_column),1277)&amp;"|",F_Custom1_wrapped)),1,0),0))</f>
        <v>1</v>
      </c>
      <c r="E1278">
        <f>IF(OR(F_Custom2_Q="(None)",F_Custom2_Q="",ISBLANK(F_Custom2_Q),F_Custom2_V="(All)",F_Custom2_V="",ISBLANK(F_Custom2_V)),1,IFERROR(IF(ISNUMBER(SEARCH("|"&amp;INDEX(INDIRECT(F_Custom2_resolved_column),1277)&amp;"|",F_Custom2_wrapped)),1,0),0))</f>
        <v>1</v>
      </c>
      <c r="F1278">
        <f>D1278*E1278*1</f>
        <v>1</v>
      </c>
      <c r="G1278">
        <f>1</f>
        <v>1</v>
      </c>
      <c r="H12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1277)&amp;"|",All_Questions_Q_STREAM_F_wrapped)),1,0),0))*1</f>
        <v>1</v>
      </c>
    </row>
    <row r="1279">
      <c r="A1279" t="n">
        <v>1278</v>
      </c>
      <c r="B1279" t="inlineStr">
        <is>
          <t>B</t>
        </is>
      </c>
      <c r="C1279">
        <f>1</f>
        <v>1</v>
      </c>
      <c r="D1279">
        <f>IF(OR(F_Custom1_Q="(None)",F_Custom1_Q="",ISBLANK(F_Custom1_Q),F_Custom1_V="(All)",F_Custom1_V="",ISBLANK(F_Custom1_V)),1,IFERROR(IF(ISNUMBER(SEARCH("|"&amp;INDEX(INDIRECT(F_Custom1_resolved_column),1278)&amp;"|",F_Custom1_wrapped)),1,0),0))</f>
        <v>1</v>
      </c>
      <c r="E1279">
        <f>IF(OR(F_Custom2_Q="(None)",F_Custom2_Q="",ISBLANK(F_Custom2_Q),F_Custom2_V="(All)",F_Custom2_V="",ISBLANK(F_Custom2_V)),1,IFERROR(IF(ISNUMBER(SEARCH("|"&amp;INDEX(INDIRECT(F_Custom2_resolved_column),1278)&amp;"|",F_Custom2_wrapped)),1,0),0))</f>
        <v>1</v>
      </c>
      <c r="F1279">
        <f>D1279*E1279*1</f>
        <v>1</v>
      </c>
      <c r="G1279">
        <f>1</f>
        <v>1</v>
      </c>
      <c r="H12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1278)&amp;"|",All_Questions_Q_STREAM_F_wrapped)),1,0),0))*1</f>
        <v>1</v>
      </c>
    </row>
    <row r="1280">
      <c r="A1280" t="n">
        <v>1279</v>
      </c>
      <c r="B1280" t="inlineStr">
        <is>
          <t>A</t>
        </is>
      </c>
      <c r="C1280">
        <f>1</f>
        <v>1</v>
      </c>
      <c r="D1280">
        <f>IF(OR(F_Custom1_Q="(None)",F_Custom1_Q="",ISBLANK(F_Custom1_Q),F_Custom1_V="(All)",F_Custom1_V="",ISBLANK(F_Custom1_V)),1,IFERROR(IF(ISNUMBER(SEARCH("|"&amp;INDEX(INDIRECT(F_Custom1_resolved_column),1279)&amp;"|",F_Custom1_wrapped)),1,0),0))</f>
        <v>1</v>
      </c>
      <c r="E1280">
        <f>IF(OR(F_Custom2_Q="(None)",F_Custom2_Q="",ISBLANK(F_Custom2_Q),F_Custom2_V="(All)",F_Custom2_V="",ISBLANK(F_Custom2_V)),1,IFERROR(IF(ISNUMBER(SEARCH("|"&amp;INDEX(INDIRECT(F_Custom2_resolved_column),1279)&amp;"|",F_Custom2_wrapped)),1,0),0))</f>
        <v>1</v>
      </c>
      <c r="F1280">
        <f>D1280*E1280*1</f>
        <v>1</v>
      </c>
      <c r="G1280">
        <f>1</f>
        <v>1</v>
      </c>
      <c r="H12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1279)&amp;"|",All_Questions_Q_STREAM_F_wrapped)),1,0),0))*1</f>
        <v>1</v>
      </c>
    </row>
    <row r="1281">
      <c r="A1281" t="n">
        <v>1280</v>
      </c>
      <c r="B1281" t="inlineStr">
        <is>
          <t>B</t>
        </is>
      </c>
      <c r="C1281">
        <f>1</f>
        <v>1</v>
      </c>
      <c r="D1281">
        <f>IF(OR(F_Custom1_Q="(None)",F_Custom1_Q="",ISBLANK(F_Custom1_Q),F_Custom1_V="(All)",F_Custom1_V="",ISBLANK(F_Custom1_V)),1,IFERROR(IF(ISNUMBER(SEARCH("|"&amp;INDEX(INDIRECT(F_Custom1_resolved_column),1280)&amp;"|",F_Custom1_wrapped)),1,0),0))</f>
        <v>1</v>
      </c>
      <c r="E1281">
        <f>IF(OR(F_Custom2_Q="(None)",F_Custom2_Q="",ISBLANK(F_Custom2_Q),F_Custom2_V="(All)",F_Custom2_V="",ISBLANK(F_Custom2_V)),1,IFERROR(IF(ISNUMBER(SEARCH("|"&amp;INDEX(INDIRECT(F_Custom2_resolved_column),1280)&amp;"|",F_Custom2_wrapped)),1,0),0))</f>
        <v>1</v>
      </c>
      <c r="F1281">
        <f>D1281*E1281*1</f>
        <v>1</v>
      </c>
      <c r="G1281">
        <f>1</f>
        <v>1</v>
      </c>
      <c r="H12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1280)&amp;"|",All_Questions_Q_STREAM_F_wrapped)),1,0),0))*1</f>
        <v>1</v>
      </c>
    </row>
    <row r="1282">
      <c r="A1282" t="n">
        <v>1281</v>
      </c>
      <c r="B1282" t="inlineStr">
        <is>
          <t>A</t>
        </is>
      </c>
      <c r="C1282">
        <f>1</f>
        <v>1</v>
      </c>
      <c r="D1282">
        <f>IF(OR(F_Custom1_Q="(None)",F_Custom1_Q="",ISBLANK(F_Custom1_Q),F_Custom1_V="(All)",F_Custom1_V="",ISBLANK(F_Custom1_V)),1,IFERROR(IF(ISNUMBER(SEARCH("|"&amp;INDEX(INDIRECT(F_Custom1_resolved_column),1281)&amp;"|",F_Custom1_wrapped)),1,0),0))</f>
        <v>1</v>
      </c>
      <c r="E1282">
        <f>IF(OR(F_Custom2_Q="(None)",F_Custom2_Q="",ISBLANK(F_Custom2_Q),F_Custom2_V="(All)",F_Custom2_V="",ISBLANK(F_Custom2_V)),1,IFERROR(IF(ISNUMBER(SEARCH("|"&amp;INDEX(INDIRECT(F_Custom2_resolved_column),1281)&amp;"|",F_Custom2_wrapped)),1,0),0))</f>
        <v>1</v>
      </c>
      <c r="F1282">
        <f>D1282*E1282*1</f>
        <v>1</v>
      </c>
      <c r="G1282">
        <f>1</f>
        <v>1</v>
      </c>
      <c r="H12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1281)&amp;"|",All_Questions_Q_STREAM_F_wrapped)),1,0),0))*1</f>
        <v>1</v>
      </c>
    </row>
    <row r="1283">
      <c r="A1283" t="n">
        <v>1282</v>
      </c>
      <c r="B1283" t="inlineStr">
        <is>
          <t>B</t>
        </is>
      </c>
      <c r="C1283">
        <f>1</f>
        <v>1</v>
      </c>
      <c r="D1283">
        <f>IF(OR(F_Custom1_Q="(None)",F_Custom1_Q="",ISBLANK(F_Custom1_Q),F_Custom1_V="(All)",F_Custom1_V="",ISBLANK(F_Custom1_V)),1,IFERROR(IF(ISNUMBER(SEARCH("|"&amp;INDEX(INDIRECT(F_Custom1_resolved_column),1282)&amp;"|",F_Custom1_wrapped)),1,0),0))</f>
        <v>1</v>
      </c>
      <c r="E1283">
        <f>IF(OR(F_Custom2_Q="(None)",F_Custom2_Q="",ISBLANK(F_Custom2_Q),F_Custom2_V="(All)",F_Custom2_V="",ISBLANK(F_Custom2_V)),1,IFERROR(IF(ISNUMBER(SEARCH("|"&amp;INDEX(INDIRECT(F_Custom2_resolved_column),1282)&amp;"|",F_Custom2_wrapped)),1,0),0))</f>
        <v>1</v>
      </c>
      <c r="F1283">
        <f>D1283*E1283*1</f>
        <v>1</v>
      </c>
      <c r="G1283">
        <f>1</f>
        <v>1</v>
      </c>
      <c r="H12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1282)&amp;"|",All_Questions_Q_STREAM_F_wrapped)),1,0),0))*1</f>
        <v>1</v>
      </c>
    </row>
    <row r="1284">
      <c r="A1284" t="n">
        <v>1283</v>
      </c>
      <c r="B1284" t="inlineStr">
        <is>
          <t>A</t>
        </is>
      </c>
      <c r="C1284">
        <f>1</f>
        <v>1</v>
      </c>
      <c r="D1284">
        <f>IF(OR(F_Custom1_Q="(None)",F_Custom1_Q="",ISBLANK(F_Custom1_Q),F_Custom1_V="(All)",F_Custom1_V="",ISBLANK(F_Custom1_V)),1,IFERROR(IF(ISNUMBER(SEARCH("|"&amp;INDEX(INDIRECT(F_Custom1_resolved_column),1283)&amp;"|",F_Custom1_wrapped)),1,0),0))</f>
        <v>1</v>
      </c>
      <c r="E1284">
        <f>IF(OR(F_Custom2_Q="(None)",F_Custom2_Q="",ISBLANK(F_Custom2_Q),F_Custom2_V="(All)",F_Custom2_V="",ISBLANK(F_Custom2_V)),1,IFERROR(IF(ISNUMBER(SEARCH("|"&amp;INDEX(INDIRECT(F_Custom2_resolved_column),1283)&amp;"|",F_Custom2_wrapped)),1,0),0))</f>
        <v>1</v>
      </c>
      <c r="F1284">
        <f>D1284*E1284*1</f>
        <v>1</v>
      </c>
      <c r="G1284">
        <f>1</f>
        <v>1</v>
      </c>
      <c r="H12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1283)&amp;"|",All_Questions_Q_STREAM_F_wrapped)),1,0),0))*1</f>
        <v>1</v>
      </c>
    </row>
    <row r="1285">
      <c r="A1285" t="n">
        <v>1284</v>
      </c>
      <c r="B1285" t="inlineStr">
        <is>
          <t>B</t>
        </is>
      </c>
      <c r="C1285">
        <f>1</f>
        <v>1</v>
      </c>
      <c r="D1285">
        <f>IF(OR(F_Custom1_Q="(None)",F_Custom1_Q="",ISBLANK(F_Custom1_Q),F_Custom1_V="(All)",F_Custom1_V="",ISBLANK(F_Custom1_V)),1,IFERROR(IF(ISNUMBER(SEARCH("|"&amp;INDEX(INDIRECT(F_Custom1_resolved_column),1284)&amp;"|",F_Custom1_wrapped)),1,0),0))</f>
        <v>1</v>
      </c>
      <c r="E1285">
        <f>IF(OR(F_Custom2_Q="(None)",F_Custom2_Q="",ISBLANK(F_Custom2_Q),F_Custom2_V="(All)",F_Custom2_V="",ISBLANK(F_Custom2_V)),1,IFERROR(IF(ISNUMBER(SEARCH("|"&amp;INDEX(INDIRECT(F_Custom2_resolved_column),1284)&amp;"|",F_Custom2_wrapped)),1,0),0))</f>
        <v>1</v>
      </c>
      <c r="F1285">
        <f>D1285*E1285*1</f>
        <v>1</v>
      </c>
      <c r="G1285">
        <f>1</f>
        <v>1</v>
      </c>
      <c r="H12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1284)&amp;"|",All_Questions_Q_STREAM_F_wrapped)),1,0),0))*1</f>
        <v>1</v>
      </c>
    </row>
    <row r="1286">
      <c r="A1286" t="n">
        <v>1285</v>
      </c>
      <c r="B1286" t="inlineStr">
        <is>
          <t>A</t>
        </is>
      </c>
      <c r="C1286">
        <f>1</f>
        <v>1</v>
      </c>
      <c r="D1286">
        <f>IF(OR(F_Custom1_Q="(None)",F_Custom1_Q="",ISBLANK(F_Custom1_Q),F_Custom1_V="(All)",F_Custom1_V="",ISBLANK(F_Custom1_V)),1,IFERROR(IF(ISNUMBER(SEARCH("|"&amp;INDEX(INDIRECT(F_Custom1_resolved_column),1285)&amp;"|",F_Custom1_wrapped)),1,0),0))</f>
        <v>1</v>
      </c>
      <c r="E1286">
        <f>IF(OR(F_Custom2_Q="(None)",F_Custom2_Q="",ISBLANK(F_Custom2_Q),F_Custom2_V="(All)",F_Custom2_V="",ISBLANK(F_Custom2_V)),1,IFERROR(IF(ISNUMBER(SEARCH("|"&amp;INDEX(INDIRECT(F_Custom2_resolved_column),1285)&amp;"|",F_Custom2_wrapped)),1,0),0))</f>
        <v>1</v>
      </c>
      <c r="F1286">
        <f>D1286*E1286*1</f>
        <v>1</v>
      </c>
      <c r="G1286">
        <f>1</f>
        <v>1</v>
      </c>
      <c r="H12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1285)&amp;"|",All_Questions_Q_STREAM_F_wrapped)),1,0),0))*1</f>
        <v>1</v>
      </c>
    </row>
    <row r="1287">
      <c r="A1287" t="n">
        <v>1286</v>
      </c>
      <c r="B1287" t="inlineStr">
        <is>
          <t>B</t>
        </is>
      </c>
      <c r="C1287">
        <f>1</f>
        <v>1</v>
      </c>
      <c r="D1287">
        <f>IF(OR(F_Custom1_Q="(None)",F_Custom1_Q="",ISBLANK(F_Custom1_Q),F_Custom1_V="(All)",F_Custom1_V="",ISBLANK(F_Custom1_V)),1,IFERROR(IF(ISNUMBER(SEARCH("|"&amp;INDEX(INDIRECT(F_Custom1_resolved_column),1286)&amp;"|",F_Custom1_wrapped)),1,0),0))</f>
        <v>1</v>
      </c>
      <c r="E1287">
        <f>IF(OR(F_Custom2_Q="(None)",F_Custom2_Q="",ISBLANK(F_Custom2_Q),F_Custom2_V="(All)",F_Custom2_V="",ISBLANK(F_Custom2_V)),1,IFERROR(IF(ISNUMBER(SEARCH("|"&amp;INDEX(INDIRECT(F_Custom2_resolved_column),1286)&amp;"|",F_Custom2_wrapped)),1,0),0))</f>
        <v>1</v>
      </c>
      <c r="F1287">
        <f>D1287*E1287*1</f>
        <v>1</v>
      </c>
      <c r="G1287">
        <f>1</f>
        <v>1</v>
      </c>
      <c r="H12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1286)&amp;"|",All_Questions_Q_STREAM_F_wrapped)),1,0),0))*1</f>
        <v>1</v>
      </c>
    </row>
    <row r="1288">
      <c r="A1288" t="n">
        <v>1287</v>
      </c>
      <c r="B1288" t="inlineStr">
        <is>
          <t>A</t>
        </is>
      </c>
      <c r="C1288">
        <f>1</f>
        <v>1</v>
      </c>
      <c r="D1288">
        <f>IF(OR(F_Custom1_Q="(None)",F_Custom1_Q="",ISBLANK(F_Custom1_Q),F_Custom1_V="(All)",F_Custom1_V="",ISBLANK(F_Custom1_V)),1,IFERROR(IF(ISNUMBER(SEARCH("|"&amp;INDEX(INDIRECT(F_Custom1_resolved_column),1287)&amp;"|",F_Custom1_wrapped)),1,0),0))</f>
        <v>1</v>
      </c>
      <c r="E1288">
        <f>IF(OR(F_Custom2_Q="(None)",F_Custom2_Q="",ISBLANK(F_Custom2_Q),F_Custom2_V="(All)",F_Custom2_V="",ISBLANK(F_Custom2_V)),1,IFERROR(IF(ISNUMBER(SEARCH("|"&amp;INDEX(INDIRECT(F_Custom2_resolved_column),1287)&amp;"|",F_Custom2_wrapped)),1,0),0))</f>
        <v>1</v>
      </c>
      <c r="F1288">
        <f>D1288*E1288*1</f>
        <v>1</v>
      </c>
      <c r="G1288">
        <f>1</f>
        <v>1</v>
      </c>
      <c r="H12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1287)&amp;"|",All_Questions_Q_STREAM_F_wrapped)),1,0),0))*1</f>
        <v>1</v>
      </c>
    </row>
    <row r="1289">
      <c r="A1289" t="n">
        <v>1288</v>
      </c>
      <c r="B1289" t="inlineStr">
        <is>
          <t>B</t>
        </is>
      </c>
      <c r="C1289">
        <f>1</f>
        <v>1</v>
      </c>
      <c r="D1289">
        <f>IF(OR(F_Custom1_Q="(None)",F_Custom1_Q="",ISBLANK(F_Custom1_Q),F_Custom1_V="(All)",F_Custom1_V="",ISBLANK(F_Custom1_V)),1,IFERROR(IF(ISNUMBER(SEARCH("|"&amp;INDEX(INDIRECT(F_Custom1_resolved_column),1288)&amp;"|",F_Custom1_wrapped)),1,0),0))</f>
        <v>1</v>
      </c>
      <c r="E1289">
        <f>IF(OR(F_Custom2_Q="(None)",F_Custom2_Q="",ISBLANK(F_Custom2_Q),F_Custom2_V="(All)",F_Custom2_V="",ISBLANK(F_Custom2_V)),1,IFERROR(IF(ISNUMBER(SEARCH("|"&amp;INDEX(INDIRECT(F_Custom2_resolved_column),1288)&amp;"|",F_Custom2_wrapped)),1,0),0))</f>
        <v>1</v>
      </c>
      <c r="F1289">
        <f>D1289*E1289*1</f>
        <v>1</v>
      </c>
      <c r="G1289">
        <f>1</f>
        <v>1</v>
      </c>
      <c r="H12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1288)&amp;"|",All_Questions_Q_STREAM_F_wrapped)),1,0),0))*1</f>
        <v>1</v>
      </c>
    </row>
    <row r="1290">
      <c r="A1290" t="n">
        <v>1289</v>
      </c>
      <c r="B1290" t="inlineStr">
        <is>
          <t>A</t>
        </is>
      </c>
      <c r="C1290">
        <f>1</f>
        <v>1</v>
      </c>
      <c r="D1290">
        <f>IF(OR(F_Custom1_Q="(None)",F_Custom1_Q="",ISBLANK(F_Custom1_Q),F_Custom1_V="(All)",F_Custom1_V="",ISBLANK(F_Custom1_V)),1,IFERROR(IF(ISNUMBER(SEARCH("|"&amp;INDEX(INDIRECT(F_Custom1_resolved_column),1289)&amp;"|",F_Custom1_wrapped)),1,0),0))</f>
        <v>1</v>
      </c>
      <c r="E1290">
        <f>IF(OR(F_Custom2_Q="(None)",F_Custom2_Q="",ISBLANK(F_Custom2_Q),F_Custom2_V="(All)",F_Custom2_V="",ISBLANK(F_Custom2_V)),1,IFERROR(IF(ISNUMBER(SEARCH("|"&amp;INDEX(INDIRECT(F_Custom2_resolved_column),1289)&amp;"|",F_Custom2_wrapped)),1,0),0))</f>
        <v>1</v>
      </c>
      <c r="F1290">
        <f>D1290*E1290*1</f>
        <v>1</v>
      </c>
      <c r="G1290">
        <f>1</f>
        <v>1</v>
      </c>
      <c r="H12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1289)&amp;"|",All_Questions_Q_STREAM_F_wrapped)),1,0),0))*1</f>
        <v>1</v>
      </c>
    </row>
    <row r="1291">
      <c r="A1291" t="n">
        <v>1290</v>
      </c>
      <c r="B1291" t="inlineStr">
        <is>
          <t>B</t>
        </is>
      </c>
      <c r="C1291">
        <f>1</f>
        <v>1</v>
      </c>
      <c r="D1291">
        <f>IF(OR(F_Custom1_Q="(None)",F_Custom1_Q="",ISBLANK(F_Custom1_Q),F_Custom1_V="(All)",F_Custom1_V="",ISBLANK(F_Custom1_V)),1,IFERROR(IF(ISNUMBER(SEARCH("|"&amp;INDEX(INDIRECT(F_Custom1_resolved_column),1290)&amp;"|",F_Custom1_wrapped)),1,0),0))</f>
        <v>1</v>
      </c>
      <c r="E1291">
        <f>IF(OR(F_Custom2_Q="(None)",F_Custom2_Q="",ISBLANK(F_Custom2_Q),F_Custom2_V="(All)",F_Custom2_V="",ISBLANK(F_Custom2_V)),1,IFERROR(IF(ISNUMBER(SEARCH("|"&amp;INDEX(INDIRECT(F_Custom2_resolved_column),1290)&amp;"|",F_Custom2_wrapped)),1,0),0))</f>
        <v>1</v>
      </c>
      <c r="F1291">
        <f>D1291*E1291*1</f>
        <v>1</v>
      </c>
      <c r="G1291">
        <f>1</f>
        <v>1</v>
      </c>
      <c r="H12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1290)&amp;"|",All_Questions_Q_STREAM_F_wrapped)),1,0),0))*1</f>
        <v>1</v>
      </c>
    </row>
    <row r="1292">
      <c r="A1292" t="n">
        <v>1291</v>
      </c>
      <c r="B1292" t="inlineStr">
        <is>
          <t>A</t>
        </is>
      </c>
      <c r="C1292">
        <f>1</f>
        <v>1</v>
      </c>
      <c r="D1292">
        <f>IF(OR(F_Custom1_Q="(None)",F_Custom1_Q="",ISBLANK(F_Custom1_Q),F_Custom1_V="(All)",F_Custom1_V="",ISBLANK(F_Custom1_V)),1,IFERROR(IF(ISNUMBER(SEARCH("|"&amp;INDEX(INDIRECT(F_Custom1_resolved_column),1291)&amp;"|",F_Custom1_wrapped)),1,0),0))</f>
        <v>1</v>
      </c>
      <c r="E1292">
        <f>IF(OR(F_Custom2_Q="(None)",F_Custom2_Q="",ISBLANK(F_Custom2_Q),F_Custom2_V="(All)",F_Custom2_V="",ISBLANK(F_Custom2_V)),1,IFERROR(IF(ISNUMBER(SEARCH("|"&amp;INDEX(INDIRECT(F_Custom2_resolved_column),1291)&amp;"|",F_Custom2_wrapped)),1,0),0))</f>
        <v>1</v>
      </c>
      <c r="F1292">
        <f>D1292*E1292*1</f>
        <v>1</v>
      </c>
      <c r="G1292">
        <f>1</f>
        <v>1</v>
      </c>
      <c r="H12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1291)&amp;"|",All_Questions_Q_STREAM_F_wrapped)),1,0),0))*1</f>
        <v>1</v>
      </c>
    </row>
    <row r="1293">
      <c r="A1293" t="n">
        <v>1292</v>
      </c>
      <c r="B1293" t="inlineStr">
        <is>
          <t>B</t>
        </is>
      </c>
      <c r="C1293">
        <f>1</f>
        <v>1</v>
      </c>
      <c r="D1293">
        <f>IF(OR(F_Custom1_Q="(None)",F_Custom1_Q="",ISBLANK(F_Custom1_Q),F_Custom1_V="(All)",F_Custom1_V="",ISBLANK(F_Custom1_V)),1,IFERROR(IF(ISNUMBER(SEARCH("|"&amp;INDEX(INDIRECT(F_Custom1_resolved_column),1292)&amp;"|",F_Custom1_wrapped)),1,0),0))</f>
        <v>1</v>
      </c>
      <c r="E1293">
        <f>IF(OR(F_Custom2_Q="(None)",F_Custom2_Q="",ISBLANK(F_Custom2_Q),F_Custom2_V="(All)",F_Custom2_V="",ISBLANK(F_Custom2_V)),1,IFERROR(IF(ISNUMBER(SEARCH("|"&amp;INDEX(INDIRECT(F_Custom2_resolved_column),1292)&amp;"|",F_Custom2_wrapped)),1,0),0))</f>
        <v>1</v>
      </c>
      <c r="F1293">
        <f>D1293*E1293*1</f>
        <v>1</v>
      </c>
      <c r="G1293">
        <f>1</f>
        <v>1</v>
      </c>
      <c r="H12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1292)&amp;"|",All_Questions_Q_STREAM_F_wrapped)),1,0),0))*1</f>
        <v>1</v>
      </c>
    </row>
    <row r="1294">
      <c r="A1294" t="n">
        <v>1293</v>
      </c>
      <c r="B1294" t="inlineStr">
        <is>
          <t>A</t>
        </is>
      </c>
      <c r="C1294">
        <f>1</f>
        <v>1</v>
      </c>
      <c r="D1294">
        <f>IF(OR(F_Custom1_Q="(None)",F_Custom1_Q="",ISBLANK(F_Custom1_Q),F_Custom1_V="(All)",F_Custom1_V="",ISBLANK(F_Custom1_V)),1,IFERROR(IF(ISNUMBER(SEARCH("|"&amp;INDEX(INDIRECT(F_Custom1_resolved_column),1293)&amp;"|",F_Custom1_wrapped)),1,0),0))</f>
        <v>1</v>
      </c>
      <c r="E1294">
        <f>IF(OR(F_Custom2_Q="(None)",F_Custom2_Q="",ISBLANK(F_Custom2_Q),F_Custom2_V="(All)",F_Custom2_V="",ISBLANK(F_Custom2_V)),1,IFERROR(IF(ISNUMBER(SEARCH("|"&amp;INDEX(INDIRECT(F_Custom2_resolved_column),1293)&amp;"|",F_Custom2_wrapped)),1,0),0))</f>
        <v>1</v>
      </c>
      <c r="F1294">
        <f>D1294*E1294*1</f>
        <v>1</v>
      </c>
      <c r="G1294">
        <f>1</f>
        <v>1</v>
      </c>
      <c r="H12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1293)&amp;"|",All_Questions_Q_STREAM_F_wrapped)),1,0),0))*1</f>
        <v>1</v>
      </c>
    </row>
    <row r="1295">
      <c r="A1295" t="n">
        <v>1294</v>
      </c>
      <c r="B1295" t="inlineStr">
        <is>
          <t>B</t>
        </is>
      </c>
      <c r="C1295">
        <f>1</f>
        <v>1</v>
      </c>
      <c r="D1295">
        <f>IF(OR(F_Custom1_Q="(None)",F_Custom1_Q="",ISBLANK(F_Custom1_Q),F_Custom1_V="(All)",F_Custom1_V="",ISBLANK(F_Custom1_V)),1,IFERROR(IF(ISNUMBER(SEARCH("|"&amp;INDEX(INDIRECT(F_Custom1_resolved_column),1294)&amp;"|",F_Custom1_wrapped)),1,0),0))</f>
        <v>1</v>
      </c>
      <c r="E1295">
        <f>IF(OR(F_Custom2_Q="(None)",F_Custom2_Q="",ISBLANK(F_Custom2_Q),F_Custom2_V="(All)",F_Custom2_V="",ISBLANK(F_Custom2_V)),1,IFERROR(IF(ISNUMBER(SEARCH("|"&amp;INDEX(INDIRECT(F_Custom2_resolved_column),1294)&amp;"|",F_Custom2_wrapped)),1,0),0))</f>
        <v>1</v>
      </c>
      <c r="F1295">
        <f>D1295*E1295*1</f>
        <v>1</v>
      </c>
      <c r="G1295">
        <f>1</f>
        <v>1</v>
      </c>
      <c r="H12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1294)&amp;"|",All_Questions_Q_STREAM_F_wrapped)),1,0),0))*1</f>
        <v>1</v>
      </c>
    </row>
    <row r="1296">
      <c r="A1296" t="n">
        <v>1295</v>
      </c>
      <c r="B1296" t="inlineStr">
        <is>
          <t>A</t>
        </is>
      </c>
      <c r="C1296">
        <f>1</f>
        <v>1</v>
      </c>
      <c r="D1296">
        <f>IF(OR(F_Custom1_Q="(None)",F_Custom1_Q="",ISBLANK(F_Custom1_Q),F_Custom1_V="(All)",F_Custom1_V="",ISBLANK(F_Custom1_V)),1,IFERROR(IF(ISNUMBER(SEARCH("|"&amp;INDEX(INDIRECT(F_Custom1_resolved_column),1295)&amp;"|",F_Custom1_wrapped)),1,0),0))</f>
        <v>1</v>
      </c>
      <c r="E1296">
        <f>IF(OR(F_Custom2_Q="(None)",F_Custom2_Q="",ISBLANK(F_Custom2_Q),F_Custom2_V="(All)",F_Custom2_V="",ISBLANK(F_Custom2_V)),1,IFERROR(IF(ISNUMBER(SEARCH("|"&amp;INDEX(INDIRECT(F_Custom2_resolved_column),1295)&amp;"|",F_Custom2_wrapped)),1,0),0))</f>
        <v>1</v>
      </c>
      <c r="F1296">
        <f>D1296*E1296*1</f>
        <v>1</v>
      </c>
      <c r="G1296">
        <f>1</f>
        <v>1</v>
      </c>
      <c r="H12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1295)&amp;"|",All_Questions_Q_STREAM_F_wrapped)),1,0),0))*1</f>
        <v>1</v>
      </c>
    </row>
    <row r="1297">
      <c r="A1297" t="n">
        <v>1296</v>
      </c>
      <c r="B1297" t="inlineStr">
        <is>
          <t>B</t>
        </is>
      </c>
      <c r="C1297">
        <f>1</f>
        <v>1</v>
      </c>
      <c r="D1297">
        <f>IF(OR(F_Custom1_Q="(None)",F_Custom1_Q="",ISBLANK(F_Custom1_Q),F_Custom1_V="(All)",F_Custom1_V="",ISBLANK(F_Custom1_V)),1,IFERROR(IF(ISNUMBER(SEARCH("|"&amp;INDEX(INDIRECT(F_Custom1_resolved_column),1296)&amp;"|",F_Custom1_wrapped)),1,0),0))</f>
        <v>1</v>
      </c>
      <c r="E1297">
        <f>IF(OR(F_Custom2_Q="(None)",F_Custom2_Q="",ISBLANK(F_Custom2_Q),F_Custom2_V="(All)",F_Custom2_V="",ISBLANK(F_Custom2_V)),1,IFERROR(IF(ISNUMBER(SEARCH("|"&amp;INDEX(INDIRECT(F_Custom2_resolved_column),1296)&amp;"|",F_Custom2_wrapped)),1,0),0))</f>
        <v>1</v>
      </c>
      <c r="F1297">
        <f>D1297*E1297*1</f>
        <v>1</v>
      </c>
      <c r="G1297">
        <f>1</f>
        <v>1</v>
      </c>
      <c r="H12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1296)&amp;"|",All_Questions_Q_STREAM_F_wrapped)),1,0),0))*1</f>
        <v>1</v>
      </c>
    </row>
    <row r="1298">
      <c r="A1298" t="n">
        <v>1297</v>
      </c>
      <c r="B1298" t="inlineStr">
        <is>
          <t>A</t>
        </is>
      </c>
      <c r="C1298">
        <f>1</f>
        <v>1</v>
      </c>
      <c r="D1298">
        <f>IF(OR(F_Custom1_Q="(None)",F_Custom1_Q="",ISBLANK(F_Custom1_Q),F_Custom1_V="(All)",F_Custom1_V="",ISBLANK(F_Custom1_V)),1,IFERROR(IF(ISNUMBER(SEARCH("|"&amp;INDEX(INDIRECT(F_Custom1_resolved_column),1297)&amp;"|",F_Custom1_wrapped)),1,0),0))</f>
        <v>1</v>
      </c>
      <c r="E1298">
        <f>IF(OR(F_Custom2_Q="(None)",F_Custom2_Q="",ISBLANK(F_Custom2_Q),F_Custom2_V="(All)",F_Custom2_V="",ISBLANK(F_Custom2_V)),1,IFERROR(IF(ISNUMBER(SEARCH("|"&amp;INDEX(INDIRECT(F_Custom2_resolved_column),1297)&amp;"|",F_Custom2_wrapped)),1,0),0))</f>
        <v>1</v>
      </c>
      <c r="F1298">
        <f>D1298*E1298*1</f>
        <v>1</v>
      </c>
      <c r="G1298">
        <f>1</f>
        <v>1</v>
      </c>
      <c r="H12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1297)&amp;"|",All_Questions_Q_STREAM_F_wrapped)),1,0),0))*1</f>
        <v>1</v>
      </c>
    </row>
    <row r="1299">
      <c r="A1299" t="n">
        <v>1298</v>
      </c>
      <c r="B1299" t="inlineStr">
        <is>
          <t>B</t>
        </is>
      </c>
      <c r="C1299">
        <f>1</f>
        <v>1</v>
      </c>
      <c r="D1299">
        <f>IF(OR(F_Custom1_Q="(None)",F_Custom1_Q="",ISBLANK(F_Custom1_Q),F_Custom1_V="(All)",F_Custom1_V="",ISBLANK(F_Custom1_V)),1,IFERROR(IF(ISNUMBER(SEARCH("|"&amp;INDEX(INDIRECT(F_Custom1_resolved_column),1298)&amp;"|",F_Custom1_wrapped)),1,0),0))</f>
        <v>1</v>
      </c>
      <c r="E1299">
        <f>IF(OR(F_Custom2_Q="(None)",F_Custom2_Q="",ISBLANK(F_Custom2_Q),F_Custom2_V="(All)",F_Custom2_V="",ISBLANK(F_Custom2_V)),1,IFERROR(IF(ISNUMBER(SEARCH("|"&amp;INDEX(INDIRECT(F_Custom2_resolved_column),1298)&amp;"|",F_Custom2_wrapped)),1,0),0))</f>
        <v>1</v>
      </c>
      <c r="F1299">
        <f>D1299*E1299*1</f>
        <v>1</v>
      </c>
      <c r="G1299">
        <f>1</f>
        <v>1</v>
      </c>
      <c r="H12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1298)&amp;"|",All_Questions_Q_STREAM_F_wrapped)),1,0),0))*1</f>
        <v>1</v>
      </c>
    </row>
    <row r="1300">
      <c r="A1300" t="n">
        <v>1299</v>
      </c>
      <c r="B1300" t="inlineStr">
        <is>
          <t>A</t>
        </is>
      </c>
      <c r="C1300">
        <f>1</f>
        <v>1</v>
      </c>
      <c r="D1300">
        <f>IF(OR(F_Custom1_Q="(None)",F_Custom1_Q="",ISBLANK(F_Custom1_Q),F_Custom1_V="(All)",F_Custom1_V="",ISBLANK(F_Custom1_V)),1,IFERROR(IF(ISNUMBER(SEARCH("|"&amp;INDEX(INDIRECT(F_Custom1_resolved_column),1299)&amp;"|",F_Custom1_wrapped)),1,0),0))</f>
        <v>1</v>
      </c>
      <c r="E1300">
        <f>IF(OR(F_Custom2_Q="(None)",F_Custom2_Q="",ISBLANK(F_Custom2_Q),F_Custom2_V="(All)",F_Custom2_V="",ISBLANK(F_Custom2_V)),1,IFERROR(IF(ISNUMBER(SEARCH("|"&amp;INDEX(INDIRECT(F_Custom2_resolved_column),1299)&amp;"|",F_Custom2_wrapped)),1,0),0))</f>
        <v>1</v>
      </c>
      <c r="F1300">
        <f>D1300*E1300*1</f>
        <v>1</v>
      </c>
      <c r="G1300">
        <f>1</f>
        <v>1</v>
      </c>
      <c r="H13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1299)&amp;"|",All_Questions_Q_STREAM_F_wrapped)),1,0),0))*1</f>
        <v>1</v>
      </c>
    </row>
    <row r="1301">
      <c r="A1301" t="n">
        <v>1300</v>
      </c>
      <c r="B1301" t="inlineStr">
        <is>
          <t>B</t>
        </is>
      </c>
      <c r="C1301">
        <f>1</f>
        <v>1</v>
      </c>
      <c r="D1301">
        <f>IF(OR(F_Custom1_Q="(None)",F_Custom1_Q="",ISBLANK(F_Custom1_Q),F_Custom1_V="(All)",F_Custom1_V="",ISBLANK(F_Custom1_V)),1,IFERROR(IF(ISNUMBER(SEARCH("|"&amp;INDEX(INDIRECT(F_Custom1_resolved_column),1300)&amp;"|",F_Custom1_wrapped)),1,0),0))</f>
        <v>1</v>
      </c>
      <c r="E1301">
        <f>IF(OR(F_Custom2_Q="(None)",F_Custom2_Q="",ISBLANK(F_Custom2_Q),F_Custom2_V="(All)",F_Custom2_V="",ISBLANK(F_Custom2_V)),1,IFERROR(IF(ISNUMBER(SEARCH("|"&amp;INDEX(INDIRECT(F_Custom2_resolved_column),1300)&amp;"|",F_Custom2_wrapped)),1,0),0))</f>
        <v>1</v>
      </c>
      <c r="F1301">
        <f>D1301*E1301*1</f>
        <v>1</v>
      </c>
      <c r="G1301">
        <f>1</f>
        <v>1</v>
      </c>
      <c r="H13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1300)&amp;"|",All_Questions_Q_STREAM_F_wrapped)),1,0),0))*1</f>
        <v>1</v>
      </c>
    </row>
    <row r="1302">
      <c r="A1302" t="n">
        <v>1301</v>
      </c>
      <c r="B1302" t="inlineStr">
        <is>
          <t>A</t>
        </is>
      </c>
      <c r="C1302">
        <f>1</f>
        <v>1</v>
      </c>
      <c r="D1302">
        <f>IF(OR(F_Custom1_Q="(None)",F_Custom1_Q="",ISBLANK(F_Custom1_Q),F_Custom1_V="(All)",F_Custom1_V="",ISBLANK(F_Custom1_V)),1,IFERROR(IF(ISNUMBER(SEARCH("|"&amp;INDEX(INDIRECT(F_Custom1_resolved_column),1301)&amp;"|",F_Custom1_wrapped)),1,0),0))</f>
        <v>1</v>
      </c>
      <c r="E1302">
        <f>IF(OR(F_Custom2_Q="(None)",F_Custom2_Q="",ISBLANK(F_Custom2_Q),F_Custom2_V="(All)",F_Custom2_V="",ISBLANK(F_Custom2_V)),1,IFERROR(IF(ISNUMBER(SEARCH("|"&amp;INDEX(INDIRECT(F_Custom2_resolved_column),1301)&amp;"|",F_Custom2_wrapped)),1,0),0))</f>
        <v>1</v>
      </c>
      <c r="F1302">
        <f>D1302*E1302*1</f>
        <v>1</v>
      </c>
      <c r="G1302">
        <f>1</f>
        <v>1</v>
      </c>
      <c r="H13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1301)&amp;"|",All_Questions_Q_STREAM_F_wrapped)),1,0),0))*1</f>
        <v>1</v>
      </c>
    </row>
    <row r="1303">
      <c r="A1303" t="n">
        <v>1302</v>
      </c>
      <c r="B1303" t="inlineStr">
        <is>
          <t>B</t>
        </is>
      </c>
      <c r="C1303">
        <f>1</f>
        <v>1</v>
      </c>
      <c r="D1303">
        <f>IF(OR(F_Custom1_Q="(None)",F_Custom1_Q="",ISBLANK(F_Custom1_Q),F_Custom1_V="(All)",F_Custom1_V="",ISBLANK(F_Custom1_V)),1,IFERROR(IF(ISNUMBER(SEARCH("|"&amp;INDEX(INDIRECT(F_Custom1_resolved_column),1302)&amp;"|",F_Custom1_wrapped)),1,0),0))</f>
        <v>1</v>
      </c>
      <c r="E1303">
        <f>IF(OR(F_Custom2_Q="(None)",F_Custom2_Q="",ISBLANK(F_Custom2_Q),F_Custom2_V="(All)",F_Custom2_V="",ISBLANK(F_Custom2_V)),1,IFERROR(IF(ISNUMBER(SEARCH("|"&amp;INDEX(INDIRECT(F_Custom2_resolved_column),1302)&amp;"|",F_Custom2_wrapped)),1,0),0))</f>
        <v>1</v>
      </c>
      <c r="F1303">
        <f>D1303*E1303*1</f>
        <v>1</v>
      </c>
      <c r="G1303">
        <f>1</f>
        <v>1</v>
      </c>
      <c r="H13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1302)&amp;"|",All_Questions_Q_STREAM_F_wrapped)),1,0),0))*1</f>
        <v>1</v>
      </c>
    </row>
    <row r="1304">
      <c r="A1304" t="n">
        <v>1303</v>
      </c>
      <c r="B1304" t="inlineStr">
        <is>
          <t>A</t>
        </is>
      </c>
      <c r="C1304">
        <f>1</f>
        <v>1</v>
      </c>
      <c r="D1304">
        <f>IF(OR(F_Custom1_Q="(None)",F_Custom1_Q="",ISBLANK(F_Custom1_Q),F_Custom1_V="(All)",F_Custom1_V="",ISBLANK(F_Custom1_V)),1,IFERROR(IF(ISNUMBER(SEARCH("|"&amp;INDEX(INDIRECT(F_Custom1_resolved_column),1303)&amp;"|",F_Custom1_wrapped)),1,0),0))</f>
        <v>1</v>
      </c>
      <c r="E1304">
        <f>IF(OR(F_Custom2_Q="(None)",F_Custom2_Q="",ISBLANK(F_Custom2_Q),F_Custom2_V="(All)",F_Custom2_V="",ISBLANK(F_Custom2_V)),1,IFERROR(IF(ISNUMBER(SEARCH("|"&amp;INDEX(INDIRECT(F_Custom2_resolved_column),1303)&amp;"|",F_Custom2_wrapped)),1,0),0))</f>
        <v>1</v>
      </c>
      <c r="F1304">
        <f>D1304*E1304*1</f>
        <v>1</v>
      </c>
      <c r="G1304">
        <f>1</f>
        <v>1</v>
      </c>
      <c r="H13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1303)&amp;"|",All_Questions_Q_STREAM_F_wrapped)),1,0),0))*1</f>
        <v>1</v>
      </c>
    </row>
    <row r="1305">
      <c r="A1305" t="n">
        <v>1304</v>
      </c>
      <c r="B1305" t="inlineStr">
        <is>
          <t>B</t>
        </is>
      </c>
      <c r="C1305">
        <f>1</f>
        <v>1</v>
      </c>
      <c r="D1305">
        <f>IF(OR(F_Custom1_Q="(None)",F_Custom1_Q="",ISBLANK(F_Custom1_Q),F_Custom1_V="(All)",F_Custom1_V="",ISBLANK(F_Custom1_V)),1,IFERROR(IF(ISNUMBER(SEARCH("|"&amp;INDEX(INDIRECT(F_Custom1_resolved_column),1304)&amp;"|",F_Custom1_wrapped)),1,0),0))</f>
        <v>1</v>
      </c>
      <c r="E1305">
        <f>IF(OR(F_Custom2_Q="(None)",F_Custom2_Q="",ISBLANK(F_Custom2_Q),F_Custom2_V="(All)",F_Custom2_V="",ISBLANK(F_Custom2_V)),1,IFERROR(IF(ISNUMBER(SEARCH("|"&amp;INDEX(INDIRECT(F_Custom2_resolved_column),1304)&amp;"|",F_Custom2_wrapped)),1,0),0))</f>
        <v>1</v>
      </c>
      <c r="F1305">
        <f>D1305*E1305*1</f>
        <v>1</v>
      </c>
      <c r="G1305">
        <f>1</f>
        <v>1</v>
      </c>
      <c r="H13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1304)&amp;"|",All_Questions_Q_STREAM_F_wrapped)),1,0),0))*1</f>
        <v>1</v>
      </c>
    </row>
    <row r="1306">
      <c r="A1306" t="n">
        <v>1305</v>
      </c>
      <c r="B1306" t="inlineStr">
        <is>
          <t>A</t>
        </is>
      </c>
      <c r="C1306">
        <f>1</f>
        <v>1</v>
      </c>
      <c r="D1306">
        <f>IF(OR(F_Custom1_Q="(None)",F_Custom1_Q="",ISBLANK(F_Custom1_Q),F_Custom1_V="(All)",F_Custom1_V="",ISBLANK(F_Custom1_V)),1,IFERROR(IF(ISNUMBER(SEARCH("|"&amp;INDEX(INDIRECT(F_Custom1_resolved_column),1305)&amp;"|",F_Custom1_wrapped)),1,0),0))</f>
        <v>1</v>
      </c>
      <c r="E1306">
        <f>IF(OR(F_Custom2_Q="(None)",F_Custom2_Q="",ISBLANK(F_Custom2_Q),F_Custom2_V="(All)",F_Custom2_V="",ISBLANK(F_Custom2_V)),1,IFERROR(IF(ISNUMBER(SEARCH("|"&amp;INDEX(INDIRECT(F_Custom2_resolved_column),1305)&amp;"|",F_Custom2_wrapped)),1,0),0))</f>
        <v>1</v>
      </c>
      <c r="F1306">
        <f>D1306*E1306*1</f>
        <v>1</v>
      </c>
      <c r="G1306">
        <f>1</f>
        <v>1</v>
      </c>
      <c r="H13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1305)&amp;"|",All_Questions_Q_STREAM_F_wrapped)),1,0),0))*1</f>
        <v>1</v>
      </c>
    </row>
    <row r="1307">
      <c r="A1307" t="n">
        <v>1306</v>
      </c>
      <c r="B1307" t="inlineStr">
        <is>
          <t>B</t>
        </is>
      </c>
      <c r="C1307">
        <f>1</f>
        <v>1</v>
      </c>
      <c r="D1307">
        <f>IF(OR(F_Custom1_Q="(None)",F_Custom1_Q="",ISBLANK(F_Custom1_Q),F_Custom1_V="(All)",F_Custom1_V="",ISBLANK(F_Custom1_V)),1,IFERROR(IF(ISNUMBER(SEARCH("|"&amp;INDEX(INDIRECT(F_Custom1_resolved_column),1306)&amp;"|",F_Custom1_wrapped)),1,0),0))</f>
        <v>1</v>
      </c>
      <c r="E1307">
        <f>IF(OR(F_Custom2_Q="(None)",F_Custom2_Q="",ISBLANK(F_Custom2_Q),F_Custom2_V="(All)",F_Custom2_V="",ISBLANK(F_Custom2_V)),1,IFERROR(IF(ISNUMBER(SEARCH("|"&amp;INDEX(INDIRECT(F_Custom2_resolved_column),1306)&amp;"|",F_Custom2_wrapped)),1,0),0))</f>
        <v>1</v>
      </c>
      <c r="F1307">
        <f>D1307*E1307*1</f>
        <v>1</v>
      </c>
      <c r="G1307">
        <f>1</f>
        <v>1</v>
      </c>
      <c r="H13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1306)&amp;"|",All_Questions_Q_STREAM_F_wrapped)),1,0),0))*1</f>
        <v>1</v>
      </c>
    </row>
    <row r="1308">
      <c r="A1308" t="n">
        <v>1307</v>
      </c>
      <c r="B1308" t="inlineStr">
        <is>
          <t>A</t>
        </is>
      </c>
      <c r="C1308">
        <f>1</f>
        <v>1</v>
      </c>
      <c r="D1308">
        <f>IF(OR(F_Custom1_Q="(None)",F_Custom1_Q="",ISBLANK(F_Custom1_Q),F_Custom1_V="(All)",F_Custom1_V="",ISBLANK(F_Custom1_V)),1,IFERROR(IF(ISNUMBER(SEARCH("|"&amp;INDEX(INDIRECT(F_Custom1_resolved_column),1307)&amp;"|",F_Custom1_wrapped)),1,0),0))</f>
        <v>1</v>
      </c>
      <c r="E1308">
        <f>IF(OR(F_Custom2_Q="(None)",F_Custom2_Q="",ISBLANK(F_Custom2_Q),F_Custom2_V="(All)",F_Custom2_V="",ISBLANK(F_Custom2_V)),1,IFERROR(IF(ISNUMBER(SEARCH("|"&amp;INDEX(INDIRECT(F_Custom2_resolved_column),1307)&amp;"|",F_Custom2_wrapped)),1,0),0))</f>
        <v>1</v>
      </c>
      <c r="F1308">
        <f>D1308*E1308*1</f>
        <v>1</v>
      </c>
      <c r="G1308">
        <f>1</f>
        <v>1</v>
      </c>
      <c r="H13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1307)&amp;"|",All_Questions_Q_STREAM_F_wrapped)),1,0),0))*1</f>
        <v>1</v>
      </c>
    </row>
    <row r="1309">
      <c r="A1309" t="n">
        <v>1308</v>
      </c>
      <c r="B1309" t="inlineStr">
        <is>
          <t>B</t>
        </is>
      </c>
      <c r="C1309">
        <f>1</f>
        <v>1</v>
      </c>
      <c r="D1309">
        <f>IF(OR(F_Custom1_Q="(None)",F_Custom1_Q="",ISBLANK(F_Custom1_Q),F_Custom1_V="(All)",F_Custom1_V="",ISBLANK(F_Custom1_V)),1,IFERROR(IF(ISNUMBER(SEARCH("|"&amp;INDEX(INDIRECT(F_Custom1_resolved_column),1308)&amp;"|",F_Custom1_wrapped)),1,0),0))</f>
        <v>1</v>
      </c>
      <c r="E1309">
        <f>IF(OR(F_Custom2_Q="(None)",F_Custom2_Q="",ISBLANK(F_Custom2_Q),F_Custom2_V="(All)",F_Custom2_V="",ISBLANK(F_Custom2_V)),1,IFERROR(IF(ISNUMBER(SEARCH("|"&amp;INDEX(INDIRECT(F_Custom2_resolved_column),1308)&amp;"|",F_Custom2_wrapped)),1,0),0))</f>
        <v>1</v>
      </c>
      <c r="F1309">
        <f>D1309*E1309*1</f>
        <v>1</v>
      </c>
      <c r="G1309">
        <f>1</f>
        <v>1</v>
      </c>
      <c r="H13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1308)&amp;"|",All_Questions_Q_STREAM_F_wrapped)),1,0),0))*1</f>
        <v>1</v>
      </c>
    </row>
    <row r="1310">
      <c r="A1310" t="n">
        <v>1309</v>
      </c>
      <c r="B1310" t="inlineStr">
        <is>
          <t>A</t>
        </is>
      </c>
      <c r="C1310">
        <f>1</f>
        <v>1</v>
      </c>
      <c r="D1310">
        <f>IF(OR(F_Custom1_Q="(None)",F_Custom1_Q="",ISBLANK(F_Custom1_Q),F_Custom1_V="(All)",F_Custom1_V="",ISBLANK(F_Custom1_V)),1,IFERROR(IF(ISNUMBER(SEARCH("|"&amp;INDEX(INDIRECT(F_Custom1_resolved_column),1309)&amp;"|",F_Custom1_wrapped)),1,0),0))</f>
        <v>1</v>
      </c>
      <c r="E1310">
        <f>IF(OR(F_Custom2_Q="(None)",F_Custom2_Q="",ISBLANK(F_Custom2_Q),F_Custom2_V="(All)",F_Custom2_V="",ISBLANK(F_Custom2_V)),1,IFERROR(IF(ISNUMBER(SEARCH("|"&amp;INDEX(INDIRECT(F_Custom2_resolved_column),1309)&amp;"|",F_Custom2_wrapped)),1,0),0))</f>
        <v>1</v>
      </c>
      <c r="F1310">
        <f>D1310*E1310*1</f>
        <v>1</v>
      </c>
      <c r="G1310">
        <f>1</f>
        <v>1</v>
      </c>
      <c r="H13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1309)&amp;"|",All_Questions_Q_STREAM_F_wrapped)),1,0),0))*1</f>
        <v>1</v>
      </c>
    </row>
    <row r="1311">
      <c r="A1311" t="n">
        <v>1310</v>
      </c>
      <c r="B1311" t="inlineStr">
        <is>
          <t>B</t>
        </is>
      </c>
      <c r="C1311">
        <f>1</f>
        <v>1</v>
      </c>
      <c r="D1311">
        <f>IF(OR(F_Custom1_Q="(None)",F_Custom1_Q="",ISBLANK(F_Custom1_Q),F_Custom1_V="(All)",F_Custom1_V="",ISBLANK(F_Custom1_V)),1,IFERROR(IF(ISNUMBER(SEARCH("|"&amp;INDEX(INDIRECT(F_Custom1_resolved_column),1310)&amp;"|",F_Custom1_wrapped)),1,0),0))</f>
        <v>1</v>
      </c>
      <c r="E1311">
        <f>IF(OR(F_Custom2_Q="(None)",F_Custom2_Q="",ISBLANK(F_Custom2_Q),F_Custom2_V="(All)",F_Custom2_V="",ISBLANK(F_Custom2_V)),1,IFERROR(IF(ISNUMBER(SEARCH("|"&amp;INDEX(INDIRECT(F_Custom2_resolved_column),1310)&amp;"|",F_Custom2_wrapped)),1,0),0))</f>
        <v>1</v>
      </c>
      <c r="F1311">
        <f>D1311*E1311*1</f>
        <v>1</v>
      </c>
      <c r="G1311">
        <f>1</f>
        <v>1</v>
      </c>
      <c r="H13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1310)&amp;"|",All_Questions_Q_STREAM_F_wrapped)),1,0),0))*1</f>
        <v>1</v>
      </c>
    </row>
    <row r="1312">
      <c r="A1312" t="n">
        <v>1311</v>
      </c>
      <c r="B1312" t="inlineStr">
        <is>
          <t>A</t>
        </is>
      </c>
      <c r="C1312">
        <f>1</f>
        <v>1</v>
      </c>
      <c r="D1312">
        <f>IF(OR(F_Custom1_Q="(None)",F_Custom1_Q="",ISBLANK(F_Custom1_Q),F_Custom1_V="(All)",F_Custom1_V="",ISBLANK(F_Custom1_V)),1,IFERROR(IF(ISNUMBER(SEARCH("|"&amp;INDEX(INDIRECT(F_Custom1_resolved_column),1311)&amp;"|",F_Custom1_wrapped)),1,0),0))</f>
        <v>1</v>
      </c>
      <c r="E1312">
        <f>IF(OR(F_Custom2_Q="(None)",F_Custom2_Q="",ISBLANK(F_Custom2_Q),F_Custom2_V="(All)",F_Custom2_V="",ISBLANK(F_Custom2_V)),1,IFERROR(IF(ISNUMBER(SEARCH("|"&amp;INDEX(INDIRECT(F_Custom2_resolved_column),1311)&amp;"|",F_Custom2_wrapped)),1,0),0))</f>
        <v>1</v>
      </c>
      <c r="F1312">
        <f>D1312*E1312*1</f>
        <v>1</v>
      </c>
      <c r="G1312">
        <f>1</f>
        <v>1</v>
      </c>
      <c r="H13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1311)&amp;"|",All_Questions_Q_STREAM_F_wrapped)),1,0),0))*1</f>
        <v>1</v>
      </c>
    </row>
    <row r="1313">
      <c r="A1313" t="n">
        <v>1312</v>
      </c>
      <c r="B1313" t="inlineStr">
        <is>
          <t>B</t>
        </is>
      </c>
      <c r="C1313">
        <f>1</f>
        <v>1</v>
      </c>
      <c r="D1313">
        <f>IF(OR(F_Custom1_Q="(None)",F_Custom1_Q="",ISBLANK(F_Custom1_Q),F_Custom1_V="(All)",F_Custom1_V="",ISBLANK(F_Custom1_V)),1,IFERROR(IF(ISNUMBER(SEARCH("|"&amp;INDEX(INDIRECT(F_Custom1_resolved_column),1312)&amp;"|",F_Custom1_wrapped)),1,0),0))</f>
        <v>1</v>
      </c>
      <c r="E1313">
        <f>IF(OR(F_Custom2_Q="(None)",F_Custom2_Q="",ISBLANK(F_Custom2_Q),F_Custom2_V="(All)",F_Custom2_V="",ISBLANK(F_Custom2_V)),1,IFERROR(IF(ISNUMBER(SEARCH("|"&amp;INDEX(INDIRECT(F_Custom2_resolved_column),1312)&amp;"|",F_Custom2_wrapped)),1,0),0))</f>
        <v>1</v>
      </c>
      <c r="F1313">
        <f>D1313*E1313*1</f>
        <v>1</v>
      </c>
      <c r="G1313">
        <f>1</f>
        <v>1</v>
      </c>
      <c r="H13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1312)&amp;"|",All_Questions_Q_STREAM_F_wrapped)),1,0),0))*1</f>
        <v>1</v>
      </c>
    </row>
    <row r="1314">
      <c r="A1314" t="n">
        <v>1313</v>
      </c>
      <c r="B1314" t="inlineStr">
        <is>
          <t>A</t>
        </is>
      </c>
      <c r="C1314">
        <f>1</f>
        <v>1</v>
      </c>
      <c r="D1314">
        <f>IF(OR(F_Custom1_Q="(None)",F_Custom1_Q="",ISBLANK(F_Custom1_Q),F_Custom1_V="(All)",F_Custom1_V="",ISBLANK(F_Custom1_V)),1,IFERROR(IF(ISNUMBER(SEARCH("|"&amp;INDEX(INDIRECT(F_Custom1_resolved_column),1313)&amp;"|",F_Custom1_wrapped)),1,0),0))</f>
        <v>1</v>
      </c>
      <c r="E1314">
        <f>IF(OR(F_Custom2_Q="(None)",F_Custom2_Q="",ISBLANK(F_Custom2_Q),F_Custom2_V="(All)",F_Custom2_V="",ISBLANK(F_Custom2_V)),1,IFERROR(IF(ISNUMBER(SEARCH("|"&amp;INDEX(INDIRECT(F_Custom2_resolved_column),1313)&amp;"|",F_Custom2_wrapped)),1,0),0))</f>
        <v>1</v>
      </c>
      <c r="F1314">
        <f>D1314*E1314*1</f>
        <v>1</v>
      </c>
      <c r="G1314">
        <f>1</f>
        <v>1</v>
      </c>
      <c r="H13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1313)&amp;"|",All_Questions_Q_STREAM_F_wrapped)),1,0),0))*1</f>
        <v>1</v>
      </c>
    </row>
    <row r="1315">
      <c r="A1315" t="n">
        <v>1314</v>
      </c>
      <c r="B1315" t="inlineStr">
        <is>
          <t>B</t>
        </is>
      </c>
      <c r="C1315">
        <f>1</f>
        <v>1</v>
      </c>
      <c r="D1315">
        <f>IF(OR(F_Custom1_Q="(None)",F_Custom1_Q="",ISBLANK(F_Custom1_Q),F_Custom1_V="(All)",F_Custom1_V="",ISBLANK(F_Custom1_V)),1,IFERROR(IF(ISNUMBER(SEARCH("|"&amp;INDEX(INDIRECT(F_Custom1_resolved_column),1314)&amp;"|",F_Custom1_wrapped)),1,0),0))</f>
        <v>1</v>
      </c>
      <c r="E1315">
        <f>IF(OR(F_Custom2_Q="(None)",F_Custom2_Q="",ISBLANK(F_Custom2_Q),F_Custom2_V="(All)",F_Custom2_V="",ISBLANK(F_Custom2_V)),1,IFERROR(IF(ISNUMBER(SEARCH("|"&amp;INDEX(INDIRECT(F_Custom2_resolved_column),1314)&amp;"|",F_Custom2_wrapped)),1,0),0))</f>
        <v>1</v>
      </c>
      <c r="F1315">
        <f>D1315*E1315*1</f>
        <v>1</v>
      </c>
      <c r="G1315">
        <f>1</f>
        <v>1</v>
      </c>
      <c r="H13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1314)&amp;"|",All_Questions_Q_STREAM_F_wrapped)),1,0),0))*1</f>
        <v>1</v>
      </c>
    </row>
    <row r="1316">
      <c r="A1316" t="n">
        <v>1315</v>
      </c>
      <c r="B1316" t="inlineStr">
        <is>
          <t>A</t>
        </is>
      </c>
      <c r="C1316">
        <f>1</f>
        <v>1</v>
      </c>
      <c r="D1316">
        <f>IF(OR(F_Custom1_Q="(None)",F_Custom1_Q="",ISBLANK(F_Custom1_Q),F_Custom1_V="(All)",F_Custom1_V="",ISBLANK(F_Custom1_V)),1,IFERROR(IF(ISNUMBER(SEARCH("|"&amp;INDEX(INDIRECT(F_Custom1_resolved_column),1315)&amp;"|",F_Custom1_wrapped)),1,0),0))</f>
        <v>1</v>
      </c>
      <c r="E1316">
        <f>IF(OR(F_Custom2_Q="(None)",F_Custom2_Q="",ISBLANK(F_Custom2_Q),F_Custom2_V="(All)",F_Custom2_V="",ISBLANK(F_Custom2_V)),1,IFERROR(IF(ISNUMBER(SEARCH("|"&amp;INDEX(INDIRECT(F_Custom2_resolved_column),1315)&amp;"|",F_Custom2_wrapped)),1,0),0))</f>
        <v>1</v>
      </c>
      <c r="F1316">
        <f>D1316*E1316*1</f>
        <v>1</v>
      </c>
      <c r="G1316">
        <f>1</f>
        <v>1</v>
      </c>
      <c r="H13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1315)&amp;"|",All_Questions_Q_STREAM_F_wrapped)),1,0),0))*1</f>
        <v>1</v>
      </c>
    </row>
    <row r="1317">
      <c r="A1317" t="n">
        <v>1316</v>
      </c>
      <c r="B1317" t="inlineStr">
        <is>
          <t>B</t>
        </is>
      </c>
      <c r="C1317">
        <f>1</f>
        <v>1</v>
      </c>
      <c r="D1317">
        <f>IF(OR(F_Custom1_Q="(None)",F_Custom1_Q="",ISBLANK(F_Custom1_Q),F_Custom1_V="(All)",F_Custom1_V="",ISBLANK(F_Custom1_V)),1,IFERROR(IF(ISNUMBER(SEARCH("|"&amp;INDEX(INDIRECT(F_Custom1_resolved_column),1316)&amp;"|",F_Custom1_wrapped)),1,0),0))</f>
        <v>1</v>
      </c>
      <c r="E1317">
        <f>IF(OR(F_Custom2_Q="(None)",F_Custom2_Q="",ISBLANK(F_Custom2_Q),F_Custom2_V="(All)",F_Custom2_V="",ISBLANK(F_Custom2_V)),1,IFERROR(IF(ISNUMBER(SEARCH("|"&amp;INDEX(INDIRECT(F_Custom2_resolved_column),1316)&amp;"|",F_Custom2_wrapped)),1,0),0))</f>
        <v>1</v>
      </c>
      <c r="F1317">
        <f>D1317*E1317*1</f>
        <v>1</v>
      </c>
      <c r="G1317">
        <f>1</f>
        <v>1</v>
      </c>
      <c r="H13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1316)&amp;"|",All_Questions_Q_STREAM_F_wrapped)),1,0),0))*1</f>
        <v>1</v>
      </c>
    </row>
    <row r="1318">
      <c r="A1318" t="n">
        <v>1317</v>
      </c>
      <c r="B1318" t="inlineStr">
        <is>
          <t>A</t>
        </is>
      </c>
      <c r="C1318">
        <f>1</f>
        <v>1</v>
      </c>
      <c r="D1318">
        <f>IF(OR(F_Custom1_Q="(None)",F_Custom1_Q="",ISBLANK(F_Custom1_Q),F_Custom1_V="(All)",F_Custom1_V="",ISBLANK(F_Custom1_V)),1,IFERROR(IF(ISNUMBER(SEARCH("|"&amp;INDEX(INDIRECT(F_Custom1_resolved_column),1317)&amp;"|",F_Custom1_wrapped)),1,0),0))</f>
        <v>1</v>
      </c>
      <c r="E1318">
        <f>IF(OR(F_Custom2_Q="(None)",F_Custom2_Q="",ISBLANK(F_Custom2_Q),F_Custom2_V="(All)",F_Custom2_V="",ISBLANK(F_Custom2_V)),1,IFERROR(IF(ISNUMBER(SEARCH("|"&amp;INDEX(INDIRECT(F_Custom2_resolved_column),1317)&amp;"|",F_Custom2_wrapped)),1,0),0))</f>
        <v>1</v>
      </c>
      <c r="F1318">
        <f>D1318*E1318*1</f>
        <v>1</v>
      </c>
      <c r="G1318">
        <f>1</f>
        <v>1</v>
      </c>
      <c r="H13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1317)&amp;"|",All_Questions_Q_STREAM_F_wrapped)),1,0),0))*1</f>
        <v>1</v>
      </c>
    </row>
    <row r="1319">
      <c r="A1319" t="n">
        <v>1318</v>
      </c>
      <c r="B1319" t="inlineStr">
        <is>
          <t>B</t>
        </is>
      </c>
      <c r="C1319">
        <f>1</f>
        <v>1</v>
      </c>
      <c r="D1319">
        <f>IF(OR(F_Custom1_Q="(None)",F_Custom1_Q="",ISBLANK(F_Custom1_Q),F_Custom1_V="(All)",F_Custom1_V="",ISBLANK(F_Custom1_V)),1,IFERROR(IF(ISNUMBER(SEARCH("|"&amp;INDEX(INDIRECT(F_Custom1_resolved_column),1318)&amp;"|",F_Custom1_wrapped)),1,0),0))</f>
        <v>1</v>
      </c>
      <c r="E1319">
        <f>IF(OR(F_Custom2_Q="(None)",F_Custom2_Q="",ISBLANK(F_Custom2_Q),F_Custom2_V="(All)",F_Custom2_V="",ISBLANK(F_Custom2_V)),1,IFERROR(IF(ISNUMBER(SEARCH("|"&amp;INDEX(INDIRECT(F_Custom2_resolved_column),1318)&amp;"|",F_Custom2_wrapped)),1,0),0))</f>
        <v>1</v>
      </c>
      <c r="F1319">
        <f>D1319*E1319*1</f>
        <v>1</v>
      </c>
      <c r="G1319">
        <f>1</f>
        <v>1</v>
      </c>
      <c r="H13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1318)&amp;"|",All_Questions_Q_STREAM_F_wrapped)),1,0),0))*1</f>
        <v>1</v>
      </c>
    </row>
    <row r="1320">
      <c r="A1320" t="n">
        <v>1319</v>
      </c>
      <c r="B1320" t="inlineStr">
        <is>
          <t>A</t>
        </is>
      </c>
      <c r="C1320">
        <f>1</f>
        <v>1</v>
      </c>
      <c r="D1320">
        <f>IF(OR(F_Custom1_Q="(None)",F_Custom1_Q="",ISBLANK(F_Custom1_Q),F_Custom1_V="(All)",F_Custom1_V="",ISBLANK(F_Custom1_V)),1,IFERROR(IF(ISNUMBER(SEARCH("|"&amp;INDEX(INDIRECT(F_Custom1_resolved_column),1319)&amp;"|",F_Custom1_wrapped)),1,0),0))</f>
        <v>1</v>
      </c>
      <c r="E1320">
        <f>IF(OR(F_Custom2_Q="(None)",F_Custom2_Q="",ISBLANK(F_Custom2_Q),F_Custom2_V="(All)",F_Custom2_V="",ISBLANK(F_Custom2_V)),1,IFERROR(IF(ISNUMBER(SEARCH("|"&amp;INDEX(INDIRECT(F_Custom2_resolved_column),1319)&amp;"|",F_Custom2_wrapped)),1,0),0))</f>
        <v>1</v>
      </c>
      <c r="F1320">
        <f>D1320*E1320*1</f>
        <v>1</v>
      </c>
      <c r="G1320">
        <f>1</f>
        <v>1</v>
      </c>
      <c r="H13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1319)&amp;"|",All_Questions_Q_STREAM_F_wrapped)),1,0),0))*1</f>
        <v>1</v>
      </c>
    </row>
    <row r="1321">
      <c r="A1321" t="n">
        <v>1320</v>
      </c>
      <c r="B1321" t="inlineStr">
        <is>
          <t>B</t>
        </is>
      </c>
      <c r="C1321">
        <f>1</f>
        <v>1</v>
      </c>
      <c r="D1321">
        <f>IF(OR(F_Custom1_Q="(None)",F_Custom1_Q="",ISBLANK(F_Custom1_Q),F_Custom1_V="(All)",F_Custom1_V="",ISBLANK(F_Custom1_V)),1,IFERROR(IF(ISNUMBER(SEARCH("|"&amp;INDEX(INDIRECT(F_Custom1_resolved_column),1320)&amp;"|",F_Custom1_wrapped)),1,0),0))</f>
        <v>1</v>
      </c>
      <c r="E1321">
        <f>IF(OR(F_Custom2_Q="(None)",F_Custom2_Q="",ISBLANK(F_Custom2_Q),F_Custom2_V="(All)",F_Custom2_V="",ISBLANK(F_Custom2_V)),1,IFERROR(IF(ISNUMBER(SEARCH("|"&amp;INDEX(INDIRECT(F_Custom2_resolved_column),1320)&amp;"|",F_Custom2_wrapped)),1,0),0))</f>
        <v>1</v>
      </c>
      <c r="F1321">
        <f>D1321*E1321*1</f>
        <v>1</v>
      </c>
      <c r="G1321">
        <f>1</f>
        <v>1</v>
      </c>
      <c r="H13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1320)&amp;"|",All_Questions_Q_STREAM_F_wrapped)),1,0),0))*1</f>
        <v>1</v>
      </c>
    </row>
    <row r="1322">
      <c r="A1322" t="n">
        <v>1321</v>
      </c>
      <c r="B1322" t="inlineStr">
        <is>
          <t>A</t>
        </is>
      </c>
      <c r="C1322">
        <f>1</f>
        <v>1</v>
      </c>
      <c r="D1322">
        <f>IF(OR(F_Custom1_Q="(None)",F_Custom1_Q="",ISBLANK(F_Custom1_Q),F_Custom1_V="(All)",F_Custom1_V="",ISBLANK(F_Custom1_V)),1,IFERROR(IF(ISNUMBER(SEARCH("|"&amp;INDEX(INDIRECT(F_Custom1_resolved_column),1321)&amp;"|",F_Custom1_wrapped)),1,0),0))</f>
        <v>1</v>
      </c>
      <c r="E1322">
        <f>IF(OR(F_Custom2_Q="(None)",F_Custom2_Q="",ISBLANK(F_Custom2_Q),F_Custom2_V="(All)",F_Custom2_V="",ISBLANK(F_Custom2_V)),1,IFERROR(IF(ISNUMBER(SEARCH("|"&amp;INDEX(INDIRECT(F_Custom2_resolved_column),1321)&amp;"|",F_Custom2_wrapped)),1,0),0))</f>
        <v>1</v>
      </c>
      <c r="F1322">
        <f>D1322*E1322*1</f>
        <v>1</v>
      </c>
      <c r="G1322">
        <f>1</f>
        <v>1</v>
      </c>
      <c r="H13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1321)&amp;"|",All_Questions_Q_STREAM_F_wrapped)),1,0),0))*1</f>
        <v>1</v>
      </c>
    </row>
    <row r="1323">
      <c r="A1323" t="n">
        <v>1322</v>
      </c>
      <c r="B1323" t="inlineStr">
        <is>
          <t>B</t>
        </is>
      </c>
      <c r="C1323">
        <f>1</f>
        <v>1</v>
      </c>
      <c r="D1323">
        <f>IF(OR(F_Custom1_Q="(None)",F_Custom1_Q="",ISBLANK(F_Custom1_Q),F_Custom1_V="(All)",F_Custom1_V="",ISBLANK(F_Custom1_V)),1,IFERROR(IF(ISNUMBER(SEARCH("|"&amp;INDEX(INDIRECT(F_Custom1_resolved_column),1322)&amp;"|",F_Custom1_wrapped)),1,0),0))</f>
        <v>1</v>
      </c>
      <c r="E1323">
        <f>IF(OR(F_Custom2_Q="(None)",F_Custom2_Q="",ISBLANK(F_Custom2_Q),F_Custom2_V="(All)",F_Custom2_V="",ISBLANK(F_Custom2_V)),1,IFERROR(IF(ISNUMBER(SEARCH("|"&amp;INDEX(INDIRECT(F_Custom2_resolved_column),1322)&amp;"|",F_Custom2_wrapped)),1,0),0))</f>
        <v>1</v>
      </c>
      <c r="F1323">
        <f>D1323*E1323*1</f>
        <v>1</v>
      </c>
      <c r="G1323">
        <f>1</f>
        <v>1</v>
      </c>
      <c r="H13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1322)&amp;"|",All_Questions_Q_STREAM_F_wrapped)),1,0),0))*1</f>
        <v>1</v>
      </c>
    </row>
    <row r="1324">
      <c r="A1324" t="n">
        <v>1323</v>
      </c>
      <c r="B1324" t="inlineStr">
        <is>
          <t>A</t>
        </is>
      </c>
      <c r="C1324">
        <f>1</f>
        <v>1</v>
      </c>
      <c r="D1324">
        <f>IF(OR(F_Custom1_Q="(None)",F_Custom1_Q="",ISBLANK(F_Custom1_Q),F_Custom1_V="(All)",F_Custom1_V="",ISBLANK(F_Custom1_V)),1,IFERROR(IF(ISNUMBER(SEARCH("|"&amp;INDEX(INDIRECT(F_Custom1_resolved_column),1323)&amp;"|",F_Custom1_wrapped)),1,0),0))</f>
        <v>1</v>
      </c>
      <c r="E1324">
        <f>IF(OR(F_Custom2_Q="(None)",F_Custom2_Q="",ISBLANK(F_Custom2_Q),F_Custom2_V="(All)",F_Custom2_V="",ISBLANK(F_Custom2_V)),1,IFERROR(IF(ISNUMBER(SEARCH("|"&amp;INDEX(INDIRECT(F_Custom2_resolved_column),1323)&amp;"|",F_Custom2_wrapped)),1,0),0))</f>
        <v>1</v>
      </c>
      <c r="F1324">
        <f>D1324*E1324*1</f>
        <v>1</v>
      </c>
      <c r="G1324">
        <f>1</f>
        <v>1</v>
      </c>
      <c r="H13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1323)&amp;"|",All_Questions_Q_STREAM_F_wrapped)),1,0),0))*1</f>
        <v>1</v>
      </c>
    </row>
    <row r="1325">
      <c r="A1325" t="n">
        <v>1324</v>
      </c>
      <c r="B1325" t="inlineStr">
        <is>
          <t>B</t>
        </is>
      </c>
      <c r="C1325">
        <f>1</f>
        <v>1</v>
      </c>
      <c r="D1325">
        <f>IF(OR(F_Custom1_Q="(None)",F_Custom1_Q="",ISBLANK(F_Custom1_Q),F_Custom1_V="(All)",F_Custom1_V="",ISBLANK(F_Custom1_V)),1,IFERROR(IF(ISNUMBER(SEARCH("|"&amp;INDEX(INDIRECT(F_Custom1_resolved_column),1324)&amp;"|",F_Custom1_wrapped)),1,0),0))</f>
        <v>1</v>
      </c>
      <c r="E1325">
        <f>IF(OR(F_Custom2_Q="(None)",F_Custom2_Q="",ISBLANK(F_Custom2_Q),F_Custom2_V="(All)",F_Custom2_V="",ISBLANK(F_Custom2_V)),1,IFERROR(IF(ISNUMBER(SEARCH("|"&amp;INDEX(INDIRECT(F_Custom2_resolved_column),1324)&amp;"|",F_Custom2_wrapped)),1,0),0))</f>
        <v>1</v>
      </c>
      <c r="F1325">
        <f>D1325*E1325*1</f>
        <v>1</v>
      </c>
      <c r="G1325">
        <f>1</f>
        <v>1</v>
      </c>
      <c r="H13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1324)&amp;"|",All_Questions_Q_STREAM_F_wrapped)),1,0),0))*1</f>
        <v>1</v>
      </c>
    </row>
    <row r="1326">
      <c r="A1326" t="n">
        <v>1325</v>
      </c>
      <c r="B1326" t="inlineStr">
        <is>
          <t>A</t>
        </is>
      </c>
      <c r="C1326">
        <f>1</f>
        <v>1</v>
      </c>
      <c r="D1326">
        <f>IF(OR(F_Custom1_Q="(None)",F_Custom1_Q="",ISBLANK(F_Custom1_Q),F_Custom1_V="(All)",F_Custom1_V="",ISBLANK(F_Custom1_V)),1,IFERROR(IF(ISNUMBER(SEARCH("|"&amp;INDEX(INDIRECT(F_Custom1_resolved_column),1325)&amp;"|",F_Custom1_wrapped)),1,0),0))</f>
        <v>1</v>
      </c>
      <c r="E1326">
        <f>IF(OR(F_Custom2_Q="(None)",F_Custom2_Q="",ISBLANK(F_Custom2_Q),F_Custom2_V="(All)",F_Custom2_V="",ISBLANK(F_Custom2_V)),1,IFERROR(IF(ISNUMBER(SEARCH("|"&amp;INDEX(INDIRECT(F_Custom2_resolved_column),1325)&amp;"|",F_Custom2_wrapped)),1,0),0))</f>
        <v>1</v>
      </c>
      <c r="F1326">
        <f>D1326*E1326*1</f>
        <v>1</v>
      </c>
      <c r="G1326">
        <f>1</f>
        <v>1</v>
      </c>
      <c r="H13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1325)&amp;"|",All_Questions_Q_STREAM_F_wrapped)),1,0),0))*1</f>
        <v>1</v>
      </c>
    </row>
    <row r="1327">
      <c r="A1327" t="n">
        <v>1326</v>
      </c>
      <c r="B1327" t="inlineStr">
        <is>
          <t>B</t>
        </is>
      </c>
      <c r="C1327">
        <f>1</f>
        <v>1</v>
      </c>
      <c r="D1327">
        <f>IF(OR(F_Custom1_Q="(None)",F_Custom1_Q="",ISBLANK(F_Custom1_Q),F_Custom1_V="(All)",F_Custom1_V="",ISBLANK(F_Custom1_V)),1,IFERROR(IF(ISNUMBER(SEARCH("|"&amp;INDEX(INDIRECT(F_Custom1_resolved_column),1326)&amp;"|",F_Custom1_wrapped)),1,0),0))</f>
        <v>1</v>
      </c>
      <c r="E1327">
        <f>IF(OR(F_Custom2_Q="(None)",F_Custom2_Q="",ISBLANK(F_Custom2_Q),F_Custom2_V="(All)",F_Custom2_V="",ISBLANK(F_Custom2_V)),1,IFERROR(IF(ISNUMBER(SEARCH("|"&amp;INDEX(INDIRECT(F_Custom2_resolved_column),1326)&amp;"|",F_Custom2_wrapped)),1,0),0))</f>
        <v>1</v>
      </c>
      <c r="F1327">
        <f>D1327*E1327*1</f>
        <v>1</v>
      </c>
      <c r="G1327">
        <f>1</f>
        <v>1</v>
      </c>
      <c r="H13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1326)&amp;"|",All_Questions_Q_STREAM_F_wrapped)),1,0),0))*1</f>
        <v>1</v>
      </c>
    </row>
    <row r="1328">
      <c r="A1328" t="n">
        <v>1327</v>
      </c>
      <c r="B1328" t="inlineStr">
        <is>
          <t>A</t>
        </is>
      </c>
      <c r="C1328">
        <f>1</f>
        <v>1</v>
      </c>
      <c r="D1328">
        <f>IF(OR(F_Custom1_Q="(None)",F_Custom1_Q="",ISBLANK(F_Custom1_Q),F_Custom1_V="(All)",F_Custom1_V="",ISBLANK(F_Custom1_V)),1,IFERROR(IF(ISNUMBER(SEARCH("|"&amp;INDEX(INDIRECT(F_Custom1_resolved_column),1327)&amp;"|",F_Custom1_wrapped)),1,0),0))</f>
        <v>1</v>
      </c>
      <c r="E1328">
        <f>IF(OR(F_Custom2_Q="(None)",F_Custom2_Q="",ISBLANK(F_Custom2_Q),F_Custom2_V="(All)",F_Custom2_V="",ISBLANK(F_Custom2_V)),1,IFERROR(IF(ISNUMBER(SEARCH("|"&amp;INDEX(INDIRECT(F_Custom2_resolved_column),1327)&amp;"|",F_Custom2_wrapped)),1,0),0))</f>
        <v>1</v>
      </c>
      <c r="F1328">
        <f>D1328*E1328*1</f>
        <v>1</v>
      </c>
      <c r="G1328">
        <f>1</f>
        <v>1</v>
      </c>
      <c r="H13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1327)&amp;"|",All_Questions_Q_STREAM_F_wrapped)),1,0),0))*1</f>
        <v>1</v>
      </c>
    </row>
    <row r="1329">
      <c r="A1329" t="n">
        <v>1328</v>
      </c>
      <c r="B1329" t="inlineStr">
        <is>
          <t>B</t>
        </is>
      </c>
      <c r="C1329">
        <f>1</f>
        <v>1</v>
      </c>
      <c r="D1329">
        <f>IF(OR(F_Custom1_Q="(None)",F_Custom1_Q="",ISBLANK(F_Custom1_Q),F_Custom1_V="(All)",F_Custom1_V="",ISBLANK(F_Custom1_V)),1,IFERROR(IF(ISNUMBER(SEARCH("|"&amp;INDEX(INDIRECT(F_Custom1_resolved_column),1328)&amp;"|",F_Custom1_wrapped)),1,0),0))</f>
        <v>1</v>
      </c>
      <c r="E1329">
        <f>IF(OR(F_Custom2_Q="(None)",F_Custom2_Q="",ISBLANK(F_Custom2_Q),F_Custom2_V="(All)",F_Custom2_V="",ISBLANK(F_Custom2_V)),1,IFERROR(IF(ISNUMBER(SEARCH("|"&amp;INDEX(INDIRECT(F_Custom2_resolved_column),1328)&amp;"|",F_Custom2_wrapped)),1,0),0))</f>
        <v>1</v>
      </c>
      <c r="F1329">
        <f>D1329*E1329*1</f>
        <v>1</v>
      </c>
      <c r="G1329">
        <f>1</f>
        <v>1</v>
      </c>
      <c r="H13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1328)&amp;"|",All_Questions_Q_STREAM_F_wrapped)),1,0),0))*1</f>
        <v>1</v>
      </c>
    </row>
    <row r="1330">
      <c r="A1330" t="n">
        <v>1329</v>
      </c>
      <c r="B1330" t="inlineStr">
        <is>
          <t>A</t>
        </is>
      </c>
      <c r="C1330">
        <f>1</f>
        <v>1</v>
      </c>
      <c r="D1330">
        <f>IF(OR(F_Custom1_Q="(None)",F_Custom1_Q="",ISBLANK(F_Custom1_Q),F_Custom1_V="(All)",F_Custom1_V="",ISBLANK(F_Custom1_V)),1,IFERROR(IF(ISNUMBER(SEARCH("|"&amp;INDEX(INDIRECT(F_Custom1_resolved_column),1329)&amp;"|",F_Custom1_wrapped)),1,0),0))</f>
        <v>1</v>
      </c>
      <c r="E1330">
        <f>IF(OR(F_Custom2_Q="(None)",F_Custom2_Q="",ISBLANK(F_Custom2_Q),F_Custom2_V="(All)",F_Custom2_V="",ISBLANK(F_Custom2_V)),1,IFERROR(IF(ISNUMBER(SEARCH("|"&amp;INDEX(INDIRECT(F_Custom2_resolved_column),1329)&amp;"|",F_Custom2_wrapped)),1,0),0))</f>
        <v>1</v>
      </c>
      <c r="F1330">
        <f>D1330*E1330*1</f>
        <v>1</v>
      </c>
      <c r="G1330">
        <f>1</f>
        <v>1</v>
      </c>
      <c r="H13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1329)&amp;"|",All_Questions_Q_STREAM_F_wrapped)),1,0),0))*1</f>
        <v>1</v>
      </c>
    </row>
    <row r="1331">
      <c r="A1331" t="n">
        <v>1330</v>
      </c>
      <c r="B1331" t="inlineStr">
        <is>
          <t>B</t>
        </is>
      </c>
      <c r="C1331">
        <f>1</f>
        <v>1</v>
      </c>
      <c r="D1331">
        <f>IF(OR(F_Custom1_Q="(None)",F_Custom1_Q="",ISBLANK(F_Custom1_Q),F_Custom1_V="(All)",F_Custom1_V="",ISBLANK(F_Custom1_V)),1,IFERROR(IF(ISNUMBER(SEARCH("|"&amp;INDEX(INDIRECT(F_Custom1_resolved_column),1330)&amp;"|",F_Custom1_wrapped)),1,0),0))</f>
        <v>1</v>
      </c>
      <c r="E1331">
        <f>IF(OR(F_Custom2_Q="(None)",F_Custom2_Q="",ISBLANK(F_Custom2_Q),F_Custom2_V="(All)",F_Custom2_V="",ISBLANK(F_Custom2_V)),1,IFERROR(IF(ISNUMBER(SEARCH("|"&amp;INDEX(INDIRECT(F_Custom2_resolved_column),1330)&amp;"|",F_Custom2_wrapped)),1,0),0))</f>
        <v>1</v>
      </c>
      <c r="F1331">
        <f>D1331*E1331*1</f>
        <v>1</v>
      </c>
      <c r="G1331">
        <f>1</f>
        <v>1</v>
      </c>
      <c r="H13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1330)&amp;"|",All_Questions_Q_STREAM_F_wrapped)),1,0),0))*1</f>
        <v>1</v>
      </c>
    </row>
    <row r="1332">
      <c r="A1332" t="n">
        <v>1331</v>
      </c>
      <c r="B1332" t="inlineStr">
        <is>
          <t>A</t>
        </is>
      </c>
      <c r="C1332">
        <f>1</f>
        <v>1</v>
      </c>
      <c r="D1332">
        <f>IF(OR(F_Custom1_Q="(None)",F_Custom1_Q="",ISBLANK(F_Custom1_Q),F_Custom1_V="(All)",F_Custom1_V="",ISBLANK(F_Custom1_V)),1,IFERROR(IF(ISNUMBER(SEARCH("|"&amp;INDEX(INDIRECT(F_Custom1_resolved_column),1331)&amp;"|",F_Custom1_wrapped)),1,0),0))</f>
        <v>1</v>
      </c>
      <c r="E1332">
        <f>IF(OR(F_Custom2_Q="(None)",F_Custom2_Q="",ISBLANK(F_Custom2_Q),F_Custom2_V="(All)",F_Custom2_V="",ISBLANK(F_Custom2_V)),1,IFERROR(IF(ISNUMBER(SEARCH("|"&amp;INDEX(INDIRECT(F_Custom2_resolved_column),1331)&amp;"|",F_Custom2_wrapped)),1,0),0))</f>
        <v>1</v>
      </c>
      <c r="F1332">
        <f>D1332*E1332*1</f>
        <v>1</v>
      </c>
      <c r="G1332">
        <f>1</f>
        <v>1</v>
      </c>
      <c r="H13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1331)&amp;"|",All_Questions_Q_STREAM_F_wrapped)),1,0),0))*1</f>
        <v>1</v>
      </c>
    </row>
    <row r="1333">
      <c r="A1333" t="n">
        <v>1332</v>
      </c>
      <c r="B1333" t="inlineStr">
        <is>
          <t>B</t>
        </is>
      </c>
      <c r="C1333">
        <f>1</f>
        <v>1</v>
      </c>
      <c r="D1333">
        <f>IF(OR(F_Custom1_Q="(None)",F_Custom1_Q="",ISBLANK(F_Custom1_Q),F_Custom1_V="(All)",F_Custom1_V="",ISBLANK(F_Custom1_V)),1,IFERROR(IF(ISNUMBER(SEARCH("|"&amp;INDEX(INDIRECT(F_Custom1_resolved_column),1332)&amp;"|",F_Custom1_wrapped)),1,0),0))</f>
        <v>1</v>
      </c>
      <c r="E1333">
        <f>IF(OR(F_Custom2_Q="(None)",F_Custom2_Q="",ISBLANK(F_Custom2_Q),F_Custom2_V="(All)",F_Custom2_V="",ISBLANK(F_Custom2_V)),1,IFERROR(IF(ISNUMBER(SEARCH("|"&amp;INDEX(INDIRECT(F_Custom2_resolved_column),1332)&amp;"|",F_Custom2_wrapped)),1,0),0))</f>
        <v>1</v>
      </c>
      <c r="F1333">
        <f>D1333*E1333*1</f>
        <v>1</v>
      </c>
      <c r="G1333">
        <f>1</f>
        <v>1</v>
      </c>
      <c r="H13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1332)&amp;"|",All_Questions_Q_STREAM_F_wrapped)),1,0),0))*1</f>
        <v>1</v>
      </c>
    </row>
    <row r="1334">
      <c r="A1334" t="n">
        <v>1333</v>
      </c>
      <c r="B1334" t="inlineStr">
        <is>
          <t>A</t>
        </is>
      </c>
      <c r="C1334">
        <f>1</f>
        <v>1</v>
      </c>
      <c r="D1334">
        <f>IF(OR(F_Custom1_Q="(None)",F_Custom1_Q="",ISBLANK(F_Custom1_Q),F_Custom1_V="(All)",F_Custom1_V="",ISBLANK(F_Custom1_V)),1,IFERROR(IF(ISNUMBER(SEARCH("|"&amp;INDEX(INDIRECT(F_Custom1_resolved_column),1333)&amp;"|",F_Custom1_wrapped)),1,0),0))</f>
        <v>1</v>
      </c>
      <c r="E1334">
        <f>IF(OR(F_Custom2_Q="(None)",F_Custom2_Q="",ISBLANK(F_Custom2_Q),F_Custom2_V="(All)",F_Custom2_V="",ISBLANK(F_Custom2_V)),1,IFERROR(IF(ISNUMBER(SEARCH("|"&amp;INDEX(INDIRECT(F_Custom2_resolved_column),1333)&amp;"|",F_Custom2_wrapped)),1,0),0))</f>
        <v>1</v>
      </c>
      <c r="F1334">
        <f>D1334*E1334*1</f>
        <v>1</v>
      </c>
      <c r="G1334">
        <f>1</f>
        <v>1</v>
      </c>
      <c r="H13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1333)&amp;"|",All_Questions_Q_STREAM_F_wrapped)),1,0),0))*1</f>
        <v>1</v>
      </c>
    </row>
    <row r="1335">
      <c r="A1335" t="n">
        <v>1334</v>
      </c>
      <c r="B1335" t="inlineStr">
        <is>
          <t>B</t>
        </is>
      </c>
      <c r="C1335">
        <f>1</f>
        <v>1</v>
      </c>
      <c r="D1335">
        <f>IF(OR(F_Custom1_Q="(None)",F_Custom1_Q="",ISBLANK(F_Custom1_Q),F_Custom1_V="(All)",F_Custom1_V="",ISBLANK(F_Custom1_V)),1,IFERROR(IF(ISNUMBER(SEARCH("|"&amp;INDEX(INDIRECT(F_Custom1_resolved_column),1334)&amp;"|",F_Custom1_wrapped)),1,0),0))</f>
        <v>1</v>
      </c>
      <c r="E1335">
        <f>IF(OR(F_Custom2_Q="(None)",F_Custom2_Q="",ISBLANK(F_Custom2_Q),F_Custom2_V="(All)",F_Custom2_V="",ISBLANK(F_Custom2_V)),1,IFERROR(IF(ISNUMBER(SEARCH("|"&amp;INDEX(INDIRECT(F_Custom2_resolved_column),1334)&amp;"|",F_Custom2_wrapped)),1,0),0))</f>
        <v>1</v>
      </c>
      <c r="F1335">
        <f>D1335*E1335*1</f>
        <v>1</v>
      </c>
      <c r="G1335">
        <f>1</f>
        <v>1</v>
      </c>
      <c r="H13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1334)&amp;"|",All_Questions_Q_STREAM_F_wrapped)),1,0),0))*1</f>
        <v>1</v>
      </c>
    </row>
    <row r="1336">
      <c r="A1336" t="n">
        <v>1335</v>
      </c>
      <c r="B1336" t="inlineStr">
        <is>
          <t>A</t>
        </is>
      </c>
      <c r="C1336">
        <f>1</f>
        <v>1</v>
      </c>
      <c r="D1336">
        <f>IF(OR(F_Custom1_Q="(None)",F_Custom1_Q="",ISBLANK(F_Custom1_Q),F_Custom1_V="(All)",F_Custom1_V="",ISBLANK(F_Custom1_V)),1,IFERROR(IF(ISNUMBER(SEARCH("|"&amp;INDEX(INDIRECT(F_Custom1_resolved_column),1335)&amp;"|",F_Custom1_wrapped)),1,0),0))</f>
        <v>1</v>
      </c>
      <c r="E1336">
        <f>IF(OR(F_Custom2_Q="(None)",F_Custom2_Q="",ISBLANK(F_Custom2_Q),F_Custom2_V="(All)",F_Custom2_V="",ISBLANK(F_Custom2_V)),1,IFERROR(IF(ISNUMBER(SEARCH("|"&amp;INDEX(INDIRECT(F_Custom2_resolved_column),1335)&amp;"|",F_Custom2_wrapped)),1,0),0))</f>
        <v>1</v>
      </c>
      <c r="F1336">
        <f>D1336*E1336*1</f>
        <v>1</v>
      </c>
      <c r="G1336">
        <f>1</f>
        <v>1</v>
      </c>
      <c r="H13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1335)&amp;"|",All_Questions_Q_STREAM_F_wrapped)),1,0),0))*1</f>
        <v>1</v>
      </c>
    </row>
    <row r="1337">
      <c r="A1337" t="n">
        <v>1336</v>
      </c>
      <c r="B1337" t="inlineStr">
        <is>
          <t>B</t>
        </is>
      </c>
      <c r="C1337">
        <f>1</f>
        <v>1</v>
      </c>
      <c r="D1337">
        <f>IF(OR(F_Custom1_Q="(None)",F_Custom1_Q="",ISBLANK(F_Custom1_Q),F_Custom1_V="(All)",F_Custom1_V="",ISBLANK(F_Custom1_V)),1,IFERROR(IF(ISNUMBER(SEARCH("|"&amp;INDEX(INDIRECT(F_Custom1_resolved_column),1336)&amp;"|",F_Custom1_wrapped)),1,0),0))</f>
        <v>1</v>
      </c>
      <c r="E1337">
        <f>IF(OR(F_Custom2_Q="(None)",F_Custom2_Q="",ISBLANK(F_Custom2_Q),F_Custom2_V="(All)",F_Custom2_V="",ISBLANK(F_Custom2_V)),1,IFERROR(IF(ISNUMBER(SEARCH("|"&amp;INDEX(INDIRECT(F_Custom2_resolved_column),1336)&amp;"|",F_Custom2_wrapped)),1,0),0))</f>
        <v>1</v>
      </c>
      <c r="F1337">
        <f>D1337*E1337*1</f>
        <v>1</v>
      </c>
      <c r="G1337">
        <f>1</f>
        <v>1</v>
      </c>
      <c r="H13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1336)&amp;"|",All_Questions_Q_STREAM_F_wrapped)),1,0),0))*1</f>
        <v>1</v>
      </c>
    </row>
    <row r="1338">
      <c r="A1338" t="n">
        <v>1337</v>
      </c>
      <c r="B1338" t="inlineStr">
        <is>
          <t>A</t>
        </is>
      </c>
      <c r="C1338">
        <f>1</f>
        <v>1</v>
      </c>
      <c r="D1338">
        <f>IF(OR(F_Custom1_Q="(None)",F_Custom1_Q="",ISBLANK(F_Custom1_Q),F_Custom1_V="(All)",F_Custom1_V="",ISBLANK(F_Custom1_V)),1,IFERROR(IF(ISNUMBER(SEARCH("|"&amp;INDEX(INDIRECT(F_Custom1_resolved_column),1337)&amp;"|",F_Custom1_wrapped)),1,0),0))</f>
        <v>1</v>
      </c>
      <c r="E1338">
        <f>IF(OR(F_Custom2_Q="(None)",F_Custom2_Q="",ISBLANK(F_Custom2_Q),F_Custom2_V="(All)",F_Custom2_V="",ISBLANK(F_Custom2_V)),1,IFERROR(IF(ISNUMBER(SEARCH("|"&amp;INDEX(INDIRECT(F_Custom2_resolved_column),1337)&amp;"|",F_Custom2_wrapped)),1,0),0))</f>
        <v>1</v>
      </c>
      <c r="F1338">
        <f>D1338*E1338*1</f>
        <v>1</v>
      </c>
      <c r="G1338">
        <f>1</f>
        <v>1</v>
      </c>
      <c r="H13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1337)&amp;"|",All_Questions_Q_STREAM_F_wrapped)),1,0),0))*1</f>
        <v>1</v>
      </c>
    </row>
    <row r="1339">
      <c r="A1339" t="n">
        <v>1338</v>
      </c>
      <c r="B1339" t="inlineStr">
        <is>
          <t>B</t>
        </is>
      </c>
      <c r="C1339">
        <f>1</f>
        <v>1</v>
      </c>
      <c r="D1339">
        <f>IF(OR(F_Custom1_Q="(None)",F_Custom1_Q="",ISBLANK(F_Custom1_Q),F_Custom1_V="(All)",F_Custom1_V="",ISBLANK(F_Custom1_V)),1,IFERROR(IF(ISNUMBER(SEARCH("|"&amp;INDEX(INDIRECT(F_Custom1_resolved_column),1338)&amp;"|",F_Custom1_wrapped)),1,0),0))</f>
        <v>1</v>
      </c>
      <c r="E1339">
        <f>IF(OR(F_Custom2_Q="(None)",F_Custom2_Q="",ISBLANK(F_Custom2_Q),F_Custom2_V="(All)",F_Custom2_V="",ISBLANK(F_Custom2_V)),1,IFERROR(IF(ISNUMBER(SEARCH("|"&amp;INDEX(INDIRECT(F_Custom2_resolved_column),1338)&amp;"|",F_Custom2_wrapped)),1,0),0))</f>
        <v>1</v>
      </c>
      <c r="F1339">
        <f>D1339*E1339*1</f>
        <v>1</v>
      </c>
      <c r="G1339">
        <f>1</f>
        <v>1</v>
      </c>
      <c r="H13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1338)&amp;"|",All_Questions_Q_STREAM_F_wrapped)),1,0),0))*1</f>
        <v>1</v>
      </c>
    </row>
    <row r="1340">
      <c r="A1340" t="n">
        <v>1339</v>
      </c>
      <c r="B1340" t="inlineStr">
        <is>
          <t>A</t>
        </is>
      </c>
      <c r="C1340">
        <f>1</f>
        <v>1</v>
      </c>
      <c r="D1340">
        <f>IF(OR(F_Custom1_Q="(None)",F_Custom1_Q="",ISBLANK(F_Custom1_Q),F_Custom1_V="(All)",F_Custom1_V="",ISBLANK(F_Custom1_V)),1,IFERROR(IF(ISNUMBER(SEARCH("|"&amp;INDEX(INDIRECT(F_Custom1_resolved_column),1339)&amp;"|",F_Custom1_wrapped)),1,0),0))</f>
        <v>1</v>
      </c>
      <c r="E1340">
        <f>IF(OR(F_Custom2_Q="(None)",F_Custom2_Q="",ISBLANK(F_Custom2_Q),F_Custom2_V="(All)",F_Custom2_V="",ISBLANK(F_Custom2_V)),1,IFERROR(IF(ISNUMBER(SEARCH("|"&amp;INDEX(INDIRECT(F_Custom2_resolved_column),1339)&amp;"|",F_Custom2_wrapped)),1,0),0))</f>
        <v>1</v>
      </c>
      <c r="F1340">
        <f>D1340*E1340*1</f>
        <v>1</v>
      </c>
      <c r="G1340">
        <f>1</f>
        <v>1</v>
      </c>
      <c r="H13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1339)&amp;"|",All_Questions_Q_STREAM_F_wrapped)),1,0),0))*1</f>
        <v>1</v>
      </c>
    </row>
    <row r="1341">
      <c r="A1341" t="n">
        <v>1340</v>
      </c>
      <c r="B1341" t="inlineStr">
        <is>
          <t>B</t>
        </is>
      </c>
      <c r="C1341">
        <f>1</f>
        <v>1</v>
      </c>
      <c r="D1341">
        <f>IF(OR(F_Custom1_Q="(None)",F_Custom1_Q="",ISBLANK(F_Custom1_Q),F_Custom1_V="(All)",F_Custom1_V="",ISBLANK(F_Custom1_V)),1,IFERROR(IF(ISNUMBER(SEARCH("|"&amp;INDEX(INDIRECT(F_Custom1_resolved_column),1340)&amp;"|",F_Custom1_wrapped)),1,0),0))</f>
        <v>1</v>
      </c>
      <c r="E1341">
        <f>IF(OR(F_Custom2_Q="(None)",F_Custom2_Q="",ISBLANK(F_Custom2_Q),F_Custom2_V="(All)",F_Custom2_V="",ISBLANK(F_Custom2_V)),1,IFERROR(IF(ISNUMBER(SEARCH("|"&amp;INDEX(INDIRECT(F_Custom2_resolved_column),1340)&amp;"|",F_Custom2_wrapped)),1,0),0))</f>
        <v>1</v>
      </c>
      <c r="F1341">
        <f>D1341*E1341*1</f>
        <v>1</v>
      </c>
      <c r="G1341">
        <f>1</f>
        <v>1</v>
      </c>
      <c r="H13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1340)&amp;"|",All_Questions_Q_STREAM_F_wrapped)),1,0),0))*1</f>
        <v>1</v>
      </c>
    </row>
    <row r="1342">
      <c r="A1342" t="n">
        <v>1341</v>
      </c>
      <c r="B1342" t="inlineStr">
        <is>
          <t>A</t>
        </is>
      </c>
      <c r="C1342">
        <f>1</f>
        <v>1</v>
      </c>
      <c r="D1342">
        <f>IF(OR(F_Custom1_Q="(None)",F_Custom1_Q="",ISBLANK(F_Custom1_Q),F_Custom1_V="(All)",F_Custom1_V="",ISBLANK(F_Custom1_V)),1,IFERROR(IF(ISNUMBER(SEARCH("|"&amp;INDEX(INDIRECT(F_Custom1_resolved_column),1341)&amp;"|",F_Custom1_wrapped)),1,0),0))</f>
        <v>1</v>
      </c>
      <c r="E1342">
        <f>IF(OR(F_Custom2_Q="(None)",F_Custom2_Q="",ISBLANK(F_Custom2_Q),F_Custom2_V="(All)",F_Custom2_V="",ISBLANK(F_Custom2_V)),1,IFERROR(IF(ISNUMBER(SEARCH("|"&amp;INDEX(INDIRECT(F_Custom2_resolved_column),1341)&amp;"|",F_Custom2_wrapped)),1,0),0))</f>
        <v>1</v>
      </c>
      <c r="F1342">
        <f>D1342*E1342*1</f>
        <v>1</v>
      </c>
      <c r="G1342">
        <f>1</f>
        <v>1</v>
      </c>
      <c r="H13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1341)&amp;"|",All_Questions_Q_STREAM_F_wrapped)),1,0),0))*1</f>
        <v>1</v>
      </c>
    </row>
    <row r="1343">
      <c r="A1343" t="n">
        <v>1342</v>
      </c>
      <c r="B1343" t="inlineStr">
        <is>
          <t>B</t>
        </is>
      </c>
      <c r="C1343">
        <f>1</f>
        <v>1</v>
      </c>
      <c r="D1343">
        <f>IF(OR(F_Custom1_Q="(None)",F_Custom1_Q="",ISBLANK(F_Custom1_Q),F_Custom1_V="(All)",F_Custom1_V="",ISBLANK(F_Custom1_V)),1,IFERROR(IF(ISNUMBER(SEARCH("|"&amp;INDEX(INDIRECT(F_Custom1_resolved_column),1342)&amp;"|",F_Custom1_wrapped)),1,0),0))</f>
        <v>1</v>
      </c>
      <c r="E1343">
        <f>IF(OR(F_Custom2_Q="(None)",F_Custom2_Q="",ISBLANK(F_Custom2_Q),F_Custom2_V="(All)",F_Custom2_V="",ISBLANK(F_Custom2_V)),1,IFERROR(IF(ISNUMBER(SEARCH("|"&amp;INDEX(INDIRECT(F_Custom2_resolved_column),1342)&amp;"|",F_Custom2_wrapped)),1,0),0))</f>
        <v>1</v>
      </c>
      <c r="F1343">
        <f>D1343*E1343*1</f>
        <v>1</v>
      </c>
      <c r="G1343">
        <f>1</f>
        <v>1</v>
      </c>
      <c r="H13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1342)&amp;"|",All_Questions_Q_STREAM_F_wrapped)),1,0),0))*1</f>
        <v>1</v>
      </c>
    </row>
    <row r="1344">
      <c r="A1344" t="n">
        <v>1343</v>
      </c>
      <c r="B1344" t="inlineStr">
        <is>
          <t>A</t>
        </is>
      </c>
      <c r="C1344">
        <f>1</f>
        <v>1</v>
      </c>
      <c r="D1344">
        <f>IF(OR(F_Custom1_Q="(None)",F_Custom1_Q="",ISBLANK(F_Custom1_Q),F_Custom1_V="(All)",F_Custom1_V="",ISBLANK(F_Custom1_V)),1,IFERROR(IF(ISNUMBER(SEARCH("|"&amp;INDEX(INDIRECT(F_Custom1_resolved_column),1343)&amp;"|",F_Custom1_wrapped)),1,0),0))</f>
        <v>1</v>
      </c>
      <c r="E1344">
        <f>IF(OR(F_Custom2_Q="(None)",F_Custom2_Q="",ISBLANK(F_Custom2_Q),F_Custom2_V="(All)",F_Custom2_V="",ISBLANK(F_Custom2_V)),1,IFERROR(IF(ISNUMBER(SEARCH("|"&amp;INDEX(INDIRECT(F_Custom2_resolved_column),1343)&amp;"|",F_Custom2_wrapped)),1,0),0))</f>
        <v>1</v>
      </c>
      <c r="F1344">
        <f>D1344*E1344*1</f>
        <v>1</v>
      </c>
      <c r="G1344">
        <f>1</f>
        <v>1</v>
      </c>
      <c r="H13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1343)&amp;"|",All_Questions_Q_STREAM_F_wrapped)),1,0),0))*1</f>
        <v>1</v>
      </c>
    </row>
    <row r="1345">
      <c r="A1345" t="n">
        <v>1344</v>
      </c>
      <c r="B1345" t="inlineStr">
        <is>
          <t>B</t>
        </is>
      </c>
      <c r="C1345">
        <f>1</f>
        <v>1</v>
      </c>
      <c r="D1345">
        <f>IF(OR(F_Custom1_Q="(None)",F_Custom1_Q="",ISBLANK(F_Custom1_Q),F_Custom1_V="(All)",F_Custom1_V="",ISBLANK(F_Custom1_V)),1,IFERROR(IF(ISNUMBER(SEARCH("|"&amp;INDEX(INDIRECT(F_Custom1_resolved_column),1344)&amp;"|",F_Custom1_wrapped)),1,0),0))</f>
        <v>1</v>
      </c>
      <c r="E1345">
        <f>IF(OR(F_Custom2_Q="(None)",F_Custom2_Q="",ISBLANK(F_Custom2_Q),F_Custom2_V="(All)",F_Custom2_V="",ISBLANK(F_Custom2_V)),1,IFERROR(IF(ISNUMBER(SEARCH("|"&amp;INDEX(INDIRECT(F_Custom2_resolved_column),1344)&amp;"|",F_Custom2_wrapped)),1,0),0))</f>
        <v>1</v>
      </c>
      <c r="F1345">
        <f>D1345*E1345*1</f>
        <v>1</v>
      </c>
      <c r="G1345">
        <f>1</f>
        <v>1</v>
      </c>
      <c r="H13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1344)&amp;"|",All_Questions_Q_STREAM_F_wrapped)),1,0),0))*1</f>
        <v>1</v>
      </c>
    </row>
    <row r="1346">
      <c r="A1346" t="n">
        <v>1345</v>
      </c>
      <c r="B1346" t="inlineStr">
        <is>
          <t>A</t>
        </is>
      </c>
      <c r="C1346">
        <f>1</f>
        <v>1</v>
      </c>
      <c r="D1346">
        <f>IF(OR(F_Custom1_Q="(None)",F_Custom1_Q="",ISBLANK(F_Custom1_Q),F_Custom1_V="(All)",F_Custom1_V="",ISBLANK(F_Custom1_V)),1,IFERROR(IF(ISNUMBER(SEARCH("|"&amp;INDEX(INDIRECT(F_Custom1_resolved_column),1345)&amp;"|",F_Custom1_wrapped)),1,0),0))</f>
        <v>1</v>
      </c>
      <c r="E1346">
        <f>IF(OR(F_Custom2_Q="(None)",F_Custom2_Q="",ISBLANK(F_Custom2_Q),F_Custom2_V="(All)",F_Custom2_V="",ISBLANK(F_Custom2_V)),1,IFERROR(IF(ISNUMBER(SEARCH("|"&amp;INDEX(INDIRECT(F_Custom2_resolved_column),1345)&amp;"|",F_Custom2_wrapped)),1,0),0))</f>
        <v>1</v>
      </c>
      <c r="F1346">
        <f>D1346*E1346*1</f>
        <v>1</v>
      </c>
      <c r="G1346">
        <f>1</f>
        <v>1</v>
      </c>
      <c r="H13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1345)&amp;"|",All_Questions_Q_STREAM_F_wrapped)),1,0),0))*1</f>
        <v>1</v>
      </c>
    </row>
    <row r="1347">
      <c r="A1347" t="n">
        <v>1346</v>
      </c>
      <c r="B1347" t="inlineStr">
        <is>
          <t>B</t>
        </is>
      </c>
      <c r="C1347">
        <f>1</f>
        <v>1</v>
      </c>
      <c r="D1347">
        <f>IF(OR(F_Custom1_Q="(None)",F_Custom1_Q="",ISBLANK(F_Custom1_Q),F_Custom1_V="(All)",F_Custom1_V="",ISBLANK(F_Custom1_V)),1,IFERROR(IF(ISNUMBER(SEARCH("|"&amp;INDEX(INDIRECT(F_Custom1_resolved_column),1346)&amp;"|",F_Custom1_wrapped)),1,0),0))</f>
        <v>1</v>
      </c>
      <c r="E1347">
        <f>IF(OR(F_Custom2_Q="(None)",F_Custom2_Q="",ISBLANK(F_Custom2_Q),F_Custom2_V="(All)",F_Custom2_V="",ISBLANK(F_Custom2_V)),1,IFERROR(IF(ISNUMBER(SEARCH("|"&amp;INDEX(INDIRECT(F_Custom2_resolved_column),1346)&amp;"|",F_Custom2_wrapped)),1,0),0))</f>
        <v>1</v>
      </c>
      <c r="F1347">
        <f>D1347*E1347*1</f>
        <v>1</v>
      </c>
      <c r="G1347">
        <f>1</f>
        <v>1</v>
      </c>
      <c r="H13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1346)&amp;"|",All_Questions_Q_STREAM_F_wrapped)),1,0),0))*1</f>
        <v>1</v>
      </c>
    </row>
    <row r="1348">
      <c r="A1348" t="n">
        <v>1347</v>
      </c>
      <c r="B1348" t="inlineStr">
        <is>
          <t>A</t>
        </is>
      </c>
      <c r="C1348">
        <f>1</f>
        <v>1</v>
      </c>
      <c r="D1348">
        <f>IF(OR(F_Custom1_Q="(None)",F_Custom1_Q="",ISBLANK(F_Custom1_Q),F_Custom1_V="(All)",F_Custom1_V="",ISBLANK(F_Custom1_V)),1,IFERROR(IF(ISNUMBER(SEARCH("|"&amp;INDEX(INDIRECT(F_Custom1_resolved_column),1347)&amp;"|",F_Custom1_wrapped)),1,0),0))</f>
        <v>1</v>
      </c>
      <c r="E1348">
        <f>IF(OR(F_Custom2_Q="(None)",F_Custom2_Q="",ISBLANK(F_Custom2_Q),F_Custom2_V="(All)",F_Custom2_V="",ISBLANK(F_Custom2_V)),1,IFERROR(IF(ISNUMBER(SEARCH("|"&amp;INDEX(INDIRECT(F_Custom2_resolved_column),1347)&amp;"|",F_Custom2_wrapped)),1,0),0))</f>
        <v>1</v>
      </c>
      <c r="F1348">
        <f>D1348*E1348*1</f>
        <v>1</v>
      </c>
      <c r="G1348">
        <f>1</f>
        <v>1</v>
      </c>
      <c r="H13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1347)&amp;"|",All_Questions_Q_STREAM_F_wrapped)),1,0),0))*1</f>
        <v>1</v>
      </c>
    </row>
    <row r="1349">
      <c r="A1349" t="n">
        <v>1348</v>
      </c>
      <c r="B1349" t="inlineStr">
        <is>
          <t>B</t>
        </is>
      </c>
      <c r="C1349">
        <f>1</f>
        <v>1</v>
      </c>
      <c r="D1349">
        <f>IF(OR(F_Custom1_Q="(None)",F_Custom1_Q="",ISBLANK(F_Custom1_Q),F_Custom1_V="(All)",F_Custom1_V="",ISBLANK(F_Custom1_V)),1,IFERROR(IF(ISNUMBER(SEARCH("|"&amp;INDEX(INDIRECT(F_Custom1_resolved_column),1348)&amp;"|",F_Custom1_wrapped)),1,0),0))</f>
        <v>1</v>
      </c>
      <c r="E1349">
        <f>IF(OR(F_Custom2_Q="(None)",F_Custom2_Q="",ISBLANK(F_Custom2_Q),F_Custom2_V="(All)",F_Custom2_V="",ISBLANK(F_Custom2_V)),1,IFERROR(IF(ISNUMBER(SEARCH("|"&amp;INDEX(INDIRECT(F_Custom2_resolved_column),1348)&amp;"|",F_Custom2_wrapped)),1,0),0))</f>
        <v>1</v>
      </c>
      <c r="F1349">
        <f>D1349*E1349*1</f>
        <v>1</v>
      </c>
      <c r="G1349">
        <f>1</f>
        <v>1</v>
      </c>
      <c r="H13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1348)&amp;"|",All_Questions_Q_STREAM_F_wrapped)),1,0),0))*1</f>
        <v>1</v>
      </c>
    </row>
    <row r="1350">
      <c r="A1350" t="n">
        <v>1349</v>
      </c>
      <c r="B1350" t="inlineStr">
        <is>
          <t>A</t>
        </is>
      </c>
      <c r="C1350">
        <f>1</f>
        <v>1</v>
      </c>
      <c r="D1350">
        <f>IF(OR(F_Custom1_Q="(None)",F_Custom1_Q="",ISBLANK(F_Custom1_Q),F_Custom1_V="(All)",F_Custom1_V="",ISBLANK(F_Custom1_V)),1,IFERROR(IF(ISNUMBER(SEARCH("|"&amp;INDEX(INDIRECT(F_Custom1_resolved_column),1349)&amp;"|",F_Custom1_wrapped)),1,0),0))</f>
        <v>1</v>
      </c>
      <c r="E1350">
        <f>IF(OR(F_Custom2_Q="(None)",F_Custom2_Q="",ISBLANK(F_Custom2_Q),F_Custom2_V="(All)",F_Custom2_V="",ISBLANK(F_Custom2_V)),1,IFERROR(IF(ISNUMBER(SEARCH("|"&amp;INDEX(INDIRECT(F_Custom2_resolved_column),1349)&amp;"|",F_Custom2_wrapped)),1,0),0))</f>
        <v>1</v>
      </c>
      <c r="F1350">
        <f>D1350*E1350*1</f>
        <v>1</v>
      </c>
      <c r="G1350">
        <f>1</f>
        <v>1</v>
      </c>
      <c r="H13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1349)&amp;"|",All_Questions_Q_STREAM_F_wrapped)),1,0),0))*1</f>
        <v>1</v>
      </c>
    </row>
    <row r="1351">
      <c r="A1351" t="n">
        <v>1350</v>
      </c>
      <c r="B1351" t="inlineStr">
        <is>
          <t>B</t>
        </is>
      </c>
      <c r="C1351">
        <f>1</f>
        <v>1</v>
      </c>
      <c r="D1351">
        <f>IF(OR(F_Custom1_Q="(None)",F_Custom1_Q="",ISBLANK(F_Custom1_Q),F_Custom1_V="(All)",F_Custom1_V="",ISBLANK(F_Custom1_V)),1,IFERROR(IF(ISNUMBER(SEARCH("|"&amp;INDEX(INDIRECT(F_Custom1_resolved_column),1350)&amp;"|",F_Custom1_wrapped)),1,0),0))</f>
        <v>1</v>
      </c>
      <c r="E1351">
        <f>IF(OR(F_Custom2_Q="(None)",F_Custom2_Q="",ISBLANK(F_Custom2_Q),F_Custom2_V="(All)",F_Custom2_V="",ISBLANK(F_Custom2_V)),1,IFERROR(IF(ISNUMBER(SEARCH("|"&amp;INDEX(INDIRECT(F_Custom2_resolved_column),1350)&amp;"|",F_Custom2_wrapped)),1,0),0))</f>
        <v>1</v>
      </c>
      <c r="F1351">
        <f>D1351*E1351*1</f>
        <v>1</v>
      </c>
      <c r="G1351">
        <f>1</f>
        <v>1</v>
      </c>
      <c r="H13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1350)&amp;"|",All_Questions_Q_STREAM_F_wrapped)),1,0),0))*1</f>
        <v>1</v>
      </c>
    </row>
    <row r="1352">
      <c r="A1352" t="n">
        <v>1351</v>
      </c>
      <c r="B1352" t="inlineStr">
        <is>
          <t>A</t>
        </is>
      </c>
      <c r="C1352">
        <f>1</f>
        <v>1</v>
      </c>
      <c r="D1352">
        <f>IF(OR(F_Custom1_Q="(None)",F_Custom1_Q="",ISBLANK(F_Custom1_Q),F_Custom1_V="(All)",F_Custom1_V="",ISBLANK(F_Custom1_V)),1,IFERROR(IF(ISNUMBER(SEARCH("|"&amp;INDEX(INDIRECT(F_Custom1_resolved_column),1351)&amp;"|",F_Custom1_wrapped)),1,0),0))</f>
        <v>1</v>
      </c>
      <c r="E1352">
        <f>IF(OR(F_Custom2_Q="(None)",F_Custom2_Q="",ISBLANK(F_Custom2_Q),F_Custom2_V="(All)",F_Custom2_V="",ISBLANK(F_Custom2_V)),1,IFERROR(IF(ISNUMBER(SEARCH("|"&amp;INDEX(INDIRECT(F_Custom2_resolved_column),1351)&amp;"|",F_Custom2_wrapped)),1,0),0))</f>
        <v>1</v>
      </c>
      <c r="F1352">
        <f>D1352*E1352*1</f>
        <v>1</v>
      </c>
      <c r="G1352">
        <f>1</f>
        <v>1</v>
      </c>
      <c r="H13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1351)&amp;"|",All_Questions_Q_STREAM_F_wrapped)),1,0),0))*1</f>
        <v>1</v>
      </c>
    </row>
    <row r="1353">
      <c r="A1353" t="n">
        <v>1352</v>
      </c>
      <c r="B1353" t="inlineStr">
        <is>
          <t>B</t>
        </is>
      </c>
      <c r="C1353">
        <f>1</f>
        <v>1</v>
      </c>
      <c r="D1353">
        <f>IF(OR(F_Custom1_Q="(None)",F_Custom1_Q="",ISBLANK(F_Custom1_Q),F_Custom1_V="(All)",F_Custom1_V="",ISBLANK(F_Custom1_V)),1,IFERROR(IF(ISNUMBER(SEARCH("|"&amp;INDEX(INDIRECT(F_Custom1_resolved_column),1352)&amp;"|",F_Custom1_wrapped)),1,0),0))</f>
        <v>1</v>
      </c>
      <c r="E1353">
        <f>IF(OR(F_Custom2_Q="(None)",F_Custom2_Q="",ISBLANK(F_Custom2_Q),F_Custom2_V="(All)",F_Custom2_V="",ISBLANK(F_Custom2_V)),1,IFERROR(IF(ISNUMBER(SEARCH("|"&amp;INDEX(INDIRECT(F_Custom2_resolved_column),1352)&amp;"|",F_Custom2_wrapped)),1,0),0))</f>
        <v>1</v>
      </c>
      <c r="F1353">
        <f>D1353*E1353*1</f>
        <v>1</v>
      </c>
      <c r="G1353">
        <f>1</f>
        <v>1</v>
      </c>
      <c r="H13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1352)&amp;"|",All_Questions_Q_STREAM_F_wrapped)),1,0),0))*1</f>
        <v>1</v>
      </c>
    </row>
    <row r="1354">
      <c r="A1354" t="n">
        <v>1353</v>
      </c>
      <c r="B1354" t="inlineStr">
        <is>
          <t>A</t>
        </is>
      </c>
      <c r="C1354">
        <f>1</f>
        <v>1</v>
      </c>
      <c r="D1354">
        <f>IF(OR(F_Custom1_Q="(None)",F_Custom1_Q="",ISBLANK(F_Custom1_Q),F_Custom1_V="(All)",F_Custom1_V="",ISBLANK(F_Custom1_V)),1,IFERROR(IF(ISNUMBER(SEARCH("|"&amp;INDEX(INDIRECT(F_Custom1_resolved_column),1353)&amp;"|",F_Custom1_wrapped)),1,0),0))</f>
        <v>1</v>
      </c>
      <c r="E1354">
        <f>IF(OR(F_Custom2_Q="(None)",F_Custom2_Q="",ISBLANK(F_Custom2_Q),F_Custom2_V="(All)",F_Custom2_V="",ISBLANK(F_Custom2_V)),1,IFERROR(IF(ISNUMBER(SEARCH("|"&amp;INDEX(INDIRECT(F_Custom2_resolved_column),1353)&amp;"|",F_Custom2_wrapped)),1,0),0))</f>
        <v>1</v>
      </c>
      <c r="F1354">
        <f>D1354*E1354*1</f>
        <v>1</v>
      </c>
      <c r="G1354">
        <f>1</f>
        <v>1</v>
      </c>
      <c r="H13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1353)&amp;"|",All_Questions_Q_STREAM_F_wrapped)),1,0),0))*1</f>
        <v>1</v>
      </c>
    </row>
    <row r="1355">
      <c r="A1355" t="n">
        <v>1354</v>
      </c>
      <c r="B1355" t="inlineStr">
        <is>
          <t>B</t>
        </is>
      </c>
      <c r="C1355">
        <f>1</f>
        <v>1</v>
      </c>
      <c r="D1355">
        <f>IF(OR(F_Custom1_Q="(None)",F_Custom1_Q="",ISBLANK(F_Custom1_Q),F_Custom1_V="(All)",F_Custom1_V="",ISBLANK(F_Custom1_V)),1,IFERROR(IF(ISNUMBER(SEARCH("|"&amp;INDEX(INDIRECT(F_Custom1_resolved_column),1354)&amp;"|",F_Custom1_wrapped)),1,0),0))</f>
        <v>1</v>
      </c>
      <c r="E1355">
        <f>IF(OR(F_Custom2_Q="(None)",F_Custom2_Q="",ISBLANK(F_Custom2_Q),F_Custom2_V="(All)",F_Custom2_V="",ISBLANK(F_Custom2_V)),1,IFERROR(IF(ISNUMBER(SEARCH("|"&amp;INDEX(INDIRECT(F_Custom2_resolved_column),1354)&amp;"|",F_Custom2_wrapped)),1,0),0))</f>
        <v>1</v>
      </c>
      <c r="F1355">
        <f>D1355*E1355*1</f>
        <v>1</v>
      </c>
      <c r="G1355">
        <f>1</f>
        <v>1</v>
      </c>
      <c r="H13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1354)&amp;"|",All_Questions_Q_STREAM_F_wrapped)),1,0),0))*1</f>
        <v>1</v>
      </c>
    </row>
    <row r="1356">
      <c r="A1356" t="n">
        <v>1355</v>
      </c>
      <c r="B1356" t="inlineStr">
        <is>
          <t>A</t>
        </is>
      </c>
      <c r="C1356">
        <f>1</f>
        <v>1</v>
      </c>
      <c r="D1356">
        <f>IF(OR(F_Custom1_Q="(None)",F_Custom1_Q="",ISBLANK(F_Custom1_Q),F_Custom1_V="(All)",F_Custom1_V="",ISBLANK(F_Custom1_V)),1,IFERROR(IF(ISNUMBER(SEARCH("|"&amp;INDEX(INDIRECT(F_Custom1_resolved_column),1355)&amp;"|",F_Custom1_wrapped)),1,0),0))</f>
        <v>1</v>
      </c>
      <c r="E1356">
        <f>IF(OR(F_Custom2_Q="(None)",F_Custom2_Q="",ISBLANK(F_Custom2_Q),F_Custom2_V="(All)",F_Custom2_V="",ISBLANK(F_Custom2_V)),1,IFERROR(IF(ISNUMBER(SEARCH("|"&amp;INDEX(INDIRECT(F_Custom2_resolved_column),1355)&amp;"|",F_Custom2_wrapped)),1,0),0))</f>
        <v>1</v>
      </c>
      <c r="F1356">
        <f>D1356*E1356*1</f>
        <v>1</v>
      </c>
      <c r="G1356">
        <f>1</f>
        <v>1</v>
      </c>
      <c r="H13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1355)&amp;"|",All_Questions_Q_STREAM_F_wrapped)),1,0),0))*1</f>
        <v>1</v>
      </c>
    </row>
    <row r="1357">
      <c r="A1357" t="n">
        <v>1356</v>
      </c>
      <c r="B1357" t="inlineStr">
        <is>
          <t>B</t>
        </is>
      </c>
      <c r="C1357">
        <f>1</f>
        <v>1</v>
      </c>
      <c r="D1357">
        <f>IF(OR(F_Custom1_Q="(None)",F_Custom1_Q="",ISBLANK(F_Custom1_Q),F_Custom1_V="(All)",F_Custom1_V="",ISBLANK(F_Custom1_V)),1,IFERROR(IF(ISNUMBER(SEARCH("|"&amp;INDEX(INDIRECT(F_Custom1_resolved_column),1356)&amp;"|",F_Custom1_wrapped)),1,0),0))</f>
        <v>1</v>
      </c>
      <c r="E1357">
        <f>IF(OR(F_Custom2_Q="(None)",F_Custom2_Q="",ISBLANK(F_Custom2_Q),F_Custom2_V="(All)",F_Custom2_V="",ISBLANK(F_Custom2_V)),1,IFERROR(IF(ISNUMBER(SEARCH("|"&amp;INDEX(INDIRECT(F_Custom2_resolved_column),1356)&amp;"|",F_Custom2_wrapped)),1,0),0))</f>
        <v>1</v>
      </c>
      <c r="F1357">
        <f>D1357*E1357*1</f>
        <v>1</v>
      </c>
      <c r="G1357">
        <f>1</f>
        <v>1</v>
      </c>
      <c r="H13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1356)&amp;"|",All_Questions_Q_STREAM_F_wrapped)),1,0),0))*1</f>
        <v>1</v>
      </c>
    </row>
    <row r="1358">
      <c r="A1358" t="n">
        <v>1357</v>
      </c>
      <c r="B1358" t="inlineStr">
        <is>
          <t>A</t>
        </is>
      </c>
      <c r="C1358">
        <f>1</f>
        <v>1</v>
      </c>
      <c r="D1358">
        <f>IF(OR(F_Custom1_Q="(None)",F_Custom1_Q="",ISBLANK(F_Custom1_Q),F_Custom1_V="(All)",F_Custom1_V="",ISBLANK(F_Custom1_V)),1,IFERROR(IF(ISNUMBER(SEARCH("|"&amp;INDEX(INDIRECT(F_Custom1_resolved_column),1357)&amp;"|",F_Custom1_wrapped)),1,0),0))</f>
        <v>1</v>
      </c>
      <c r="E1358">
        <f>IF(OR(F_Custom2_Q="(None)",F_Custom2_Q="",ISBLANK(F_Custom2_Q),F_Custom2_V="(All)",F_Custom2_V="",ISBLANK(F_Custom2_V)),1,IFERROR(IF(ISNUMBER(SEARCH("|"&amp;INDEX(INDIRECT(F_Custom2_resolved_column),1357)&amp;"|",F_Custom2_wrapped)),1,0),0))</f>
        <v>1</v>
      </c>
      <c r="F1358">
        <f>D1358*E1358*1</f>
        <v>1</v>
      </c>
      <c r="G1358">
        <f>1</f>
        <v>1</v>
      </c>
      <c r="H13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1357)&amp;"|",All_Questions_Q_STREAM_F_wrapped)),1,0),0))*1</f>
        <v>1</v>
      </c>
    </row>
    <row r="1359">
      <c r="A1359" t="n">
        <v>1358</v>
      </c>
      <c r="B1359" t="inlineStr">
        <is>
          <t>B</t>
        </is>
      </c>
      <c r="C1359">
        <f>1</f>
        <v>1</v>
      </c>
      <c r="D1359">
        <f>IF(OR(F_Custom1_Q="(None)",F_Custom1_Q="",ISBLANK(F_Custom1_Q),F_Custom1_V="(All)",F_Custom1_V="",ISBLANK(F_Custom1_V)),1,IFERROR(IF(ISNUMBER(SEARCH("|"&amp;INDEX(INDIRECT(F_Custom1_resolved_column),1358)&amp;"|",F_Custom1_wrapped)),1,0),0))</f>
        <v>1</v>
      </c>
      <c r="E1359">
        <f>IF(OR(F_Custom2_Q="(None)",F_Custom2_Q="",ISBLANK(F_Custom2_Q),F_Custom2_V="(All)",F_Custom2_V="",ISBLANK(F_Custom2_V)),1,IFERROR(IF(ISNUMBER(SEARCH("|"&amp;INDEX(INDIRECT(F_Custom2_resolved_column),1358)&amp;"|",F_Custom2_wrapped)),1,0),0))</f>
        <v>1</v>
      </c>
      <c r="F1359">
        <f>D1359*E1359*1</f>
        <v>1</v>
      </c>
      <c r="G1359">
        <f>1</f>
        <v>1</v>
      </c>
      <c r="H13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1358)&amp;"|",All_Questions_Q_STREAM_F_wrapped)),1,0),0))*1</f>
        <v>1</v>
      </c>
    </row>
    <row r="1360">
      <c r="A1360" t="n">
        <v>1359</v>
      </c>
      <c r="B1360" t="inlineStr">
        <is>
          <t>A</t>
        </is>
      </c>
      <c r="C1360">
        <f>1</f>
        <v>1</v>
      </c>
      <c r="D1360">
        <f>IF(OR(F_Custom1_Q="(None)",F_Custom1_Q="",ISBLANK(F_Custom1_Q),F_Custom1_V="(All)",F_Custom1_V="",ISBLANK(F_Custom1_V)),1,IFERROR(IF(ISNUMBER(SEARCH("|"&amp;INDEX(INDIRECT(F_Custom1_resolved_column),1359)&amp;"|",F_Custom1_wrapped)),1,0),0))</f>
        <v>1</v>
      </c>
      <c r="E1360">
        <f>IF(OR(F_Custom2_Q="(None)",F_Custom2_Q="",ISBLANK(F_Custom2_Q),F_Custom2_V="(All)",F_Custom2_V="",ISBLANK(F_Custom2_V)),1,IFERROR(IF(ISNUMBER(SEARCH("|"&amp;INDEX(INDIRECT(F_Custom2_resolved_column),1359)&amp;"|",F_Custom2_wrapped)),1,0),0))</f>
        <v>1</v>
      </c>
      <c r="F1360">
        <f>D1360*E1360*1</f>
        <v>1</v>
      </c>
      <c r="G1360">
        <f>1</f>
        <v>1</v>
      </c>
      <c r="H13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1359)&amp;"|",All_Questions_Q_STREAM_F_wrapped)),1,0),0))*1</f>
        <v>1</v>
      </c>
    </row>
    <row r="1361">
      <c r="A1361" t="n">
        <v>1360</v>
      </c>
      <c r="B1361" t="inlineStr">
        <is>
          <t>B</t>
        </is>
      </c>
      <c r="C1361">
        <f>1</f>
        <v>1</v>
      </c>
      <c r="D1361">
        <f>IF(OR(F_Custom1_Q="(None)",F_Custom1_Q="",ISBLANK(F_Custom1_Q),F_Custom1_V="(All)",F_Custom1_V="",ISBLANK(F_Custom1_V)),1,IFERROR(IF(ISNUMBER(SEARCH("|"&amp;INDEX(INDIRECT(F_Custom1_resolved_column),1360)&amp;"|",F_Custom1_wrapped)),1,0),0))</f>
        <v>1</v>
      </c>
      <c r="E1361">
        <f>IF(OR(F_Custom2_Q="(None)",F_Custom2_Q="",ISBLANK(F_Custom2_Q),F_Custom2_V="(All)",F_Custom2_V="",ISBLANK(F_Custom2_V)),1,IFERROR(IF(ISNUMBER(SEARCH("|"&amp;INDEX(INDIRECT(F_Custom2_resolved_column),1360)&amp;"|",F_Custom2_wrapped)),1,0),0))</f>
        <v>1</v>
      </c>
      <c r="F1361">
        <f>D1361*E1361*1</f>
        <v>1</v>
      </c>
      <c r="G1361">
        <f>1</f>
        <v>1</v>
      </c>
      <c r="H13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1360)&amp;"|",All_Questions_Q_STREAM_F_wrapped)),1,0),0))*1</f>
        <v>1</v>
      </c>
    </row>
    <row r="1362">
      <c r="A1362" t="n">
        <v>1361</v>
      </c>
      <c r="B1362" t="inlineStr">
        <is>
          <t>A</t>
        </is>
      </c>
      <c r="C1362">
        <f>1</f>
        <v>1</v>
      </c>
      <c r="D1362">
        <f>IF(OR(F_Custom1_Q="(None)",F_Custom1_Q="",ISBLANK(F_Custom1_Q),F_Custom1_V="(All)",F_Custom1_V="",ISBLANK(F_Custom1_V)),1,IFERROR(IF(ISNUMBER(SEARCH("|"&amp;INDEX(INDIRECT(F_Custom1_resolved_column),1361)&amp;"|",F_Custom1_wrapped)),1,0),0))</f>
        <v>1</v>
      </c>
      <c r="E1362">
        <f>IF(OR(F_Custom2_Q="(None)",F_Custom2_Q="",ISBLANK(F_Custom2_Q),F_Custom2_V="(All)",F_Custom2_V="",ISBLANK(F_Custom2_V)),1,IFERROR(IF(ISNUMBER(SEARCH("|"&amp;INDEX(INDIRECT(F_Custom2_resolved_column),1361)&amp;"|",F_Custom2_wrapped)),1,0),0))</f>
        <v>1</v>
      </c>
      <c r="F1362">
        <f>D1362*E1362*1</f>
        <v>1</v>
      </c>
      <c r="G1362">
        <f>1</f>
        <v>1</v>
      </c>
      <c r="H13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1361)&amp;"|",All_Questions_Q_STREAM_F_wrapped)),1,0),0))*1</f>
        <v>1</v>
      </c>
    </row>
    <row r="1363">
      <c r="A1363" t="n">
        <v>1362</v>
      </c>
      <c r="B1363" t="inlineStr">
        <is>
          <t>B</t>
        </is>
      </c>
      <c r="C1363">
        <f>1</f>
        <v>1</v>
      </c>
      <c r="D1363">
        <f>IF(OR(F_Custom1_Q="(None)",F_Custom1_Q="",ISBLANK(F_Custom1_Q),F_Custom1_V="(All)",F_Custom1_V="",ISBLANK(F_Custom1_V)),1,IFERROR(IF(ISNUMBER(SEARCH("|"&amp;INDEX(INDIRECT(F_Custom1_resolved_column),1362)&amp;"|",F_Custom1_wrapped)),1,0),0))</f>
        <v>1</v>
      </c>
      <c r="E1363">
        <f>IF(OR(F_Custom2_Q="(None)",F_Custom2_Q="",ISBLANK(F_Custom2_Q),F_Custom2_V="(All)",F_Custom2_V="",ISBLANK(F_Custom2_V)),1,IFERROR(IF(ISNUMBER(SEARCH("|"&amp;INDEX(INDIRECT(F_Custom2_resolved_column),1362)&amp;"|",F_Custom2_wrapped)),1,0),0))</f>
        <v>1</v>
      </c>
      <c r="F1363">
        <f>D1363*E1363*1</f>
        <v>1</v>
      </c>
      <c r="G1363">
        <f>1</f>
        <v>1</v>
      </c>
      <c r="H13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1362)&amp;"|",All_Questions_Q_STREAM_F_wrapped)),1,0),0))*1</f>
        <v>1</v>
      </c>
    </row>
    <row r="1364">
      <c r="A1364" t="n">
        <v>1363</v>
      </c>
      <c r="B1364" t="inlineStr">
        <is>
          <t>A</t>
        </is>
      </c>
      <c r="C1364">
        <f>1</f>
        <v>1</v>
      </c>
      <c r="D1364">
        <f>IF(OR(F_Custom1_Q="(None)",F_Custom1_Q="",ISBLANK(F_Custom1_Q),F_Custom1_V="(All)",F_Custom1_V="",ISBLANK(F_Custom1_V)),1,IFERROR(IF(ISNUMBER(SEARCH("|"&amp;INDEX(INDIRECT(F_Custom1_resolved_column),1363)&amp;"|",F_Custom1_wrapped)),1,0),0))</f>
        <v>1</v>
      </c>
      <c r="E1364">
        <f>IF(OR(F_Custom2_Q="(None)",F_Custom2_Q="",ISBLANK(F_Custom2_Q),F_Custom2_V="(All)",F_Custom2_V="",ISBLANK(F_Custom2_V)),1,IFERROR(IF(ISNUMBER(SEARCH("|"&amp;INDEX(INDIRECT(F_Custom2_resolved_column),1363)&amp;"|",F_Custom2_wrapped)),1,0),0))</f>
        <v>1</v>
      </c>
      <c r="F1364">
        <f>D1364*E1364*1</f>
        <v>1</v>
      </c>
      <c r="G1364">
        <f>1</f>
        <v>1</v>
      </c>
      <c r="H13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1363)&amp;"|",All_Questions_Q_STREAM_F_wrapped)),1,0),0))*1</f>
        <v>1</v>
      </c>
    </row>
    <row r="1365">
      <c r="A1365" t="n">
        <v>1364</v>
      </c>
      <c r="B1365" t="inlineStr">
        <is>
          <t>B</t>
        </is>
      </c>
      <c r="C1365">
        <f>1</f>
        <v>1</v>
      </c>
      <c r="D1365">
        <f>IF(OR(F_Custom1_Q="(None)",F_Custom1_Q="",ISBLANK(F_Custom1_Q),F_Custom1_V="(All)",F_Custom1_V="",ISBLANK(F_Custom1_V)),1,IFERROR(IF(ISNUMBER(SEARCH("|"&amp;INDEX(INDIRECT(F_Custom1_resolved_column),1364)&amp;"|",F_Custom1_wrapped)),1,0),0))</f>
        <v>1</v>
      </c>
      <c r="E1365">
        <f>IF(OR(F_Custom2_Q="(None)",F_Custom2_Q="",ISBLANK(F_Custom2_Q),F_Custom2_V="(All)",F_Custom2_V="",ISBLANK(F_Custom2_V)),1,IFERROR(IF(ISNUMBER(SEARCH("|"&amp;INDEX(INDIRECT(F_Custom2_resolved_column),1364)&amp;"|",F_Custom2_wrapped)),1,0),0))</f>
        <v>1</v>
      </c>
      <c r="F1365">
        <f>D1365*E1365*1</f>
        <v>1</v>
      </c>
      <c r="G1365">
        <f>1</f>
        <v>1</v>
      </c>
      <c r="H13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1364)&amp;"|",All_Questions_Q_STREAM_F_wrapped)),1,0),0))*1</f>
        <v>1</v>
      </c>
    </row>
    <row r="1366">
      <c r="A1366" t="n">
        <v>1365</v>
      </c>
      <c r="B1366" t="inlineStr">
        <is>
          <t>A</t>
        </is>
      </c>
      <c r="C1366">
        <f>1</f>
        <v>1</v>
      </c>
      <c r="D1366">
        <f>IF(OR(F_Custom1_Q="(None)",F_Custom1_Q="",ISBLANK(F_Custom1_Q),F_Custom1_V="(All)",F_Custom1_V="",ISBLANK(F_Custom1_V)),1,IFERROR(IF(ISNUMBER(SEARCH("|"&amp;INDEX(INDIRECT(F_Custom1_resolved_column),1365)&amp;"|",F_Custom1_wrapped)),1,0),0))</f>
        <v>1</v>
      </c>
      <c r="E1366">
        <f>IF(OR(F_Custom2_Q="(None)",F_Custom2_Q="",ISBLANK(F_Custom2_Q),F_Custom2_V="(All)",F_Custom2_V="",ISBLANK(F_Custom2_V)),1,IFERROR(IF(ISNUMBER(SEARCH("|"&amp;INDEX(INDIRECT(F_Custom2_resolved_column),1365)&amp;"|",F_Custom2_wrapped)),1,0),0))</f>
        <v>1</v>
      </c>
      <c r="F1366">
        <f>D1366*E1366*1</f>
        <v>1</v>
      </c>
      <c r="G1366">
        <f>1</f>
        <v>1</v>
      </c>
      <c r="H13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1365)&amp;"|",All_Questions_Q_STREAM_F_wrapped)),1,0),0))*1</f>
        <v>1</v>
      </c>
    </row>
    <row r="1367">
      <c r="A1367" t="n">
        <v>1366</v>
      </c>
      <c r="B1367" t="inlineStr">
        <is>
          <t>B</t>
        </is>
      </c>
      <c r="C1367">
        <f>1</f>
        <v>1</v>
      </c>
      <c r="D1367">
        <f>IF(OR(F_Custom1_Q="(None)",F_Custom1_Q="",ISBLANK(F_Custom1_Q),F_Custom1_V="(All)",F_Custom1_V="",ISBLANK(F_Custom1_V)),1,IFERROR(IF(ISNUMBER(SEARCH("|"&amp;INDEX(INDIRECT(F_Custom1_resolved_column),1366)&amp;"|",F_Custom1_wrapped)),1,0),0))</f>
        <v>1</v>
      </c>
      <c r="E1367">
        <f>IF(OR(F_Custom2_Q="(None)",F_Custom2_Q="",ISBLANK(F_Custom2_Q),F_Custom2_V="(All)",F_Custom2_V="",ISBLANK(F_Custom2_V)),1,IFERROR(IF(ISNUMBER(SEARCH("|"&amp;INDEX(INDIRECT(F_Custom2_resolved_column),1366)&amp;"|",F_Custom2_wrapped)),1,0),0))</f>
        <v>1</v>
      </c>
      <c r="F1367">
        <f>D1367*E1367*1</f>
        <v>1</v>
      </c>
      <c r="G1367">
        <f>1</f>
        <v>1</v>
      </c>
      <c r="H13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1366)&amp;"|",All_Questions_Q_STREAM_F_wrapped)),1,0),0))*1</f>
        <v>1</v>
      </c>
    </row>
    <row r="1368">
      <c r="A1368" t="n">
        <v>1367</v>
      </c>
      <c r="B1368" t="inlineStr">
        <is>
          <t>A</t>
        </is>
      </c>
      <c r="C1368">
        <f>1</f>
        <v>1</v>
      </c>
      <c r="D1368">
        <f>IF(OR(F_Custom1_Q="(None)",F_Custom1_Q="",ISBLANK(F_Custom1_Q),F_Custom1_V="(All)",F_Custom1_V="",ISBLANK(F_Custom1_V)),1,IFERROR(IF(ISNUMBER(SEARCH("|"&amp;INDEX(INDIRECT(F_Custom1_resolved_column),1367)&amp;"|",F_Custom1_wrapped)),1,0),0))</f>
        <v>1</v>
      </c>
      <c r="E1368">
        <f>IF(OR(F_Custom2_Q="(None)",F_Custom2_Q="",ISBLANK(F_Custom2_Q),F_Custom2_V="(All)",F_Custom2_V="",ISBLANK(F_Custom2_V)),1,IFERROR(IF(ISNUMBER(SEARCH("|"&amp;INDEX(INDIRECT(F_Custom2_resolved_column),1367)&amp;"|",F_Custom2_wrapped)),1,0),0))</f>
        <v>1</v>
      </c>
      <c r="F1368">
        <f>D1368*E1368*1</f>
        <v>1</v>
      </c>
      <c r="G1368">
        <f>1</f>
        <v>1</v>
      </c>
      <c r="H13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1367)&amp;"|",All_Questions_Q_STREAM_F_wrapped)),1,0),0))*1</f>
        <v>1</v>
      </c>
    </row>
    <row r="1369">
      <c r="A1369" t="n">
        <v>1368</v>
      </c>
      <c r="B1369" t="inlineStr">
        <is>
          <t>B</t>
        </is>
      </c>
      <c r="C1369">
        <f>1</f>
        <v>1</v>
      </c>
      <c r="D1369">
        <f>IF(OR(F_Custom1_Q="(None)",F_Custom1_Q="",ISBLANK(F_Custom1_Q),F_Custom1_V="(All)",F_Custom1_V="",ISBLANK(F_Custom1_V)),1,IFERROR(IF(ISNUMBER(SEARCH("|"&amp;INDEX(INDIRECT(F_Custom1_resolved_column),1368)&amp;"|",F_Custom1_wrapped)),1,0),0))</f>
        <v>1</v>
      </c>
      <c r="E1369">
        <f>IF(OR(F_Custom2_Q="(None)",F_Custom2_Q="",ISBLANK(F_Custom2_Q),F_Custom2_V="(All)",F_Custom2_V="",ISBLANK(F_Custom2_V)),1,IFERROR(IF(ISNUMBER(SEARCH("|"&amp;INDEX(INDIRECT(F_Custom2_resolved_column),1368)&amp;"|",F_Custom2_wrapped)),1,0),0))</f>
        <v>1</v>
      </c>
      <c r="F1369">
        <f>D1369*E1369*1</f>
        <v>1</v>
      </c>
      <c r="G1369">
        <f>1</f>
        <v>1</v>
      </c>
      <c r="H13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1368)&amp;"|",All_Questions_Q_STREAM_F_wrapped)),1,0),0))*1</f>
        <v>1</v>
      </c>
    </row>
    <row r="1370">
      <c r="A1370" t="n">
        <v>1369</v>
      </c>
      <c r="B1370" t="inlineStr">
        <is>
          <t>A</t>
        </is>
      </c>
      <c r="C1370">
        <f>1</f>
        <v>1</v>
      </c>
      <c r="D1370">
        <f>IF(OR(F_Custom1_Q="(None)",F_Custom1_Q="",ISBLANK(F_Custom1_Q),F_Custom1_V="(All)",F_Custom1_V="",ISBLANK(F_Custom1_V)),1,IFERROR(IF(ISNUMBER(SEARCH("|"&amp;INDEX(INDIRECT(F_Custom1_resolved_column),1369)&amp;"|",F_Custom1_wrapped)),1,0),0))</f>
        <v>1</v>
      </c>
      <c r="E1370">
        <f>IF(OR(F_Custom2_Q="(None)",F_Custom2_Q="",ISBLANK(F_Custom2_Q),F_Custom2_V="(All)",F_Custom2_V="",ISBLANK(F_Custom2_V)),1,IFERROR(IF(ISNUMBER(SEARCH("|"&amp;INDEX(INDIRECT(F_Custom2_resolved_column),1369)&amp;"|",F_Custom2_wrapped)),1,0),0))</f>
        <v>1</v>
      </c>
      <c r="F1370">
        <f>D1370*E1370*1</f>
        <v>1</v>
      </c>
      <c r="G1370">
        <f>1</f>
        <v>1</v>
      </c>
      <c r="H13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1369)&amp;"|",All_Questions_Q_STREAM_F_wrapped)),1,0),0))*1</f>
        <v>1</v>
      </c>
    </row>
    <row r="1371">
      <c r="A1371" t="n">
        <v>1370</v>
      </c>
      <c r="B1371" t="inlineStr">
        <is>
          <t>B</t>
        </is>
      </c>
      <c r="C1371">
        <f>1</f>
        <v>1</v>
      </c>
      <c r="D1371">
        <f>IF(OR(F_Custom1_Q="(None)",F_Custom1_Q="",ISBLANK(F_Custom1_Q),F_Custom1_V="(All)",F_Custom1_V="",ISBLANK(F_Custom1_V)),1,IFERROR(IF(ISNUMBER(SEARCH("|"&amp;INDEX(INDIRECT(F_Custom1_resolved_column),1370)&amp;"|",F_Custom1_wrapped)),1,0),0))</f>
        <v>1</v>
      </c>
      <c r="E1371">
        <f>IF(OR(F_Custom2_Q="(None)",F_Custom2_Q="",ISBLANK(F_Custom2_Q),F_Custom2_V="(All)",F_Custom2_V="",ISBLANK(F_Custom2_V)),1,IFERROR(IF(ISNUMBER(SEARCH("|"&amp;INDEX(INDIRECT(F_Custom2_resolved_column),1370)&amp;"|",F_Custom2_wrapped)),1,0),0))</f>
        <v>1</v>
      </c>
      <c r="F1371">
        <f>D1371*E1371*1</f>
        <v>1</v>
      </c>
      <c r="G1371">
        <f>1</f>
        <v>1</v>
      </c>
      <c r="H13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1370)&amp;"|",All_Questions_Q_STREAM_F_wrapped)),1,0),0))*1</f>
        <v>1</v>
      </c>
    </row>
    <row r="1372">
      <c r="A1372" t="n">
        <v>1371</v>
      </c>
      <c r="B1372" t="inlineStr">
        <is>
          <t>A</t>
        </is>
      </c>
      <c r="C1372">
        <f>1</f>
        <v>1</v>
      </c>
      <c r="D1372">
        <f>IF(OR(F_Custom1_Q="(None)",F_Custom1_Q="",ISBLANK(F_Custom1_Q),F_Custom1_V="(All)",F_Custom1_V="",ISBLANK(F_Custom1_V)),1,IFERROR(IF(ISNUMBER(SEARCH("|"&amp;INDEX(INDIRECT(F_Custom1_resolved_column),1371)&amp;"|",F_Custom1_wrapped)),1,0),0))</f>
        <v>1</v>
      </c>
      <c r="E1372">
        <f>IF(OR(F_Custom2_Q="(None)",F_Custom2_Q="",ISBLANK(F_Custom2_Q),F_Custom2_V="(All)",F_Custom2_V="",ISBLANK(F_Custom2_V)),1,IFERROR(IF(ISNUMBER(SEARCH("|"&amp;INDEX(INDIRECT(F_Custom2_resolved_column),1371)&amp;"|",F_Custom2_wrapped)),1,0),0))</f>
        <v>1</v>
      </c>
      <c r="F1372">
        <f>D1372*E1372*1</f>
        <v>1</v>
      </c>
      <c r="G1372">
        <f>1</f>
        <v>1</v>
      </c>
      <c r="H13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1371)&amp;"|",All_Questions_Q_STREAM_F_wrapped)),1,0),0))*1</f>
        <v>1</v>
      </c>
    </row>
    <row r="1373">
      <c r="A1373" t="n">
        <v>1372</v>
      </c>
      <c r="B1373" t="inlineStr">
        <is>
          <t>B</t>
        </is>
      </c>
      <c r="C1373">
        <f>1</f>
        <v>1</v>
      </c>
      <c r="D1373">
        <f>IF(OR(F_Custom1_Q="(None)",F_Custom1_Q="",ISBLANK(F_Custom1_Q),F_Custom1_V="(All)",F_Custom1_V="",ISBLANK(F_Custom1_V)),1,IFERROR(IF(ISNUMBER(SEARCH("|"&amp;INDEX(INDIRECT(F_Custom1_resolved_column),1372)&amp;"|",F_Custom1_wrapped)),1,0),0))</f>
        <v>1</v>
      </c>
      <c r="E1373">
        <f>IF(OR(F_Custom2_Q="(None)",F_Custom2_Q="",ISBLANK(F_Custom2_Q),F_Custom2_V="(All)",F_Custom2_V="",ISBLANK(F_Custom2_V)),1,IFERROR(IF(ISNUMBER(SEARCH("|"&amp;INDEX(INDIRECT(F_Custom2_resolved_column),1372)&amp;"|",F_Custom2_wrapped)),1,0),0))</f>
        <v>1</v>
      </c>
      <c r="F1373">
        <f>D1373*E1373*1</f>
        <v>1</v>
      </c>
      <c r="G1373">
        <f>1</f>
        <v>1</v>
      </c>
      <c r="H13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1372)&amp;"|",All_Questions_Q_STREAM_F_wrapped)),1,0),0))*1</f>
        <v>1</v>
      </c>
    </row>
    <row r="1374">
      <c r="A1374" t="n">
        <v>1373</v>
      </c>
      <c r="B1374" t="inlineStr">
        <is>
          <t>A</t>
        </is>
      </c>
      <c r="C1374">
        <f>1</f>
        <v>1</v>
      </c>
      <c r="D1374">
        <f>IF(OR(F_Custom1_Q="(None)",F_Custom1_Q="",ISBLANK(F_Custom1_Q),F_Custom1_V="(All)",F_Custom1_V="",ISBLANK(F_Custom1_V)),1,IFERROR(IF(ISNUMBER(SEARCH("|"&amp;INDEX(INDIRECT(F_Custom1_resolved_column),1373)&amp;"|",F_Custom1_wrapped)),1,0),0))</f>
        <v>1</v>
      </c>
      <c r="E1374">
        <f>IF(OR(F_Custom2_Q="(None)",F_Custom2_Q="",ISBLANK(F_Custom2_Q),F_Custom2_V="(All)",F_Custom2_V="",ISBLANK(F_Custom2_V)),1,IFERROR(IF(ISNUMBER(SEARCH("|"&amp;INDEX(INDIRECT(F_Custom2_resolved_column),1373)&amp;"|",F_Custom2_wrapped)),1,0),0))</f>
        <v>1</v>
      </c>
      <c r="F1374">
        <f>D1374*E1374*1</f>
        <v>1</v>
      </c>
      <c r="G1374">
        <f>1</f>
        <v>1</v>
      </c>
      <c r="H13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1373)&amp;"|",All_Questions_Q_STREAM_F_wrapped)),1,0),0))*1</f>
        <v>1</v>
      </c>
    </row>
    <row r="1375">
      <c r="A1375" t="n">
        <v>1374</v>
      </c>
      <c r="B1375" t="inlineStr">
        <is>
          <t>B</t>
        </is>
      </c>
      <c r="C1375">
        <f>1</f>
        <v>1</v>
      </c>
      <c r="D1375">
        <f>IF(OR(F_Custom1_Q="(None)",F_Custom1_Q="",ISBLANK(F_Custom1_Q),F_Custom1_V="(All)",F_Custom1_V="",ISBLANK(F_Custom1_V)),1,IFERROR(IF(ISNUMBER(SEARCH("|"&amp;INDEX(INDIRECT(F_Custom1_resolved_column),1374)&amp;"|",F_Custom1_wrapped)),1,0),0))</f>
        <v>1</v>
      </c>
      <c r="E1375">
        <f>IF(OR(F_Custom2_Q="(None)",F_Custom2_Q="",ISBLANK(F_Custom2_Q),F_Custom2_V="(All)",F_Custom2_V="",ISBLANK(F_Custom2_V)),1,IFERROR(IF(ISNUMBER(SEARCH("|"&amp;INDEX(INDIRECT(F_Custom2_resolved_column),1374)&amp;"|",F_Custom2_wrapped)),1,0),0))</f>
        <v>1</v>
      </c>
      <c r="F1375">
        <f>D1375*E1375*1</f>
        <v>1</v>
      </c>
      <c r="G1375">
        <f>1</f>
        <v>1</v>
      </c>
      <c r="H13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1374)&amp;"|",All_Questions_Q_STREAM_F_wrapped)),1,0),0))*1</f>
        <v>1</v>
      </c>
    </row>
    <row r="1376">
      <c r="A1376" t="n">
        <v>1375</v>
      </c>
      <c r="B1376" t="inlineStr">
        <is>
          <t>A</t>
        </is>
      </c>
      <c r="C1376">
        <f>1</f>
        <v>1</v>
      </c>
      <c r="D1376">
        <f>IF(OR(F_Custom1_Q="(None)",F_Custom1_Q="",ISBLANK(F_Custom1_Q),F_Custom1_V="(All)",F_Custom1_V="",ISBLANK(F_Custom1_V)),1,IFERROR(IF(ISNUMBER(SEARCH("|"&amp;INDEX(INDIRECT(F_Custom1_resolved_column),1375)&amp;"|",F_Custom1_wrapped)),1,0),0))</f>
        <v>1</v>
      </c>
      <c r="E1376">
        <f>IF(OR(F_Custom2_Q="(None)",F_Custom2_Q="",ISBLANK(F_Custom2_Q),F_Custom2_V="(All)",F_Custom2_V="",ISBLANK(F_Custom2_V)),1,IFERROR(IF(ISNUMBER(SEARCH("|"&amp;INDEX(INDIRECT(F_Custom2_resolved_column),1375)&amp;"|",F_Custom2_wrapped)),1,0),0))</f>
        <v>1</v>
      </c>
      <c r="F1376">
        <f>D1376*E1376*1</f>
        <v>1</v>
      </c>
      <c r="G1376">
        <f>1</f>
        <v>1</v>
      </c>
      <c r="H13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1375)&amp;"|",All_Questions_Q_STREAM_F_wrapped)),1,0),0))*1</f>
        <v>1</v>
      </c>
    </row>
    <row r="1377">
      <c r="A1377" t="n">
        <v>1376</v>
      </c>
      <c r="B1377" t="inlineStr">
        <is>
          <t>B</t>
        </is>
      </c>
      <c r="C1377">
        <f>1</f>
        <v>1</v>
      </c>
      <c r="D1377">
        <f>IF(OR(F_Custom1_Q="(None)",F_Custom1_Q="",ISBLANK(F_Custom1_Q),F_Custom1_V="(All)",F_Custom1_V="",ISBLANK(F_Custom1_V)),1,IFERROR(IF(ISNUMBER(SEARCH("|"&amp;INDEX(INDIRECT(F_Custom1_resolved_column),1376)&amp;"|",F_Custom1_wrapped)),1,0),0))</f>
        <v>1</v>
      </c>
      <c r="E1377">
        <f>IF(OR(F_Custom2_Q="(None)",F_Custom2_Q="",ISBLANK(F_Custom2_Q),F_Custom2_V="(All)",F_Custom2_V="",ISBLANK(F_Custom2_V)),1,IFERROR(IF(ISNUMBER(SEARCH("|"&amp;INDEX(INDIRECT(F_Custom2_resolved_column),1376)&amp;"|",F_Custom2_wrapped)),1,0),0))</f>
        <v>1</v>
      </c>
      <c r="F1377">
        <f>D1377*E1377*1</f>
        <v>1</v>
      </c>
      <c r="G1377">
        <f>1</f>
        <v>1</v>
      </c>
      <c r="H13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1376)&amp;"|",All_Questions_Q_STREAM_F_wrapped)),1,0),0))*1</f>
        <v>1</v>
      </c>
    </row>
    <row r="1378">
      <c r="A1378" t="n">
        <v>1377</v>
      </c>
      <c r="B1378" t="inlineStr">
        <is>
          <t>A</t>
        </is>
      </c>
      <c r="C1378">
        <f>1</f>
        <v>1</v>
      </c>
      <c r="D1378">
        <f>IF(OR(F_Custom1_Q="(None)",F_Custom1_Q="",ISBLANK(F_Custom1_Q),F_Custom1_V="(All)",F_Custom1_V="",ISBLANK(F_Custom1_V)),1,IFERROR(IF(ISNUMBER(SEARCH("|"&amp;INDEX(INDIRECT(F_Custom1_resolved_column),1377)&amp;"|",F_Custom1_wrapped)),1,0),0))</f>
        <v>1</v>
      </c>
      <c r="E1378">
        <f>IF(OR(F_Custom2_Q="(None)",F_Custom2_Q="",ISBLANK(F_Custom2_Q),F_Custom2_V="(All)",F_Custom2_V="",ISBLANK(F_Custom2_V)),1,IFERROR(IF(ISNUMBER(SEARCH("|"&amp;INDEX(INDIRECT(F_Custom2_resolved_column),1377)&amp;"|",F_Custom2_wrapped)),1,0),0))</f>
        <v>1</v>
      </c>
      <c r="F1378">
        <f>D1378*E1378*1</f>
        <v>1</v>
      </c>
      <c r="G1378">
        <f>1</f>
        <v>1</v>
      </c>
      <c r="H13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1377)&amp;"|",All_Questions_Q_STREAM_F_wrapped)),1,0),0))*1</f>
        <v>1</v>
      </c>
    </row>
    <row r="1379">
      <c r="A1379" t="n">
        <v>1378</v>
      </c>
      <c r="B1379" t="inlineStr">
        <is>
          <t>B</t>
        </is>
      </c>
      <c r="C1379">
        <f>1</f>
        <v>1</v>
      </c>
      <c r="D1379">
        <f>IF(OR(F_Custom1_Q="(None)",F_Custom1_Q="",ISBLANK(F_Custom1_Q),F_Custom1_V="(All)",F_Custom1_V="",ISBLANK(F_Custom1_V)),1,IFERROR(IF(ISNUMBER(SEARCH("|"&amp;INDEX(INDIRECT(F_Custom1_resolved_column),1378)&amp;"|",F_Custom1_wrapped)),1,0),0))</f>
        <v>1</v>
      </c>
      <c r="E1379">
        <f>IF(OR(F_Custom2_Q="(None)",F_Custom2_Q="",ISBLANK(F_Custom2_Q),F_Custom2_V="(All)",F_Custom2_V="",ISBLANK(F_Custom2_V)),1,IFERROR(IF(ISNUMBER(SEARCH("|"&amp;INDEX(INDIRECT(F_Custom2_resolved_column),1378)&amp;"|",F_Custom2_wrapped)),1,0),0))</f>
        <v>1</v>
      </c>
      <c r="F1379">
        <f>D1379*E1379*1</f>
        <v>1</v>
      </c>
      <c r="G1379">
        <f>1</f>
        <v>1</v>
      </c>
      <c r="H13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1378)&amp;"|",All_Questions_Q_STREAM_F_wrapped)),1,0),0))*1</f>
        <v>1</v>
      </c>
    </row>
    <row r="1380">
      <c r="A1380" t="n">
        <v>1379</v>
      </c>
      <c r="B1380" t="inlineStr">
        <is>
          <t>A</t>
        </is>
      </c>
      <c r="C1380">
        <f>1</f>
        <v>1</v>
      </c>
      <c r="D1380">
        <f>IF(OR(F_Custom1_Q="(None)",F_Custom1_Q="",ISBLANK(F_Custom1_Q),F_Custom1_V="(All)",F_Custom1_V="",ISBLANK(F_Custom1_V)),1,IFERROR(IF(ISNUMBER(SEARCH("|"&amp;INDEX(INDIRECT(F_Custom1_resolved_column),1379)&amp;"|",F_Custom1_wrapped)),1,0),0))</f>
        <v>1</v>
      </c>
      <c r="E1380">
        <f>IF(OR(F_Custom2_Q="(None)",F_Custom2_Q="",ISBLANK(F_Custom2_Q),F_Custom2_V="(All)",F_Custom2_V="",ISBLANK(F_Custom2_V)),1,IFERROR(IF(ISNUMBER(SEARCH("|"&amp;INDEX(INDIRECT(F_Custom2_resolved_column),1379)&amp;"|",F_Custom2_wrapped)),1,0),0))</f>
        <v>1</v>
      </c>
      <c r="F1380">
        <f>D1380*E1380*1</f>
        <v>1</v>
      </c>
      <c r="G1380">
        <f>1</f>
        <v>1</v>
      </c>
      <c r="H13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1379)&amp;"|",All_Questions_Q_STREAM_F_wrapped)),1,0),0))*1</f>
        <v>1</v>
      </c>
    </row>
    <row r="1381">
      <c r="A1381" t="n">
        <v>1380</v>
      </c>
      <c r="B1381" t="inlineStr">
        <is>
          <t>B</t>
        </is>
      </c>
      <c r="C1381">
        <f>1</f>
        <v>1</v>
      </c>
      <c r="D1381">
        <f>IF(OR(F_Custom1_Q="(None)",F_Custom1_Q="",ISBLANK(F_Custom1_Q),F_Custom1_V="(All)",F_Custom1_V="",ISBLANK(F_Custom1_V)),1,IFERROR(IF(ISNUMBER(SEARCH("|"&amp;INDEX(INDIRECT(F_Custom1_resolved_column),1380)&amp;"|",F_Custom1_wrapped)),1,0),0))</f>
        <v>1</v>
      </c>
      <c r="E1381">
        <f>IF(OR(F_Custom2_Q="(None)",F_Custom2_Q="",ISBLANK(F_Custom2_Q),F_Custom2_V="(All)",F_Custom2_V="",ISBLANK(F_Custom2_V)),1,IFERROR(IF(ISNUMBER(SEARCH("|"&amp;INDEX(INDIRECT(F_Custom2_resolved_column),1380)&amp;"|",F_Custom2_wrapped)),1,0),0))</f>
        <v>1</v>
      </c>
      <c r="F1381">
        <f>D1381*E1381*1</f>
        <v>1</v>
      </c>
      <c r="G1381">
        <f>1</f>
        <v>1</v>
      </c>
      <c r="H13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1380)&amp;"|",All_Questions_Q_STREAM_F_wrapped)),1,0),0))*1</f>
        <v>1</v>
      </c>
    </row>
    <row r="1382">
      <c r="A1382" t="n">
        <v>1381</v>
      </c>
      <c r="B1382" t="inlineStr">
        <is>
          <t>A</t>
        </is>
      </c>
      <c r="C1382">
        <f>1</f>
        <v>1</v>
      </c>
      <c r="D1382">
        <f>IF(OR(F_Custom1_Q="(None)",F_Custom1_Q="",ISBLANK(F_Custom1_Q),F_Custom1_V="(All)",F_Custom1_V="",ISBLANK(F_Custom1_V)),1,IFERROR(IF(ISNUMBER(SEARCH("|"&amp;INDEX(INDIRECT(F_Custom1_resolved_column),1381)&amp;"|",F_Custom1_wrapped)),1,0),0))</f>
        <v>1</v>
      </c>
      <c r="E1382">
        <f>IF(OR(F_Custom2_Q="(None)",F_Custom2_Q="",ISBLANK(F_Custom2_Q),F_Custom2_V="(All)",F_Custom2_V="",ISBLANK(F_Custom2_V)),1,IFERROR(IF(ISNUMBER(SEARCH("|"&amp;INDEX(INDIRECT(F_Custom2_resolved_column),1381)&amp;"|",F_Custom2_wrapped)),1,0),0))</f>
        <v>1</v>
      </c>
      <c r="F1382">
        <f>D1382*E1382*1</f>
        <v>1</v>
      </c>
      <c r="G1382">
        <f>1</f>
        <v>1</v>
      </c>
      <c r="H13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1381)&amp;"|",All_Questions_Q_STREAM_F_wrapped)),1,0),0))*1</f>
        <v>1</v>
      </c>
    </row>
    <row r="1383">
      <c r="A1383" t="n">
        <v>1382</v>
      </c>
      <c r="B1383" t="inlineStr">
        <is>
          <t>B</t>
        </is>
      </c>
      <c r="C1383">
        <f>1</f>
        <v>1</v>
      </c>
      <c r="D1383">
        <f>IF(OR(F_Custom1_Q="(None)",F_Custom1_Q="",ISBLANK(F_Custom1_Q),F_Custom1_V="(All)",F_Custom1_V="",ISBLANK(F_Custom1_V)),1,IFERROR(IF(ISNUMBER(SEARCH("|"&amp;INDEX(INDIRECT(F_Custom1_resolved_column),1382)&amp;"|",F_Custom1_wrapped)),1,0),0))</f>
        <v>1</v>
      </c>
      <c r="E1383">
        <f>IF(OR(F_Custom2_Q="(None)",F_Custom2_Q="",ISBLANK(F_Custom2_Q),F_Custom2_V="(All)",F_Custom2_V="",ISBLANK(F_Custom2_V)),1,IFERROR(IF(ISNUMBER(SEARCH("|"&amp;INDEX(INDIRECT(F_Custom2_resolved_column),1382)&amp;"|",F_Custom2_wrapped)),1,0),0))</f>
        <v>1</v>
      </c>
      <c r="F1383">
        <f>D1383*E1383*1</f>
        <v>1</v>
      </c>
      <c r="G1383">
        <f>1</f>
        <v>1</v>
      </c>
      <c r="H13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1382)&amp;"|",All_Questions_Q_STREAM_F_wrapped)),1,0),0))*1</f>
        <v>1</v>
      </c>
    </row>
    <row r="1384">
      <c r="A1384" t="n">
        <v>1383</v>
      </c>
      <c r="B1384" t="inlineStr">
        <is>
          <t>A</t>
        </is>
      </c>
      <c r="C1384">
        <f>1</f>
        <v>1</v>
      </c>
      <c r="D1384">
        <f>IF(OR(F_Custom1_Q="(None)",F_Custom1_Q="",ISBLANK(F_Custom1_Q),F_Custom1_V="(All)",F_Custom1_V="",ISBLANK(F_Custom1_V)),1,IFERROR(IF(ISNUMBER(SEARCH("|"&amp;INDEX(INDIRECT(F_Custom1_resolved_column),1383)&amp;"|",F_Custom1_wrapped)),1,0),0))</f>
        <v>1</v>
      </c>
      <c r="E1384">
        <f>IF(OR(F_Custom2_Q="(None)",F_Custom2_Q="",ISBLANK(F_Custom2_Q),F_Custom2_V="(All)",F_Custom2_V="",ISBLANK(F_Custom2_V)),1,IFERROR(IF(ISNUMBER(SEARCH("|"&amp;INDEX(INDIRECT(F_Custom2_resolved_column),1383)&amp;"|",F_Custom2_wrapped)),1,0),0))</f>
        <v>1</v>
      </c>
      <c r="F1384">
        <f>D1384*E1384*1</f>
        <v>1</v>
      </c>
      <c r="G1384">
        <f>1</f>
        <v>1</v>
      </c>
      <c r="H13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1383)&amp;"|",All_Questions_Q_STREAM_F_wrapped)),1,0),0))*1</f>
        <v>1</v>
      </c>
    </row>
    <row r="1385">
      <c r="A1385" t="n">
        <v>1384</v>
      </c>
      <c r="B1385" t="inlineStr">
        <is>
          <t>B</t>
        </is>
      </c>
      <c r="C1385">
        <f>1</f>
        <v>1</v>
      </c>
      <c r="D1385">
        <f>IF(OR(F_Custom1_Q="(None)",F_Custom1_Q="",ISBLANK(F_Custom1_Q),F_Custom1_V="(All)",F_Custom1_V="",ISBLANK(F_Custom1_V)),1,IFERROR(IF(ISNUMBER(SEARCH("|"&amp;INDEX(INDIRECT(F_Custom1_resolved_column),1384)&amp;"|",F_Custom1_wrapped)),1,0),0))</f>
        <v>1</v>
      </c>
      <c r="E1385">
        <f>IF(OR(F_Custom2_Q="(None)",F_Custom2_Q="",ISBLANK(F_Custom2_Q),F_Custom2_V="(All)",F_Custom2_V="",ISBLANK(F_Custom2_V)),1,IFERROR(IF(ISNUMBER(SEARCH("|"&amp;INDEX(INDIRECT(F_Custom2_resolved_column),1384)&amp;"|",F_Custom2_wrapped)),1,0),0))</f>
        <v>1</v>
      </c>
      <c r="F1385">
        <f>D1385*E1385*1</f>
        <v>1</v>
      </c>
      <c r="G1385">
        <f>1</f>
        <v>1</v>
      </c>
      <c r="H13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1384)&amp;"|",All_Questions_Q_STREAM_F_wrapped)),1,0),0))*1</f>
        <v>1</v>
      </c>
    </row>
    <row r="1386">
      <c r="A1386" t="n">
        <v>1385</v>
      </c>
      <c r="B1386" t="inlineStr">
        <is>
          <t>A</t>
        </is>
      </c>
      <c r="C1386">
        <f>1</f>
        <v>1</v>
      </c>
      <c r="D1386">
        <f>IF(OR(F_Custom1_Q="(None)",F_Custom1_Q="",ISBLANK(F_Custom1_Q),F_Custom1_V="(All)",F_Custom1_V="",ISBLANK(F_Custom1_V)),1,IFERROR(IF(ISNUMBER(SEARCH("|"&amp;INDEX(INDIRECT(F_Custom1_resolved_column),1385)&amp;"|",F_Custom1_wrapped)),1,0),0))</f>
        <v>1</v>
      </c>
      <c r="E1386">
        <f>IF(OR(F_Custom2_Q="(None)",F_Custom2_Q="",ISBLANK(F_Custom2_Q),F_Custom2_V="(All)",F_Custom2_V="",ISBLANK(F_Custom2_V)),1,IFERROR(IF(ISNUMBER(SEARCH("|"&amp;INDEX(INDIRECT(F_Custom2_resolved_column),1385)&amp;"|",F_Custom2_wrapped)),1,0),0))</f>
        <v>1</v>
      </c>
      <c r="F1386">
        <f>D1386*E1386*1</f>
        <v>1</v>
      </c>
      <c r="G1386">
        <f>1</f>
        <v>1</v>
      </c>
      <c r="H13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1385)&amp;"|",All_Questions_Q_STREAM_F_wrapped)),1,0),0))*1</f>
        <v>1</v>
      </c>
    </row>
    <row r="1387">
      <c r="A1387" t="n">
        <v>1386</v>
      </c>
      <c r="B1387" t="inlineStr">
        <is>
          <t>B</t>
        </is>
      </c>
      <c r="C1387">
        <f>1</f>
        <v>1</v>
      </c>
      <c r="D1387">
        <f>IF(OR(F_Custom1_Q="(None)",F_Custom1_Q="",ISBLANK(F_Custom1_Q),F_Custom1_V="(All)",F_Custom1_V="",ISBLANK(F_Custom1_V)),1,IFERROR(IF(ISNUMBER(SEARCH("|"&amp;INDEX(INDIRECT(F_Custom1_resolved_column),1386)&amp;"|",F_Custom1_wrapped)),1,0),0))</f>
        <v>1</v>
      </c>
      <c r="E1387">
        <f>IF(OR(F_Custom2_Q="(None)",F_Custom2_Q="",ISBLANK(F_Custom2_Q),F_Custom2_V="(All)",F_Custom2_V="",ISBLANK(F_Custom2_V)),1,IFERROR(IF(ISNUMBER(SEARCH("|"&amp;INDEX(INDIRECT(F_Custom2_resolved_column),1386)&amp;"|",F_Custom2_wrapped)),1,0),0))</f>
        <v>1</v>
      </c>
      <c r="F1387">
        <f>D1387*E1387*1</f>
        <v>1</v>
      </c>
      <c r="G1387">
        <f>1</f>
        <v>1</v>
      </c>
      <c r="H13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1386)&amp;"|",All_Questions_Q_STREAM_F_wrapped)),1,0),0))*1</f>
        <v>1</v>
      </c>
    </row>
    <row r="1388">
      <c r="A1388" t="n">
        <v>1387</v>
      </c>
      <c r="B1388" t="inlineStr">
        <is>
          <t>A</t>
        </is>
      </c>
      <c r="C1388">
        <f>1</f>
        <v>1</v>
      </c>
      <c r="D1388">
        <f>IF(OR(F_Custom1_Q="(None)",F_Custom1_Q="",ISBLANK(F_Custom1_Q),F_Custom1_V="(All)",F_Custom1_V="",ISBLANK(F_Custom1_V)),1,IFERROR(IF(ISNUMBER(SEARCH("|"&amp;INDEX(INDIRECT(F_Custom1_resolved_column),1387)&amp;"|",F_Custom1_wrapped)),1,0),0))</f>
        <v>1</v>
      </c>
      <c r="E1388">
        <f>IF(OR(F_Custom2_Q="(None)",F_Custom2_Q="",ISBLANK(F_Custom2_Q),F_Custom2_V="(All)",F_Custom2_V="",ISBLANK(F_Custom2_V)),1,IFERROR(IF(ISNUMBER(SEARCH("|"&amp;INDEX(INDIRECT(F_Custom2_resolved_column),1387)&amp;"|",F_Custom2_wrapped)),1,0),0))</f>
        <v>1</v>
      </c>
      <c r="F1388">
        <f>D1388*E1388*1</f>
        <v>1</v>
      </c>
      <c r="G1388">
        <f>1</f>
        <v>1</v>
      </c>
      <c r="H13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1387)&amp;"|",All_Questions_Q_STREAM_F_wrapped)),1,0),0))*1</f>
        <v>1</v>
      </c>
    </row>
    <row r="1389">
      <c r="A1389" t="n">
        <v>1388</v>
      </c>
      <c r="B1389" t="inlineStr">
        <is>
          <t>B</t>
        </is>
      </c>
      <c r="C1389">
        <f>1</f>
        <v>1</v>
      </c>
      <c r="D1389">
        <f>IF(OR(F_Custom1_Q="(None)",F_Custom1_Q="",ISBLANK(F_Custom1_Q),F_Custom1_V="(All)",F_Custom1_V="",ISBLANK(F_Custom1_V)),1,IFERROR(IF(ISNUMBER(SEARCH("|"&amp;INDEX(INDIRECT(F_Custom1_resolved_column),1388)&amp;"|",F_Custom1_wrapped)),1,0),0))</f>
        <v>1</v>
      </c>
      <c r="E1389">
        <f>IF(OR(F_Custom2_Q="(None)",F_Custom2_Q="",ISBLANK(F_Custom2_Q),F_Custom2_V="(All)",F_Custom2_V="",ISBLANK(F_Custom2_V)),1,IFERROR(IF(ISNUMBER(SEARCH("|"&amp;INDEX(INDIRECT(F_Custom2_resolved_column),1388)&amp;"|",F_Custom2_wrapped)),1,0),0))</f>
        <v>1</v>
      </c>
      <c r="F1389">
        <f>D1389*E1389*1</f>
        <v>1</v>
      </c>
      <c r="G1389">
        <f>1</f>
        <v>1</v>
      </c>
      <c r="H13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1388)&amp;"|",All_Questions_Q_STREAM_F_wrapped)),1,0),0))*1</f>
        <v>1</v>
      </c>
    </row>
    <row r="1390">
      <c r="A1390" t="n">
        <v>1389</v>
      </c>
      <c r="B1390" t="inlineStr">
        <is>
          <t>A</t>
        </is>
      </c>
      <c r="C1390">
        <f>1</f>
        <v>1</v>
      </c>
      <c r="D1390">
        <f>IF(OR(F_Custom1_Q="(None)",F_Custom1_Q="",ISBLANK(F_Custom1_Q),F_Custom1_V="(All)",F_Custom1_V="",ISBLANK(F_Custom1_V)),1,IFERROR(IF(ISNUMBER(SEARCH("|"&amp;INDEX(INDIRECT(F_Custom1_resolved_column),1389)&amp;"|",F_Custom1_wrapped)),1,0),0))</f>
        <v>1</v>
      </c>
      <c r="E1390">
        <f>IF(OR(F_Custom2_Q="(None)",F_Custom2_Q="",ISBLANK(F_Custom2_Q),F_Custom2_V="(All)",F_Custom2_V="",ISBLANK(F_Custom2_V)),1,IFERROR(IF(ISNUMBER(SEARCH("|"&amp;INDEX(INDIRECT(F_Custom2_resolved_column),1389)&amp;"|",F_Custom2_wrapped)),1,0),0))</f>
        <v>1</v>
      </c>
      <c r="F1390">
        <f>D1390*E1390*1</f>
        <v>1</v>
      </c>
      <c r="G1390">
        <f>1</f>
        <v>1</v>
      </c>
      <c r="H13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1389)&amp;"|",All_Questions_Q_STREAM_F_wrapped)),1,0),0))*1</f>
        <v>1</v>
      </c>
    </row>
    <row r="1391">
      <c r="A1391" t="n">
        <v>1390</v>
      </c>
      <c r="B1391" t="inlineStr">
        <is>
          <t>B</t>
        </is>
      </c>
      <c r="C1391">
        <f>1</f>
        <v>1</v>
      </c>
      <c r="D1391">
        <f>IF(OR(F_Custom1_Q="(None)",F_Custom1_Q="",ISBLANK(F_Custom1_Q),F_Custom1_V="(All)",F_Custom1_V="",ISBLANK(F_Custom1_V)),1,IFERROR(IF(ISNUMBER(SEARCH("|"&amp;INDEX(INDIRECT(F_Custom1_resolved_column),1390)&amp;"|",F_Custom1_wrapped)),1,0),0))</f>
        <v>1</v>
      </c>
      <c r="E1391">
        <f>IF(OR(F_Custom2_Q="(None)",F_Custom2_Q="",ISBLANK(F_Custom2_Q),F_Custom2_V="(All)",F_Custom2_V="",ISBLANK(F_Custom2_V)),1,IFERROR(IF(ISNUMBER(SEARCH("|"&amp;INDEX(INDIRECT(F_Custom2_resolved_column),1390)&amp;"|",F_Custom2_wrapped)),1,0),0))</f>
        <v>1</v>
      </c>
      <c r="F1391">
        <f>D1391*E1391*1</f>
        <v>1</v>
      </c>
      <c r="G1391">
        <f>1</f>
        <v>1</v>
      </c>
      <c r="H13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1390)&amp;"|",All_Questions_Q_STREAM_F_wrapped)),1,0),0))*1</f>
        <v>1</v>
      </c>
    </row>
    <row r="1392">
      <c r="A1392" t="n">
        <v>1391</v>
      </c>
      <c r="B1392" t="inlineStr">
        <is>
          <t>A</t>
        </is>
      </c>
      <c r="C1392">
        <f>1</f>
        <v>1</v>
      </c>
      <c r="D1392">
        <f>IF(OR(F_Custom1_Q="(None)",F_Custom1_Q="",ISBLANK(F_Custom1_Q),F_Custom1_V="(All)",F_Custom1_V="",ISBLANK(F_Custom1_V)),1,IFERROR(IF(ISNUMBER(SEARCH("|"&amp;INDEX(INDIRECT(F_Custom1_resolved_column),1391)&amp;"|",F_Custom1_wrapped)),1,0),0))</f>
        <v>1</v>
      </c>
      <c r="E1392">
        <f>IF(OR(F_Custom2_Q="(None)",F_Custom2_Q="",ISBLANK(F_Custom2_Q),F_Custom2_V="(All)",F_Custom2_V="",ISBLANK(F_Custom2_V)),1,IFERROR(IF(ISNUMBER(SEARCH("|"&amp;INDEX(INDIRECT(F_Custom2_resolved_column),1391)&amp;"|",F_Custom2_wrapped)),1,0),0))</f>
        <v>1</v>
      </c>
      <c r="F1392">
        <f>D1392*E1392*1</f>
        <v>1</v>
      </c>
      <c r="G1392">
        <f>1</f>
        <v>1</v>
      </c>
      <c r="H13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1391)&amp;"|",All_Questions_Q_STREAM_F_wrapped)),1,0),0))*1</f>
        <v>1</v>
      </c>
    </row>
    <row r="1393">
      <c r="A1393" t="n">
        <v>1392</v>
      </c>
      <c r="B1393" t="inlineStr">
        <is>
          <t>B</t>
        </is>
      </c>
      <c r="C1393">
        <f>1</f>
        <v>1</v>
      </c>
      <c r="D1393">
        <f>IF(OR(F_Custom1_Q="(None)",F_Custom1_Q="",ISBLANK(F_Custom1_Q),F_Custom1_V="(All)",F_Custom1_V="",ISBLANK(F_Custom1_V)),1,IFERROR(IF(ISNUMBER(SEARCH("|"&amp;INDEX(INDIRECT(F_Custom1_resolved_column),1392)&amp;"|",F_Custom1_wrapped)),1,0),0))</f>
        <v>1</v>
      </c>
      <c r="E1393">
        <f>IF(OR(F_Custom2_Q="(None)",F_Custom2_Q="",ISBLANK(F_Custom2_Q),F_Custom2_V="(All)",F_Custom2_V="",ISBLANK(F_Custom2_V)),1,IFERROR(IF(ISNUMBER(SEARCH("|"&amp;INDEX(INDIRECT(F_Custom2_resolved_column),1392)&amp;"|",F_Custom2_wrapped)),1,0),0))</f>
        <v>1</v>
      </c>
      <c r="F1393">
        <f>D1393*E1393*1</f>
        <v>1</v>
      </c>
      <c r="G1393">
        <f>1</f>
        <v>1</v>
      </c>
      <c r="H13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1392)&amp;"|",All_Questions_Q_STREAM_F_wrapped)),1,0),0))*1</f>
        <v>1</v>
      </c>
    </row>
    <row r="1394">
      <c r="A1394" t="n">
        <v>1393</v>
      </c>
      <c r="B1394" t="inlineStr">
        <is>
          <t>A</t>
        </is>
      </c>
      <c r="C1394">
        <f>1</f>
        <v>1</v>
      </c>
      <c r="D1394">
        <f>IF(OR(F_Custom1_Q="(None)",F_Custom1_Q="",ISBLANK(F_Custom1_Q),F_Custom1_V="(All)",F_Custom1_V="",ISBLANK(F_Custom1_V)),1,IFERROR(IF(ISNUMBER(SEARCH("|"&amp;INDEX(INDIRECT(F_Custom1_resolved_column),1393)&amp;"|",F_Custom1_wrapped)),1,0),0))</f>
        <v>1</v>
      </c>
      <c r="E1394">
        <f>IF(OR(F_Custom2_Q="(None)",F_Custom2_Q="",ISBLANK(F_Custom2_Q),F_Custom2_V="(All)",F_Custom2_V="",ISBLANK(F_Custom2_V)),1,IFERROR(IF(ISNUMBER(SEARCH("|"&amp;INDEX(INDIRECT(F_Custom2_resolved_column),1393)&amp;"|",F_Custom2_wrapped)),1,0),0))</f>
        <v>1</v>
      </c>
      <c r="F1394">
        <f>D1394*E1394*1</f>
        <v>1</v>
      </c>
      <c r="G1394">
        <f>1</f>
        <v>1</v>
      </c>
      <c r="H13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1393)&amp;"|",All_Questions_Q_STREAM_F_wrapped)),1,0),0))*1</f>
        <v>1</v>
      </c>
    </row>
    <row r="1395">
      <c r="A1395" t="n">
        <v>1394</v>
      </c>
      <c r="B1395" t="inlineStr">
        <is>
          <t>B</t>
        </is>
      </c>
      <c r="C1395">
        <f>1</f>
        <v>1</v>
      </c>
      <c r="D1395">
        <f>IF(OR(F_Custom1_Q="(None)",F_Custom1_Q="",ISBLANK(F_Custom1_Q),F_Custom1_V="(All)",F_Custom1_V="",ISBLANK(F_Custom1_V)),1,IFERROR(IF(ISNUMBER(SEARCH("|"&amp;INDEX(INDIRECT(F_Custom1_resolved_column),1394)&amp;"|",F_Custom1_wrapped)),1,0),0))</f>
        <v>1</v>
      </c>
      <c r="E1395">
        <f>IF(OR(F_Custom2_Q="(None)",F_Custom2_Q="",ISBLANK(F_Custom2_Q),F_Custom2_V="(All)",F_Custom2_V="",ISBLANK(F_Custom2_V)),1,IFERROR(IF(ISNUMBER(SEARCH("|"&amp;INDEX(INDIRECT(F_Custom2_resolved_column),1394)&amp;"|",F_Custom2_wrapped)),1,0),0))</f>
        <v>1</v>
      </c>
      <c r="F1395">
        <f>D1395*E1395*1</f>
        <v>1</v>
      </c>
      <c r="G1395">
        <f>1</f>
        <v>1</v>
      </c>
      <c r="H13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1394)&amp;"|",All_Questions_Q_STREAM_F_wrapped)),1,0),0))*1</f>
        <v>1</v>
      </c>
    </row>
    <row r="1396">
      <c r="A1396" t="n">
        <v>1395</v>
      </c>
      <c r="B1396" t="inlineStr">
        <is>
          <t>A</t>
        </is>
      </c>
      <c r="C1396">
        <f>1</f>
        <v>1</v>
      </c>
      <c r="D1396">
        <f>IF(OR(F_Custom1_Q="(None)",F_Custom1_Q="",ISBLANK(F_Custom1_Q),F_Custom1_V="(All)",F_Custom1_V="",ISBLANK(F_Custom1_V)),1,IFERROR(IF(ISNUMBER(SEARCH("|"&amp;INDEX(INDIRECT(F_Custom1_resolved_column),1395)&amp;"|",F_Custom1_wrapped)),1,0),0))</f>
        <v>1</v>
      </c>
      <c r="E1396">
        <f>IF(OR(F_Custom2_Q="(None)",F_Custom2_Q="",ISBLANK(F_Custom2_Q),F_Custom2_V="(All)",F_Custom2_V="",ISBLANK(F_Custom2_V)),1,IFERROR(IF(ISNUMBER(SEARCH("|"&amp;INDEX(INDIRECT(F_Custom2_resolved_column),1395)&amp;"|",F_Custom2_wrapped)),1,0),0))</f>
        <v>1</v>
      </c>
      <c r="F1396">
        <f>D1396*E1396*1</f>
        <v>1</v>
      </c>
      <c r="G1396">
        <f>1</f>
        <v>1</v>
      </c>
      <c r="H13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1395)&amp;"|",All_Questions_Q_STREAM_F_wrapped)),1,0),0))*1</f>
        <v>1</v>
      </c>
    </row>
    <row r="1397">
      <c r="A1397" t="n">
        <v>1396</v>
      </c>
      <c r="B1397" t="inlineStr">
        <is>
          <t>B</t>
        </is>
      </c>
      <c r="C1397">
        <f>1</f>
        <v>1</v>
      </c>
      <c r="D1397">
        <f>IF(OR(F_Custom1_Q="(None)",F_Custom1_Q="",ISBLANK(F_Custom1_Q),F_Custom1_V="(All)",F_Custom1_V="",ISBLANK(F_Custom1_V)),1,IFERROR(IF(ISNUMBER(SEARCH("|"&amp;INDEX(INDIRECT(F_Custom1_resolved_column),1396)&amp;"|",F_Custom1_wrapped)),1,0),0))</f>
        <v>1</v>
      </c>
      <c r="E1397">
        <f>IF(OR(F_Custom2_Q="(None)",F_Custom2_Q="",ISBLANK(F_Custom2_Q),F_Custom2_V="(All)",F_Custom2_V="",ISBLANK(F_Custom2_V)),1,IFERROR(IF(ISNUMBER(SEARCH("|"&amp;INDEX(INDIRECT(F_Custom2_resolved_column),1396)&amp;"|",F_Custom2_wrapped)),1,0),0))</f>
        <v>1</v>
      </c>
      <c r="F1397">
        <f>D1397*E1397*1</f>
        <v>1</v>
      </c>
      <c r="G1397">
        <f>1</f>
        <v>1</v>
      </c>
      <c r="H13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1396)&amp;"|",All_Questions_Q_STREAM_F_wrapped)),1,0),0))*1</f>
        <v>1</v>
      </c>
    </row>
    <row r="1398">
      <c r="A1398" t="n">
        <v>1397</v>
      </c>
      <c r="B1398" t="inlineStr">
        <is>
          <t>A</t>
        </is>
      </c>
      <c r="C1398">
        <f>1</f>
        <v>1</v>
      </c>
      <c r="D1398">
        <f>IF(OR(F_Custom1_Q="(None)",F_Custom1_Q="",ISBLANK(F_Custom1_Q),F_Custom1_V="(All)",F_Custom1_V="",ISBLANK(F_Custom1_V)),1,IFERROR(IF(ISNUMBER(SEARCH("|"&amp;INDEX(INDIRECT(F_Custom1_resolved_column),1397)&amp;"|",F_Custom1_wrapped)),1,0),0))</f>
        <v>1</v>
      </c>
      <c r="E1398">
        <f>IF(OR(F_Custom2_Q="(None)",F_Custom2_Q="",ISBLANK(F_Custom2_Q),F_Custom2_V="(All)",F_Custom2_V="",ISBLANK(F_Custom2_V)),1,IFERROR(IF(ISNUMBER(SEARCH("|"&amp;INDEX(INDIRECT(F_Custom2_resolved_column),1397)&amp;"|",F_Custom2_wrapped)),1,0),0))</f>
        <v>1</v>
      </c>
      <c r="F1398">
        <f>D1398*E1398*1</f>
        <v>1</v>
      </c>
      <c r="G1398">
        <f>1</f>
        <v>1</v>
      </c>
      <c r="H13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1397)&amp;"|",All_Questions_Q_STREAM_F_wrapped)),1,0),0))*1</f>
        <v>1</v>
      </c>
    </row>
    <row r="1399">
      <c r="A1399" t="n">
        <v>1398</v>
      </c>
      <c r="B1399" t="inlineStr">
        <is>
          <t>B</t>
        </is>
      </c>
      <c r="C1399">
        <f>1</f>
        <v>1</v>
      </c>
      <c r="D1399">
        <f>IF(OR(F_Custom1_Q="(None)",F_Custom1_Q="",ISBLANK(F_Custom1_Q),F_Custom1_V="(All)",F_Custom1_V="",ISBLANK(F_Custom1_V)),1,IFERROR(IF(ISNUMBER(SEARCH("|"&amp;INDEX(INDIRECT(F_Custom1_resolved_column),1398)&amp;"|",F_Custom1_wrapped)),1,0),0))</f>
        <v>1</v>
      </c>
      <c r="E1399">
        <f>IF(OR(F_Custom2_Q="(None)",F_Custom2_Q="",ISBLANK(F_Custom2_Q),F_Custom2_V="(All)",F_Custom2_V="",ISBLANK(F_Custom2_V)),1,IFERROR(IF(ISNUMBER(SEARCH("|"&amp;INDEX(INDIRECT(F_Custom2_resolved_column),1398)&amp;"|",F_Custom2_wrapped)),1,0),0))</f>
        <v>1</v>
      </c>
      <c r="F1399">
        <f>D1399*E1399*1</f>
        <v>1</v>
      </c>
      <c r="G1399">
        <f>1</f>
        <v>1</v>
      </c>
      <c r="H13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1398)&amp;"|",All_Questions_Q_STREAM_F_wrapped)),1,0),0))*1</f>
        <v>1</v>
      </c>
    </row>
    <row r="1400">
      <c r="A1400" t="n">
        <v>1399</v>
      </c>
      <c r="B1400" t="inlineStr">
        <is>
          <t>A</t>
        </is>
      </c>
      <c r="C1400">
        <f>1</f>
        <v>1</v>
      </c>
      <c r="D1400">
        <f>IF(OR(F_Custom1_Q="(None)",F_Custom1_Q="",ISBLANK(F_Custom1_Q),F_Custom1_V="(All)",F_Custom1_V="",ISBLANK(F_Custom1_V)),1,IFERROR(IF(ISNUMBER(SEARCH("|"&amp;INDEX(INDIRECT(F_Custom1_resolved_column),1399)&amp;"|",F_Custom1_wrapped)),1,0),0))</f>
        <v>1</v>
      </c>
      <c r="E1400">
        <f>IF(OR(F_Custom2_Q="(None)",F_Custom2_Q="",ISBLANK(F_Custom2_Q),F_Custom2_V="(All)",F_Custom2_V="",ISBLANK(F_Custom2_V)),1,IFERROR(IF(ISNUMBER(SEARCH("|"&amp;INDEX(INDIRECT(F_Custom2_resolved_column),1399)&amp;"|",F_Custom2_wrapped)),1,0),0))</f>
        <v>1</v>
      </c>
      <c r="F1400">
        <f>D1400*E1400*1</f>
        <v>1</v>
      </c>
      <c r="G1400">
        <f>1</f>
        <v>1</v>
      </c>
      <c r="H14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1399)&amp;"|",All_Questions_Q_STREAM_F_wrapped)),1,0),0))*1</f>
        <v>1</v>
      </c>
    </row>
    <row r="1401">
      <c r="A1401" t="n">
        <v>1400</v>
      </c>
      <c r="B1401" t="inlineStr">
        <is>
          <t>B</t>
        </is>
      </c>
      <c r="C1401">
        <f>1</f>
        <v>1</v>
      </c>
      <c r="D1401">
        <f>IF(OR(F_Custom1_Q="(None)",F_Custom1_Q="",ISBLANK(F_Custom1_Q),F_Custom1_V="(All)",F_Custom1_V="",ISBLANK(F_Custom1_V)),1,IFERROR(IF(ISNUMBER(SEARCH("|"&amp;INDEX(INDIRECT(F_Custom1_resolved_column),1400)&amp;"|",F_Custom1_wrapped)),1,0),0))</f>
        <v>1</v>
      </c>
      <c r="E1401">
        <f>IF(OR(F_Custom2_Q="(None)",F_Custom2_Q="",ISBLANK(F_Custom2_Q),F_Custom2_V="(All)",F_Custom2_V="",ISBLANK(F_Custom2_V)),1,IFERROR(IF(ISNUMBER(SEARCH("|"&amp;INDEX(INDIRECT(F_Custom2_resolved_column),1400)&amp;"|",F_Custom2_wrapped)),1,0),0))</f>
        <v>1</v>
      </c>
      <c r="F1401">
        <f>D1401*E1401*1</f>
        <v>1</v>
      </c>
      <c r="G1401">
        <f>1</f>
        <v>1</v>
      </c>
      <c r="H14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1400)&amp;"|",All_Questions_Q_STREAM_F_wrapped)),1,0),0))*1</f>
        <v>1</v>
      </c>
    </row>
    <row r="1402">
      <c r="A1402" t="n">
        <v>1401</v>
      </c>
      <c r="B1402" t="inlineStr">
        <is>
          <t>A</t>
        </is>
      </c>
      <c r="C1402">
        <f>1</f>
        <v>1</v>
      </c>
      <c r="D1402">
        <f>IF(OR(F_Custom1_Q="(None)",F_Custom1_Q="",ISBLANK(F_Custom1_Q),F_Custom1_V="(All)",F_Custom1_V="",ISBLANK(F_Custom1_V)),1,IFERROR(IF(ISNUMBER(SEARCH("|"&amp;INDEX(INDIRECT(F_Custom1_resolved_column),1401)&amp;"|",F_Custom1_wrapped)),1,0),0))</f>
        <v>1</v>
      </c>
      <c r="E1402">
        <f>IF(OR(F_Custom2_Q="(None)",F_Custom2_Q="",ISBLANK(F_Custom2_Q),F_Custom2_V="(All)",F_Custom2_V="",ISBLANK(F_Custom2_V)),1,IFERROR(IF(ISNUMBER(SEARCH("|"&amp;INDEX(INDIRECT(F_Custom2_resolved_column),1401)&amp;"|",F_Custom2_wrapped)),1,0),0))</f>
        <v>1</v>
      </c>
      <c r="F1402">
        <f>D1402*E1402*1</f>
        <v>1</v>
      </c>
      <c r="G1402">
        <f>1</f>
        <v>1</v>
      </c>
      <c r="H14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1401)&amp;"|",All_Questions_Q_STREAM_F_wrapped)),1,0),0))*1</f>
        <v>1</v>
      </c>
    </row>
    <row r="1403">
      <c r="A1403" t="n">
        <v>1402</v>
      </c>
      <c r="B1403" t="inlineStr">
        <is>
          <t>B</t>
        </is>
      </c>
      <c r="C1403">
        <f>1</f>
        <v>1</v>
      </c>
      <c r="D1403">
        <f>IF(OR(F_Custom1_Q="(None)",F_Custom1_Q="",ISBLANK(F_Custom1_Q),F_Custom1_V="(All)",F_Custom1_V="",ISBLANK(F_Custom1_V)),1,IFERROR(IF(ISNUMBER(SEARCH("|"&amp;INDEX(INDIRECT(F_Custom1_resolved_column),1402)&amp;"|",F_Custom1_wrapped)),1,0),0))</f>
        <v>1</v>
      </c>
      <c r="E1403">
        <f>IF(OR(F_Custom2_Q="(None)",F_Custom2_Q="",ISBLANK(F_Custom2_Q),F_Custom2_V="(All)",F_Custom2_V="",ISBLANK(F_Custom2_V)),1,IFERROR(IF(ISNUMBER(SEARCH("|"&amp;INDEX(INDIRECT(F_Custom2_resolved_column),1402)&amp;"|",F_Custom2_wrapped)),1,0),0))</f>
        <v>1</v>
      </c>
      <c r="F1403">
        <f>D1403*E1403*1</f>
        <v>1</v>
      </c>
      <c r="G1403">
        <f>1</f>
        <v>1</v>
      </c>
      <c r="H14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1402)&amp;"|",All_Questions_Q_STREAM_F_wrapped)),1,0),0))*1</f>
        <v>1</v>
      </c>
    </row>
    <row r="1404">
      <c r="A1404" t="n">
        <v>1403</v>
      </c>
      <c r="B1404" t="inlineStr">
        <is>
          <t>A</t>
        </is>
      </c>
      <c r="C1404">
        <f>1</f>
        <v>1</v>
      </c>
      <c r="D1404">
        <f>IF(OR(F_Custom1_Q="(None)",F_Custom1_Q="",ISBLANK(F_Custom1_Q),F_Custom1_V="(All)",F_Custom1_V="",ISBLANK(F_Custom1_V)),1,IFERROR(IF(ISNUMBER(SEARCH("|"&amp;INDEX(INDIRECT(F_Custom1_resolved_column),1403)&amp;"|",F_Custom1_wrapped)),1,0),0))</f>
        <v>1</v>
      </c>
      <c r="E1404">
        <f>IF(OR(F_Custom2_Q="(None)",F_Custom2_Q="",ISBLANK(F_Custom2_Q),F_Custom2_V="(All)",F_Custom2_V="",ISBLANK(F_Custom2_V)),1,IFERROR(IF(ISNUMBER(SEARCH("|"&amp;INDEX(INDIRECT(F_Custom2_resolved_column),1403)&amp;"|",F_Custom2_wrapped)),1,0),0))</f>
        <v>1</v>
      </c>
      <c r="F1404">
        <f>D1404*E1404*1</f>
        <v>1</v>
      </c>
      <c r="G1404">
        <f>1</f>
        <v>1</v>
      </c>
      <c r="H14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1403)&amp;"|",All_Questions_Q_STREAM_F_wrapped)),1,0),0))*1</f>
        <v>1</v>
      </c>
    </row>
    <row r="1405">
      <c r="A1405" t="n">
        <v>1404</v>
      </c>
      <c r="B1405" t="inlineStr">
        <is>
          <t>B</t>
        </is>
      </c>
      <c r="C1405">
        <f>1</f>
        <v>1</v>
      </c>
      <c r="D1405">
        <f>IF(OR(F_Custom1_Q="(None)",F_Custom1_Q="",ISBLANK(F_Custom1_Q),F_Custom1_V="(All)",F_Custom1_V="",ISBLANK(F_Custom1_V)),1,IFERROR(IF(ISNUMBER(SEARCH("|"&amp;INDEX(INDIRECT(F_Custom1_resolved_column),1404)&amp;"|",F_Custom1_wrapped)),1,0),0))</f>
        <v>1</v>
      </c>
      <c r="E1405">
        <f>IF(OR(F_Custom2_Q="(None)",F_Custom2_Q="",ISBLANK(F_Custom2_Q),F_Custom2_V="(All)",F_Custom2_V="",ISBLANK(F_Custom2_V)),1,IFERROR(IF(ISNUMBER(SEARCH("|"&amp;INDEX(INDIRECT(F_Custom2_resolved_column),1404)&amp;"|",F_Custom2_wrapped)),1,0),0))</f>
        <v>1</v>
      </c>
      <c r="F1405">
        <f>D1405*E1405*1</f>
        <v>1</v>
      </c>
      <c r="G1405">
        <f>1</f>
        <v>1</v>
      </c>
      <c r="H14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1404)&amp;"|",All_Questions_Q_STREAM_F_wrapped)),1,0),0))*1</f>
        <v>1</v>
      </c>
    </row>
    <row r="1406">
      <c r="A1406" t="n">
        <v>1405</v>
      </c>
      <c r="B1406" t="inlineStr">
        <is>
          <t>A</t>
        </is>
      </c>
      <c r="C1406">
        <f>1</f>
        <v>1</v>
      </c>
      <c r="D1406">
        <f>IF(OR(F_Custom1_Q="(None)",F_Custom1_Q="",ISBLANK(F_Custom1_Q),F_Custom1_V="(All)",F_Custom1_V="",ISBLANK(F_Custom1_V)),1,IFERROR(IF(ISNUMBER(SEARCH("|"&amp;INDEX(INDIRECT(F_Custom1_resolved_column),1405)&amp;"|",F_Custom1_wrapped)),1,0),0))</f>
        <v>1</v>
      </c>
      <c r="E1406">
        <f>IF(OR(F_Custom2_Q="(None)",F_Custom2_Q="",ISBLANK(F_Custom2_Q),F_Custom2_V="(All)",F_Custom2_V="",ISBLANK(F_Custom2_V)),1,IFERROR(IF(ISNUMBER(SEARCH("|"&amp;INDEX(INDIRECT(F_Custom2_resolved_column),1405)&amp;"|",F_Custom2_wrapped)),1,0),0))</f>
        <v>1</v>
      </c>
      <c r="F1406">
        <f>D1406*E1406*1</f>
        <v>1</v>
      </c>
      <c r="G1406">
        <f>1</f>
        <v>1</v>
      </c>
      <c r="H14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1405)&amp;"|",All_Questions_Q_STREAM_F_wrapped)),1,0),0))*1</f>
        <v>1</v>
      </c>
    </row>
    <row r="1407">
      <c r="A1407" t="n">
        <v>1406</v>
      </c>
      <c r="B1407" t="inlineStr">
        <is>
          <t>B</t>
        </is>
      </c>
      <c r="C1407">
        <f>1</f>
        <v>1</v>
      </c>
      <c r="D1407">
        <f>IF(OR(F_Custom1_Q="(None)",F_Custom1_Q="",ISBLANK(F_Custom1_Q),F_Custom1_V="(All)",F_Custom1_V="",ISBLANK(F_Custom1_V)),1,IFERROR(IF(ISNUMBER(SEARCH("|"&amp;INDEX(INDIRECT(F_Custom1_resolved_column),1406)&amp;"|",F_Custom1_wrapped)),1,0),0))</f>
        <v>1</v>
      </c>
      <c r="E1407">
        <f>IF(OR(F_Custom2_Q="(None)",F_Custom2_Q="",ISBLANK(F_Custom2_Q),F_Custom2_V="(All)",F_Custom2_V="",ISBLANK(F_Custom2_V)),1,IFERROR(IF(ISNUMBER(SEARCH("|"&amp;INDEX(INDIRECT(F_Custom2_resolved_column),1406)&amp;"|",F_Custom2_wrapped)),1,0),0))</f>
        <v>1</v>
      </c>
      <c r="F1407">
        <f>D1407*E1407*1</f>
        <v>1</v>
      </c>
      <c r="G1407">
        <f>1</f>
        <v>1</v>
      </c>
      <c r="H14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1406)&amp;"|",All_Questions_Q_STREAM_F_wrapped)),1,0),0))*1</f>
        <v>1</v>
      </c>
    </row>
    <row r="1408">
      <c r="A1408" t="n">
        <v>1407</v>
      </c>
      <c r="B1408" t="inlineStr">
        <is>
          <t>A</t>
        </is>
      </c>
      <c r="C1408">
        <f>1</f>
        <v>1</v>
      </c>
      <c r="D1408">
        <f>IF(OR(F_Custom1_Q="(None)",F_Custom1_Q="",ISBLANK(F_Custom1_Q),F_Custom1_V="(All)",F_Custom1_V="",ISBLANK(F_Custom1_V)),1,IFERROR(IF(ISNUMBER(SEARCH("|"&amp;INDEX(INDIRECT(F_Custom1_resolved_column),1407)&amp;"|",F_Custom1_wrapped)),1,0),0))</f>
        <v>1</v>
      </c>
      <c r="E1408">
        <f>IF(OR(F_Custom2_Q="(None)",F_Custom2_Q="",ISBLANK(F_Custom2_Q),F_Custom2_V="(All)",F_Custom2_V="",ISBLANK(F_Custom2_V)),1,IFERROR(IF(ISNUMBER(SEARCH("|"&amp;INDEX(INDIRECT(F_Custom2_resolved_column),1407)&amp;"|",F_Custom2_wrapped)),1,0),0))</f>
        <v>1</v>
      </c>
      <c r="F1408">
        <f>D1408*E1408*1</f>
        <v>1</v>
      </c>
      <c r="G1408">
        <f>1</f>
        <v>1</v>
      </c>
      <c r="H14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1407)&amp;"|",All_Questions_Q_STREAM_F_wrapped)),1,0),0))*1</f>
        <v>1</v>
      </c>
    </row>
    <row r="1409">
      <c r="A1409" t="n">
        <v>1408</v>
      </c>
      <c r="B1409" t="inlineStr">
        <is>
          <t>B</t>
        </is>
      </c>
      <c r="C1409">
        <f>1</f>
        <v>1</v>
      </c>
      <c r="D1409">
        <f>IF(OR(F_Custom1_Q="(None)",F_Custom1_Q="",ISBLANK(F_Custom1_Q),F_Custom1_V="(All)",F_Custom1_V="",ISBLANK(F_Custom1_V)),1,IFERROR(IF(ISNUMBER(SEARCH("|"&amp;INDEX(INDIRECT(F_Custom1_resolved_column),1408)&amp;"|",F_Custom1_wrapped)),1,0),0))</f>
        <v>1</v>
      </c>
      <c r="E1409">
        <f>IF(OR(F_Custom2_Q="(None)",F_Custom2_Q="",ISBLANK(F_Custom2_Q),F_Custom2_V="(All)",F_Custom2_V="",ISBLANK(F_Custom2_V)),1,IFERROR(IF(ISNUMBER(SEARCH("|"&amp;INDEX(INDIRECT(F_Custom2_resolved_column),1408)&amp;"|",F_Custom2_wrapped)),1,0),0))</f>
        <v>1</v>
      </c>
      <c r="F1409">
        <f>D1409*E1409*1</f>
        <v>1</v>
      </c>
      <c r="G1409">
        <f>1</f>
        <v>1</v>
      </c>
      <c r="H14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1408)&amp;"|",All_Questions_Q_STREAM_F_wrapped)),1,0),0))*1</f>
        <v>1</v>
      </c>
    </row>
    <row r="1410">
      <c r="A1410" t="n">
        <v>1409</v>
      </c>
      <c r="B1410" t="inlineStr">
        <is>
          <t>A</t>
        </is>
      </c>
      <c r="C1410">
        <f>1</f>
        <v>1</v>
      </c>
      <c r="D1410">
        <f>IF(OR(F_Custom1_Q="(None)",F_Custom1_Q="",ISBLANK(F_Custom1_Q),F_Custom1_V="(All)",F_Custom1_V="",ISBLANK(F_Custom1_V)),1,IFERROR(IF(ISNUMBER(SEARCH("|"&amp;INDEX(INDIRECT(F_Custom1_resolved_column),1409)&amp;"|",F_Custom1_wrapped)),1,0),0))</f>
        <v>1</v>
      </c>
      <c r="E1410">
        <f>IF(OR(F_Custom2_Q="(None)",F_Custom2_Q="",ISBLANK(F_Custom2_Q),F_Custom2_V="(All)",F_Custom2_V="",ISBLANK(F_Custom2_V)),1,IFERROR(IF(ISNUMBER(SEARCH("|"&amp;INDEX(INDIRECT(F_Custom2_resolved_column),1409)&amp;"|",F_Custom2_wrapped)),1,0),0))</f>
        <v>1</v>
      </c>
      <c r="F1410">
        <f>D1410*E1410*1</f>
        <v>1</v>
      </c>
      <c r="G1410">
        <f>1</f>
        <v>1</v>
      </c>
      <c r="H14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1409)&amp;"|",All_Questions_Q_STREAM_F_wrapped)),1,0),0))*1</f>
        <v>1</v>
      </c>
    </row>
    <row r="1411">
      <c r="A1411" t="n">
        <v>1410</v>
      </c>
      <c r="B1411" t="inlineStr">
        <is>
          <t>B</t>
        </is>
      </c>
      <c r="C1411">
        <f>1</f>
        <v>1</v>
      </c>
      <c r="D1411">
        <f>IF(OR(F_Custom1_Q="(None)",F_Custom1_Q="",ISBLANK(F_Custom1_Q),F_Custom1_V="(All)",F_Custom1_V="",ISBLANK(F_Custom1_V)),1,IFERROR(IF(ISNUMBER(SEARCH("|"&amp;INDEX(INDIRECT(F_Custom1_resolved_column),1410)&amp;"|",F_Custom1_wrapped)),1,0),0))</f>
        <v>1</v>
      </c>
      <c r="E1411">
        <f>IF(OR(F_Custom2_Q="(None)",F_Custom2_Q="",ISBLANK(F_Custom2_Q),F_Custom2_V="(All)",F_Custom2_V="",ISBLANK(F_Custom2_V)),1,IFERROR(IF(ISNUMBER(SEARCH("|"&amp;INDEX(INDIRECT(F_Custom2_resolved_column),1410)&amp;"|",F_Custom2_wrapped)),1,0),0))</f>
        <v>1</v>
      </c>
      <c r="F1411">
        <f>D1411*E1411*1</f>
        <v>1</v>
      </c>
      <c r="G1411">
        <f>1</f>
        <v>1</v>
      </c>
      <c r="H14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1410)&amp;"|",All_Questions_Q_STREAM_F_wrapped)),1,0),0))*1</f>
        <v>1</v>
      </c>
    </row>
    <row r="1412">
      <c r="A1412" t="n">
        <v>1411</v>
      </c>
      <c r="B1412" t="inlineStr">
        <is>
          <t>A</t>
        </is>
      </c>
      <c r="C1412">
        <f>1</f>
        <v>1</v>
      </c>
      <c r="D1412">
        <f>IF(OR(F_Custom1_Q="(None)",F_Custom1_Q="",ISBLANK(F_Custom1_Q),F_Custom1_V="(All)",F_Custom1_V="",ISBLANK(F_Custom1_V)),1,IFERROR(IF(ISNUMBER(SEARCH("|"&amp;INDEX(INDIRECT(F_Custom1_resolved_column),1411)&amp;"|",F_Custom1_wrapped)),1,0),0))</f>
        <v>1</v>
      </c>
      <c r="E1412">
        <f>IF(OR(F_Custom2_Q="(None)",F_Custom2_Q="",ISBLANK(F_Custom2_Q),F_Custom2_V="(All)",F_Custom2_V="",ISBLANK(F_Custom2_V)),1,IFERROR(IF(ISNUMBER(SEARCH("|"&amp;INDEX(INDIRECT(F_Custom2_resolved_column),1411)&amp;"|",F_Custom2_wrapped)),1,0),0))</f>
        <v>1</v>
      </c>
      <c r="F1412">
        <f>D1412*E1412*1</f>
        <v>1</v>
      </c>
      <c r="G1412">
        <f>1</f>
        <v>1</v>
      </c>
      <c r="H14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1411)&amp;"|",All_Questions_Q_STREAM_F_wrapped)),1,0),0))*1</f>
        <v>1</v>
      </c>
    </row>
    <row r="1413">
      <c r="A1413" t="n">
        <v>1412</v>
      </c>
      <c r="B1413" t="inlineStr">
        <is>
          <t>B</t>
        </is>
      </c>
      <c r="C1413">
        <f>1</f>
        <v>1</v>
      </c>
      <c r="D1413">
        <f>IF(OR(F_Custom1_Q="(None)",F_Custom1_Q="",ISBLANK(F_Custom1_Q),F_Custom1_V="(All)",F_Custom1_V="",ISBLANK(F_Custom1_V)),1,IFERROR(IF(ISNUMBER(SEARCH("|"&amp;INDEX(INDIRECT(F_Custom1_resolved_column),1412)&amp;"|",F_Custom1_wrapped)),1,0),0))</f>
        <v>1</v>
      </c>
      <c r="E1413">
        <f>IF(OR(F_Custom2_Q="(None)",F_Custom2_Q="",ISBLANK(F_Custom2_Q),F_Custom2_V="(All)",F_Custom2_V="",ISBLANK(F_Custom2_V)),1,IFERROR(IF(ISNUMBER(SEARCH("|"&amp;INDEX(INDIRECT(F_Custom2_resolved_column),1412)&amp;"|",F_Custom2_wrapped)),1,0),0))</f>
        <v>1</v>
      </c>
      <c r="F1413">
        <f>D1413*E1413*1</f>
        <v>1</v>
      </c>
      <c r="G1413">
        <f>1</f>
        <v>1</v>
      </c>
      <c r="H14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1412)&amp;"|",All_Questions_Q_STREAM_F_wrapped)),1,0),0))*1</f>
        <v>1</v>
      </c>
    </row>
    <row r="1414">
      <c r="A1414" t="n">
        <v>1413</v>
      </c>
      <c r="B1414" t="inlineStr">
        <is>
          <t>A</t>
        </is>
      </c>
      <c r="C1414">
        <f>1</f>
        <v>1</v>
      </c>
      <c r="D1414">
        <f>IF(OR(F_Custom1_Q="(None)",F_Custom1_Q="",ISBLANK(F_Custom1_Q),F_Custom1_V="(All)",F_Custom1_V="",ISBLANK(F_Custom1_V)),1,IFERROR(IF(ISNUMBER(SEARCH("|"&amp;INDEX(INDIRECT(F_Custom1_resolved_column),1413)&amp;"|",F_Custom1_wrapped)),1,0),0))</f>
        <v>1</v>
      </c>
      <c r="E1414">
        <f>IF(OR(F_Custom2_Q="(None)",F_Custom2_Q="",ISBLANK(F_Custom2_Q),F_Custom2_V="(All)",F_Custom2_V="",ISBLANK(F_Custom2_V)),1,IFERROR(IF(ISNUMBER(SEARCH("|"&amp;INDEX(INDIRECT(F_Custom2_resolved_column),1413)&amp;"|",F_Custom2_wrapped)),1,0),0))</f>
        <v>1</v>
      </c>
      <c r="F1414">
        <f>D1414*E1414*1</f>
        <v>1</v>
      </c>
      <c r="G1414">
        <f>1</f>
        <v>1</v>
      </c>
      <c r="H14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1413)&amp;"|",All_Questions_Q_STREAM_F_wrapped)),1,0),0))*1</f>
        <v>1</v>
      </c>
    </row>
    <row r="1415">
      <c r="A1415" t="n">
        <v>1414</v>
      </c>
      <c r="B1415" t="inlineStr">
        <is>
          <t>B</t>
        </is>
      </c>
      <c r="C1415">
        <f>1</f>
        <v>1</v>
      </c>
      <c r="D1415">
        <f>IF(OR(F_Custom1_Q="(None)",F_Custom1_Q="",ISBLANK(F_Custom1_Q),F_Custom1_V="(All)",F_Custom1_V="",ISBLANK(F_Custom1_V)),1,IFERROR(IF(ISNUMBER(SEARCH("|"&amp;INDEX(INDIRECT(F_Custom1_resolved_column),1414)&amp;"|",F_Custom1_wrapped)),1,0),0))</f>
        <v>1</v>
      </c>
      <c r="E1415">
        <f>IF(OR(F_Custom2_Q="(None)",F_Custom2_Q="",ISBLANK(F_Custom2_Q),F_Custom2_V="(All)",F_Custom2_V="",ISBLANK(F_Custom2_V)),1,IFERROR(IF(ISNUMBER(SEARCH("|"&amp;INDEX(INDIRECT(F_Custom2_resolved_column),1414)&amp;"|",F_Custom2_wrapped)),1,0),0))</f>
        <v>1</v>
      </c>
      <c r="F1415">
        <f>D1415*E1415*1</f>
        <v>1</v>
      </c>
      <c r="G1415">
        <f>1</f>
        <v>1</v>
      </c>
      <c r="H14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1414)&amp;"|",All_Questions_Q_STREAM_F_wrapped)),1,0),0))*1</f>
        <v>1</v>
      </c>
    </row>
    <row r="1416">
      <c r="A1416" t="n">
        <v>1415</v>
      </c>
      <c r="B1416" t="inlineStr">
        <is>
          <t>A</t>
        </is>
      </c>
      <c r="C1416">
        <f>1</f>
        <v>1</v>
      </c>
      <c r="D1416">
        <f>IF(OR(F_Custom1_Q="(None)",F_Custom1_Q="",ISBLANK(F_Custom1_Q),F_Custom1_V="(All)",F_Custom1_V="",ISBLANK(F_Custom1_V)),1,IFERROR(IF(ISNUMBER(SEARCH("|"&amp;INDEX(INDIRECT(F_Custom1_resolved_column),1415)&amp;"|",F_Custom1_wrapped)),1,0),0))</f>
        <v>1</v>
      </c>
      <c r="E1416">
        <f>IF(OR(F_Custom2_Q="(None)",F_Custom2_Q="",ISBLANK(F_Custom2_Q),F_Custom2_V="(All)",F_Custom2_V="",ISBLANK(F_Custom2_V)),1,IFERROR(IF(ISNUMBER(SEARCH("|"&amp;INDEX(INDIRECT(F_Custom2_resolved_column),1415)&amp;"|",F_Custom2_wrapped)),1,0),0))</f>
        <v>1</v>
      </c>
      <c r="F1416">
        <f>D1416*E1416*1</f>
        <v>1</v>
      </c>
      <c r="G1416">
        <f>1</f>
        <v>1</v>
      </c>
      <c r="H14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1415)&amp;"|",All_Questions_Q_STREAM_F_wrapped)),1,0),0))*1</f>
        <v>1</v>
      </c>
    </row>
    <row r="1417">
      <c r="A1417" t="n">
        <v>1416</v>
      </c>
      <c r="B1417" t="inlineStr">
        <is>
          <t>B</t>
        </is>
      </c>
      <c r="C1417">
        <f>1</f>
        <v>1</v>
      </c>
      <c r="D1417">
        <f>IF(OR(F_Custom1_Q="(None)",F_Custom1_Q="",ISBLANK(F_Custom1_Q),F_Custom1_V="(All)",F_Custom1_V="",ISBLANK(F_Custom1_V)),1,IFERROR(IF(ISNUMBER(SEARCH("|"&amp;INDEX(INDIRECT(F_Custom1_resolved_column),1416)&amp;"|",F_Custom1_wrapped)),1,0),0))</f>
        <v>1</v>
      </c>
      <c r="E1417">
        <f>IF(OR(F_Custom2_Q="(None)",F_Custom2_Q="",ISBLANK(F_Custom2_Q),F_Custom2_V="(All)",F_Custom2_V="",ISBLANK(F_Custom2_V)),1,IFERROR(IF(ISNUMBER(SEARCH("|"&amp;INDEX(INDIRECT(F_Custom2_resolved_column),1416)&amp;"|",F_Custom2_wrapped)),1,0),0))</f>
        <v>1</v>
      </c>
      <c r="F1417">
        <f>D1417*E1417*1</f>
        <v>1</v>
      </c>
      <c r="G1417">
        <f>1</f>
        <v>1</v>
      </c>
      <c r="H14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1416)&amp;"|",All_Questions_Q_STREAM_F_wrapped)),1,0),0))*1</f>
        <v>1</v>
      </c>
    </row>
    <row r="1418">
      <c r="A1418" t="n">
        <v>1417</v>
      </c>
      <c r="B1418" t="inlineStr">
        <is>
          <t>A</t>
        </is>
      </c>
      <c r="C1418">
        <f>1</f>
        <v>1</v>
      </c>
      <c r="D1418">
        <f>IF(OR(F_Custom1_Q="(None)",F_Custom1_Q="",ISBLANK(F_Custom1_Q),F_Custom1_V="(All)",F_Custom1_V="",ISBLANK(F_Custom1_V)),1,IFERROR(IF(ISNUMBER(SEARCH("|"&amp;INDEX(INDIRECT(F_Custom1_resolved_column),1417)&amp;"|",F_Custom1_wrapped)),1,0),0))</f>
        <v>1</v>
      </c>
      <c r="E1418">
        <f>IF(OR(F_Custom2_Q="(None)",F_Custom2_Q="",ISBLANK(F_Custom2_Q),F_Custom2_V="(All)",F_Custom2_V="",ISBLANK(F_Custom2_V)),1,IFERROR(IF(ISNUMBER(SEARCH("|"&amp;INDEX(INDIRECT(F_Custom2_resolved_column),1417)&amp;"|",F_Custom2_wrapped)),1,0),0))</f>
        <v>1</v>
      </c>
      <c r="F1418">
        <f>D1418*E1418*1</f>
        <v>1</v>
      </c>
      <c r="G1418">
        <f>1</f>
        <v>1</v>
      </c>
      <c r="H14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1417)&amp;"|",All_Questions_Q_STREAM_F_wrapped)),1,0),0))*1</f>
        <v>1</v>
      </c>
    </row>
    <row r="1419">
      <c r="A1419" t="n">
        <v>1418</v>
      </c>
      <c r="B1419" t="inlineStr">
        <is>
          <t>B</t>
        </is>
      </c>
      <c r="C1419">
        <f>1</f>
        <v>1</v>
      </c>
      <c r="D1419">
        <f>IF(OR(F_Custom1_Q="(None)",F_Custom1_Q="",ISBLANK(F_Custom1_Q),F_Custom1_V="(All)",F_Custom1_V="",ISBLANK(F_Custom1_V)),1,IFERROR(IF(ISNUMBER(SEARCH("|"&amp;INDEX(INDIRECT(F_Custom1_resolved_column),1418)&amp;"|",F_Custom1_wrapped)),1,0),0))</f>
        <v>1</v>
      </c>
      <c r="E1419">
        <f>IF(OR(F_Custom2_Q="(None)",F_Custom2_Q="",ISBLANK(F_Custom2_Q),F_Custom2_V="(All)",F_Custom2_V="",ISBLANK(F_Custom2_V)),1,IFERROR(IF(ISNUMBER(SEARCH("|"&amp;INDEX(INDIRECT(F_Custom2_resolved_column),1418)&amp;"|",F_Custom2_wrapped)),1,0),0))</f>
        <v>1</v>
      </c>
      <c r="F1419">
        <f>D1419*E1419*1</f>
        <v>1</v>
      </c>
      <c r="G1419">
        <f>1</f>
        <v>1</v>
      </c>
      <c r="H14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1418)&amp;"|",All_Questions_Q_STREAM_F_wrapped)),1,0),0))*1</f>
        <v>1</v>
      </c>
    </row>
    <row r="1420">
      <c r="A1420" t="n">
        <v>1419</v>
      </c>
      <c r="B1420" t="inlineStr">
        <is>
          <t>A</t>
        </is>
      </c>
      <c r="C1420">
        <f>1</f>
        <v>1</v>
      </c>
      <c r="D1420">
        <f>IF(OR(F_Custom1_Q="(None)",F_Custom1_Q="",ISBLANK(F_Custom1_Q),F_Custom1_V="(All)",F_Custom1_V="",ISBLANK(F_Custom1_V)),1,IFERROR(IF(ISNUMBER(SEARCH("|"&amp;INDEX(INDIRECT(F_Custom1_resolved_column),1419)&amp;"|",F_Custom1_wrapped)),1,0),0))</f>
        <v>1</v>
      </c>
      <c r="E1420">
        <f>IF(OR(F_Custom2_Q="(None)",F_Custom2_Q="",ISBLANK(F_Custom2_Q),F_Custom2_V="(All)",F_Custom2_V="",ISBLANK(F_Custom2_V)),1,IFERROR(IF(ISNUMBER(SEARCH("|"&amp;INDEX(INDIRECT(F_Custom2_resolved_column),1419)&amp;"|",F_Custom2_wrapped)),1,0),0))</f>
        <v>1</v>
      </c>
      <c r="F1420">
        <f>D1420*E1420*1</f>
        <v>1</v>
      </c>
      <c r="G1420">
        <f>1</f>
        <v>1</v>
      </c>
      <c r="H14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1419)&amp;"|",All_Questions_Q_STREAM_F_wrapped)),1,0),0))*1</f>
        <v>1</v>
      </c>
    </row>
    <row r="1421">
      <c r="A1421" t="n">
        <v>1420</v>
      </c>
      <c r="B1421" t="inlineStr">
        <is>
          <t>B</t>
        </is>
      </c>
      <c r="C1421">
        <f>1</f>
        <v>1</v>
      </c>
      <c r="D1421">
        <f>IF(OR(F_Custom1_Q="(None)",F_Custom1_Q="",ISBLANK(F_Custom1_Q),F_Custom1_V="(All)",F_Custom1_V="",ISBLANK(F_Custom1_V)),1,IFERROR(IF(ISNUMBER(SEARCH("|"&amp;INDEX(INDIRECT(F_Custom1_resolved_column),1420)&amp;"|",F_Custom1_wrapped)),1,0),0))</f>
        <v>1</v>
      </c>
      <c r="E1421">
        <f>IF(OR(F_Custom2_Q="(None)",F_Custom2_Q="",ISBLANK(F_Custom2_Q),F_Custom2_V="(All)",F_Custom2_V="",ISBLANK(F_Custom2_V)),1,IFERROR(IF(ISNUMBER(SEARCH("|"&amp;INDEX(INDIRECT(F_Custom2_resolved_column),1420)&amp;"|",F_Custom2_wrapped)),1,0),0))</f>
        <v>1</v>
      </c>
      <c r="F1421">
        <f>D1421*E1421*1</f>
        <v>1</v>
      </c>
      <c r="G1421">
        <f>1</f>
        <v>1</v>
      </c>
      <c r="H14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1420)&amp;"|",All_Questions_Q_STREAM_F_wrapped)),1,0),0))*1</f>
        <v>1</v>
      </c>
    </row>
    <row r="1422">
      <c r="A1422" t="n">
        <v>1421</v>
      </c>
      <c r="B1422" t="inlineStr">
        <is>
          <t>A</t>
        </is>
      </c>
      <c r="C1422">
        <f>1</f>
        <v>1</v>
      </c>
      <c r="D1422">
        <f>IF(OR(F_Custom1_Q="(None)",F_Custom1_Q="",ISBLANK(F_Custom1_Q),F_Custom1_V="(All)",F_Custom1_V="",ISBLANK(F_Custom1_V)),1,IFERROR(IF(ISNUMBER(SEARCH("|"&amp;INDEX(INDIRECT(F_Custom1_resolved_column),1421)&amp;"|",F_Custom1_wrapped)),1,0),0))</f>
        <v>1</v>
      </c>
      <c r="E1422">
        <f>IF(OR(F_Custom2_Q="(None)",F_Custom2_Q="",ISBLANK(F_Custom2_Q),F_Custom2_V="(All)",F_Custom2_V="",ISBLANK(F_Custom2_V)),1,IFERROR(IF(ISNUMBER(SEARCH("|"&amp;INDEX(INDIRECT(F_Custom2_resolved_column),1421)&amp;"|",F_Custom2_wrapped)),1,0),0))</f>
        <v>1</v>
      </c>
      <c r="F1422">
        <f>D1422*E1422*1</f>
        <v>1</v>
      </c>
      <c r="G1422">
        <f>1</f>
        <v>1</v>
      </c>
      <c r="H14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1421)&amp;"|",All_Questions_Q_STREAM_F_wrapped)),1,0),0))*1</f>
        <v>1</v>
      </c>
    </row>
    <row r="1423">
      <c r="A1423" t="n">
        <v>1422</v>
      </c>
      <c r="B1423" t="inlineStr">
        <is>
          <t>B</t>
        </is>
      </c>
      <c r="C1423">
        <f>1</f>
        <v>1</v>
      </c>
      <c r="D1423">
        <f>IF(OR(F_Custom1_Q="(None)",F_Custom1_Q="",ISBLANK(F_Custom1_Q),F_Custom1_V="(All)",F_Custom1_V="",ISBLANK(F_Custom1_V)),1,IFERROR(IF(ISNUMBER(SEARCH("|"&amp;INDEX(INDIRECT(F_Custom1_resolved_column),1422)&amp;"|",F_Custom1_wrapped)),1,0),0))</f>
        <v>1</v>
      </c>
      <c r="E1423">
        <f>IF(OR(F_Custom2_Q="(None)",F_Custom2_Q="",ISBLANK(F_Custom2_Q),F_Custom2_V="(All)",F_Custom2_V="",ISBLANK(F_Custom2_V)),1,IFERROR(IF(ISNUMBER(SEARCH("|"&amp;INDEX(INDIRECT(F_Custom2_resolved_column),1422)&amp;"|",F_Custom2_wrapped)),1,0),0))</f>
        <v>1</v>
      </c>
      <c r="F1423">
        <f>D1423*E1423*1</f>
        <v>1</v>
      </c>
      <c r="G1423">
        <f>1</f>
        <v>1</v>
      </c>
      <c r="H14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1422)&amp;"|",All_Questions_Q_STREAM_F_wrapped)),1,0),0))*1</f>
        <v>1</v>
      </c>
    </row>
    <row r="1424">
      <c r="A1424" t="n">
        <v>1423</v>
      </c>
      <c r="B1424" t="inlineStr">
        <is>
          <t>A</t>
        </is>
      </c>
      <c r="C1424">
        <f>1</f>
        <v>1</v>
      </c>
      <c r="D1424">
        <f>IF(OR(F_Custom1_Q="(None)",F_Custom1_Q="",ISBLANK(F_Custom1_Q),F_Custom1_V="(All)",F_Custom1_V="",ISBLANK(F_Custom1_V)),1,IFERROR(IF(ISNUMBER(SEARCH("|"&amp;INDEX(INDIRECT(F_Custom1_resolved_column),1423)&amp;"|",F_Custom1_wrapped)),1,0),0))</f>
        <v>1</v>
      </c>
      <c r="E1424">
        <f>IF(OR(F_Custom2_Q="(None)",F_Custom2_Q="",ISBLANK(F_Custom2_Q),F_Custom2_V="(All)",F_Custom2_V="",ISBLANK(F_Custom2_V)),1,IFERROR(IF(ISNUMBER(SEARCH("|"&amp;INDEX(INDIRECT(F_Custom2_resolved_column),1423)&amp;"|",F_Custom2_wrapped)),1,0),0))</f>
        <v>1</v>
      </c>
      <c r="F1424">
        <f>D1424*E1424*1</f>
        <v>1</v>
      </c>
      <c r="G1424">
        <f>1</f>
        <v>1</v>
      </c>
      <c r="H14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1423)&amp;"|",All_Questions_Q_STREAM_F_wrapped)),1,0),0))*1</f>
        <v>1</v>
      </c>
    </row>
    <row r="1425">
      <c r="A1425" t="n">
        <v>1424</v>
      </c>
      <c r="B1425" t="inlineStr">
        <is>
          <t>B</t>
        </is>
      </c>
      <c r="C1425">
        <f>1</f>
        <v>1</v>
      </c>
      <c r="D1425">
        <f>IF(OR(F_Custom1_Q="(None)",F_Custom1_Q="",ISBLANK(F_Custom1_Q),F_Custom1_V="(All)",F_Custom1_V="",ISBLANK(F_Custom1_V)),1,IFERROR(IF(ISNUMBER(SEARCH("|"&amp;INDEX(INDIRECT(F_Custom1_resolved_column),1424)&amp;"|",F_Custom1_wrapped)),1,0),0))</f>
        <v>1</v>
      </c>
      <c r="E1425">
        <f>IF(OR(F_Custom2_Q="(None)",F_Custom2_Q="",ISBLANK(F_Custom2_Q),F_Custom2_V="(All)",F_Custom2_V="",ISBLANK(F_Custom2_V)),1,IFERROR(IF(ISNUMBER(SEARCH("|"&amp;INDEX(INDIRECT(F_Custom2_resolved_column),1424)&amp;"|",F_Custom2_wrapped)),1,0),0))</f>
        <v>1</v>
      </c>
      <c r="F1425">
        <f>D1425*E1425*1</f>
        <v>1</v>
      </c>
      <c r="G1425">
        <f>1</f>
        <v>1</v>
      </c>
      <c r="H14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1424)&amp;"|",All_Questions_Q_STREAM_F_wrapped)),1,0),0))*1</f>
        <v>1</v>
      </c>
    </row>
    <row r="1426">
      <c r="A1426" t="n">
        <v>1425</v>
      </c>
      <c r="B1426" t="inlineStr">
        <is>
          <t>A</t>
        </is>
      </c>
      <c r="C1426">
        <f>1</f>
        <v>1</v>
      </c>
      <c r="D1426">
        <f>IF(OR(F_Custom1_Q="(None)",F_Custom1_Q="",ISBLANK(F_Custom1_Q),F_Custom1_V="(All)",F_Custom1_V="",ISBLANK(F_Custom1_V)),1,IFERROR(IF(ISNUMBER(SEARCH("|"&amp;INDEX(INDIRECT(F_Custom1_resolved_column),1425)&amp;"|",F_Custom1_wrapped)),1,0),0))</f>
        <v>1</v>
      </c>
      <c r="E1426">
        <f>IF(OR(F_Custom2_Q="(None)",F_Custom2_Q="",ISBLANK(F_Custom2_Q),F_Custom2_V="(All)",F_Custom2_V="",ISBLANK(F_Custom2_V)),1,IFERROR(IF(ISNUMBER(SEARCH("|"&amp;INDEX(INDIRECT(F_Custom2_resolved_column),1425)&amp;"|",F_Custom2_wrapped)),1,0),0))</f>
        <v>1</v>
      </c>
      <c r="F1426">
        <f>D1426*E1426*1</f>
        <v>1</v>
      </c>
      <c r="G1426">
        <f>1</f>
        <v>1</v>
      </c>
      <c r="H14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1425)&amp;"|",All_Questions_Q_STREAM_F_wrapped)),1,0),0))*1</f>
        <v>1</v>
      </c>
    </row>
    <row r="1427">
      <c r="A1427" t="n">
        <v>1426</v>
      </c>
      <c r="B1427" t="inlineStr">
        <is>
          <t>B</t>
        </is>
      </c>
      <c r="C1427">
        <f>1</f>
        <v>1</v>
      </c>
      <c r="D1427">
        <f>IF(OR(F_Custom1_Q="(None)",F_Custom1_Q="",ISBLANK(F_Custom1_Q),F_Custom1_V="(All)",F_Custom1_V="",ISBLANK(F_Custom1_V)),1,IFERROR(IF(ISNUMBER(SEARCH("|"&amp;INDEX(INDIRECT(F_Custom1_resolved_column),1426)&amp;"|",F_Custom1_wrapped)),1,0),0))</f>
        <v>1</v>
      </c>
      <c r="E1427">
        <f>IF(OR(F_Custom2_Q="(None)",F_Custom2_Q="",ISBLANK(F_Custom2_Q),F_Custom2_V="(All)",F_Custom2_V="",ISBLANK(F_Custom2_V)),1,IFERROR(IF(ISNUMBER(SEARCH("|"&amp;INDEX(INDIRECT(F_Custom2_resolved_column),1426)&amp;"|",F_Custom2_wrapped)),1,0),0))</f>
        <v>1</v>
      </c>
      <c r="F1427">
        <f>D1427*E1427*1</f>
        <v>1</v>
      </c>
      <c r="G1427">
        <f>1</f>
        <v>1</v>
      </c>
      <c r="H14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1426)&amp;"|",All_Questions_Q_STREAM_F_wrapped)),1,0),0))*1</f>
        <v>1</v>
      </c>
    </row>
    <row r="1428">
      <c r="A1428" t="n">
        <v>1427</v>
      </c>
      <c r="B1428" t="inlineStr">
        <is>
          <t>A</t>
        </is>
      </c>
      <c r="C1428">
        <f>1</f>
        <v>1</v>
      </c>
      <c r="D1428">
        <f>IF(OR(F_Custom1_Q="(None)",F_Custom1_Q="",ISBLANK(F_Custom1_Q),F_Custom1_V="(All)",F_Custom1_V="",ISBLANK(F_Custom1_V)),1,IFERROR(IF(ISNUMBER(SEARCH("|"&amp;INDEX(INDIRECT(F_Custom1_resolved_column),1427)&amp;"|",F_Custom1_wrapped)),1,0),0))</f>
        <v>1</v>
      </c>
      <c r="E1428">
        <f>IF(OR(F_Custom2_Q="(None)",F_Custom2_Q="",ISBLANK(F_Custom2_Q),F_Custom2_V="(All)",F_Custom2_V="",ISBLANK(F_Custom2_V)),1,IFERROR(IF(ISNUMBER(SEARCH("|"&amp;INDEX(INDIRECT(F_Custom2_resolved_column),1427)&amp;"|",F_Custom2_wrapped)),1,0),0))</f>
        <v>1</v>
      </c>
      <c r="F1428">
        <f>D1428*E1428*1</f>
        <v>1</v>
      </c>
      <c r="G1428">
        <f>1</f>
        <v>1</v>
      </c>
      <c r="H14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1427)&amp;"|",All_Questions_Q_STREAM_F_wrapped)),1,0),0))*1</f>
        <v>1</v>
      </c>
    </row>
    <row r="1429">
      <c r="A1429" t="n">
        <v>1428</v>
      </c>
      <c r="B1429" t="inlineStr">
        <is>
          <t>B</t>
        </is>
      </c>
      <c r="C1429">
        <f>1</f>
        <v>1</v>
      </c>
      <c r="D1429">
        <f>IF(OR(F_Custom1_Q="(None)",F_Custom1_Q="",ISBLANK(F_Custom1_Q),F_Custom1_V="(All)",F_Custom1_V="",ISBLANK(F_Custom1_V)),1,IFERROR(IF(ISNUMBER(SEARCH("|"&amp;INDEX(INDIRECT(F_Custom1_resolved_column),1428)&amp;"|",F_Custom1_wrapped)),1,0),0))</f>
        <v>1</v>
      </c>
      <c r="E1429">
        <f>IF(OR(F_Custom2_Q="(None)",F_Custom2_Q="",ISBLANK(F_Custom2_Q),F_Custom2_V="(All)",F_Custom2_V="",ISBLANK(F_Custom2_V)),1,IFERROR(IF(ISNUMBER(SEARCH("|"&amp;INDEX(INDIRECT(F_Custom2_resolved_column),1428)&amp;"|",F_Custom2_wrapped)),1,0),0))</f>
        <v>1</v>
      </c>
      <c r="F1429">
        <f>D1429*E1429*1</f>
        <v>1</v>
      </c>
      <c r="G1429">
        <f>1</f>
        <v>1</v>
      </c>
      <c r="H14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1428)&amp;"|",All_Questions_Q_STREAM_F_wrapped)),1,0),0))*1</f>
        <v>1</v>
      </c>
    </row>
    <row r="1430">
      <c r="A1430" t="n">
        <v>1429</v>
      </c>
      <c r="B1430" t="inlineStr">
        <is>
          <t>A</t>
        </is>
      </c>
      <c r="C1430">
        <f>1</f>
        <v>1</v>
      </c>
      <c r="D1430">
        <f>IF(OR(F_Custom1_Q="(None)",F_Custom1_Q="",ISBLANK(F_Custom1_Q),F_Custom1_V="(All)",F_Custom1_V="",ISBLANK(F_Custom1_V)),1,IFERROR(IF(ISNUMBER(SEARCH("|"&amp;INDEX(INDIRECT(F_Custom1_resolved_column),1429)&amp;"|",F_Custom1_wrapped)),1,0),0))</f>
        <v>1</v>
      </c>
      <c r="E1430">
        <f>IF(OR(F_Custom2_Q="(None)",F_Custom2_Q="",ISBLANK(F_Custom2_Q),F_Custom2_V="(All)",F_Custom2_V="",ISBLANK(F_Custom2_V)),1,IFERROR(IF(ISNUMBER(SEARCH("|"&amp;INDEX(INDIRECT(F_Custom2_resolved_column),1429)&amp;"|",F_Custom2_wrapped)),1,0),0))</f>
        <v>1</v>
      </c>
      <c r="F1430">
        <f>D1430*E1430*1</f>
        <v>1</v>
      </c>
      <c r="G1430">
        <f>1</f>
        <v>1</v>
      </c>
      <c r="H14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1429)&amp;"|",All_Questions_Q_STREAM_F_wrapped)),1,0),0))*1</f>
        <v>1</v>
      </c>
    </row>
    <row r="1431">
      <c r="A1431" t="n">
        <v>1430</v>
      </c>
      <c r="B1431" t="inlineStr">
        <is>
          <t>B</t>
        </is>
      </c>
      <c r="C1431">
        <f>1</f>
        <v>1</v>
      </c>
      <c r="D1431">
        <f>IF(OR(F_Custom1_Q="(None)",F_Custom1_Q="",ISBLANK(F_Custom1_Q),F_Custom1_V="(All)",F_Custom1_V="",ISBLANK(F_Custom1_V)),1,IFERROR(IF(ISNUMBER(SEARCH("|"&amp;INDEX(INDIRECT(F_Custom1_resolved_column),1430)&amp;"|",F_Custom1_wrapped)),1,0),0))</f>
        <v>1</v>
      </c>
      <c r="E1431">
        <f>IF(OR(F_Custom2_Q="(None)",F_Custom2_Q="",ISBLANK(F_Custom2_Q),F_Custom2_V="(All)",F_Custom2_V="",ISBLANK(F_Custom2_V)),1,IFERROR(IF(ISNUMBER(SEARCH("|"&amp;INDEX(INDIRECT(F_Custom2_resolved_column),1430)&amp;"|",F_Custom2_wrapped)),1,0),0))</f>
        <v>1</v>
      </c>
      <c r="F1431">
        <f>D1431*E1431*1</f>
        <v>1</v>
      </c>
      <c r="G1431">
        <f>1</f>
        <v>1</v>
      </c>
      <c r="H14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1430)&amp;"|",All_Questions_Q_STREAM_F_wrapped)),1,0),0))*1</f>
        <v>1</v>
      </c>
    </row>
    <row r="1432">
      <c r="A1432" t="n">
        <v>1431</v>
      </c>
      <c r="B1432" t="inlineStr">
        <is>
          <t>A</t>
        </is>
      </c>
      <c r="C1432">
        <f>1</f>
        <v>1</v>
      </c>
      <c r="D1432">
        <f>IF(OR(F_Custom1_Q="(None)",F_Custom1_Q="",ISBLANK(F_Custom1_Q),F_Custom1_V="(All)",F_Custom1_V="",ISBLANK(F_Custom1_V)),1,IFERROR(IF(ISNUMBER(SEARCH("|"&amp;INDEX(INDIRECT(F_Custom1_resolved_column),1431)&amp;"|",F_Custom1_wrapped)),1,0),0))</f>
        <v>1</v>
      </c>
      <c r="E1432">
        <f>IF(OR(F_Custom2_Q="(None)",F_Custom2_Q="",ISBLANK(F_Custom2_Q),F_Custom2_V="(All)",F_Custom2_V="",ISBLANK(F_Custom2_V)),1,IFERROR(IF(ISNUMBER(SEARCH("|"&amp;INDEX(INDIRECT(F_Custom2_resolved_column),1431)&amp;"|",F_Custom2_wrapped)),1,0),0))</f>
        <v>1</v>
      </c>
      <c r="F1432">
        <f>D1432*E1432*1</f>
        <v>1</v>
      </c>
      <c r="G1432">
        <f>1</f>
        <v>1</v>
      </c>
      <c r="H14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1431)&amp;"|",All_Questions_Q_STREAM_F_wrapped)),1,0),0))*1</f>
        <v>1</v>
      </c>
    </row>
    <row r="1433">
      <c r="A1433" t="n">
        <v>1432</v>
      </c>
      <c r="B1433" t="inlineStr">
        <is>
          <t>B</t>
        </is>
      </c>
      <c r="C1433">
        <f>1</f>
        <v>1</v>
      </c>
      <c r="D1433">
        <f>IF(OR(F_Custom1_Q="(None)",F_Custom1_Q="",ISBLANK(F_Custom1_Q),F_Custom1_V="(All)",F_Custom1_V="",ISBLANK(F_Custom1_V)),1,IFERROR(IF(ISNUMBER(SEARCH("|"&amp;INDEX(INDIRECT(F_Custom1_resolved_column),1432)&amp;"|",F_Custom1_wrapped)),1,0),0))</f>
        <v>1</v>
      </c>
      <c r="E1433">
        <f>IF(OR(F_Custom2_Q="(None)",F_Custom2_Q="",ISBLANK(F_Custom2_Q),F_Custom2_V="(All)",F_Custom2_V="",ISBLANK(F_Custom2_V)),1,IFERROR(IF(ISNUMBER(SEARCH("|"&amp;INDEX(INDIRECT(F_Custom2_resolved_column),1432)&amp;"|",F_Custom2_wrapped)),1,0),0))</f>
        <v>1</v>
      </c>
      <c r="F1433">
        <f>D1433*E1433*1</f>
        <v>1</v>
      </c>
      <c r="G1433">
        <f>1</f>
        <v>1</v>
      </c>
      <c r="H14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1432)&amp;"|",All_Questions_Q_STREAM_F_wrapped)),1,0),0))*1</f>
        <v>1</v>
      </c>
    </row>
    <row r="1434">
      <c r="A1434" t="n">
        <v>1433</v>
      </c>
      <c r="B1434" t="inlineStr">
        <is>
          <t>A</t>
        </is>
      </c>
      <c r="C1434">
        <f>1</f>
        <v>1</v>
      </c>
      <c r="D1434">
        <f>IF(OR(F_Custom1_Q="(None)",F_Custom1_Q="",ISBLANK(F_Custom1_Q),F_Custom1_V="(All)",F_Custom1_V="",ISBLANK(F_Custom1_V)),1,IFERROR(IF(ISNUMBER(SEARCH("|"&amp;INDEX(INDIRECT(F_Custom1_resolved_column),1433)&amp;"|",F_Custom1_wrapped)),1,0),0))</f>
        <v>1</v>
      </c>
      <c r="E1434">
        <f>IF(OR(F_Custom2_Q="(None)",F_Custom2_Q="",ISBLANK(F_Custom2_Q),F_Custom2_V="(All)",F_Custom2_V="",ISBLANK(F_Custom2_V)),1,IFERROR(IF(ISNUMBER(SEARCH("|"&amp;INDEX(INDIRECT(F_Custom2_resolved_column),1433)&amp;"|",F_Custom2_wrapped)),1,0),0))</f>
        <v>1</v>
      </c>
      <c r="F1434">
        <f>D1434*E1434*1</f>
        <v>1</v>
      </c>
      <c r="G1434">
        <f>1</f>
        <v>1</v>
      </c>
      <c r="H14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1433)&amp;"|",All_Questions_Q_STREAM_F_wrapped)),1,0),0))*1</f>
        <v>1</v>
      </c>
    </row>
    <row r="1435">
      <c r="A1435" t="n">
        <v>1434</v>
      </c>
      <c r="B1435" t="inlineStr">
        <is>
          <t>B</t>
        </is>
      </c>
      <c r="C1435">
        <f>1</f>
        <v>1</v>
      </c>
      <c r="D1435">
        <f>IF(OR(F_Custom1_Q="(None)",F_Custom1_Q="",ISBLANK(F_Custom1_Q),F_Custom1_V="(All)",F_Custom1_V="",ISBLANK(F_Custom1_V)),1,IFERROR(IF(ISNUMBER(SEARCH("|"&amp;INDEX(INDIRECT(F_Custom1_resolved_column),1434)&amp;"|",F_Custom1_wrapped)),1,0),0))</f>
        <v>1</v>
      </c>
      <c r="E1435">
        <f>IF(OR(F_Custom2_Q="(None)",F_Custom2_Q="",ISBLANK(F_Custom2_Q),F_Custom2_V="(All)",F_Custom2_V="",ISBLANK(F_Custom2_V)),1,IFERROR(IF(ISNUMBER(SEARCH("|"&amp;INDEX(INDIRECT(F_Custom2_resolved_column),1434)&amp;"|",F_Custom2_wrapped)),1,0),0))</f>
        <v>1</v>
      </c>
      <c r="F1435">
        <f>D1435*E1435*1</f>
        <v>1</v>
      </c>
      <c r="G1435">
        <f>1</f>
        <v>1</v>
      </c>
      <c r="H14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1434)&amp;"|",All_Questions_Q_STREAM_F_wrapped)),1,0),0))*1</f>
        <v>1</v>
      </c>
    </row>
    <row r="1436">
      <c r="A1436" t="n">
        <v>1435</v>
      </c>
      <c r="B1436" t="inlineStr">
        <is>
          <t>A</t>
        </is>
      </c>
      <c r="C1436">
        <f>1</f>
        <v>1</v>
      </c>
      <c r="D1436">
        <f>IF(OR(F_Custom1_Q="(None)",F_Custom1_Q="",ISBLANK(F_Custom1_Q),F_Custom1_V="(All)",F_Custom1_V="",ISBLANK(F_Custom1_V)),1,IFERROR(IF(ISNUMBER(SEARCH("|"&amp;INDEX(INDIRECT(F_Custom1_resolved_column),1435)&amp;"|",F_Custom1_wrapped)),1,0),0))</f>
        <v>1</v>
      </c>
      <c r="E1436">
        <f>IF(OR(F_Custom2_Q="(None)",F_Custom2_Q="",ISBLANK(F_Custom2_Q),F_Custom2_V="(All)",F_Custom2_V="",ISBLANK(F_Custom2_V)),1,IFERROR(IF(ISNUMBER(SEARCH("|"&amp;INDEX(INDIRECT(F_Custom2_resolved_column),1435)&amp;"|",F_Custom2_wrapped)),1,0),0))</f>
        <v>1</v>
      </c>
      <c r="F1436">
        <f>D1436*E1436*1</f>
        <v>1</v>
      </c>
      <c r="G1436">
        <f>1</f>
        <v>1</v>
      </c>
      <c r="H14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1435)&amp;"|",All_Questions_Q_STREAM_F_wrapped)),1,0),0))*1</f>
        <v>1</v>
      </c>
    </row>
    <row r="1437">
      <c r="A1437" t="n">
        <v>1436</v>
      </c>
      <c r="B1437" t="inlineStr">
        <is>
          <t>B</t>
        </is>
      </c>
      <c r="C1437">
        <f>1</f>
        <v>1</v>
      </c>
      <c r="D1437">
        <f>IF(OR(F_Custom1_Q="(None)",F_Custom1_Q="",ISBLANK(F_Custom1_Q),F_Custom1_V="(All)",F_Custom1_V="",ISBLANK(F_Custom1_V)),1,IFERROR(IF(ISNUMBER(SEARCH("|"&amp;INDEX(INDIRECT(F_Custom1_resolved_column),1436)&amp;"|",F_Custom1_wrapped)),1,0),0))</f>
        <v>1</v>
      </c>
      <c r="E1437">
        <f>IF(OR(F_Custom2_Q="(None)",F_Custom2_Q="",ISBLANK(F_Custom2_Q),F_Custom2_V="(All)",F_Custom2_V="",ISBLANK(F_Custom2_V)),1,IFERROR(IF(ISNUMBER(SEARCH("|"&amp;INDEX(INDIRECT(F_Custom2_resolved_column),1436)&amp;"|",F_Custom2_wrapped)),1,0),0))</f>
        <v>1</v>
      </c>
      <c r="F1437">
        <f>D1437*E1437*1</f>
        <v>1</v>
      </c>
      <c r="G1437">
        <f>1</f>
        <v>1</v>
      </c>
      <c r="H14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1436)&amp;"|",All_Questions_Q_STREAM_F_wrapped)),1,0),0))*1</f>
        <v>1</v>
      </c>
    </row>
    <row r="1438">
      <c r="A1438" t="n">
        <v>1437</v>
      </c>
      <c r="B1438" t="inlineStr">
        <is>
          <t>A</t>
        </is>
      </c>
      <c r="C1438">
        <f>1</f>
        <v>1</v>
      </c>
      <c r="D1438">
        <f>IF(OR(F_Custom1_Q="(None)",F_Custom1_Q="",ISBLANK(F_Custom1_Q),F_Custom1_V="(All)",F_Custom1_V="",ISBLANK(F_Custom1_V)),1,IFERROR(IF(ISNUMBER(SEARCH("|"&amp;INDEX(INDIRECT(F_Custom1_resolved_column),1437)&amp;"|",F_Custom1_wrapped)),1,0),0))</f>
        <v>1</v>
      </c>
      <c r="E1438">
        <f>IF(OR(F_Custom2_Q="(None)",F_Custom2_Q="",ISBLANK(F_Custom2_Q),F_Custom2_V="(All)",F_Custom2_V="",ISBLANK(F_Custom2_V)),1,IFERROR(IF(ISNUMBER(SEARCH("|"&amp;INDEX(INDIRECT(F_Custom2_resolved_column),1437)&amp;"|",F_Custom2_wrapped)),1,0),0))</f>
        <v>1</v>
      </c>
      <c r="F1438">
        <f>D1438*E1438*1</f>
        <v>1</v>
      </c>
      <c r="G1438">
        <f>1</f>
        <v>1</v>
      </c>
      <c r="H14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1437)&amp;"|",All_Questions_Q_STREAM_F_wrapped)),1,0),0))*1</f>
        <v>1</v>
      </c>
    </row>
    <row r="1439">
      <c r="A1439" t="n">
        <v>1438</v>
      </c>
      <c r="B1439" t="inlineStr">
        <is>
          <t>B</t>
        </is>
      </c>
      <c r="C1439">
        <f>1</f>
        <v>1</v>
      </c>
      <c r="D1439">
        <f>IF(OR(F_Custom1_Q="(None)",F_Custom1_Q="",ISBLANK(F_Custom1_Q),F_Custom1_V="(All)",F_Custom1_V="",ISBLANK(F_Custom1_V)),1,IFERROR(IF(ISNUMBER(SEARCH("|"&amp;INDEX(INDIRECT(F_Custom1_resolved_column),1438)&amp;"|",F_Custom1_wrapped)),1,0),0))</f>
        <v>1</v>
      </c>
      <c r="E1439">
        <f>IF(OR(F_Custom2_Q="(None)",F_Custom2_Q="",ISBLANK(F_Custom2_Q),F_Custom2_V="(All)",F_Custom2_V="",ISBLANK(F_Custom2_V)),1,IFERROR(IF(ISNUMBER(SEARCH("|"&amp;INDEX(INDIRECT(F_Custom2_resolved_column),1438)&amp;"|",F_Custom2_wrapped)),1,0),0))</f>
        <v>1</v>
      </c>
      <c r="F1439">
        <f>D1439*E1439*1</f>
        <v>1</v>
      </c>
      <c r="G1439">
        <f>1</f>
        <v>1</v>
      </c>
      <c r="H14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1438)&amp;"|",All_Questions_Q_STREAM_F_wrapped)),1,0),0))*1</f>
        <v>1</v>
      </c>
    </row>
    <row r="1440">
      <c r="A1440" t="n">
        <v>1439</v>
      </c>
      <c r="B1440" t="inlineStr">
        <is>
          <t>A</t>
        </is>
      </c>
      <c r="C1440">
        <f>1</f>
        <v>1</v>
      </c>
      <c r="D1440">
        <f>IF(OR(F_Custom1_Q="(None)",F_Custom1_Q="",ISBLANK(F_Custom1_Q),F_Custom1_V="(All)",F_Custom1_V="",ISBLANK(F_Custom1_V)),1,IFERROR(IF(ISNUMBER(SEARCH("|"&amp;INDEX(INDIRECT(F_Custom1_resolved_column),1439)&amp;"|",F_Custom1_wrapped)),1,0),0))</f>
        <v>1</v>
      </c>
      <c r="E1440">
        <f>IF(OR(F_Custom2_Q="(None)",F_Custom2_Q="",ISBLANK(F_Custom2_Q),F_Custom2_V="(All)",F_Custom2_V="",ISBLANK(F_Custom2_V)),1,IFERROR(IF(ISNUMBER(SEARCH("|"&amp;INDEX(INDIRECT(F_Custom2_resolved_column),1439)&amp;"|",F_Custom2_wrapped)),1,0),0))</f>
        <v>1</v>
      </c>
      <c r="F1440">
        <f>D1440*E1440*1</f>
        <v>1</v>
      </c>
      <c r="G1440">
        <f>1</f>
        <v>1</v>
      </c>
      <c r="H14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1439)&amp;"|",All_Questions_Q_STREAM_F_wrapped)),1,0),0))*1</f>
        <v>1</v>
      </c>
    </row>
    <row r="1441">
      <c r="A1441" t="n">
        <v>1440</v>
      </c>
      <c r="B1441" t="inlineStr">
        <is>
          <t>B</t>
        </is>
      </c>
      <c r="C1441">
        <f>1</f>
        <v>1</v>
      </c>
      <c r="D1441">
        <f>IF(OR(F_Custom1_Q="(None)",F_Custom1_Q="",ISBLANK(F_Custom1_Q),F_Custom1_V="(All)",F_Custom1_V="",ISBLANK(F_Custom1_V)),1,IFERROR(IF(ISNUMBER(SEARCH("|"&amp;INDEX(INDIRECT(F_Custom1_resolved_column),1440)&amp;"|",F_Custom1_wrapped)),1,0),0))</f>
        <v>1</v>
      </c>
      <c r="E1441">
        <f>IF(OR(F_Custom2_Q="(None)",F_Custom2_Q="",ISBLANK(F_Custom2_Q),F_Custom2_V="(All)",F_Custom2_V="",ISBLANK(F_Custom2_V)),1,IFERROR(IF(ISNUMBER(SEARCH("|"&amp;INDEX(INDIRECT(F_Custom2_resolved_column),1440)&amp;"|",F_Custom2_wrapped)),1,0),0))</f>
        <v>1</v>
      </c>
      <c r="F1441">
        <f>D1441*E1441*1</f>
        <v>1</v>
      </c>
      <c r="G1441">
        <f>1</f>
        <v>1</v>
      </c>
      <c r="H14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1440)&amp;"|",All_Questions_Q_STREAM_F_wrapped)),1,0),0))*1</f>
        <v>1</v>
      </c>
    </row>
    <row r="1442">
      <c r="A1442" t="n">
        <v>1441</v>
      </c>
      <c r="B1442" t="inlineStr">
        <is>
          <t>A</t>
        </is>
      </c>
      <c r="C1442">
        <f>1</f>
        <v>1</v>
      </c>
      <c r="D1442">
        <f>IF(OR(F_Custom1_Q="(None)",F_Custom1_Q="",ISBLANK(F_Custom1_Q),F_Custom1_V="(All)",F_Custom1_V="",ISBLANK(F_Custom1_V)),1,IFERROR(IF(ISNUMBER(SEARCH("|"&amp;INDEX(INDIRECT(F_Custom1_resolved_column),1441)&amp;"|",F_Custom1_wrapped)),1,0),0))</f>
        <v>1</v>
      </c>
      <c r="E1442">
        <f>IF(OR(F_Custom2_Q="(None)",F_Custom2_Q="",ISBLANK(F_Custom2_Q),F_Custom2_V="(All)",F_Custom2_V="",ISBLANK(F_Custom2_V)),1,IFERROR(IF(ISNUMBER(SEARCH("|"&amp;INDEX(INDIRECT(F_Custom2_resolved_column),1441)&amp;"|",F_Custom2_wrapped)),1,0),0))</f>
        <v>1</v>
      </c>
      <c r="F1442">
        <f>D1442*E1442*1</f>
        <v>1</v>
      </c>
      <c r="G1442">
        <f>1</f>
        <v>1</v>
      </c>
      <c r="H14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1441)&amp;"|",All_Questions_Q_STREAM_F_wrapped)),1,0),0))*1</f>
        <v>1</v>
      </c>
    </row>
    <row r="1443">
      <c r="A1443" t="n">
        <v>1442</v>
      </c>
      <c r="B1443" t="inlineStr">
        <is>
          <t>B</t>
        </is>
      </c>
      <c r="C1443">
        <f>1</f>
        <v>1</v>
      </c>
      <c r="D1443">
        <f>IF(OR(F_Custom1_Q="(None)",F_Custom1_Q="",ISBLANK(F_Custom1_Q),F_Custom1_V="(All)",F_Custom1_V="",ISBLANK(F_Custom1_V)),1,IFERROR(IF(ISNUMBER(SEARCH("|"&amp;INDEX(INDIRECT(F_Custom1_resolved_column),1442)&amp;"|",F_Custom1_wrapped)),1,0),0))</f>
        <v>1</v>
      </c>
      <c r="E1443">
        <f>IF(OR(F_Custom2_Q="(None)",F_Custom2_Q="",ISBLANK(F_Custom2_Q),F_Custom2_V="(All)",F_Custom2_V="",ISBLANK(F_Custom2_V)),1,IFERROR(IF(ISNUMBER(SEARCH("|"&amp;INDEX(INDIRECT(F_Custom2_resolved_column),1442)&amp;"|",F_Custom2_wrapped)),1,0),0))</f>
        <v>1</v>
      </c>
      <c r="F1443">
        <f>D1443*E1443*1</f>
        <v>1</v>
      </c>
      <c r="G1443">
        <f>1</f>
        <v>1</v>
      </c>
      <c r="H14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1442)&amp;"|",All_Questions_Q_STREAM_F_wrapped)),1,0),0))*1</f>
        <v>1</v>
      </c>
    </row>
    <row r="1444">
      <c r="A1444" t="n">
        <v>1443</v>
      </c>
      <c r="B1444" t="inlineStr">
        <is>
          <t>A</t>
        </is>
      </c>
      <c r="C1444">
        <f>1</f>
        <v>1</v>
      </c>
      <c r="D1444">
        <f>IF(OR(F_Custom1_Q="(None)",F_Custom1_Q="",ISBLANK(F_Custom1_Q),F_Custom1_V="(All)",F_Custom1_V="",ISBLANK(F_Custom1_V)),1,IFERROR(IF(ISNUMBER(SEARCH("|"&amp;INDEX(INDIRECT(F_Custom1_resolved_column),1443)&amp;"|",F_Custom1_wrapped)),1,0),0))</f>
        <v>1</v>
      </c>
      <c r="E1444">
        <f>IF(OR(F_Custom2_Q="(None)",F_Custom2_Q="",ISBLANK(F_Custom2_Q),F_Custom2_V="(All)",F_Custom2_V="",ISBLANK(F_Custom2_V)),1,IFERROR(IF(ISNUMBER(SEARCH("|"&amp;INDEX(INDIRECT(F_Custom2_resolved_column),1443)&amp;"|",F_Custom2_wrapped)),1,0),0))</f>
        <v>1</v>
      </c>
      <c r="F1444">
        <f>D1444*E1444*1</f>
        <v>1</v>
      </c>
      <c r="G1444">
        <f>1</f>
        <v>1</v>
      </c>
      <c r="H14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1443)&amp;"|",All_Questions_Q_STREAM_F_wrapped)),1,0),0))*1</f>
        <v>1</v>
      </c>
    </row>
    <row r="1445">
      <c r="A1445" t="n">
        <v>1444</v>
      </c>
      <c r="B1445" t="inlineStr">
        <is>
          <t>B</t>
        </is>
      </c>
      <c r="C1445">
        <f>1</f>
        <v>1</v>
      </c>
      <c r="D1445">
        <f>IF(OR(F_Custom1_Q="(None)",F_Custom1_Q="",ISBLANK(F_Custom1_Q),F_Custom1_V="(All)",F_Custom1_V="",ISBLANK(F_Custom1_V)),1,IFERROR(IF(ISNUMBER(SEARCH("|"&amp;INDEX(INDIRECT(F_Custom1_resolved_column),1444)&amp;"|",F_Custom1_wrapped)),1,0),0))</f>
        <v>1</v>
      </c>
      <c r="E1445">
        <f>IF(OR(F_Custom2_Q="(None)",F_Custom2_Q="",ISBLANK(F_Custom2_Q),F_Custom2_V="(All)",F_Custom2_V="",ISBLANK(F_Custom2_V)),1,IFERROR(IF(ISNUMBER(SEARCH("|"&amp;INDEX(INDIRECT(F_Custom2_resolved_column),1444)&amp;"|",F_Custom2_wrapped)),1,0),0))</f>
        <v>1</v>
      </c>
      <c r="F1445">
        <f>D1445*E1445*1</f>
        <v>1</v>
      </c>
      <c r="G1445">
        <f>1</f>
        <v>1</v>
      </c>
      <c r="H14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1444)&amp;"|",All_Questions_Q_STREAM_F_wrapped)),1,0),0))*1</f>
        <v>1</v>
      </c>
    </row>
    <row r="1446">
      <c r="A1446" t="n">
        <v>1445</v>
      </c>
      <c r="B1446" t="inlineStr">
        <is>
          <t>A</t>
        </is>
      </c>
      <c r="C1446">
        <f>1</f>
        <v>1</v>
      </c>
      <c r="D1446">
        <f>IF(OR(F_Custom1_Q="(None)",F_Custom1_Q="",ISBLANK(F_Custom1_Q),F_Custom1_V="(All)",F_Custom1_V="",ISBLANK(F_Custom1_V)),1,IFERROR(IF(ISNUMBER(SEARCH("|"&amp;INDEX(INDIRECT(F_Custom1_resolved_column),1445)&amp;"|",F_Custom1_wrapped)),1,0),0))</f>
        <v>1</v>
      </c>
      <c r="E1446">
        <f>IF(OR(F_Custom2_Q="(None)",F_Custom2_Q="",ISBLANK(F_Custom2_Q),F_Custom2_V="(All)",F_Custom2_V="",ISBLANK(F_Custom2_V)),1,IFERROR(IF(ISNUMBER(SEARCH("|"&amp;INDEX(INDIRECT(F_Custom2_resolved_column),1445)&amp;"|",F_Custom2_wrapped)),1,0),0))</f>
        <v>1</v>
      </c>
      <c r="F1446">
        <f>D1446*E1446*1</f>
        <v>1</v>
      </c>
      <c r="G1446">
        <f>1</f>
        <v>1</v>
      </c>
      <c r="H14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1445)&amp;"|",All_Questions_Q_STREAM_F_wrapped)),1,0),0))*1</f>
        <v>1</v>
      </c>
    </row>
    <row r="1447">
      <c r="A1447" t="n">
        <v>1446</v>
      </c>
      <c r="B1447" t="inlineStr">
        <is>
          <t>B</t>
        </is>
      </c>
      <c r="C1447">
        <f>1</f>
        <v>1</v>
      </c>
      <c r="D1447">
        <f>IF(OR(F_Custom1_Q="(None)",F_Custom1_Q="",ISBLANK(F_Custom1_Q),F_Custom1_V="(All)",F_Custom1_V="",ISBLANK(F_Custom1_V)),1,IFERROR(IF(ISNUMBER(SEARCH("|"&amp;INDEX(INDIRECT(F_Custom1_resolved_column),1446)&amp;"|",F_Custom1_wrapped)),1,0),0))</f>
        <v>1</v>
      </c>
      <c r="E1447">
        <f>IF(OR(F_Custom2_Q="(None)",F_Custom2_Q="",ISBLANK(F_Custom2_Q),F_Custom2_V="(All)",F_Custom2_V="",ISBLANK(F_Custom2_V)),1,IFERROR(IF(ISNUMBER(SEARCH("|"&amp;INDEX(INDIRECT(F_Custom2_resolved_column),1446)&amp;"|",F_Custom2_wrapped)),1,0),0))</f>
        <v>1</v>
      </c>
      <c r="F1447">
        <f>D1447*E1447*1</f>
        <v>1</v>
      </c>
      <c r="G1447">
        <f>1</f>
        <v>1</v>
      </c>
      <c r="H14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1446)&amp;"|",All_Questions_Q_STREAM_F_wrapped)),1,0),0))*1</f>
        <v>1</v>
      </c>
    </row>
    <row r="1448">
      <c r="A1448" t="n">
        <v>1447</v>
      </c>
      <c r="B1448" t="inlineStr">
        <is>
          <t>A</t>
        </is>
      </c>
      <c r="C1448">
        <f>1</f>
        <v>1</v>
      </c>
      <c r="D1448">
        <f>IF(OR(F_Custom1_Q="(None)",F_Custom1_Q="",ISBLANK(F_Custom1_Q),F_Custom1_V="(All)",F_Custom1_V="",ISBLANK(F_Custom1_V)),1,IFERROR(IF(ISNUMBER(SEARCH("|"&amp;INDEX(INDIRECT(F_Custom1_resolved_column),1447)&amp;"|",F_Custom1_wrapped)),1,0),0))</f>
        <v>1</v>
      </c>
      <c r="E1448">
        <f>IF(OR(F_Custom2_Q="(None)",F_Custom2_Q="",ISBLANK(F_Custom2_Q),F_Custom2_V="(All)",F_Custom2_V="",ISBLANK(F_Custom2_V)),1,IFERROR(IF(ISNUMBER(SEARCH("|"&amp;INDEX(INDIRECT(F_Custom2_resolved_column),1447)&amp;"|",F_Custom2_wrapped)),1,0),0))</f>
        <v>1</v>
      </c>
      <c r="F1448">
        <f>D1448*E1448*1</f>
        <v>1</v>
      </c>
      <c r="G1448">
        <f>1</f>
        <v>1</v>
      </c>
      <c r="H14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1447)&amp;"|",All_Questions_Q_STREAM_F_wrapped)),1,0),0))*1</f>
        <v>1</v>
      </c>
    </row>
    <row r="1449">
      <c r="A1449" t="n">
        <v>1448</v>
      </c>
      <c r="B1449" t="inlineStr">
        <is>
          <t>B</t>
        </is>
      </c>
      <c r="C1449">
        <f>1</f>
        <v>1</v>
      </c>
      <c r="D1449">
        <f>IF(OR(F_Custom1_Q="(None)",F_Custom1_Q="",ISBLANK(F_Custom1_Q),F_Custom1_V="(All)",F_Custom1_V="",ISBLANK(F_Custom1_V)),1,IFERROR(IF(ISNUMBER(SEARCH("|"&amp;INDEX(INDIRECT(F_Custom1_resolved_column),1448)&amp;"|",F_Custom1_wrapped)),1,0),0))</f>
        <v>1</v>
      </c>
      <c r="E1449">
        <f>IF(OR(F_Custom2_Q="(None)",F_Custom2_Q="",ISBLANK(F_Custom2_Q),F_Custom2_V="(All)",F_Custom2_V="",ISBLANK(F_Custom2_V)),1,IFERROR(IF(ISNUMBER(SEARCH("|"&amp;INDEX(INDIRECT(F_Custom2_resolved_column),1448)&amp;"|",F_Custom2_wrapped)),1,0),0))</f>
        <v>1</v>
      </c>
      <c r="F1449">
        <f>D1449*E1449*1</f>
        <v>1</v>
      </c>
      <c r="G1449">
        <f>1</f>
        <v>1</v>
      </c>
      <c r="H14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1448)&amp;"|",All_Questions_Q_STREAM_F_wrapped)),1,0),0))*1</f>
        <v>1</v>
      </c>
    </row>
    <row r="1450">
      <c r="A1450" t="n">
        <v>1449</v>
      </c>
      <c r="B1450" t="inlineStr">
        <is>
          <t>A</t>
        </is>
      </c>
      <c r="C1450">
        <f>1</f>
        <v>1</v>
      </c>
      <c r="D1450">
        <f>IF(OR(F_Custom1_Q="(None)",F_Custom1_Q="",ISBLANK(F_Custom1_Q),F_Custom1_V="(All)",F_Custom1_V="",ISBLANK(F_Custom1_V)),1,IFERROR(IF(ISNUMBER(SEARCH("|"&amp;INDEX(INDIRECT(F_Custom1_resolved_column),1449)&amp;"|",F_Custom1_wrapped)),1,0),0))</f>
        <v>1</v>
      </c>
      <c r="E1450">
        <f>IF(OR(F_Custom2_Q="(None)",F_Custom2_Q="",ISBLANK(F_Custom2_Q),F_Custom2_V="(All)",F_Custom2_V="",ISBLANK(F_Custom2_V)),1,IFERROR(IF(ISNUMBER(SEARCH("|"&amp;INDEX(INDIRECT(F_Custom2_resolved_column),1449)&amp;"|",F_Custom2_wrapped)),1,0),0))</f>
        <v>1</v>
      </c>
      <c r="F1450">
        <f>D1450*E1450*1</f>
        <v>1</v>
      </c>
      <c r="G1450">
        <f>1</f>
        <v>1</v>
      </c>
      <c r="H14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1449)&amp;"|",All_Questions_Q_STREAM_F_wrapped)),1,0),0))*1</f>
        <v>1</v>
      </c>
    </row>
    <row r="1451">
      <c r="A1451" t="n">
        <v>1450</v>
      </c>
      <c r="B1451" t="inlineStr">
        <is>
          <t>B</t>
        </is>
      </c>
      <c r="C1451">
        <f>1</f>
        <v>1</v>
      </c>
      <c r="D1451">
        <f>IF(OR(F_Custom1_Q="(None)",F_Custom1_Q="",ISBLANK(F_Custom1_Q),F_Custom1_V="(All)",F_Custom1_V="",ISBLANK(F_Custom1_V)),1,IFERROR(IF(ISNUMBER(SEARCH("|"&amp;INDEX(INDIRECT(F_Custom1_resolved_column),1450)&amp;"|",F_Custom1_wrapped)),1,0),0))</f>
        <v>1</v>
      </c>
      <c r="E1451">
        <f>IF(OR(F_Custom2_Q="(None)",F_Custom2_Q="",ISBLANK(F_Custom2_Q),F_Custom2_V="(All)",F_Custom2_V="",ISBLANK(F_Custom2_V)),1,IFERROR(IF(ISNUMBER(SEARCH("|"&amp;INDEX(INDIRECT(F_Custom2_resolved_column),1450)&amp;"|",F_Custom2_wrapped)),1,0),0))</f>
        <v>1</v>
      </c>
      <c r="F1451">
        <f>D1451*E1451*1</f>
        <v>1</v>
      </c>
      <c r="G1451">
        <f>1</f>
        <v>1</v>
      </c>
      <c r="H14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1450)&amp;"|",All_Questions_Q_STREAM_F_wrapped)),1,0),0))*1</f>
        <v>1</v>
      </c>
    </row>
    <row r="1452">
      <c r="A1452" t="n">
        <v>1451</v>
      </c>
      <c r="B1452" t="inlineStr">
        <is>
          <t>A</t>
        </is>
      </c>
      <c r="C1452">
        <f>1</f>
        <v>1</v>
      </c>
      <c r="D1452">
        <f>IF(OR(F_Custom1_Q="(None)",F_Custom1_Q="",ISBLANK(F_Custom1_Q),F_Custom1_V="(All)",F_Custom1_V="",ISBLANK(F_Custom1_V)),1,IFERROR(IF(ISNUMBER(SEARCH("|"&amp;INDEX(INDIRECT(F_Custom1_resolved_column),1451)&amp;"|",F_Custom1_wrapped)),1,0),0))</f>
        <v>1</v>
      </c>
      <c r="E1452">
        <f>IF(OR(F_Custom2_Q="(None)",F_Custom2_Q="",ISBLANK(F_Custom2_Q),F_Custom2_V="(All)",F_Custom2_V="",ISBLANK(F_Custom2_V)),1,IFERROR(IF(ISNUMBER(SEARCH("|"&amp;INDEX(INDIRECT(F_Custom2_resolved_column),1451)&amp;"|",F_Custom2_wrapped)),1,0),0))</f>
        <v>1</v>
      </c>
      <c r="F1452">
        <f>D1452*E1452*1</f>
        <v>1</v>
      </c>
      <c r="G1452">
        <f>1</f>
        <v>1</v>
      </c>
      <c r="H14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1451)&amp;"|",All_Questions_Q_STREAM_F_wrapped)),1,0),0))*1</f>
        <v>1</v>
      </c>
    </row>
    <row r="1453">
      <c r="A1453" t="n">
        <v>1452</v>
      </c>
      <c r="B1453" t="inlineStr">
        <is>
          <t>B</t>
        </is>
      </c>
      <c r="C1453">
        <f>1</f>
        <v>1</v>
      </c>
      <c r="D1453">
        <f>IF(OR(F_Custom1_Q="(None)",F_Custom1_Q="",ISBLANK(F_Custom1_Q),F_Custom1_V="(All)",F_Custom1_V="",ISBLANK(F_Custom1_V)),1,IFERROR(IF(ISNUMBER(SEARCH("|"&amp;INDEX(INDIRECT(F_Custom1_resolved_column),1452)&amp;"|",F_Custom1_wrapped)),1,0),0))</f>
        <v>1</v>
      </c>
      <c r="E1453">
        <f>IF(OR(F_Custom2_Q="(None)",F_Custom2_Q="",ISBLANK(F_Custom2_Q),F_Custom2_V="(All)",F_Custom2_V="",ISBLANK(F_Custom2_V)),1,IFERROR(IF(ISNUMBER(SEARCH("|"&amp;INDEX(INDIRECT(F_Custom2_resolved_column),1452)&amp;"|",F_Custom2_wrapped)),1,0),0))</f>
        <v>1</v>
      </c>
      <c r="F1453">
        <f>D1453*E1453*1</f>
        <v>1</v>
      </c>
      <c r="G1453">
        <f>1</f>
        <v>1</v>
      </c>
      <c r="H14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1452)&amp;"|",All_Questions_Q_STREAM_F_wrapped)),1,0),0))*1</f>
        <v>1</v>
      </c>
    </row>
    <row r="1454">
      <c r="A1454" t="n">
        <v>1453</v>
      </c>
      <c r="B1454" t="inlineStr">
        <is>
          <t>A</t>
        </is>
      </c>
      <c r="C1454">
        <f>1</f>
        <v>1</v>
      </c>
      <c r="D1454">
        <f>IF(OR(F_Custom1_Q="(None)",F_Custom1_Q="",ISBLANK(F_Custom1_Q),F_Custom1_V="(All)",F_Custom1_V="",ISBLANK(F_Custom1_V)),1,IFERROR(IF(ISNUMBER(SEARCH("|"&amp;INDEX(INDIRECT(F_Custom1_resolved_column),1453)&amp;"|",F_Custom1_wrapped)),1,0),0))</f>
        <v>1</v>
      </c>
      <c r="E1454">
        <f>IF(OR(F_Custom2_Q="(None)",F_Custom2_Q="",ISBLANK(F_Custom2_Q),F_Custom2_V="(All)",F_Custom2_V="",ISBLANK(F_Custom2_V)),1,IFERROR(IF(ISNUMBER(SEARCH("|"&amp;INDEX(INDIRECT(F_Custom2_resolved_column),1453)&amp;"|",F_Custom2_wrapped)),1,0),0))</f>
        <v>1</v>
      </c>
      <c r="F1454">
        <f>D1454*E1454*1</f>
        <v>1</v>
      </c>
      <c r="G1454">
        <f>1</f>
        <v>1</v>
      </c>
      <c r="H14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1453)&amp;"|",All_Questions_Q_STREAM_F_wrapped)),1,0),0))*1</f>
        <v>1</v>
      </c>
    </row>
    <row r="1455">
      <c r="A1455" t="n">
        <v>1454</v>
      </c>
      <c r="B1455" t="inlineStr">
        <is>
          <t>B</t>
        </is>
      </c>
      <c r="C1455">
        <f>1</f>
        <v>1</v>
      </c>
      <c r="D1455">
        <f>IF(OR(F_Custom1_Q="(None)",F_Custom1_Q="",ISBLANK(F_Custom1_Q),F_Custom1_V="(All)",F_Custom1_V="",ISBLANK(F_Custom1_V)),1,IFERROR(IF(ISNUMBER(SEARCH("|"&amp;INDEX(INDIRECT(F_Custom1_resolved_column),1454)&amp;"|",F_Custom1_wrapped)),1,0),0))</f>
        <v>1</v>
      </c>
      <c r="E1455">
        <f>IF(OR(F_Custom2_Q="(None)",F_Custom2_Q="",ISBLANK(F_Custom2_Q),F_Custom2_V="(All)",F_Custom2_V="",ISBLANK(F_Custom2_V)),1,IFERROR(IF(ISNUMBER(SEARCH("|"&amp;INDEX(INDIRECT(F_Custom2_resolved_column),1454)&amp;"|",F_Custom2_wrapped)),1,0),0))</f>
        <v>1</v>
      </c>
      <c r="F1455">
        <f>D1455*E1455*1</f>
        <v>1</v>
      </c>
      <c r="G1455">
        <f>1</f>
        <v>1</v>
      </c>
      <c r="H14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1454)&amp;"|",All_Questions_Q_STREAM_F_wrapped)),1,0),0))*1</f>
        <v>1</v>
      </c>
    </row>
    <row r="1456">
      <c r="A1456" t="n">
        <v>1455</v>
      </c>
      <c r="B1456" t="inlineStr">
        <is>
          <t>A</t>
        </is>
      </c>
      <c r="C1456">
        <f>1</f>
        <v>1</v>
      </c>
      <c r="D1456">
        <f>IF(OR(F_Custom1_Q="(None)",F_Custom1_Q="",ISBLANK(F_Custom1_Q),F_Custom1_V="(All)",F_Custom1_V="",ISBLANK(F_Custom1_V)),1,IFERROR(IF(ISNUMBER(SEARCH("|"&amp;INDEX(INDIRECT(F_Custom1_resolved_column),1455)&amp;"|",F_Custom1_wrapped)),1,0),0))</f>
        <v>1</v>
      </c>
      <c r="E1456">
        <f>IF(OR(F_Custom2_Q="(None)",F_Custom2_Q="",ISBLANK(F_Custom2_Q),F_Custom2_V="(All)",F_Custom2_V="",ISBLANK(F_Custom2_V)),1,IFERROR(IF(ISNUMBER(SEARCH("|"&amp;INDEX(INDIRECT(F_Custom2_resolved_column),1455)&amp;"|",F_Custom2_wrapped)),1,0),0))</f>
        <v>1</v>
      </c>
      <c r="F1456">
        <f>D1456*E1456*1</f>
        <v>1</v>
      </c>
      <c r="G1456">
        <f>1</f>
        <v>1</v>
      </c>
      <c r="H14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1455)&amp;"|",All_Questions_Q_STREAM_F_wrapped)),1,0),0))*1</f>
        <v>1</v>
      </c>
    </row>
    <row r="1457">
      <c r="A1457" t="n">
        <v>1456</v>
      </c>
      <c r="B1457" t="inlineStr">
        <is>
          <t>B</t>
        </is>
      </c>
      <c r="C1457">
        <f>1</f>
        <v>1</v>
      </c>
      <c r="D1457">
        <f>IF(OR(F_Custom1_Q="(None)",F_Custom1_Q="",ISBLANK(F_Custom1_Q),F_Custom1_V="(All)",F_Custom1_V="",ISBLANK(F_Custom1_V)),1,IFERROR(IF(ISNUMBER(SEARCH("|"&amp;INDEX(INDIRECT(F_Custom1_resolved_column),1456)&amp;"|",F_Custom1_wrapped)),1,0),0))</f>
        <v>1</v>
      </c>
      <c r="E1457">
        <f>IF(OR(F_Custom2_Q="(None)",F_Custom2_Q="",ISBLANK(F_Custom2_Q),F_Custom2_V="(All)",F_Custom2_V="",ISBLANK(F_Custom2_V)),1,IFERROR(IF(ISNUMBER(SEARCH("|"&amp;INDEX(INDIRECT(F_Custom2_resolved_column),1456)&amp;"|",F_Custom2_wrapped)),1,0),0))</f>
        <v>1</v>
      </c>
      <c r="F1457">
        <f>D1457*E1457*1</f>
        <v>1</v>
      </c>
      <c r="G1457">
        <f>1</f>
        <v>1</v>
      </c>
      <c r="H14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1456)&amp;"|",All_Questions_Q_STREAM_F_wrapped)),1,0),0))*1</f>
        <v>1</v>
      </c>
    </row>
    <row r="1458">
      <c r="A1458" t="n">
        <v>1457</v>
      </c>
      <c r="B1458" t="inlineStr">
        <is>
          <t>A</t>
        </is>
      </c>
      <c r="C1458">
        <f>1</f>
        <v>1</v>
      </c>
      <c r="D1458">
        <f>IF(OR(F_Custom1_Q="(None)",F_Custom1_Q="",ISBLANK(F_Custom1_Q),F_Custom1_V="(All)",F_Custom1_V="",ISBLANK(F_Custom1_V)),1,IFERROR(IF(ISNUMBER(SEARCH("|"&amp;INDEX(INDIRECT(F_Custom1_resolved_column),1457)&amp;"|",F_Custom1_wrapped)),1,0),0))</f>
        <v>1</v>
      </c>
      <c r="E1458">
        <f>IF(OR(F_Custom2_Q="(None)",F_Custom2_Q="",ISBLANK(F_Custom2_Q),F_Custom2_V="(All)",F_Custom2_V="",ISBLANK(F_Custom2_V)),1,IFERROR(IF(ISNUMBER(SEARCH("|"&amp;INDEX(INDIRECT(F_Custom2_resolved_column),1457)&amp;"|",F_Custom2_wrapped)),1,0),0))</f>
        <v>1</v>
      </c>
      <c r="F1458">
        <f>D1458*E1458*1</f>
        <v>1</v>
      </c>
      <c r="G1458">
        <f>1</f>
        <v>1</v>
      </c>
      <c r="H14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1457)&amp;"|",All_Questions_Q_STREAM_F_wrapped)),1,0),0))*1</f>
        <v>1</v>
      </c>
    </row>
    <row r="1459">
      <c r="A1459" t="n">
        <v>1458</v>
      </c>
      <c r="B1459" t="inlineStr">
        <is>
          <t>B</t>
        </is>
      </c>
      <c r="C1459">
        <f>1</f>
        <v>1</v>
      </c>
      <c r="D1459">
        <f>IF(OR(F_Custom1_Q="(None)",F_Custom1_Q="",ISBLANK(F_Custom1_Q),F_Custom1_V="(All)",F_Custom1_V="",ISBLANK(F_Custom1_V)),1,IFERROR(IF(ISNUMBER(SEARCH("|"&amp;INDEX(INDIRECT(F_Custom1_resolved_column),1458)&amp;"|",F_Custom1_wrapped)),1,0),0))</f>
        <v>1</v>
      </c>
      <c r="E1459">
        <f>IF(OR(F_Custom2_Q="(None)",F_Custom2_Q="",ISBLANK(F_Custom2_Q),F_Custom2_V="(All)",F_Custom2_V="",ISBLANK(F_Custom2_V)),1,IFERROR(IF(ISNUMBER(SEARCH("|"&amp;INDEX(INDIRECT(F_Custom2_resolved_column),1458)&amp;"|",F_Custom2_wrapped)),1,0),0))</f>
        <v>1</v>
      </c>
      <c r="F1459">
        <f>D1459*E1459*1</f>
        <v>1</v>
      </c>
      <c r="G1459">
        <f>1</f>
        <v>1</v>
      </c>
      <c r="H14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1458)&amp;"|",All_Questions_Q_STREAM_F_wrapped)),1,0),0))*1</f>
        <v>1</v>
      </c>
    </row>
    <row r="1460">
      <c r="A1460" t="n">
        <v>1459</v>
      </c>
      <c r="B1460" t="inlineStr">
        <is>
          <t>A</t>
        </is>
      </c>
      <c r="C1460">
        <f>1</f>
        <v>1</v>
      </c>
      <c r="D1460">
        <f>IF(OR(F_Custom1_Q="(None)",F_Custom1_Q="",ISBLANK(F_Custom1_Q),F_Custom1_V="(All)",F_Custom1_V="",ISBLANK(F_Custom1_V)),1,IFERROR(IF(ISNUMBER(SEARCH("|"&amp;INDEX(INDIRECT(F_Custom1_resolved_column),1459)&amp;"|",F_Custom1_wrapped)),1,0),0))</f>
        <v>1</v>
      </c>
      <c r="E1460">
        <f>IF(OR(F_Custom2_Q="(None)",F_Custom2_Q="",ISBLANK(F_Custom2_Q),F_Custom2_V="(All)",F_Custom2_V="",ISBLANK(F_Custom2_V)),1,IFERROR(IF(ISNUMBER(SEARCH("|"&amp;INDEX(INDIRECT(F_Custom2_resolved_column),1459)&amp;"|",F_Custom2_wrapped)),1,0),0))</f>
        <v>1</v>
      </c>
      <c r="F1460">
        <f>D1460*E1460*1</f>
        <v>1</v>
      </c>
      <c r="G1460">
        <f>1</f>
        <v>1</v>
      </c>
      <c r="H14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1459)&amp;"|",All_Questions_Q_STREAM_F_wrapped)),1,0),0))*1</f>
        <v>1</v>
      </c>
    </row>
    <row r="1461">
      <c r="A1461" t="n">
        <v>1460</v>
      </c>
      <c r="B1461" t="inlineStr">
        <is>
          <t>B</t>
        </is>
      </c>
      <c r="C1461">
        <f>1</f>
        <v>1</v>
      </c>
      <c r="D1461">
        <f>IF(OR(F_Custom1_Q="(None)",F_Custom1_Q="",ISBLANK(F_Custom1_Q),F_Custom1_V="(All)",F_Custom1_V="",ISBLANK(F_Custom1_V)),1,IFERROR(IF(ISNUMBER(SEARCH("|"&amp;INDEX(INDIRECT(F_Custom1_resolved_column),1460)&amp;"|",F_Custom1_wrapped)),1,0),0))</f>
        <v>1</v>
      </c>
      <c r="E1461">
        <f>IF(OR(F_Custom2_Q="(None)",F_Custom2_Q="",ISBLANK(F_Custom2_Q),F_Custom2_V="(All)",F_Custom2_V="",ISBLANK(F_Custom2_V)),1,IFERROR(IF(ISNUMBER(SEARCH("|"&amp;INDEX(INDIRECT(F_Custom2_resolved_column),1460)&amp;"|",F_Custom2_wrapped)),1,0),0))</f>
        <v>1</v>
      </c>
      <c r="F1461">
        <f>D1461*E1461*1</f>
        <v>1</v>
      </c>
      <c r="G1461">
        <f>1</f>
        <v>1</v>
      </c>
      <c r="H14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1460)&amp;"|",All_Questions_Q_STREAM_F_wrapped)),1,0),0))*1</f>
        <v>1</v>
      </c>
    </row>
    <row r="1462">
      <c r="A1462" t="n">
        <v>1461</v>
      </c>
      <c r="B1462" t="inlineStr">
        <is>
          <t>A</t>
        </is>
      </c>
      <c r="C1462">
        <f>1</f>
        <v>1</v>
      </c>
      <c r="D1462">
        <f>IF(OR(F_Custom1_Q="(None)",F_Custom1_Q="",ISBLANK(F_Custom1_Q),F_Custom1_V="(All)",F_Custom1_V="",ISBLANK(F_Custom1_V)),1,IFERROR(IF(ISNUMBER(SEARCH("|"&amp;INDEX(INDIRECT(F_Custom1_resolved_column),1461)&amp;"|",F_Custom1_wrapped)),1,0),0))</f>
        <v>1</v>
      </c>
      <c r="E1462">
        <f>IF(OR(F_Custom2_Q="(None)",F_Custom2_Q="",ISBLANK(F_Custom2_Q),F_Custom2_V="(All)",F_Custom2_V="",ISBLANK(F_Custom2_V)),1,IFERROR(IF(ISNUMBER(SEARCH("|"&amp;INDEX(INDIRECT(F_Custom2_resolved_column),1461)&amp;"|",F_Custom2_wrapped)),1,0),0))</f>
        <v>1</v>
      </c>
      <c r="F1462">
        <f>D1462*E1462*1</f>
        <v>1</v>
      </c>
      <c r="G1462">
        <f>1</f>
        <v>1</v>
      </c>
      <c r="H14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1461)&amp;"|",All_Questions_Q_STREAM_F_wrapped)),1,0),0))*1</f>
        <v>1</v>
      </c>
    </row>
    <row r="1463">
      <c r="A1463" t="n">
        <v>1462</v>
      </c>
      <c r="B1463" t="inlineStr">
        <is>
          <t>B</t>
        </is>
      </c>
      <c r="C1463">
        <f>1</f>
        <v>1</v>
      </c>
      <c r="D1463">
        <f>IF(OR(F_Custom1_Q="(None)",F_Custom1_Q="",ISBLANK(F_Custom1_Q),F_Custom1_V="(All)",F_Custom1_V="",ISBLANK(F_Custom1_V)),1,IFERROR(IF(ISNUMBER(SEARCH("|"&amp;INDEX(INDIRECT(F_Custom1_resolved_column),1462)&amp;"|",F_Custom1_wrapped)),1,0),0))</f>
        <v>1</v>
      </c>
      <c r="E1463">
        <f>IF(OR(F_Custom2_Q="(None)",F_Custom2_Q="",ISBLANK(F_Custom2_Q),F_Custom2_V="(All)",F_Custom2_V="",ISBLANK(F_Custom2_V)),1,IFERROR(IF(ISNUMBER(SEARCH("|"&amp;INDEX(INDIRECT(F_Custom2_resolved_column),1462)&amp;"|",F_Custom2_wrapped)),1,0),0))</f>
        <v>1</v>
      </c>
      <c r="F1463">
        <f>D1463*E1463*1</f>
        <v>1</v>
      </c>
      <c r="G1463">
        <f>1</f>
        <v>1</v>
      </c>
      <c r="H14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1462)&amp;"|",All_Questions_Q_STREAM_F_wrapped)),1,0),0))*1</f>
        <v>1</v>
      </c>
    </row>
    <row r="1464">
      <c r="A1464" t="n">
        <v>1463</v>
      </c>
      <c r="B1464" t="inlineStr">
        <is>
          <t>A</t>
        </is>
      </c>
      <c r="C1464">
        <f>1</f>
        <v>1</v>
      </c>
      <c r="D1464">
        <f>IF(OR(F_Custom1_Q="(None)",F_Custom1_Q="",ISBLANK(F_Custom1_Q),F_Custom1_V="(All)",F_Custom1_V="",ISBLANK(F_Custom1_V)),1,IFERROR(IF(ISNUMBER(SEARCH("|"&amp;INDEX(INDIRECT(F_Custom1_resolved_column),1463)&amp;"|",F_Custom1_wrapped)),1,0),0))</f>
        <v>1</v>
      </c>
      <c r="E1464">
        <f>IF(OR(F_Custom2_Q="(None)",F_Custom2_Q="",ISBLANK(F_Custom2_Q),F_Custom2_V="(All)",F_Custom2_V="",ISBLANK(F_Custom2_V)),1,IFERROR(IF(ISNUMBER(SEARCH("|"&amp;INDEX(INDIRECT(F_Custom2_resolved_column),1463)&amp;"|",F_Custom2_wrapped)),1,0),0))</f>
        <v>1</v>
      </c>
      <c r="F1464">
        <f>D1464*E1464*1</f>
        <v>1</v>
      </c>
      <c r="G1464">
        <f>1</f>
        <v>1</v>
      </c>
      <c r="H14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1463)&amp;"|",All_Questions_Q_STREAM_F_wrapped)),1,0),0))*1</f>
        <v>1</v>
      </c>
    </row>
    <row r="1465">
      <c r="A1465" t="n">
        <v>1464</v>
      </c>
      <c r="B1465" t="inlineStr">
        <is>
          <t>B</t>
        </is>
      </c>
      <c r="C1465">
        <f>1</f>
        <v>1</v>
      </c>
      <c r="D1465">
        <f>IF(OR(F_Custom1_Q="(None)",F_Custom1_Q="",ISBLANK(F_Custom1_Q),F_Custom1_V="(All)",F_Custom1_V="",ISBLANK(F_Custom1_V)),1,IFERROR(IF(ISNUMBER(SEARCH("|"&amp;INDEX(INDIRECT(F_Custom1_resolved_column),1464)&amp;"|",F_Custom1_wrapped)),1,0),0))</f>
        <v>1</v>
      </c>
      <c r="E1465">
        <f>IF(OR(F_Custom2_Q="(None)",F_Custom2_Q="",ISBLANK(F_Custom2_Q),F_Custom2_V="(All)",F_Custom2_V="",ISBLANK(F_Custom2_V)),1,IFERROR(IF(ISNUMBER(SEARCH("|"&amp;INDEX(INDIRECT(F_Custom2_resolved_column),1464)&amp;"|",F_Custom2_wrapped)),1,0),0))</f>
        <v>1</v>
      </c>
      <c r="F1465">
        <f>D1465*E1465*1</f>
        <v>1</v>
      </c>
      <c r="G1465">
        <f>1</f>
        <v>1</v>
      </c>
      <c r="H14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1464)&amp;"|",All_Questions_Q_STREAM_F_wrapped)),1,0),0))*1</f>
        <v>1</v>
      </c>
    </row>
    <row r="1466">
      <c r="A1466" t="n">
        <v>1465</v>
      </c>
      <c r="B1466" t="inlineStr">
        <is>
          <t>A</t>
        </is>
      </c>
      <c r="C1466">
        <f>1</f>
        <v>1</v>
      </c>
      <c r="D1466">
        <f>IF(OR(F_Custom1_Q="(None)",F_Custom1_Q="",ISBLANK(F_Custom1_Q),F_Custom1_V="(All)",F_Custom1_V="",ISBLANK(F_Custom1_V)),1,IFERROR(IF(ISNUMBER(SEARCH("|"&amp;INDEX(INDIRECT(F_Custom1_resolved_column),1465)&amp;"|",F_Custom1_wrapped)),1,0),0))</f>
        <v>1</v>
      </c>
      <c r="E1466">
        <f>IF(OR(F_Custom2_Q="(None)",F_Custom2_Q="",ISBLANK(F_Custom2_Q),F_Custom2_V="(All)",F_Custom2_V="",ISBLANK(F_Custom2_V)),1,IFERROR(IF(ISNUMBER(SEARCH("|"&amp;INDEX(INDIRECT(F_Custom2_resolved_column),1465)&amp;"|",F_Custom2_wrapped)),1,0),0))</f>
        <v>1</v>
      </c>
      <c r="F1466">
        <f>D1466*E1466*1</f>
        <v>1</v>
      </c>
      <c r="G1466">
        <f>1</f>
        <v>1</v>
      </c>
      <c r="H14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1465)&amp;"|",All_Questions_Q_STREAM_F_wrapped)),1,0),0))*1</f>
        <v>1</v>
      </c>
    </row>
    <row r="1467">
      <c r="A1467" t="n">
        <v>1466</v>
      </c>
      <c r="B1467" t="inlineStr">
        <is>
          <t>B</t>
        </is>
      </c>
      <c r="C1467">
        <f>1</f>
        <v>1</v>
      </c>
      <c r="D1467">
        <f>IF(OR(F_Custom1_Q="(None)",F_Custom1_Q="",ISBLANK(F_Custom1_Q),F_Custom1_V="(All)",F_Custom1_V="",ISBLANK(F_Custom1_V)),1,IFERROR(IF(ISNUMBER(SEARCH("|"&amp;INDEX(INDIRECT(F_Custom1_resolved_column),1466)&amp;"|",F_Custom1_wrapped)),1,0),0))</f>
        <v>1</v>
      </c>
      <c r="E1467">
        <f>IF(OR(F_Custom2_Q="(None)",F_Custom2_Q="",ISBLANK(F_Custom2_Q),F_Custom2_V="(All)",F_Custom2_V="",ISBLANK(F_Custom2_V)),1,IFERROR(IF(ISNUMBER(SEARCH("|"&amp;INDEX(INDIRECT(F_Custom2_resolved_column),1466)&amp;"|",F_Custom2_wrapped)),1,0),0))</f>
        <v>1</v>
      </c>
      <c r="F1467">
        <f>D1467*E1467*1</f>
        <v>1</v>
      </c>
      <c r="G1467">
        <f>1</f>
        <v>1</v>
      </c>
      <c r="H14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1466)&amp;"|",All_Questions_Q_STREAM_F_wrapped)),1,0),0))*1</f>
        <v>1</v>
      </c>
    </row>
    <row r="1468">
      <c r="A1468" t="n">
        <v>1467</v>
      </c>
      <c r="B1468" t="inlineStr">
        <is>
          <t>A</t>
        </is>
      </c>
      <c r="C1468">
        <f>1</f>
        <v>1</v>
      </c>
      <c r="D1468">
        <f>IF(OR(F_Custom1_Q="(None)",F_Custom1_Q="",ISBLANK(F_Custom1_Q),F_Custom1_V="(All)",F_Custom1_V="",ISBLANK(F_Custom1_V)),1,IFERROR(IF(ISNUMBER(SEARCH("|"&amp;INDEX(INDIRECT(F_Custom1_resolved_column),1467)&amp;"|",F_Custom1_wrapped)),1,0),0))</f>
        <v>1</v>
      </c>
      <c r="E1468">
        <f>IF(OR(F_Custom2_Q="(None)",F_Custom2_Q="",ISBLANK(F_Custom2_Q),F_Custom2_V="(All)",F_Custom2_V="",ISBLANK(F_Custom2_V)),1,IFERROR(IF(ISNUMBER(SEARCH("|"&amp;INDEX(INDIRECT(F_Custom2_resolved_column),1467)&amp;"|",F_Custom2_wrapped)),1,0),0))</f>
        <v>1</v>
      </c>
      <c r="F1468">
        <f>D1468*E1468*1</f>
        <v>1</v>
      </c>
      <c r="G1468">
        <f>1</f>
        <v>1</v>
      </c>
      <c r="H14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1467)&amp;"|",All_Questions_Q_STREAM_F_wrapped)),1,0),0))*1</f>
        <v>1</v>
      </c>
    </row>
    <row r="1469">
      <c r="A1469" t="n">
        <v>1468</v>
      </c>
      <c r="B1469" t="inlineStr">
        <is>
          <t>B</t>
        </is>
      </c>
      <c r="C1469">
        <f>1</f>
        <v>1</v>
      </c>
      <c r="D1469">
        <f>IF(OR(F_Custom1_Q="(None)",F_Custom1_Q="",ISBLANK(F_Custom1_Q),F_Custom1_V="(All)",F_Custom1_V="",ISBLANK(F_Custom1_V)),1,IFERROR(IF(ISNUMBER(SEARCH("|"&amp;INDEX(INDIRECT(F_Custom1_resolved_column),1468)&amp;"|",F_Custom1_wrapped)),1,0),0))</f>
        <v>1</v>
      </c>
      <c r="E1469">
        <f>IF(OR(F_Custom2_Q="(None)",F_Custom2_Q="",ISBLANK(F_Custom2_Q),F_Custom2_V="(All)",F_Custom2_V="",ISBLANK(F_Custom2_V)),1,IFERROR(IF(ISNUMBER(SEARCH("|"&amp;INDEX(INDIRECT(F_Custom2_resolved_column),1468)&amp;"|",F_Custom2_wrapped)),1,0),0))</f>
        <v>1</v>
      </c>
      <c r="F1469">
        <f>D1469*E1469*1</f>
        <v>1</v>
      </c>
      <c r="G1469">
        <f>1</f>
        <v>1</v>
      </c>
      <c r="H14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1468)&amp;"|",All_Questions_Q_STREAM_F_wrapped)),1,0),0))*1</f>
        <v>1</v>
      </c>
    </row>
    <row r="1470">
      <c r="A1470" t="n">
        <v>1469</v>
      </c>
      <c r="B1470" t="inlineStr">
        <is>
          <t>A</t>
        </is>
      </c>
      <c r="C1470">
        <f>1</f>
        <v>1</v>
      </c>
      <c r="D1470">
        <f>IF(OR(F_Custom1_Q="(None)",F_Custom1_Q="",ISBLANK(F_Custom1_Q),F_Custom1_V="(All)",F_Custom1_V="",ISBLANK(F_Custom1_V)),1,IFERROR(IF(ISNUMBER(SEARCH("|"&amp;INDEX(INDIRECT(F_Custom1_resolved_column),1469)&amp;"|",F_Custom1_wrapped)),1,0),0))</f>
        <v>1</v>
      </c>
      <c r="E1470">
        <f>IF(OR(F_Custom2_Q="(None)",F_Custom2_Q="",ISBLANK(F_Custom2_Q),F_Custom2_V="(All)",F_Custom2_V="",ISBLANK(F_Custom2_V)),1,IFERROR(IF(ISNUMBER(SEARCH("|"&amp;INDEX(INDIRECT(F_Custom2_resolved_column),1469)&amp;"|",F_Custom2_wrapped)),1,0),0))</f>
        <v>1</v>
      </c>
      <c r="F1470">
        <f>D1470*E1470*1</f>
        <v>1</v>
      </c>
      <c r="G1470">
        <f>1</f>
        <v>1</v>
      </c>
      <c r="H14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1469)&amp;"|",All_Questions_Q_STREAM_F_wrapped)),1,0),0))*1</f>
        <v>1</v>
      </c>
    </row>
    <row r="1471">
      <c r="A1471" t="n">
        <v>1470</v>
      </c>
      <c r="B1471" t="inlineStr">
        <is>
          <t>B</t>
        </is>
      </c>
      <c r="C1471">
        <f>1</f>
        <v>1</v>
      </c>
      <c r="D1471">
        <f>IF(OR(F_Custom1_Q="(None)",F_Custom1_Q="",ISBLANK(F_Custom1_Q),F_Custom1_V="(All)",F_Custom1_V="",ISBLANK(F_Custom1_V)),1,IFERROR(IF(ISNUMBER(SEARCH("|"&amp;INDEX(INDIRECT(F_Custom1_resolved_column),1470)&amp;"|",F_Custom1_wrapped)),1,0),0))</f>
        <v>1</v>
      </c>
      <c r="E1471">
        <f>IF(OR(F_Custom2_Q="(None)",F_Custom2_Q="",ISBLANK(F_Custom2_Q),F_Custom2_V="(All)",F_Custom2_V="",ISBLANK(F_Custom2_V)),1,IFERROR(IF(ISNUMBER(SEARCH("|"&amp;INDEX(INDIRECT(F_Custom2_resolved_column),1470)&amp;"|",F_Custom2_wrapped)),1,0),0))</f>
        <v>1</v>
      </c>
      <c r="F1471">
        <f>D1471*E1471*1</f>
        <v>1</v>
      </c>
      <c r="G1471">
        <f>1</f>
        <v>1</v>
      </c>
      <c r="H14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1470)&amp;"|",All_Questions_Q_STREAM_F_wrapped)),1,0),0))*1</f>
        <v>1</v>
      </c>
    </row>
    <row r="1472">
      <c r="A1472" t="n">
        <v>1471</v>
      </c>
      <c r="B1472" t="inlineStr">
        <is>
          <t>A</t>
        </is>
      </c>
      <c r="C1472">
        <f>1</f>
        <v>1</v>
      </c>
      <c r="D1472">
        <f>IF(OR(F_Custom1_Q="(None)",F_Custom1_Q="",ISBLANK(F_Custom1_Q),F_Custom1_V="(All)",F_Custom1_V="",ISBLANK(F_Custom1_V)),1,IFERROR(IF(ISNUMBER(SEARCH("|"&amp;INDEX(INDIRECT(F_Custom1_resolved_column),1471)&amp;"|",F_Custom1_wrapped)),1,0),0))</f>
        <v>1</v>
      </c>
      <c r="E1472">
        <f>IF(OR(F_Custom2_Q="(None)",F_Custom2_Q="",ISBLANK(F_Custom2_Q),F_Custom2_V="(All)",F_Custom2_V="",ISBLANK(F_Custom2_V)),1,IFERROR(IF(ISNUMBER(SEARCH("|"&amp;INDEX(INDIRECT(F_Custom2_resolved_column),1471)&amp;"|",F_Custom2_wrapped)),1,0),0))</f>
        <v>1</v>
      </c>
      <c r="F1472">
        <f>D1472*E1472*1</f>
        <v>1</v>
      </c>
      <c r="G1472">
        <f>1</f>
        <v>1</v>
      </c>
      <c r="H14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1471)&amp;"|",All_Questions_Q_STREAM_F_wrapped)),1,0),0))*1</f>
        <v>1</v>
      </c>
    </row>
    <row r="1473">
      <c r="A1473" t="n">
        <v>1472</v>
      </c>
      <c r="B1473" t="inlineStr">
        <is>
          <t>B</t>
        </is>
      </c>
      <c r="C1473">
        <f>1</f>
        <v>1</v>
      </c>
      <c r="D1473">
        <f>IF(OR(F_Custom1_Q="(None)",F_Custom1_Q="",ISBLANK(F_Custom1_Q),F_Custom1_V="(All)",F_Custom1_V="",ISBLANK(F_Custom1_V)),1,IFERROR(IF(ISNUMBER(SEARCH("|"&amp;INDEX(INDIRECT(F_Custom1_resolved_column),1472)&amp;"|",F_Custom1_wrapped)),1,0),0))</f>
        <v>1</v>
      </c>
      <c r="E1473">
        <f>IF(OR(F_Custom2_Q="(None)",F_Custom2_Q="",ISBLANK(F_Custom2_Q),F_Custom2_V="(All)",F_Custom2_V="",ISBLANK(F_Custom2_V)),1,IFERROR(IF(ISNUMBER(SEARCH("|"&amp;INDEX(INDIRECT(F_Custom2_resolved_column),1472)&amp;"|",F_Custom2_wrapped)),1,0),0))</f>
        <v>1</v>
      </c>
      <c r="F1473">
        <f>D1473*E1473*1</f>
        <v>1</v>
      </c>
      <c r="G1473">
        <f>1</f>
        <v>1</v>
      </c>
      <c r="H14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1472)&amp;"|",All_Questions_Q_STREAM_F_wrapped)),1,0),0))*1</f>
        <v>1</v>
      </c>
    </row>
    <row r="1474">
      <c r="A1474" t="n">
        <v>1473</v>
      </c>
      <c r="B1474" t="inlineStr">
        <is>
          <t>A</t>
        </is>
      </c>
      <c r="C1474">
        <f>1</f>
        <v>1</v>
      </c>
      <c r="D1474">
        <f>IF(OR(F_Custom1_Q="(None)",F_Custom1_Q="",ISBLANK(F_Custom1_Q),F_Custom1_V="(All)",F_Custom1_V="",ISBLANK(F_Custom1_V)),1,IFERROR(IF(ISNUMBER(SEARCH("|"&amp;INDEX(INDIRECT(F_Custom1_resolved_column),1473)&amp;"|",F_Custom1_wrapped)),1,0),0))</f>
        <v>1</v>
      </c>
      <c r="E1474">
        <f>IF(OR(F_Custom2_Q="(None)",F_Custom2_Q="",ISBLANK(F_Custom2_Q),F_Custom2_V="(All)",F_Custom2_V="",ISBLANK(F_Custom2_V)),1,IFERROR(IF(ISNUMBER(SEARCH("|"&amp;INDEX(INDIRECT(F_Custom2_resolved_column),1473)&amp;"|",F_Custom2_wrapped)),1,0),0))</f>
        <v>1</v>
      </c>
      <c r="F1474">
        <f>D1474*E1474*1</f>
        <v>1</v>
      </c>
      <c r="G1474">
        <f>1</f>
        <v>1</v>
      </c>
      <c r="H14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1473)&amp;"|",All_Questions_Q_STREAM_F_wrapped)),1,0),0))*1</f>
        <v>1</v>
      </c>
    </row>
    <row r="1475">
      <c r="A1475" t="n">
        <v>1474</v>
      </c>
      <c r="B1475" t="inlineStr">
        <is>
          <t>B</t>
        </is>
      </c>
      <c r="C1475">
        <f>1</f>
        <v>1</v>
      </c>
      <c r="D1475">
        <f>IF(OR(F_Custom1_Q="(None)",F_Custom1_Q="",ISBLANK(F_Custom1_Q),F_Custom1_V="(All)",F_Custom1_V="",ISBLANK(F_Custom1_V)),1,IFERROR(IF(ISNUMBER(SEARCH("|"&amp;INDEX(INDIRECT(F_Custom1_resolved_column),1474)&amp;"|",F_Custom1_wrapped)),1,0),0))</f>
        <v>1</v>
      </c>
      <c r="E1475">
        <f>IF(OR(F_Custom2_Q="(None)",F_Custom2_Q="",ISBLANK(F_Custom2_Q),F_Custom2_V="(All)",F_Custom2_V="",ISBLANK(F_Custom2_V)),1,IFERROR(IF(ISNUMBER(SEARCH("|"&amp;INDEX(INDIRECT(F_Custom2_resolved_column),1474)&amp;"|",F_Custom2_wrapped)),1,0),0))</f>
        <v>1</v>
      </c>
      <c r="F1475">
        <f>D1475*E1475*1</f>
        <v>1</v>
      </c>
      <c r="G1475">
        <f>1</f>
        <v>1</v>
      </c>
      <c r="H14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1474)&amp;"|",All_Questions_Q_STREAM_F_wrapped)),1,0),0))*1</f>
        <v>1</v>
      </c>
    </row>
    <row r="1476">
      <c r="A1476" t="n">
        <v>1475</v>
      </c>
      <c r="B1476" t="inlineStr">
        <is>
          <t>A</t>
        </is>
      </c>
      <c r="C1476">
        <f>1</f>
        <v>1</v>
      </c>
      <c r="D1476">
        <f>IF(OR(F_Custom1_Q="(None)",F_Custom1_Q="",ISBLANK(F_Custom1_Q),F_Custom1_V="(All)",F_Custom1_V="",ISBLANK(F_Custom1_V)),1,IFERROR(IF(ISNUMBER(SEARCH("|"&amp;INDEX(INDIRECT(F_Custom1_resolved_column),1475)&amp;"|",F_Custom1_wrapped)),1,0),0))</f>
        <v>1</v>
      </c>
      <c r="E1476">
        <f>IF(OR(F_Custom2_Q="(None)",F_Custom2_Q="",ISBLANK(F_Custom2_Q),F_Custom2_V="(All)",F_Custom2_V="",ISBLANK(F_Custom2_V)),1,IFERROR(IF(ISNUMBER(SEARCH("|"&amp;INDEX(INDIRECT(F_Custom2_resolved_column),1475)&amp;"|",F_Custom2_wrapped)),1,0),0))</f>
        <v>1</v>
      </c>
      <c r="F1476">
        <f>D1476*E1476*1</f>
        <v>1</v>
      </c>
      <c r="G1476">
        <f>1</f>
        <v>1</v>
      </c>
      <c r="H14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1475)&amp;"|",All_Questions_Q_STREAM_F_wrapped)),1,0),0))*1</f>
        <v>1</v>
      </c>
    </row>
    <row r="1477">
      <c r="A1477" t="n">
        <v>1476</v>
      </c>
      <c r="B1477" t="inlineStr">
        <is>
          <t>B</t>
        </is>
      </c>
      <c r="C1477">
        <f>1</f>
        <v>1</v>
      </c>
      <c r="D1477">
        <f>IF(OR(F_Custom1_Q="(None)",F_Custom1_Q="",ISBLANK(F_Custom1_Q),F_Custom1_V="(All)",F_Custom1_V="",ISBLANK(F_Custom1_V)),1,IFERROR(IF(ISNUMBER(SEARCH("|"&amp;INDEX(INDIRECT(F_Custom1_resolved_column),1476)&amp;"|",F_Custom1_wrapped)),1,0),0))</f>
        <v>1</v>
      </c>
      <c r="E1477">
        <f>IF(OR(F_Custom2_Q="(None)",F_Custom2_Q="",ISBLANK(F_Custom2_Q),F_Custom2_V="(All)",F_Custom2_V="",ISBLANK(F_Custom2_V)),1,IFERROR(IF(ISNUMBER(SEARCH("|"&amp;INDEX(INDIRECT(F_Custom2_resolved_column),1476)&amp;"|",F_Custom2_wrapped)),1,0),0))</f>
        <v>1</v>
      </c>
      <c r="F1477">
        <f>D1477*E1477*1</f>
        <v>1</v>
      </c>
      <c r="G1477">
        <f>1</f>
        <v>1</v>
      </c>
      <c r="H14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1476)&amp;"|",All_Questions_Q_STREAM_F_wrapped)),1,0),0))*1</f>
        <v>1</v>
      </c>
    </row>
    <row r="1478">
      <c r="A1478" t="n">
        <v>1477</v>
      </c>
      <c r="B1478" t="inlineStr">
        <is>
          <t>A</t>
        </is>
      </c>
      <c r="C1478">
        <f>1</f>
        <v>1</v>
      </c>
      <c r="D1478">
        <f>IF(OR(F_Custom1_Q="(None)",F_Custom1_Q="",ISBLANK(F_Custom1_Q),F_Custom1_V="(All)",F_Custom1_V="",ISBLANK(F_Custom1_V)),1,IFERROR(IF(ISNUMBER(SEARCH("|"&amp;INDEX(INDIRECT(F_Custom1_resolved_column),1477)&amp;"|",F_Custom1_wrapped)),1,0),0))</f>
        <v>1</v>
      </c>
      <c r="E1478">
        <f>IF(OR(F_Custom2_Q="(None)",F_Custom2_Q="",ISBLANK(F_Custom2_Q),F_Custom2_V="(All)",F_Custom2_V="",ISBLANK(F_Custom2_V)),1,IFERROR(IF(ISNUMBER(SEARCH("|"&amp;INDEX(INDIRECT(F_Custom2_resolved_column),1477)&amp;"|",F_Custom2_wrapped)),1,0),0))</f>
        <v>1</v>
      </c>
      <c r="F1478">
        <f>D1478*E1478*1</f>
        <v>1</v>
      </c>
      <c r="G1478">
        <f>1</f>
        <v>1</v>
      </c>
      <c r="H14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1477)&amp;"|",All_Questions_Q_STREAM_F_wrapped)),1,0),0))*1</f>
        <v>1</v>
      </c>
    </row>
    <row r="1479">
      <c r="A1479" t="n">
        <v>1478</v>
      </c>
      <c r="B1479" t="inlineStr">
        <is>
          <t>B</t>
        </is>
      </c>
      <c r="C1479">
        <f>1</f>
        <v>1</v>
      </c>
      <c r="D1479">
        <f>IF(OR(F_Custom1_Q="(None)",F_Custom1_Q="",ISBLANK(F_Custom1_Q),F_Custom1_V="(All)",F_Custom1_V="",ISBLANK(F_Custom1_V)),1,IFERROR(IF(ISNUMBER(SEARCH("|"&amp;INDEX(INDIRECT(F_Custom1_resolved_column),1478)&amp;"|",F_Custom1_wrapped)),1,0),0))</f>
        <v>1</v>
      </c>
      <c r="E1479">
        <f>IF(OR(F_Custom2_Q="(None)",F_Custom2_Q="",ISBLANK(F_Custom2_Q),F_Custom2_V="(All)",F_Custom2_V="",ISBLANK(F_Custom2_V)),1,IFERROR(IF(ISNUMBER(SEARCH("|"&amp;INDEX(INDIRECT(F_Custom2_resolved_column),1478)&amp;"|",F_Custom2_wrapped)),1,0),0))</f>
        <v>1</v>
      </c>
      <c r="F1479">
        <f>D1479*E1479*1</f>
        <v>1</v>
      </c>
      <c r="G1479">
        <f>1</f>
        <v>1</v>
      </c>
      <c r="H14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1478)&amp;"|",All_Questions_Q_STREAM_F_wrapped)),1,0),0))*1</f>
        <v>1</v>
      </c>
    </row>
    <row r="1480">
      <c r="A1480" t="n">
        <v>1479</v>
      </c>
      <c r="B1480" t="inlineStr">
        <is>
          <t>A</t>
        </is>
      </c>
      <c r="C1480">
        <f>1</f>
        <v>1</v>
      </c>
      <c r="D1480">
        <f>IF(OR(F_Custom1_Q="(None)",F_Custom1_Q="",ISBLANK(F_Custom1_Q),F_Custom1_V="(All)",F_Custom1_V="",ISBLANK(F_Custom1_V)),1,IFERROR(IF(ISNUMBER(SEARCH("|"&amp;INDEX(INDIRECT(F_Custom1_resolved_column),1479)&amp;"|",F_Custom1_wrapped)),1,0),0))</f>
        <v>1</v>
      </c>
      <c r="E1480">
        <f>IF(OR(F_Custom2_Q="(None)",F_Custom2_Q="",ISBLANK(F_Custom2_Q),F_Custom2_V="(All)",F_Custom2_V="",ISBLANK(F_Custom2_V)),1,IFERROR(IF(ISNUMBER(SEARCH("|"&amp;INDEX(INDIRECT(F_Custom2_resolved_column),1479)&amp;"|",F_Custom2_wrapped)),1,0),0))</f>
        <v>1</v>
      </c>
      <c r="F1480">
        <f>D1480*E1480*1</f>
        <v>1</v>
      </c>
      <c r="G1480">
        <f>1</f>
        <v>1</v>
      </c>
      <c r="H14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1479)&amp;"|",All_Questions_Q_STREAM_F_wrapped)),1,0),0))*1</f>
        <v>1</v>
      </c>
    </row>
    <row r="1481">
      <c r="A1481" t="n">
        <v>1480</v>
      </c>
      <c r="B1481" t="inlineStr">
        <is>
          <t>B</t>
        </is>
      </c>
      <c r="C1481">
        <f>1</f>
        <v>1</v>
      </c>
      <c r="D1481">
        <f>IF(OR(F_Custom1_Q="(None)",F_Custom1_Q="",ISBLANK(F_Custom1_Q),F_Custom1_V="(All)",F_Custom1_V="",ISBLANK(F_Custom1_V)),1,IFERROR(IF(ISNUMBER(SEARCH("|"&amp;INDEX(INDIRECT(F_Custom1_resolved_column),1480)&amp;"|",F_Custom1_wrapped)),1,0),0))</f>
        <v>1</v>
      </c>
      <c r="E1481">
        <f>IF(OR(F_Custom2_Q="(None)",F_Custom2_Q="",ISBLANK(F_Custom2_Q),F_Custom2_V="(All)",F_Custom2_V="",ISBLANK(F_Custom2_V)),1,IFERROR(IF(ISNUMBER(SEARCH("|"&amp;INDEX(INDIRECT(F_Custom2_resolved_column),1480)&amp;"|",F_Custom2_wrapped)),1,0),0))</f>
        <v>1</v>
      </c>
      <c r="F1481">
        <f>D1481*E1481*1</f>
        <v>1</v>
      </c>
      <c r="G1481">
        <f>1</f>
        <v>1</v>
      </c>
      <c r="H14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1480)&amp;"|",All_Questions_Q_STREAM_F_wrapped)),1,0),0))*1</f>
        <v>1</v>
      </c>
    </row>
    <row r="1482">
      <c r="A1482" t="n">
        <v>1481</v>
      </c>
      <c r="B1482" t="inlineStr">
        <is>
          <t>A</t>
        </is>
      </c>
      <c r="C1482">
        <f>1</f>
        <v>1</v>
      </c>
      <c r="D1482">
        <f>IF(OR(F_Custom1_Q="(None)",F_Custom1_Q="",ISBLANK(F_Custom1_Q),F_Custom1_V="(All)",F_Custom1_V="",ISBLANK(F_Custom1_V)),1,IFERROR(IF(ISNUMBER(SEARCH("|"&amp;INDEX(INDIRECT(F_Custom1_resolved_column),1481)&amp;"|",F_Custom1_wrapped)),1,0),0))</f>
        <v>1</v>
      </c>
      <c r="E1482">
        <f>IF(OR(F_Custom2_Q="(None)",F_Custom2_Q="",ISBLANK(F_Custom2_Q),F_Custom2_V="(All)",F_Custom2_V="",ISBLANK(F_Custom2_V)),1,IFERROR(IF(ISNUMBER(SEARCH("|"&amp;INDEX(INDIRECT(F_Custom2_resolved_column),1481)&amp;"|",F_Custom2_wrapped)),1,0),0))</f>
        <v>1</v>
      </c>
      <c r="F1482">
        <f>D1482*E1482*1</f>
        <v>1</v>
      </c>
      <c r="G1482">
        <f>1</f>
        <v>1</v>
      </c>
      <c r="H14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1481)&amp;"|",All_Questions_Q_STREAM_F_wrapped)),1,0),0))*1</f>
        <v>1</v>
      </c>
    </row>
    <row r="1483">
      <c r="A1483" t="n">
        <v>1482</v>
      </c>
      <c r="B1483" t="inlineStr">
        <is>
          <t>B</t>
        </is>
      </c>
      <c r="C1483">
        <f>1</f>
        <v>1</v>
      </c>
      <c r="D1483">
        <f>IF(OR(F_Custom1_Q="(None)",F_Custom1_Q="",ISBLANK(F_Custom1_Q),F_Custom1_V="(All)",F_Custom1_V="",ISBLANK(F_Custom1_V)),1,IFERROR(IF(ISNUMBER(SEARCH("|"&amp;INDEX(INDIRECT(F_Custom1_resolved_column),1482)&amp;"|",F_Custom1_wrapped)),1,0),0))</f>
        <v>1</v>
      </c>
      <c r="E1483">
        <f>IF(OR(F_Custom2_Q="(None)",F_Custom2_Q="",ISBLANK(F_Custom2_Q),F_Custom2_V="(All)",F_Custom2_V="",ISBLANK(F_Custom2_V)),1,IFERROR(IF(ISNUMBER(SEARCH("|"&amp;INDEX(INDIRECT(F_Custom2_resolved_column),1482)&amp;"|",F_Custom2_wrapped)),1,0),0))</f>
        <v>1</v>
      </c>
      <c r="F1483">
        <f>D1483*E1483*1</f>
        <v>1</v>
      </c>
      <c r="G1483">
        <f>1</f>
        <v>1</v>
      </c>
      <c r="H14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1482)&amp;"|",All_Questions_Q_STREAM_F_wrapped)),1,0),0))*1</f>
        <v>1</v>
      </c>
    </row>
    <row r="1484">
      <c r="A1484" t="n">
        <v>1483</v>
      </c>
      <c r="B1484" t="inlineStr">
        <is>
          <t>A</t>
        </is>
      </c>
      <c r="C1484">
        <f>1</f>
        <v>1</v>
      </c>
      <c r="D1484">
        <f>IF(OR(F_Custom1_Q="(None)",F_Custom1_Q="",ISBLANK(F_Custom1_Q),F_Custom1_V="(All)",F_Custom1_V="",ISBLANK(F_Custom1_V)),1,IFERROR(IF(ISNUMBER(SEARCH("|"&amp;INDEX(INDIRECT(F_Custom1_resolved_column),1483)&amp;"|",F_Custom1_wrapped)),1,0),0))</f>
        <v>1</v>
      </c>
      <c r="E1484">
        <f>IF(OR(F_Custom2_Q="(None)",F_Custom2_Q="",ISBLANK(F_Custom2_Q),F_Custom2_V="(All)",F_Custom2_V="",ISBLANK(F_Custom2_V)),1,IFERROR(IF(ISNUMBER(SEARCH("|"&amp;INDEX(INDIRECT(F_Custom2_resolved_column),1483)&amp;"|",F_Custom2_wrapped)),1,0),0))</f>
        <v>1</v>
      </c>
      <c r="F1484">
        <f>D1484*E1484*1</f>
        <v>1</v>
      </c>
      <c r="G1484">
        <f>1</f>
        <v>1</v>
      </c>
      <c r="H14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1483)&amp;"|",All_Questions_Q_STREAM_F_wrapped)),1,0),0))*1</f>
        <v>1</v>
      </c>
    </row>
    <row r="1485">
      <c r="A1485" t="n">
        <v>1484</v>
      </c>
      <c r="B1485" t="inlineStr">
        <is>
          <t>B</t>
        </is>
      </c>
      <c r="C1485">
        <f>1</f>
        <v>1</v>
      </c>
      <c r="D1485">
        <f>IF(OR(F_Custom1_Q="(None)",F_Custom1_Q="",ISBLANK(F_Custom1_Q),F_Custom1_V="(All)",F_Custom1_V="",ISBLANK(F_Custom1_V)),1,IFERROR(IF(ISNUMBER(SEARCH("|"&amp;INDEX(INDIRECT(F_Custom1_resolved_column),1484)&amp;"|",F_Custom1_wrapped)),1,0),0))</f>
        <v>1</v>
      </c>
      <c r="E1485">
        <f>IF(OR(F_Custom2_Q="(None)",F_Custom2_Q="",ISBLANK(F_Custom2_Q),F_Custom2_V="(All)",F_Custom2_V="",ISBLANK(F_Custom2_V)),1,IFERROR(IF(ISNUMBER(SEARCH("|"&amp;INDEX(INDIRECT(F_Custom2_resolved_column),1484)&amp;"|",F_Custom2_wrapped)),1,0),0))</f>
        <v>1</v>
      </c>
      <c r="F1485">
        <f>D1485*E1485*1</f>
        <v>1</v>
      </c>
      <c r="G1485">
        <f>1</f>
        <v>1</v>
      </c>
      <c r="H14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1484)&amp;"|",All_Questions_Q_STREAM_F_wrapped)),1,0),0))*1</f>
        <v>1</v>
      </c>
    </row>
    <row r="1486">
      <c r="A1486" t="n">
        <v>1485</v>
      </c>
      <c r="B1486" t="inlineStr">
        <is>
          <t>A</t>
        </is>
      </c>
      <c r="C1486">
        <f>1</f>
        <v>1</v>
      </c>
      <c r="D1486">
        <f>IF(OR(F_Custom1_Q="(None)",F_Custom1_Q="",ISBLANK(F_Custom1_Q),F_Custom1_V="(All)",F_Custom1_V="",ISBLANK(F_Custom1_V)),1,IFERROR(IF(ISNUMBER(SEARCH("|"&amp;INDEX(INDIRECT(F_Custom1_resolved_column),1485)&amp;"|",F_Custom1_wrapped)),1,0),0))</f>
        <v>1</v>
      </c>
      <c r="E1486">
        <f>IF(OR(F_Custom2_Q="(None)",F_Custom2_Q="",ISBLANK(F_Custom2_Q),F_Custom2_V="(All)",F_Custom2_V="",ISBLANK(F_Custom2_V)),1,IFERROR(IF(ISNUMBER(SEARCH("|"&amp;INDEX(INDIRECT(F_Custom2_resolved_column),1485)&amp;"|",F_Custom2_wrapped)),1,0),0))</f>
        <v>1</v>
      </c>
      <c r="F1486">
        <f>D1486*E1486*1</f>
        <v>1</v>
      </c>
      <c r="G1486">
        <f>1</f>
        <v>1</v>
      </c>
      <c r="H14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1485)&amp;"|",All_Questions_Q_STREAM_F_wrapped)),1,0),0))*1</f>
        <v>1</v>
      </c>
    </row>
    <row r="1487">
      <c r="A1487" t="n">
        <v>1486</v>
      </c>
      <c r="B1487" t="inlineStr">
        <is>
          <t>B</t>
        </is>
      </c>
      <c r="C1487">
        <f>1</f>
        <v>1</v>
      </c>
      <c r="D1487">
        <f>IF(OR(F_Custom1_Q="(None)",F_Custom1_Q="",ISBLANK(F_Custom1_Q),F_Custom1_V="(All)",F_Custom1_V="",ISBLANK(F_Custom1_V)),1,IFERROR(IF(ISNUMBER(SEARCH("|"&amp;INDEX(INDIRECT(F_Custom1_resolved_column),1486)&amp;"|",F_Custom1_wrapped)),1,0),0))</f>
        <v>1</v>
      </c>
      <c r="E1487">
        <f>IF(OR(F_Custom2_Q="(None)",F_Custom2_Q="",ISBLANK(F_Custom2_Q),F_Custom2_V="(All)",F_Custom2_V="",ISBLANK(F_Custom2_V)),1,IFERROR(IF(ISNUMBER(SEARCH("|"&amp;INDEX(INDIRECT(F_Custom2_resolved_column),1486)&amp;"|",F_Custom2_wrapped)),1,0),0))</f>
        <v>1</v>
      </c>
      <c r="F1487">
        <f>D1487*E1487*1</f>
        <v>1</v>
      </c>
      <c r="G1487">
        <f>1</f>
        <v>1</v>
      </c>
      <c r="H14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1486)&amp;"|",All_Questions_Q_STREAM_F_wrapped)),1,0),0))*1</f>
        <v>1</v>
      </c>
    </row>
    <row r="1488">
      <c r="A1488" t="n">
        <v>1487</v>
      </c>
      <c r="B1488" t="inlineStr">
        <is>
          <t>A</t>
        </is>
      </c>
      <c r="C1488">
        <f>1</f>
        <v>1</v>
      </c>
      <c r="D1488">
        <f>IF(OR(F_Custom1_Q="(None)",F_Custom1_Q="",ISBLANK(F_Custom1_Q),F_Custom1_V="(All)",F_Custom1_V="",ISBLANK(F_Custom1_V)),1,IFERROR(IF(ISNUMBER(SEARCH("|"&amp;INDEX(INDIRECT(F_Custom1_resolved_column),1487)&amp;"|",F_Custom1_wrapped)),1,0),0))</f>
        <v>1</v>
      </c>
      <c r="E1488">
        <f>IF(OR(F_Custom2_Q="(None)",F_Custom2_Q="",ISBLANK(F_Custom2_Q),F_Custom2_V="(All)",F_Custom2_V="",ISBLANK(F_Custom2_V)),1,IFERROR(IF(ISNUMBER(SEARCH("|"&amp;INDEX(INDIRECT(F_Custom2_resolved_column),1487)&amp;"|",F_Custom2_wrapped)),1,0),0))</f>
        <v>1</v>
      </c>
      <c r="F1488">
        <f>D1488*E1488*1</f>
        <v>1</v>
      </c>
      <c r="G1488">
        <f>1</f>
        <v>1</v>
      </c>
      <c r="H14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1487)&amp;"|",All_Questions_Q_STREAM_F_wrapped)),1,0),0))*1</f>
        <v>1</v>
      </c>
    </row>
    <row r="1489">
      <c r="A1489" t="n">
        <v>1488</v>
      </c>
      <c r="B1489" t="inlineStr">
        <is>
          <t>B</t>
        </is>
      </c>
      <c r="C1489">
        <f>1</f>
        <v>1</v>
      </c>
      <c r="D1489">
        <f>IF(OR(F_Custom1_Q="(None)",F_Custom1_Q="",ISBLANK(F_Custom1_Q),F_Custom1_V="(All)",F_Custom1_V="",ISBLANK(F_Custom1_V)),1,IFERROR(IF(ISNUMBER(SEARCH("|"&amp;INDEX(INDIRECT(F_Custom1_resolved_column),1488)&amp;"|",F_Custom1_wrapped)),1,0),0))</f>
        <v>1</v>
      </c>
      <c r="E1489">
        <f>IF(OR(F_Custom2_Q="(None)",F_Custom2_Q="",ISBLANK(F_Custom2_Q),F_Custom2_V="(All)",F_Custom2_V="",ISBLANK(F_Custom2_V)),1,IFERROR(IF(ISNUMBER(SEARCH("|"&amp;INDEX(INDIRECT(F_Custom2_resolved_column),1488)&amp;"|",F_Custom2_wrapped)),1,0),0))</f>
        <v>1</v>
      </c>
      <c r="F1489">
        <f>D1489*E1489*1</f>
        <v>1</v>
      </c>
      <c r="G1489">
        <f>1</f>
        <v>1</v>
      </c>
      <c r="H14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1488)&amp;"|",All_Questions_Q_STREAM_F_wrapped)),1,0),0))*1</f>
        <v>1</v>
      </c>
    </row>
    <row r="1490">
      <c r="A1490" t="n">
        <v>1489</v>
      </c>
      <c r="B1490" t="inlineStr">
        <is>
          <t>A</t>
        </is>
      </c>
      <c r="C1490">
        <f>1</f>
        <v>1</v>
      </c>
      <c r="D1490">
        <f>IF(OR(F_Custom1_Q="(None)",F_Custom1_Q="",ISBLANK(F_Custom1_Q),F_Custom1_V="(All)",F_Custom1_V="",ISBLANK(F_Custom1_V)),1,IFERROR(IF(ISNUMBER(SEARCH("|"&amp;INDEX(INDIRECT(F_Custom1_resolved_column),1489)&amp;"|",F_Custom1_wrapped)),1,0),0))</f>
        <v>1</v>
      </c>
      <c r="E1490">
        <f>IF(OR(F_Custom2_Q="(None)",F_Custom2_Q="",ISBLANK(F_Custom2_Q),F_Custom2_V="(All)",F_Custom2_V="",ISBLANK(F_Custom2_V)),1,IFERROR(IF(ISNUMBER(SEARCH("|"&amp;INDEX(INDIRECT(F_Custom2_resolved_column),1489)&amp;"|",F_Custom2_wrapped)),1,0),0))</f>
        <v>1</v>
      </c>
      <c r="F1490">
        <f>D1490*E1490*1</f>
        <v>1</v>
      </c>
      <c r="G1490">
        <f>1</f>
        <v>1</v>
      </c>
      <c r="H14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1489)&amp;"|",All_Questions_Q_STREAM_F_wrapped)),1,0),0))*1</f>
        <v>1</v>
      </c>
    </row>
    <row r="1491">
      <c r="A1491" t="n">
        <v>1490</v>
      </c>
      <c r="B1491" t="inlineStr">
        <is>
          <t>B</t>
        </is>
      </c>
      <c r="C1491">
        <f>1</f>
        <v>1</v>
      </c>
      <c r="D1491">
        <f>IF(OR(F_Custom1_Q="(None)",F_Custom1_Q="",ISBLANK(F_Custom1_Q),F_Custom1_V="(All)",F_Custom1_V="",ISBLANK(F_Custom1_V)),1,IFERROR(IF(ISNUMBER(SEARCH("|"&amp;INDEX(INDIRECT(F_Custom1_resolved_column),1490)&amp;"|",F_Custom1_wrapped)),1,0),0))</f>
        <v>1</v>
      </c>
      <c r="E1491">
        <f>IF(OR(F_Custom2_Q="(None)",F_Custom2_Q="",ISBLANK(F_Custom2_Q),F_Custom2_V="(All)",F_Custom2_V="",ISBLANK(F_Custom2_V)),1,IFERROR(IF(ISNUMBER(SEARCH("|"&amp;INDEX(INDIRECT(F_Custom2_resolved_column),1490)&amp;"|",F_Custom2_wrapped)),1,0),0))</f>
        <v>1</v>
      </c>
      <c r="F1491">
        <f>D1491*E1491*1</f>
        <v>1</v>
      </c>
      <c r="G1491">
        <f>1</f>
        <v>1</v>
      </c>
      <c r="H14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1490)&amp;"|",All_Questions_Q_STREAM_F_wrapped)),1,0),0))*1</f>
        <v>1</v>
      </c>
    </row>
    <row r="1492">
      <c r="A1492" t="n">
        <v>1491</v>
      </c>
      <c r="B1492" t="inlineStr">
        <is>
          <t>A</t>
        </is>
      </c>
      <c r="C1492">
        <f>1</f>
        <v>1</v>
      </c>
      <c r="D1492">
        <f>IF(OR(F_Custom1_Q="(None)",F_Custom1_Q="",ISBLANK(F_Custom1_Q),F_Custom1_V="(All)",F_Custom1_V="",ISBLANK(F_Custom1_V)),1,IFERROR(IF(ISNUMBER(SEARCH("|"&amp;INDEX(INDIRECT(F_Custom1_resolved_column),1491)&amp;"|",F_Custom1_wrapped)),1,0),0))</f>
        <v>1</v>
      </c>
      <c r="E1492">
        <f>IF(OR(F_Custom2_Q="(None)",F_Custom2_Q="",ISBLANK(F_Custom2_Q),F_Custom2_V="(All)",F_Custom2_V="",ISBLANK(F_Custom2_V)),1,IFERROR(IF(ISNUMBER(SEARCH("|"&amp;INDEX(INDIRECT(F_Custom2_resolved_column),1491)&amp;"|",F_Custom2_wrapped)),1,0),0))</f>
        <v>1</v>
      </c>
      <c r="F1492">
        <f>D1492*E1492*1</f>
        <v>1</v>
      </c>
      <c r="G1492">
        <f>1</f>
        <v>1</v>
      </c>
      <c r="H14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1491)&amp;"|",All_Questions_Q_STREAM_F_wrapped)),1,0),0))*1</f>
        <v>1</v>
      </c>
    </row>
    <row r="1493">
      <c r="A1493" t="n">
        <v>1492</v>
      </c>
      <c r="B1493" t="inlineStr">
        <is>
          <t>B</t>
        </is>
      </c>
      <c r="C1493">
        <f>1</f>
        <v>1</v>
      </c>
      <c r="D1493">
        <f>IF(OR(F_Custom1_Q="(None)",F_Custom1_Q="",ISBLANK(F_Custom1_Q),F_Custom1_V="(All)",F_Custom1_V="",ISBLANK(F_Custom1_V)),1,IFERROR(IF(ISNUMBER(SEARCH("|"&amp;INDEX(INDIRECT(F_Custom1_resolved_column),1492)&amp;"|",F_Custom1_wrapped)),1,0),0))</f>
        <v>1</v>
      </c>
      <c r="E1493">
        <f>IF(OR(F_Custom2_Q="(None)",F_Custom2_Q="",ISBLANK(F_Custom2_Q),F_Custom2_V="(All)",F_Custom2_V="",ISBLANK(F_Custom2_V)),1,IFERROR(IF(ISNUMBER(SEARCH("|"&amp;INDEX(INDIRECT(F_Custom2_resolved_column),1492)&amp;"|",F_Custom2_wrapped)),1,0),0))</f>
        <v>1</v>
      </c>
      <c r="F1493">
        <f>D1493*E1493*1</f>
        <v>1</v>
      </c>
      <c r="G1493">
        <f>1</f>
        <v>1</v>
      </c>
      <c r="H14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1492)&amp;"|",All_Questions_Q_STREAM_F_wrapped)),1,0),0))*1</f>
        <v>1</v>
      </c>
    </row>
    <row r="1494">
      <c r="A1494" t="n">
        <v>1493</v>
      </c>
      <c r="B1494" t="inlineStr">
        <is>
          <t>A</t>
        </is>
      </c>
      <c r="C1494">
        <f>1</f>
        <v>1</v>
      </c>
      <c r="D1494">
        <f>IF(OR(F_Custom1_Q="(None)",F_Custom1_Q="",ISBLANK(F_Custom1_Q),F_Custom1_V="(All)",F_Custom1_V="",ISBLANK(F_Custom1_V)),1,IFERROR(IF(ISNUMBER(SEARCH("|"&amp;INDEX(INDIRECT(F_Custom1_resolved_column),1493)&amp;"|",F_Custom1_wrapped)),1,0),0))</f>
        <v>1</v>
      </c>
      <c r="E1494">
        <f>IF(OR(F_Custom2_Q="(None)",F_Custom2_Q="",ISBLANK(F_Custom2_Q),F_Custom2_V="(All)",F_Custom2_V="",ISBLANK(F_Custom2_V)),1,IFERROR(IF(ISNUMBER(SEARCH("|"&amp;INDEX(INDIRECT(F_Custom2_resolved_column),1493)&amp;"|",F_Custom2_wrapped)),1,0),0))</f>
        <v>1</v>
      </c>
      <c r="F1494">
        <f>D1494*E1494*1</f>
        <v>1</v>
      </c>
      <c r="G1494">
        <f>1</f>
        <v>1</v>
      </c>
      <c r="H14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1493)&amp;"|",All_Questions_Q_STREAM_F_wrapped)),1,0),0))*1</f>
        <v>1</v>
      </c>
    </row>
    <row r="1495">
      <c r="A1495" t="n">
        <v>1494</v>
      </c>
      <c r="B1495" t="inlineStr">
        <is>
          <t>B</t>
        </is>
      </c>
      <c r="C1495">
        <f>1</f>
        <v>1</v>
      </c>
      <c r="D1495">
        <f>IF(OR(F_Custom1_Q="(None)",F_Custom1_Q="",ISBLANK(F_Custom1_Q),F_Custom1_V="(All)",F_Custom1_V="",ISBLANK(F_Custom1_V)),1,IFERROR(IF(ISNUMBER(SEARCH("|"&amp;INDEX(INDIRECT(F_Custom1_resolved_column),1494)&amp;"|",F_Custom1_wrapped)),1,0),0))</f>
        <v>1</v>
      </c>
      <c r="E1495">
        <f>IF(OR(F_Custom2_Q="(None)",F_Custom2_Q="",ISBLANK(F_Custom2_Q),F_Custom2_V="(All)",F_Custom2_V="",ISBLANK(F_Custom2_V)),1,IFERROR(IF(ISNUMBER(SEARCH("|"&amp;INDEX(INDIRECT(F_Custom2_resolved_column),1494)&amp;"|",F_Custom2_wrapped)),1,0),0))</f>
        <v>1</v>
      </c>
      <c r="F1495">
        <f>D1495*E1495*1</f>
        <v>1</v>
      </c>
      <c r="G1495">
        <f>1</f>
        <v>1</v>
      </c>
      <c r="H14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1494)&amp;"|",All_Questions_Q_STREAM_F_wrapped)),1,0),0))*1</f>
        <v>1</v>
      </c>
    </row>
    <row r="1496">
      <c r="A1496" t="n">
        <v>1495</v>
      </c>
      <c r="B1496" t="inlineStr">
        <is>
          <t>A</t>
        </is>
      </c>
      <c r="C1496">
        <f>1</f>
        <v>1</v>
      </c>
      <c r="D1496">
        <f>IF(OR(F_Custom1_Q="(None)",F_Custom1_Q="",ISBLANK(F_Custom1_Q),F_Custom1_V="(All)",F_Custom1_V="",ISBLANK(F_Custom1_V)),1,IFERROR(IF(ISNUMBER(SEARCH("|"&amp;INDEX(INDIRECT(F_Custom1_resolved_column),1495)&amp;"|",F_Custom1_wrapped)),1,0),0))</f>
        <v>1</v>
      </c>
      <c r="E1496">
        <f>IF(OR(F_Custom2_Q="(None)",F_Custom2_Q="",ISBLANK(F_Custom2_Q),F_Custom2_V="(All)",F_Custom2_V="",ISBLANK(F_Custom2_V)),1,IFERROR(IF(ISNUMBER(SEARCH("|"&amp;INDEX(INDIRECT(F_Custom2_resolved_column),1495)&amp;"|",F_Custom2_wrapped)),1,0),0))</f>
        <v>1</v>
      </c>
      <c r="F1496">
        <f>D1496*E1496*1</f>
        <v>1</v>
      </c>
      <c r="G1496">
        <f>1</f>
        <v>1</v>
      </c>
      <c r="H14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1495)&amp;"|",All_Questions_Q_STREAM_F_wrapped)),1,0),0))*1</f>
        <v>1</v>
      </c>
    </row>
    <row r="1497">
      <c r="A1497" t="n">
        <v>1496</v>
      </c>
      <c r="B1497" t="inlineStr">
        <is>
          <t>B</t>
        </is>
      </c>
      <c r="C1497">
        <f>1</f>
        <v>1</v>
      </c>
      <c r="D1497">
        <f>IF(OR(F_Custom1_Q="(None)",F_Custom1_Q="",ISBLANK(F_Custom1_Q),F_Custom1_V="(All)",F_Custom1_V="",ISBLANK(F_Custom1_V)),1,IFERROR(IF(ISNUMBER(SEARCH("|"&amp;INDEX(INDIRECT(F_Custom1_resolved_column),1496)&amp;"|",F_Custom1_wrapped)),1,0),0))</f>
        <v>1</v>
      </c>
      <c r="E1497">
        <f>IF(OR(F_Custom2_Q="(None)",F_Custom2_Q="",ISBLANK(F_Custom2_Q),F_Custom2_V="(All)",F_Custom2_V="",ISBLANK(F_Custom2_V)),1,IFERROR(IF(ISNUMBER(SEARCH("|"&amp;INDEX(INDIRECT(F_Custom2_resolved_column),1496)&amp;"|",F_Custom2_wrapped)),1,0),0))</f>
        <v>1</v>
      </c>
      <c r="F1497">
        <f>D1497*E1497*1</f>
        <v>1</v>
      </c>
      <c r="G1497">
        <f>1</f>
        <v>1</v>
      </c>
      <c r="H14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1496)&amp;"|",All_Questions_Q_STREAM_F_wrapped)),1,0),0))*1</f>
        <v>1</v>
      </c>
    </row>
    <row r="1498">
      <c r="A1498" t="n">
        <v>1497</v>
      </c>
      <c r="B1498" t="inlineStr">
        <is>
          <t>A</t>
        </is>
      </c>
      <c r="C1498">
        <f>1</f>
        <v>1</v>
      </c>
      <c r="D1498">
        <f>IF(OR(F_Custom1_Q="(None)",F_Custom1_Q="",ISBLANK(F_Custom1_Q),F_Custom1_V="(All)",F_Custom1_V="",ISBLANK(F_Custom1_V)),1,IFERROR(IF(ISNUMBER(SEARCH("|"&amp;INDEX(INDIRECT(F_Custom1_resolved_column),1497)&amp;"|",F_Custom1_wrapped)),1,0),0))</f>
        <v>1</v>
      </c>
      <c r="E1498">
        <f>IF(OR(F_Custom2_Q="(None)",F_Custom2_Q="",ISBLANK(F_Custom2_Q),F_Custom2_V="(All)",F_Custom2_V="",ISBLANK(F_Custom2_V)),1,IFERROR(IF(ISNUMBER(SEARCH("|"&amp;INDEX(INDIRECT(F_Custom2_resolved_column),1497)&amp;"|",F_Custom2_wrapped)),1,0),0))</f>
        <v>1</v>
      </c>
      <c r="F1498">
        <f>D1498*E1498*1</f>
        <v>1</v>
      </c>
      <c r="G1498">
        <f>1</f>
        <v>1</v>
      </c>
      <c r="H14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1497)&amp;"|",All_Questions_Q_STREAM_F_wrapped)),1,0),0))*1</f>
        <v>1</v>
      </c>
    </row>
    <row r="1499">
      <c r="A1499" t="n">
        <v>1498</v>
      </c>
      <c r="B1499" t="inlineStr">
        <is>
          <t>B</t>
        </is>
      </c>
      <c r="C1499">
        <f>1</f>
        <v>1</v>
      </c>
      <c r="D1499">
        <f>IF(OR(F_Custom1_Q="(None)",F_Custom1_Q="",ISBLANK(F_Custom1_Q),F_Custom1_V="(All)",F_Custom1_V="",ISBLANK(F_Custom1_V)),1,IFERROR(IF(ISNUMBER(SEARCH("|"&amp;INDEX(INDIRECT(F_Custom1_resolved_column),1498)&amp;"|",F_Custom1_wrapped)),1,0),0))</f>
        <v>1</v>
      </c>
      <c r="E1499">
        <f>IF(OR(F_Custom2_Q="(None)",F_Custom2_Q="",ISBLANK(F_Custom2_Q),F_Custom2_V="(All)",F_Custom2_V="",ISBLANK(F_Custom2_V)),1,IFERROR(IF(ISNUMBER(SEARCH("|"&amp;INDEX(INDIRECT(F_Custom2_resolved_column),1498)&amp;"|",F_Custom2_wrapped)),1,0),0))</f>
        <v>1</v>
      </c>
      <c r="F1499">
        <f>D1499*E1499*1</f>
        <v>1</v>
      </c>
      <c r="G1499">
        <f>1</f>
        <v>1</v>
      </c>
      <c r="H14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1498)&amp;"|",All_Questions_Q_STREAM_F_wrapped)),1,0),0))*1</f>
        <v>1</v>
      </c>
    </row>
    <row r="1500">
      <c r="A1500" t="n">
        <v>1499</v>
      </c>
      <c r="B1500" t="inlineStr">
        <is>
          <t>A</t>
        </is>
      </c>
      <c r="C1500">
        <f>1</f>
        <v>1</v>
      </c>
      <c r="D1500">
        <f>IF(OR(F_Custom1_Q="(None)",F_Custom1_Q="",ISBLANK(F_Custom1_Q),F_Custom1_V="(All)",F_Custom1_V="",ISBLANK(F_Custom1_V)),1,IFERROR(IF(ISNUMBER(SEARCH("|"&amp;INDEX(INDIRECT(F_Custom1_resolved_column),1499)&amp;"|",F_Custom1_wrapped)),1,0),0))</f>
        <v>1</v>
      </c>
      <c r="E1500">
        <f>IF(OR(F_Custom2_Q="(None)",F_Custom2_Q="",ISBLANK(F_Custom2_Q),F_Custom2_V="(All)",F_Custom2_V="",ISBLANK(F_Custom2_V)),1,IFERROR(IF(ISNUMBER(SEARCH("|"&amp;INDEX(INDIRECT(F_Custom2_resolved_column),1499)&amp;"|",F_Custom2_wrapped)),1,0),0))</f>
        <v>1</v>
      </c>
      <c r="F1500">
        <f>D1500*E1500*1</f>
        <v>1</v>
      </c>
      <c r="G1500">
        <f>1</f>
        <v>1</v>
      </c>
      <c r="H15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1499)&amp;"|",All_Questions_Q_STREAM_F_wrapped)),1,0),0))*1</f>
        <v>1</v>
      </c>
    </row>
    <row r="1501">
      <c r="A1501" t="n">
        <v>1500</v>
      </c>
      <c r="B1501" t="inlineStr">
        <is>
          <t>B</t>
        </is>
      </c>
      <c r="C1501">
        <f>1</f>
        <v>1</v>
      </c>
      <c r="D1501">
        <f>IF(OR(F_Custom1_Q="(None)",F_Custom1_Q="",ISBLANK(F_Custom1_Q),F_Custom1_V="(All)",F_Custom1_V="",ISBLANK(F_Custom1_V)),1,IFERROR(IF(ISNUMBER(SEARCH("|"&amp;INDEX(INDIRECT(F_Custom1_resolved_column),1500)&amp;"|",F_Custom1_wrapped)),1,0),0))</f>
        <v>1</v>
      </c>
      <c r="E1501">
        <f>IF(OR(F_Custom2_Q="(None)",F_Custom2_Q="",ISBLANK(F_Custom2_Q),F_Custom2_V="(All)",F_Custom2_V="",ISBLANK(F_Custom2_V)),1,IFERROR(IF(ISNUMBER(SEARCH("|"&amp;INDEX(INDIRECT(F_Custom2_resolved_column),1500)&amp;"|",F_Custom2_wrapped)),1,0),0))</f>
        <v>1</v>
      </c>
      <c r="F1501">
        <f>D1501*E1501*1</f>
        <v>1</v>
      </c>
      <c r="G1501">
        <f>1</f>
        <v>1</v>
      </c>
      <c r="H15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1500)&amp;"|",All_Questions_Q_STREAM_F_wrapped)),1,0),0))*1</f>
        <v>1</v>
      </c>
    </row>
    <row r="1502">
      <c r="A1502" t="n">
        <v>1501</v>
      </c>
      <c r="B1502" t="inlineStr">
        <is>
          <t>A</t>
        </is>
      </c>
      <c r="C1502">
        <f>1</f>
        <v>1</v>
      </c>
      <c r="D1502">
        <f>IF(OR(F_Custom1_Q="(None)",F_Custom1_Q="",ISBLANK(F_Custom1_Q),F_Custom1_V="(All)",F_Custom1_V="",ISBLANK(F_Custom1_V)),1,IFERROR(IF(ISNUMBER(SEARCH("|"&amp;INDEX(INDIRECT(F_Custom1_resolved_column),1501)&amp;"|",F_Custom1_wrapped)),1,0),0))</f>
        <v>1</v>
      </c>
      <c r="E1502">
        <f>IF(OR(F_Custom2_Q="(None)",F_Custom2_Q="",ISBLANK(F_Custom2_Q),F_Custom2_V="(All)",F_Custom2_V="",ISBLANK(F_Custom2_V)),1,IFERROR(IF(ISNUMBER(SEARCH("|"&amp;INDEX(INDIRECT(F_Custom2_resolved_column),1501)&amp;"|",F_Custom2_wrapped)),1,0),0))</f>
        <v>1</v>
      </c>
      <c r="F1502">
        <f>D1502*E1502*1</f>
        <v>1</v>
      </c>
      <c r="G1502">
        <f>1</f>
        <v>1</v>
      </c>
      <c r="H15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1501)&amp;"|",All_Questions_Q_STREAM_F_wrapped)),1,0),0))*1</f>
        <v>1</v>
      </c>
    </row>
    <row r="1503">
      <c r="A1503" t="n">
        <v>1502</v>
      </c>
      <c r="B1503" t="inlineStr">
        <is>
          <t>B</t>
        </is>
      </c>
      <c r="C1503">
        <f>1</f>
        <v>1</v>
      </c>
      <c r="D1503">
        <f>IF(OR(F_Custom1_Q="(None)",F_Custom1_Q="",ISBLANK(F_Custom1_Q),F_Custom1_V="(All)",F_Custom1_V="",ISBLANK(F_Custom1_V)),1,IFERROR(IF(ISNUMBER(SEARCH("|"&amp;INDEX(INDIRECT(F_Custom1_resolved_column),1502)&amp;"|",F_Custom1_wrapped)),1,0),0))</f>
        <v>1</v>
      </c>
      <c r="E1503">
        <f>IF(OR(F_Custom2_Q="(None)",F_Custom2_Q="",ISBLANK(F_Custom2_Q),F_Custom2_V="(All)",F_Custom2_V="",ISBLANK(F_Custom2_V)),1,IFERROR(IF(ISNUMBER(SEARCH("|"&amp;INDEX(INDIRECT(F_Custom2_resolved_column),1502)&amp;"|",F_Custom2_wrapped)),1,0),0))</f>
        <v>1</v>
      </c>
      <c r="F1503">
        <f>D1503*E1503*1</f>
        <v>1</v>
      </c>
      <c r="G1503">
        <f>1</f>
        <v>1</v>
      </c>
      <c r="H15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1502)&amp;"|",All_Questions_Q_STREAM_F_wrapped)),1,0),0))*1</f>
        <v>1</v>
      </c>
    </row>
    <row r="1504">
      <c r="A1504" t="n">
        <v>1503</v>
      </c>
      <c r="B1504" t="inlineStr">
        <is>
          <t>A</t>
        </is>
      </c>
      <c r="C1504">
        <f>1</f>
        <v>1</v>
      </c>
      <c r="D1504">
        <f>IF(OR(F_Custom1_Q="(None)",F_Custom1_Q="",ISBLANK(F_Custom1_Q),F_Custom1_V="(All)",F_Custom1_V="",ISBLANK(F_Custom1_V)),1,IFERROR(IF(ISNUMBER(SEARCH("|"&amp;INDEX(INDIRECT(F_Custom1_resolved_column),1503)&amp;"|",F_Custom1_wrapped)),1,0),0))</f>
        <v>1</v>
      </c>
      <c r="E1504">
        <f>IF(OR(F_Custom2_Q="(None)",F_Custom2_Q="",ISBLANK(F_Custom2_Q),F_Custom2_V="(All)",F_Custom2_V="",ISBLANK(F_Custom2_V)),1,IFERROR(IF(ISNUMBER(SEARCH("|"&amp;INDEX(INDIRECT(F_Custom2_resolved_column),1503)&amp;"|",F_Custom2_wrapped)),1,0),0))</f>
        <v>1</v>
      </c>
      <c r="F1504">
        <f>D1504*E1504*1</f>
        <v>1</v>
      </c>
      <c r="G1504">
        <f>1</f>
        <v>1</v>
      </c>
      <c r="H15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1503)&amp;"|",All_Questions_Q_STREAM_F_wrapped)),1,0),0))*1</f>
        <v>1</v>
      </c>
    </row>
    <row r="1505">
      <c r="A1505" t="n">
        <v>1504</v>
      </c>
      <c r="B1505" t="inlineStr">
        <is>
          <t>B</t>
        </is>
      </c>
      <c r="C1505">
        <f>1</f>
        <v>1</v>
      </c>
      <c r="D1505">
        <f>IF(OR(F_Custom1_Q="(None)",F_Custom1_Q="",ISBLANK(F_Custom1_Q),F_Custom1_V="(All)",F_Custom1_V="",ISBLANK(F_Custom1_V)),1,IFERROR(IF(ISNUMBER(SEARCH("|"&amp;INDEX(INDIRECT(F_Custom1_resolved_column),1504)&amp;"|",F_Custom1_wrapped)),1,0),0))</f>
        <v>1</v>
      </c>
      <c r="E1505">
        <f>IF(OR(F_Custom2_Q="(None)",F_Custom2_Q="",ISBLANK(F_Custom2_Q),F_Custom2_V="(All)",F_Custom2_V="",ISBLANK(F_Custom2_V)),1,IFERROR(IF(ISNUMBER(SEARCH("|"&amp;INDEX(INDIRECT(F_Custom2_resolved_column),1504)&amp;"|",F_Custom2_wrapped)),1,0),0))</f>
        <v>1</v>
      </c>
      <c r="F1505">
        <f>D1505*E1505*1</f>
        <v>1</v>
      </c>
      <c r="G1505">
        <f>1</f>
        <v>1</v>
      </c>
      <c r="H15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1504)&amp;"|",All_Questions_Q_STREAM_F_wrapped)),1,0),0))*1</f>
        <v>1</v>
      </c>
    </row>
    <row r="1506">
      <c r="A1506" t="n">
        <v>1505</v>
      </c>
      <c r="B1506" t="inlineStr">
        <is>
          <t>A</t>
        </is>
      </c>
      <c r="C1506">
        <f>1</f>
        <v>1</v>
      </c>
      <c r="D1506">
        <f>IF(OR(F_Custom1_Q="(None)",F_Custom1_Q="",ISBLANK(F_Custom1_Q),F_Custom1_V="(All)",F_Custom1_V="",ISBLANK(F_Custom1_V)),1,IFERROR(IF(ISNUMBER(SEARCH("|"&amp;INDEX(INDIRECT(F_Custom1_resolved_column),1505)&amp;"|",F_Custom1_wrapped)),1,0),0))</f>
        <v>1</v>
      </c>
      <c r="E1506">
        <f>IF(OR(F_Custom2_Q="(None)",F_Custom2_Q="",ISBLANK(F_Custom2_Q),F_Custom2_V="(All)",F_Custom2_V="",ISBLANK(F_Custom2_V)),1,IFERROR(IF(ISNUMBER(SEARCH("|"&amp;INDEX(INDIRECT(F_Custom2_resolved_column),1505)&amp;"|",F_Custom2_wrapped)),1,0),0))</f>
        <v>1</v>
      </c>
      <c r="F1506">
        <f>D1506*E1506*1</f>
        <v>1</v>
      </c>
      <c r="G1506">
        <f>1</f>
        <v>1</v>
      </c>
      <c r="H15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1505)&amp;"|",All_Questions_Q_STREAM_F_wrapped)),1,0),0))*1</f>
        <v>1</v>
      </c>
    </row>
    <row r="1507">
      <c r="A1507" t="n">
        <v>1506</v>
      </c>
      <c r="B1507" t="inlineStr">
        <is>
          <t>B</t>
        </is>
      </c>
      <c r="C1507">
        <f>1</f>
        <v>1</v>
      </c>
      <c r="D1507">
        <f>IF(OR(F_Custom1_Q="(None)",F_Custom1_Q="",ISBLANK(F_Custom1_Q),F_Custom1_V="(All)",F_Custom1_V="",ISBLANK(F_Custom1_V)),1,IFERROR(IF(ISNUMBER(SEARCH("|"&amp;INDEX(INDIRECT(F_Custom1_resolved_column),1506)&amp;"|",F_Custom1_wrapped)),1,0),0))</f>
        <v>1</v>
      </c>
      <c r="E1507">
        <f>IF(OR(F_Custom2_Q="(None)",F_Custom2_Q="",ISBLANK(F_Custom2_Q),F_Custom2_V="(All)",F_Custom2_V="",ISBLANK(F_Custom2_V)),1,IFERROR(IF(ISNUMBER(SEARCH("|"&amp;INDEX(INDIRECT(F_Custom2_resolved_column),1506)&amp;"|",F_Custom2_wrapped)),1,0),0))</f>
        <v>1</v>
      </c>
      <c r="F1507">
        <f>D1507*E1507*1</f>
        <v>1</v>
      </c>
      <c r="G1507">
        <f>1</f>
        <v>1</v>
      </c>
      <c r="H15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1506)&amp;"|",All_Questions_Q_STREAM_F_wrapped)),1,0),0))*1</f>
        <v>1</v>
      </c>
    </row>
    <row r="1508">
      <c r="A1508" t="n">
        <v>1507</v>
      </c>
      <c r="B1508" t="inlineStr">
        <is>
          <t>A</t>
        </is>
      </c>
      <c r="C1508">
        <f>1</f>
        <v>1</v>
      </c>
      <c r="D1508">
        <f>IF(OR(F_Custom1_Q="(None)",F_Custom1_Q="",ISBLANK(F_Custom1_Q),F_Custom1_V="(All)",F_Custom1_V="",ISBLANK(F_Custom1_V)),1,IFERROR(IF(ISNUMBER(SEARCH("|"&amp;INDEX(INDIRECT(F_Custom1_resolved_column),1507)&amp;"|",F_Custom1_wrapped)),1,0),0))</f>
        <v>1</v>
      </c>
      <c r="E1508">
        <f>IF(OR(F_Custom2_Q="(None)",F_Custom2_Q="",ISBLANK(F_Custom2_Q),F_Custom2_V="(All)",F_Custom2_V="",ISBLANK(F_Custom2_V)),1,IFERROR(IF(ISNUMBER(SEARCH("|"&amp;INDEX(INDIRECT(F_Custom2_resolved_column),1507)&amp;"|",F_Custom2_wrapped)),1,0),0))</f>
        <v>1</v>
      </c>
      <c r="F1508">
        <f>D1508*E1508*1</f>
        <v>1</v>
      </c>
      <c r="G1508">
        <f>1</f>
        <v>1</v>
      </c>
      <c r="H15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1507)&amp;"|",All_Questions_Q_STREAM_F_wrapped)),1,0),0))*1</f>
        <v>1</v>
      </c>
    </row>
    <row r="1509">
      <c r="A1509" t="n">
        <v>1508</v>
      </c>
      <c r="B1509" t="inlineStr">
        <is>
          <t>B</t>
        </is>
      </c>
      <c r="C1509">
        <f>1</f>
        <v>1</v>
      </c>
      <c r="D1509">
        <f>IF(OR(F_Custom1_Q="(None)",F_Custom1_Q="",ISBLANK(F_Custom1_Q),F_Custom1_V="(All)",F_Custom1_V="",ISBLANK(F_Custom1_V)),1,IFERROR(IF(ISNUMBER(SEARCH("|"&amp;INDEX(INDIRECT(F_Custom1_resolved_column),1508)&amp;"|",F_Custom1_wrapped)),1,0),0))</f>
        <v>1</v>
      </c>
      <c r="E1509">
        <f>IF(OR(F_Custom2_Q="(None)",F_Custom2_Q="",ISBLANK(F_Custom2_Q),F_Custom2_V="(All)",F_Custom2_V="",ISBLANK(F_Custom2_V)),1,IFERROR(IF(ISNUMBER(SEARCH("|"&amp;INDEX(INDIRECT(F_Custom2_resolved_column),1508)&amp;"|",F_Custom2_wrapped)),1,0),0))</f>
        <v>1</v>
      </c>
      <c r="F1509">
        <f>D1509*E1509*1</f>
        <v>1</v>
      </c>
      <c r="G1509">
        <f>1</f>
        <v>1</v>
      </c>
      <c r="H15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1508)&amp;"|",All_Questions_Q_STREAM_F_wrapped)),1,0),0))*1</f>
        <v>1</v>
      </c>
    </row>
    <row r="1510">
      <c r="A1510" t="n">
        <v>1509</v>
      </c>
      <c r="B1510" t="inlineStr">
        <is>
          <t>A</t>
        </is>
      </c>
      <c r="C1510">
        <f>1</f>
        <v>1</v>
      </c>
      <c r="D1510">
        <f>IF(OR(F_Custom1_Q="(None)",F_Custom1_Q="",ISBLANK(F_Custom1_Q),F_Custom1_V="(All)",F_Custom1_V="",ISBLANK(F_Custom1_V)),1,IFERROR(IF(ISNUMBER(SEARCH("|"&amp;INDEX(INDIRECT(F_Custom1_resolved_column),1509)&amp;"|",F_Custom1_wrapped)),1,0),0))</f>
        <v>1</v>
      </c>
      <c r="E1510">
        <f>IF(OR(F_Custom2_Q="(None)",F_Custom2_Q="",ISBLANK(F_Custom2_Q),F_Custom2_V="(All)",F_Custom2_V="",ISBLANK(F_Custom2_V)),1,IFERROR(IF(ISNUMBER(SEARCH("|"&amp;INDEX(INDIRECT(F_Custom2_resolved_column),1509)&amp;"|",F_Custom2_wrapped)),1,0),0))</f>
        <v>1</v>
      </c>
      <c r="F1510">
        <f>D1510*E1510*1</f>
        <v>1</v>
      </c>
      <c r="G1510">
        <f>1</f>
        <v>1</v>
      </c>
      <c r="H15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1509)&amp;"|",All_Questions_Q_STREAM_F_wrapped)),1,0),0))*1</f>
        <v>1</v>
      </c>
    </row>
    <row r="1511">
      <c r="A1511" t="n">
        <v>1510</v>
      </c>
      <c r="B1511" t="inlineStr">
        <is>
          <t>B</t>
        </is>
      </c>
      <c r="C1511">
        <f>1</f>
        <v>1</v>
      </c>
      <c r="D1511">
        <f>IF(OR(F_Custom1_Q="(None)",F_Custom1_Q="",ISBLANK(F_Custom1_Q),F_Custom1_V="(All)",F_Custom1_V="",ISBLANK(F_Custom1_V)),1,IFERROR(IF(ISNUMBER(SEARCH("|"&amp;INDEX(INDIRECT(F_Custom1_resolved_column),1510)&amp;"|",F_Custom1_wrapped)),1,0),0))</f>
        <v>1</v>
      </c>
      <c r="E1511">
        <f>IF(OR(F_Custom2_Q="(None)",F_Custom2_Q="",ISBLANK(F_Custom2_Q),F_Custom2_V="(All)",F_Custom2_V="",ISBLANK(F_Custom2_V)),1,IFERROR(IF(ISNUMBER(SEARCH("|"&amp;INDEX(INDIRECT(F_Custom2_resolved_column),1510)&amp;"|",F_Custom2_wrapped)),1,0),0))</f>
        <v>1</v>
      </c>
      <c r="F1511">
        <f>D1511*E1511*1</f>
        <v>1</v>
      </c>
      <c r="G1511">
        <f>1</f>
        <v>1</v>
      </c>
      <c r="H15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1510)&amp;"|",All_Questions_Q_STREAM_F_wrapped)),1,0),0))*1</f>
        <v>1</v>
      </c>
    </row>
    <row r="1512">
      <c r="A1512" t="n">
        <v>1511</v>
      </c>
      <c r="B1512" t="inlineStr">
        <is>
          <t>A</t>
        </is>
      </c>
      <c r="C1512">
        <f>1</f>
        <v>1</v>
      </c>
      <c r="D1512">
        <f>IF(OR(F_Custom1_Q="(None)",F_Custom1_Q="",ISBLANK(F_Custom1_Q),F_Custom1_V="(All)",F_Custom1_V="",ISBLANK(F_Custom1_V)),1,IFERROR(IF(ISNUMBER(SEARCH("|"&amp;INDEX(INDIRECT(F_Custom1_resolved_column),1511)&amp;"|",F_Custom1_wrapped)),1,0),0))</f>
        <v>1</v>
      </c>
      <c r="E1512">
        <f>IF(OR(F_Custom2_Q="(None)",F_Custom2_Q="",ISBLANK(F_Custom2_Q),F_Custom2_V="(All)",F_Custom2_V="",ISBLANK(F_Custom2_V)),1,IFERROR(IF(ISNUMBER(SEARCH("|"&amp;INDEX(INDIRECT(F_Custom2_resolved_column),1511)&amp;"|",F_Custom2_wrapped)),1,0),0))</f>
        <v>1</v>
      </c>
      <c r="F1512">
        <f>D1512*E1512*1</f>
        <v>1</v>
      </c>
      <c r="G1512">
        <f>1</f>
        <v>1</v>
      </c>
      <c r="H15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1511)&amp;"|",All_Questions_Q_STREAM_F_wrapped)),1,0),0))*1</f>
        <v>1</v>
      </c>
    </row>
    <row r="1513">
      <c r="A1513" t="n">
        <v>1512</v>
      </c>
      <c r="B1513" t="inlineStr">
        <is>
          <t>B</t>
        </is>
      </c>
      <c r="C1513">
        <f>1</f>
        <v>1</v>
      </c>
      <c r="D1513">
        <f>IF(OR(F_Custom1_Q="(None)",F_Custom1_Q="",ISBLANK(F_Custom1_Q),F_Custom1_V="(All)",F_Custom1_V="",ISBLANK(F_Custom1_V)),1,IFERROR(IF(ISNUMBER(SEARCH("|"&amp;INDEX(INDIRECT(F_Custom1_resolved_column),1512)&amp;"|",F_Custom1_wrapped)),1,0),0))</f>
        <v>1</v>
      </c>
      <c r="E1513">
        <f>IF(OR(F_Custom2_Q="(None)",F_Custom2_Q="",ISBLANK(F_Custom2_Q),F_Custom2_V="(All)",F_Custom2_V="",ISBLANK(F_Custom2_V)),1,IFERROR(IF(ISNUMBER(SEARCH("|"&amp;INDEX(INDIRECT(F_Custom2_resolved_column),1512)&amp;"|",F_Custom2_wrapped)),1,0),0))</f>
        <v>1</v>
      </c>
      <c r="F1513">
        <f>D1513*E1513*1</f>
        <v>1</v>
      </c>
      <c r="G1513">
        <f>1</f>
        <v>1</v>
      </c>
      <c r="H15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1512)&amp;"|",All_Questions_Q_STREAM_F_wrapped)),1,0),0))*1</f>
        <v>1</v>
      </c>
    </row>
    <row r="1514">
      <c r="A1514" t="n">
        <v>1513</v>
      </c>
      <c r="B1514" t="inlineStr">
        <is>
          <t>A</t>
        </is>
      </c>
      <c r="C1514">
        <f>1</f>
        <v>1</v>
      </c>
      <c r="D1514">
        <f>IF(OR(F_Custom1_Q="(None)",F_Custom1_Q="",ISBLANK(F_Custom1_Q),F_Custom1_V="(All)",F_Custom1_V="",ISBLANK(F_Custom1_V)),1,IFERROR(IF(ISNUMBER(SEARCH("|"&amp;INDEX(INDIRECT(F_Custom1_resolved_column),1513)&amp;"|",F_Custom1_wrapped)),1,0),0))</f>
        <v>1</v>
      </c>
      <c r="E1514">
        <f>IF(OR(F_Custom2_Q="(None)",F_Custom2_Q="",ISBLANK(F_Custom2_Q),F_Custom2_V="(All)",F_Custom2_V="",ISBLANK(F_Custom2_V)),1,IFERROR(IF(ISNUMBER(SEARCH("|"&amp;INDEX(INDIRECT(F_Custom2_resolved_column),1513)&amp;"|",F_Custom2_wrapped)),1,0),0))</f>
        <v>1</v>
      </c>
      <c r="F1514">
        <f>D1514*E1514*1</f>
        <v>1</v>
      </c>
      <c r="G1514">
        <f>1</f>
        <v>1</v>
      </c>
      <c r="H15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1513)&amp;"|",All_Questions_Q_STREAM_F_wrapped)),1,0),0))*1</f>
        <v>1</v>
      </c>
    </row>
    <row r="1515">
      <c r="A1515" t="n">
        <v>1514</v>
      </c>
      <c r="B1515" t="inlineStr">
        <is>
          <t>B</t>
        </is>
      </c>
      <c r="C1515">
        <f>1</f>
        <v>1</v>
      </c>
      <c r="D1515">
        <f>IF(OR(F_Custom1_Q="(None)",F_Custom1_Q="",ISBLANK(F_Custom1_Q),F_Custom1_V="(All)",F_Custom1_V="",ISBLANK(F_Custom1_V)),1,IFERROR(IF(ISNUMBER(SEARCH("|"&amp;INDEX(INDIRECT(F_Custom1_resolved_column),1514)&amp;"|",F_Custom1_wrapped)),1,0),0))</f>
        <v>1</v>
      </c>
      <c r="E1515">
        <f>IF(OR(F_Custom2_Q="(None)",F_Custom2_Q="",ISBLANK(F_Custom2_Q),F_Custom2_V="(All)",F_Custom2_V="",ISBLANK(F_Custom2_V)),1,IFERROR(IF(ISNUMBER(SEARCH("|"&amp;INDEX(INDIRECT(F_Custom2_resolved_column),1514)&amp;"|",F_Custom2_wrapped)),1,0),0))</f>
        <v>1</v>
      </c>
      <c r="F1515">
        <f>D1515*E1515*1</f>
        <v>1</v>
      </c>
      <c r="G1515">
        <f>1</f>
        <v>1</v>
      </c>
      <c r="H15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1514)&amp;"|",All_Questions_Q_STREAM_F_wrapped)),1,0),0))*1</f>
        <v>1</v>
      </c>
    </row>
    <row r="1516">
      <c r="A1516" t="n">
        <v>1515</v>
      </c>
      <c r="B1516" t="inlineStr">
        <is>
          <t>A</t>
        </is>
      </c>
      <c r="C1516">
        <f>1</f>
        <v>1</v>
      </c>
      <c r="D1516">
        <f>IF(OR(F_Custom1_Q="(None)",F_Custom1_Q="",ISBLANK(F_Custom1_Q),F_Custom1_V="(All)",F_Custom1_V="",ISBLANK(F_Custom1_V)),1,IFERROR(IF(ISNUMBER(SEARCH("|"&amp;INDEX(INDIRECT(F_Custom1_resolved_column),1515)&amp;"|",F_Custom1_wrapped)),1,0),0))</f>
        <v>1</v>
      </c>
      <c r="E1516">
        <f>IF(OR(F_Custom2_Q="(None)",F_Custom2_Q="",ISBLANK(F_Custom2_Q),F_Custom2_V="(All)",F_Custom2_V="",ISBLANK(F_Custom2_V)),1,IFERROR(IF(ISNUMBER(SEARCH("|"&amp;INDEX(INDIRECT(F_Custom2_resolved_column),1515)&amp;"|",F_Custom2_wrapped)),1,0),0))</f>
        <v>1</v>
      </c>
      <c r="F1516">
        <f>D1516*E1516*1</f>
        <v>1</v>
      </c>
      <c r="G1516">
        <f>1</f>
        <v>1</v>
      </c>
      <c r="H15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1515)&amp;"|",All_Questions_Q_STREAM_F_wrapped)),1,0),0))*1</f>
        <v>1</v>
      </c>
    </row>
    <row r="1517">
      <c r="A1517" t="n">
        <v>1516</v>
      </c>
      <c r="B1517" t="inlineStr">
        <is>
          <t>B</t>
        </is>
      </c>
      <c r="C1517">
        <f>1</f>
        <v>1</v>
      </c>
      <c r="D1517">
        <f>IF(OR(F_Custom1_Q="(None)",F_Custom1_Q="",ISBLANK(F_Custom1_Q),F_Custom1_V="(All)",F_Custom1_V="",ISBLANK(F_Custom1_V)),1,IFERROR(IF(ISNUMBER(SEARCH("|"&amp;INDEX(INDIRECT(F_Custom1_resolved_column),1516)&amp;"|",F_Custom1_wrapped)),1,0),0))</f>
        <v>1</v>
      </c>
      <c r="E1517">
        <f>IF(OR(F_Custom2_Q="(None)",F_Custom2_Q="",ISBLANK(F_Custom2_Q),F_Custom2_V="(All)",F_Custom2_V="",ISBLANK(F_Custom2_V)),1,IFERROR(IF(ISNUMBER(SEARCH("|"&amp;INDEX(INDIRECT(F_Custom2_resolved_column),1516)&amp;"|",F_Custom2_wrapped)),1,0),0))</f>
        <v>1</v>
      </c>
      <c r="F1517">
        <f>D1517*E1517*1</f>
        <v>1</v>
      </c>
      <c r="G1517">
        <f>1</f>
        <v>1</v>
      </c>
      <c r="H15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1516)&amp;"|",All_Questions_Q_STREAM_F_wrapped)),1,0),0))*1</f>
        <v>1</v>
      </c>
    </row>
    <row r="1518">
      <c r="A1518" t="n">
        <v>1517</v>
      </c>
      <c r="B1518" t="inlineStr">
        <is>
          <t>A</t>
        </is>
      </c>
      <c r="C1518">
        <f>1</f>
        <v>1</v>
      </c>
      <c r="D1518">
        <f>IF(OR(F_Custom1_Q="(None)",F_Custom1_Q="",ISBLANK(F_Custom1_Q),F_Custom1_V="(All)",F_Custom1_V="",ISBLANK(F_Custom1_V)),1,IFERROR(IF(ISNUMBER(SEARCH("|"&amp;INDEX(INDIRECT(F_Custom1_resolved_column),1517)&amp;"|",F_Custom1_wrapped)),1,0),0))</f>
        <v>1</v>
      </c>
      <c r="E1518">
        <f>IF(OR(F_Custom2_Q="(None)",F_Custom2_Q="",ISBLANK(F_Custom2_Q),F_Custom2_V="(All)",F_Custom2_V="",ISBLANK(F_Custom2_V)),1,IFERROR(IF(ISNUMBER(SEARCH("|"&amp;INDEX(INDIRECT(F_Custom2_resolved_column),1517)&amp;"|",F_Custom2_wrapped)),1,0),0))</f>
        <v>1</v>
      </c>
      <c r="F1518">
        <f>D1518*E1518*1</f>
        <v>1</v>
      </c>
      <c r="G1518">
        <f>1</f>
        <v>1</v>
      </c>
      <c r="H15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1517)&amp;"|",All_Questions_Q_STREAM_F_wrapped)),1,0),0))*1</f>
        <v>1</v>
      </c>
    </row>
    <row r="1519">
      <c r="A1519" t="n">
        <v>1518</v>
      </c>
      <c r="B1519" t="inlineStr">
        <is>
          <t>B</t>
        </is>
      </c>
      <c r="C1519">
        <f>1</f>
        <v>1</v>
      </c>
      <c r="D1519">
        <f>IF(OR(F_Custom1_Q="(None)",F_Custom1_Q="",ISBLANK(F_Custom1_Q),F_Custom1_V="(All)",F_Custom1_V="",ISBLANK(F_Custom1_V)),1,IFERROR(IF(ISNUMBER(SEARCH("|"&amp;INDEX(INDIRECT(F_Custom1_resolved_column),1518)&amp;"|",F_Custom1_wrapped)),1,0),0))</f>
        <v>1</v>
      </c>
      <c r="E1519">
        <f>IF(OR(F_Custom2_Q="(None)",F_Custom2_Q="",ISBLANK(F_Custom2_Q),F_Custom2_V="(All)",F_Custom2_V="",ISBLANK(F_Custom2_V)),1,IFERROR(IF(ISNUMBER(SEARCH("|"&amp;INDEX(INDIRECT(F_Custom2_resolved_column),1518)&amp;"|",F_Custom2_wrapped)),1,0),0))</f>
        <v>1</v>
      </c>
      <c r="F1519">
        <f>D1519*E1519*1</f>
        <v>1</v>
      </c>
      <c r="G1519">
        <f>1</f>
        <v>1</v>
      </c>
      <c r="H15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1518)&amp;"|",All_Questions_Q_STREAM_F_wrapped)),1,0),0))*1</f>
        <v>1</v>
      </c>
    </row>
    <row r="1520">
      <c r="A1520" t="n">
        <v>1519</v>
      </c>
      <c r="B1520" t="inlineStr">
        <is>
          <t>A</t>
        </is>
      </c>
      <c r="C1520">
        <f>1</f>
        <v>1</v>
      </c>
      <c r="D1520">
        <f>IF(OR(F_Custom1_Q="(None)",F_Custom1_Q="",ISBLANK(F_Custom1_Q),F_Custom1_V="(All)",F_Custom1_V="",ISBLANK(F_Custom1_V)),1,IFERROR(IF(ISNUMBER(SEARCH("|"&amp;INDEX(INDIRECT(F_Custom1_resolved_column),1519)&amp;"|",F_Custom1_wrapped)),1,0),0))</f>
        <v>1</v>
      </c>
      <c r="E1520">
        <f>IF(OR(F_Custom2_Q="(None)",F_Custom2_Q="",ISBLANK(F_Custom2_Q),F_Custom2_V="(All)",F_Custom2_V="",ISBLANK(F_Custom2_V)),1,IFERROR(IF(ISNUMBER(SEARCH("|"&amp;INDEX(INDIRECT(F_Custom2_resolved_column),1519)&amp;"|",F_Custom2_wrapped)),1,0),0))</f>
        <v>1</v>
      </c>
      <c r="F1520">
        <f>D1520*E1520*1</f>
        <v>1</v>
      </c>
      <c r="G1520">
        <f>1</f>
        <v>1</v>
      </c>
      <c r="H15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1519)&amp;"|",All_Questions_Q_STREAM_F_wrapped)),1,0),0))*1</f>
        <v>1</v>
      </c>
    </row>
    <row r="1521">
      <c r="A1521" t="n">
        <v>1520</v>
      </c>
      <c r="B1521" t="inlineStr">
        <is>
          <t>B</t>
        </is>
      </c>
      <c r="C1521">
        <f>1</f>
        <v>1</v>
      </c>
      <c r="D1521">
        <f>IF(OR(F_Custom1_Q="(None)",F_Custom1_Q="",ISBLANK(F_Custom1_Q),F_Custom1_V="(All)",F_Custom1_V="",ISBLANK(F_Custom1_V)),1,IFERROR(IF(ISNUMBER(SEARCH("|"&amp;INDEX(INDIRECT(F_Custom1_resolved_column),1520)&amp;"|",F_Custom1_wrapped)),1,0),0))</f>
        <v>1</v>
      </c>
      <c r="E1521">
        <f>IF(OR(F_Custom2_Q="(None)",F_Custom2_Q="",ISBLANK(F_Custom2_Q),F_Custom2_V="(All)",F_Custom2_V="",ISBLANK(F_Custom2_V)),1,IFERROR(IF(ISNUMBER(SEARCH("|"&amp;INDEX(INDIRECT(F_Custom2_resolved_column),1520)&amp;"|",F_Custom2_wrapped)),1,0),0))</f>
        <v>1</v>
      </c>
      <c r="F1521">
        <f>D1521*E1521*1</f>
        <v>1</v>
      </c>
      <c r="G1521">
        <f>1</f>
        <v>1</v>
      </c>
      <c r="H15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1520)&amp;"|",All_Questions_Q_STREAM_F_wrapped)),1,0),0))*1</f>
        <v>1</v>
      </c>
    </row>
    <row r="1522">
      <c r="A1522" t="n">
        <v>1521</v>
      </c>
      <c r="B1522" t="inlineStr">
        <is>
          <t>A</t>
        </is>
      </c>
      <c r="C1522">
        <f>1</f>
        <v>1</v>
      </c>
      <c r="D1522">
        <f>IF(OR(F_Custom1_Q="(None)",F_Custom1_Q="",ISBLANK(F_Custom1_Q),F_Custom1_V="(All)",F_Custom1_V="",ISBLANK(F_Custom1_V)),1,IFERROR(IF(ISNUMBER(SEARCH("|"&amp;INDEX(INDIRECT(F_Custom1_resolved_column),1521)&amp;"|",F_Custom1_wrapped)),1,0),0))</f>
        <v>1</v>
      </c>
      <c r="E1522">
        <f>IF(OR(F_Custom2_Q="(None)",F_Custom2_Q="",ISBLANK(F_Custom2_Q),F_Custom2_V="(All)",F_Custom2_V="",ISBLANK(F_Custom2_V)),1,IFERROR(IF(ISNUMBER(SEARCH("|"&amp;INDEX(INDIRECT(F_Custom2_resolved_column),1521)&amp;"|",F_Custom2_wrapped)),1,0),0))</f>
        <v>1</v>
      </c>
      <c r="F1522">
        <f>D1522*E1522*1</f>
        <v>1</v>
      </c>
      <c r="G1522">
        <f>1</f>
        <v>1</v>
      </c>
      <c r="H15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1521)&amp;"|",All_Questions_Q_STREAM_F_wrapped)),1,0),0))*1</f>
        <v>1</v>
      </c>
    </row>
    <row r="1523">
      <c r="A1523" t="n">
        <v>1522</v>
      </c>
      <c r="B1523" t="inlineStr">
        <is>
          <t>B</t>
        </is>
      </c>
      <c r="C1523">
        <f>1</f>
        <v>1</v>
      </c>
      <c r="D1523">
        <f>IF(OR(F_Custom1_Q="(None)",F_Custom1_Q="",ISBLANK(F_Custom1_Q),F_Custom1_V="(All)",F_Custom1_V="",ISBLANK(F_Custom1_V)),1,IFERROR(IF(ISNUMBER(SEARCH("|"&amp;INDEX(INDIRECT(F_Custom1_resolved_column),1522)&amp;"|",F_Custom1_wrapped)),1,0),0))</f>
        <v>1</v>
      </c>
      <c r="E1523">
        <f>IF(OR(F_Custom2_Q="(None)",F_Custom2_Q="",ISBLANK(F_Custom2_Q),F_Custom2_V="(All)",F_Custom2_V="",ISBLANK(F_Custom2_V)),1,IFERROR(IF(ISNUMBER(SEARCH("|"&amp;INDEX(INDIRECT(F_Custom2_resolved_column),1522)&amp;"|",F_Custom2_wrapped)),1,0),0))</f>
        <v>1</v>
      </c>
      <c r="F1523">
        <f>D1523*E1523*1</f>
        <v>1</v>
      </c>
      <c r="G1523">
        <f>1</f>
        <v>1</v>
      </c>
      <c r="H15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1522)&amp;"|",All_Questions_Q_STREAM_F_wrapped)),1,0),0))*1</f>
        <v>1</v>
      </c>
    </row>
    <row r="1524">
      <c r="A1524" t="n">
        <v>1523</v>
      </c>
      <c r="B1524" t="inlineStr">
        <is>
          <t>A</t>
        </is>
      </c>
      <c r="C1524">
        <f>1</f>
        <v>1</v>
      </c>
      <c r="D1524">
        <f>IF(OR(F_Custom1_Q="(None)",F_Custom1_Q="",ISBLANK(F_Custom1_Q),F_Custom1_V="(All)",F_Custom1_V="",ISBLANK(F_Custom1_V)),1,IFERROR(IF(ISNUMBER(SEARCH("|"&amp;INDEX(INDIRECT(F_Custom1_resolved_column),1523)&amp;"|",F_Custom1_wrapped)),1,0),0))</f>
        <v>1</v>
      </c>
      <c r="E1524">
        <f>IF(OR(F_Custom2_Q="(None)",F_Custom2_Q="",ISBLANK(F_Custom2_Q),F_Custom2_V="(All)",F_Custom2_V="",ISBLANK(F_Custom2_V)),1,IFERROR(IF(ISNUMBER(SEARCH("|"&amp;INDEX(INDIRECT(F_Custom2_resolved_column),1523)&amp;"|",F_Custom2_wrapped)),1,0),0))</f>
        <v>1</v>
      </c>
      <c r="F1524">
        <f>D1524*E1524*1</f>
        <v>1</v>
      </c>
      <c r="G1524">
        <f>1</f>
        <v>1</v>
      </c>
      <c r="H15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1523)&amp;"|",All_Questions_Q_STREAM_F_wrapped)),1,0),0))*1</f>
        <v>1</v>
      </c>
    </row>
    <row r="1525">
      <c r="A1525" t="n">
        <v>1524</v>
      </c>
      <c r="B1525" t="inlineStr">
        <is>
          <t>B</t>
        </is>
      </c>
      <c r="C1525">
        <f>1</f>
        <v>1</v>
      </c>
      <c r="D1525">
        <f>IF(OR(F_Custom1_Q="(None)",F_Custom1_Q="",ISBLANK(F_Custom1_Q),F_Custom1_V="(All)",F_Custom1_V="",ISBLANK(F_Custom1_V)),1,IFERROR(IF(ISNUMBER(SEARCH("|"&amp;INDEX(INDIRECT(F_Custom1_resolved_column),1524)&amp;"|",F_Custom1_wrapped)),1,0),0))</f>
        <v>1</v>
      </c>
      <c r="E1525">
        <f>IF(OR(F_Custom2_Q="(None)",F_Custom2_Q="",ISBLANK(F_Custom2_Q),F_Custom2_V="(All)",F_Custom2_V="",ISBLANK(F_Custom2_V)),1,IFERROR(IF(ISNUMBER(SEARCH("|"&amp;INDEX(INDIRECT(F_Custom2_resolved_column),1524)&amp;"|",F_Custom2_wrapped)),1,0),0))</f>
        <v>1</v>
      </c>
      <c r="F1525">
        <f>D1525*E1525*1</f>
        <v>1</v>
      </c>
      <c r="G1525">
        <f>1</f>
        <v>1</v>
      </c>
      <c r="H15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1524)&amp;"|",All_Questions_Q_STREAM_F_wrapped)),1,0),0))*1</f>
        <v>1</v>
      </c>
    </row>
    <row r="1526">
      <c r="A1526" t="n">
        <v>1525</v>
      </c>
      <c r="B1526" t="inlineStr">
        <is>
          <t>A</t>
        </is>
      </c>
      <c r="C1526">
        <f>1</f>
        <v>1</v>
      </c>
      <c r="D1526">
        <f>IF(OR(F_Custom1_Q="(None)",F_Custom1_Q="",ISBLANK(F_Custom1_Q),F_Custom1_V="(All)",F_Custom1_V="",ISBLANK(F_Custom1_V)),1,IFERROR(IF(ISNUMBER(SEARCH("|"&amp;INDEX(INDIRECT(F_Custom1_resolved_column),1525)&amp;"|",F_Custom1_wrapped)),1,0),0))</f>
        <v>1</v>
      </c>
      <c r="E1526">
        <f>IF(OR(F_Custom2_Q="(None)",F_Custom2_Q="",ISBLANK(F_Custom2_Q),F_Custom2_V="(All)",F_Custom2_V="",ISBLANK(F_Custom2_V)),1,IFERROR(IF(ISNUMBER(SEARCH("|"&amp;INDEX(INDIRECT(F_Custom2_resolved_column),1525)&amp;"|",F_Custom2_wrapped)),1,0),0))</f>
        <v>1</v>
      </c>
      <c r="F1526">
        <f>D1526*E1526*1</f>
        <v>1</v>
      </c>
      <c r="G1526">
        <f>1</f>
        <v>1</v>
      </c>
      <c r="H15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1525)&amp;"|",All_Questions_Q_STREAM_F_wrapped)),1,0),0))*1</f>
        <v>1</v>
      </c>
    </row>
    <row r="1527">
      <c r="A1527" t="n">
        <v>1526</v>
      </c>
      <c r="B1527" t="inlineStr">
        <is>
          <t>B</t>
        </is>
      </c>
      <c r="C1527">
        <f>1</f>
        <v>1</v>
      </c>
      <c r="D1527">
        <f>IF(OR(F_Custom1_Q="(None)",F_Custom1_Q="",ISBLANK(F_Custom1_Q),F_Custom1_V="(All)",F_Custom1_V="",ISBLANK(F_Custom1_V)),1,IFERROR(IF(ISNUMBER(SEARCH("|"&amp;INDEX(INDIRECT(F_Custom1_resolved_column),1526)&amp;"|",F_Custom1_wrapped)),1,0),0))</f>
        <v>1</v>
      </c>
      <c r="E1527">
        <f>IF(OR(F_Custom2_Q="(None)",F_Custom2_Q="",ISBLANK(F_Custom2_Q),F_Custom2_V="(All)",F_Custom2_V="",ISBLANK(F_Custom2_V)),1,IFERROR(IF(ISNUMBER(SEARCH("|"&amp;INDEX(INDIRECT(F_Custom2_resolved_column),1526)&amp;"|",F_Custom2_wrapped)),1,0),0))</f>
        <v>1</v>
      </c>
      <c r="F1527">
        <f>D1527*E1527*1</f>
        <v>1</v>
      </c>
      <c r="G1527">
        <f>1</f>
        <v>1</v>
      </c>
      <c r="H15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1526)&amp;"|",All_Questions_Q_STREAM_F_wrapped)),1,0),0))*1</f>
        <v>1</v>
      </c>
    </row>
    <row r="1528">
      <c r="A1528" t="n">
        <v>1527</v>
      </c>
      <c r="B1528" t="inlineStr">
        <is>
          <t>A</t>
        </is>
      </c>
      <c r="C1528">
        <f>1</f>
        <v>1</v>
      </c>
      <c r="D1528">
        <f>IF(OR(F_Custom1_Q="(None)",F_Custom1_Q="",ISBLANK(F_Custom1_Q),F_Custom1_V="(All)",F_Custom1_V="",ISBLANK(F_Custom1_V)),1,IFERROR(IF(ISNUMBER(SEARCH("|"&amp;INDEX(INDIRECT(F_Custom1_resolved_column),1527)&amp;"|",F_Custom1_wrapped)),1,0),0))</f>
        <v>1</v>
      </c>
      <c r="E1528">
        <f>IF(OR(F_Custom2_Q="(None)",F_Custom2_Q="",ISBLANK(F_Custom2_Q),F_Custom2_V="(All)",F_Custom2_V="",ISBLANK(F_Custom2_V)),1,IFERROR(IF(ISNUMBER(SEARCH("|"&amp;INDEX(INDIRECT(F_Custom2_resolved_column),1527)&amp;"|",F_Custom2_wrapped)),1,0),0))</f>
        <v>1</v>
      </c>
      <c r="F1528">
        <f>D1528*E1528*1</f>
        <v>1</v>
      </c>
      <c r="G1528">
        <f>1</f>
        <v>1</v>
      </c>
      <c r="H15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1527)&amp;"|",All_Questions_Q_STREAM_F_wrapped)),1,0),0))*1</f>
        <v>1</v>
      </c>
    </row>
    <row r="1529">
      <c r="A1529" t="n">
        <v>1528</v>
      </c>
      <c r="B1529" t="inlineStr">
        <is>
          <t>B</t>
        </is>
      </c>
      <c r="C1529">
        <f>1</f>
        <v>1</v>
      </c>
      <c r="D1529">
        <f>IF(OR(F_Custom1_Q="(None)",F_Custom1_Q="",ISBLANK(F_Custom1_Q),F_Custom1_V="(All)",F_Custom1_V="",ISBLANK(F_Custom1_V)),1,IFERROR(IF(ISNUMBER(SEARCH("|"&amp;INDEX(INDIRECT(F_Custom1_resolved_column),1528)&amp;"|",F_Custom1_wrapped)),1,0),0))</f>
        <v>1</v>
      </c>
      <c r="E1529">
        <f>IF(OR(F_Custom2_Q="(None)",F_Custom2_Q="",ISBLANK(F_Custom2_Q),F_Custom2_V="(All)",F_Custom2_V="",ISBLANK(F_Custom2_V)),1,IFERROR(IF(ISNUMBER(SEARCH("|"&amp;INDEX(INDIRECT(F_Custom2_resolved_column),1528)&amp;"|",F_Custom2_wrapped)),1,0),0))</f>
        <v>1</v>
      </c>
      <c r="F1529">
        <f>D1529*E1529*1</f>
        <v>1</v>
      </c>
      <c r="G1529">
        <f>1</f>
        <v>1</v>
      </c>
      <c r="H15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1528)&amp;"|",All_Questions_Q_STREAM_F_wrapped)),1,0),0))*1</f>
        <v>1</v>
      </c>
    </row>
    <row r="1530">
      <c r="A1530" t="n">
        <v>1529</v>
      </c>
      <c r="B1530" t="inlineStr">
        <is>
          <t>A</t>
        </is>
      </c>
      <c r="C1530">
        <f>1</f>
        <v>1</v>
      </c>
      <c r="D1530">
        <f>IF(OR(F_Custom1_Q="(None)",F_Custom1_Q="",ISBLANK(F_Custom1_Q),F_Custom1_V="(All)",F_Custom1_V="",ISBLANK(F_Custom1_V)),1,IFERROR(IF(ISNUMBER(SEARCH("|"&amp;INDEX(INDIRECT(F_Custom1_resolved_column),1529)&amp;"|",F_Custom1_wrapped)),1,0),0))</f>
        <v>1</v>
      </c>
      <c r="E1530">
        <f>IF(OR(F_Custom2_Q="(None)",F_Custom2_Q="",ISBLANK(F_Custom2_Q),F_Custom2_V="(All)",F_Custom2_V="",ISBLANK(F_Custom2_V)),1,IFERROR(IF(ISNUMBER(SEARCH("|"&amp;INDEX(INDIRECT(F_Custom2_resolved_column),1529)&amp;"|",F_Custom2_wrapped)),1,0),0))</f>
        <v>1</v>
      </c>
      <c r="F1530">
        <f>D1530*E1530*1</f>
        <v>1</v>
      </c>
      <c r="G1530">
        <f>1</f>
        <v>1</v>
      </c>
      <c r="H15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1529)&amp;"|",All_Questions_Q_STREAM_F_wrapped)),1,0),0))*1</f>
        <v>1</v>
      </c>
    </row>
    <row r="1531">
      <c r="A1531" t="n">
        <v>1530</v>
      </c>
      <c r="B1531" t="inlineStr">
        <is>
          <t>B</t>
        </is>
      </c>
      <c r="C1531">
        <f>1</f>
        <v>1</v>
      </c>
      <c r="D1531">
        <f>IF(OR(F_Custom1_Q="(None)",F_Custom1_Q="",ISBLANK(F_Custom1_Q),F_Custom1_V="(All)",F_Custom1_V="",ISBLANK(F_Custom1_V)),1,IFERROR(IF(ISNUMBER(SEARCH("|"&amp;INDEX(INDIRECT(F_Custom1_resolved_column),1530)&amp;"|",F_Custom1_wrapped)),1,0),0))</f>
        <v>1</v>
      </c>
      <c r="E1531">
        <f>IF(OR(F_Custom2_Q="(None)",F_Custom2_Q="",ISBLANK(F_Custom2_Q),F_Custom2_V="(All)",F_Custom2_V="",ISBLANK(F_Custom2_V)),1,IFERROR(IF(ISNUMBER(SEARCH("|"&amp;INDEX(INDIRECT(F_Custom2_resolved_column),1530)&amp;"|",F_Custom2_wrapped)),1,0),0))</f>
        <v>1</v>
      </c>
      <c r="F1531">
        <f>D1531*E1531*1</f>
        <v>1</v>
      </c>
      <c r="G1531">
        <f>1</f>
        <v>1</v>
      </c>
      <c r="H15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1530)&amp;"|",All_Questions_Q_STREAM_F_wrapped)),1,0),0))*1</f>
        <v>1</v>
      </c>
    </row>
    <row r="1532">
      <c r="A1532" t="n">
        <v>1531</v>
      </c>
      <c r="B1532" t="inlineStr">
        <is>
          <t>A</t>
        </is>
      </c>
      <c r="C1532">
        <f>1</f>
        <v>1</v>
      </c>
      <c r="D1532">
        <f>IF(OR(F_Custom1_Q="(None)",F_Custom1_Q="",ISBLANK(F_Custom1_Q),F_Custom1_V="(All)",F_Custom1_V="",ISBLANK(F_Custom1_V)),1,IFERROR(IF(ISNUMBER(SEARCH("|"&amp;INDEX(INDIRECT(F_Custom1_resolved_column),1531)&amp;"|",F_Custom1_wrapped)),1,0),0))</f>
        <v>1</v>
      </c>
      <c r="E1532">
        <f>IF(OR(F_Custom2_Q="(None)",F_Custom2_Q="",ISBLANK(F_Custom2_Q),F_Custom2_V="(All)",F_Custom2_V="",ISBLANK(F_Custom2_V)),1,IFERROR(IF(ISNUMBER(SEARCH("|"&amp;INDEX(INDIRECT(F_Custom2_resolved_column),1531)&amp;"|",F_Custom2_wrapped)),1,0),0))</f>
        <v>1</v>
      </c>
      <c r="F1532">
        <f>D1532*E1532*1</f>
        <v>1</v>
      </c>
      <c r="G1532">
        <f>1</f>
        <v>1</v>
      </c>
      <c r="H15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1531)&amp;"|",All_Questions_Q_STREAM_F_wrapped)),1,0),0))*1</f>
        <v>1</v>
      </c>
    </row>
    <row r="1533">
      <c r="A1533" t="n">
        <v>1532</v>
      </c>
      <c r="B1533" t="inlineStr">
        <is>
          <t>B</t>
        </is>
      </c>
      <c r="C1533">
        <f>1</f>
        <v>1</v>
      </c>
      <c r="D1533">
        <f>IF(OR(F_Custom1_Q="(None)",F_Custom1_Q="",ISBLANK(F_Custom1_Q),F_Custom1_V="(All)",F_Custom1_V="",ISBLANK(F_Custom1_V)),1,IFERROR(IF(ISNUMBER(SEARCH("|"&amp;INDEX(INDIRECT(F_Custom1_resolved_column),1532)&amp;"|",F_Custom1_wrapped)),1,0),0))</f>
        <v>1</v>
      </c>
      <c r="E1533">
        <f>IF(OR(F_Custom2_Q="(None)",F_Custom2_Q="",ISBLANK(F_Custom2_Q),F_Custom2_V="(All)",F_Custom2_V="",ISBLANK(F_Custom2_V)),1,IFERROR(IF(ISNUMBER(SEARCH("|"&amp;INDEX(INDIRECT(F_Custom2_resolved_column),1532)&amp;"|",F_Custom2_wrapped)),1,0),0))</f>
        <v>1</v>
      </c>
      <c r="F1533">
        <f>D1533*E1533*1</f>
        <v>1</v>
      </c>
      <c r="G1533">
        <f>1</f>
        <v>1</v>
      </c>
      <c r="H15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1532)&amp;"|",All_Questions_Q_STREAM_F_wrapped)),1,0),0))*1</f>
        <v>1</v>
      </c>
    </row>
    <row r="1534">
      <c r="A1534" t="n">
        <v>1533</v>
      </c>
      <c r="B1534" t="inlineStr">
        <is>
          <t>A</t>
        </is>
      </c>
      <c r="C1534">
        <f>1</f>
        <v>1</v>
      </c>
      <c r="D1534">
        <f>IF(OR(F_Custom1_Q="(None)",F_Custom1_Q="",ISBLANK(F_Custom1_Q),F_Custom1_V="(All)",F_Custom1_V="",ISBLANK(F_Custom1_V)),1,IFERROR(IF(ISNUMBER(SEARCH("|"&amp;INDEX(INDIRECT(F_Custom1_resolved_column),1533)&amp;"|",F_Custom1_wrapped)),1,0),0))</f>
        <v>1</v>
      </c>
      <c r="E1534">
        <f>IF(OR(F_Custom2_Q="(None)",F_Custom2_Q="",ISBLANK(F_Custom2_Q),F_Custom2_V="(All)",F_Custom2_V="",ISBLANK(F_Custom2_V)),1,IFERROR(IF(ISNUMBER(SEARCH("|"&amp;INDEX(INDIRECT(F_Custom2_resolved_column),1533)&amp;"|",F_Custom2_wrapped)),1,0),0))</f>
        <v>1</v>
      </c>
      <c r="F1534">
        <f>D1534*E1534*1</f>
        <v>1</v>
      </c>
      <c r="G1534">
        <f>1</f>
        <v>1</v>
      </c>
      <c r="H15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1533)&amp;"|",All_Questions_Q_STREAM_F_wrapped)),1,0),0))*1</f>
        <v>1</v>
      </c>
    </row>
    <row r="1535">
      <c r="A1535" t="n">
        <v>1534</v>
      </c>
      <c r="B1535" t="inlineStr">
        <is>
          <t>B</t>
        </is>
      </c>
      <c r="C1535">
        <f>1</f>
        <v>1</v>
      </c>
      <c r="D1535">
        <f>IF(OR(F_Custom1_Q="(None)",F_Custom1_Q="",ISBLANK(F_Custom1_Q),F_Custom1_V="(All)",F_Custom1_V="",ISBLANK(F_Custom1_V)),1,IFERROR(IF(ISNUMBER(SEARCH("|"&amp;INDEX(INDIRECT(F_Custom1_resolved_column),1534)&amp;"|",F_Custom1_wrapped)),1,0),0))</f>
        <v>1</v>
      </c>
      <c r="E1535">
        <f>IF(OR(F_Custom2_Q="(None)",F_Custom2_Q="",ISBLANK(F_Custom2_Q),F_Custom2_V="(All)",F_Custom2_V="",ISBLANK(F_Custom2_V)),1,IFERROR(IF(ISNUMBER(SEARCH("|"&amp;INDEX(INDIRECT(F_Custom2_resolved_column),1534)&amp;"|",F_Custom2_wrapped)),1,0),0))</f>
        <v>1</v>
      </c>
      <c r="F1535">
        <f>D1535*E1535*1</f>
        <v>1</v>
      </c>
      <c r="G1535">
        <f>1</f>
        <v>1</v>
      </c>
      <c r="H15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1534)&amp;"|",All_Questions_Q_STREAM_F_wrapped)),1,0),0))*1</f>
        <v>1</v>
      </c>
    </row>
    <row r="1536">
      <c r="A1536" t="n">
        <v>1535</v>
      </c>
      <c r="B1536" t="inlineStr">
        <is>
          <t>A</t>
        </is>
      </c>
      <c r="C1536">
        <f>1</f>
        <v>1</v>
      </c>
      <c r="D1536">
        <f>IF(OR(F_Custom1_Q="(None)",F_Custom1_Q="",ISBLANK(F_Custom1_Q),F_Custom1_V="(All)",F_Custom1_V="",ISBLANK(F_Custom1_V)),1,IFERROR(IF(ISNUMBER(SEARCH("|"&amp;INDEX(INDIRECT(F_Custom1_resolved_column),1535)&amp;"|",F_Custom1_wrapped)),1,0),0))</f>
        <v>1</v>
      </c>
      <c r="E1536">
        <f>IF(OR(F_Custom2_Q="(None)",F_Custom2_Q="",ISBLANK(F_Custom2_Q),F_Custom2_V="(All)",F_Custom2_V="",ISBLANK(F_Custom2_V)),1,IFERROR(IF(ISNUMBER(SEARCH("|"&amp;INDEX(INDIRECT(F_Custom2_resolved_column),1535)&amp;"|",F_Custom2_wrapped)),1,0),0))</f>
        <v>1</v>
      </c>
      <c r="F1536">
        <f>D1536*E1536*1</f>
        <v>1</v>
      </c>
      <c r="G1536">
        <f>1</f>
        <v>1</v>
      </c>
      <c r="H15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1535)&amp;"|",All_Questions_Q_STREAM_F_wrapped)),1,0),0))*1</f>
        <v>1</v>
      </c>
    </row>
    <row r="1537">
      <c r="A1537" t="n">
        <v>1536</v>
      </c>
      <c r="B1537" t="inlineStr">
        <is>
          <t>B</t>
        </is>
      </c>
      <c r="C1537">
        <f>1</f>
        <v>1</v>
      </c>
      <c r="D1537">
        <f>IF(OR(F_Custom1_Q="(None)",F_Custom1_Q="",ISBLANK(F_Custom1_Q),F_Custom1_V="(All)",F_Custom1_V="",ISBLANK(F_Custom1_V)),1,IFERROR(IF(ISNUMBER(SEARCH("|"&amp;INDEX(INDIRECT(F_Custom1_resolved_column),1536)&amp;"|",F_Custom1_wrapped)),1,0),0))</f>
        <v>1</v>
      </c>
      <c r="E1537">
        <f>IF(OR(F_Custom2_Q="(None)",F_Custom2_Q="",ISBLANK(F_Custom2_Q),F_Custom2_V="(All)",F_Custom2_V="",ISBLANK(F_Custom2_V)),1,IFERROR(IF(ISNUMBER(SEARCH("|"&amp;INDEX(INDIRECT(F_Custom2_resolved_column),1536)&amp;"|",F_Custom2_wrapped)),1,0),0))</f>
        <v>1</v>
      </c>
      <c r="F1537">
        <f>D1537*E1537*1</f>
        <v>1</v>
      </c>
      <c r="G1537">
        <f>1</f>
        <v>1</v>
      </c>
      <c r="H15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1536)&amp;"|",All_Questions_Q_STREAM_F_wrapped)),1,0),0))*1</f>
        <v>1</v>
      </c>
    </row>
    <row r="1538">
      <c r="A1538" t="n">
        <v>1537</v>
      </c>
      <c r="B1538" t="inlineStr">
        <is>
          <t>A</t>
        </is>
      </c>
      <c r="C1538">
        <f>1</f>
        <v>1</v>
      </c>
      <c r="D1538">
        <f>IF(OR(F_Custom1_Q="(None)",F_Custom1_Q="",ISBLANK(F_Custom1_Q),F_Custom1_V="(All)",F_Custom1_V="",ISBLANK(F_Custom1_V)),1,IFERROR(IF(ISNUMBER(SEARCH("|"&amp;INDEX(INDIRECT(F_Custom1_resolved_column),1537)&amp;"|",F_Custom1_wrapped)),1,0),0))</f>
        <v>1</v>
      </c>
      <c r="E1538">
        <f>IF(OR(F_Custom2_Q="(None)",F_Custom2_Q="",ISBLANK(F_Custom2_Q),F_Custom2_V="(All)",F_Custom2_V="",ISBLANK(F_Custom2_V)),1,IFERROR(IF(ISNUMBER(SEARCH("|"&amp;INDEX(INDIRECT(F_Custom2_resolved_column),1537)&amp;"|",F_Custom2_wrapped)),1,0),0))</f>
        <v>1</v>
      </c>
      <c r="F1538">
        <f>D1538*E1538*1</f>
        <v>1</v>
      </c>
      <c r="G1538">
        <f>1</f>
        <v>1</v>
      </c>
      <c r="H15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1537)&amp;"|",All_Questions_Q_STREAM_F_wrapped)),1,0),0))*1</f>
        <v>1</v>
      </c>
    </row>
    <row r="1539">
      <c r="A1539" t="n">
        <v>1538</v>
      </c>
      <c r="B1539" t="inlineStr">
        <is>
          <t>B</t>
        </is>
      </c>
      <c r="C1539">
        <f>1</f>
        <v>1</v>
      </c>
      <c r="D1539">
        <f>IF(OR(F_Custom1_Q="(None)",F_Custom1_Q="",ISBLANK(F_Custom1_Q),F_Custom1_V="(All)",F_Custom1_V="",ISBLANK(F_Custom1_V)),1,IFERROR(IF(ISNUMBER(SEARCH("|"&amp;INDEX(INDIRECT(F_Custom1_resolved_column),1538)&amp;"|",F_Custom1_wrapped)),1,0),0))</f>
        <v>1</v>
      </c>
      <c r="E1539">
        <f>IF(OR(F_Custom2_Q="(None)",F_Custom2_Q="",ISBLANK(F_Custom2_Q),F_Custom2_V="(All)",F_Custom2_V="",ISBLANK(F_Custom2_V)),1,IFERROR(IF(ISNUMBER(SEARCH("|"&amp;INDEX(INDIRECT(F_Custom2_resolved_column),1538)&amp;"|",F_Custom2_wrapped)),1,0),0))</f>
        <v>1</v>
      </c>
      <c r="F1539">
        <f>D1539*E1539*1</f>
        <v>1</v>
      </c>
      <c r="G1539">
        <f>1</f>
        <v>1</v>
      </c>
      <c r="H15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1538)&amp;"|",All_Questions_Q_STREAM_F_wrapped)),1,0),0))*1</f>
        <v>1</v>
      </c>
    </row>
    <row r="1540">
      <c r="A1540" t="n">
        <v>1539</v>
      </c>
      <c r="B1540" t="inlineStr">
        <is>
          <t>A</t>
        </is>
      </c>
      <c r="C1540">
        <f>1</f>
        <v>1</v>
      </c>
      <c r="D1540">
        <f>IF(OR(F_Custom1_Q="(None)",F_Custom1_Q="",ISBLANK(F_Custom1_Q),F_Custom1_V="(All)",F_Custom1_V="",ISBLANK(F_Custom1_V)),1,IFERROR(IF(ISNUMBER(SEARCH("|"&amp;INDEX(INDIRECT(F_Custom1_resolved_column),1539)&amp;"|",F_Custom1_wrapped)),1,0),0))</f>
        <v>1</v>
      </c>
      <c r="E1540">
        <f>IF(OR(F_Custom2_Q="(None)",F_Custom2_Q="",ISBLANK(F_Custom2_Q),F_Custom2_V="(All)",F_Custom2_V="",ISBLANK(F_Custom2_V)),1,IFERROR(IF(ISNUMBER(SEARCH("|"&amp;INDEX(INDIRECT(F_Custom2_resolved_column),1539)&amp;"|",F_Custom2_wrapped)),1,0),0))</f>
        <v>1</v>
      </c>
      <c r="F1540">
        <f>D1540*E1540*1</f>
        <v>1</v>
      </c>
      <c r="G1540">
        <f>1</f>
        <v>1</v>
      </c>
      <c r="H15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1539)&amp;"|",All_Questions_Q_STREAM_F_wrapped)),1,0),0))*1</f>
        <v>1</v>
      </c>
    </row>
    <row r="1541">
      <c r="A1541" t="n">
        <v>1540</v>
      </c>
      <c r="B1541" t="inlineStr">
        <is>
          <t>B</t>
        </is>
      </c>
      <c r="C1541">
        <f>1</f>
        <v>1</v>
      </c>
      <c r="D1541">
        <f>IF(OR(F_Custom1_Q="(None)",F_Custom1_Q="",ISBLANK(F_Custom1_Q),F_Custom1_V="(All)",F_Custom1_V="",ISBLANK(F_Custom1_V)),1,IFERROR(IF(ISNUMBER(SEARCH("|"&amp;INDEX(INDIRECT(F_Custom1_resolved_column),1540)&amp;"|",F_Custom1_wrapped)),1,0),0))</f>
        <v>1</v>
      </c>
      <c r="E1541">
        <f>IF(OR(F_Custom2_Q="(None)",F_Custom2_Q="",ISBLANK(F_Custom2_Q),F_Custom2_V="(All)",F_Custom2_V="",ISBLANK(F_Custom2_V)),1,IFERROR(IF(ISNUMBER(SEARCH("|"&amp;INDEX(INDIRECT(F_Custom2_resolved_column),1540)&amp;"|",F_Custom2_wrapped)),1,0),0))</f>
        <v>1</v>
      </c>
      <c r="F1541">
        <f>D1541*E1541*1</f>
        <v>1</v>
      </c>
      <c r="G1541">
        <f>1</f>
        <v>1</v>
      </c>
      <c r="H15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1540)&amp;"|",All_Questions_Q_STREAM_F_wrapped)),1,0),0))*1</f>
        <v>1</v>
      </c>
    </row>
    <row r="1542">
      <c r="A1542" t="n">
        <v>1541</v>
      </c>
      <c r="B1542" t="inlineStr">
        <is>
          <t>A</t>
        </is>
      </c>
      <c r="C1542">
        <f>1</f>
        <v>1</v>
      </c>
      <c r="D1542">
        <f>IF(OR(F_Custom1_Q="(None)",F_Custom1_Q="",ISBLANK(F_Custom1_Q),F_Custom1_V="(All)",F_Custom1_V="",ISBLANK(F_Custom1_V)),1,IFERROR(IF(ISNUMBER(SEARCH("|"&amp;INDEX(INDIRECT(F_Custom1_resolved_column),1541)&amp;"|",F_Custom1_wrapped)),1,0),0))</f>
        <v>1</v>
      </c>
      <c r="E1542">
        <f>IF(OR(F_Custom2_Q="(None)",F_Custom2_Q="",ISBLANK(F_Custom2_Q),F_Custom2_V="(All)",F_Custom2_V="",ISBLANK(F_Custom2_V)),1,IFERROR(IF(ISNUMBER(SEARCH("|"&amp;INDEX(INDIRECT(F_Custom2_resolved_column),1541)&amp;"|",F_Custom2_wrapped)),1,0),0))</f>
        <v>1</v>
      </c>
      <c r="F1542">
        <f>D1542*E1542*1</f>
        <v>1</v>
      </c>
      <c r="G1542">
        <f>1</f>
        <v>1</v>
      </c>
      <c r="H15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1541)&amp;"|",All_Questions_Q_STREAM_F_wrapped)),1,0),0))*1</f>
        <v>1</v>
      </c>
    </row>
    <row r="1543">
      <c r="A1543" t="n">
        <v>1542</v>
      </c>
      <c r="B1543" t="inlineStr">
        <is>
          <t>B</t>
        </is>
      </c>
      <c r="C1543">
        <f>1</f>
        <v>1</v>
      </c>
      <c r="D1543">
        <f>IF(OR(F_Custom1_Q="(None)",F_Custom1_Q="",ISBLANK(F_Custom1_Q),F_Custom1_V="(All)",F_Custom1_V="",ISBLANK(F_Custom1_V)),1,IFERROR(IF(ISNUMBER(SEARCH("|"&amp;INDEX(INDIRECT(F_Custom1_resolved_column),1542)&amp;"|",F_Custom1_wrapped)),1,0),0))</f>
        <v>1</v>
      </c>
      <c r="E1543">
        <f>IF(OR(F_Custom2_Q="(None)",F_Custom2_Q="",ISBLANK(F_Custom2_Q),F_Custom2_V="(All)",F_Custom2_V="",ISBLANK(F_Custom2_V)),1,IFERROR(IF(ISNUMBER(SEARCH("|"&amp;INDEX(INDIRECT(F_Custom2_resolved_column),1542)&amp;"|",F_Custom2_wrapped)),1,0),0))</f>
        <v>1</v>
      </c>
      <c r="F1543">
        <f>D1543*E1543*1</f>
        <v>1</v>
      </c>
      <c r="G1543">
        <f>1</f>
        <v>1</v>
      </c>
      <c r="H15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1542)&amp;"|",All_Questions_Q_STREAM_F_wrapped)),1,0),0))*1</f>
        <v>1</v>
      </c>
    </row>
    <row r="1544">
      <c r="A1544" t="n">
        <v>1543</v>
      </c>
      <c r="B1544" t="inlineStr">
        <is>
          <t>A</t>
        </is>
      </c>
      <c r="C1544">
        <f>1</f>
        <v>1</v>
      </c>
      <c r="D1544">
        <f>IF(OR(F_Custom1_Q="(None)",F_Custom1_Q="",ISBLANK(F_Custom1_Q),F_Custom1_V="(All)",F_Custom1_V="",ISBLANK(F_Custom1_V)),1,IFERROR(IF(ISNUMBER(SEARCH("|"&amp;INDEX(INDIRECT(F_Custom1_resolved_column),1543)&amp;"|",F_Custom1_wrapped)),1,0),0))</f>
        <v>1</v>
      </c>
      <c r="E1544">
        <f>IF(OR(F_Custom2_Q="(None)",F_Custom2_Q="",ISBLANK(F_Custom2_Q),F_Custom2_V="(All)",F_Custom2_V="",ISBLANK(F_Custom2_V)),1,IFERROR(IF(ISNUMBER(SEARCH("|"&amp;INDEX(INDIRECT(F_Custom2_resolved_column),1543)&amp;"|",F_Custom2_wrapped)),1,0),0))</f>
        <v>1</v>
      </c>
      <c r="F1544">
        <f>D1544*E1544*1</f>
        <v>1</v>
      </c>
      <c r="G1544">
        <f>1</f>
        <v>1</v>
      </c>
      <c r="H15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1543)&amp;"|",All_Questions_Q_STREAM_F_wrapped)),1,0),0))*1</f>
        <v>1</v>
      </c>
    </row>
    <row r="1545">
      <c r="A1545" t="n">
        <v>1544</v>
      </c>
      <c r="B1545" t="inlineStr">
        <is>
          <t>B</t>
        </is>
      </c>
      <c r="C1545">
        <f>1</f>
        <v>1</v>
      </c>
      <c r="D1545">
        <f>IF(OR(F_Custom1_Q="(None)",F_Custom1_Q="",ISBLANK(F_Custom1_Q),F_Custom1_V="(All)",F_Custom1_V="",ISBLANK(F_Custom1_V)),1,IFERROR(IF(ISNUMBER(SEARCH("|"&amp;INDEX(INDIRECT(F_Custom1_resolved_column),1544)&amp;"|",F_Custom1_wrapped)),1,0),0))</f>
        <v>1</v>
      </c>
      <c r="E1545">
        <f>IF(OR(F_Custom2_Q="(None)",F_Custom2_Q="",ISBLANK(F_Custom2_Q),F_Custom2_V="(All)",F_Custom2_V="",ISBLANK(F_Custom2_V)),1,IFERROR(IF(ISNUMBER(SEARCH("|"&amp;INDEX(INDIRECT(F_Custom2_resolved_column),1544)&amp;"|",F_Custom2_wrapped)),1,0),0))</f>
        <v>1</v>
      </c>
      <c r="F1545">
        <f>D1545*E1545*1</f>
        <v>1</v>
      </c>
      <c r="G1545">
        <f>1</f>
        <v>1</v>
      </c>
      <c r="H15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1544)&amp;"|",All_Questions_Q_STREAM_F_wrapped)),1,0),0))*1</f>
        <v>1</v>
      </c>
    </row>
    <row r="1546">
      <c r="A1546" t="n">
        <v>1545</v>
      </c>
      <c r="B1546" t="inlineStr">
        <is>
          <t>A</t>
        </is>
      </c>
      <c r="C1546">
        <f>1</f>
        <v>1</v>
      </c>
      <c r="D1546">
        <f>IF(OR(F_Custom1_Q="(None)",F_Custom1_Q="",ISBLANK(F_Custom1_Q),F_Custom1_V="(All)",F_Custom1_V="",ISBLANK(F_Custom1_V)),1,IFERROR(IF(ISNUMBER(SEARCH("|"&amp;INDEX(INDIRECT(F_Custom1_resolved_column),1545)&amp;"|",F_Custom1_wrapped)),1,0),0))</f>
        <v>1</v>
      </c>
      <c r="E1546">
        <f>IF(OR(F_Custom2_Q="(None)",F_Custom2_Q="",ISBLANK(F_Custom2_Q),F_Custom2_V="(All)",F_Custom2_V="",ISBLANK(F_Custom2_V)),1,IFERROR(IF(ISNUMBER(SEARCH("|"&amp;INDEX(INDIRECT(F_Custom2_resolved_column),1545)&amp;"|",F_Custom2_wrapped)),1,0),0))</f>
        <v>1</v>
      </c>
      <c r="F1546">
        <f>D1546*E1546*1</f>
        <v>1</v>
      </c>
      <c r="G1546">
        <f>1</f>
        <v>1</v>
      </c>
      <c r="H15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1545)&amp;"|",All_Questions_Q_STREAM_F_wrapped)),1,0),0))*1</f>
        <v>1</v>
      </c>
    </row>
    <row r="1547">
      <c r="A1547" t="n">
        <v>1546</v>
      </c>
      <c r="B1547" t="inlineStr">
        <is>
          <t>B</t>
        </is>
      </c>
      <c r="C1547">
        <f>1</f>
        <v>1</v>
      </c>
      <c r="D1547">
        <f>IF(OR(F_Custom1_Q="(None)",F_Custom1_Q="",ISBLANK(F_Custom1_Q),F_Custom1_V="(All)",F_Custom1_V="",ISBLANK(F_Custom1_V)),1,IFERROR(IF(ISNUMBER(SEARCH("|"&amp;INDEX(INDIRECT(F_Custom1_resolved_column),1546)&amp;"|",F_Custom1_wrapped)),1,0),0))</f>
        <v>1</v>
      </c>
      <c r="E1547">
        <f>IF(OR(F_Custom2_Q="(None)",F_Custom2_Q="",ISBLANK(F_Custom2_Q),F_Custom2_V="(All)",F_Custom2_V="",ISBLANK(F_Custom2_V)),1,IFERROR(IF(ISNUMBER(SEARCH("|"&amp;INDEX(INDIRECT(F_Custom2_resolved_column),1546)&amp;"|",F_Custom2_wrapped)),1,0),0))</f>
        <v>1</v>
      </c>
      <c r="F1547">
        <f>D1547*E1547*1</f>
        <v>1</v>
      </c>
      <c r="G1547">
        <f>1</f>
        <v>1</v>
      </c>
      <c r="H15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1546)&amp;"|",All_Questions_Q_STREAM_F_wrapped)),1,0),0))*1</f>
        <v>1</v>
      </c>
    </row>
    <row r="1548">
      <c r="A1548" t="n">
        <v>1547</v>
      </c>
      <c r="B1548" t="inlineStr">
        <is>
          <t>A</t>
        </is>
      </c>
      <c r="C1548">
        <f>1</f>
        <v>1</v>
      </c>
      <c r="D1548">
        <f>IF(OR(F_Custom1_Q="(None)",F_Custom1_Q="",ISBLANK(F_Custom1_Q),F_Custom1_V="(All)",F_Custom1_V="",ISBLANK(F_Custom1_V)),1,IFERROR(IF(ISNUMBER(SEARCH("|"&amp;INDEX(INDIRECT(F_Custom1_resolved_column),1547)&amp;"|",F_Custom1_wrapped)),1,0),0))</f>
        <v>1</v>
      </c>
      <c r="E1548">
        <f>IF(OR(F_Custom2_Q="(None)",F_Custom2_Q="",ISBLANK(F_Custom2_Q),F_Custom2_V="(All)",F_Custom2_V="",ISBLANK(F_Custom2_V)),1,IFERROR(IF(ISNUMBER(SEARCH("|"&amp;INDEX(INDIRECT(F_Custom2_resolved_column),1547)&amp;"|",F_Custom2_wrapped)),1,0),0))</f>
        <v>1</v>
      </c>
      <c r="F1548">
        <f>D1548*E1548*1</f>
        <v>1</v>
      </c>
      <c r="G1548">
        <f>1</f>
        <v>1</v>
      </c>
      <c r="H15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1547)&amp;"|",All_Questions_Q_STREAM_F_wrapped)),1,0),0))*1</f>
        <v>1</v>
      </c>
    </row>
    <row r="1549">
      <c r="A1549" t="n">
        <v>1548</v>
      </c>
      <c r="B1549" t="inlineStr">
        <is>
          <t>B</t>
        </is>
      </c>
      <c r="C1549">
        <f>1</f>
        <v>1</v>
      </c>
      <c r="D1549">
        <f>IF(OR(F_Custom1_Q="(None)",F_Custom1_Q="",ISBLANK(F_Custom1_Q),F_Custom1_V="(All)",F_Custom1_V="",ISBLANK(F_Custom1_V)),1,IFERROR(IF(ISNUMBER(SEARCH("|"&amp;INDEX(INDIRECT(F_Custom1_resolved_column),1548)&amp;"|",F_Custom1_wrapped)),1,0),0))</f>
        <v>1</v>
      </c>
      <c r="E1549">
        <f>IF(OR(F_Custom2_Q="(None)",F_Custom2_Q="",ISBLANK(F_Custom2_Q),F_Custom2_V="(All)",F_Custom2_V="",ISBLANK(F_Custom2_V)),1,IFERROR(IF(ISNUMBER(SEARCH("|"&amp;INDEX(INDIRECT(F_Custom2_resolved_column),1548)&amp;"|",F_Custom2_wrapped)),1,0),0))</f>
        <v>1</v>
      </c>
      <c r="F1549">
        <f>D1549*E1549*1</f>
        <v>1</v>
      </c>
      <c r="G1549">
        <f>1</f>
        <v>1</v>
      </c>
      <c r="H15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1548)&amp;"|",All_Questions_Q_STREAM_F_wrapped)),1,0),0))*1</f>
        <v>1</v>
      </c>
    </row>
    <row r="1550">
      <c r="A1550" t="n">
        <v>1549</v>
      </c>
      <c r="B1550" t="inlineStr">
        <is>
          <t>A</t>
        </is>
      </c>
      <c r="C1550">
        <f>1</f>
        <v>1</v>
      </c>
      <c r="D1550">
        <f>IF(OR(F_Custom1_Q="(None)",F_Custom1_Q="",ISBLANK(F_Custom1_Q),F_Custom1_V="(All)",F_Custom1_V="",ISBLANK(F_Custom1_V)),1,IFERROR(IF(ISNUMBER(SEARCH("|"&amp;INDEX(INDIRECT(F_Custom1_resolved_column),1549)&amp;"|",F_Custom1_wrapped)),1,0),0))</f>
        <v>1</v>
      </c>
      <c r="E1550">
        <f>IF(OR(F_Custom2_Q="(None)",F_Custom2_Q="",ISBLANK(F_Custom2_Q),F_Custom2_V="(All)",F_Custom2_V="",ISBLANK(F_Custom2_V)),1,IFERROR(IF(ISNUMBER(SEARCH("|"&amp;INDEX(INDIRECT(F_Custom2_resolved_column),1549)&amp;"|",F_Custom2_wrapped)),1,0),0))</f>
        <v>1</v>
      </c>
      <c r="F1550">
        <f>D1550*E1550*1</f>
        <v>1</v>
      </c>
      <c r="G1550">
        <f>1</f>
        <v>1</v>
      </c>
      <c r="H15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1549)&amp;"|",All_Questions_Q_STREAM_F_wrapped)),1,0),0))*1</f>
        <v>1</v>
      </c>
    </row>
    <row r="1551">
      <c r="A1551" t="n">
        <v>1550</v>
      </c>
      <c r="B1551" t="inlineStr">
        <is>
          <t>B</t>
        </is>
      </c>
      <c r="C1551">
        <f>1</f>
        <v>1</v>
      </c>
      <c r="D1551">
        <f>IF(OR(F_Custom1_Q="(None)",F_Custom1_Q="",ISBLANK(F_Custom1_Q),F_Custom1_V="(All)",F_Custom1_V="",ISBLANK(F_Custom1_V)),1,IFERROR(IF(ISNUMBER(SEARCH("|"&amp;INDEX(INDIRECT(F_Custom1_resolved_column),1550)&amp;"|",F_Custom1_wrapped)),1,0),0))</f>
        <v>1</v>
      </c>
      <c r="E1551">
        <f>IF(OR(F_Custom2_Q="(None)",F_Custom2_Q="",ISBLANK(F_Custom2_Q),F_Custom2_V="(All)",F_Custom2_V="",ISBLANK(F_Custom2_V)),1,IFERROR(IF(ISNUMBER(SEARCH("|"&amp;INDEX(INDIRECT(F_Custom2_resolved_column),1550)&amp;"|",F_Custom2_wrapped)),1,0),0))</f>
        <v>1</v>
      </c>
      <c r="F1551">
        <f>D1551*E1551*1</f>
        <v>1</v>
      </c>
      <c r="G1551">
        <f>1</f>
        <v>1</v>
      </c>
      <c r="H15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1550)&amp;"|",All_Questions_Q_STREAM_F_wrapped)),1,0),0))*1</f>
        <v>1</v>
      </c>
    </row>
    <row r="1552">
      <c r="A1552" t="n">
        <v>1551</v>
      </c>
      <c r="B1552" t="inlineStr">
        <is>
          <t>A</t>
        </is>
      </c>
      <c r="C1552">
        <f>1</f>
        <v>1</v>
      </c>
      <c r="D1552">
        <f>IF(OR(F_Custom1_Q="(None)",F_Custom1_Q="",ISBLANK(F_Custom1_Q),F_Custom1_V="(All)",F_Custom1_V="",ISBLANK(F_Custom1_V)),1,IFERROR(IF(ISNUMBER(SEARCH("|"&amp;INDEX(INDIRECT(F_Custom1_resolved_column),1551)&amp;"|",F_Custom1_wrapped)),1,0),0))</f>
        <v>1</v>
      </c>
      <c r="E1552">
        <f>IF(OR(F_Custom2_Q="(None)",F_Custom2_Q="",ISBLANK(F_Custom2_Q),F_Custom2_V="(All)",F_Custom2_V="",ISBLANK(F_Custom2_V)),1,IFERROR(IF(ISNUMBER(SEARCH("|"&amp;INDEX(INDIRECT(F_Custom2_resolved_column),1551)&amp;"|",F_Custom2_wrapped)),1,0),0))</f>
        <v>1</v>
      </c>
      <c r="F1552">
        <f>D1552*E1552*1</f>
        <v>1</v>
      </c>
      <c r="G1552">
        <f>1</f>
        <v>1</v>
      </c>
      <c r="H15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1551)&amp;"|",All_Questions_Q_STREAM_F_wrapped)),1,0),0))*1</f>
        <v>1</v>
      </c>
    </row>
    <row r="1553">
      <c r="A1553" t="n">
        <v>1552</v>
      </c>
      <c r="B1553" t="inlineStr">
        <is>
          <t>B</t>
        </is>
      </c>
      <c r="C1553">
        <f>1</f>
        <v>1</v>
      </c>
      <c r="D1553">
        <f>IF(OR(F_Custom1_Q="(None)",F_Custom1_Q="",ISBLANK(F_Custom1_Q),F_Custom1_V="(All)",F_Custom1_V="",ISBLANK(F_Custom1_V)),1,IFERROR(IF(ISNUMBER(SEARCH("|"&amp;INDEX(INDIRECT(F_Custom1_resolved_column),1552)&amp;"|",F_Custom1_wrapped)),1,0),0))</f>
        <v>1</v>
      </c>
      <c r="E1553">
        <f>IF(OR(F_Custom2_Q="(None)",F_Custom2_Q="",ISBLANK(F_Custom2_Q),F_Custom2_V="(All)",F_Custom2_V="",ISBLANK(F_Custom2_V)),1,IFERROR(IF(ISNUMBER(SEARCH("|"&amp;INDEX(INDIRECT(F_Custom2_resolved_column),1552)&amp;"|",F_Custom2_wrapped)),1,0),0))</f>
        <v>1</v>
      </c>
      <c r="F1553">
        <f>D1553*E1553*1</f>
        <v>1</v>
      </c>
      <c r="G1553">
        <f>1</f>
        <v>1</v>
      </c>
      <c r="H15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1552)&amp;"|",All_Questions_Q_STREAM_F_wrapped)),1,0),0))*1</f>
        <v>1</v>
      </c>
    </row>
    <row r="1554">
      <c r="A1554" t="n">
        <v>1553</v>
      </c>
      <c r="B1554" t="inlineStr">
        <is>
          <t>A</t>
        </is>
      </c>
      <c r="C1554">
        <f>1</f>
        <v>1</v>
      </c>
      <c r="D1554">
        <f>IF(OR(F_Custom1_Q="(None)",F_Custom1_Q="",ISBLANK(F_Custom1_Q),F_Custom1_V="(All)",F_Custom1_V="",ISBLANK(F_Custom1_V)),1,IFERROR(IF(ISNUMBER(SEARCH("|"&amp;INDEX(INDIRECT(F_Custom1_resolved_column),1553)&amp;"|",F_Custom1_wrapped)),1,0),0))</f>
        <v>1</v>
      </c>
      <c r="E1554">
        <f>IF(OR(F_Custom2_Q="(None)",F_Custom2_Q="",ISBLANK(F_Custom2_Q),F_Custom2_V="(All)",F_Custom2_V="",ISBLANK(F_Custom2_V)),1,IFERROR(IF(ISNUMBER(SEARCH("|"&amp;INDEX(INDIRECT(F_Custom2_resolved_column),1553)&amp;"|",F_Custom2_wrapped)),1,0),0))</f>
        <v>1</v>
      </c>
      <c r="F1554">
        <f>D1554*E1554*1</f>
        <v>1</v>
      </c>
      <c r="G1554">
        <f>1</f>
        <v>1</v>
      </c>
      <c r="H15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1553)&amp;"|",All_Questions_Q_STREAM_F_wrapped)),1,0),0))*1</f>
        <v>1</v>
      </c>
    </row>
    <row r="1555">
      <c r="A1555" t="n">
        <v>1554</v>
      </c>
      <c r="B1555" t="inlineStr">
        <is>
          <t>B</t>
        </is>
      </c>
      <c r="C1555">
        <f>1</f>
        <v>1</v>
      </c>
      <c r="D1555">
        <f>IF(OR(F_Custom1_Q="(None)",F_Custom1_Q="",ISBLANK(F_Custom1_Q),F_Custom1_V="(All)",F_Custom1_V="",ISBLANK(F_Custom1_V)),1,IFERROR(IF(ISNUMBER(SEARCH("|"&amp;INDEX(INDIRECT(F_Custom1_resolved_column),1554)&amp;"|",F_Custom1_wrapped)),1,0),0))</f>
        <v>1</v>
      </c>
      <c r="E1555">
        <f>IF(OR(F_Custom2_Q="(None)",F_Custom2_Q="",ISBLANK(F_Custom2_Q),F_Custom2_V="(All)",F_Custom2_V="",ISBLANK(F_Custom2_V)),1,IFERROR(IF(ISNUMBER(SEARCH("|"&amp;INDEX(INDIRECT(F_Custom2_resolved_column),1554)&amp;"|",F_Custom2_wrapped)),1,0),0))</f>
        <v>1</v>
      </c>
      <c r="F1555">
        <f>D1555*E1555*1</f>
        <v>1</v>
      </c>
      <c r="G1555">
        <f>1</f>
        <v>1</v>
      </c>
      <c r="H15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1554)&amp;"|",All_Questions_Q_STREAM_F_wrapped)),1,0),0))*1</f>
        <v>1</v>
      </c>
    </row>
    <row r="1556">
      <c r="A1556" t="n">
        <v>1555</v>
      </c>
      <c r="B1556" t="inlineStr">
        <is>
          <t>A</t>
        </is>
      </c>
      <c r="C1556">
        <f>1</f>
        <v>1</v>
      </c>
      <c r="D1556">
        <f>IF(OR(F_Custom1_Q="(None)",F_Custom1_Q="",ISBLANK(F_Custom1_Q),F_Custom1_V="(All)",F_Custom1_V="",ISBLANK(F_Custom1_V)),1,IFERROR(IF(ISNUMBER(SEARCH("|"&amp;INDEX(INDIRECT(F_Custom1_resolved_column),1555)&amp;"|",F_Custom1_wrapped)),1,0),0))</f>
        <v>1</v>
      </c>
      <c r="E1556">
        <f>IF(OR(F_Custom2_Q="(None)",F_Custom2_Q="",ISBLANK(F_Custom2_Q),F_Custom2_V="(All)",F_Custom2_V="",ISBLANK(F_Custom2_V)),1,IFERROR(IF(ISNUMBER(SEARCH("|"&amp;INDEX(INDIRECT(F_Custom2_resolved_column),1555)&amp;"|",F_Custom2_wrapped)),1,0),0))</f>
        <v>1</v>
      </c>
      <c r="F1556">
        <f>D1556*E1556*1</f>
        <v>1</v>
      </c>
      <c r="G1556">
        <f>1</f>
        <v>1</v>
      </c>
      <c r="H15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1555)&amp;"|",All_Questions_Q_STREAM_F_wrapped)),1,0),0))*1</f>
        <v>1</v>
      </c>
    </row>
    <row r="1557">
      <c r="A1557" t="n">
        <v>1556</v>
      </c>
      <c r="B1557" t="inlineStr">
        <is>
          <t>B</t>
        </is>
      </c>
      <c r="C1557">
        <f>1</f>
        <v>1</v>
      </c>
      <c r="D1557">
        <f>IF(OR(F_Custom1_Q="(None)",F_Custom1_Q="",ISBLANK(F_Custom1_Q),F_Custom1_V="(All)",F_Custom1_V="",ISBLANK(F_Custom1_V)),1,IFERROR(IF(ISNUMBER(SEARCH("|"&amp;INDEX(INDIRECT(F_Custom1_resolved_column),1556)&amp;"|",F_Custom1_wrapped)),1,0),0))</f>
        <v>1</v>
      </c>
      <c r="E1557">
        <f>IF(OR(F_Custom2_Q="(None)",F_Custom2_Q="",ISBLANK(F_Custom2_Q),F_Custom2_V="(All)",F_Custom2_V="",ISBLANK(F_Custom2_V)),1,IFERROR(IF(ISNUMBER(SEARCH("|"&amp;INDEX(INDIRECT(F_Custom2_resolved_column),1556)&amp;"|",F_Custom2_wrapped)),1,0),0))</f>
        <v>1</v>
      </c>
      <c r="F1557">
        <f>D1557*E1557*1</f>
        <v>1</v>
      </c>
      <c r="G1557">
        <f>1</f>
        <v>1</v>
      </c>
      <c r="H15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1556)&amp;"|",All_Questions_Q_STREAM_F_wrapped)),1,0),0))*1</f>
        <v>1</v>
      </c>
    </row>
    <row r="1558">
      <c r="A1558" t="n">
        <v>1557</v>
      </c>
      <c r="B1558" t="inlineStr">
        <is>
          <t>A</t>
        </is>
      </c>
      <c r="C1558">
        <f>1</f>
        <v>1</v>
      </c>
      <c r="D1558">
        <f>IF(OR(F_Custom1_Q="(None)",F_Custom1_Q="",ISBLANK(F_Custom1_Q),F_Custom1_V="(All)",F_Custom1_V="",ISBLANK(F_Custom1_V)),1,IFERROR(IF(ISNUMBER(SEARCH("|"&amp;INDEX(INDIRECT(F_Custom1_resolved_column),1557)&amp;"|",F_Custom1_wrapped)),1,0),0))</f>
        <v>1</v>
      </c>
      <c r="E1558">
        <f>IF(OR(F_Custom2_Q="(None)",F_Custom2_Q="",ISBLANK(F_Custom2_Q),F_Custom2_V="(All)",F_Custom2_V="",ISBLANK(F_Custom2_V)),1,IFERROR(IF(ISNUMBER(SEARCH("|"&amp;INDEX(INDIRECT(F_Custom2_resolved_column),1557)&amp;"|",F_Custom2_wrapped)),1,0),0))</f>
        <v>1</v>
      </c>
      <c r="F1558">
        <f>D1558*E1558*1</f>
        <v>1</v>
      </c>
      <c r="G1558">
        <f>1</f>
        <v>1</v>
      </c>
      <c r="H15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1557)&amp;"|",All_Questions_Q_STREAM_F_wrapped)),1,0),0))*1</f>
        <v>1</v>
      </c>
    </row>
    <row r="1559">
      <c r="A1559" t="n">
        <v>1558</v>
      </c>
      <c r="B1559" t="inlineStr">
        <is>
          <t>B</t>
        </is>
      </c>
      <c r="C1559">
        <f>1</f>
        <v>1</v>
      </c>
      <c r="D1559">
        <f>IF(OR(F_Custom1_Q="(None)",F_Custom1_Q="",ISBLANK(F_Custom1_Q),F_Custom1_V="(All)",F_Custom1_V="",ISBLANK(F_Custom1_V)),1,IFERROR(IF(ISNUMBER(SEARCH("|"&amp;INDEX(INDIRECT(F_Custom1_resolved_column),1558)&amp;"|",F_Custom1_wrapped)),1,0),0))</f>
        <v>1</v>
      </c>
      <c r="E1559">
        <f>IF(OR(F_Custom2_Q="(None)",F_Custom2_Q="",ISBLANK(F_Custom2_Q),F_Custom2_V="(All)",F_Custom2_V="",ISBLANK(F_Custom2_V)),1,IFERROR(IF(ISNUMBER(SEARCH("|"&amp;INDEX(INDIRECT(F_Custom2_resolved_column),1558)&amp;"|",F_Custom2_wrapped)),1,0),0))</f>
        <v>1</v>
      </c>
      <c r="F1559">
        <f>D1559*E1559*1</f>
        <v>1</v>
      </c>
      <c r="G1559">
        <f>1</f>
        <v>1</v>
      </c>
      <c r="H15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1558)&amp;"|",All_Questions_Q_STREAM_F_wrapped)),1,0),0))*1</f>
        <v>1</v>
      </c>
    </row>
    <row r="1560">
      <c r="A1560" t="n">
        <v>1559</v>
      </c>
      <c r="B1560" t="inlineStr">
        <is>
          <t>A</t>
        </is>
      </c>
      <c r="C1560">
        <f>1</f>
        <v>1</v>
      </c>
      <c r="D1560">
        <f>IF(OR(F_Custom1_Q="(None)",F_Custom1_Q="",ISBLANK(F_Custom1_Q),F_Custom1_V="(All)",F_Custom1_V="",ISBLANK(F_Custom1_V)),1,IFERROR(IF(ISNUMBER(SEARCH("|"&amp;INDEX(INDIRECT(F_Custom1_resolved_column),1559)&amp;"|",F_Custom1_wrapped)),1,0),0))</f>
        <v>1</v>
      </c>
      <c r="E1560">
        <f>IF(OR(F_Custom2_Q="(None)",F_Custom2_Q="",ISBLANK(F_Custom2_Q),F_Custom2_V="(All)",F_Custom2_V="",ISBLANK(F_Custom2_V)),1,IFERROR(IF(ISNUMBER(SEARCH("|"&amp;INDEX(INDIRECT(F_Custom2_resolved_column),1559)&amp;"|",F_Custom2_wrapped)),1,0),0))</f>
        <v>1</v>
      </c>
      <c r="F1560">
        <f>D1560*E1560*1</f>
        <v>1</v>
      </c>
      <c r="G1560">
        <f>1</f>
        <v>1</v>
      </c>
      <c r="H15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1559)&amp;"|",All_Questions_Q_STREAM_F_wrapped)),1,0),0))*1</f>
        <v>1</v>
      </c>
    </row>
    <row r="1561">
      <c r="A1561" t="n">
        <v>1560</v>
      </c>
      <c r="B1561" t="inlineStr">
        <is>
          <t>B</t>
        </is>
      </c>
      <c r="C1561">
        <f>1</f>
        <v>1</v>
      </c>
      <c r="D1561">
        <f>IF(OR(F_Custom1_Q="(None)",F_Custom1_Q="",ISBLANK(F_Custom1_Q),F_Custom1_V="(All)",F_Custom1_V="",ISBLANK(F_Custom1_V)),1,IFERROR(IF(ISNUMBER(SEARCH("|"&amp;INDEX(INDIRECT(F_Custom1_resolved_column),1560)&amp;"|",F_Custom1_wrapped)),1,0),0))</f>
        <v>1</v>
      </c>
      <c r="E1561">
        <f>IF(OR(F_Custom2_Q="(None)",F_Custom2_Q="",ISBLANK(F_Custom2_Q),F_Custom2_V="(All)",F_Custom2_V="",ISBLANK(F_Custom2_V)),1,IFERROR(IF(ISNUMBER(SEARCH("|"&amp;INDEX(INDIRECT(F_Custom2_resolved_column),1560)&amp;"|",F_Custom2_wrapped)),1,0),0))</f>
        <v>1</v>
      </c>
      <c r="F1561">
        <f>D1561*E1561*1</f>
        <v>1</v>
      </c>
      <c r="G1561">
        <f>1</f>
        <v>1</v>
      </c>
      <c r="H15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1560)&amp;"|",All_Questions_Q_STREAM_F_wrapped)),1,0),0))*1</f>
        <v>1</v>
      </c>
    </row>
    <row r="1562">
      <c r="A1562" t="n">
        <v>1561</v>
      </c>
      <c r="B1562" t="inlineStr">
        <is>
          <t>A</t>
        </is>
      </c>
      <c r="C1562">
        <f>1</f>
        <v>1</v>
      </c>
      <c r="D1562">
        <f>IF(OR(F_Custom1_Q="(None)",F_Custom1_Q="",ISBLANK(F_Custom1_Q),F_Custom1_V="(All)",F_Custom1_V="",ISBLANK(F_Custom1_V)),1,IFERROR(IF(ISNUMBER(SEARCH("|"&amp;INDEX(INDIRECT(F_Custom1_resolved_column),1561)&amp;"|",F_Custom1_wrapped)),1,0),0))</f>
        <v>1</v>
      </c>
      <c r="E1562">
        <f>IF(OR(F_Custom2_Q="(None)",F_Custom2_Q="",ISBLANK(F_Custom2_Q),F_Custom2_V="(All)",F_Custom2_V="",ISBLANK(F_Custom2_V)),1,IFERROR(IF(ISNUMBER(SEARCH("|"&amp;INDEX(INDIRECT(F_Custom2_resolved_column),1561)&amp;"|",F_Custom2_wrapped)),1,0),0))</f>
        <v>1</v>
      </c>
      <c r="F1562">
        <f>D1562*E1562*1</f>
        <v>1</v>
      </c>
      <c r="G1562">
        <f>1</f>
        <v>1</v>
      </c>
      <c r="H15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1561)&amp;"|",All_Questions_Q_STREAM_F_wrapped)),1,0),0))*1</f>
        <v>1</v>
      </c>
    </row>
    <row r="1563">
      <c r="A1563" t="n">
        <v>1562</v>
      </c>
      <c r="B1563" t="inlineStr">
        <is>
          <t>B</t>
        </is>
      </c>
      <c r="C1563">
        <f>1</f>
        <v>1</v>
      </c>
      <c r="D1563">
        <f>IF(OR(F_Custom1_Q="(None)",F_Custom1_Q="",ISBLANK(F_Custom1_Q),F_Custom1_V="(All)",F_Custom1_V="",ISBLANK(F_Custom1_V)),1,IFERROR(IF(ISNUMBER(SEARCH("|"&amp;INDEX(INDIRECT(F_Custom1_resolved_column),1562)&amp;"|",F_Custom1_wrapped)),1,0),0))</f>
        <v>1</v>
      </c>
      <c r="E1563">
        <f>IF(OR(F_Custom2_Q="(None)",F_Custom2_Q="",ISBLANK(F_Custom2_Q),F_Custom2_V="(All)",F_Custom2_V="",ISBLANK(F_Custom2_V)),1,IFERROR(IF(ISNUMBER(SEARCH("|"&amp;INDEX(INDIRECT(F_Custom2_resolved_column),1562)&amp;"|",F_Custom2_wrapped)),1,0),0))</f>
        <v>1</v>
      </c>
      <c r="F1563">
        <f>D1563*E1563*1</f>
        <v>1</v>
      </c>
      <c r="G1563">
        <f>1</f>
        <v>1</v>
      </c>
      <c r="H15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1562)&amp;"|",All_Questions_Q_STREAM_F_wrapped)),1,0),0))*1</f>
        <v>1</v>
      </c>
    </row>
    <row r="1564">
      <c r="A1564" t="n">
        <v>1563</v>
      </c>
      <c r="B1564" t="inlineStr">
        <is>
          <t>A</t>
        </is>
      </c>
      <c r="C1564">
        <f>1</f>
        <v>1</v>
      </c>
      <c r="D1564">
        <f>IF(OR(F_Custom1_Q="(None)",F_Custom1_Q="",ISBLANK(F_Custom1_Q),F_Custom1_V="(All)",F_Custom1_V="",ISBLANK(F_Custom1_V)),1,IFERROR(IF(ISNUMBER(SEARCH("|"&amp;INDEX(INDIRECT(F_Custom1_resolved_column),1563)&amp;"|",F_Custom1_wrapped)),1,0),0))</f>
        <v>1</v>
      </c>
      <c r="E1564">
        <f>IF(OR(F_Custom2_Q="(None)",F_Custom2_Q="",ISBLANK(F_Custom2_Q),F_Custom2_V="(All)",F_Custom2_V="",ISBLANK(F_Custom2_V)),1,IFERROR(IF(ISNUMBER(SEARCH("|"&amp;INDEX(INDIRECT(F_Custom2_resolved_column),1563)&amp;"|",F_Custom2_wrapped)),1,0),0))</f>
        <v>1</v>
      </c>
      <c r="F1564">
        <f>D1564*E1564*1</f>
        <v>1</v>
      </c>
      <c r="G1564">
        <f>1</f>
        <v>1</v>
      </c>
      <c r="H15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1563)&amp;"|",All_Questions_Q_STREAM_F_wrapped)),1,0),0))*1</f>
        <v>1</v>
      </c>
    </row>
    <row r="1565">
      <c r="A1565" t="n">
        <v>1564</v>
      </c>
      <c r="B1565" t="inlineStr">
        <is>
          <t>B</t>
        </is>
      </c>
      <c r="C1565">
        <f>1</f>
        <v>1</v>
      </c>
      <c r="D1565">
        <f>IF(OR(F_Custom1_Q="(None)",F_Custom1_Q="",ISBLANK(F_Custom1_Q),F_Custom1_V="(All)",F_Custom1_V="",ISBLANK(F_Custom1_V)),1,IFERROR(IF(ISNUMBER(SEARCH("|"&amp;INDEX(INDIRECT(F_Custom1_resolved_column),1564)&amp;"|",F_Custom1_wrapped)),1,0),0))</f>
        <v>1</v>
      </c>
      <c r="E1565">
        <f>IF(OR(F_Custom2_Q="(None)",F_Custom2_Q="",ISBLANK(F_Custom2_Q),F_Custom2_V="(All)",F_Custom2_V="",ISBLANK(F_Custom2_V)),1,IFERROR(IF(ISNUMBER(SEARCH("|"&amp;INDEX(INDIRECT(F_Custom2_resolved_column),1564)&amp;"|",F_Custom2_wrapped)),1,0),0))</f>
        <v>1</v>
      </c>
      <c r="F1565">
        <f>D1565*E1565*1</f>
        <v>1</v>
      </c>
      <c r="G1565">
        <f>1</f>
        <v>1</v>
      </c>
      <c r="H15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1564)&amp;"|",All_Questions_Q_STREAM_F_wrapped)),1,0),0))*1</f>
        <v>1</v>
      </c>
    </row>
    <row r="1566">
      <c r="A1566" t="n">
        <v>1565</v>
      </c>
      <c r="B1566" t="inlineStr">
        <is>
          <t>A</t>
        </is>
      </c>
      <c r="C1566">
        <f>1</f>
        <v>1</v>
      </c>
      <c r="D1566">
        <f>IF(OR(F_Custom1_Q="(None)",F_Custom1_Q="",ISBLANK(F_Custom1_Q),F_Custom1_V="(All)",F_Custom1_V="",ISBLANK(F_Custom1_V)),1,IFERROR(IF(ISNUMBER(SEARCH("|"&amp;INDEX(INDIRECT(F_Custom1_resolved_column),1565)&amp;"|",F_Custom1_wrapped)),1,0),0))</f>
        <v>1</v>
      </c>
      <c r="E1566">
        <f>IF(OR(F_Custom2_Q="(None)",F_Custom2_Q="",ISBLANK(F_Custom2_Q),F_Custom2_V="(All)",F_Custom2_V="",ISBLANK(F_Custom2_V)),1,IFERROR(IF(ISNUMBER(SEARCH("|"&amp;INDEX(INDIRECT(F_Custom2_resolved_column),1565)&amp;"|",F_Custom2_wrapped)),1,0),0))</f>
        <v>1</v>
      </c>
      <c r="F1566">
        <f>D1566*E1566*1</f>
        <v>1</v>
      </c>
      <c r="G1566">
        <f>1</f>
        <v>1</v>
      </c>
      <c r="H15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1565)&amp;"|",All_Questions_Q_STREAM_F_wrapped)),1,0),0))*1</f>
        <v>1</v>
      </c>
    </row>
    <row r="1567">
      <c r="A1567" t="n">
        <v>1566</v>
      </c>
      <c r="B1567" t="inlineStr">
        <is>
          <t>B</t>
        </is>
      </c>
      <c r="C1567">
        <f>1</f>
        <v>1</v>
      </c>
      <c r="D1567">
        <f>IF(OR(F_Custom1_Q="(None)",F_Custom1_Q="",ISBLANK(F_Custom1_Q),F_Custom1_V="(All)",F_Custom1_V="",ISBLANK(F_Custom1_V)),1,IFERROR(IF(ISNUMBER(SEARCH("|"&amp;INDEX(INDIRECT(F_Custom1_resolved_column),1566)&amp;"|",F_Custom1_wrapped)),1,0),0))</f>
        <v>1</v>
      </c>
      <c r="E1567">
        <f>IF(OR(F_Custom2_Q="(None)",F_Custom2_Q="",ISBLANK(F_Custom2_Q),F_Custom2_V="(All)",F_Custom2_V="",ISBLANK(F_Custom2_V)),1,IFERROR(IF(ISNUMBER(SEARCH("|"&amp;INDEX(INDIRECT(F_Custom2_resolved_column),1566)&amp;"|",F_Custom2_wrapped)),1,0),0))</f>
        <v>1</v>
      </c>
      <c r="F1567">
        <f>D1567*E1567*1</f>
        <v>1</v>
      </c>
      <c r="G1567">
        <f>1</f>
        <v>1</v>
      </c>
      <c r="H15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1566)&amp;"|",All_Questions_Q_STREAM_F_wrapped)),1,0),0))*1</f>
        <v>1</v>
      </c>
    </row>
    <row r="1568">
      <c r="A1568" t="n">
        <v>1567</v>
      </c>
      <c r="B1568" t="inlineStr">
        <is>
          <t>A</t>
        </is>
      </c>
      <c r="C1568">
        <f>1</f>
        <v>1</v>
      </c>
      <c r="D1568">
        <f>IF(OR(F_Custom1_Q="(None)",F_Custom1_Q="",ISBLANK(F_Custom1_Q),F_Custom1_V="(All)",F_Custom1_V="",ISBLANK(F_Custom1_V)),1,IFERROR(IF(ISNUMBER(SEARCH("|"&amp;INDEX(INDIRECT(F_Custom1_resolved_column),1567)&amp;"|",F_Custom1_wrapped)),1,0),0))</f>
        <v>1</v>
      </c>
      <c r="E1568">
        <f>IF(OR(F_Custom2_Q="(None)",F_Custom2_Q="",ISBLANK(F_Custom2_Q),F_Custom2_V="(All)",F_Custom2_V="",ISBLANK(F_Custom2_V)),1,IFERROR(IF(ISNUMBER(SEARCH("|"&amp;INDEX(INDIRECT(F_Custom2_resolved_column),1567)&amp;"|",F_Custom2_wrapped)),1,0),0))</f>
        <v>1</v>
      </c>
      <c r="F1568">
        <f>D1568*E1568*1</f>
        <v>1</v>
      </c>
      <c r="G1568">
        <f>1</f>
        <v>1</v>
      </c>
      <c r="H15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1567)&amp;"|",All_Questions_Q_STREAM_F_wrapped)),1,0),0))*1</f>
        <v>1</v>
      </c>
    </row>
    <row r="1569">
      <c r="A1569" t="n">
        <v>1568</v>
      </c>
      <c r="B1569" t="inlineStr">
        <is>
          <t>B</t>
        </is>
      </c>
      <c r="C1569">
        <f>1</f>
        <v>1</v>
      </c>
      <c r="D1569">
        <f>IF(OR(F_Custom1_Q="(None)",F_Custom1_Q="",ISBLANK(F_Custom1_Q),F_Custom1_V="(All)",F_Custom1_V="",ISBLANK(F_Custom1_V)),1,IFERROR(IF(ISNUMBER(SEARCH("|"&amp;INDEX(INDIRECT(F_Custom1_resolved_column),1568)&amp;"|",F_Custom1_wrapped)),1,0),0))</f>
        <v>1</v>
      </c>
      <c r="E1569">
        <f>IF(OR(F_Custom2_Q="(None)",F_Custom2_Q="",ISBLANK(F_Custom2_Q),F_Custom2_V="(All)",F_Custom2_V="",ISBLANK(F_Custom2_V)),1,IFERROR(IF(ISNUMBER(SEARCH("|"&amp;INDEX(INDIRECT(F_Custom2_resolved_column),1568)&amp;"|",F_Custom2_wrapped)),1,0),0))</f>
        <v>1</v>
      </c>
      <c r="F1569">
        <f>D1569*E1569*1</f>
        <v>1</v>
      </c>
      <c r="G1569">
        <f>1</f>
        <v>1</v>
      </c>
      <c r="H15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1568)&amp;"|",All_Questions_Q_STREAM_F_wrapped)),1,0),0))*1</f>
        <v>1</v>
      </c>
    </row>
    <row r="1570">
      <c r="A1570" t="n">
        <v>1569</v>
      </c>
      <c r="B1570" t="inlineStr">
        <is>
          <t>A</t>
        </is>
      </c>
      <c r="C1570">
        <f>1</f>
        <v>1</v>
      </c>
      <c r="D1570">
        <f>IF(OR(F_Custom1_Q="(None)",F_Custom1_Q="",ISBLANK(F_Custom1_Q),F_Custom1_V="(All)",F_Custom1_V="",ISBLANK(F_Custom1_V)),1,IFERROR(IF(ISNUMBER(SEARCH("|"&amp;INDEX(INDIRECT(F_Custom1_resolved_column),1569)&amp;"|",F_Custom1_wrapped)),1,0),0))</f>
        <v>1</v>
      </c>
      <c r="E1570">
        <f>IF(OR(F_Custom2_Q="(None)",F_Custom2_Q="",ISBLANK(F_Custom2_Q),F_Custom2_V="(All)",F_Custom2_V="",ISBLANK(F_Custom2_V)),1,IFERROR(IF(ISNUMBER(SEARCH("|"&amp;INDEX(INDIRECT(F_Custom2_resolved_column),1569)&amp;"|",F_Custom2_wrapped)),1,0),0))</f>
        <v>1</v>
      </c>
      <c r="F1570">
        <f>D1570*E1570*1</f>
        <v>1</v>
      </c>
      <c r="G1570">
        <f>1</f>
        <v>1</v>
      </c>
      <c r="H15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1569)&amp;"|",All_Questions_Q_STREAM_F_wrapped)),1,0),0))*1</f>
        <v>1</v>
      </c>
    </row>
    <row r="1571">
      <c r="A1571" t="n">
        <v>1570</v>
      </c>
      <c r="B1571" t="inlineStr">
        <is>
          <t>B</t>
        </is>
      </c>
      <c r="C1571">
        <f>1</f>
        <v>1</v>
      </c>
      <c r="D1571">
        <f>IF(OR(F_Custom1_Q="(None)",F_Custom1_Q="",ISBLANK(F_Custom1_Q),F_Custom1_V="(All)",F_Custom1_V="",ISBLANK(F_Custom1_V)),1,IFERROR(IF(ISNUMBER(SEARCH("|"&amp;INDEX(INDIRECT(F_Custom1_resolved_column),1570)&amp;"|",F_Custom1_wrapped)),1,0),0))</f>
        <v>1</v>
      </c>
      <c r="E1571">
        <f>IF(OR(F_Custom2_Q="(None)",F_Custom2_Q="",ISBLANK(F_Custom2_Q),F_Custom2_V="(All)",F_Custom2_V="",ISBLANK(F_Custom2_V)),1,IFERROR(IF(ISNUMBER(SEARCH("|"&amp;INDEX(INDIRECT(F_Custom2_resolved_column),1570)&amp;"|",F_Custom2_wrapped)),1,0),0))</f>
        <v>1</v>
      </c>
      <c r="F1571">
        <f>D1571*E1571*1</f>
        <v>1</v>
      </c>
      <c r="G1571">
        <f>1</f>
        <v>1</v>
      </c>
      <c r="H15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1570)&amp;"|",All_Questions_Q_STREAM_F_wrapped)),1,0),0))*1</f>
        <v>1</v>
      </c>
    </row>
    <row r="1572">
      <c r="A1572" t="n">
        <v>1571</v>
      </c>
      <c r="B1572" t="inlineStr">
        <is>
          <t>A</t>
        </is>
      </c>
      <c r="C1572">
        <f>1</f>
        <v>1</v>
      </c>
      <c r="D1572">
        <f>IF(OR(F_Custom1_Q="(None)",F_Custom1_Q="",ISBLANK(F_Custom1_Q),F_Custom1_V="(All)",F_Custom1_V="",ISBLANK(F_Custom1_V)),1,IFERROR(IF(ISNUMBER(SEARCH("|"&amp;INDEX(INDIRECT(F_Custom1_resolved_column),1571)&amp;"|",F_Custom1_wrapped)),1,0),0))</f>
        <v>1</v>
      </c>
      <c r="E1572">
        <f>IF(OR(F_Custom2_Q="(None)",F_Custom2_Q="",ISBLANK(F_Custom2_Q),F_Custom2_V="(All)",F_Custom2_V="",ISBLANK(F_Custom2_V)),1,IFERROR(IF(ISNUMBER(SEARCH("|"&amp;INDEX(INDIRECT(F_Custom2_resolved_column),1571)&amp;"|",F_Custom2_wrapped)),1,0),0))</f>
        <v>1</v>
      </c>
      <c r="F1572">
        <f>D1572*E1572*1</f>
        <v>1</v>
      </c>
      <c r="G1572">
        <f>1</f>
        <v>1</v>
      </c>
      <c r="H15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1571)&amp;"|",All_Questions_Q_STREAM_F_wrapped)),1,0),0))*1</f>
        <v>1</v>
      </c>
    </row>
    <row r="1573">
      <c r="A1573" t="n">
        <v>1572</v>
      </c>
      <c r="B1573" t="inlineStr">
        <is>
          <t>B</t>
        </is>
      </c>
      <c r="C1573">
        <f>1</f>
        <v>1</v>
      </c>
      <c r="D1573">
        <f>IF(OR(F_Custom1_Q="(None)",F_Custom1_Q="",ISBLANK(F_Custom1_Q),F_Custom1_V="(All)",F_Custom1_V="",ISBLANK(F_Custom1_V)),1,IFERROR(IF(ISNUMBER(SEARCH("|"&amp;INDEX(INDIRECT(F_Custom1_resolved_column),1572)&amp;"|",F_Custom1_wrapped)),1,0),0))</f>
        <v>1</v>
      </c>
      <c r="E1573">
        <f>IF(OR(F_Custom2_Q="(None)",F_Custom2_Q="",ISBLANK(F_Custom2_Q),F_Custom2_V="(All)",F_Custom2_V="",ISBLANK(F_Custom2_V)),1,IFERROR(IF(ISNUMBER(SEARCH("|"&amp;INDEX(INDIRECT(F_Custom2_resolved_column),1572)&amp;"|",F_Custom2_wrapped)),1,0),0))</f>
        <v>1</v>
      </c>
      <c r="F1573">
        <f>D1573*E1573*1</f>
        <v>1</v>
      </c>
      <c r="G1573">
        <f>1</f>
        <v>1</v>
      </c>
      <c r="H15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1572)&amp;"|",All_Questions_Q_STREAM_F_wrapped)),1,0),0))*1</f>
        <v>1</v>
      </c>
    </row>
    <row r="1574">
      <c r="A1574" t="n">
        <v>1573</v>
      </c>
      <c r="B1574" t="inlineStr">
        <is>
          <t>A</t>
        </is>
      </c>
      <c r="C1574">
        <f>1</f>
        <v>1</v>
      </c>
      <c r="D1574">
        <f>IF(OR(F_Custom1_Q="(None)",F_Custom1_Q="",ISBLANK(F_Custom1_Q),F_Custom1_V="(All)",F_Custom1_V="",ISBLANK(F_Custom1_V)),1,IFERROR(IF(ISNUMBER(SEARCH("|"&amp;INDEX(INDIRECT(F_Custom1_resolved_column),1573)&amp;"|",F_Custom1_wrapped)),1,0),0))</f>
        <v>1</v>
      </c>
      <c r="E1574">
        <f>IF(OR(F_Custom2_Q="(None)",F_Custom2_Q="",ISBLANK(F_Custom2_Q),F_Custom2_V="(All)",F_Custom2_V="",ISBLANK(F_Custom2_V)),1,IFERROR(IF(ISNUMBER(SEARCH("|"&amp;INDEX(INDIRECT(F_Custom2_resolved_column),1573)&amp;"|",F_Custom2_wrapped)),1,0),0))</f>
        <v>1</v>
      </c>
      <c r="F1574">
        <f>D1574*E1574*1</f>
        <v>1</v>
      </c>
      <c r="G1574">
        <f>1</f>
        <v>1</v>
      </c>
      <c r="H15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1573)&amp;"|",All_Questions_Q_STREAM_F_wrapped)),1,0),0))*1</f>
        <v>1</v>
      </c>
    </row>
    <row r="1575">
      <c r="A1575" t="n">
        <v>1574</v>
      </c>
      <c r="B1575" t="inlineStr">
        <is>
          <t>B</t>
        </is>
      </c>
      <c r="C1575">
        <f>1</f>
        <v>1</v>
      </c>
      <c r="D1575">
        <f>IF(OR(F_Custom1_Q="(None)",F_Custom1_Q="",ISBLANK(F_Custom1_Q),F_Custom1_V="(All)",F_Custom1_V="",ISBLANK(F_Custom1_V)),1,IFERROR(IF(ISNUMBER(SEARCH("|"&amp;INDEX(INDIRECT(F_Custom1_resolved_column),1574)&amp;"|",F_Custom1_wrapped)),1,0),0))</f>
        <v>1</v>
      </c>
      <c r="E1575">
        <f>IF(OR(F_Custom2_Q="(None)",F_Custom2_Q="",ISBLANK(F_Custom2_Q),F_Custom2_V="(All)",F_Custom2_V="",ISBLANK(F_Custom2_V)),1,IFERROR(IF(ISNUMBER(SEARCH("|"&amp;INDEX(INDIRECT(F_Custom2_resolved_column),1574)&amp;"|",F_Custom2_wrapped)),1,0),0))</f>
        <v>1</v>
      </c>
      <c r="F1575">
        <f>D1575*E1575*1</f>
        <v>1</v>
      </c>
      <c r="G1575">
        <f>1</f>
        <v>1</v>
      </c>
      <c r="H15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1574)&amp;"|",All_Questions_Q_STREAM_F_wrapped)),1,0),0))*1</f>
        <v>1</v>
      </c>
    </row>
    <row r="1576">
      <c r="A1576" t="n">
        <v>1575</v>
      </c>
      <c r="B1576" t="inlineStr">
        <is>
          <t>A</t>
        </is>
      </c>
      <c r="C1576">
        <f>1</f>
        <v>1</v>
      </c>
      <c r="D1576">
        <f>IF(OR(F_Custom1_Q="(None)",F_Custom1_Q="",ISBLANK(F_Custom1_Q),F_Custom1_V="(All)",F_Custom1_V="",ISBLANK(F_Custom1_V)),1,IFERROR(IF(ISNUMBER(SEARCH("|"&amp;INDEX(INDIRECT(F_Custom1_resolved_column),1575)&amp;"|",F_Custom1_wrapped)),1,0),0))</f>
        <v>1</v>
      </c>
      <c r="E1576">
        <f>IF(OR(F_Custom2_Q="(None)",F_Custom2_Q="",ISBLANK(F_Custom2_Q),F_Custom2_V="(All)",F_Custom2_V="",ISBLANK(F_Custom2_V)),1,IFERROR(IF(ISNUMBER(SEARCH("|"&amp;INDEX(INDIRECT(F_Custom2_resolved_column),1575)&amp;"|",F_Custom2_wrapped)),1,0),0))</f>
        <v>1</v>
      </c>
      <c r="F1576">
        <f>D1576*E1576*1</f>
        <v>1</v>
      </c>
      <c r="G1576">
        <f>1</f>
        <v>1</v>
      </c>
      <c r="H15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1575)&amp;"|",All_Questions_Q_STREAM_F_wrapped)),1,0),0))*1</f>
        <v>1</v>
      </c>
    </row>
    <row r="1577">
      <c r="A1577" t="n">
        <v>1576</v>
      </c>
      <c r="B1577" t="inlineStr">
        <is>
          <t>B</t>
        </is>
      </c>
      <c r="C1577">
        <f>1</f>
        <v>1</v>
      </c>
      <c r="D1577">
        <f>IF(OR(F_Custom1_Q="(None)",F_Custom1_Q="",ISBLANK(F_Custom1_Q),F_Custom1_V="(All)",F_Custom1_V="",ISBLANK(F_Custom1_V)),1,IFERROR(IF(ISNUMBER(SEARCH("|"&amp;INDEX(INDIRECT(F_Custom1_resolved_column),1576)&amp;"|",F_Custom1_wrapped)),1,0),0))</f>
        <v>1</v>
      </c>
      <c r="E1577">
        <f>IF(OR(F_Custom2_Q="(None)",F_Custom2_Q="",ISBLANK(F_Custom2_Q),F_Custom2_V="(All)",F_Custom2_V="",ISBLANK(F_Custom2_V)),1,IFERROR(IF(ISNUMBER(SEARCH("|"&amp;INDEX(INDIRECT(F_Custom2_resolved_column),1576)&amp;"|",F_Custom2_wrapped)),1,0),0))</f>
        <v>1</v>
      </c>
      <c r="F1577">
        <f>D1577*E1577*1</f>
        <v>1</v>
      </c>
      <c r="G1577">
        <f>1</f>
        <v>1</v>
      </c>
      <c r="H15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1576)&amp;"|",All_Questions_Q_STREAM_F_wrapped)),1,0),0))*1</f>
        <v>1</v>
      </c>
    </row>
    <row r="1578">
      <c r="A1578" t="n">
        <v>1577</v>
      </c>
      <c r="B1578" t="inlineStr">
        <is>
          <t>A</t>
        </is>
      </c>
      <c r="C1578">
        <f>1</f>
        <v>1</v>
      </c>
      <c r="D1578">
        <f>IF(OR(F_Custom1_Q="(None)",F_Custom1_Q="",ISBLANK(F_Custom1_Q),F_Custom1_V="(All)",F_Custom1_V="",ISBLANK(F_Custom1_V)),1,IFERROR(IF(ISNUMBER(SEARCH("|"&amp;INDEX(INDIRECT(F_Custom1_resolved_column),1577)&amp;"|",F_Custom1_wrapped)),1,0),0))</f>
        <v>1</v>
      </c>
      <c r="E1578">
        <f>IF(OR(F_Custom2_Q="(None)",F_Custom2_Q="",ISBLANK(F_Custom2_Q),F_Custom2_V="(All)",F_Custom2_V="",ISBLANK(F_Custom2_V)),1,IFERROR(IF(ISNUMBER(SEARCH("|"&amp;INDEX(INDIRECT(F_Custom2_resolved_column),1577)&amp;"|",F_Custom2_wrapped)),1,0),0))</f>
        <v>1</v>
      </c>
      <c r="F1578">
        <f>D1578*E1578*1</f>
        <v>1</v>
      </c>
      <c r="G1578">
        <f>1</f>
        <v>1</v>
      </c>
      <c r="H15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1577)&amp;"|",All_Questions_Q_STREAM_F_wrapped)),1,0),0))*1</f>
        <v>1</v>
      </c>
    </row>
    <row r="1579">
      <c r="A1579" t="n">
        <v>1578</v>
      </c>
      <c r="B1579" t="inlineStr">
        <is>
          <t>B</t>
        </is>
      </c>
      <c r="C1579">
        <f>1</f>
        <v>1</v>
      </c>
      <c r="D1579">
        <f>IF(OR(F_Custom1_Q="(None)",F_Custom1_Q="",ISBLANK(F_Custom1_Q),F_Custom1_V="(All)",F_Custom1_V="",ISBLANK(F_Custom1_V)),1,IFERROR(IF(ISNUMBER(SEARCH("|"&amp;INDEX(INDIRECT(F_Custom1_resolved_column),1578)&amp;"|",F_Custom1_wrapped)),1,0),0))</f>
        <v>1</v>
      </c>
      <c r="E1579">
        <f>IF(OR(F_Custom2_Q="(None)",F_Custom2_Q="",ISBLANK(F_Custom2_Q),F_Custom2_V="(All)",F_Custom2_V="",ISBLANK(F_Custom2_V)),1,IFERROR(IF(ISNUMBER(SEARCH("|"&amp;INDEX(INDIRECT(F_Custom2_resolved_column),1578)&amp;"|",F_Custom2_wrapped)),1,0),0))</f>
        <v>1</v>
      </c>
      <c r="F1579">
        <f>D1579*E1579*1</f>
        <v>1</v>
      </c>
      <c r="G1579">
        <f>1</f>
        <v>1</v>
      </c>
      <c r="H15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1578)&amp;"|",All_Questions_Q_STREAM_F_wrapped)),1,0),0))*1</f>
        <v>1</v>
      </c>
    </row>
    <row r="1580">
      <c r="A1580" t="n">
        <v>1579</v>
      </c>
      <c r="B1580" t="inlineStr">
        <is>
          <t>A</t>
        </is>
      </c>
      <c r="C1580">
        <f>1</f>
        <v>1</v>
      </c>
      <c r="D1580">
        <f>IF(OR(F_Custom1_Q="(None)",F_Custom1_Q="",ISBLANK(F_Custom1_Q),F_Custom1_V="(All)",F_Custom1_V="",ISBLANK(F_Custom1_V)),1,IFERROR(IF(ISNUMBER(SEARCH("|"&amp;INDEX(INDIRECT(F_Custom1_resolved_column),1579)&amp;"|",F_Custom1_wrapped)),1,0),0))</f>
        <v>1</v>
      </c>
      <c r="E1580">
        <f>IF(OR(F_Custom2_Q="(None)",F_Custom2_Q="",ISBLANK(F_Custom2_Q),F_Custom2_V="(All)",F_Custom2_V="",ISBLANK(F_Custom2_V)),1,IFERROR(IF(ISNUMBER(SEARCH("|"&amp;INDEX(INDIRECT(F_Custom2_resolved_column),1579)&amp;"|",F_Custom2_wrapped)),1,0),0))</f>
        <v>1</v>
      </c>
      <c r="F1580">
        <f>D1580*E1580*1</f>
        <v>1</v>
      </c>
      <c r="G1580">
        <f>1</f>
        <v>1</v>
      </c>
      <c r="H15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1579)&amp;"|",All_Questions_Q_STREAM_F_wrapped)),1,0),0))*1</f>
        <v>1</v>
      </c>
    </row>
    <row r="1581">
      <c r="A1581" t="n">
        <v>1580</v>
      </c>
      <c r="B1581" t="inlineStr">
        <is>
          <t>B</t>
        </is>
      </c>
      <c r="C1581">
        <f>1</f>
        <v>1</v>
      </c>
      <c r="D1581">
        <f>IF(OR(F_Custom1_Q="(None)",F_Custom1_Q="",ISBLANK(F_Custom1_Q),F_Custom1_V="(All)",F_Custom1_V="",ISBLANK(F_Custom1_V)),1,IFERROR(IF(ISNUMBER(SEARCH("|"&amp;INDEX(INDIRECT(F_Custom1_resolved_column),1580)&amp;"|",F_Custom1_wrapped)),1,0),0))</f>
        <v>1</v>
      </c>
      <c r="E1581">
        <f>IF(OR(F_Custom2_Q="(None)",F_Custom2_Q="",ISBLANK(F_Custom2_Q),F_Custom2_V="(All)",F_Custom2_V="",ISBLANK(F_Custom2_V)),1,IFERROR(IF(ISNUMBER(SEARCH("|"&amp;INDEX(INDIRECT(F_Custom2_resolved_column),1580)&amp;"|",F_Custom2_wrapped)),1,0),0))</f>
        <v>1</v>
      </c>
      <c r="F1581">
        <f>D1581*E1581*1</f>
        <v>1</v>
      </c>
      <c r="G1581">
        <f>1</f>
        <v>1</v>
      </c>
      <c r="H15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1580)&amp;"|",All_Questions_Q_STREAM_F_wrapped)),1,0),0))*1</f>
        <v>1</v>
      </c>
    </row>
    <row r="1582">
      <c r="A1582" t="n">
        <v>1581</v>
      </c>
      <c r="B1582" t="inlineStr">
        <is>
          <t>A</t>
        </is>
      </c>
      <c r="C1582">
        <f>1</f>
        <v>1</v>
      </c>
      <c r="D1582">
        <f>IF(OR(F_Custom1_Q="(None)",F_Custom1_Q="",ISBLANK(F_Custom1_Q),F_Custom1_V="(All)",F_Custom1_V="",ISBLANK(F_Custom1_V)),1,IFERROR(IF(ISNUMBER(SEARCH("|"&amp;INDEX(INDIRECT(F_Custom1_resolved_column),1581)&amp;"|",F_Custom1_wrapped)),1,0),0))</f>
        <v>1</v>
      </c>
      <c r="E1582">
        <f>IF(OR(F_Custom2_Q="(None)",F_Custom2_Q="",ISBLANK(F_Custom2_Q),F_Custom2_V="(All)",F_Custom2_V="",ISBLANK(F_Custom2_V)),1,IFERROR(IF(ISNUMBER(SEARCH("|"&amp;INDEX(INDIRECT(F_Custom2_resolved_column),1581)&amp;"|",F_Custom2_wrapped)),1,0),0))</f>
        <v>1</v>
      </c>
      <c r="F1582">
        <f>D1582*E1582*1</f>
        <v>1</v>
      </c>
      <c r="G1582">
        <f>1</f>
        <v>1</v>
      </c>
      <c r="H15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1581)&amp;"|",All_Questions_Q_STREAM_F_wrapped)),1,0),0))*1</f>
        <v>1</v>
      </c>
    </row>
    <row r="1583">
      <c r="A1583" t="n">
        <v>1582</v>
      </c>
      <c r="B1583" t="inlineStr">
        <is>
          <t>B</t>
        </is>
      </c>
      <c r="C1583">
        <f>1</f>
        <v>1</v>
      </c>
      <c r="D1583">
        <f>IF(OR(F_Custom1_Q="(None)",F_Custom1_Q="",ISBLANK(F_Custom1_Q),F_Custom1_V="(All)",F_Custom1_V="",ISBLANK(F_Custom1_V)),1,IFERROR(IF(ISNUMBER(SEARCH("|"&amp;INDEX(INDIRECT(F_Custom1_resolved_column),1582)&amp;"|",F_Custom1_wrapped)),1,0),0))</f>
        <v>1</v>
      </c>
      <c r="E1583">
        <f>IF(OR(F_Custom2_Q="(None)",F_Custom2_Q="",ISBLANK(F_Custom2_Q),F_Custom2_V="(All)",F_Custom2_V="",ISBLANK(F_Custom2_V)),1,IFERROR(IF(ISNUMBER(SEARCH("|"&amp;INDEX(INDIRECT(F_Custom2_resolved_column),1582)&amp;"|",F_Custom2_wrapped)),1,0),0))</f>
        <v>1</v>
      </c>
      <c r="F1583">
        <f>D1583*E1583*1</f>
        <v>1</v>
      </c>
      <c r="G1583">
        <f>1</f>
        <v>1</v>
      </c>
      <c r="H15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1582)&amp;"|",All_Questions_Q_STREAM_F_wrapped)),1,0),0))*1</f>
        <v>1</v>
      </c>
    </row>
    <row r="1584">
      <c r="A1584" t="n">
        <v>1583</v>
      </c>
      <c r="B1584" t="inlineStr">
        <is>
          <t>A</t>
        </is>
      </c>
      <c r="C1584">
        <f>1</f>
        <v>1</v>
      </c>
      <c r="D1584">
        <f>IF(OR(F_Custom1_Q="(None)",F_Custom1_Q="",ISBLANK(F_Custom1_Q),F_Custom1_V="(All)",F_Custom1_V="",ISBLANK(F_Custom1_V)),1,IFERROR(IF(ISNUMBER(SEARCH("|"&amp;INDEX(INDIRECT(F_Custom1_resolved_column),1583)&amp;"|",F_Custom1_wrapped)),1,0),0))</f>
        <v>1</v>
      </c>
      <c r="E1584">
        <f>IF(OR(F_Custom2_Q="(None)",F_Custom2_Q="",ISBLANK(F_Custom2_Q),F_Custom2_V="(All)",F_Custom2_V="",ISBLANK(F_Custom2_V)),1,IFERROR(IF(ISNUMBER(SEARCH("|"&amp;INDEX(INDIRECT(F_Custom2_resolved_column),1583)&amp;"|",F_Custom2_wrapped)),1,0),0))</f>
        <v>1</v>
      </c>
      <c r="F1584">
        <f>D1584*E1584*1</f>
        <v>1</v>
      </c>
      <c r="G1584">
        <f>1</f>
        <v>1</v>
      </c>
      <c r="H15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1583)&amp;"|",All_Questions_Q_STREAM_F_wrapped)),1,0),0))*1</f>
        <v>1</v>
      </c>
    </row>
    <row r="1585">
      <c r="A1585" t="n">
        <v>1584</v>
      </c>
      <c r="B1585" t="inlineStr">
        <is>
          <t>B</t>
        </is>
      </c>
      <c r="C1585">
        <f>1</f>
        <v>1</v>
      </c>
      <c r="D1585">
        <f>IF(OR(F_Custom1_Q="(None)",F_Custom1_Q="",ISBLANK(F_Custom1_Q),F_Custom1_V="(All)",F_Custom1_V="",ISBLANK(F_Custom1_V)),1,IFERROR(IF(ISNUMBER(SEARCH("|"&amp;INDEX(INDIRECT(F_Custom1_resolved_column),1584)&amp;"|",F_Custom1_wrapped)),1,0),0))</f>
        <v>1</v>
      </c>
      <c r="E1585">
        <f>IF(OR(F_Custom2_Q="(None)",F_Custom2_Q="",ISBLANK(F_Custom2_Q),F_Custom2_V="(All)",F_Custom2_V="",ISBLANK(F_Custom2_V)),1,IFERROR(IF(ISNUMBER(SEARCH("|"&amp;INDEX(INDIRECT(F_Custom2_resolved_column),1584)&amp;"|",F_Custom2_wrapped)),1,0),0))</f>
        <v>1</v>
      </c>
      <c r="F1585">
        <f>D1585*E1585*1</f>
        <v>1</v>
      </c>
      <c r="G1585">
        <f>1</f>
        <v>1</v>
      </c>
      <c r="H15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1584)&amp;"|",All_Questions_Q_STREAM_F_wrapped)),1,0),0))*1</f>
        <v>1</v>
      </c>
    </row>
    <row r="1586">
      <c r="A1586" t="n">
        <v>1585</v>
      </c>
      <c r="B1586" t="inlineStr">
        <is>
          <t>A</t>
        </is>
      </c>
      <c r="C1586">
        <f>1</f>
        <v>1</v>
      </c>
      <c r="D1586">
        <f>IF(OR(F_Custom1_Q="(None)",F_Custom1_Q="",ISBLANK(F_Custom1_Q),F_Custom1_V="(All)",F_Custom1_V="",ISBLANK(F_Custom1_V)),1,IFERROR(IF(ISNUMBER(SEARCH("|"&amp;INDEX(INDIRECT(F_Custom1_resolved_column),1585)&amp;"|",F_Custom1_wrapped)),1,0),0))</f>
        <v>1</v>
      </c>
      <c r="E1586">
        <f>IF(OR(F_Custom2_Q="(None)",F_Custom2_Q="",ISBLANK(F_Custom2_Q),F_Custom2_V="(All)",F_Custom2_V="",ISBLANK(F_Custom2_V)),1,IFERROR(IF(ISNUMBER(SEARCH("|"&amp;INDEX(INDIRECT(F_Custom2_resolved_column),1585)&amp;"|",F_Custom2_wrapped)),1,0),0))</f>
        <v>1</v>
      </c>
      <c r="F1586">
        <f>D1586*E1586*1</f>
        <v>1</v>
      </c>
      <c r="G1586">
        <f>1</f>
        <v>1</v>
      </c>
      <c r="H15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1585)&amp;"|",All_Questions_Q_STREAM_F_wrapped)),1,0),0))*1</f>
        <v>1</v>
      </c>
    </row>
    <row r="1587">
      <c r="A1587" t="n">
        <v>1586</v>
      </c>
      <c r="B1587" t="inlineStr">
        <is>
          <t>B</t>
        </is>
      </c>
      <c r="C1587">
        <f>1</f>
        <v>1</v>
      </c>
      <c r="D1587">
        <f>IF(OR(F_Custom1_Q="(None)",F_Custom1_Q="",ISBLANK(F_Custom1_Q),F_Custom1_V="(All)",F_Custom1_V="",ISBLANK(F_Custom1_V)),1,IFERROR(IF(ISNUMBER(SEARCH("|"&amp;INDEX(INDIRECT(F_Custom1_resolved_column),1586)&amp;"|",F_Custom1_wrapped)),1,0),0))</f>
        <v>1</v>
      </c>
      <c r="E1587">
        <f>IF(OR(F_Custom2_Q="(None)",F_Custom2_Q="",ISBLANK(F_Custom2_Q),F_Custom2_V="(All)",F_Custom2_V="",ISBLANK(F_Custom2_V)),1,IFERROR(IF(ISNUMBER(SEARCH("|"&amp;INDEX(INDIRECT(F_Custom2_resolved_column),1586)&amp;"|",F_Custom2_wrapped)),1,0),0))</f>
        <v>1</v>
      </c>
      <c r="F1587">
        <f>D1587*E1587*1</f>
        <v>1</v>
      </c>
      <c r="G1587">
        <f>1</f>
        <v>1</v>
      </c>
      <c r="H15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1586)&amp;"|",All_Questions_Q_STREAM_F_wrapped)),1,0),0))*1</f>
        <v>1</v>
      </c>
    </row>
    <row r="1588">
      <c r="A1588" t="n">
        <v>1587</v>
      </c>
      <c r="B1588" t="inlineStr">
        <is>
          <t>A</t>
        </is>
      </c>
      <c r="C1588">
        <f>1</f>
        <v>1</v>
      </c>
      <c r="D1588">
        <f>IF(OR(F_Custom1_Q="(None)",F_Custom1_Q="",ISBLANK(F_Custom1_Q),F_Custom1_V="(All)",F_Custom1_V="",ISBLANK(F_Custom1_V)),1,IFERROR(IF(ISNUMBER(SEARCH("|"&amp;INDEX(INDIRECT(F_Custom1_resolved_column),1587)&amp;"|",F_Custom1_wrapped)),1,0),0))</f>
        <v>1</v>
      </c>
      <c r="E1588">
        <f>IF(OR(F_Custom2_Q="(None)",F_Custom2_Q="",ISBLANK(F_Custom2_Q),F_Custom2_V="(All)",F_Custom2_V="",ISBLANK(F_Custom2_V)),1,IFERROR(IF(ISNUMBER(SEARCH("|"&amp;INDEX(INDIRECT(F_Custom2_resolved_column),1587)&amp;"|",F_Custom2_wrapped)),1,0),0))</f>
        <v>1</v>
      </c>
      <c r="F1588">
        <f>D1588*E1588*1</f>
        <v>1</v>
      </c>
      <c r="G1588">
        <f>1</f>
        <v>1</v>
      </c>
      <c r="H15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1587)&amp;"|",All_Questions_Q_STREAM_F_wrapped)),1,0),0))*1</f>
        <v>1</v>
      </c>
    </row>
    <row r="1589">
      <c r="A1589" t="n">
        <v>1588</v>
      </c>
      <c r="B1589" t="inlineStr">
        <is>
          <t>B</t>
        </is>
      </c>
      <c r="C1589">
        <f>1</f>
        <v>1</v>
      </c>
      <c r="D1589">
        <f>IF(OR(F_Custom1_Q="(None)",F_Custom1_Q="",ISBLANK(F_Custom1_Q),F_Custom1_V="(All)",F_Custom1_V="",ISBLANK(F_Custom1_V)),1,IFERROR(IF(ISNUMBER(SEARCH("|"&amp;INDEX(INDIRECT(F_Custom1_resolved_column),1588)&amp;"|",F_Custom1_wrapped)),1,0),0))</f>
        <v>1</v>
      </c>
      <c r="E1589">
        <f>IF(OR(F_Custom2_Q="(None)",F_Custom2_Q="",ISBLANK(F_Custom2_Q),F_Custom2_V="(All)",F_Custom2_V="",ISBLANK(F_Custom2_V)),1,IFERROR(IF(ISNUMBER(SEARCH("|"&amp;INDEX(INDIRECT(F_Custom2_resolved_column),1588)&amp;"|",F_Custom2_wrapped)),1,0),0))</f>
        <v>1</v>
      </c>
      <c r="F1589">
        <f>D1589*E1589*1</f>
        <v>1</v>
      </c>
      <c r="G1589">
        <f>1</f>
        <v>1</v>
      </c>
      <c r="H15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1588)&amp;"|",All_Questions_Q_STREAM_F_wrapped)),1,0),0))*1</f>
        <v>1</v>
      </c>
    </row>
    <row r="1590">
      <c r="A1590" t="n">
        <v>1589</v>
      </c>
      <c r="B1590" t="inlineStr">
        <is>
          <t>A</t>
        </is>
      </c>
      <c r="C1590">
        <f>1</f>
        <v>1</v>
      </c>
      <c r="D1590">
        <f>IF(OR(F_Custom1_Q="(None)",F_Custom1_Q="",ISBLANK(F_Custom1_Q),F_Custom1_V="(All)",F_Custom1_V="",ISBLANK(F_Custom1_V)),1,IFERROR(IF(ISNUMBER(SEARCH("|"&amp;INDEX(INDIRECT(F_Custom1_resolved_column),1589)&amp;"|",F_Custom1_wrapped)),1,0),0))</f>
        <v>1</v>
      </c>
      <c r="E1590">
        <f>IF(OR(F_Custom2_Q="(None)",F_Custom2_Q="",ISBLANK(F_Custom2_Q),F_Custom2_V="(All)",F_Custom2_V="",ISBLANK(F_Custom2_V)),1,IFERROR(IF(ISNUMBER(SEARCH("|"&amp;INDEX(INDIRECT(F_Custom2_resolved_column),1589)&amp;"|",F_Custom2_wrapped)),1,0),0))</f>
        <v>1</v>
      </c>
      <c r="F1590">
        <f>D1590*E1590*1</f>
        <v>1</v>
      </c>
      <c r="G1590">
        <f>1</f>
        <v>1</v>
      </c>
      <c r="H15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1589)&amp;"|",All_Questions_Q_STREAM_F_wrapped)),1,0),0))*1</f>
        <v>1</v>
      </c>
    </row>
    <row r="1591">
      <c r="A1591" t="n">
        <v>1590</v>
      </c>
      <c r="B1591" t="inlineStr">
        <is>
          <t>B</t>
        </is>
      </c>
      <c r="C1591">
        <f>1</f>
        <v>1</v>
      </c>
      <c r="D1591">
        <f>IF(OR(F_Custom1_Q="(None)",F_Custom1_Q="",ISBLANK(F_Custom1_Q),F_Custom1_V="(All)",F_Custom1_V="",ISBLANK(F_Custom1_V)),1,IFERROR(IF(ISNUMBER(SEARCH("|"&amp;INDEX(INDIRECT(F_Custom1_resolved_column),1590)&amp;"|",F_Custom1_wrapped)),1,0),0))</f>
        <v>1</v>
      </c>
      <c r="E1591">
        <f>IF(OR(F_Custom2_Q="(None)",F_Custom2_Q="",ISBLANK(F_Custom2_Q),F_Custom2_V="(All)",F_Custom2_V="",ISBLANK(F_Custom2_V)),1,IFERROR(IF(ISNUMBER(SEARCH("|"&amp;INDEX(INDIRECT(F_Custom2_resolved_column),1590)&amp;"|",F_Custom2_wrapped)),1,0),0))</f>
        <v>1</v>
      </c>
      <c r="F1591">
        <f>D1591*E1591*1</f>
        <v>1</v>
      </c>
      <c r="G1591">
        <f>1</f>
        <v>1</v>
      </c>
      <c r="H15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1590)&amp;"|",All_Questions_Q_STREAM_F_wrapped)),1,0),0))*1</f>
        <v>1</v>
      </c>
    </row>
    <row r="1592">
      <c r="A1592" t="n">
        <v>1591</v>
      </c>
      <c r="B1592" t="inlineStr">
        <is>
          <t>A</t>
        </is>
      </c>
      <c r="C1592">
        <f>1</f>
        <v>1</v>
      </c>
      <c r="D1592">
        <f>IF(OR(F_Custom1_Q="(None)",F_Custom1_Q="",ISBLANK(F_Custom1_Q),F_Custom1_V="(All)",F_Custom1_V="",ISBLANK(F_Custom1_V)),1,IFERROR(IF(ISNUMBER(SEARCH("|"&amp;INDEX(INDIRECT(F_Custom1_resolved_column),1591)&amp;"|",F_Custom1_wrapped)),1,0),0))</f>
        <v>1</v>
      </c>
      <c r="E1592">
        <f>IF(OR(F_Custom2_Q="(None)",F_Custom2_Q="",ISBLANK(F_Custom2_Q),F_Custom2_V="(All)",F_Custom2_V="",ISBLANK(F_Custom2_V)),1,IFERROR(IF(ISNUMBER(SEARCH("|"&amp;INDEX(INDIRECT(F_Custom2_resolved_column),1591)&amp;"|",F_Custom2_wrapped)),1,0),0))</f>
        <v>1</v>
      </c>
      <c r="F1592">
        <f>D1592*E1592*1</f>
        <v>1</v>
      </c>
      <c r="G1592">
        <f>1</f>
        <v>1</v>
      </c>
      <c r="H15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1591)&amp;"|",All_Questions_Q_STREAM_F_wrapped)),1,0),0))*1</f>
        <v>1</v>
      </c>
    </row>
    <row r="1593">
      <c r="A1593" t="n">
        <v>1592</v>
      </c>
      <c r="B1593" t="inlineStr">
        <is>
          <t>B</t>
        </is>
      </c>
      <c r="C1593">
        <f>1</f>
        <v>1</v>
      </c>
      <c r="D1593">
        <f>IF(OR(F_Custom1_Q="(None)",F_Custom1_Q="",ISBLANK(F_Custom1_Q),F_Custom1_V="(All)",F_Custom1_V="",ISBLANK(F_Custom1_V)),1,IFERROR(IF(ISNUMBER(SEARCH("|"&amp;INDEX(INDIRECT(F_Custom1_resolved_column),1592)&amp;"|",F_Custom1_wrapped)),1,0),0))</f>
        <v>1</v>
      </c>
      <c r="E1593">
        <f>IF(OR(F_Custom2_Q="(None)",F_Custom2_Q="",ISBLANK(F_Custom2_Q),F_Custom2_V="(All)",F_Custom2_V="",ISBLANK(F_Custom2_V)),1,IFERROR(IF(ISNUMBER(SEARCH("|"&amp;INDEX(INDIRECT(F_Custom2_resolved_column),1592)&amp;"|",F_Custom2_wrapped)),1,0),0))</f>
        <v>1</v>
      </c>
      <c r="F1593">
        <f>D1593*E1593*1</f>
        <v>1</v>
      </c>
      <c r="G1593">
        <f>1</f>
        <v>1</v>
      </c>
      <c r="H15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1592)&amp;"|",All_Questions_Q_STREAM_F_wrapped)),1,0),0))*1</f>
        <v>1</v>
      </c>
    </row>
    <row r="1594">
      <c r="A1594" t="n">
        <v>1593</v>
      </c>
      <c r="B1594" t="inlineStr">
        <is>
          <t>A</t>
        </is>
      </c>
      <c r="C1594">
        <f>1</f>
        <v>1</v>
      </c>
      <c r="D1594">
        <f>IF(OR(F_Custom1_Q="(None)",F_Custom1_Q="",ISBLANK(F_Custom1_Q),F_Custom1_V="(All)",F_Custom1_V="",ISBLANK(F_Custom1_V)),1,IFERROR(IF(ISNUMBER(SEARCH("|"&amp;INDEX(INDIRECT(F_Custom1_resolved_column),1593)&amp;"|",F_Custom1_wrapped)),1,0),0))</f>
        <v>1</v>
      </c>
      <c r="E1594">
        <f>IF(OR(F_Custom2_Q="(None)",F_Custom2_Q="",ISBLANK(F_Custom2_Q),F_Custom2_V="(All)",F_Custom2_V="",ISBLANK(F_Custom2_V)),1,IFERROR(IF(ISNUMBER(SEARCH("|"&amp;INDEX(INDIRECT(F_Custom2_resolved_column),1593)&amp;"|",F_Custom2_wrapped)),1,0),0))</f>
        <v>1</v>
      </c>
      <c r="F1594">
        <f>D1594*E1594*1</f>
        <v>1</v>
      </c>
      <c r="G1594">
        <f>1</f>
        <v>1</v>
      </c>
      <c r="H15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1593)&amp;"|",All_Questions_Q_STREAM_F_wrapped)),1,0),0))*1</f>
        <v>1</v>
      </c>
    </row>
    <row r="1595">
      <c r="A1595" t="n">
        <v>1594</v>
      </c>
      <c r="B1595" t="inlineStr">
        <is>
          <t>B</t>
        </is>
      </c>
      <c r="C1595">
        <f>1</f>
        <v>1</v>
      </c>
      <c r="D1595">
        <f>IF(OR(F_Custom1_Q="(None)",F_Custom1_Q="",ISBLANK(F_Custom1_Q),F_Custom1_V="(All)",F_Custom1_V="",ISBLANK(F_Custom1_V)),1,IFERROR(IF(ISNUMBER(SEARCH("|"&amp;INDEX(INDIRECT(F_Custom1_resolved_column),1594)&amp;"|",F_Custom1_wrapped)),1,0),0))</f>
        <v>1</v>
      </c>
      <c r="E1595">
        <f>IF(OR(F_Custom2_Q="(None)",F_Custom2_Q="",ISBLANK(F_Custom2_Q),F_Custom2_V="(All)",F_Custom2_V="",ISBLANK(F_Custom2_V)),1,IFERROR(IF(ISNUMBER(SEARCH("|"&amp;INDEX(INDIRECT(F_Custom2_resolved_column),1594)&amp;"|",F_Custom2_wrapped)),1,0),0))</f>
        <v>1</v>
      </c>
      <c r="F1595">
        <f>D1595*E1595*1</f>
        <v>1</v>
      </c>
      <c r="G1595">
        <f>1</f>
        <v>1</v>
      </c>
      <c r="H15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1594)&amp;"|",All_Questions_Q_STREAM_F_wrapped)),1,0),0))*1</f>
        <v>1</v>
      </c>
    </row>
    <row r="1596">
      <c r="A1596" t="n">
        <v>1595</v>
      </c>
      <c r="B1596" t="inlineStr">
        <is>
          <t>A</t>
        </is>
      </c>
      <c r="C1596">
        <f>1</f>
        <v>1</v>
      </c>
      <c r="D1596">
        <f>IF(OR(F_Custom1_Q="(None)",F_Custom1_Q="",ISBLANK(F_Custom1_Q),F_Custom1_V="(All)",F_Custom1_V="",ISBLANK(F_Custom1_V)),1,IFERROR(IF(ISNUMBER(SEARCH("|"&amp;INDEX(INDIRECT(F_Custom1_resolved_column),1595)&amp;"|",F_Custom1_wrapped)),1,0),0))</f>
        <v>1</v>
      </c>
      <c r="E1596">
        <f>IF(OR(F_Custom2_Q="(None)",F_Custom2_Q="",ISBLANK(F_Custom2_Q),F_Custom2_V="(All)",F_Custom2_V="",ISBLANK(F_Custom2_V)),1,IFERROR(IF(ISNUMBER(SEARCH("|"&amp;INDEX(INDIRECT(F_Custom2_resolved_column),1595)&amp;"|",F_Custom2_wrapped)),1,0),0))</f>
        <v>1</v>
      </c>
      <c r="F1596">
        <f>D1596*E1596*1</f>
        <v>1</v>
      </c>
      <c r="G1596">
        <f>1</f>
        <v>1</v>
      </c>
      <c r="H15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1595)&amp;"|",All_Questions_Q_STREAM_F_wrapped)),1,0),0))*1</f>
        <v>1</v>
      </c>
    </row>
    <row r="1597">
      <c r="A1597" t="n">
        <v>1596</v>
      </c>
      <c r="B1597" t="inlineStr">
        <is>
          <t>B</t>
        </is>
      </c>
      <c r="C1597">
        <f>1</f>
        <v>1</v>
      </c>
      <c r="D1597">
        <f>IF(OR(F_Custom1_Q="(None)",F_Custom1_Q="",ISBLANK(F_Custom1_Q),F_Custom1_V="(All)",F_Custom1_V="",ISBLANK(F_Custom1_V)),1,IFERROR(IF(ISNUMBER(SEARCH("|"&amp;INDEX(INDIRECT(F_Custom1_resolved_column),1596)&amp;"|",F_Custom1_wrapped)),1,0),0))</f>
        <v>1</v>
      </c>
      <c r="E1597">
        <f>IF(OR(F_Custom2_Q="(None)",F_Custom2_Q="",ISBLANK(F_Custom2_Q),F_Custom2_V="(All)",F_Custom2_V="",ISBLANK(F_Custom2_V)),1,IFERROR(IF(ISNUMBER(SEARCH("|"&amp;INDEX(INDIRECT(F_Custom2_resolved_column),1596)&amp;"|",F_Custom2_wrapped)),1,0),0))</f>
        <v>1</v>
      </c>
      <c r="F1597">
        <f>D1597*E1597*1</f>
        <v>1</v>
      </c>
      <c r="G1597">
        <f>1</f>
        <v>1</v>
      </c>
      <c r="H15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1596)&amp;"|",All_Questions_Q_STREAM_F_wrapped)),1,0),0))*1</f>
        <v>1</v>
      </c>
    </row>
    <row r="1598">
      <c r="A1598" t="n">
        <v>1597</v>
      </c>
      <c r="B1598" t="inlineStr">
        <is>
          <t>A</t>
        </is>
      </c>
      <c r="C1598">
        <f>1</f>
        <v>1</v>
      </c>
      <c r="D1598">
        <f>IF(OR(F_Custom1_Q="(None)",F_Custom1_Q="",ISBLANK(F_Custom1_Q),F_Custom1_V="(All)",F_Custom1_V="",ISBLANK(F_Custom1_V)),1,IFERROR(IF(ISNUMBER(SEARCH("|"&amp;INDEX(INDIRECT(F_Custom1_resolved_column),1597)&amp;"|",F_Custom1_wrapped)),1,0),0))</f>
        <v>1</v>
      </c>
      <c r="E1598">
        <f>IF(OR(F_Custom2_Q="(None)",F_Custom2_Q="",ISBLANK(F_Custom2_Q),F_Custom2_V="(All)",F_Custom2_V="",ISBLANK(F_Custom2_V)),1,IFERROR(IF(ISNUMBER(SEARCH("|"&amp;INDEX(INDIRECT(F_Custom2_resolved_column),1597)&amp;"|",F_Custom2_wrapped)),1,0),0))</f>
        <v>1</v>
      </c>
      <c r="F1598">
        <f>D1598*E1598*1</f>
        <v>1</v>
      </c>
      <c r="G1598">
        <f>1</f>
        <v>1</v>
      </c>
      <c r="H15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1597)&amp;"|",All_Questions_Q_STREAM_F_wrapped)),1,0),0))*1</f>
        <v>1</v>
      </c>
    </row>
    <row r="1599">
      <c r="A1599" t="n">
        <v>1598</v>
      </c>
      <c r="B1599" t="inlineStr">
        <is>
          <t>B</t>
        </is>
      </c>
      <c r="C1599">
        <f>1</f>
        <v>1</v>
      </c>
      <c r="D1599">
        <f>IF(OR(F_Custom1_Q="(None)",F_Custom1_Q="",ISBLANK(F_Custom1_Q),F_Custom1_V="(All)",F_Custom1_V="",ISBLANK(F_Custom1_V)),1,IFERROR(IF(ISNUMBER(SEARCH("|"&amp;INDEX(INDIRECT(F_Custom1_resolved_column),1598)&amp;"|",F_Custom1_wrapped)),1,0),0))</f>
        <v>1</v>
      </c>
      <c r="E1599">
        <f>IF(OR(F_Custom2_Q="(None)",F_Custom2_Q="",ISBLANK(F_Custom2_Q),F_Custom2_V="(All)",F_Custom2_V="",ISBLANK(F_Custom2_V)),1,IFERROR(IF(ISNUMBER(SEARCH("|"&amp;INDEX(INDIRECT(F_Custom2_resolved_column),1598)&amp;"|",F_Custom2_wrapped)),1,0),0))</f>
        <v>1</v>
      </c>
      <c r="F1599">
        <f>D1599*E1599*1</f>
        <v>1</v>
      </c>
      <c r="G1599">
        <f>1</f>
        <v>1</v>
      </c>
      <c r="H15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1598)&amp;"|",All_Questions_Q_STREAM_F_wrapped)),1,0),0))*1</f>
        <v>1</v>
      </c>
    </row>
    <row r="1600">
      <c r="A1600" t="n">
        <v>1599</v>
      </c>
      <c r="B1600" t="inlineStr">
        <is>
          <t>A</t>
        </is>
      </c>
      <c r="C1600">
        <f>1</f>
        <v>1</v>
      </c>
      <c r="D1600">
        <f>IF(OR(F_Custom1_Q="(None)",F_Custom1_Q="",ISBLANK(F_Custom1_Q),F_Custom1_V="(All)",F_Custom1_V="",ISBLANK(F_Custom1_V)),1,IFERROR(IF(ISNUMBER(SEARCH("|"&amp;INDEX(INDIRECT(F_Custom1_resolved_column),1599)&amp;"|",F_Custom1_wrapped)),1,0),0))</f>
        <v>1</v>
      </c>
      <c r="E1600">
        <f>IF(OR(F_Custom2_Q="(None)",F_Custom2_Q="",ISBLANK(F_Custom2_Q),F_Custom2_V="(All)",F_Custom2_V="",ISBLANK(F_Custom2_V)),1,IFERROR(IF(ISNUMBER(SEARCH("|"&amp;INDEX(INDIRECT(F_Custom2_resolved_column),1599)&amp;"|",F_Custom2_wrapped)),1,0),0))</f>
        <v>1</v>
      </c>
      <c r="F1600">
        <f>D1600*E1600*1</f>
        <v>1</v>
      </c>
      <c r="G1600">
        <f>1</f>
        <v>1</v>
      </c>
      <c r="H16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1599)&amp;"|",All_Questions_Q_STREAM_F_wrapped)),1,0),0))*1</f>
        <v>1</v>
      </c>
    </row>
    <row r="1601">
      <c r="A1601" t="n">
        <v>1600</v>
      </c>
      <c r="B1601" t="inlineStr">
        <is>
          <t>B</t>
        </is>
      </c>
      <c r="C1601">
        <f>1</f>
        <v>1</v>
      </c>
      <c r="D1601">
        <f>IF(OR(F_Custom1_Q="(None)",F_Custom1_Q="",ISBLANK(F_Custom1_Q),F_Custom1_V="(All)",F_Custom1_V="",ISBLANK(F_Custom1_V)),1,IFERROR(IF(ISNUMBER(SEARCH("|"&amp;INDEX(INDIRECT(F_Custom1_resolved_column),1600)&amp;"|",F_Custom1_wrapped)),1,0),0))</f>
        <v>1</v>
      </c>
      <c r="E1601">
        <f>IF(OR(F_Custom2_Q="(None)",F_Custom2_Q="",ISBLANK(F_Custom2_Q),F_Custom2_V="(All)",F_Custom2_V="",ISBLANK(F_Custom2_V)),1,IFERROR(IF(ISNUMBER(SEARCH("|"&amp;INDEX(INDIRECT(F_Custom2_resolved_column),1600)&amp;"|",F_Custom2_wrapped)),1,0),0))</f>
        <v>1</v>
      </c>
      <c r="F1601">
        <f>D1601*E1601*1</f>
        <v>1</v>
      </c>
      <c r="G1601">
        <f>1</f>
        <v>1</v>
      </c>
      <c r="H16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1600)&amp;"|",All_Questions_Q_STREAM_F_wrapped)),1,0),0))*1</f>
        <v>1</v>
      </c>
    </row>
    <row r="1602">
      <c r="A1602" t="n">
        <v>1601</v>
      </c>
      <c r="B1602" t="inlineStr">
        <is>
          <t>A</t>
        </is>
      </c>
      <c r="C1602">
        <f>1</f>
        <v>1</v>
      </c>
      <c r="D1602">
        <f>IF(OR(F_Custom1_Q="(None)",F_Custom1_Q="",ISBLANK(F_Custom1_Q),F_Custom1_V="(All)",F_Custom1_V="",ISBLANK(F_Custom1_V)),1,IFERROR(IF(ISNUMBER(SEARCH("|"&amp;INDEX(INDIRECT(F_Custom1_resolved_column),1601)&amp;"|",F_Custom1_wrapped)),1,0),0))</f>
        <v>1</v>
      </c>
      <c r="E1602">
        <f>IF(OR(F_Custom2_Q="(None)",F_Custom2_Q="",ISBLANK(F_Custom2_Q),F_Custom2_V="(All)",F_Custom2_V="",ISBLANK(F_Custom2_V)),1,IFERROR(IF(ISNUMBER(SEARCH("|"&amp;INDEX(INDIRECT(F_Custom2_resolved_column),1601)&amp;"|",F_Custom2_wrapped)),1,0),0))</f>
        <v>1</v>
      </c>
      <c r="F1602">
        <f>D1602*E1602*1</f>
        <v>1</v>
      </c>
      <c r="G1602">
        <f>1</f>
        <v>1</v>
      </c>
      <c r="H16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1601)&amp;"|",All_Questions_Q_STREAM_F_wrapped)),1,0),0))*1</f>
        <v>1</v>
      </c>
    </row>
    <row r="1603">
      <c r="A1603" t="n">
        <v>1602</v>
      </c>
      <c r="B1603" t="inlineStr">
        <is>
          <t>B</t>
        </is>
      </c>
      <c r="C1603">
        <f>1</f>
        <v>1</v>
      </c>
      <c r="D1603">
        <f>IF(OR(F_Custom1_Q="(None)",F_Custom1_Q="",ISBLANK(F_Custom1_Q),F_Custom1_V="(All)",F_Custom1_V="",ISBLANK(F_Custom1_V)),1,IFERROR(IF(ISNUMBER(SEARCH("|"&amp;INDEX(INDIRECT(F_Custom1_resolved_column),1602)&amp;"|",F_Custom1_wrapped)),1,0),0))</f>
        <v>1</v>
      </c>
      <c r="E1603">
        <f>IF(OR(F_Custom2_Q="(None)",F_Custom2_Q="",ISBLANK(F_Custom2_Q),F_Custom2_V="(All)",F_Custom2_V="",ISBLANK(F_Custom2_V)),1,IFERROR(IF(ISNUMBER(SEARCH("|"&amp;INDEX(INDIRECT(F_Custom2_resolved_column),1602)&amp;"|",F_Custom2_wrapped)),1,0),0))</f>
        <v>1</v>
      </c>
      <c r="F1603">
        <f>D1603*E1603*1</f>
        <v>1</v>
      </c>
      <c r="G1603">
        <f>1</f>
        <v>1</v>
      </c>
      <c r="H16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1602)&amp;"|",All_Questions_Q_STREAM_F_wrapped)),1,0),0))*1</f>
        <v>1</v>
      </c>
    </row>
    <row r="1604">
      <c r="A1604" t="n">
        <v>1603</v>
      </c>
      <c r="B1604" t="inlineStr">
        <is>
          <t>A</t>
        </is>
      </c>
      <c r="C1604">
        <f>1</f>
        <v>1</v>
      </c>
      <c r="D1604">
        <f>IF(OR(F_Custom1_Q="(None)",F_Custom1_Q="",ISBLANK(F_Custom1_Q),F_Custom1_V="(All)",F_Custom1_V="",ISBLANK(F_Custom1_V)),1,IFERROR(IF(ISNUMBER(SEARCH("|"&amp;INDEX(INDIRECT(F_Custom1_resolved_column),1603)&amp;"|",F_Custom1_wrapped)),1,0),0))</f>
        <v>1</v>
      </c>
      <c r="E1604">
        <f>IF(OR(F_Custom2_Q="(None)",F_Custom2_Q="",ISBLANK(F_Custom2_Q),F_Custom2_V="(All)",F_Custom2_V="",ISBLANK(F_Custom2_V)),1,IFERROR(IF(ISNUMBER(SEARCH("|"&amp;INDEX(INDIRECT(F_Custom2_resolved_column),1603)&amp;"|",F_Custom2_wrapped)),1,0),0))</f>
        <v>1</v>
      </c>
      <c r="F1604">
        <f>D1604*E1604*1</f>
        <v>1</v>
      </c>
      <c r="G1604">
        <f>1</f>
        <v>1</v>
      </c>
      <c r="H16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1603)&amp;"|",All_Questions_Q_STREAM_F_wrapped)),1,0),0))*1</f>
        <v>1</v>
      </c>
    </row>
    <row r="1605">
      <c r="A1605" t="n">
        <v>1604</v>
      </c>
      <c r="B1605" t="inlineStr">
        <is>
          <t>B</t>
        </is>
      </c>
      <c r="C1605">
        <f>1</f>
        <v>1</v>
      </c>
      <c r="D1605">
        <f>IF(OR(F_Custom1_Q="(None)",F_Custom1_Q="",ISBLANK(F_Custom1_Q),F_Custom1_V="(All)",F_Custom1_V="",ISBLANK(F_Custom1_V)),1,IFERROR(IF(ISNUMBER(SEARCH("|"&amp;INDEX(INDIRECT(F_Custom1_resolved_column),1604)&amp;"|",F_Custom1_wrapped)),1,0),0))</f>
        <v>1</v>
      </c>
      <c r="E1605">
        <f>IF(OR(F_Custom2_Q="(None)",F_Custom2_Q="",ISBLANK(F_Custom2_Q),F_Custom2_V="(All)",F_Custom2_V="",ISBLANK(F_Custom2_V)),1,IFERROR(IF(ISNUMBER(SEARCH("|"&amp;INDEX(INDIRECT(F_Custom2_resolved_column),1604)&amp;"|",F_Custom2_wrapped)),1,0),0))</f>
        <v>1</v>
      </c>
      <c r="F1605">
        <f>D1605*E1605*1</f>
        <v>1</v>
      </c>
      <c r="G1605">
        <f>1</f>
        <v>1</v>
      </c>
      <c r="H16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1604)&amp;"|",All_Questions_Q_STREAM_F_wrapped)),1,0),0))*1</f>
        <v>1</v>
      </c>
    </row>
    <row r="1606">
      <c r="A1606" t="n">
        <v>1605</v>
      </c>
      <c r="B1606" t="inlineStr">
        <is>
          <t>A</t>
        </is>
      </c>
      <c r="C1606">
        <f>1</f>
        <v>1</v>
      </c>
      <c r="D1606">
        <f>IF(OR(F_Custom1_Q="(None)",F_Custom1_Q="",ISBLANK(F_Custom1_Q),F_Custom1_V="(All)",F_Custom1_V="",ISBLANK(F_Custom1_V)),1,IFERROR(IF(ISNUMBER(SEARCH("|"&amp;INDEX(INDIRECT(F_Custom1_resolved_column),1605)&amp;"|",F_Custom1_wrapped)),1,0),0))</f>
        <v>1</v>
      </c>
      <c r="E1606">
        <f>IF(OR(F_Custom2_Q="(None)",F_Custom2_Q="",ISBLANK(F_Custom2_Q),F_Custom2_V="(All)",F_Custom2_V="",ISBLANK(F_Custom2_V)),1,IFERROR(IF(ISNUMBER(SEARCH("|"&amp;INDEX(INDIRECT(F_Custom2_resolved_column),1605)&amp;"|",F_Custom2_wrapped)),1,0),0))</f>
        <v>1</v>
      </c>
      <c r="F1606">
        <f>D1606*E1606*1</f>
        <v>1</v>
      </c>
      <c r="G1606">
        <f>1</f>
        <v>1</v>
      </c>
      <c r="H16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1605)&amp;"|",All_Questions_Q_STREAM_F_wrapped)),1,0),0))*1</f>
        <v>1</v>
      </c>
    </row>
    <row r="1607">
      <c r="A1607" t="n">
        <v>1606</v>
      </c>
      <c r="B1607" t="inlineStr">
        <is>
          <t>B</t>
        </is>
      </c>
      <c r="C1607">
        <f>1</f>
        <v>1</v>
      </c>
      <c r="D1607">
        <f>IF(OR(F_Custom1_Q="(None)",F_Custom1_Q="",ISBLANK(F_Custom1_Q),F_Custom1_V="(All)",F_Custom1_V="",ISBLANK(F_Custom1_V)),1,IFERROR(IF(ISNUMBER(SEARCH("|"&amp;INDEX(INDIRECT(F_Custom1_resolved_column),1606)&amp;"|",F_Custom1_wrapped)),1,0),0))</f>
        <v>1</v>
      </c>
      <c r="E1607">
        <f>IF(OR(F_Custom2_Q="(None)",F_Custom2_Q="",ISBLANK(F_Custom2_Q),F_Custom2_V="(All)",F_Custom2_V="",ISBLANK(F_Custom2_V)),1,IFERROR(IF(ISNUMBER(SEARCH("|"&amp;INDEX(INDIRECT(F_Custom2_resolved_column),1606)&amp;"|",F_Custom2_wrapped)),1,0),0))</f>
        <v>1</v>
      </c>
      <c r="F1607">
        <f>D1607*E1607*1</f>
        <v>1</v>
      </c>
      <c r="G1607">
        <f>1</f>
        <v>1</v>
      </c>
      <c r="H16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1606)&amp;"|",All_Questions_Q_STREAM_F_wrapped)),1,0),0))*1</f>
        <v>1</v>
      </c>
    </row>
    <row r="1608">
      <c r="A1608" t="n">
        <v>1607</v>
      </c>
      <c r="B1608" t="inlineStr">
        <is>
          <t>A</t>
        </is>
      </c>
      <c r="C1608">
        <f>1</f>
        <v>1</v>
      </c>
      <c r="D1608">
        <f>IF(OR(F_Custom1_Q="(None)",F_Custom1_Q="",ISBLANK(F_Custom1_Q),F_Custom1_V="(All)",F_Custom1_V="",ISBLANK(F_Custom1_V)),1,IFERROR(IF(ISNUMBER(SEARCH("|"&amp;INDEX(INDIRECT(F_Custom1_resolved_column),1607)&amp;"|",F_Custom1_wrapped)),1,0),0))</f>
        <v>1</v>
      </c>
      <c r="E1608">
        <f>IF(OR(F_Custom2_Q="(None)",F_Custom2_Q="",ISBLANK(F_Custom2_Q),F_Custom2_V="(All)",F_Custom2_V="",ISBLANK(F_Custom2_V)),1,IFERROR(IF(ISNUMBER(SEARCH("|"&amp;INDEX(INDIRECT(F_Custom2_resolved_column),1607)&amp;"|",F_Custom2_wrapped)),1,0),0))</f>
        <v>1</v>
      </c>
      <c r="F1608">
        <f>D1608*E1608*1</f>
        <v>1</v>
      </c>
      <c r="G1608">
        <f>1</f>
        <v>1</v>
      </c>
      <c r="H16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1607)&amp;"|",All_Questions_Q_STREAM_F_wrapped)),1,0),0))*1</f>
        <v>1</v>
      </c>
    </row>
    <row r="1609">
      <c r="A1609" t="n">
        <v>1608</v>
      </c>
      <c r="B1609" t="inlineStr">
        <is>
          <t>B</t>
        </is>
      </c>
      <c r="C1609">
        <f>1</f>
        <v>1</v>
      </c>
      <c r="D1609">
        <f>IF(OR(F_Custom1_Q="(None)",F_Custom1_Q="",ISBLANK(F_Custom1_Q),F_Custom1_V="(All)",F_Custom1_V="",ISBLANK(F_Custom1_V)),1,IFERROR(IF(ISNUMBER(SEARCH("|"&amp;INDEX(INDIRECT(F_Custom1_resolved_column),1608)&amp;"|",F_Custom1_wrapped)),1,0),0))</f>
        <v>1</v>
      </c>
      <c r="E1609">
        <f>IF(OR(F_Custom2_Q="(None)",F_Custom2_Q="",ISBLANK(F_Custom2_Q),F_Custom2_V="(All)",F_Custom2_V="",ISBLANK(F_Custom2_V)),1,IFERROR(IF(ISNUMBER(SEARCH("|"&amp;INDEX(INDIRECT(F_Custom2_resolved_column),1608)&amp;"|",F_Custom2_wrapped)),1,0),0))</f>
        <v>1</v>
      </c>
      <c r="F1609">
        <f>D1609*E1609*1</f>
        <v>1</v>
      </c>
      <c r="G1609">
        <f>1</f>
        <v>1</v>
      </c>
      <c r="H16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1608)&amp;"|",All_Questions_Q_STREAM_F_wrapped)),1,0),0))*1</f>
        <v>1</v>
      </c>
    </row>
    <row r="1610">
      <c r="A1610" t="n">
        <v>1609</v>
      </c>
      <c r="B1610" t="inlineStr">
        <is>
          <t>A</t>
        </is>
      </c>
      <c r="C1610">
        <f>1</f>
        <v>1</v>
      </c>
      <c r="D1610">
        <f>IF(OR(F_Custom1_Q="(None)",F_Custom1_Q="",ISBLANK(F_Custom1_Q),F_Custom1_V="(All)",F_Custom1_V="",ISBLANK(F_Custom1_V)),1,IFERROR(IF(ISNUMBER(SEARCH("|"&amp;INDEX(INDIRECT(F_Custom1_resolved_column),1609)&amp;"|",F_Custom1_wrapped)),1,0),0))</f>
        <v>1</v>
      </c>
      <c r="E1610">
        <f>IF(OR(F_Custom2_Q="(None)",F_Custom2_Q="",ISBLANK(F_Custom2_Q),F_Custom2_V="(All)",F_Custom2_V="",ISBLANK(F_Custom2_V)),1,IFERROR(IF(ISNUMBER(SEARCH("|"&amp;INDEX(INDIRECT(F_Custom2_resolved_column),1609)&amp;"|",F_Custom2_wrapped)),1,0),0))</f>
        <v>1</v>
      </c>
      <c r="F1610">
        <f>D1610*E1610*1</f>
        <v>1</v>
      </c>
      <c r="G1610">
        <f>1</f>
        <v>1</v>
      </c>
      <c r="H16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1609)&amp;"|",All_Questions_Q_STREAM_F_wrapped)),1,0),0))*1</f>
        <v>1</v>
      </c>
    </row>
    <row r="1611">
      <c r="A1611" t="n">
        <v>1610</v>
      </c>
      <c r="B1611" t="inlineStr">
        <is>
          <t>B</t>
        </is>
      </c>
      <c r="C1611">
        <f>1</f>
        <v>1</v>
      </c>
      <c r="D1611">
        <f>IF(OR(F_Custom1_Q="(None)",F_Custom1_Q="",ISBLANK(F_Custom1_Q),F_Custom1_V="(All)",F_Custom1_V="",ISBLANK(F_Custom1_V)),1,IFERROR(IF(ISNUMBER(SEARCH("|"&amp;INDEX(INDIRECT(F_Custom1_resolved_column),1610)&amp;"|",F_Custom1_wrapped)),1,0),0))</f>
        <v>1</v>
      </c>
      <c r="E1611">
        <f>IF(OR(F_Custom2_Q="(None)",F_Custom2_Q="",ISBLANK(F_Custom2_Q),F_Custom2_V="(All)",F_Custom2_V="",ISBLANK(F_Custom2_V)),1,IFERROR(IF(ISNUMBER(SEARCH("|"&amp;INDEX(INDIRECT(F_Custom2_resolved_column),1610)&amp;"|",F_Custom2_wrapped)),1,0),0))</f>
        <v>1</v>
      </c>
      <c r="F1611">
        <f>D1611*E1611*1</f>
        <v>1</v>
      </c>
      <c r="G1611">
        <f>1</f>
        <v>1</v>
      </c>
      <c r="H16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1610)&amp;"|",All_Questions_Q_STREAM_F_wrapped)),1,0),0))*1</f>
        <v>1</v>
      </c>
    </row>
    <row r="1612">
      <c r="A1612" t="n">
        <v>1611</v>
      </c>
      <c r="B1612" t="inlineStr">
        <is>
          <t>A</t>
        </is>
      </c>
      <c r="C1612">
        <f>1</f>
        <v>1</v>
      </c>
      <c r="D1612">
        <f>IF(OR(F_Custom1_Q="(None)",F_Custom1_Q="",ISBLANK(F_Custom1_Q),F_Custom1_V="(All)",F_Custom1_V="",ISBLANK(F_Custom1_V)),1,IFERROR(IF(ISNUMBER(SEARCH("|"&amp;INDEX(INDIRECT(F_Custom1_resolved_column),1611)&amp;"|",F_Custom1_wrapped)),1,0),0))</f>
        <v>1</v>
      </c>
      <c r="E1612">
        <f>IF(OR(F_Custom2_Q="(None)",F_Custom2_Q="",ISBLANK(F_Custom2_Q),F_Custom2_V="(All)",F_Custom2_V="",ISBLANK(F_Custom2_V)),1,IFERROR(IF(ISNUMBER(SEARCH("|"&amp;INDEX(INDIRECT(F_Custom2_resolved_column),1611)&amp;"|",F_Custom2_wrapped)),1,0),0))</f>
        <v>1</v>
      </c>
      <c r="F1612">
        <f>D1612*E1612*1</f>
        <v>1</v>
      </c>
      <c r="G1612">
        <f>1</f>
        <v>1</v>
      </c>
      <c r="H16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1611)&amp;"|",All_Questions_Q_STREAM_F_wrapped)),1,0),0))*1</f>
        <v>1</v>
      </c>
    </row>
    <row r="1613">
      <c r="A1613" t="n">
        <v>1612</v>
      </c>
      <c r="B1613" t="inlineStr">
        <is>
          <t>B</t>
        </is>
      </c>
      <c r="C1613">
        <f>1</f>
        <v>1</v>
      </c>
      <c r="D1613">
        <f>IF(OR(F_Custom1_Q="(None)",F_Custom1_Q="",ISBLANK(F_Custom1_Q),F_Custom1_V="(All)",F_Custom1_V="",ISBLANK(F_Custom1_V)),1,IFERROR(IF(ISNUMBER(SEARCH("|"&amp;INDEX(INDIRECT(F_Custom1_resolved_column),1612)&amp;"|",F_Custom1_wrapped)),1,0),0))</f>
        <v>1</v>
      </c>
      <c r="E1613">
        <f>IF(OR(F_Custom2_Q="(None)",F_Custom2_Q="",ISBLANK(F_Custom2_Q),F_Custom2_V="(All)",F_Custom2_V="",ISBLANK(F_Custom2_V)),1,IFERROR(IF(ISNUMBER(SEARCH("|"&amp;INDEX(INDIRECT(F_Custom2_resolved_column),1612)&amp;"|",F_Custom2_wrapped)),1,0),0))</f>
        <v>1</v>
      </c>
      <c r="F1613">
        <f>D1613*E1613*1</f>
        <v>1</v>
      </c>
      <c r="G1613">
        <f>1</f>
        <v>1</v>
      </c>
      <c r="H16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1612)&amp;"|",All_Questions_Q_STREAM_F_wrapped)),1,0),0))*1</f>
        <v>1</v>
      </c>
    </row>
    <row r="1614">
      <c r="A1614" t="n">
        <v>1613</v>
      </c>
      <c r="B1614" t="inlineStr">
        <is>
          <t>A</t>
        </is>
      </c>
      <c r="C1614">
        <f>1</f>
        <v>1</v>
      </c>
      <c r="D1614">
        <f>IF(OR(F_Custom1_Q="(None)",F_Custom1_Q="",ISBLANK(F_Custom1_Q),F_Custom1_V="(All)",F_Custom1_V="",ISBLANK(F_Custom1_V)),1,IFERROR(IF(ISNUMBER(SEARCH("|"&amp;INDEX(INDIRECT(F_Custom1_resolved_column),1613)&amp;"|",F_Custom1_wrapped)),1,0),0))</f>
        <v>1</v>
      </c>
      <c r="E1614">
        <f>IF(OR(F_Custom2_Q="(None)",F_Custom2_Q="",ISBLANK(F_Custom2_Q),F_Custom2_V="(All)",F_Custom2_V="",ISBLANK(F_Custom2_V)),1,IFERROR(IF(ISNUMBER(SEARCH("|"&amp;INDEX(INDIRECT(F_Custom2_resolved_column),1613)&amp;"|",F_Custom2_wrapped)),1,0),0))</f>
        <v>1</v>
      </c>
      <c r="F1614">
        <f>D1614*E1614*1</f>
        <v>1</v>
      </c>
      <c r="G1614">
        <f>1</f>
        <v>1</v>
      </c>
      <c r="H16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1613)&amp;"|",All_Questions_Q_STREAM_F_wrapped)),1,0),0))*1</f>
        <v>1</v>
      </c>
    </row>
    <row r="1615">
      <c r="A1615" t="n">
        <v>1614</v>
      </c>
      <c r="B1615" t="inlineStr">
        <is>
          <t>B</t>
        </is>
      </c>
      <c r="C1615">
        <f>1</f>
        <v>1</v>
      </c>
      <c r="D1615">
        <f>IF(OR(F_Custom1_Q="(None)",F_Custom1_Q="",ISBLANK(F_Custom1_Q),F_Custom1_V="(All)",F_Custom1_V="",ISBLANK(F_Custom1_V)),1,IFERROR(IF(ISNUMBER(SEARCH("|"&amp;INDEX(INDIRECT(F_Custom1_resolved_column),1614)&amp;"|",F_Custom1_wrapped)),1,0),0))</f>
        <v>1</v>
      </c>
      <c r="E1615">
        <f>IF(OR(F_Custom2_Q="(None)",F_Custom2_Q="",ISBLANK(F_Custom2_Q),F_Custom2_V="(All)",F_Custom2_V="",ISBLANK(F_Custom2_V)),1,IFERROR(IF(ISNUMBER(SEARCH("|"&amp;INDEX(INDIRECT(F_Custom2_resolved_column),1614)&amp;"|",F_Custom2_wrapped)),1,0),0))</f>
        <v>1</v>
      </c>
      <c r="F1615">
        <f>D1615*E1615*1</f>
        <v>1</v>
      </c>
      <c r="G1615">
        <f>1</f>
        <v>1</v>
      </c>
      <c r="H16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1614)&amp;"|",All_Questions_Q_STREAM_F_wrapped)),1,0),0))*1</f>
        <v>1</v>
      </c>
    </row>
    <row r="1616">
      <c r="A1616" t="n">
        <v>1615</v>
      </c>
      <c r="B1616" t="inlineStr">
        <is>
          <t>A</t>
        </is>
      </c>
      <c r="C1616">
        <f>1</f>
        <v>1</v>
      </c>
      <c r="D1616">
        <f>IF(OR(F_Custom1_Q="(None)",F_Custom1_Q="",ISBLANK(F_Custom1_Q),F_Custom1_V="(All)",F_Custom1_V="",ISBLANK(F_Custom1_V)),1,IFERROR(IF(ISNUMBER(SEARCH("|"&amp;INDEX(INDIRECT(F_Custom1_resolved_column),1615)&amp;"|",F_Custom1_wrapped)),1,0),0))</f>
        <v>1</v>
      </c>
      <c r="E1616">
        <f>IF(OR(F_Custom2_Q="(None)",F_Custom2_Q="",ISBLANK(F_Custom2_Q),F_Custom2_V="(All)",F_Custom2_V="",ISBLANK(F_Custom2_V)),1,IFERROR(IF(ISNUMBER(SEARCH("|"&amp;INDEX(INDIRECT(F_Custom2_resolved_column),1615)&amp;"|",F_Custom2_wrapped)),1,0),0))</f>
        <v>1</v>
      </c>
      <c r="F1616">
        <f>D1616*E1616*1</f>
        <v>1</v>
      </c>
      <c r="G1616">
        <f>1</f>
        <v>1</v>
      </c>
      <c r="H16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1615)&amp;"|",All_Questions_Q_STREAM_F_wrapped)),1,0),0))*1</f>
        <v>1</v>
      </c>
    </row>
    <row r="1617">
      <c r="A1617" t="n">
        <v>1616</v>
      </c>
      <c r="B1617" t="inlineStr">
        <is>
          <t>B</t>
        </is>
      </c>
      <c r="C1617">
        <f>1</f>
        <v>1</v>
      </c>
      <c r="D1617">
        <f>IF(OR(F_Custom1_Q="(None)",F_Custom1_Q="",ISBLANK(F_Custom1_Q),F_Custom1_V="(All)",F_Custom1_V="",ISBLANK(F_Custom1_V)),1,IFERROR(IF(ISNUMBER(SEARCH("|"&amp;INDEX(INDIRECT(F_Custom1_resolved_column),1616)&amp;"|",F_Custom1_wrapped)),1,0),0))</f>
        <v>1</v>
      </c>
      <c r="E1617">
        <f>IF(OR(F_Custom2_Q="(None)",F_Custom2_Q="",ISBLANK(F_Custom2_Q),F_Custom2_V="(All)",F_Custom2_V="",ISBLANK(F_Custom2_V)),1,IFERROR(IF(ISNUMBER(SEARCH("|"&amp;INDEX(INDIRECT(F_Custom2_resolved_column),1616)&amp;"|",F_Custom2_wrapped)),1,0),0))</f>
        <v>1</v>
      </c>
      <c r="F1617">
        <f>D1617*E1617*1</f>
        <v>1</v>
      </c>
      <c r="G1617">
        <f>1</f>
        <v>1</v>
      </c>
      <c r="H16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1616)&amp;"|",All_Questions_Q_STREAM_F_wrapped)),1,0),0))*1</f>
        <v>1</v>
      </c>
    </row>
    <row r="1618">
      <c r="A1618" t="n">
        <v>1617</v>
      </c>
      <c r="B1618" t="inlineStr">
        <is>
          <t>A</t>
        </is>
      </c>
      <c r="C1618">
        <f>1</f>
        <v>1</v>
      </c>
      <c r="D1618">
        <f>IF(OR(F_Custom1_Q="(None)",F_Custom1_Q="",ISBLANK(F_Custom1_Q),F_Custom1_V="(All)",F_Custom1_V="",ISBLANK(F_Custom1_V)),1,IFERROR(IF(ISNUMBER(SEARCH("|"&amp;INDEX(INDIRECT(F_Custom1_resolved_column),1617)&amp;"|",F_Custom1_wrapped)),1,0),0))</f>
        <v>1</v>
      </c>
      <c r="E1618">
        <f>IF(OR(F_Custom2_Q="(None)",F_Custom2_Q="",ISBLANK(F_Custom2_Q),F_Custom2_V="(All)",F_Custom2_V="",ISBLANK(F_Custom2_V)),1,IFERROR(IF(ISNUMBER(SEARCH("|"&amp;INDEX(INDIRECT(F_Custom2_resolved_column),1617)&amp;"|",F_Custom2_wrapped)),1,0),0))</f>
        <v>1</v>
      </c>
      <c r="F1618">
        <f>D1618*E1618*1</f>
        <v>1</v>
      </c>
      <c r="G1618">
        <f>1</f>
        <v>1</v>
      </c>
      <c r="H16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1617)&amp;"|",All_Questions_Q_STREAM_F_wrapped)),1,0),0))*1</f>
        <v>1</v>
      </c>
    </row>
    <row r="1619">
      <c r="A1619" t="n">
        <v>1618</v>
      </c>
      <c r="B1619" t="inlineStr">
        <is>
          <t>B</t>
        </is>
      </c>
      <c r="C1619">
        <f>1</f>
        <v>1</v>
      </c>
      <c r="D1619">
        <f>IF(OR(F_Custom1_Q="(None)",F_Custom1_Q="",ISBLANK(F_Custom1_Q),F_Custom1_V="(All)",F_Custom1_V="",ISBLANK(F_Custom1_V)),1,IFERROR(IF(ISNUMBER(SEARCH("|"&amp;INDEX(INDIRECT(F_Custom1_resolved_column),1618)&amp;"|",F_Custom1_wrapped)),1,0),0))</f>
        <v>1</v>
      </c>
      <c r="E1619">
        <f>IF(OR(F_Custom2_Q="(None)",F_Custom2_Q="",ISBLANK(F_Custom2_Q),F_Custom2_V="(All)",F_Custom2_V="",ISBLANK(F_Custom2_V)),1,IFERROR(IF(ISNUMBER(SEARCH("|"&amp;INDEX(INDIRECT(F_Custom2_resolved_column),1618)&amp;"|",F_Custom2_wrapped)),1,0),0))</f>
        <v>1</v>
      </c>
      <c r="F1619">
        <f>D1619*E1619*1</f>
        <v>1</v>
      </c>
      <c r="G1619">
        <f>1</f>
        <v>1</v>
      </c>
      <c r="H16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1618)&amp;"|",All_Questions_Q_STREAM_F_wrapped)),1,0),0))*1</f>
        <v>1</v>
      </c>
    </row>
    <row r="1620">
      <c r="A1620" t="n">
        <v>1619</v>
      </c>
      <c r="B1620" t="inlineStr">
        <is>
          <t>A</t>
        </is>
      </c>
      <c r="C1620">
        <f>1</f>
        <v>1</v>
      </c>
      <c r="D1620">
        <f>IF(OR(F_Custom1_Q="(None)",F_Custom1_Q="",ISBLANK(F_Custom1_Q),F_Custom1_V="(All)",F_Custom1_V="",ISBLANK(F_Custom1_V)),1,IFERROR(IF(ISNUMBER(SEARCH("|"&amp;INDEX(INDIRECT(F_Custom1_resolved_column),1619)&amp;"|",F_Custom1_wrapped)),1,0),0))</f>
        <v>1</v>
      </c>
      <c r="E1620">
        <f>IF(OR(F_Custom2_Q="(None)",F_Custom2_Q="",ISBLANK(F_Custom2_Q),F_Custom2_V="(All)",F_Custom2_V="",ISBLANK(F_Custom2_V)),1,IFERROR(IF(ISNUMBER(SEARCH("|"&amp;INDEX(INDIRECT(F_Custom2_resolved_column),1619)&amp;"|",F_Custom2_wrapped)),1,0),0))</f>
        <v>1</v>
      </c>
      <c r="F1620">
        <f>D1620*E1620*1</f>
        <v>1</v>
      </c>
      <c r="G1620">
        <f>1</f>
        <v>1</v>
      </c>
      <c r="H16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1619)&amp;"|",All_Questions_Q_STREAM_F_wrapped)),1,0),0))*1</f>
        <v>1</v>
      </c>
    </row>
    <row r="1621">
      <c r="A1621" t="n">
        <v>1620</v>
      </c>
      <c r="B1621" t="inlineStr">
        <is>
          <t>B</t>
        </is>
      </c>
      <c r="C1621">
        <f>1</f>
        <v>1</v>
      </c>
      <c r="D1621">
        <f>IF(OR(F_Custom1_Q="(None)",F_Custom1_Q="",ISBLANK(F_Custom1_Q),F_Custom1_V="(All)",F_Custom1_V="",ISBLANK(F_Custom1_V)),1,IFERROR(IF(ISNUMBER(SEARCH("|"&amp;INDEX(INDIRECT(F_Custom1_resolved_column),1620)&amp;"|",F_Custom1_wrapped)),1,0),0))</f>
        <v>1</v>
      </c>
      <c r="E1621">
        <f>IF(OR(F_Custom2_Q="(None)",F_Custom2_Q="",ISBLANK(F_Custom2_Q),F_Custom2_V="(All)",F_Custom2_V="",ISBLANK(F_Custom2_V)),1,IFERROR(IF(ISNUMBER(SEARCH("|"&amp;INDEX(INDIRECT(F_Custom2_resolved_column),1620)&amp;"|",F_Custom2_wrapped)),1,0),0))</f>
        <v>1</v>
      </c>
      <c r="F1621">
        <f>D1621*E1621*1</f>
        <v>1</v>
      </c>
      <c r="G1621">
        <f>1</f>
        <v>1</v>
      </c>
      <c r="H16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1620)&amp;"|",All_Questions_Q_STREAM_F_wrapped)),1,0),0))*1</f>
        <v>1</v>
      </c>
    </row>
    <row r="1622">
      <c r="A1622" t="n">
        <v>1621</v>
      </c>
      <c r="B1622" t="inlineStr">
        <is>
          <t>A</t>
        </is>
      </c>
      <c r="C1622">
        <f>1</f>
        <v>1</v>
      </c>
      <c r="D1622">
        <f>IF(OR(F_Custom1_Q="(None)",F_Custom1_Q="",ISBLANK(F_Custom1_Q),F_Custom1_V="(All)",F_Custom1_V="",ISBLANK(F_Custom1_V)),1,IFERROR(IF(ISNUMBER(SEARCH("|"&amp;INDEX(INDIRECT(F_Custom1_resolved_column),1621)&amp;"|",F_Custom1_wrapped)),1,0),0))</f>
        <v>1</v>
      </c>
      <c r="E1622">
        <f>IF(OR(F_Custom2_Q="(None)",F_Custom2_Q="",ISBLANK(F_Custom2_Q),F_Custom2_V="(All)",F_Custom2_V="",ISBLANK(F_Custom2_V)),1,IFERROR(IF(ISNUMBER(SEARCH("|"&amp;INDEX(INDIRECT(F_Custom2_resolved_column),1621)&amp;"|",F_Custom2_wrapped)),1,0),0))</f>
        <v>1</v>
      </c>
      <c r="F1622">
        <f>D1622*E1622*1</f>
        <v>1</v>
      </c>
      <c r="G1622">
        <f>1</f>
        <v>1</v>
      </c>
      <c r="H16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1621)&amp;"|",All_Questions_Q_STREAM_F_wrapped)),1,0),0))*1</f>
        <v>1</v>
      </c>
    </row>
    <row r="1623">
      <c r="A1623" t="n">
        <v>1622</v>
      </c>
      <c r="B1623" t="inlineStr">
        <is>
          <t>B</t>
        </is>
      </c>
      <c r="C1623">
        <f>1</f>
        <v>1</v>
      </c>
      <c r="D1623">
        <f>IF(OR(F_Custom1_Q="(None)",F_Custom1_Q="",ISBLANK(F_Custom1_Q),F_Custom1_V="(All)",F_Custom1_V="",ISBLANK(F_Custom1_V)),1,IFERROR(IF(ISNUMBER(SEARCH("|"&amp;INDEX(INDIRECT(F_Custom1_resolved_column),1622)&amp;"|",F_Custom1_wrapped)),1,0),0))</f>
        <v>1</v>
      </c>
      <c r="E1623">
        <f>IF(OR(F_Custom2_Q="(None)",F_Custom2_Q="",ISBLANK(F_Custom2_Q),F_Custom2_V="(All)",F_Custom2_V="",ISBLANK(F_Custom2_V)),1,IFERROR(IF(ISNUMBER(SEARCH("|"&amp;INDEX(INDIRECT(F_Custom2_resolved_column),1622)&amp;"|",F_Custom2_wrapped)),1,0),0))</f>
        <v>1</v>
      </c>
      <c r="F1623">
        <f>D1623*E1623*1</f>
        <v>1</v>
      </c>
      <c r="G1623">
        <f>1</f>
        <v>1</v>
      </c>
      <c r="H16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1622)&amp;"|",All_Questions_Q_STREAM_F_wrapped)),1,0),0))*1</f>
        <v>1</v>
      </c>
    </row>
    <row r="1624">
      <c r="A1624" t="n">
        <v>1623</v>
      </c>
      <c r="B1624" t="inlineStr">
        <is>
          <t>A</t>
        </is>
      </c>
      <c r="C1624">
        <f>1</f>
        <v>1</v>
      </c>
      <c r="D1624">
        <f>IF(OR(F_Custom1_Q="(None)",F_Custom1_Q="",ISBLANK(F_Custom1_Q),F_Custom1_V="(All)",F_Custom1_V="",ISBLANK(F_Custom1_V)),1,IFERROR(IF(ISNUMBER(SEARCH("|"&amp;INDEX(INDIRECT(F_Custom1_resolved_column),1623)&amp;"|",F_Custom1_wrapped)),1,0),0))</f>
        <v>1</v>
      </c>
      <c r="E1624">
        <f>IF(OR(F_Custom2_Q="(None)",F_Custom2_Q="",ISBLANK(F_Custom2_Q),F_Custom2_V="(All)",F_Custom2_V="",ISBLANK(F_Custom2_V)),1,IFERROR(IF(ISNUMBER(SEARCH("|"&amp;INDEX(INDIRECT(F_Custom2_resolved_column),1623)&amp;"|",F_Custom2_wrapped)),1,0),0))</f>
        <v>1</v>
      </c>
      <c r="F1624">
        <f>D1624*E1624*1</f>
        <v>1</v>
      </c>
      <c r="G1624">
        <f>1</f>
        <v>1</v>
      </c>
      <c r="H16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1623)&amp;"|",All_Questions_Q_STREAM_F_wrapped)),1,0),0))*1</f>
        <v>1</v>
      </c>
    </row>
    <row r="1625">
      <c r="A1625" t="n">
        <v>1624</v>
      </c>
      <c r="B1625" t="inlineStr">
        <is>
          <t>B</t>
        </is>
      </c>
      <c r="C1625">
        <f>1</f>
        <v>1</v>
      </c>
      <c r="D1625">
        <f>IF(OR(F_Custom1_Q="(None)",F_Custom1_Q="",ISBLANK(F_Custom1_Q),F_Custom1_V="(All)",F_Custom1_V="",ISBLANK(F_Custom1_V)),1,IFERROR(IF(ISNUMBER(SEARCH("|"&amp;INDEX(INDIRECT(F_Custom1_resolved_column),1624)&amp;"|",F_Custom1_wrapped)),1,0),0))</f>
        <v>1</v>
      </c>
      <c r="E1625">
        <f>IF(OR(F_Custom2_Q="(None)",F_Custom2_Q="",ISBLANK(F_Custom2_Q),F_Custom2_V="(All)",F_Custom2_V="",ISBLANK(F_Custom2_V)),1,IFERROR(IF(ISNUMBER(SEARCH("|"&amp;INDEX(INDIRECT(F_Custom2_resolved_column),1624)&amp;"|",F_Custom2_wrapped)),1,0),0))</f>
        <v>1</v>
      </c>
      <c r="F1625">
        <f>D1625*E1625*1</f>
        <v>1</v>
      </c>
      <c r="G1625">
        <f>1</f>
        <v>1</v>
      </c>
      <c r="H16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1624)&amp;"|",All_Questions_Q_STREAM_F_wrapped)),1,0),0))*1</f>
        <v>1</v>
      </c>
    </row>
    <row r="1626">
      <c r="A1626" t="n">
        <v>1625</v>
      </c>
      <c r="B1626" t="inlineStr">
        <is>
          <t>A</t>
        </is>
      </c>
      <c r="C1626">
        <f>1</f>
        <v>1</v>
      </c>
      <c r="D1626">
        <f>IF(OR(F_Custom1_Q="(None)",F_Custom1_Q="",ISBLANK(F_Custom1_Q),F_Custom1_V="(All)",F_Custom1_V="",ISBLANK(F_Custom1_V)),1,IFERROR(IF(ISNUMBER(SEARCH("|"&amp;INDEX(INDIRECT(F_Custom1_resolved_column),1625)&amp;"|",F_Custom1_wrapped)),1,0),0))</f>
        <v>1</v>
      </c>
      <c r="E1626">
        <f>IF(OR(F_Custom2_Q="(None)",F_Custom2_Q="",ISBLANK(F_Custom2_Q),F_Custom2_V="(All)",F_Custom2_V="",ISBLANK(F_Custom2_V)),1,IFERROR(IF(ISNUMBER(SEARCH("|"&amp;INDEX(INDIRECT(F_Custom2_resolved_column),1625)&amp;"|",F_Custom2_wrapped)),1,0),0))</f>
        <v>1</v>
      </c>
      <c r="F1626">
        <f>D1626*E1626*1</f>
        <v>1</v>
      </c>
      <c r="G1626">
        <f>1</f>
        <v>1</v>
      </c>
      <c r="H16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1625)&amp;"|",All_Questions_Q_STREAM_F_wrapped)),1,0),0))*1</f>
        <v>1</v>
      </c>
    </row>
    <row r="1627">
      <c r="A1627" t="n">
        <v>1626</v>
      </c>
      <c r="B1627" t="inlineStr">
        <is>
          <t>B</t>
        </is>
      </c>
      <c r="C1627">
        <f>1</f>
        <v>1</v>
      </c>
      <c r="D1627">
        <f>IF(OR(F_Custom1_Q="(None)",F_Custom1_Q="",ISBLANK(F_Custom1_Q),F_Custom1_V="(All)",F_Custom1_V="",ISBLANK(F_Custom1_V)),1,IFERROR(IF(ISNUMBER(SEARCH("|"&amp;INDEX(INDIRECT(F_Custom1_resolved_column),1626)&amp;"|",F_Custom1_wrapped)),1,0),0))</f>
        <v>1</v>
      </c>
      <c r="E1627">
        <f>IF(OR(F_Custom2_Q="(None)",F_Custom2_Q="",ISBLANK(F_Custom2_Q),F_Custom2_V="(All)",F_Custom2_V="",ISBLANK(F_Custom2_V)),1,IFERROR(IF(ISNUMBER(SEARCH("|"&amp;INDEX(INDIRECT(F_Custom2_resolved_column),1626)&amp;"|",F_Custom2_wrapped)),1,0),0))</f>
        <v>1</v>
      </c>
      <c r="F1627">
        <f>D1627*E1627*1</f>
        <v>1</v>
      </c>
      <c r="G1627">
        <f>1</f>
        <v>1</v>
      </c>
      <c r="H16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1626)&amp;"|",All_Questions_Q_STREAM_F_wrapped)),1,0),0))*1</f>
        <v>1</v>
      </c>
    </row>
    <row r="1628">
      <c r="A1628" t="n">
        <v>1627</v>
      </c>
      <c r="B1628" t="inlineStr">
        <is>
          <t>A</t>
        </is>
      </c>
      <c r="C1628">
        <f>1</f>
        <v>1</v>
      </c>
      <c r="D1628">
        <f>IF(OR(F_Custom1_Q="(None)",F_Custom1_Q="",ISBLANK(F_Custom1_Q),F_Custom1_V="(All)",F_Custom1_V="",ISBLANK(F_Custom1_V)),1,IFERROR(IF(ISNUMBER(SEARCH("|"&amp;INDEX(INDIRECT(F_Custom1_resolved_column),1627)&amp;"|",F_Custom1_wrapped)),1,0),0))</f>
        <v>1</v>
      </c>
      <c r="E1628">
        <f>IF(OR(F_Custom2_Q="(None)",F_Custom2_Q="",ISBLANK(F_Custom2_Q),F_Custom2_V="(All)",F_Custom2_V="",ISBLANK(F_Custom2_V)),1,IFERROR(IF(ISNUMBER(SEARCH("|"&amp;INDEX(INDIRECT(F_Custom2_resolved_column),1627)&amp;"|",F_Custom2_wrapped)),1,0),0))</f>
        <v>1</v>
      </c>
      <c r="F1628">
        <f>D1628*E1628*1</f>
        <v>1</v>
      </c>
      <c r="G1628">
        <f>1</f>
        <v>1</v>
      </c>
      <c r="H16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1627)&amp;"|",All_Questions_Q_STREAM_F_wrapped)),1,0),0))*1</f>
        <v>1</v>
      </c>
    </row>
    <row r="1629">
      <c r="A1629" t="n">
        <v>1628</v>
      </c>
      <c r="B1629" t="inlineStr">
        <is>
          <t>B</t>
        </is>
      </c>
      <c r="C1629">
        <f>1</f>
        <v>1</v>
      </c>
      <c r="D1629">
        <f>IF(OR(F_Custom1_Q="(None)",F_Custom1_Q="",ISBLANK(F_Custom1_Q),F_Custom1_V="(All)",F_Custom1_V="",ISBLANK(F_Custom1_V)),1,IFERROR(IF(ISNUMBER(SEARCH("|"&amp;INDEX(INDIRECT(F_Custom1_resolved_column),1628)&amp;"|",F_Custom1_wrapped)),1,0),0))</f>
        <v>1</v>
      </c>
      <c r="E1629">
        <f>IF(OR(F_Custom2_Q="(None)",F_Custom2_Q="",ISBLANK(F_Custom2_Q),F_Custom2_V="(All)",F_Custom2_V="",ISBLANK(F_Custom2_V)),1,IFERROR(IF(ISNUMBER(SEARCH("|"&amp;INDEX(INDIRECT(F_Custom2_resolved_column),1628)&amp;"|",F_Custom2_wrapped)),1,0),0))</f>
        <v>1</v>
      </c>
      <c r="F1629">
        <f>D1629*E1629*1</f>
        <v>1</v>
      </c>
      <c r="G1629">
        <f>1</f>
        <v>1</v>
      </c>
      <c r="H16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1628)&amp;"|",All_Questions_Q_STREAM_F_wrapped)),1,0),0))*1</f>
        <v>1</v>
      </c>
    </row>
    <row r="1630">
      <c r="A1630" t="n">
        <v>1629</v>
      </c>
      <c r="B1630" t="inlineStr">
        <is>
          <t>A</t>
        </is>
      </c>
      <c r="C1630">
        <f>1</f>
        <v>1</v>
      </c>
      <c r="D1630">
        <f>IF(OR(F_Custom1_Q="(None)",F_Custom1_Q="",ISBLANK(F_Custom1_Q),F_Custom1_V="(All)",F_Custom1_V="",ISBLANK(F_Custom1_V)),1,IFERROR(IF(ISNUMBER(SEARCH("|"&amp;INDEX(INDIRECT(F_Custom1_resolved_column),1629)&amp;"|",F_Custom1_wrapped)),1,0),0))</f>
        <v>1</v>
      </c>
      <c r="E1630">
        <f>IF(OR(F_Custom2_Q="(None)",F_Custom2_Q="",ISBLANK(F_Custom2_Q),F_Custom2_V="(All)",F_Custom2_V="",ISBLANK(F_Custom2_V)),1,IFERROR(IF(ISNUMBER(SEARCH("|"&amp;INDEX(INDIRECT(F_Custom2_resolved_column),1629)&amp;"|",F_Custom2_wrapped)),1,0),0))</f>
        <v>1</v>
      </c>
      <c r="F1630">
        <f>D1630*E1630*1</f>
        <v>1</v>
      </c>
      <c r="G1630">
        <f>1</f>
        <v>1</v>
      </c>
      <c r="H16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1629)&amp;"|",All_Questions_Q_STREAM_F_wrapped)),1,0),0))*1</f>
        <v>1</v>
      </c>
    </row>
    <row r="1631">
      <c r="A1631" t="n">
        <v>1630</v>
      </c>
      <c r="B1631" t="inlineStr">
        <is>
          <t>B</t>
        </is>
      </c>
      <c r="C1631">
        <f>1</f>
        <v>1</v>
      </c>
      <c r="D1631">
        <f>IF(OR(F_Custom1_Q="(None)",F_Custom1_Q="",ISBLANK(F_Custom1_Q),F_Custom1_V="(All)",F_Custom1_V="",ISBLANK(F_Custom1_V)),1,IFERROR(IF(ISNUMBER(SEARCH("|"&amp;INDEX(INDIRECT(F_Custom1_resolved_column),1630)&amp;"|",F_Custom1_wrapped)),1,0),0))</f>
        <v>1</v>
      </c>
      <c r="E1631">
        <f>IF(OR(F_Custom2_Q="(None)",F_Custom2_Q="",ISBLANK(F_Custom2_Q),F_Custom2_V="(All)",F_Custom2_V="",ISBLANK(F_Custom2_V)),1,IFERROR(IF(ISNUMBER(SEARCH("|"&amp;INDEX(INDIRECT(F_Custom2_resolved_column),1630)&amp;"|",F_Custom2_wrapped)),1,0),0))</f>
        <v>1</v>
      </c>
      <c r="F1631">
        <f>D1631*E1631*1</f>
        <v>1</v>
      </c>
      <c r="G1631">
        <f>1</f>
        <v>1</v>
      </c>
      <c r="H16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1630)&amp;"|",All_Questions_Q_STREAM_F_wrapped)),1,0),0))*1</f>
        <v>1</v>
      </c>
    </row>
    <row r="1632">
      <c r="A1632" t="n">
        <v>1631</v>
      </c>
      <c r="B1632" t="inlineStr">
        <is>
          <t>A</t>
        </is>
      </c>
      <c r="C1632">
        <f>1</f>
        <v>1</v>
      </c>
      <c r="D1632">
        <f>IF(OR(F_Custom1_Q="(None)",F_Custom1_Q="",ISBLANK(F_Custom1_Q),F_Custom1_V="(All)",F_Custom1_V="",ISBLANK(F_Custom1_V)),1,IFERROR(IF(ISNUMBER(SEARCH("|"&amp;INDEX(INDIRECT(F_Custom1_resolved_column),1631)&amp;"|",F_Custom1_wrapped)),1,0),0))</f>
        <v>1</v>
      </c>
      <c r="E1632">
        <f>IF(OR(F_Custom2_Q="(None)",F_Custom2_Q="",ISBLANK(F_Custom2_Q),F_Custom2_V="(All)",F_Custom2_V="",ISBLANK(F_Custom2_V)),1,IFERROR(IF(ISNUMBER(SEARCH("|"&amp;INDEX(INDIRECT(F_Custom2_resolved_column),1631)&amp;"|",F_Custom2_wrapped)),1,0),0))</f>
        <v>1</v>
      </c>
      <c r="F1632">
        <f>D1632*E1632*1</f>
        <v>1</v>
      </c>
      <c r="G1632">
        <f>1</f>
        <v>1</v>
      </c>
      <c r="H16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1631)&amp;"|",All_Questions_Q_STREAM_F_wrapped)),1,0),0))*1</f>
        <v>1</v>
      </c>
    </row>
    <row r="1633">
      <c r="A1633" t="n">
        <v>1632</v>
      </c>
      <c r="B1633" t="inlineStr">
        <is>
          <t>B</t>
        </is>
      </c>
      <c r="C1633">
        <f>1</f>
        <v>1</v>
      </c>
      <c r="D1633">
        <f>IF(OR(F_Custom1_Q="(None)",F_Custom1_Q="",ISBLANK(F_Custom1_Q),F_Custom1_V="(All)",F_Custom1_V="",ISBLANK(F_Custom1_V)),1,IFERROR(IF(ISNUMBER(SEARCH("|"&amp;INDEX(INDIRECT(F_Custom1_resolved_column),1632)&amp;"|",F_Custom1_wrapped)),1,0),0))</f>
        <v>1</v>
      </c>
      <c r="E1633">
        <f>IF(OR(F_Custom2_Q="(None)",F_Custom2_Q="",ISBLANK(F_Custom2_Q),F_Custom2_V="(All)",F_Custom2_V="",ISBLANK(F_Custom2_V)),1,IFERROR(IF(ISNUMBER(SEARCH("|"&amp;INDEX(INDIRECT(F_Custom2_resolved_column),1632)&amp;"|",F_Custom2_wrapped)),1,0),0))</f>
        <v>1</v>
      </c>
      <c r="F1633">
        <f>D1633*E1633*1</f>
        <v>1</v>
      </c>
      <c r="G1633">
        <f>1</f>
        <v>1</v>
      </c>
      <c r="H16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1632)&amp;"|",All_Questions_Q_STREAM_F_wrapped)),1,0),0))*1</f>
        <v>1</v>
      </c>
    </row>
    <row r="1634">
      <c r="A1634" t="n">
        <v>1633</v>
      </c>
      <c r="B1634" t="inlineStr">
        <is>
          <t>A</t>
        </is>
      </c>
      <c r="C1634">
        <f>1</f>
        <v>1</v>
      </c>
      <c r="D1634">
        <f>IF(OR(F_Custom1_Q="(None)",F_Custom1_Q="",ISBLANK(F_Custom1_Q),F_Custom1_V="(All)",F_Custom1_V="",ISBLANK(F_Custom1_V)),1,IFERROR(IF(ISNUMBER(SEARCH("|"&amp;INDEX(INDIRECT(F_Custom1_resolved_column),1633)&amp;"|",F_Custom1_wrapped)),1,0),0))</f>
        <v>1</v>
      </c>
      <c r="E1634">
        <f>IF(OR(F_Custom2_Q="(None)",F_Custom2_Q="",ISBLANK(F_Custom2_Q),F_Custom2_V="(All)",F_Custom2_V="",ISBLANK(F_Custom2_V)),1,IFERROR(IF(ISNUMBER(SEARCH("|"&amp;INDEX(INDIRECT(F_Custom2_resolved_column),1633)&amp;"|",F_Custom2_wrapped)),1,0),0))</f>
        <v>1</v>
      </c>
      <c r="F1634">
        <f>D1634*E1634*1</f>
        <v>1</v>
      </c>
      <c r="G1634">
        <f>1</f>
        <v>1</v>
      </c>
      <c r="H16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1633)&amp;"|",All_Questions_Q_STREAM_F_wrapped)),1,0),0))*1</f>
        <v>1</v>
      </c>
    </row>
    <row r="1635">
      <c r="A1635" t="n">
        <v>1634</v>
      </c>
      <c r="B1635" t="inlineStr">
        <is>
          <t>B</t>
        </is>
      </c>
      <c r="C1635">
        <f>1</f>
        <v>1</v>
      </c>
      <c r="D1635">
        <f>IF(OR(F_Custom1_Q="(None)",F_Custom1_Q="",ISBLANK(F_Custom1_Q),F_Custom1_V="(All)",F_Custom1_V="",ISBLANK(F_Custom1_V)),1,IFERROR(IF(ISNUMBER(SEARCH("|"&amp;INDEX(INDIRECT(F_Custom1_resolved_column),1634)&amp;"|",F_Custom1_wrapped)),1,0),0))</f>
        <v>1</v>
      </c>
      <c r="E1635">
        <f>IF(OR(F_Custom2_Q="(None)",F_Custom2_Q="",ISBLANK(F_Custom2_Q),F_Custom2_V="(All)",F_Custom2_V="",ISBLANK(F_Custom2_V)),1,IFERROR(IF(ISNUMBER(SEARCH("|"&amp;INDEX(INDIRECT(F_Custom2_resolved_column),1634)&amp;"|",F_Custom2_wrapped)),1,0),0))</f>
        <v>1</v>
      </c>
      <c r="F1635">
        <f>D1635*E1635*1</f>
        <v>1</v>
      </c>
      <c r="G1635">
        <f>1</f>
        <v>1</v>
      </c>
      <c r="H16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1634)&amp;"|",All_Questions_Q_STREAM_F_wrapped)),1,0),0))*1</f>
        <v>1</v>
      </c>
    </row>
    <row r="1636">
      <c r="A1636" t="n">
        <v>1635</v>
      </c>
      <c r="B1636" t="inlineStr">
        <is>
          <t>A</t>
        </is>
      </c>
      <c r="C1636">
        <f>1</f>
        <v>1</v>
      </c>
      <c r="D1636">
        <f>IF(OR(F_Custom1_Q="(None)",F_Custom1_Q="",ISBLANK(F_Custom1_Q),F_Custom1_V="(All)",F_Custom1_V="",ISBLANK(F_Custom1_V)),1,IFERROR(IF(ISNUMBER(SEARCH("|"&amp;INDEX(INDIRECT(F_Custom1_resolved_column),1635)&amp;"|",F_Custom1_wrapped)),1,0),0))</f>
        <v>1</v>
      </c>
      <c r="E1636">
        <f>IF(OR(F_Custom2_Q="(None)",F_Custom2_Q="",ISBLANK(F_Custom2_Q),F_Custom2_V="(All)",F_Custom2_V="",ISBLANK(F_Custom2_V)),1,IFERROR(IF(ISNUMBER(SEARCH("|"&amp;INDEX(INDIRECT(F_Custom2_resolved_column),1635)&amp;"|",F_Custom2_wrapped)),1,0),0))</f>
        <v>1</v>
      </c>
      <c r="F1636">
        <f>D1636*E1636*1</f>
        <v>1</v>
      </c>
      <c r="G1636">
        <f>1</f>
        <v>1</v>
      </c>
      <c r="H16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1635)&amp;"|",All_Questions_Q_STREAM_F_wrapped)),1,0),0))*1</f>
        <v>1</v>
      </c>
    </row>
    <row r="1637">
      <c r="A1637" t="n">
        <v>1636</v>
      </c>
      <c r="B1637" t="inlineStr">
        <is>
          <t>B</t>
        </is>
      </c>
      <c r="C1637">
        <f>1</f>
        <v>1</v>
      </c>
      <c r="D1637">
        <f>IF(OR(F_Custom1_Q="(None)",F_Custom1_Q="",ISBLANK(F_Custom1_Q),F_Custom1_V="(All)",F_Custom1_V="",ISBLANK(F_Custom1_V)),1,IFERROR(IF(ISNUMBER(SEARCH("|"&amp;INDEX(INDIRECT(F_Custom1_resolved_column),1636)&amp;"|",F_Custom1_wrapped)),1,0),0))</f>
        <v>1</v>
      </c>
      <c r="E1637">
        <f>IF(OR(F_Custom2_Q="(None)",F_Custom2_Q="",ISBLANK(F_Custom2_Q),F_Custom2_V="(All)",F_Custom2_V="",ISBLANK(F_Custom2_V)),1,IFERROR(IF(ISNUMBER(SEARCH("|"&amp;INDEX(INDIRECT(F_Custom2_resolved_column),1636)&amp;"|",F_Custom2_wrapped)),1,0),0))</f>
        <v>1</v>
      </c>
      <c r="F1637">
        <f>D1637*E1637*1</f>
        <v>1</v>
      </c>
      <c r="G1637">
        <f>1</f>
        <v>1</v>
      </c>
      <c r="H16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1636)&amp;"|",All_Questions_Q_STREAM_F_wrapped)),1,0),0))*1</f>
        <v>1</v>
      </c>
    </row>
    <row r="1638">
      <c r="A1638" t="n">
        <v>1637</v>
      </c>
      <c r="B1638" t="inlineStr">
        <is>
          <t>A</t>
        </is>
      </c>
      <c r="C1638">
        <f>1</f>
        <v>1</v>
      </c>
      <c r="D1638">
        <f>IF(OR(F_Custom1_Q="(None)",F_Custom1_Q="",ISBLANK(F_Custom1_Q),F_Custom1_V="(All)",F_Custom1_V="",ISBLANK(F_Custom1_V)),1,IFERROR(IF(ISNUMBER(SEARCH("|"&amp;INDEX(INDIRECT(F_Custom1_resolved_column),1637)&amp;"|",F_Custom1_wrapped)),1,0),0))</f>
        <v>1</v>
      </c>
      <c r="E1638">
        <f>IF(OR(F_Custom2_Q="(None)",F_Custom2_Q="",ISBLANK(F_Custom2_Q),F_Custom2_V="(All)",F_Custom2_V="",ISBLANK(F_Custom2_V)),1,IFERROR(IF(ISNUMBER(SEARCH("|"&amp;INDEX(INDIRECT(F_Custom2_resolved_column),1637)&amp;"|",F_Custom2_wrapped)),1,0),0))</f>
        <v>1</v>
      </c>
      <c r="F1638">
        <f>D1638*E1638*1</f>
        <v>1</v>
      </c>
      <c r="G1638">
        <f>1</f>
        <v>1</v>
      </c>
      <c r="H16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1637)&amp;"|",All_Questions_Q_STREAM_F_wrapped)),1,0),0))*1</f>
        <v>1</v>
      </c>
    </row>
    <row r="1639">
      <c r="A1639" t="n">
        <v>1638</v>
      </c>
      <c r="B1639" t="inlineStr">
        <is>
          <t>B</t>
        </is>
      </c>
      <c r="C1639">
        <f>1</f>
        <v>1</v>
      </c>
      <c r="D1639">
        <f>IF(OR(F_Custom1_Q="(None)",F_Custom1_Q="",ISBLANK(F_Custom1_Q),F_Custom1_V="(All)",F_Custom1_V="",ISBLANK(F_Custom1_V)),1,IFERROR(IF(ISNUMBER(SEARCH("|"&amp;INDEX(INDIRECT(F_Custom1_resolved_column),1638)&amp;"|",F_Custom1_wrapped)),1,0),0))</f>
        <v>1</v>
      </c>
      <c r="E1639">
        <f>IF(OR(F_Custom2_Q="(None)",F_Custom2_Q="",ISBLANK(F_Custom2_Q),F_Custom2_V="(All)",F_Custom2_V="",ISBLANK(F_Custom2_V)),1,IFERROR(IF(ISNUMBER(SEARCH("|"&amp;INDEX(INDIRECT(F_Custom2_resolved_column),1638)&amp;"|",F_Custom2_wrapped)),1,0),0))</f>
        <v>1</v>
      </c>
      <c r="F1639">
        <f>D1639*E1639*1</f>
        <v>1</v>
      </c>
      <c r="G1639">
        <f>1</f>
        <v>1</v>
      </c>
      <c r="H16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1638)&amp;"|",All_Questions_Q_STREAM_F_wrapped)),1,0),0))*1</f>
        <v>1</v>
      </c>
    </row>
    <row r="1640">
      <c r="A1640" t="n">
        <v>1639</v>
      </c>
      <c r="B1640" t="inlineStr">
        <is>
          <t>A</t>
        </is>
      </c>
      <c r="C1640">
        <f>1</f>
        <v>1</v>
      </c>
      <c r="D1640">
        <f>IF(OR(F_Custom1_Q="(None)",F_Custom1_Q="",ISBLANK(F_Custom1_Q),F_Custom1_V="(All)",F_Custom1_V="",ISBLANK(F_Custom1_V)),1,IFERROR(IF(ISNUMBER(SEARCH("|"&amp;INDEX(INDIRECT(F_Custom1_resolved_column),1639)&amp;"|",F_Custom1_wrapped)),1,0),0))</f>
        <v>1</v>
      </c>
      <c r="E1640">
        <f>IF(OR(F_Custom2_Q="(None)",F_Custom2_Q="",ISBLANK(F_Custom2_Q),F_Custom2_V="(All)",F_Custom2_V="",ISBLANK(F_Custom2_V)),1,IFERROR(IF(ISNUMBER(SEARCH("|"&amp;INDEX(INDIRECT(F_Custom2_resolved_column),1639)&amp;"|",F_Custom2_wrapped)),1,0),0))</f>
        <v>1</v>
      </c>
      <c r="F1640">
        <f>D1640*E1640*1</f>
        <v>1</v>
      </c>
      <c r="G1640">
        <f>1</f>
        <v>1</v>
      </c>
      <c r="H16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1639)&amp;"|",All_Questions_Q_STREAM_F_wrapped)),1,0),0))*1</f>
        <v>1</v>
      </c>
    </row>
    <row r="1641">
      <c r="A1641" t="n">
        <v>1640</v>
      </c>
      <c r="B1641" t="inlineStr">
        <is>
          <t>B</t>
        </is>
      </c>
      <c r="C1641">
        <f>1</f>
        <v>1</v>
      </c>
      <c r="D1641">
        <f>IF(OR(F_Custom1_Q="(None)",F_Custom1_Q="",ISBLANK(F_Custom1_Q),F_Custom1_V="(All)",F_Custom1_V="",ISBLANK(F_Custom1_V)),1,IFERROR(IF(ISNUMBER(SEARCH("|"&amp;INDEX(INDIRECT(F_Custom1_resolved_column),1640)&amp;"|",F_Custom1_wrapped)),1,0),0))</f>
        <v>1</v>
      </c>
      <c r="E1641">
        <f>IF(OR(F_Custom2_Q="(None)",F_Custom2_Q="",ISBLANK(F_Custom2_Q),F_Custom2_V="(All)",F_Custom2_V="",ISBLANK(F_Custom2_V)),1,IFERROR(IF(ISNUMBER(SEARCH("|"&amp;INDEX(INDIRECT(F_Custom2_resolved_column),1640)&amp;"|",F_Custom2_wrapped)),1,0),0))</f>
        <v>1</v>
      </c>
      <c r="F1641">
        <f>D1641*E1641*1</f>
        <v>1</v>
      </c>
      <c r="G1641">
        <f>1</f>
        <v>1</v>
      </c>
      <c r="H16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1640)&amp;"|",All_Questions_Q_STREAM_F_wrapped)),1,0),0))*1</f>
        <v>1</v>
      </c>
    </row>
    <row r="1642">
      <c r="A1642" t="n">
        <v>1641</v>
      </c>
      <c r="B1642" t="inlineStr">
        <is>
          <t>A</t>
        </is>
      </c>
      <c r="C1642">
        <f>1</f>
        <v>1</v>
      </c>
      <c r="D1642">
        <f>IF(OR(F_Custom1_Q="(None)",F_Custom1_Q="",ISBLANK(F_Custom1_Q),F_Custom1_V="(All)",F_Custom1_V="",ISBLANK(F_Custom1_V)),1,IFERROR(IF(ISNUMBER(SEARCH("|"&amp;INDEX(INDIRECT(F_Custom1_resolved_column),1641)&amp;"|",F_Custom1_wrapped)),1,0),0))</f>
        <v>1</v>
      </c>
      <c r="E1642">
        <f>IF(OR(F_Custom2_Q="(None)",F_Custom2_Q="",ISBLANK(F_Custom2_Q),F_Custom2_V="(All)",F_Custom2_V="",ISBLANK(F_Custom2_V)),1,IFERROR(IF(ISNUMBER(SEARCH("|"&amp;INDEX(INDIRECT(F_Custom2_resolved_column),1641)&amp;"|",F_Custom2_wrapped)),1,0),0))</f>
        <v>1</v>
      </c>
      <c r="F1642">
        <f>D1642*E1642*1</f>
        <v>1</v>
      </c>
      <c r="G1642">
        <f>1</f>
        <v>1</v>
      </c>
      <c r="H16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1641)&amp;"|",All_Questions_Q_STREAM_F_wrapped)),1,0),0))*1</f>
        <v>1</v>
      </c>
    </row>
    <row r="1643">
      <c r="A1643" t="n">
        <v>1642</v>
      </c>
      <c r="B1643" t="inlineStr">
        <is>
          <t>B</t>
        </is>
      </c>
      <c r="C1643">
        <f>1</f>
        <v>1</v>
      </c>
      <c r="D1643">
        <f>IF(OR(F_Custom1_Q="(None)",F_Custom1_Q="",ISBLANK(F_Custom1_Q),F_Custom1_V="(All)",F_Custom1_V="",ISBLANK(F_Custom1_V)),1,IFERROR(IF(ISNUMBER(SEARCH("|"&amp;INDEX(INDIRECT(F_Custom1_resolved_column),1642)&amp;"|",F_Custom1_wrapped)),1,0),0))</f>
        <v>1</v>
      </c>
      <c r="E1643">
        <f>IF(OR(F_Custom2_Q="(None)",F_Custom2_Q="",ISBLANK(F_Custom2_Q),F_Custom2_V="(All)",F_Custom2_V="",ISBLANK(F_Custom2_V)),1,IFERROR(IF(ISNUMBER(SEARCH("|"&amp;INDEX(INDIRECT(F_Custom2_resolved_column),1642)&amp;"|",F_Custom2_wrapped)),1,0),0))</f>
        <v>1</v>
      </c>
      <c r="F1643">
        <f>D1643*E1643*1</f>
        <v>1</v>
      </c>
      <c r="G1643">
        <f>1</f>
        <v>1</v>
      </c>
      <c r="H16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1642)&amp;"|",All_Questions_Q_STREAM_F_wrapped)),1,0),0))*1</f>
        <v>1</v>
      </c>
    </row>
    <row r="1644">
      <c r="A1644" t="n">
        <v>1643</v>
      </c>
      <c r="B1644" t="inlineStr">
        <is>
          <t>A</t>
        </is>
      </c>
      <c r="C1644">
        <f>1</f>
        <v>1</v>
      </c>
      <c r="D1644">
        <f>IF(OR(F_Custom1_Q="(None)",F_Custom1_Q="",ISBLANK(F_Custom1_Q),F_Custom1_V="(All)",F_Custom1_V="",ISBLANK(F_Custom1_V)),1,IFERROR(IF(ISNUMBER(SEARCH("|"&amp;INDEX(INDIRECT(F_Custom1_resolved_column),1643)&amp;"|",F_Custom1_wrapped)),1,0),0))</f>
        <v>1</v>
      </c>
      <c r="E1644">
        <f>IF(OR(F_Custom2_Q="(None)",F_Custom2_Q="",ISBLANK(F_Custom2_Q),F_Custom2_V="(All)",F_Custom2_V="",ISBLANK(F_Custom2_V)),1,IFERROR(IF(ISNUMBER(SEARCH("|"&amp;INDEX(INDIRECT(F_Custom2_resolved_column),1643)&amp;"|",F_Custom2_wrapped)),1,0),0))</f>
        <v>1</v>
      </c>
      <c r="F1644">
        <f>D1644*E1644*1</f>
        <v>1</v>
      </c>
      <c r="G1644">
        <f>1</f>
        <v>1</v>
      </c>
      <c r="H16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1643)&amp;"|",All_Questions_Q_STREAM_F_wrapped)),1,0),0))*1</f>
        <v>1</v>
      </c>
    </row>
    <row r="1645">
      <c r="A1645" t="n">
        <v>1644</v>
      </c>
      <c r="B1645" t="inlineStr">
        <is>
          <t>B</t>
        </is>
      </c>
      <c r="C1645">
        <f>1</f>
        <v>1</v>
      </c>
      <c r="D1645">
        <f>IF(OR(F_Custom1_Q="(None)",F_Custom1_Q="",ISBLANK(F_Custom1_Q),F_Custom1_V="(All)",F_Custom1_V="",ISBLANK(F_Custom1_V)),1,IFERROR(IF(ISNUMBER(SEARCH("|"&amp;INDEX(INDIRECT(F_Custom1_resolved_column),1644)&amp;"|",F_Custom1_wrapped)),1,0),0))</f>
        <v>1</v>
      </c>
      <c r="E1645">
        <f>IF(OR(F_Custom2_Q="(None)",F_Custom2_Q="",ISBLANK(F_Custom2_Q),F_Custom2_V="(All)",F_Custom2_V="",ISBLANK(F_Custom2_V)),1,IFERROR(IF(ISNUMBER(SEARCH("|"&amp;INDEX(INDIRECT(F_Custom2_resolved_column),1644)&amp;"|",F_Custom2_wrapped)),1,0),0))</f>
        <v>1</v>
      </c>
      <c r="F1645">
        <f>D1645*E1645*1</f>
        <v>1</v>
      </c>
      <c r="G1645">
        <f>1</f>
        <v>1</v>
      </c>
      <c r="H16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1644)&amp;"|",All_Questions_Q_STREAM_F_wrapped)),1,0),0))*1</f>
        <v>1</v>
      </c>
    </row>
    <row r="1646">
      <c r="A1646" t="n">
        <v>1645</v>
      </c>
      <c r="B1646" t="inlineStr">
        <is>
          <t>A</t>
        </is>
      </c>
      <c r="C1646">
        <f>1</f>
        <v>1</v>
      </c>
      <c r="D1646">
        <f>IF(OR(F_Custom1_Q="(None)",F_Custom1_Q="",ISBLANK(F_Custom1_Q),F_Custom1_V="(All)",F_Custom1_V="",ISBLANK(F_Custom1_V)),1,IFERROR(IF(ISNUMBER(SEARCH("|"&amp;INDEX(INDIRECT(F_Custom1_resolved_column),1645)&amp;"|",F_Custom1_wrapped)),1,0),0))</f>
        <v>1</v>
      </c>
      <c r="E1646">
        <f>IF(OR(F_Custom2_Q="(None)",F_Custom2_Q="",ISBLANK(F_Custom2_Q),F_Custom2_V="(All)",F_Custom2_V="",ISBLANK(F_Custom2_V)),1,IFERROR(IF(ISNUMBER(SEARCH("|"&amp;INDEX(INDIRECT(F_Custom2_resolved_column),1645)&amp;"|",F_Custom2_wrapped)),1,0),0))</f>
        <v>1</v>
      </c>
      <c r="F1646">
        <f>D1646*E1646*1</f>
        <v>1</v>
      </c>
      <c r="G1646">
        <f>1</f>
        <v>1</v>
      </c>
      <c r="H16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1645)&amp;"|",All_Questions_Q_STREAM_F_wrapped)),1,0),0))*1</f>
        <v>1</v>
      </c>
    </row>
    <row r="1647">
      <c r="A1647" t="n">
        <v>1646</v>
      </c>
      <c r="B1647" t="inlineStr">
        <is>
          <t>B</t>
        </is>
      </c>
      <c r="C1647">
        <f>1</f>
        <v>1</v>
      </c>
      <c r="D1647">
        <f>IF(OR(F_Custom1_Q="(None)",F_Custom1_Q="",ISBLANK(F_Custom1_Q),F_Custom1_V="(All)",F_Custom1_V="",ISBLANK(F_Custom1_V)),1,IFERROR(IF(ISNUMBER(SEARCH("|"&amp;INDEX(INDIRECT(F_Custom1_resolved_column),1646)&amp;"|",F_Custom1_wrapped)),1,0),0))</f>
        <v>1</v>
      </c>
      <c r="E1647">
        <f>IF(OR(F_Custom2_Q="(None)",F_Custom2_Q="",ISBLANK(F_Custom2_Q),F_Custom2_V="(All)",F_Custom2_V="",ISBLANK(F_Custom2_V)),1,IFERROR(IF(ISNUMBER(SEARCH("|"&amp;INDEX(INDIRECT(F_Custom2_resolved_column),1646)&amp;"|",F_Custom2_wrapped)),1,0),0))</f>
        <v>1</v>
      </c>
      <c r="F1647">
        <f>D1647*E1647*1</f>
        <v>1</v>
      </c>
      <c r="G1647">
        <f>1</f>
        <v>1</v>
      </c>
      <c r="H16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1646)&amp;"|",All_Questions_Q_STREAM_F_wrapped)),1,0),0))*1</f>
        <v>1</v>
      </c>
    </row>
    <row r="1648">
      <c r="A1648" t="n">
        <v>1647</v>
      </c>
      <c r="B1648" t="inlineStr">
        <is>
          <t>A</t>
        </is>
      </c>
      <c r="C1648">
        <f>1</f>
        <v>1</v>
      </c>
      <c r="D1648">
        <f>IF(OR(F_Custom1_Q="(None)",F_Custom1_Q="",ISBLANK(F_Custom1_Q),F_Custom1_V="(All)",F_Custom1_V="",ISBLANK(F_Custom1_V)),1,IFERROR(IF(ISNUMBER(SEARCH("|"&amp;INDEX(INDIRECT(F_Custom1_resolved_column),1647)&amp;"|",F_Custom1_wrapped)),1,0),0))</f>
        <v>1</v>
      </c>
      <c r="E1648">
        <f>IF(OR(F_Custom2_Q="(None)",F_Custom2_Q="",ISBLANK(F_Custom2_Q),F_Custom2_V="(All)",F_Custom2_V="",ISBLANK(F_Custom2_V)),1,IFERROR(IF(ISNUMBER(SEARCH("|"&amp;INDEX(INDIRECT(F_Custom2_resolved_column),1647)&amp;"|",F_Custom2_wrapped)),1,0),0))</f>
        <v>1</v>
      </c>
      <c r="F1648">
        <f>D1648*E1648*1</f>
        <v>1</v>
      </c>
      <c r="G1648">
        <f>1</f>
        <v>1</v>
      </c>
      <c r="H16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1647)&amp;"|",All_Questions_Q_STREAM_F_wrapped)),1,0),0))*1</f>
        <v>1</v>
      </c>
    </row>
    <row r="1649">
      <c r="A1649" t="n">
        <v>1648</v>
      </c>
      <c r="B1649" t="inlineStr">
        <is>
          <t>B</t>
        </is>
      </c>
      <c r="C1649">
        <f>1</f>
        <v>1</v>
      </c>
      <c r="D1649">
        <f>IF(OR(F_Custom1_Q="(None)",F_Custom1_Q="",ISBLANK(F_Custom1_Q),F_Custom1_V="(All)",F_Custom1_V="",ISBLANK(F_Custom1_V)),1,IFERROR(IF(ISNUMBER(SEARCH("|"&amp;INDEX(INDIRECT(F_Custom1_resolved_column),1648)&amp;"|",F_Custom1_wrapped)),1,0),0))</f>
        <v>1</v>
      </c>
      <c r="E1649">
        <f>IF(OR(F_Custom2_Q="(None)",F_Custom2_Q="",ISBLANK(F_Custom2_Q),F_Custom2_V="(All)",F_Custom2_V="",ISBLANK(F_Custom2_V)),1,IFERROR(IF(ISNUMBER(SEARCH("|"&amp;INDEX(INDIRECT(F_Custom2_resolved_column),1648)&amp;"|",F_Custom2_wrapped)),1,0),0))</f>
        <v>1</v>
      </c>
      <c r="F1649">
        <f>D1649*E1649*1</f>
        <v>1</v>
      </c>
      <c r="G1649">
        <f>1</f>
        <v>1</v>
      </c>
      <c r="H16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1648)&amp;"|",All_Questions_Q_STREAM_F_wrapped)),1,0),0))*1</f>
        <v>1</v>
      </c>
    </row>
    <row r="1650">
      <c r="A1650" t="n">
        <v>1649</v>
      </c>
      <c r="B1650" t="inlineStr">
        <is>
          <t>A</t>
        </is>
      </c>
      <c r="C1650">
        <f>1</f>
        <v>1</v>
      </c>
      <c r="D1650">
        <f>IF(OR(F_Custom1_Q="(None)",F_Custom1_Q="",ISBLANK(F_Custom1_Q),F_Custom1_V="(All)",F_Custom1_V="",ISBLANK(F_Custom1_V)),1,IFERROR(IF(ISNUMBER(SEARCH("|"&amp;INDEX(INDIRECT(F_Custom1_resolved_column),1649)&amp;"|",F_Custom1_wrapped)),1,0),0))</f>
        <v>1</v>
      </c>
      <c r="E1650">
        <f>IF(OR(F_Custom2_Q="(None)",F_Custom2_Q="",ISBLANK(F_Custom2_Q),F_Custom2_V="(All)",F_Custom2_V="",ISBLANK(F_Custom2_V)),1,IFERROR(IF(ISNUMBER(SEARCH("|"&amp;INDEX(INDIRECT(F_Custom2_resolved_column),1649)&amp;"|",F_Custom2_wrapped)),1,0),0))</f>
        <v>1</v>
      </c>
      <c r="F1650">
        <f>D1650*E1650*1</f>
        <v>1</v>
      </c>
      <c r="G1650">
        <f>1</f>
        <v>1</v>
      </c>
      <c r="H16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1649)&amp;"|",All_Questions_Q_STREAM_F_wrapped)),1,0),0))*1</f>
        <v>1</v>
      </c>
    </row>
    <row r="1651">
      <c r="A1651" t="n">
        <v>1650</v>
      </c>
      <c r="B1651" t="inlineStr">
        <is>
          <t>B</t>
        </is>
      </c>
      <c r="C1651">
        <f>1</f>
        <v>1</v>
      </c>
      <c r="D1651">
        <f>IF(OR(F_Custom1_Q="(None)",F_Custom1_Q="",ISBLANK(F_Custom1_Q),F_Custom1_V="(All)",F_Custom1_V="",ISBLANK(F_Custom1_V)),1,IFERROR(IF(ISNUMBER(SEARCH("|"&amp;INDEX(INDIRECT(F_Custom1_resolved_column),1650)&amp;"|",F_Custom1_wrapped)),1,0),0))</f>
        <v>1</v>
      </c>
      <c r="E1651">
        <f>IF(OR(F_Custom2_Q="(None)",F_Custom2_Q="",ISBLANK(F_Custom2_Q),F_Custom2_V="(All)",F_Custom2_V="",ISBLANK(F_Custom2_V)),1,IFERROR(IF(ISNUMBER(SEARCH("|"&amp;INDEX(INDIRECT(F_Custom2_resolved_column),1650)&amp;"|",F_Custom2_wrapped)),1,0),0))</f>
        <v>1</v>
      </c>
      <c r="F1651">
        <f>D1651*E1651*1</f>
        <v>1</v>
      </c>
      <c r="G1651">
        <f>1</f>
        <v>1</v>
      </c>
      <c r="H16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1650)&amp;"|",All_Questions_Q_STREAM_F_wrapped)),1,0),0))*1</f>
        <v>1</v>
      </c>
    </row>
    <row r="1652">
      <c r="A1652" t="n">
        <v>1651</v>
      </c>
      <c r="B1652" t="inlineStr">
        <is>
          <t>A</t>
        </is>
      </c>
      <c r="C1652">
        <f>1</f>
        <v>1</v>
      </c>
      <c r="D1652">
        <f>IF(OR(F_Custom1_Q="(None)",F_Custom1_Q="",ISBLANK(F_Custom1_Q),F_Custom1_V="(All)",F_Custom1_V="",ISBLANK(F_Custom1_V)),1,IFERROR(IF(ISNUMBER(SEARCH("|"&amp;INDEX(INDIRECT(F_Custom1_resolved_column),1651)&amp;"|",F_Custom1_wrapped)),1,0),0))</f>
        <v>1</v>
      </c>
      <c r="E1652">
        <f>IF(OR(F_Custom2_Q="(None)",F_Custom2_Q="",ISBLANK(F_Custom2_Q),F_Custom2_V="(All)",F_Custom2_V="",ISBLANK(F_Custom2_V)),1,IFERROR(IF(ISNUMBER(SEARCH("|"&amp;INDEX(INDIRECT(F_Custom2_resolved_column),1651)&amp;"|",F_Custom2_wrapped)),1,0),0))</f>
        <v>1</v>
      </c>
      <c r="F1652">
        <f>D1652*E1652*1</f>
        <v>1</v>
      </c>
      <c r="G1652">
        <f>1</f>
        <v>1</v>
      </c>
      <c r="H16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1651)&amp;"|",All_Questions_Q_STREAM_F_wrapped)),1,0),0))*1</f>
        <v>1</v>
      </c>
    </row>
    <row r="1653">
      <c r="A1653" t="n">
        <v>1652</v>
      </c>
      <c r="B1653" t="inlineStr">
        <is>
          <t>B</t>
        </is>
      </c>
      <c r="C1653">
        <f>1</f>
        <v>1</v>
      </c>
      <c r="D1653">
        <f>IF(OR(F_Custom1_Q="(None)",F_Custom1_Q="",ISBLANK(F_Custom1_Q),F_Custom1_V="(All)",F_Custom1_V="",ISBLANK(F_Custom1_V)),1,IFERROR(IF(ISNUMBER(SEARCH("|"&amp;INDEX(INDIRECT(F_Custom1_resolved_column),1652)&amp;"|",F_Custom1_wrapped)),1,0),0))</f>
        <v>1</v>
      </c>
      <c r="E1653">
        <f>IF(OR(F_Custom2_Q="(None)",F_Custom2_Q="",ISBLANK(F_Custom2_Q),F_Custom2_V="(All)",F_Custom2_V="",ISBLANK(F_Custom2_V)),1,IFERROR(IF(ISNUMBER(SEARCH("|"&amp;INDEX(INDIRECT(F_Custom2_resolved_column),1652)&amp;"|",F_Custom2_wrapped)),1,0),0))</f>
        <v>1</v>
      </c>
      <c r="F1653">
        <f>D1653*E1653*1</f>
        <v>1</v>
      </c>
      <c r="G1653">
        <f>1</f>
        <v>1</v>
      </c>
      <c r="H16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1652)&amp;"|",All_Questions_Q_STREAM_F_wrapped)),1,0),0))*1</f>
        <v>1</v>
      </c>
    </row>
    <row r="1654">
      <c r="A1654" t="n">
        <v>1653</v>
      </c>
      <c r="B1654" t="inlineStr">
        <is>
          <t>A</t>
        </is>
      </c>
      <c r="C1654">
        <f>1</f>
        <v>1</v>
      </c>
      <c r="D1654">
        <f>IF(OR(F_Custom1_Q="(None)",F_Custom1_Q="",ISBLANK(F_Custom1_Q),F_Custom1_V="(All)",F_Custom1_V="",ISBLANK(F_Custom1_V)),1,IFERROR(IF(ISNUMBER(SEARCH("|"&amp;INDEX(INDIRECT(F_Custom1_resolved_column),1653)&amp;"|",F_Custom1_wrapped)),1,0),0))</f>
        <v>1</v>
      </c>
      <c r="E1654">
        <f>IF(OR(F_Custom2_Q="(None)",F_Custom2_Q="",ISBLANK(F_Custom2_Q),F_Custom2_V="(All)",F_Custom2_V="",ISBLANK(F_Custom2_V)),1,IFERROR(IF(ISNUMBER(SEARCH("|"&amp;INDEX(INDIRECT(F_Custom2_resolved_column),1653)&amp;"|",F_Custom2_wrapped)),1,0),0))</f>
        <v>1</v>
      </c>
      <c r="F1654">
        <f>D1654*E1654*1</f>
        <v>1</v>
      </c>
      <c r="G1654">
        <f>1</f>
        <v>1</v>
      </c>
      <c r="H16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1653)&amp;"|",All_Questions_Q_STREAM_F_wrapped)),1,0),0))*1</f>
        <v>1</v>
      </c>
    </row>
    <row r="1655">
      <c r="A1655" t="n">
        <v>1654</v>
      </c>
      <c r="B1655" t="inlineStr">
        <is>
          <t>B</t>
        </is>
      </c>
      <c r="C1655">
        <f>1</f>
        <v>1</v>
      </c>
      <c r="D1655">
        <f>IF(OR(F_Custom1_Q="(None)",F_Custom1_Q="",ISBLANK(F_Custom1_Q),F_Custom1_V="(All)",F_Custom1_V="",ISBLANK(F_Custom1_V)),1,IFERROR(IF(ISNUMBER(SEARCH("|"&amp;INDEX(INDIRECT(F_Custom1_resolved_column),1654)&amp;"|",F_Custom1_wrapped)),1,0),0))</f>
        <v>1</v>
      </c>
      <c r="E1655">
        <f>IF(OR(F_Custom2_Q="(None)",F_Custom2_Q="",ISBLANK(F_Custom2_Q),F_Custom2_V="(All)",F_Custom2_V="",ISBLANK(F_Custom2_V)),1,IFERROR(IF(ISNUMBER(SEARCH("|"&amp;INDEX(INDIRECT(F_Custom2_resolved_column),1654)&amp;"|",F_Custom2_wrapped)),1,0),0))</f>
        <v>1</v>
      </c>
      <c r="F1655">
        <f>D1655*E1655*1</f>
        <v>1</v>
      </c>
      <c r="G1655">
        <f>1</f>
        <v>1</v>
      </c>
      <c r="H16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1654)&amp;"|",All_Questions_Q_STREAM_F_wrapped)),1,0),0))*1</f>
        <v>1</v>
      </c>
    </row>
    <row r="1656">
      <c r="A1656" t="n">
        <v>1655</v>
      </c>
      <c r="B1656" t="inlineStr">
        <is>
          <t>A</t>
        </is>
      </c>
      <c r="C1656">
        <f>1</f>
        <v>1</v>
      </c>
      <c r="D1656">
        <f>IF(OR(F_Custom1_Q="(None)",F_Custom1_Q="",ISBLANK(F_Custom1_Q),F_Custom1_V="(All)",F_Custom1_V="",ISBLANK(F_Custom1_V)),1,IFERROR(IF(ISNUMBER(SEARCH("|"&amp;INDEX(INDIRECT(F_Custom1_resolved_column),1655)&amp;"|",F_Custom1_wrapped)),1,0),0))</f>
        <v>1</v>
      </c>
      <c r="E1656">
        <f>IF(OR(F_Custom2_Q="(None)",F_Custom2_Q="",ISBLANK(F_Custom2_Q),F_Custom2_V="(All)",F_Custom2_V="",ISBLANK(F_Custom2_V)),1,IFERROR(IF(ISNUMBER(SEARCH("|"&amp;INDEX(INDIRECT(F_Custom2_resolved_column),1655)&amp;"|",F_Custom2_wrapped)),1,0),0))</f>
        <v>1</v>
      </c>
      <c r="F1656">
        <f>D1656*E1656*1</f>
        <v>1</v>
      </c>
      <c r="G1656">
        <f>1</f>
        <v>1</v>
      </c>
      <c r="H16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1655)&amp;"|",All_Questions_Q_STREAM_F_wrapped)),1,0),0))*1</f>
        <v>1</v>
      </c>
    </row>
    <row r="1657">
      <c r="A1657" t="n">
        <v>1656</v>
      </c>
      <c r="B1657" t="inlineStr">
        <is>
          <t>B</t>
        </is>
      </c>
      <c r="C1657">
        <f>1</f>
        <v>1</v>
      </c>
      <c r="D1657">
        <f>IF(OR(F_Custom1_Q="(None)",F_Custom1_Q="",ISBLANK(F_Custom1_Q),F_Custom1_V="(All)",F_Custom1_V="",ISBLANK(F_Custom1_V)),1,IFERROR(IF(ISNUMBER(SEARCH("|"&amp;INDEX(INDIRECT(F_Custom1_resolved_column),1656)&amp;"|",F_Custom1_wrapped)),1,0),0))</f>
        <v>1</v>
      </c>
      <c r="E1657">
        <f>IF(OR(F_Custom2_Q="(None)",F_Custom2_Q="",ISBLANK(F_Custom2_Q),F_Custom2_V="(All)",F_Custom2_V="",ISBLANK(F_Custom2_V)),1,IFERROR(IF(ISNUMBER(SEARCH("|"&amp;INDEX(INDIRECT(F_Custom2_resolved_column),1656)&amp;"|",F_Custom2_wrapped)),1,0),0))</f>
        <v>1</v>
      </c>
      <c r="F1657">
        <f>D1657*E1657*1</f>
        <v>1</v>
      </c>
      <c r="G1657">
        <f>1</f>
        <v>1</v>
      </c>
      <c r="H16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1656)&amp;"|",All_Questions_Q_STREAM_F_wrapped)),1,0),0))*1</f>
        <v>1</v>
      </c>
    </row>
    <row r="1658">
      <c r="A1658" t="n">
        <v>1657</v>
      </c>
      <c r="B1658" t="inlineStr">
        <is>
          <t>A</t>
        </is>
      </c>
      <c r="C1658">
        <f>1</f>
        <v>1</v>
      </c>
      <c r="D1658">
        <f>IF(OR(F_Custom1_Q="(None)",F_Custom1_Q="",ISBLANK(F_Custom1_Q),F_Custom1_V="(All)",F_Custom1_V="",ISBLANK(F_Custom1_V)),1,IFERROR(IF(ISNUMBER(SEARCH("|"&amp;INDEX(INDIRECT(F_Custom1_resolved_column),1657)&amp;"|",F_Custom1_wrapped)),1,0),0))</f>
        <v>1</v>
      </c>
      <c r="E1658">
        <f>IF(OR(F_Custom2_Q="(None)",F_Custom2_Q="",ISBLANK(F_Custom2_Q),F_Custom2_V="(All)",F_Custom2_V="",ISBLANK(F_Custom2_V)),1,IFERROR(IF(ISNUMBER(SEARCH("|"&amp;INDEX(INDIRECT(F_Custom2_resolved_column),1657)&amp;"|",F_Custom2_wrapped)),1,0),0))</f>
        <v>1</v>
      </c>
      <c r="F1658">
        <f>D1658*E1658*1</f>
        <v>1</v>
      </c>
      <c r="G1658">
        <f>1</f>
        <v>1</v>
      </c>
      <c r="H16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1657)&amp;"|",All_Questions_Q_STREAM_F_wrapped)),1,0),0))*1</f>
        <v>1</v>
      </c>
    </row>
    <row r="1659">
      <c r="A1659" t="n">
        <v>1658</v>
      </c>
      <c r="B1659" t="inlineStr">
        <is>
          <t>B</t>
        </is>
      </c>
      <c r="C1659">
        <f>1</f>
        <v>1</v>
      </c>
      <c r="D1659">
        <f>IF(OR(F_Custom1_Q="(None)",F_Custom1_Q="",ISBLANK(F_Custom1_Q),F_Custom1_V="(All)",F_Custom1_V="",ISBLANK(F_Custom1_V)),1,IFERROR(IF(ISNUMBER(SEARCH("|"&amp;INDEX(INDIRECT(F_Custom1_resolved_column),1658)&amp;"|",F_Custom1_wrapped)),1,0),0))</f>
        <v>1</v>
      </c>
      <c r="E1659">
        <f>IF(OR(F_Custom2_Q="(None)",F_Custom2_Q="",ISBLANK(F_Custom2_Q),F_Custom2_V="(All)",F_Custom2_V="",ISBLANK(F_Custom2_V)),1,IFERROR(IF(ISNUMBER(SEARCH("|"&amp;INDEX(INDIRECT(F_Custom2_resolved_column),1658)&amp;"|",F_Custom2_wrapped)),1,0),0))</f>
        <v>1</v>
      </c>
      <c r="F1659">
        <f>D1659*E1659*1</f>
        <v>1</v>
      </c>
      <c r="G1659">
        <f>1</f>
        <v>1</v>
      </c>
      <c r="H16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1658)&amp;"|",All_Questions_Q_STREAM_F_wrapped)),1,0),0))*1</f>
        <v>1</v>
      </c>
    </row>
    <row r="1660">
      <c r="A1660" t="n">
        <v>1659</v>
      </c>
      <c r="B1660" t="inlineStr">
        <is>
          <t>A</t>
        </is>
      </c>
      <c r="C1660">
        <f>1</f>
        <v>1</v>
      </c>
      <c r="D1660">
        <f>IF(OR(F_Custom1_Q="(None)",F_Custom1_Q="",ISBLANK(F_Custom1_Q),F_Custom1_V="(All)",F_Custom1_V="",ISBLANK(F_Custom1_V)),1,IFERROR(IF(ISNUMBER(SEARCH("|"&amp;INDEX(INDIRECT(F_Custom1_resolved_column),1659)&amp;"|",F_Custom1_wrapped)),1,0),0))</f>
        <v>1</v>
      </c>
      <c r="E1660">
        <f>IF(OR(F_Custom2_Q="(None)",F_Custom2_Q="",ISBLANK(F_Custom2_Q),F_Custom2_V="(All)",F_Custom2_V="",ISBLANK(F_Custom2_V)),1,IFERROR(IF(ISNUMBER(SEARCH("|"&amp;INDEX(INDIRECT(F_Custom2_resolved_column),1659)&amp;"|",F_Custom2_wrapped)),1,0),0))</f>
        <v>1</v>
      </c>
      <c r="F1660">
        <f>D1660*E1660*1</f>
        <v>1</v>
      </c>
      <c r="G1660">
        <f>1</f>
        <v>1</v>
      </c>
      <c r="H16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1659)&amp;"|",All_Questions_Q_STREAM_F_wrapped)),1,0),0))*1</f>
        <v>1</v>
      </c>
    </row>
    <row r="1661">
      <c r="A1661" t="n">
        <v>1660</v>
      </c>
      <c r="B1661" t="inlineStr">
        <is>
          <t>B</t>
        </is>
      </c>
      <c r="C1661">
        <f>1</f>
        <v>1</v>
      </c>
      <c r="D1661">
        <f>IF(OR(F_Custom1_Q="(None)",F_Custom1_Q="",ISBLANK(F_Custom1_Q),F_Custom1_V="(All)",F_Custom1_V="",ISBLANK(F_Custom1_V)),1,IFERROR(IF(ISNUMBER(SEARCH("|"&amp;INDEX(INDIRECT(F_Custom1_resolved_column),1660)&amp;"|",F_Custom1_wrapped)),1,0),0))</f>
        <v>1</v>
      </c>
      <c r="E1661">
        <f>IF(OR(F_Custom2_Q="(None)",F_Custom2_Q="",ISBLANK(F_Custom2_Q),F_Custom2_V="(All)",F_Custom2_V="",ISBLANK(F_Custom2_V)),1,IFERROR(IF(ISNUMBER(SEARCH("|"&amp;INDEX(INDIRECT(F_Custom2_resolved_column),1660)&amp;"|",F_Custom2_wrapped)),1,0),0))</f>
        <v>1</v>
      </c>
      <c r="F1661">
        <f>D1661*E1661*1</f>
        <v>1</v>
      </c>
      <c r="G1661">
        <f>1</f>
        <v>1</v>
      </c>
      <c r="H16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1660)&amp;"|",All_Questions_Q_STREAM_F_wrapped)),1,0),0))*1</f>
        <v>1</v>
      </c>
    </row>
    <row r="1662">
      <c r="A1662" t="n">
        <v>1661</v>
      </c>
      <c r="B1662" t="inlineStr">
        <is>
          <t>A</t>
        </is>
      </c>
      <c r="C1662">
        <f>1</f>
        <v>1</v>
      </c>
      <c r="D1662">
        <f>IF(OR(F_Custom1_Q="(None)",F_Custom1_Q="",ISBLANK(F_Custom1_Q),F_Custom1_V="(All)",F_Custom1_V="",ISBLANK(F_Custom1_V)),1,IFERROR(IF(ISNUMBER(SEARCH("|"&amp;INDEX(INDIRECT(F_Custom1_resolved_column),1661)&amp;"|",F_Custom1_wrapped)),1,0),0))</f>
        <v>1</v>
      </c>
      <c r="E1662">
        <f>IF(OR(F_Custom2_Q="(None)",F_Custom2_Q="",ISBLANK(F_Custom2_Q),F_Custom2_V="(All)",F_Custom2_V="",ISBLANK(F_Custom2_V)),1,IFERROR(IF(ISNUMBER(SEARCH("|"&amp;INDEX(INDIRECT(F_Custom2_resolved_column),1661)&amp;"|",F_Custom2_wrapped)),1,0),0))</f>
        <v>1</v>
      </c>
      <c r="F1662">
        <f>D1662*E1662*1</f>
        <v>1</v>
      </c>
      <c r="G1662">
        <f>1</f>
        <v>1</v>
      </c>
      <c r="H16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1661)&amp;"|",All_Questions_Q_STREAM_F_wrapped)),1,0),0))*1</f>
        <v>1</v>
      </c>
    </row>
    <row r="1663">
      <c r="A1663" t="n">
        <v>1662</v>
      </c>
      <c r="B1663" t="inlineStr">
        <is>
          <t>B</t>
        </is>
      </c>
      <c r="C1663">
        <f>1</f>
        <v>1</v>
      </c>
      <c r="D1663">
        <f>IF(OR(F_Custom1_Q="(None)",F_Custom1_Q="",ISBLANK(F_Custom1_Q),F_Custom1_V="(All)",F_Custom1_V="",ISBLANK(F_Custom1_V)),1,IFERROR(IF(ISNUMBER(SEARCH("|"&amp;INDEX(INDIRECT(F_Custom1_resolved_column),1662)&amp;"|",F_Custom1_wrapped)),1,0),0))</f>
        <v>1</v>
      </c>
      <c r="E1663">
        <f>IF(OR(F_Custom2_Q="(None)",F_Custom2_Q="",ISBLANK(F_Custom2_Q),F_Custom2_V="(All)",F_Custom2_V="",ISBLANK(F_Custom2_V)),1,IFERROR(IF(ISNUMBER(SEARCH("|"&amp;INDEX(INDIRECT(F_Custom2_resolved_column),1662)&amp;"|",F_Custom2_wrapped)),1,0),0))</f>
        <v>1</v>
      </c>
      <c r="F1663">
        <f>D1663*E1663*1</f>
        <v>1</v>
      </c>
      <c r="G1663">
        <f>1</f>
        <v>1</v>
      </c>
      <c r="H16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1662)&amp;"|",All_Questions_Q_STREAM_F_wrapped)),1,0),0))*1</f>
        <v>1</v>
      </c>
    </row>
    <row r="1664">
      <c r="A1664" t="n">
        <v>1663</v>
      </c>
      <c r="B1664" t="inlineStr">
        <is>
          <t>A</t>
        </is>
      </c>
      <c r="C1664">
        <f>1</f>
        <v>1</v>
      </c>
      <c r="D1664">
        <f>IF(OR(F_Custom1_Q="(None)",F_Custom1_Q="",ISBLANK(F_Custom1_Q),F_Custom1_V="(All)",F_Custom1_V="",ISBLANK(F_Custom1_V)),1,IFERROR(IF(ISNUMBER(SEARCH("|"&amp;INDEX(INDIRECT(F_Custom1_resolved_column),1663)&amp;"|",F_Custom1_wrapped)),1,0),0))</f>
        <v>1</v>
      </c>
      <c r="E1664">
        <f>IF(OR(F_Custom2_Q="(None)",F_Custom2_Q="",ISBLANK(F_Custom2_Q),F_Custom2_V="(All)",F_Custom2_V="",ISBLANK(F_Custom2_V)),1,IFERROR(IF(ISNUMBER(SEARCH("|"&amp;INDEX(INDIRECT(F_Custom2_resolved_column),1663)&amp;"|",F_Custom2_wrapped)),1,0),0))</f>
        <v>1</v>
      </c>
      <c r="F1664">
        <f>D1664*E1664*1</f>
        <v>1</v>
      </c>
      <c r="G1664">
        <f>1</f>
        <v>1</v>
      </c>
      <c r="H16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1663)&amp;"|",All_Questions_Q_STREAM_F_wrapped)),1,0),0))*1</f>
        <v>1</v>
      </c>
    </row>
    <row r="1665">
      <c r="A1665" t="n">
        <v>1664</v>
      </c>
      <c r="B1665" t="inlineStr">
        <is>
          <t>B</t>
        </is>
      </c>
      <c r="C1665">
        <f>1</f>
        <v>1</v>
      </c>
      <c r="D1665">
        <f>IF(OR(F_Custom1_Q="(None)",F_Custom1_Q="",ISBLANK(F_Custom1_Q),F_Custom1_V="(All)",F_Custom1_V="",ISBLANK(F_Custom1_V)),1,IFERROR(IF(ISNUMBER(SEARCH("|"&amp;INDEX(INDIRECT(F_Custom1_resolved_column),1664)&amp;"|",F_Custom1_wrapped)),1,0),0))</f>
        <v>1</v>
      </c>
      <c r="E1665">
        <f>IF(OR(F_Custom2_Q="(None)",F_Custom2_Q="",ISBLANK(F_Custom2_Q),F_Custom2_V="(All)",F_Custom2_V="",ISBLANK(F_Custom2_V)),1,IFERROR(IF(ISNUMBER(SEARCH("|"&amp;INDEX(INDIRECT(F_Custom2_resolved_column),1664)&amp;"|",F_Custom2_wrapped)),1,0),0))</f>
        <v>1</v>
      </c>
      <c r="F1665">
        <f>D1665*E1665*1</f>
        <v>1</v>
      </c>
      <c r="G1665">
        <f>1</f>
        <v>1</v>
      </c>
      <c r="H16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1664)&amp;"|",All_Questions_Q_STREAM_F_wrapped)),1,0),0))*1</f>
        <v>1</v>
      </c>
    </row>
    <row r="1666">
      <c r="A1666" t="n">
        <v>1665</v>
      </c>
      <c r="B1666" t="inlineStr">
        <is>
          <t>A</t>
        </is>
      </c>
      <c r="C1666">
        <f>1</f>
        <v>1</v>
      </c>
      <c r="D1666">
        <f>IF(OR(F_Custom1_Q="(None)",F_Custom1_Q="",ISBLANK(F_Custom1_Q),F_Custom1_V="(All)",F_Custom1_V="",ISBLANK(F_Custom1_V)),1,IFERROR(IF(ISNUMBER(SEARCH("|"&amp;INDEX(INDIRECT(F_Custom1_resolved_column),1665)&amp;"|",F_Custom1_wrapped)),1,0),0))</f>
        <v>1</v>
      </c>
      <c r="E1666">
        <f>IF(OR(F_Custom2_Q="(None)",F_Custom2_Q="",ISBLANK(F_Custom2_Q),F_Custom2_V="(All)",F_Custom2_V="",ISBLANK(F_Custom2_V)),1,IFERROR(IF(ISNUMBER(SEARCH("|"&amp;INDEX(INDIRECT(F_Custom2_resolved_column),1665)&amp;"|",F_Custom2_wrapped)),1,0),0))</f>
        <v>1</v>
      </c>
      <c r="F1666">
        <f>D1666*E1666*1</f>
        <v>1</v>
      </c>
      <c r="G1666">
        <f>1</f>
        <v>1</v>
      </c>
      <c r="H16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1665)&amp;"|",All_Questions_Q_STREAM_F_wrapped)),1,0),0))*1</f>
        <v>1</v>
      </c>
    </row>
    <row r="1667">
      <c r="A1667" t="n">
        <v>1666</v>
      </c>
      <c r="B1667" t="inlineStr">
        <is>
          <t>B</t>
        </is>
      </c>
      <c r="C1667">
        <f>1</f>
        <v>1</v>
      </c>
      <c r="D1667">
        <f>IF(OR(F_Custom1_Q="(None)",F_Custom1_Q="",ISBLANK(F_Custom1_Q),F_Custom1_V="(All)",F_Custom1_V="",ISBLANK(F_Custom1_V)),1,IFERROR(IF(ISNUMBER(SEARCH("|"&amp;INDEX(INDIRECT(F_Custom1_resolved_column),1666)&amp;"|",F_Custom1_wrapped)),1,0),0))</f>
        <v>1</v>
      </c>
      <c r="E1667">
        <f>IF(OR(F_Custom2_Q="(None)",F_Custom2_Q="",ISBLANK(F_Custom2_Q),F_Custom2_V="(All)",F_Custom2_V="",ISBLANK(F_Custom2_V)),1,IFERROR(IF(ISNUMBER(SEARCH("|"&amp;INDEX(INDIRECT(F_Custom2_resolved_column),1666)&amp;"|",F_Custom2_wrapped)),1,0),0))</f>
        <v>1</v>
      </c>
      <c r="F1667">
        <f>D1667*E1667*1</f>
        <v>1</v>
      </c>
      <c r="G1667">
        <f>1</f>
        <v>1</v>
      </c>
      <c r="H16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1666)&amp;"|",All_Questions_Q_STREAM_F_wrapped)),1,0),0))*1</f>
        <v>1</v>
      </c>
    </row>
    <row r="1668">
      <c r="A1668" t="n">
        <v>1667</v>
      </c>
      <c r="B1668" t="inlineStr">
        <is>
          <t>A</t>
        </is>
      </c>
      <c r="C1668">
        <f>1</f>
        <v>1</v>
      </c>
      <c r="D1668">
        <f>IF(OR(F_Custom1_Q="(None)",F_Custom1_Q="",ISBLANK(F_Custom1_Q),F_Custom1_V="(All)",F_Custom1_V="",ISBLANK(F_Custom1_V)),1,IFERROR(IF(ISNUMBER(SEARCH("|"&amp;INDEX(INDIRECT(F_Custom1_resolved_column),1667)&amp;"|",F_Custom1_wrapped)),1,0),0))</f>
        <v>1</v>
      </c>
      <c r="E1668">
        <f>IF(OR(F_Custom2_Q="(None)",F_Custom2_Q="",ISBLANK(F_Custom2_Q),F_Custom2_V="(All)",F_Custom2_V="",ISBLANK(F_Custom2_V)),1,IFERROR(IF(ISNUMBER(SEARCH("|"&amp;INDEX(INDIRECT(F_Custom2_resolved_column),1667)&amp;"|",F_Custom2_wrapped)),1,0),0))</f>
        <v>1</v>
      </c>
      <c r="F1668">
        <f>D1668*E1668*1</f>
        <v>1</v>
      </c>
      <c r="G1668">
        <f>1</f>
        <v>1</v>
      </c>
      <c r="H16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1667)&amp;"|",All_Questions_Q_STREAM_F_wrapped)),1,0),0))*1</f>
        <v>1</v>
      </c>
    </row>
    <row r="1669">
      <c r="A1669" t="n">
        <v>1668</v>
      </c>
      <c r="B1669" t="inlineStr">
        <is>
          <t>B</t>
        </is>
      </c>
      <c r="C1669">
        <f>1</f>
        <v>1</v>
      </c>
      <c r="D1669">
        <f>IF(OR(F_Custom1_Q="(None)",F_Custom1_Q="",ISBLANK(F_Custom1_Q),F_Custom1_V="(All)",F_Custom1_V="",ISBLANK(F_Custom1_V)),1,IFERROR(IF(ISNUMBER(SEARCH("|"&amp;INDEX(INDIRECT(F_Custom1_resolved_column),1668)&amp;"|",F_Custom1_wrapped)),1,0),0))</f>
        <v>1</v>
      </c>
      <c r="E1669">
        <f>IF(OR(F_Custom2_Q="(None)",F_Custom2_Q="",ISBLANK(F_Custom2_Q),F_Custom2_V="(All)",F_Custom2_V="",ISBLANK(F_Custom2_V)),1,IFERROR(IF(ISNUMBER(SEARCH("|"&amp;INDEX(INDIRECT(F_Custom2_resolved_column),1668)&amp;"|",F_Custom2_wrapped)),1,0),0))</f>
        <v>1</v>
      </c>
      <c r="F1669">
        <f>D1669*E1669*1</f>
        <v>1</v>
      </c>
      <c r="G1669">
        <f>1</f>
        <v>1</v>
      </c>
      <c r="H16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1668)&amp;"|",All_Questions_Q_STREAM_F_wrapped)),1,0),0))*1</f>
        <v>1</v>
      </c>
    </row>
    <row r="1670">
      <c r="A1670" t="n">
        <v>1669</v>
      </c>
      <c r="B1670" t="inlineStr">
        <is>
          <t>A</t>
        </is>
      </c>
      <c r="C1670">
        <f>1</f>
        <v>1</v>
      </c>
      <c r="D1670">
        <f>IF(OR(F_Custom1_Q="(None)",F_Custom1_Q="",ISBLANK(F_Custom1_Q),F_Custom1_V="(All)",F_Custom1_V="",ISBLANK(F_Custom1_V)),1,IFERROR(IF(ISNUMBER(SEARCH("|"&amp;INDEX(INDIRECT(F_Custom1_resolved_column),1669)&amp;"|",F_Custom1_wrapped)),1,0),0))</f>
        <v>1</v>
      </c>
      <c r="E1670">
        <f>IF(OR(F_Custom2_Q="(None)",F_Custom2_Q="",ISBLANK(F_Custom2_Q),F_Custom2_V="(All)",F_Custom2_V="",ISBLANK(F_Custom2_V)),1,IFERROR(IF(ISNUMBER(SEARCH("|"&amp;INDEX(INDIRECT(F_Custom2_resolved_column),1669)&amp;"|",F_Custom2_wrapped)),1,0),0))</f>
        <v>1</v>
      </c>
      <c r="F1670">
        <f>D1670*E1670*1</f>
        <v>1</v>
      </c>
      <c r="G1670">
        <f>1</f>
        <v>1</v>
      </c>
      <c r="H16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1669)&amp;"|",All_Questions_Q_STREAM_F_wrapped)),1,0),0))*1</f>
        <v>1</v>
      </c>
    </row>
    <row r="1671">
      <c r="A1671" t="n">
        <v>1670</v>
      </c>
      <c r="B1671" t="inlineStr">
        <is>
          <t>B</t>
        </is>
      </c>
      <c r="C1671">
        <f>1</f>
        <v>1</v>
      </c>
      <c r="D1671">
        <f>IF(OR(F_Custom1_Q="(None)",F_Custom1_Q="",ISBLANK(F_Custom1_Q),F_Custom1_V="(All)",F_Custom1_V="",ISBLANK(F_Custom1_V)),1,IFERROR(IF(ISNUMBER(SEARCH("|"&amp;INDEX(INDIRECT(F_Custom1_resolved_column),1670)&amp;"|",F_Custom1_wrapped)),1,0),0))</f>
        <v>1</v>
      </c>
      <c r="E1671">
        <f>IF(OR(F_Custom2_Q="(None)",F_Custom2_Q="",ISBLANK(F_Custom2_Q),F_Custom2_V="(All)",F_Custom2_V="",ISBLANK(F_Custom2_V)),1,IFERROR(IF(ISNUMBER(SEARCH("|"&amp;INDEX(INDIRECT(F_Custom2_resolved_column),1670)&amp;"|",F_Custom2_wrapped)),1,0),0))</f>
        <v>1</v>
      </c>
      <c r="F1671">
        <f>D1671*E1671*1</f>
        <v>1</v>
      </c>
      <c r="G1671">
        <f>1</f>
        <v>1</v>
      </c>
      <c r="H16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1670)&amp;"|",All_Questions_Q_STREAM_F_wrapped)),1,0),0))*1</f>
        <v>1</v>
      </c>
    </row>
    <row r="1672">
      <c r="A1672" t="n">
        <v>1671</v>
      </c>
      <c r="B1672" t="inlineStr">
        <is>
          <t>A</t>
        </is>
      </c>
      <c r="C1672">
        <f>1</f>
        <v>1</v>
      </c>
      <c r="D1672">
        <f>IF(OR(F_Custom1_Q="(None)",F_Custom1_Q="",ISBLANK(F_Custom1_Q),F_Custom1_V="(All)",F_Custom1_V="",ISBLANK(F_Custom1_V)),1,IFERROR(IF(ISNUMBER(SEARCH("|"&amp;INDEX(INDIRECT(F_Custom1_resolved_column),1671)&amp;"|",F_Custom1_wrapped)),1,0),0))</f>
        <v>1</v>
      </c>
      <c r="E1672">
        <f>IF(OR(F_Custom2_Q="(None)",F_Custom2_Q="",ISBLANK(F_Custom2_Q),F_Custom2_V="(All)",F_Custom2_V="",ISBLANK(F_Custom2_V)),1,IFERROR(IF(ISNUMBER(SEARCH("|"&amp;INDEX(INDIRECT(F_Custom2_resolved_column),1671)&amp;"|",F_Custom2_wrapped)),1,0),0))</f>
        <v>1</v>
      </c>
      <c r="F1672">
        <f>D1672*E1672*1</f>
        <v>1</v>
      </c>
      <c r="G1672">
        <f>1</f>
        <v>1</v>
      </c>
      <c r="H16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1671)&amp;"|",All_Questions_Q_STREAM_F_wrapped)),1,0),0))*1</f>
        <v>1</v>
      </c>
    </row>
    <row r="1673">
      <c r="A1673" t="n">
        <v>1672</v>
      </c>
      <c r="B1673" t="inlineStr">
        <is>
          <t>B</t>
        </is>
      </c>
      <c r="C1673">
        <f>1</f>
        <v>1</v>
      </c>
      <c r="D1673">
        <f>IF(OR(F_Custom1_Q="(None)",F_Custom1_Q="",ISBLANK(F_Custom1_Q),F_Custom1_V="(All)",F_Custom1_V="",ISBLANK(F_Custom1_V)),1,IFERROR(IF(ISNUMBER(SEARCH("|"&amp;INDEX(INDIRECT(F_Custom1_resolved_column),1672)&amp;"|",F_Custom1_wrapped)),1,0),0))</f>
        <v>1</v>
      </c>
      <c r="E1673">
        <f>IF(OR(F_Custom2_Q="(None)",F_Custom2_Q="",ISBLANK(F_Custom2_Q),F_Custom2_V="(All)",F_Custom2_V="",ISBLANK(F_Custom2_V)),1,IFERROR(IF(ISNUMBER(SEARCH("|"&amp;INDEX(INDIRECT(F_Custom2_resolved_column),1672)&amp;"|",F_Custom2_wrapped)),1,0),0))</f>
        <v>1</v>
      </c>
      <c r="F1673">
        <f>D1673*E1673*1</f>
        <v>1</v>
      </c>
      <c r="G1673">
        <f>1</f>
        <v>1</v>
      </c>
      <c r="H16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1672)&amp;"|",All_Questions_Q_STREAM_F_wrapped)),1,0),0))*1</f>
        <v>1</v>
      </c>
    </row>
    <row r="1674">
      <c r="A1674" t="n">
        <v>1673</v>
      </c>
      <c r="B1674" t="inlineStr">
        <is>
          <t>A</t>
        </is>
      </c>
      <c r="C1674">
        <f>1</f>
        <v>1</v>
      </c>
      <c r="D1674">
        <f>IF(OR(F_Custom1_Q="(None)",F_Custom1_Q="",ISBLANK(F_Custom1_Q),F_Custom1_V="(All)",F_Custom1_V="",ISBLANK(F_Custom1_V)),1,IFERROR(IF(ISNUMBER(SEARCH("|"&amp;INDEX(INDIRECT(F_Custom1_resolved_column),1673)&amp;"|",F_Custom1_wrapped)),1,0),0))</f>
        <v>1</v>
      </c>
      <c r="E1674">
        <f>IF(OR(F_Custom2_Q="(None)",F_Custom2_Q="",ISBLANK(F_Custom2_Q),F_Custom2_V="(All)",F_Custom2_V="",ISBLANK(F_Custom2_V)),1,IFERROR(IF(ISNUMBER(SEARCH("|"&amp;INDEX(INDIRECT(F_Custom2_resolved_column),1673)&amp;"|",F_Custom2_wrapped)),1,0),0))</f>
        <v>1</v>
      </c>
      <c r="F1674">
        <f>D1674*E1674*1</f>
        <v>1</v>
      </c>
      <c r="G1674">
        <f>1</f>
        <v>1</v>
      </c>
      <c r="H16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1673)&amp;"|",All_Questions_Q_STREAM_F_wrapped)),1,0),0))*1</f>
        <v>1</v>
      </c>
    </row>
    <row r="1675">
      <c r="A1675" t="n">
        <v>1674</v>
      </c>
      <c r="B1675" t="inlineStr">
        <is>
          <t>B</t>
        </is>
      </c>
      <c r="C1675">
        <f>1</f>
        <v>1</v>
      </c>
      <c r="D1675">
        <f>IF(OR(F_Custom1_Q="(None)",F_Custom1_Q="",ISBLANK(F_Custom1_Q),F_Custom1_V="(All)",F_Custom1_V="",ISBLANK(F_Custom1_V)),1,IFERROR(IF(ISNUMBER(SEARCH("|"&amp;INDEX(INDIRECT(F_Custom1_resolved_column),1674)&amp;"|",F_Custom1_wrapped)),1,0),0))</f>
        <v>1</v>
      </c>
      <c r="E1675">
        <f>IF(OR(F_Custom2_Q="(None)",F_Custom2_Q="",ISBLANK(F_Custom2_Q),F_Custom2_V="(All)",F_Custom2_V="",ISBLANK(F_Custom2_V)),1,IFERROR(IF(ISNUMBER(SEARCH("|"&amp;INDEX(INDIRECT(F_Custom2_resolved_column),1674)&amp;"|",F_Custom2_wrapped)),1,0),0))</f>
        <v>1</v>
      </c>
      <c r="F1675">
        <f>D1675*E1675*1</f>
        <v>1</v>
      </c>
      <c r="G1675">
        <f>1</f>
        <v>1</v>
      </c>
      <c r="H16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1674)&amp;"|",All_Questions_Q_STREAM_F_wrapped)),1,0),0))*1</f>
        <v>1</v>
      </c>
    </row>
    <row r="1676">
      <c r="A1676" t="n">
        <v>1675</v>
      </c>
      <c r="B1676" t="inlineStr">
        <is>
          <t>A</t>
        </is>
      </c>
      <c r="C1676">
        <f>1</f>
        <v>1</v>
      </c>
      <c r="D1676">
        <f>IF(OR(F_Custom1_Q="(None)",F_Custom1_Q="",ISBLANK(F_Custom1_Q),F_Custom1_V="(All)",F_Custom1_V="",ISBLANK(F_Custom1_V)),1,IFERROR(IF(ISNUMBER(SEARCH("|"&amp;INDEX(INDIRECT(F_Custom1_resolved_column),1675)&amp;"|",F_Custom1_wrapped)),1,0),0))</f>
        <v>1</v>
      </c>
      <c r="E1676">
        <f>IF(OR(F_Custom2_Q="(None)",F_Custom2_Q="",ISBLANK(F_Custom2_Q),F_Custom2_V="(All)",F_Custom2_V="",ISBLANK(F_Custom2_V)),1,IFERROR(IF(ISNUMBER(SEARCH("|"&amp;INDEX(INDIRECT(F_Custom2_resolved_column),1675)&amp;"|",F_Custom2_wrapped)),1,0),0))</f>
        <v>1</v>
      </c>
      <c r="F1676">
        <f>D1676*E1676*1</f>
        <v>1</v>
      </c>
      <c r="G1676">
        <f>1</f>
        <v>1</v>
      </c>
      <c r="H16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1675)&amp;"|",All_Questions_Q_STREAM_F_wrapped)),1,0),0))*1</f>
        <v>1</v>
      </c>
    </row>
    <row r="1677">
      <c r="A1677" t="n">
        <v>1676</v>
      </c>
      <c r="B1677" t="inlineStr">
        <is>
          <t>B</t>
        </is>
      </c>
      <c r="C1677">
        <f>1</f>
        <v>1</v>
      </c>
      <c r="D1677">
        <f>IF(OR(F_Custom1_Q="(None)",F_Custom1_Q="",ISBLANK(F_Custom1_Q),F_Custom1_V="(All)",F_Custom1_V="",ISBLANK(F_Custom1_V)),1,IFERROR(IF(ISNUMBER(SEARCH("|"&amp;INDEX(INDIRECT(F_Custom1_resolved_column),1676)&amp;"|",F_Custom1_wrapped)),1,0),0))</f>
        <v>1</v>
      </c>
      <c r="E1677">
        <f>IF(OR(F_Custom2_Q="(None)",F_Custom2_Q="",ISBLANK(F_Custom2_Q),F_Custom2_V="(All)",F_Custom2_V="",ISBLANK(F_Custom2_V)),1,IFERROR(IF(ISNUMBER(SEARCH("|"&amp;INDEX(INDIRECT(F_Custom2_resolved_column),1676)&amp;"|",F_Custom2_wrapped)),1,0),0))</f>
        <v>1</v>
      </c>
      <c r="F1677">
        <f>D1677*E1677*1</f>
        <v>1</v>
      </c>
      <c r="G1677">
        <f>1</f>
        <v>1</v>
      </c>
      <c r="H16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1676)&amp;"|",All_Questions_Q_STREAM_F_wrapped)),1,0),0))*1</f>
        <v>1</v>
      </c>
    </row>
    <row r="1678">
      <c r="A1678" t="n">
        <v>1677</v>
      </c>
      <c r="B1678" t="inlineStr">
        <is>
          <t>A</t>
        </is>
      </c>
      <c r="C1678">
        <f>1</f>
        <v>1</v>
      </c>
      <c r="D1678">
        <f>IF(OR(F_Custom1_Q="(None)",F_Custom1_Q="",ISBLANK(F_Custom1_Q),F_Custom1_V="(All)",F_Custom1_V="",ISBLANK(F_Custom1_V)),1,IFERROR(IF(ISNUMBER(SEARCH("|"&amp;INDEX(INDIRECT(F_Custom1_resolved_column),1677)&amp;"|",F_Custom1_wrapped)),1,0),0))</f>
        <v>1</v>
      </c>
      <c r="E1678">
        <f>IF(OR(F_Custom2_Q="(None)",F_Custom2_Q="",ISBLANK(F_Custom2_Q),F_Custom2_V="(All)",F_Custom2_V="",ISBLANK(F_Custom2_V)),1,IFERROR(IF(ISNUMBER(SEARCH("|"&amp;INDEX(INDIRECT(F_Custom2_resolved_column),1677)&amp;"|",F_Custom2_wrapped)),1,0),0))</f>
        <v>1</v>
      </c>
      <c r="F1678">
        <f>D1678*E1678*1</f>
        <v>1</v>
      </c>
      <c r="G1678">
        <f>1</f>
        <v>1</v>
      </c>
      <c r="H16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1677)&amp;"|",All_Questions_Q_STREAM_F_wrapped)),1,0),0))*1</f>
        <v>1</v>
      </c>
    </row>
    <row r="1679">
      <c r="A1679" t="n">
        <v>1678</v>
      </c>
      <c r="B1679" t="inlineStr">
        <is>
          <t>B</t>
        </is>
      </c>
      <c r="C1679">
        <f>1</f>
        <v>1</v>
      </c>
      <c r="D1679">
        <f>IF(OR(F_Custom1_Q="(None)",F_Custom1_Q="",ISBLANK(F_Custom1_Q),F_Custom1_V="(All)",F_Custom1_V="",ISBLANK(F_Custom1_V)),1,IFERROR(IF(ISNUMBER(SEARCH("|"&amp;INDEX(INDIRECT(F_Custom1_resolved_column),1678)&amp;"|",F_Custom1_wrapped)),1,0),0))</f>
        <v>1</v>
      </c>
      <c r="E1679">
        <f>IF(OR(F_Custom2_Q="(None)",F_Custom2_Q="",ISBLANK(F_Custom2_Q),F_Custom2_V="(All)",F_Custom2_V="",ISBLANK(F_Custom2_V)),1,IFERROR(IF(ISNUMBER(SEARCH("|"&amp;INDEX(INDIRECT(F_Custom2_resolved_column),1678)&amp;"|",F_Custom2_wrapped)),1,0),0))</f>
        <v>1</v>
      </c>
      <c r="F1679">
        <f>D1679*E1679*1</f>
        <v>1</v>
      </c>
      <c r="G1679">
        <f>1</f>
        <v>1</v>
      </c>
      <c r="H16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1678)&amp;"|",All_Questions_Q_STREAM_F_wrapped)),1,0),0))*1</f>
        <v>1</v>
      </c>
    </row>
    <row r="1680">
      <c r="A1680" t="n">
        <v>1679</v>
      </c>
      <c r="B1680" t="inlineStr">
        <is>
          <t>A</t>
        </is>
      </c>
      <c r="C1680">
        <f>1</f>
        <v>1</v>
      </c>
      <c r="D1680">
        <f>IF(OR(F_Custom1_Q="(None)",F_Custom1_Q="",ISBLANK(F_Custom1_Q),F_Custom1_V="(All)",F_Custom1_V="",ISBLANK(F_Custom1_V)),1,IFERROR(IF(ISNUMBER(SEARCH("|"&amp;INDEX(INDIRECT(F_Custom1_resolved_column),1679)&amp;"|",F_Custom1_wrapped)),1,0),0))</f>
        <v>1</v>
      </c>
      <c r="E1680">
        <f>IF(OR(F_Custom2_Q="(None)",F_Custom2_Q="",ISBLANK(F_Custom2_Q),F_Custom2_V="(All)",F_Custom2_V="",ISBLANK(F_Custom2_V)),1,IFERROR(IF(ISNUMBER(SEARCH("|"&amp;INDEX(INDIRECT(F_Custom2_resolved_column),1679)&amp;"|",F_Custom2_wrapped)),1,0),0))</f>
        <v>1</v>
      </c>
      <c r="F1680">
        <f>D1680*E1680*1</f>
        <v>1</v>
      </c>
      <c r="G1680">
        <f>1</f>
        <v>1</v>
      </c>
      <c r="H16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1679)&amp;"|",All_Questions_Q_STREAM_F_wrapped)),1,0),0))*1</f>
        <v>1</v>
      </c>
    </row>
    <row r="1681">
      <c r="A1681" t="n">
        <v>1680</v>
      </c>
      <c r="B1681" t="inlineStr">
        <is>
          <t>B</t>
        </is>
      </c>
      <c r="C1681">
        <f>1</f>
        <v>1</v>
      </c>
      <c r="D1681">
        <f>IF(OR(F_Custom1_Q="(None)",F_Custom1_Q="",ISBLANK(F_Custom1_Q),F_Custom1_V="(All)",F_Custom1_V="",ISBLANK(F_Custom1_V)),1,IFERROR(IF(ISNUMBER(SEARCH("|"&amp;INDEX(INDIRECT(F_Custom1_resolved_column),1680)&amp;"|",F_Custom1_wrapped)),1,0),0))</f>
        <v>1</v>
      </c>
      <c r="E1681">
        <f>IF(OR(F_Custom2_Q="(None)",F_Custom2_Q="",ISBLANK(F_Custom2_Q),F_Custom2_V="(All)",F_Custom2_V="",ISBLANK(F_Custom2_V)),1,IFERROR(IF(ISNUMBER(SEARCH("|"&amp;INDEX(INDIRECT(F_Custom2_resolved_column),1680)&amp;"|",F_Custom2_wrapped)),1,0),0))</f>
        <v>1</v>
      </c>
      <c r="F1681">
        <f>D1681*E1681*1</f>
        <v>1</v>
      </c>
      <c r="G1681">
        <f>1</f>
        <v>1</v>
      </c>
      <c r="H16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1680)&amp;"|",All_Questions_Q_STREAM_F_wrapped)),1,0),0))*1</f>
        <v>1</v>
      </c>
    </row>
    <row r="1682">
      <c r="A1682" t="n">
        <v>1681</v>
      </c>
      <c r="B1682" t="inlineStr">
        <is>
          <t>A</t>
        </is>
      </c>
      <c r="C1682">
        <f>1</f>
        <v>1</v>
      </c>
      <c r="D1682">
        <f>IF(OR(F_Custom1_Q="(None)",F_Custom1_Q="",ISBLANK(F_Custom1_Q),F_Custom1_V="(All)",F_Custom1_V="",ISBLANK(F_Custom1_V)),1,IFERROR(IF(ISNUMBER(SEARCH("|"&amp;INDEX(INDIRECT(F_Custom1_resolved_column),1681)&amp;"|",F_Custom1_wrapped)),1,0),0))</f>
        <v>1</v>
      </c>
      <c r="E1682">
        <f>IF(OR(F_Custom2_Q="(None)",F_Custom2_Q="",ISBLANK(F_Custom2_Q),F_Custom2_V="(All)",F_Custom2_V="",ISBLANK(F_Custom2_V)),1,IFERROR(IF(ISNUMBER(SEARCH("|"&amp;INDEX(INDIRECT(F_Custom2_resolved_column),1681)&amp;"|",F_Custom2_wrapped)),1,0),0))</f>
        <v>1</v>
      </c>
      <c r="F1682">
        <f>D1682*E1682*1</f>
        <v>1</v>
      </c>
      <c r="G1682">
        <f>1</f>
        <v>1</v>
      </c>
      <c r="H16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1681)&amp;"|",All_Questions_Q_STREAM_F_wrapped)),1,0),0))*1</f>
        <v>1</v>
      </c>
    </row>
    <row r="1683">
      <c r="A1683" t="n">
        <v>1682</v>
      </c>
      <c r="B1683" t="inlineStr">
        <is>
          <t>B</t>
        </is>
      </c>
      <c r="C1683">
        <f>1</f>
        <v>1</v>
      </c>
      <c r="D1683">
        <f>IF(OR(F_Custom1_Q="(None)",F_Custom1_Q="",ISBLANK(F_Custom1_Q),F_Custom1_V="(All)",F_Custom1_V="",ISBLANK(F_Custom1_V)),1,IFERROR(IF(ISNUMBER(SEARCH("|"&amp;INDEX(INDIRECT(F_Custom1_resolved_column),1682)&amp;"|",F_Custom1_wrapped)),1,0),0))</f>
        <v>1</v>
      </c>
      <c r="E1683">
        <f>IF(OR(F_Custom2_Q="(None)",F_Custom2_Q="",ISBLANK(F_Custom2_Q),F_Custom2_V="(All)",F_Custom2_V="",ISBLANK(F_Custom2_V)),1,IFERROR(IF(ISNUMBER(SEARCH("|"&amp;INDEX(INDIRECT(F_Custom2_resolved_column),1682)&amp;"|",F_Custom2_wrapped)),1,0),0))</f>
        <v>1</v>
      </c>
      <c r="F1683">
        <f>D1683*E1683*1</f>
        <v>1</v>
      </c>
      <c r="G1683">
        <f>1</f>
        <v>1</v>
      </c>
      <c r="H16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1682)&amp;"|",All_Questions_Q_STREAM_F_wrapped)),1,0),0))*1</f>
        <v>1</v>
      </c>
    </row>
    <row r="1684">
      <c r="A1684" t="n">
        <v>1683</v>
      </c>
      <c r="B1684" t="inlineStr">
        <is>
          <t>A</t>
        </is>
      </c>
      <c r="C1684">
        <f>1</f>
        <v>1</v>
      </c>
      <c r="D1684">
        <f>IF(OR(F_Custom1_Q="(None)",F_Custom1_Q="",ISBLANK(F_Custom1_Q),F_Custom1_V="(All)",F_Custom1_V="",ISBLANK(F_Custom1_V)),1,IFERROR(IF(ISNUMBER(SEARCH("|"&amp;INDEX(INDIRECT(F_Custom1_resolved_column),1683)&amp;"|",F_Custom1_wrapped)),1,0),0))</f>
        <v>1</v>
      </c>
      <c r="E1684">
        <f>IF(OR(F_Custom2_Q="(None)",F_Custom2_Q="",ISBLANK(F_Custom2_Q),F_Custom2_V="(All)",F_Custom2_V="",ISBLANK(F_Custom2_V)),1,IFERROR(IF(ISNUMBER(SEARCH("|"&amp;INDEX(INDIRECT(F_Custom2_resolved_column),1683)&amp;"|",F_Custom2_wrapped)),1,0),0))</f>
        <v>1</v>
      </c>
      <c r="F1684">
        <f>D1684*E1684*1</f>
        <v>1</v>
      </c>
      <c r="G1684">
        <f>1</f>
        <v>1</v>
      </c>
      <c r="H16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1683)&amp;"|",All_Questions_Q_STREAM_F_wrapped)),1,0),0))*1</f>
        <v>1</v>
      </c>
    </row>
    <row r="1685">
      <c r="A1685" t="n">
        <v>1684</v>
      </c>
      <c r="B1685" t="inlineStr">
        <is>
          <t>B</t>
        </is>
      </c>
      <c r="C1685">
        <f>1</f>
        <v>1</v>
      </c>
      <c r="D1685">
        <f>IF(OR(F_Custom1_Q="(None)",F_Custom1_Q="",ISBLANK(F_Custom1_Q),F_Custom1_V="(All)",F_Custom1_V="",ISBLANK(F_Custom1_V)),1,IFERROR(IF(ISNUMBER(SEARCH("|"&amp;INDEX(INDIRECT(F_Custom1_resolved_column),1684)&amp;"|",F_Custom1_wrapped)),1,0),0))</f>
        <v>1</v>
      </c>
      <c r="E1685">
        <f>IF(OR(F_Custom2_Q="(None)",F_Custom2_Q="",ISBLANK(F_Custom2_Q),F_Custom2_V="(All)",F_Custom2_V="",ISBLANK(F_Custom2_V)),1,IFERROR(IF(ISNUMBER(SEARCH("|"&amp;INDEX(INDIRECT(F_Custom2_resolved_column),1684)&amp;"|",F_Custom2_wrapped)),1,0),0))</f>
        <v>1</v>
      </c>
      <c r="F1685">
        <f>D1685*E1685*1</f>
        <v>1</v>
      </c>
      <c r="G1685">
        <f>1</f>
        <v>1</v>
      </c>
      <c r="H16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1684)&amp;"|",All_Questions_Q_STREAM_F_wrapped)),1,0),0))*1</f>
        <v>1</v>
      </c>
    </row>
    <row r="1686">
      <c r="A1686" t="n">
        <v>1685</v>
      </c>
      <c r="B1686" t="inlineStr">
        <is>
          <t>A</t>
        </is>
      </c>
      <c r="C1686">
        <f>1</f>
        <v>1</v>
      </c>
      <c r="D1686">
        <f>IF(OR(F_Custom1_Q="(None)",F_Custom1_Q="",ISBLANK(F_Custom1_Q),F_Custom1_V="(All)",F_Custom1_V="",ISBLANK(F_Custom1_V)),1,IFERROR(IF(ISNUMBER(SEARCH("|"&amp;INDEX(INDIRECT(F_Custom1_resolved_column),1685)&amp;"|",F_Custom1_wrapped)),1,0),0))</f>
        <v>1</v>
      </c>
      <c r="E1686">
        <f>IF(OR(F_Custom2_Q="(None)",F_Custom2_Q="",ISBLANK(F_Custom2_Q),F_Custom2_V="(All)",F_Custom2_V="",ISBLANK(F_Custom2_V)),1,IFERROR(IF(ISNUMBER(SEARCH("|"&amp;INDEX(INDIRECT(F_Custom2_resolved_column),1685)&amp;"|",F_Custom2_wrapped)),1,0),0))</f>
        <v>1</v>
      </c>
      <c r="F1686">
        <f>D1686*E1686*1</f>
        <v>1</v>
      </c>
      <c r="G1686">
        <f>1</f>
        <v>1</v>
      </c>
      <c r="H16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1685)&amp;"|",All_Questions_Q_STREAM_F_wrapped)),1,0),0))*1</f>
        <v>1</v>
      </c>
    </row>
    <row r="1687">
      <c r="A1687" t="n">
        <v>1686</v>
      </c>
      <c r="B1687" t="inlineStr">
        <is>
          <t>B</t>
        </is>
      </c>
      <c r="C1687">
        <f>1</f>
        <v>1</v>
      </c>
      <c r="D1687">
        <f>IF(OR(F_Custom1_Q="(None)",F_Custom1_Q="",ISBLANK(F_Custom1_Q),F_Custom1_V="(All)",F_Custom1_V="",ISBLANK(F_Custom1_V)),1,IFERROR(IF(ISNUMBER(SEARCH("|"&amp;INDEX(INDIRECT(F_Custom1_resolved_column),1686)&amp;"|",F_Custom1_wrapped)),1,0),0))</f>
        <v>1</v>
      </c>
      <c r="E1687">
        <f>IF(OR(F_Custom2_Q="(None)",F_Custom2_Q="",ISBLANK(F_Custom2_Q),F_Custom2_V="(All)",F_Custom2_V="",ISBLANK(F_Custom2_V)),1,IFERROR(IF(ISNUMBER(SEARCH("|"&amp;INDEX(INDIRECT(F_Custom2_resolved_column),1686)&amp;"|",F_Custom2_wrapped)),1,0),0))</f>
        <v>1</v>
      </c>
      <c r="F1687">
        <f>D1687*E1687*1</f>
        <v>1</v>
      </c>
      <c r="G1687">
        <f>1</f>
        <v>1</v>
      </c>
      <c r="H16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1686)&amp;"|",All_Questions_Q_STREAM_F_wrapped)),1,0),0))*1</f>
        <v>1</v>
      </c>
    </row>
    <row r="1688">
      <c r="A1688" t="n">
        <v>1687</v>
      </c>
      <c r="B1688" t="inlineStr">
        <is>
          <t>A</t>
        </is>
      </c>
      <c r="C1688">
        <f>1</f>
        <v>1</v>
      </c>
      <c r="D1688">
        <f>IF(OR(F_Custom1_Q="(None)",F_Custom1_Q="",ISBLANK(F_Custom1_Q),F_Custom1_V="(All)",F_Custom1_V="",ISBLANK(F_Custom1_V)),1,IFERROR(IF(ISNUMBER(SEARCH("|"&amp;INDEX(INDIRECT(F_Custom1_resolved_column),1687)&amp;"|",F_Custom1_wrapped)),1,0),0))</f>
        <v>1</v>
      </c>
      <c r="E1688">
        <f>IF(OR(F_Custom2_Q="(None)",F_Custom2_Q="",ISBLANK(F_Custom2_Q),F_Custom2_V="(All)",F_Custom2_V="",ISBLANK(F_Custom2_V)),1,IFERROR(IF(ISNUMBER(SEARCH("|"&amp;INDEX(INDIRECT(F_Custom2_resolved_column),1687)&amp;"|",F_Custom2_wrapped)),1,0),0))</f>
        <v>1</v>
      </c>
      <c r="F1688">
        <f>D1688*E1688*1</f>
        <v>1</v>
      </c>
      <c r="G1688">
        <f>1</f>
        <v>1</v>
      </c>
      <c r="H16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1687)&amp;"|",All_Questions_Q_STREAM_F_wrapped)),1,0),0))*1</f>
        <v>1</v>
      </c>
    </row>
    <row r="1689">
      <c r="A1689" t="n">
        <v>1688</v>
      </c>
      <c r="B1689" t="inlineStr">
        <is>
          <t>B</t>
        </is>
      </c>
      <c r="C1689">
        <f>1</f>
        <v>1</v>
      </c>
      <c r="D1689">
        <f>IF(OR(F_Custom1_Q="(None)",F_Custom1_Q="",ISBLANK(F_Custom1_Q),F_Custom1_V="(All)",F_Custom1_V="",ISBLANK(F_Custom1_V)),1,IFERROR(IF(ISNUMBER(SEARCH("|"&amp;INDEX(INDIRECT(F_Custom1_resolved_column),1688)&amp;"|",F_Custom1_wrapped)),1,0),0))</f>
        <v>1</v>
      </c>
      <c r="E1689">
        <f>IF(OR(F_Custom2_Q="(None)",F_Custom2_Q="",ISBLANK(F_Custom2_Q),F_Custom2_V="(All)",F_Custom2_V="",ISBLANK(F_Custom2_V)),1,IFERROR(IF(ISNUMBER(SEARCH("|"&amp;INDEX(INDIRECT(F_Custom2_resolved_column),1688)&amp;"|",F_Custom2_wrapped)),1,0),0))</f>
        <v>1</v>
      </c>
      <c r="F1689">
        <f>D1689*E1689*1</f>
        <v>1</v>
      </c>
      <c r="G1689">
        <f>1</f>
        <v>1</v>
      </c>
      <c r="H16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1688)&amp;"|",All_Questions_Q_STREAM_F_wrapped)),1,0),0))*1</f>
        <v>1</v>
      </c>
    </row>
    <row r="1690">
      <c r="A1690" t="n">
        <v>1689</v>
      </c>
      <c r="B1690" t="inlineStr">
        <is>
          <t>A</t>
        </is>
      </c>
      <c r="C1690">
        <f>1</f>
        <v>1</v>
      </c>
      <c r="D1690">
        <f>IF(OR(F_Custom1_Q="(None)",F_Custom1_Q="",ISBLANK(F_Custom1_Q),F_Custom1_V="(All)",F_Custom1_V="",ISBLANK(F_Custom1_V)),1,IFERROR(IF(ISNUMBER(SEARCH("|"&amp;INDEX(INDIRECT(F_Custom1_resolved_column),1689)&amp;"|",F_Custom1_wrapped)),1,0),0))</f>
        <v>1</v>
      </c>
      <c r="E1690">
        <f>IF(OR(F_Custom2_Q="(None)",F_Custom2_Q="",ISBLANK(F_Custom2_Q),F_Custom2_V="(All)",F_Custom2_V="",ISBLANK(F_Custom2_V)),1,IFERROR(IF(ISNUMBER(SEARCH("|"&amp;INDEX(INDIRECT(F_Custom2_resolved_column),1689)&amp;"|",F_Custom2_wrapped)),1,0),0))</f>
        <v>1</v>
      </c>
      <c r="F1690">
        <f>D1690*E1690*1</f>
        <v>1</v>
      </c>
      <c r="G1690">
        <f>1</f>
        <v>1</v>
      </c>
      <c r="H16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1689)&amp;"|",All_Questions_Q_STREAM_F_wrapped)),1,0),0))*1</f>
        <v>1</v>
      </c>
    </row>
    <row r="1691">
      <c r="A1691" t="n">
        <v>1690</v>
      </c>
      <c r="B1691" t="inlineStr">
        <is>
          <t>B</t>
        </is>
      </c>
      <c r="C1691">
        <f>1</f>
        <v>1</v>
      </c>
      <c r="D1691">
        <f>IF(OR(F_Custom1_Q="(None)",F_Custom1_Q="",ISBLANK(F_Custom1_Q),F_Custom1_V="(All)",F_Custom1_V="",ISBLANK(F_Custom1_V)),1,IFERROR(IF(ISNUMBER(SEARCH("|"&amp;INDEX(INDIRECT(F_Custom1_resolved_column),1690)&amp;"|",F_Custom1_wrapped)),1,0),0))</f>
        <v>1</v>
      </c>
      <c r="E1691">
        <f>IF(OR(F_Custom2_Q="(None)",F_Custom2_Q="",ISBLANK(F_Custom2_Q),F_Custom2_V="(All)",F_Custom2_V="",ISBLANK(F_Custom2_V)),1,IFERROR(IF(ISNUMBER(SEARCH("|"&amp;INDEX(INDIRECT(F_Custom2_resolved_column),1690)&amp;"|",F_Custom2_wrapped)),1,0),0))</f>
        <v>1</v>
      </c>
      <c r="F1691">
        <f>D1691*E1691*1</f>
        <v>1</v>
      </c>
      <c r="G1691">
        <f>1</f>
        <v>1</v>
      </c>
      <c r="H16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1690)&amp;"|",All_Questions_Q_STREAM_F_wrapped)),1,0),0))*1</f>
        <v>1</v>
      </c>
    </row>
    <row r="1692">
      <c r="A1692" t="n">
        <v>1691</v>
      </c>
      <c r="B1692" t="inlineStr">
        <is>
          <t>A</t>
        </is>
      </c>
      <c r="C1692">
        <f>1</f>
        <v>1</v>
      </c>
      <c r="D1692">
        <f>IF(OR(F_Custom1_Q="(None)",F_Custom1_Q="",ISBLANK(F_Custom1_Q),F_Custom1_V="(All)",F_Custom1_V="",ISBLANK(F_Custom1_V)),1,IFERROR(IF(ISNUMBER(SEARCH("|"&amp;INDEX(INDIRECT(F_Custom1_resolved_column),1691)&amp;"|",F_Custom1_wrapped)),1,0),0))</f>
        <v>1</v>
      </c>
      <c r="E1692">
        <f>IF(OR(F_Custom2_Q="(None)",F_Custom2_Q="",ISBLANK(F_Custom2_Q),F_Custom2_V="(All)",F_Custom2_V="",ISBLANK(F_Custom2_V)),1,IFERROR(IF(ISNUMBER(SEARCH("|"&amp;INDEX(INDIRECT(F_Custom2_resolved_column),1691)&amp;"|",F_Custom2_wrapped)),1,0),0))</f>
        <v>1</v>
      </c>
      <c r="F1692">
        <f>D1692*E1692*1</f>
        <v>1</v>
      </c>
      <c r="G1692">
        <f>1</f>
        <v>1</v>
      </c>
      <c r="H16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1691)&amp;"|",All_Questions_Q_STREAM_F_wrapped)),1,0),0))*1</f>
        <v>1</v>
      </c>
    </row>
    <row r="1693">
      <c r="A1693" t="n">
        <v>1692</v>
      </c>
      <c r="B1693" t="inlineStr">
        <is>
          <t>B</t>
        </is>
      </c>
      <c r="C1693">
        <f>1</f>
        <v>1</v>
      </c>
      <c r="D1693">
        <f>IF(OR(F_Custom1_Q="(None)",F_Custom1_Q="",ISBLANK(F_Custom1_Q),F_Custom1_V="(All)",F_Custom1_V="",ISBLANK(F_Custom1_V)),1,IFERROR(IF(ISNUMBER(SEARCH("|"&amp;INDEX(INDIRECT(F_Custom1_resolved_column),1692)&amp;"|",F_Custom1_wrapped)),1,0),0))</f>
        <v>1</v>
      </c>
      <c r="E1693">
        <f>IF(OR(F_Custom2_Q="(None)",F_Custom2_Q="",ISBLANK(F_Custom2_Q),F_Custom2_V="(All)",F_Custom2_V="",ISBLANK(F_Custom2_V)),1,IFERROR(IF(ISNUMBER(SEARCH("|"&amp;INDEX(INDIRECT(F_Custom2_resolved_column),1692)&amp;"|",F_Custom2_wrapped)),1,0),0))</f>
        <v>1</v>
      </c>
      <c r="F1693">
        <f>D1693*E1693*1</f>
        <v>1</v>
      </c>
      <c r="G1693">
        <f>1</f>
        <v>1</v>
      </c>
      <c r="H16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1692)&amp;"|",All_Questions_Q_STREAM_F_wrapped)),1,0),0))*1</f>
        <v>1</v>
      </c>
    </row>
    <row r="1694">
      <c r="A1694" t="n">
        <v>1693</v>
      </c>
      <c r="B1694" t="inlineStr">
        <is>
          <t>A</t>
        </is>
      </c>
      <c r="C1694">
        <f>1</f>
        <v>1</v>
      </c>
      <c r="D1694">
        <f>IF(OR(F_Custom1_Q="(None)",F_Custom1_Q="",ISBLANK(F_Custom1_Q),F_Custom1_V="(All)",F_Custom1_V="",ISBLANK(F_Custom1_V)),1,IFERROR(IF(ISNUMBER(SEARCH("|"&amp;INDEX(INDIRECT(F_Custom1_resolved_column),1693)&amp;"|",F_Custom1_wrapped)),1,0),0))</f>
        <v>1</v>
      </c>
      <c r="E1694">
        <f>IF(OR(F_Custom2_Q="(None)",F_Custom2_Q="",ISBLANK(F_Custom2_Q),F_Custom2_V="(All)",F_Custom2_V="",ISBLANK(F_Custom2_V)),1,IFERROR(IF(ISNUMBER(SEARCH("|"&amp;INDEX(INDIRECT(F_Custom2_resolved_column),1693)&amp;"|",F_Custom2_wrapped)),1,0),0))</f>
        <v>1</v>
      </c>
      <c r="F1694">
        <f>D1694*E1694*1</f>
        <v>1</v>
      </c>
      <c r="G1694">
        <f>1</f>
        <v>1</v>
      </c>
      <c r="H16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1693)&amp;"|",All_Questions_Q_STREAM_F_wrapped)),1,0),0))*1</f>
        <v>1</v>
      </c>
    </row>
    <row r="1695">
      <c r="A1695" t="n">
        <v>1694</v>
      </c>
      <c r="B1695" t="inlineStr">
        <is>
          <t>B</t>
        </is>
      </c>
      <c r="C1695">
        <f>1</f>
        <v>1</v>
      </c>
      <c r="D1695">
        <f>IF(OR(F_Custom1_Q="(None)",F_Custom1_Q="",ISBLANK(F_Custom1_Q),F_Custom1_V="(All)",F_Custom1_V="",ISBLANK(F_Custom1_V)),1,IFERROR(IF(ISNUMBER(SEARCH("|"&amp;INDEX(INDIRECT(F_Custom1_resolved_column),1694)&amp;"|",F_Custom1_wrapped)),1,0),0))</f>
        <v>1</v>
      </c>
      <c r="E1695">
        <f>IF(OR(F_Custom2_Q="(None)",F_Custom2_Q="",ISBLANK(F_Custom2_Q),F_Custom2_V="(All)",F_Custom2_V="",ISBLANK(F_Custom2_V)),1,IFERROR(IF(ISNUMBER(SEARCH("|"&amp;INDEX(INDIRECT(F_Custom2_resolved_column),1694)&amp;"|",F_Custom2_wrapped)),1,0),0))</f>
        <v>1</v>
      </c>
      <c r="F1695">
        <f>D1695*E1695*1</f>
        <v>1</v>
      </c>
      <c r="G1695">
        <f>1</f>
        <v>1</v>
      </c>
      <c r="H16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1694)&amp;"|",All_Questions_Q_STREAM_F_wrapped)),1,0),0))*1</f>
        <v>1</v>
      </c>
    </row>
    <row r="1696">
      <c r="A1696" t="n">
        <v>1695</v>
      </c>
      <c r="B1696" t="inlineStr">
        <is>
          <t>A</t>
        </is>
      </c>
      <c r="C1696">
        <f>1</f>
        <v>1</v>
      </c>
      <c r="D1696">
        <f>IF(OR(F_Custom1_Q="(None)",F_Custom1_Q="",ISBLANK(F_Custom1_Q),F_Custom1_V="(All)",F_Custom1_V="",ISBLANK(F_Custom1_V)),1,IFERROR(IF(ISNUMBER(SEARCH("|"&amp;INDEX(INDIRECT(F_Custom1_resolved_column),1695)&amp;"|",F_Custom1_wrapped)),1,0),0))</f>
        <v>1</v>
      </c>
      <c r="E1696">
        <f>IF(OR(F_Custom2_Q="(None)",F_Custom2_Q="",ISBLANK(F_Custom2_Q),F_Custom2_V="(All)",F_Custom2_V="",ISBLANK(F_Custom2_V)),1,IFERROR(IF(ISNUMBER(SEARCH("|"&amp;INDEX(INDIRECT(F_Custom2_resolved_column),1695)&amp;"|",F_Custom2_wrapped)),1,0),0))</f>
        <v>1</v>
      </c>
      <c r="F1696">
        <f>D1696*E1696*1</f>
        <v>1</v>
      </c>
      <c r="G1696">
        <f>1</f>
        <v>1</v>
      </c>
      <c r="H16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1695)&amp;"|",All_Questions_Q_STREAM_F_wrapped)),1,0),0))*1</f>
        <v>1</v>
      </c>
    </row>
    <row r="1697">
      <c r="A1697" t="n">
        <v>1696</v>
      </c>
      <c r="B1697" t="inlineStr">
        <is>
          <t>B</t>
        </is>
      </c>
      <c r="C1697">
        <f>1</f>
        <v>1</v>
      </c>
      <c r="D1697">
        <f>IF(OR(F_Custom1_Q="(None)",F_Custom1_Q="",ISBLANK(F_Custom1_Q),F_Custom1_V="(All)",F_Custom1_V="",ISBLANK(F_Custom1_V)),1,IFERROR(IF(ISNUMBER(SEARCH("|"&amp;INDEX(INDIRECT(F_Custom1_resolved_column),1696)&amp;"|",F_Custom1_wrapped)),1,0),0))</f>
        <v>1</v>
      </c>
      <c r="E1697">
        <f>IF(OR(F_Custom2_Q="(None)",F_Custom2_Q="",ISBLANK(F_Custom2_Q),F_Custom2_V="(All)",F_Custom2_V="",ISBLANK(F_Custom2_V)),1,IFERROR(IF(ISNUMBER(SEARCH("|"&amp;INDEX(INDIRECT(F_Custom2_resolved_column),1696)&amp;"|",F_Custom2_wrapped)),1,0),0))</f>
        <v>1</v>
      </c>
      <c r="F1697">
        <f>D1697*E1697*1</f>
        <v>1</v>
      </c>
      <c r="G1697">
        <f>1</f>
        <v>1</v>
      </c>
      <c r="H16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1696)&amp;"|",All_Questions_Q_STREAM_F_wrapped)),1,0),0))*1</f>
        <v>1</v>
      </c>
    </row>
    <row r="1698">
      <c r="A1698" t="n">
        <v>1697</v>
      </c>
      <c r="B1698" t="inlineStr">
        <is>
          <t>A</t>
        </is>
      </c>
      <c r="C1698">
        <f>1</f>
        <v>1</v>
      </c>
      <c r="D1698">
        <f>IF(OR(F_Custom1_Q="(None)",F_Custom1_Q="",ISBLANK(F_Custom1_Q),F_Custom1_V="(All)",F_Custom1_V="",ISBLANK(F_Custom1_V)),1,IFERROR(IF(ISNUMBER(SEARCH("|"&amp;INDEX(INDIRECT(F_Custom1_resolved_column),1697)&amp;"|",F_Custom1_wrapped)),1,0),0))</f>
        <v>1</v>
      </c>
      <c r="E1698">
        <f>IF(OR(F_Custom2_Q="(None)",F_Custom2_Q="",ISBLANK(F_Custom2_Q),F_Custom2_V="(All)",F_Custom2_V="",ISBLANK(F_Custom2_V)),1,IFERROR(IF(ISNUMBER(SEARCH("|"&amp;INDEX(INDIRECT(F_Custom2_resolved_column),1697)&amp;"|",F_Custom2_wrapped)),1,0),0))</f>
        <v>1</v>
      </c>
      <c r="F1698">
        <f>D1698*E1698*1</f>
        <v>1</v>
      </c>
      <c r="G1698">
        <f>1</f>
        <v>1</v>
      </c>
      <c r="H16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1697)&amp;"|",All_Questions_Q_STREAM_F_wrapped)),1,0),0))*1</f>
        <v>1</v>
      </c>
    </row>
    <row r="1699">
      <c r="A1699" t="n">
        <v>1698</v>
      </c>
      <c r="B1699" t="inlineStr">
        <is>
          <t>B</t>
        </is>
      </c>
      <c r="C1699">
        <f>1</f>
        <v>1</v>
      </c>
      <c r="D1699">
        <f>IF(OR(F_Custom1_Q="(None)",F_Custom1_Q="",ISBLANK(F_Custom1_Q),F_Custom1_V="(All)",F_Custom1_V="",ISBLANK(F_Custom1_V)),1,IFERROR(IF(ISNUMBER(SEARCH("|"&amp;INDEX(INDIRECT(F_Custom1_resolved_column),1698)&amp;"|",F_Custom1_wrapped)),1,0),0))</f>
        <v>1</v>
      </c>
      <c r="E1699">
        <f>IF(OR(F_Custom2_Q="(None)",F_Custom2_Q="",ISBLANK(F_Custom2_Q),F_Custom2_V="(All)",F_Custom2_V="",ISBLANK(F_Custom2_V)),1,IFERROR(IF(ISNUMBER(SEARCH("|"&amp;INDEX(INDIRECT(F_Custom2_resolved_column),1698)&amp;"|",F_Custom2_wrapped)),1,0),0))</f>
        <v>1</v>
      </c>
      <c r="F1699">
        <f>D1699*E1699*1</f>
        <v>1</v>
      </c>
      <c r="G1699">
        <f>1</f>
        <v>1</v>
      </c>
      <c r="H16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1698)&amp;"|",All_Questions_Q_STREAM_F_wrapped)),1,0),0))*1</f>
        <v>1</v>
      </c>
    </row>
    <row r="1700">
      <c r="A1700" t="n">
        <v>1699</v>
      </c>
      <c r="B1700" t="inlineStr">
        <is>
          <t>A</t>
        </is>
      </c>
      <c r="C1700">
        <f>1</f>
        <v>1</v>
      </c>
      <c r="D1700">
        <f>IF(OR(F_Custom1_Q="(None)",F_Custom1_Q="",ISBLANK(F_Custom1_Q),F_Custom1_V="(All)",F_Custom1_V="",ISBLANK(F_Custom1_V)),1,IFERROR(IF(ISNUMBER(SEARCH("|"&amp;INDEX(INDIRECT(F_Custom1_resolved_column),1699)&amp;"|",F_Custom1_wrapped)),1,0),0))</f>
        <v>1</v>
      </c>
      <c r="E1700">
        <f>IF(OR(F_Custom2_Q="(None)",F_Custom2_Q="",ISBLANK(F_Custom2_Q),F_Custom2_V="(All)",F_Custom2_V="",ISBLANK(F_Custom2_V)),1,IFERROR(IF(ISNUMBER(SEARCH("|"&amp;INDEX(INDIRECT(F_Custom2_resolved_column),1699)&amp;"|",F_Custom2_wrapped)),1,0),0))</f>
        <v>1</v>
      </c>
      <c r="F1700">
        <f>D1700*E1700*1</f>
        <v>1</v>
      </c>
      <c r="G1700">
        <f>1</f>
        <v>1</v>
      </c>
      <c r="H17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1699)&amp;"|",All_Questions_Q_STREAM_F_wrapped)),1,0),0))*1</f>
        <v>1</v>
      </c>
    </row>
    <row r="1701">
      <c r="A1701" t="n">
        <v>1700</v>
      </c>
      <c r="B1701" t="inlineStr">
        <is>
          <t>B</t>
        </is>
      </c>
      <c r="C1701">
        <f>1</f>
        <v>1</v>
      </c>
      <c r="D1701">
        <f>IF(OR(F_Custom1_Q="(None)",F_Custom1_Q="",ISBLANK(F_Custom1_Q),F_Custom1_V="(All)",F_Custom1_V="",ISBLANK(F_Custom1_V)),1,IFERROR(IF(ISNUMBER(SEARCH("|"&amp;INDEX(INDIRECT(F_Custom1_resolved_column),1700)&amp;"|",F_Custom1_wrapped)),1,0),0))</f>
        <v>1</v>
      </c>
      <c r="E1701">
        <f>IF(OR(F_Custom2_Q="(None)",F_Custom2_Q="",ISBLANK(F_Custom2_Q),F_Custom2_V="(All)",F_Custom2_V="",ISBLANK(F_Custom2_V)),1,IFERROR(IF(ISNUMBER(SEARCH("|"&amp;INDEX(INDIRECT(F_Custom2_resolved_column),1700)&amp;"|",F_Custom2_wrapped)),1,0),0))</f>
        <v>1</v>
      </c>
      <c r="F1701">
        <f>D1701*E1701*1</f>
        <v>1</v>
      </c>
      <c r="G1701">
        <f>1</f>
        <v>1</v>
      </c>
      <c r="H17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1700)&amp;"|",All_Questions_Q_STREAM_F_wrapped)),1,0),0))*1</f>
        <v>1</v>
      </c>
    </row>
    <row r="1702">
      <c r="A1702" t="n">
        <v>1701</v>
      </c>
      <c r="B1702" t="inlineStr">
        <is>
          <t>A</t>
        </is>
      </c>
      <c r="C1702">
        <f>1</f>
        <v>1</v>
      </c>
      <c r="D1702">
        <f>IF(OR(F_Custom1_Q="(None)",F_Custom1_Q="",ISBLANK(F_Custom1_Q),F_Custom1_V="(All)",F_Custom1_V="",ISBLANK(F_Custom1_V)),1,IFERROR(IF(ISNUMBER(SEARCH("|"&amp;INDEX(INDIRECT(F_Custom1_resolved_column),1701)&amp;"|",F_Custom1_wrapped)),1,0),0))</f>
        <v>1</v>
      </c>
      <c r="E1702">
        <f>IF(OR(F_Custom2_Q="(None)",F_Custom2_Q="",ISBLANK(F_Custom2_Q),F_Custom2_V="(All)",F_Custom2_V="",ISBLANK(F_Custom2_V)),1,IFERROR(IF(ISNUMBER(SEARCH("|"&amp;INDEX(INDIRECT(F_Custom2_resolved_column),1701)&amp;"|",F_Custom2_wrapped)),1,0),0))</f>
        <v>1</v>
      </c>
      <c r="F1702">
        <f>D1702*E1702*1</f>
        <v>1</v>
      </c>
      <c r="G1702">
        <f>1</f>
        <v>1</v>
      </c>
      <c r="H17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1701)&amp;"|",All_Questions_Q_STREAM_F_wrapped)),1,0),0))*1</f>
        <v>1</v>
      </c>
    </row>
    <row r="1703">
      <c r="A1703" t="n">
        <v>1702</v>
      </c>
      <c r="B1703" t="inlineStr">
        <is>
          <t>B</t>
        </is>
      </c>
      <c r="C1703">
        <f>1</f>
        <v>1</v>
      </c>
      <c r="D1703">
        <f>IF(OR(F_Custom1_Q="(None)",F_Custom1_Q="",ISBLANK(F_Custom1_Q),F_Custom1_V="(All)",F_Custom1_V="",ISBLANK(F_Custom1_V)),1,IFERROR(IF(ISNUMBER(SEARCH("|"&amp;INDEX(INDIRECT(F_Custom1_resolved_column),1702)&amp;"|",F_Custom1_wrapped)),1,0),0))</f>
        <v>1</v>
      </c>
      <c r="E1703">
        <f>IF(OR(F_Custom2_Q="(None)",F_Custom2_Q="",ISBLANK(F_Custom2_Q),F_Custom2_V="(All)",F_Custom2_V="",ISBLANK(F_Custom2_V)),1,IFERROR(IF(ISNUMBER(SEARCH("|"&amp;INDEX(INDIRECT(F_Custom2_resolved_column),1702)&amp;"|",F_Custom2_wrapped)),1,0),0))</f>
        <v>1</v>
      </c>
      <c r="F1703">
        <f>D1703*E1703*1</f>
        <v>1</v>
      </c>
      <c r="G1703">
        <f>1</f>
        <v>1</v>
      </c>
      <c r="H17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1702)&amp;"|",All_Questions_Q_STREAM_F_wrapped)),1,0),0))*1</f>
        <v>1</v>
      </c>
    </row>
    <row r="1704">
      <c r="A1704" t="n">
        <v>1703</v>
      </c>
      <c r="B1704" t="inlineStr">
        <is>
          <t>A</t>
        </is>
      </c>
      <c r="C1704">
        <f>1</f>
        <v>1</v>
      </c>
      <c r="D1704">
        <f>IF(OR(F_Custom1_Q="(None)",F_Custom1_Q="",ISBLANK(F_Custom1_Q),F_Custom1_V="(All)",F_Custom1_V="",ISBLANK(F_Custom1_V)),1,IFERROR(IF(ISNUMBER(SEARCH("|"&amp;INDEX(INDIRECT(F_Custom1_resolved_column),1703)&amp;"|",F_Custom1_wrapped)),1,0),0))</f>
        <v>1</v>
      </c>
      <c r="E1704">
        <f>IF(OR(F_Custom2_Q="(None)",F_Custom2_Q="",ISBLANK(F_Custom2_Q),F_Custom2_V="(All)",F_Custom2_V="",ISBLANK(F_Custom2_V)),1,IFERROR(IF(ISNUMBER(SEARCH("|"&amp;INDEX(INDIRECT(F_Custom2_resolved_column),1703)&amp;"|",F_Custom2_wrapped)),1,0),0))</f>
        <v>1</v>
      </c>
      <c r="F1704">
        <f>D1704*E1704*1</f>
        <v>1</v>
      </c>
      <c r="G1704">
        <f>1</f>
        <v>1</v>
      </c>
      <c r="H17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1703)&amp;"|",All_Questions_Q_STREAM_F_wrapped)),1,0),0))*1</f>
        <v>1</v>
      </c>
    </row>
    <row r="1705">
      <c r="A1705" t="n">
        <v>1704</v>
      </c>
      <c r="B1705" t="inlineStr">
        <is>
          <t>B</t>
        </is>
      </c>
      <c r="C1705">
        <f>1</f>
        <v>1</v>
      </c>
      <c r="D1705">
        <f>IF(OR(F_Custom1_Q="(None)",F_Custom1_Q="",ISBLANK(F_Custom1_Q),F_Custom1_V="(All)",F_Custom1_V="",ISBLANK(F_Custom1_V)),1,IFERROR(IF(ISNUMBER(SEARCH("|"&amp;INDEX(INDIRECT(F_Custom1_resolved_column),1704)&amp;"|",F_Custom1_wrapped)),1,0),0))</f>
        <v>1</v>
      </c>
      <c r="E1705">
        <f>IF(OR(F_Custom2_Q="(None)",F_Custom2_Q="",ISBLANK(F_Custom2_Q),F_Custom2_V="(All)",F_Custom2_V="",ISBLANK(F_Custom2_V)),1,IFERROR(IF(ISNUMBER(SEARCH("|"&amp;INDEX(INDIRECT(F_Custom2_resolved_column),1704)&amp;"|",F_Custom2_wrapped)),1,0),0))</f>
        <v>1</v>
      </c>
      <c r="F1705">
        <f>D1705*E1705*1</f>
        <v>1</v>
      </c>
      <c r="G1705">
        <f>1</f>
        <v>1</v>
      </c>
      <c r="H17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1704)&amp;"|",All_Questions_Q_STREAM_F_wrapped)),1,0),0))*1</f>
        <v>1</v>
      </c>
    </row>
    <row r="1706">
      <c r="A1706" t="n">
        <v>1705</v>
      </c>
      <c r="B1706" t="inlineStr">
        <is>
          <t>A</t>
        </is>
      </c>
      <c r="C1706">
        <f>1</f>
        <v>1</v>
      </c>
      <c r="D1706">
        <f>IF(OR(F_Custom1_Q="(None)",F_Custom1_Q="",ISBLANK(F_Custom1_Q),F_Custom1_V="(All)",F_Custom1_V="",ISBLANK(F_Custom1_V)),1,IFERROR(IF(ISNUMBER(SEARCH("|"&amp;INDEX(INDIRECT(F_Custom1_resolved_column),1705)&amp;"|",F_Custom1_wrapped)),1,0),0))</f>
        <v>1</v>
      </c>
      <c r="E1706">
        <f>IF(OR(F_Custom2_Q="(None)",F_Custom2_Q="",ISBLANK(F_Custom2_Q),F_Custom2_V="(All)",F_Custom2_V="",ISBLANK(F_Custom2_V)),1,IFERROR(IF(ISNUMBER(SEARCH("|"&amp;INDEX(INDIRECT(F_Custom2_resolved_column),1705)&amp;"|",F_Custom2_wrapped)),1,0),0))</f>
        <v>1</v>
      </c>
      <c r="F1706">
        <f>D1706*E1706*1</f>
        <v>1</v>
      </c>
      <c r="G1706">
        <f>1</f>
        <v>1</v>
      </c>
      <c r="H17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1705)&amp;"|",All_Questions_Q_STREAM_F_wrapped)),1,0),0))*1</f>
        <v>1</v>
      </c>
    </row>
    <row r="1707">
      <c r="A1707" t="n">
        <v>1706</v>
      </c>
      <c r="B1707" t="inlineStr">
        <is>
          <t>B</t>
        </is>
      </c>
      <c r="C1707">
        <f>1</f>
        <v>1</v>
      </c>
      <c r="D1707">
        <f>IF(OR(F_Custom1_Q="(None)",F_Custom1_Q="",ISBLANK(F_Custom1_Q),F_Custom1_V="(All)",F_Custom1_V="",ISBLANK(F_Custom1_V)),1,IFERROR(IF(ISNUMBER(SEARCH("|"&amp;INDEX(INDIRECT(F_Custom1_resolved_column),1706)&amp;"|",F_Custom1_wrapped)),1,0),0))</f>
        <v>1</v>
      </c>
      <c r="E1707">
        <f>IF(OR(F_Custom2_Q="(None)",F_Custom2_Q="",ISBLANK(F_Custom2_Q),F_Custom2_V="(All)",F_Custom2_V="",ISBLANK(F_Custom2_V)),1,IFERROR(IF(ISNUMBER(SEARCH("|"&amp;INDEX(INDIRECT(F_Custom2_resolved_column),1706)&amp;"|",F_Custom2_wrapped)),1,0),0))</f>
        <v>1</v>
      </c>
      <c r="F1707">
        <f>D1707*E1707*1</f>
        <v>1</v>
      </c>
      <c r="G1707">
        <f>1</f>
        <v>1</v>
      </c>
      <c r="H17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1706)&amp;"|",All_Questions_Q_STREAM_F_wrapped)),1,0),0))*1</f>
        <v>1</v>
      </c>
    </row>
    <row r="1708">
      <c r="A1708" t="n">
        <v>1707</v>
      </c>
      <c r="B1708" t="inlineStr">
        <is>
          <t>A</t>
        </is>
      </c>
      <c r="C1708">
        <f>1</f>
        <v>1</v>
      </c>
      <c r="D1708">
        <f>IF(OR(F_Custom1_Q="(None)",F_Custom1_Q="",ISBLANK(F_Custom1_Q),F_Custom1_V="(All)",F_Custom1_V="",ISBLANK(F_Custom1_V)),1,IFERROR(IF(ISNUMBER(SEARCH("|"&amp;INDEX(INDIRECT(F_Custom1_resolved_column),1707)&amp;"|",F_Custom1_wrapped)),1,0),0))</f>
        <v>1</v>
      </c>
      <c r="E1708">
        <f>IF(OR(F_Custom2_Q="(None)",F_Custom2_Q="",ISBLANK(F_Custom2_Q),F_Custom2_V="(All)",F_Custom2_V="",ISBLANK(F_Custom2_V)),1,IFERROR(IF(ISNUMBER(SEARCH("|"&amp;INDEX(INDIRECT(F_Custom2_resolved_column),1707)&amp;"|",F_Custom2_wrapped)),1,0),0))</f>
        <v>1</v>
      </c>
      <c r="F1708">
        <f>D1708*E1708*1</f>
        <v>1</v>
      </c>
      <c r="G1708">
        <f>1</f>
        <v>1</v>
      </c>
      <c r="H17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1707)&amp;"|",All_Questions_Q_STREAM_F_wrapped)),1,0),0))*1</f>
        <v>1</v>
      </c>
    </row>
    <row r="1709">
      <c r="A1709" t="n">
        <v>1708</v>
      </c>
      <c r="B1709" t="inlineStr">
        <is>
          <t>B</t>
        </is>
      </c>
      <c r="C1709">
        <f>1</f>
        <v>1</v>
      </c>
      <c r="D1709">
        <f>IF(OR(F_Custom1_Q="(None)",F_Custom1_Q="",ISBLANK(F_Custom1_Q),F_Custom1_V="(All)",F_Custom1_V="",ISBLANK(F_Custom1_V)),1,IFERROR(IF(ISNUMBER(SEARCH("|"&amp;INDEX(INDIRECT(F_Custom1_resolved_column),1708)&amp;"|",F_Custom1_wrapped)),1,0),0))</f>
        <v>1</v>
      </c>
      <c r="E1709">
        <f>IF(OR(F_Custom2_Q="(None)",F_Custom2_Q="",ISBLANK(F_Custom2_Q),F_Custom2_V="(All)",F_Custom2_V="",ISBLANK(F_Custom2_V)),1,IFERROR(IF(ISNUMBER(SEARCH("|"&amp;INDEX(INDIRECT(F_Custom2_resolved_column),1708)&amp;"|",F_Custom2_wrapped)),1,0),0))</f>
        <v>1</v>
      </c>
      <c r="F1709">
        <f>D1709*E1709*1</f>
        <v>1</v>
      </c>
      <c r="G1709">
        <f>1</f>
        <v>1</v>
      </c>
      <c r="H17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1708)&amp;"|",All_Questions_Q_STREAM_F_wrapped)),1,0),0))*1</f>
        <v>1</v>
      </c>
    </row>
    <row r="1710">
      <c r="A1710" t="n">
        <v>1709</v>
      </c>
      <c r="B1710" t="inlineStr">
        <is>
          <t>A</t>
        </is>
      </c>
      <c r="C1710">
        <f>1</f>
        <v>1</v>
      </c>
      <c r="D1710">
        <f>IF(OR(F_Custom1_Q="(None)",F_Custom1_Q="",ISBLANK(F_Custom1_Q),F_Custom1_V="(All)",F_Custom1_V="",ISBLANK(F_Custom1_V)),1,IFERROR(IF(ISNUMBER(SEARCH("|"&amp;INDEX(INDIRECT(F_Custom1_resolved_column),1709)&amp;"|",F_Custom1_wrapped)),1,0),0))</f>
        <v>1</v>
      </c>
      <c r="E1710">
        <f>IF(OR(F_Custom2_Q="(None)",F_Custom2_Q="",ISBLANK(F_Custom2_Q),F_Custom2_V="(All)",F_Custom2_V="",ISBLANK(F_Custom2_V)),1,IFERROR(IF(ISNUMBER(SEARCH("|"&amp;INDEX(INDIRECT(F_Custom2_resolved_column),1709)&amp;"|",F_Custom2_wrapped)),1,0),0))</f>
        <v>1</v>
      </c>
      <c r="F1710">
        <f>D1710*E1710*1</f>
        <v>1</v>
      </c>
      <c r="G1710">
        <f>1</f>
        <v>1</v>
      </c>
      <c r="H17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1709)&amp;"|",All_Questions_Q_STREAM_F_wrapped)),1,0),0))*1</f>
        <v>1</v>
      </c>
    </row>
    <row r="1711">
      <c r="A1711" t="n">
        <v>1710</v>
      </c>
      <c r="B1711" t="inlineStr">
        <is>
          <t>B</t>
        </is>
      </c>
      <c r="C1711">
        <f>1</f>
        <v>1</v>
      </c>
      <c r="D1711">
        <f>IF(OR(F_Custom1_Q="(None)",F_Custom1_Q="",ISBLANK(F_Custom1_Q),F_Custom1_V="(All)",F_Custom1_V="",ISBLANK(F_Custom1_V)),1,IFERROR(IF(ISNUMBER(SEARCH("|"&amp;INDEX(INDIRECT(F_Custom1_resolved_column),1710)&amp;"|",F_Custom1_wrapped)),1,0),0))</f>
        <v>1</v>
      </c>
      <c r="E1711">
        <f>IF(OR(F_Custom2_Q="(None)",F_Custom2_Q="",ISBLANK(F_Custom2_Q),F_Custom2_V="(All)",F_Custom2_V="",ISBLANK(F_Custom2_V)),1,IFERROR(IF(ISNUMBER(SEARCH("|"&amp;INDEX(INDIRECT(F_Custom2_resolved_column),1710)&amp;"|",F_Custom2_wrapped)),1,0),0))</f>
        <v>1</v>
      </c>
      <c r="F1711">
        <f>D1711*E1711*1</f>
        <v>1</v>
      </c>
      <c r="G1711">
        <f>1</f>
        <v>1</v>
      </c>
      <c r="H17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1710)&amp;"|",All_Questions_Q_STREAM_F_wrapped)),1,0),0))*1</f>
        <v>1</v>
      </c>
    </row>
    <row r="1712">
      <c r="A1712" t="n">
        <v>1711</v>
      </c>
      <c r="B1712" t="inlineStr">
        <is>
          <t>A</t>
        </is>
      </c>
      <c r="C1712">
        <f>1</f>
        <v>1</v>
      </c>
      <c r="D1712">
        <f>IF(OR(F_Custom1_Q="(None)",F_Custom1_Q="",ISBLANK(F_Custom1_Q),F_Custom1_V="(All)",F_Custom1_V="",ISBLANK(F_Custom1_V)),1,IFERROR(IF(ISNUMBER(SEARCH("|"&amp;INDEX(INDIRECT(F_Custom1_resolved_column),1711)&amp;"|",F_Custom1_wrapped)),1,0),0))</f>
        <v>1</v>
      </c>
      <c r="E1712">
        <f>IF(OR(F_Custom2_Q="(None)",F_Custom2_Q="",ISBLANK(F_Custom2_Q),F_Custom2_V="(All)",F_Custom2_V="",ISBLANK(F_Custom2_V)),1,IFERROR(IF(ISNUMBER(SEARCH("|"&amp;INDEX(INDIRECT(F_Custom2_resolved_column),1711)&amp;"|",F_Custom2_wrapped)),1,0),0))</f>
        <v>1</v>
      </c>
      <c r="F1712">
        <f>D1712*E1712*1</f>
        <v>1</v>
      </c>
      <c r="G1712">
        <f>1</f>
        <v>1</v>
      </c>
      <c r="H17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1711)&amp;"|",All_Questions_Q_STREAM_F_wrapped)),1,0),0))*1</f>
        <v>1</v>
      </c>
    </row>
    <row r="1713">
      <c r="A1713" t="n">
        <v>1712</v>
      </c>
      <c r="B1713" t="inlineStr">
        <is>
          <t>B</t>
        </is>
      </c>
      <c r="C1713">
        <f>1</f>
        <v>1</v>
      </c>
      <c r="D1713">
        <f>IF(OR(F_Custom1_Q="(None)",F_Custom1_Q="",ISBLANK(F_Custom1_Q),F_Custom1_V="(All)",F_Custom1_V="",ISBLANK(F_Custom1_V)),1,IFERROR(IF(ISNUMBER(SEARCH("|"&amp;INDEX(INDIRECT(F_Custom1_resolved_column),1712)&amp;"|",F_Custom1_wrapped)),1,0),0))</f>
        <v>1</v>
      </c>
      <c r="E1713">
        <f>IF(OR(F_Custom2_Q="(None)",F_Custom2_Q="",ISBLANK(F_Custom2_Q),F_Custom2_V="(All)",F_Custom2_V="",ISBLANK(F_Custom2_V)),1,IFERROR(IF(ISNUMBER(SEARCH("|"&amp;INDEX(INDIRECT(F_Custom2_resolved_column),1712)&amp;"|",F_Custom2_wrapped)),1,0),0))</f>
        <v>1</v>
      </c>
      <c r="F1713">
        <f>D1713*E1713*1</f>
        <v>1</v>
      </c>
      <c r="G1713">
        <f>1</f>
        <v>1</v>
      </c>
      <c r="H17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1712)&amp;"|",All_Questions_Q_STREAM_F_wrapped)),1,0),0))*1</f>
        <v>1</v>
      </c>
    </row>
    <row r="1714">
      <c r="A1714" t="n">
        <v>1713</v>
      </c>
      <c r="B1714" t="inlineStr">
        <is>
          <t>A</t>
        </is>
      </c>
      <c r="C1714">
        <f>1</f>
        <v>1</v>
      </c>
      <c r="D1714">
        <f>IF(OR(F_Custom1_Q="(None)",F_Custom1_Q="",ISBLANK(F_Custom1_Q),F_Custom1_V="(All)",F_Custom1_V="",ISBLANK(F_Custom1_V)),1,IFERROR(IF(ISNUMBER(SEARCH("|"&amp;INDEX(INDIRECT(F_Custom1_resolved_column),1713)&amp;"|",F_Custom1_wrapped)),1,0),0))</f>
        <v>1</v>
      </c>
      <c r="E1714">
        <f>IF(OR(F_Custom2_Q="(None)",F_Custom2_Q="",ISBLANK(F_Custom2_Q),F_Custom2_V="(All)",F_Custom2_V="",ISBLANK(F_Custom2_V)),1,IFERROR(IF(ISNUMBER(SEARCH("|"&amp;INDEX(INDIRECT(F_Custom2_resolved_column),1713)&amp;"|",F_Custom2_wrapped)),1,0),0))</f>
        <v>1</v>
      </c>
      <c r="F1714">
        <f>D1714*E1714*1</f>
        <v>1</v>
      </c>
      <c r="G1714">
        <f>1</f>
        <v>1</v>
      </c>
      <c r="H17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1713)&amp;"|",All_Questions_Q_STREAM_F_wrapped)),1,0),0))*1</f>
        <v>1</v>
      </c>
    </row>
    <row r="1715">
      <c r="A1715" t="n">
        <v>1714</v>
      </c>
      <c r="B1715" t="inlineStr">
        <is>
          <t>B</t>
        </is>
      </c>
      <c r="C1715">
        <f>1</f>
        <v>1</v>
      </c>
      <c r="D1715">
        <f>IF(OR(F_Custom1_Q="(None)",F_Custom1_Q="",ISBLANK(F_Custom1_Q),F_Custom1_V="(All)",F_Custom1_V="",ISBLANK(F_Custom1_V)),1,IFERROR(IF(ISNUMBER(SEARCH("|"&amp;INDEX(INDIRECT(F_Custom1_resolved_column),1714)&amp;"|",F_Custom1_wrapped)),1,0),0))</f>
        <v>1</v>
      </c>
      <c r="E1715">
        <f>IF(OR(F_Custom2_Q="(None)",F_Custom2_Q="",ISBLANK(F_Custom2_Q),F_Custom2_V="(All)",F_Custom2_V="",ISBLANK(F_Custom2_V)),1,IFERROR(IF(ISNUMBER(SEARCH("|"&amp;INDEX(INDIRECT(F_Custom2_resolved_column),1714)&amp;"|",F_Custom2_wrapped)),1,0),0))</f>
        <v>1</v>
      </c>
      <c r="F1715">
        <f>D1715*E1715*1</f>
        <v>1</v>
      </c>
      <c r="G1715">
        <f>1</f>
        <v>1</v>
      </c>
      <c r="H17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1714)&amp;"|",All_Questions_Q_STREAM_F_wrapped)),1,0),0))*1</f>
        <v>1</v>
      </c>
    </row>
    <row r="1716">
      <c r="A1716" t="n">
        <v>1715</v>
      </c>
      <c r="B1716" t="inlineStr">
        <is>
          <t>A</t>
        </is>
      </c>
      <c r="C1716">
        <f>1</f>
        <v>1</v>
      </c>
      <c r="D1716">
        <f>IF(OR(F_Custom1_Q="(None)",F_Custom1_Q="",ISBLANK(F_Custom1_Q),F_Custom1_V="(All)",F_Custom1_V="",ISBLANK(F_Custom1_V)),1,IFERROR(IF(ISNUMBER(SEARCH("|"&amp;INDEX(INDIRECT(F_Custom1_resolved_column),1715)&amp;"|",F_Custom1_wrapped)),1,0),0))</f>
        <v>1</v>
      </c>
      <c r="E1716">
        <f>IF(OR(F_Custom2_Q="(None)",F_Custom2_Q="",ISBLANK(F_Custom2_Q),F_Custom2_V="(All)",F_Custom2_V="",ISBLANK(F_Custom2_V)),1,IFERROR(IF(ISNUMBER(SEARCH("|"&amp;INDEX(INDIRECT(F_Custom2_resolved_column),1715)&amp;"|",F_Custom2_wrapped)),1,0),0))</f>
        <v>1</v>
      </c>
      <c r="F1716">
        <f>D1716*E1716*1</f>
        <v>1</v>
      </c>
      <c r="G1716">
        <f>1</f>
        <v>1</v>
      </c>
      <c r="H17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1715)&amp;"|",All_Questions_Q_STREAM_F_wrapped)),1,0),0))*1</f>
        <v>1</v>
      </c>
    </row>
    <row r="1717">
      <c r="A1717" t="n">
        <v>1716</v>
      </c>
      <c r="B1717" t="inlineStr">
        <is>
          <t>B</t>
        </is>
      </c>
      <c r="C1717">
        <f>1</f>
        <v>1</v>
      </c>
      <c r="D1717">
        <f>IF(OR(F_Custom1_Q="(None)",F_Custom1_Q="",ISBLANK(F_Custom1_Q),F_Custom1_V="(All)",F_Custom1_V="",ISBLANK(F_Custom1_V)),1,IFERROR(IF(ISNUMBER(SEARCH("|"&amp;INDEX(INDIRECT(F_Custom1_resolved_column),1716)&amp;"|",F_Custom1_wrapped)),1,0),0))</f>
        <v>1</v>
      </c>
      <c r="E1717">
        <f>IF(OR(F_Custom2_Q="(None)",F_Custom2_Q="",ISBLANK(F_Custom2_Q),F_Custom2_V="(All)",F_Custom2_V="",ISBLANK(F_Custom2_V)),1,IFERROR(IF(ISNUMBER(SEARCH("|"&amp;INDEX(INDIRECT(F_Custom2_resolved_column),1716)&amp;"|",F_Custom2_wrapped)),1,0),0))</f>
        <v>1</v>
      </c>
      <c r="F1717">
        <f>D1717*E1717*1</f>
        <v>1</v>
      </c>
      <c r="G1717">
        <f>1</f>
        <v>1</v>
      </c>
      <c r="H17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1716)&amp;"|",All_Questions_Q_STREAM_F_wrapped)),1,0),0))*1</f>
        <v>1</v>
      </c>
    </row>
    <row r="1718">
      <c r="A1718" t="n">
        <v>1717</v>
      </c>
      <c r="B1718" t="inlineStr">
        <is>
          <t>A</t>
        </is>
      </c>
      <c r="C1718">
        <f>1</f>
        <v>1</v>
      </c>
      <c r="D1718">
        <f>IF(OR(F_Custom1_Q="(None)",F_Custom1_Q="",ISBLANK(F_Custom1_Q),F_Custom1_V="(All)",F_Custom1_V="",ISBLANK(F_Custom1_V)),1,IFERROR(IF(ISNUMBER(SEARCH("|"&amp;INDEX(INDIRECT(F_Custom1_resolved_column),1717)&amp;"|",F_Custom1_wrapped)),1,0),0))</f>
        <v>1</v>
      </c>
      <c r="E1718">
        <f>IF(OR(F_Custom2_Q="(None)",F_Custom2_Q="",ISBLANK(F_Custom2_Q),F_Custom2_V="(All)",F_Custom2_V="",ISBLANK(F_Custom2_V)),1,IFERROR(IF(ISNUMBER(SEARCH("|"&amp;INDEX(INDIRECT(F_Custom2_resolved_column),1717)&amp;"|",F_Custom2_wrapped)),1,0),0))</f>
        <v>1</v>
      </c>
      <c r="F1718">
        <f>D1718*E1718*1</f>
        <v>1</v>
      </c>
      <c r="G1718">
        <f>1</f>
        <v>1</v>
      </c>
      <c r="H17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1717)&amp;"|",All_Questions_Q_STREAM_F_wrapped)),1,0),0))*1</f>
        <v>1</v>
      </c>
    </row>
    <row r="1719">
      <c r="A1719" t="n">
        <v>1718</v>
      </c>
      <c r="B1719" t="inlineStr">
        <is>
          <t>B</t>
        </is>
      </c>
      <c r="C1719">
        <f>1</f>
        <v>1</v>
      </c>
      <c r="D1719">
        <f>IF(OR(F_Custom1_Q="(None)",F_Custom1_Q="",ISBLANK(F_Custom1_Q),F_Custom1_V="(All)",F_Custom1_V="",ISBLANK(F_Custom1_V)),1,IFERROR(IF(ISNUMBER(SEARCH("|"&amp;INDEX(INDIRECT(F_Custom1_resolved_column),1718)&amp;"|",F_Custom1_wrapped)),1,0),0))</f>
        <v>1</v>
      </c>
      <c r="E1719">
        <f>IF(OR(F_Custom2_Q="(None)",F_Custom2_Q="",ISBLANK(F_Custom2_Q),F_Custom2_V="(All)",F_Custom2_V="",ISBLANK(F_Custom2_V)),1,IFERROR(IF(ISNUMBER(SEARCH("|"&amp;INDEX(INDIRECT(F_Custom2_resolved_column),1718)&amp;"|",F_Custom2_wrapped)),1,0),0))</f>
        <v>1</v>
      </c>
      <c r="F1719">
        <f>D1719*E1719*1</f>
        <v>1</v>
      </c>
      <c r="G1719">
        <f>1</f>
        <v>1</v>
      </c>
      <c r="H17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1718)&amp;"|",All_Questions_Q_STREAM_F_wrapped)),1,0),0))*1</f>
        <v>1</v>
      </c>
    </row>
    <row r="1720">
      <c r="A1720" t="n">
        <v>1719</v>
      </c>
      <c r="B1720" t="inlineStr">
        <is>
          <t>A</t>
        </is>
      </c>
      <c r="C1720">
        <f>1</f>
        <v>1</v>
      </c>
      <c r="D1720">
        <f>IF(OR(F_Custom1_Q="(None)",F_Custom1_Q="",ISBLANK(F_Custom1_Q),F_Custom1_V="(All)",F_Custom1_V="",ISBLANK(F_Custom1_V)),1,IFERROR(IF(ISNUMBER(SEARCH("|"&amp;INDEX(INDIRECT(F_Custom1_resolved_column),1719)&amp;"|",F_Custom1_wrapped)),1,0),0))</f>
        <v>1</v>
      </c>
      <c r="E1720">
        <f>IF(OR(F_Custom2_Q="(None)",F_Custom2_Q="",ISBLANK(F_Custom2_Q),F_Custom2_V="(All)",F_Custom2_V="",ISBLANK(F_Custom2_V)),1,IFERROR(IF(ISNUMBER(SEARCH("|"&amp;INDEX(INDIRECT(F_Custom2_resolved_column),1719)&amp;"|",F_Custom2_wrapped)),1,0),0))</f>
        <v>1</v>
      </c>
      <c r="F1720">
        <f>D1720*E1720*1</f>
        <v>1</v>
      </c>
      <c r="G1720">
        <f>1</f>
        <v>1</v>
      </c>
      <c r="H17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1719)&amp;"|",All_Questions_Q_STREAM_F_wrapped)),1,0),0))*1</f>
        <v>1</v>
      </c>
    </row>
    <row r="1721">
      <c r="A1721" t="n">
        <v>1720</v>
      </c>
      <c r="B1721" t="inlineStr">
        <is>
          <t>B</t>
        </is>
      </c>
      <c r="C1721">
        <f>1</f>
        <v>1</v>
      </c>
      <c r="D1721">
        <f>IF(OR(F_Custom1_Q="(None)",F_Custom1_Q="",ISBLANK(F_Custom1_Q),F_Custom1_V="(All)",F_Custom1_V="",ISBLANK(F_Custom1_V)),1,IFERROR(IF(ISNUMBER(SEARCH("|"&amp;INDEX(INDIRECT(F_Custom1_resolved_column),1720)&amp;"|",F_Custom1_wrapped)),1,0),0))</f>
        <v>1</v>
      </c>
      <c r="E1721">
        <f>IF(OR(F_Custom2_Q="(None)",F_Custom2_Q="",ISBLANK(F_Custom2_Q),F_Custom2_V="(All)",F_Custom2_V="",ISBLANK(F_Custom2_V)),1,IFERROR(IF(ISNUMBER(SEARCH("|"&amp;INDEX(INDIRECT(F_Custom2_resolved_column),1720)&amp;"|",F_Custom2_wrapped)),1,0),0))</f>
        <v>1</v>
      </c>
      <c r="F1721">
        <f>D1721*E1721*1</f>
        <v>1</v>
      </c>
      <c r="G1721">
        <f>1</f>
        <v>1</v>
      </c>
      <c r="H17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1720)&amp;"|",All_Questions_Q_STREAM_F_wrapped)),1,0),0))*1</f>
        <v>1</v>
      </c>
    </row>
    <row r="1722">
      <c r="A1722" t="n">
        <v>1721</v>
      </c>
      <c r="B1722" t="inlineStr">
        <is>
          <t>A</t>
        </is>
      </c>
      <c r="C1722">
        <f>1</f>
        <v>1</v>
      </c>
      <c r="D1722">
        <f>IF(OR(F_Custom1_Q="(None)",F_Custom1_Q="",ISBLANK(F_Custom1_Q),F_Custom1_V="(All)",F_Custom1_V="",ISBLANK(F_Custom1_V)),1,IFERROR(IF(ISNUMBER(SEARCH("|"&amp;INDEX(INDIRECT(F_Custom1_resolved_column),1721)&amp;"|",F_Custom1_wrapped)),1,0),0))</f>
        <v>1</v>
      </c>
      <c r="E1722">
        <f>IF(OR(F_Custom2_Q="(None)",F_Custom2_Q="",ISBLANK(F_Custom2_Q),F_Custom2_V="(All)",F_Custom2_V="",ISBLANK(F_Custom2_V)),1,IFERROR(IF(ISNUMBER(SEARCH("|"&amp;INDEX(INDIRECT(F_Custom2_resolved_column),1721)&amp;"|",F_Custom2_wrapped)),1,0),0))</f>
        <v>1</v>
      </c>
      <c r="F1722">
        <f>D1722*E1722*1</f>
        <v>1</v>
      </c>
      <c r="G1722">
        <f>1</f>
        <v>1</v>
      </c>
      <c r="H17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1721)&amp;"|",All_Questions_Q_STREAM_F_wrapped)),1,0),0))*1</f>
        <v>1</v>
      </c>
    </row>
    <row r="1723">
      <c r="A1723" t="n">
        <v>1722</v>
      </c>
      <c r="B1723" t="inlineStr">
        <is>
          <t>B</t>
        </is>
      </c>
      <c r="C1723">
        <f>1</f>
        <v>1</v>
      </c>
      <c r="D1723">
        <f>IF(OR(F_Custom1_Q="(None)",F_Custom1_Q="",ISBLANK(F_Custom1_Q),F_Custom1_V="(All)",F_Custom1_V="",ISBLANK(F_Custom1_V)),1,IFERROR(IF(ISNUMBER(SEARCH("|"&amp;INDEX(INDIRECT(F_Custom1_resolved_column),1722)&amp;"|",F_Custom1_wrapped)),1,0),0))</f>
        <v>1</v>
      </c>
      <c r="E1723">
        <f>IF(OR(F_Custom2_Q="(None)",F_Custom2_Q="",ISBLANK(F_Custom2_Q),F_Custom2_V="(All)",F_Custom2_V="",ISBLANK(F_Custom2_V)),1,IFERROR(IF(ISNUMBER(SEARCH("|"&amp;INDEX(INDIRECT(F_Custom2_resolved_column),1722)&amp;"|",F_Custom2_wrapped)),1,0),0))</f>
        <v>1</v>
      </c>
      <c r="F1723">
        <f>D1723*E1723*1</f>
        <v>1</v>
      </c>
      <c r="G1723">
        <f>1</f>
        <v>1</v>
      </c>
      <c r="H17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1722)&amp;"|",All_Questions_Q_STREAM_F_wrapped)),1,0),0))*1</f>
        <v>1</v>
      </c>
    </row>
    <row r="1724">
      <c r="A1724" t="n">
        <v>1723</v>
      </c>
      <c r="B1724" t="inlineStr">
        <is>
          <t>A</t>
        </is>
      </c>
      <c r="C1724">
        <f>1</f>
        <v>1</v>
      </c>
      <c r="D1724">
        <f>IF(OR(F_Custom1_Q="(None)",F_Custom1_Q="",ISBLANK(F_Custom1_Q),F_Custom1_V="(All)",F_Custom1_V="",ISBLANK(F_Custom1_V)),1,IFERROR(IF(ISNUMBER(SEARCH("|"&amp;INDEX(INDIRECT(F_Custom1_resolved_column),1723)&amp;"|",F_Custom1_wrapped)),1,0),0))</f>
        <v>1</v>
      </c>
      <c r="E1724">
        <f>IF(OR(F_Custom2_Q="(None)",F_Custom2_Q="",ISBLANK(F_Custom2_Q),F_Custom2_V="(All)",F_Custom2_V="",ISBLANK(F_Custom2_V)),1,IFERROR(IF(ISNUMBER(SEARCH("|"&amp;INDEX(INDIRECT(F_Custom2_resolved_column),1723)&amp;"|",F_Custom2_wrapped)),1,0),0))</f>
        <v>1</v>
      </c>
      <c r="F1724">
        <f>D1724*E1724*1</f>
        <v>1</v>
      </c>
      <c r="G1724">
        <f>1</f>
        <v>1</v>
      </c>
      <c r="H17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1723)&amp;"|",All_Questions_Q_STREAM_F_wrapped)),1,0),0))*1</f>
        <v>1</v>
      </c>
    </row>
    <row r="1725">
      <c r="A1725" t="n">
        <v>1724</v>
      </c>
      <c r="B1725" t="inlineStr">
        <is>
          <t>B</t>
        </is>
      </c>
      <c r="C1725">
        <f>1</f>
        <v>1</v>
      </c>
      <c r="D1725">
        <f>IF(OR(F_Custom1_Q="(None)",F_Custom1_Q="",ISBLANK(F_Custom1_Q),F_Custom1_V="(All)",F_Custom1_V="",ISBLANK(F_Custom1_V)),1,IFERROR(IF(ISNUMBER(SEARCH("|"&amp;INDEX(INDIRECT(F_Custom1_resolved_column),1724)&amp;"|",F_Custom1_wrapped)),1,0),0))</f>
        <v>1</v>
      </c>
      <c r="E1725">
        <f>IF(OR(F_Custom2_Q="(None)",F_Custom2_Q="",ISBLANK(F_Custom2_Q),F_Custom2_V="(All)",F_Custom2_V="",ISBLANK(F_Custom2_V)),1,IFERROR(IF(ISNUMBER(SEARCH("|"&amp;INDEX(INDIRECT(F_Custom2_resolved_column),1724)&amp;"|",F_Custom2_wrapped)),1,0),0))</f>
        <v>1</v>
      </c>
      <c r="F1725">
        <f>D1725*E1725*1</f>
        <v>1</v>
      </c>
      <c r="G1725">
        <f>1</f>
        <v>1</v>
      </c>
      <c r="H17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1724)&amp;"|",All_Questions_Q_STREAM_F_wrapped)),1,0),0))*1</f>
        <v>1</v>
      </c>
    </row>
    <row r="1726">
      <c r="A1726" t="n">
        <v>1725</v>
      </c>
      <c r="B1726" t="inlineStr">
        <is>
          <t>A</t>
        </is>
      </c>
      <c r="C1726">
        <f>1</f>
        <v>1</v>
      </c>
      <c r="D1726">
        <f>IF(OR(F_Custom1_Q="(None)",F_Custom1_Q="",ISBLANK(F_Custom1_Q),F_Custom1_V="(All)",F_Custom1_V="",ISBLANK(F_Custom1_V)),1,IFERROR(IF(ISNUMBER(SEARCH("|"&amp;INDEX(INDIRECT(F_Custom1_resolved_column),1725)&amp;"|",F_Custom1_wrapped)),1,0),0))</f>
        <v>1</v>
      </c>
      <c r="E1726">
        <f>IF(OR(F_Custom2_Q="(None)",F_Custom2_Q="",ISBLANK(F_Custom2_Q),F_Custom2_V="(All)",F_Custom2_V="",ISBLANK(F_Custom2_V)),1,IFERROR(IF(ISNUMBER(SEARCH("|"&amp;INDEX(INDIRECT(F_Custom2_resolved_column),1725)&amp;"|",F_Custom2_wrapped)),1,0),0))</f>
        <v>1</v>
      </c>
      <c r="F1726">
        <f>D1726*E1726*1</f>
        <v>1</v>
      </c>
      <c r="G1726">
        <f>1</f>
        <v>1</v>
      </c>
      <c r="H17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1725)&amp;"|",All_Questions_Q_STREAM_F_wrapped)),1,0),0))*1</f>
        <v>1</v>
      </c>
    </row>
    <row r="1727">
      <c r="A1727" t="n">
        <v>1726</v>
      </c>
      <c r="B1727" t="inlineStr">
        <is>
          <t>B</t>
        </is>
      </c>
      <c r="C1727">
        <f>1</f>
        <v>1</v>
      </c>
      <c r="D1727">
        <f>IF(OR(F_Custom1_Q="(None)",F_Custom1_Q="",ISBLANK(F_Custom1_Q),F_Custom1_V="(All)",F_Custom1_V="",ISBLANK(F_Custom1_V)),1,IFERROR(IF(ISNUMBER(SEARCH("|"&amp;INDEX(INDIRECT(F_Custom1_resolved_column),1726)&amp;"|",F_Custom1_wrapped)),1,0),0))</f>
        <v>1</v>
      </c>
      <c r="E1727">
        <f>IF(OR(F_Custom2_Q="(None)",F_Custom2_Q="",ISBLANK(F_Custom2_Q),F_Custom2_V="(All)",F_Custom2_V="",ISBLANK(F_Custom2_V)),1,IFERROR(IF(ISNUMBER(SEARCH("|"&amp;INDEX(INDIRECT(F_Custom2_resolved_column),1726)&amp;"|",F_Custom2_wrapped)),1,0),0))</f>
        <v>1</v>
      </c>
      <c r="F1727">
        <f>D1727*E1727*1</f>
        <v>1</v>
      </c>
      <c r="G1727">
        <f>1</f>
        <v>1</v>
      </c>
      <c r="H17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1726)&amp;"|",All_Questions_Q_STREAM_F_wrapped)),1,0),0))*1</f>
        <v>1</v>
      </c>
    </row>
    <row r="1728">
      <c r="A1728" t="n">
        <v>1727</v>
      </c>
      <c r="B1728" t="inlineStr">
        <is>
          <t>A</t>
        </is>
      </c>
      <c r="C1728">
        <f>1</f>
        <v>1</v>
      </c>
      <c r="D1728">
        <f>IF(OR(F_Custom1_Q="(None)",F_Custom1_Q="",ISBLANK(F_Custom1_Q),F_Custom1_V="(All)",F_Custom1_V="",ISBLANK(F_Custom1_V)),1,IFERROR(IF(ISNUMBER(SEARCH("|"&amp;INDEX(INDIRECT(F_Custom1_resolved_column),1727)&amp;"|",F_Custom1_wrapped)),1,0),0))</f>
        <v>1</v>
      </c>
      <c r="E1728">
        <f>IF(OR(F_Custom2_Q="(None)",F_Custom2_Q="",ISBLANK(F_Custom2_Q),F_Custom2_V="(All)",F_Custom2_V="",ISBLANK(F_Custom2_V)),1,IFERROR(IF(ISNUMBER(SEARCH("|"&amp;INDEX(INDIRECT(F_Custom2_resolved_column),1727)&amp;"|",F_Custom2_wrapped)),1,0),0))</f>
        <v>1</v>
      </c>
      <c r="F1728">
        <f>D1728*E1728*1</f>
        <v>1</v>
      </c>
      <c r="G1728">
        <f>1</f>
        <v>1</v>
      </c>
      <c r="H17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1727)&amp;"|",All_Questions_Q_STREAM_F_wrapped)),1,0),0))*1</f>
        <v>1</v>
      </c>
    </row>
    <row r="1729">
      <c r="A1729" t="n">
        <v>1728</v>
      </c>
      <c r="B1729" t="inlineStr">
        <is>
          <t>B</t>
        </is>
      </c>
      <c r="C1729">
        <f>1</f>
        <v>1</v>
      </c>
      <c r="D1729">
        <f>IF(OR(F_Custom1_Q="(None)",F_Custom1_Q="",ISBLANK(F_Custom1_Q),F_Custom1_V="(All)",F_Custom1_V="",ISBLANK(F_Custom1_V)),1,IFERROR(IF(ISNUMBER(SEARCH("|"&amp;INDEX(INDIRECT(F_Custom1_resolved_column),1728)&amp;"|",F_Custom1_wrapped)),1,0),0))</f>
        <v>1</v>
      </c>
      <c r="E1729">
        <f>IF(OR(F_Custom2_Q="(None)",F_Custom2_Q="",ISBLANK(F_Custom2_Q),F_Custom2_V="(All)",F_Custom2_V="",ISBLANK(F_Custom2_V)),1,IFERROR(IF(ISNUMBER(SEARCH("|"&amp;INDEX(INDIRECT(F_Custom2_resolved_column),1728)&amp;"|",F_Custom2_wrapped)),1,0),0))</f>
        <v>1</v>
      </c>
      <c r="F1729">
        <f>D1729*E1729*1</f>
        <v>1</v>
      </c>
      <c r="G1729">
        <f>1</f>
        <v>1</v>
      </c>
      <c r="H17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1728)&amp;"|",All_Questions_Q_STREAM_F_wrapped)),1,0),0))*1</f>
        <v>1</v>
      </c>
    </row>
    <row r="1730">
      <c r="A1730" t="n">
        <v>1729</v>
      </c>
      <c r="B1730" t="inlineStr">
        <is>
          <t>A</t>
        </is>
      </c>
      <c r="C1730">
        <f>1</f>
        <v>1</v>
      </c>
      <c r="D1730">
        <f>IF(OR(F_Custom1_Q="(None)",F_Custom1_Q="",ISBLANK(F_Custom1_Q),F_Custom1_V="(All)",F_Custom1_V="",ISBLANK(F_Custom1_V)),1,IFERROR(IF(ISNUMBER(SEARCH("|"&amp;INDEX(INDIRECT(F_Custom1_resolved_column),1729)&amp;"|",F_Custom1_wrapped)),1,0),0))</f>
        <v>1</v>
      </c>
      <c r="E1730">
        <f>IF(OR(F_Custom2_Q="(None)",F_Custom2_Q="",ISBLANK(F_Custom2_Q),F_Custom2_V="(All)",F_Custom2_V="",ISBLANK(F_Custom2_V)),1,IFERROR(IF(ISNUMBER(SEARCH("|"&amp;INDEX(INDIRECT(F_Custom2_resolved_column),1729)&amp;"|",F_Custom2_wrapped)),1,0),0))</f>
        <v>1</v>
      </c>
      <c r="F1730">
        <f>D1730*E1730*1</f>
        <v>1</v>
      </c>
      <c r="G1730">
        <f>1</f>
        <v>1</v>
      </c>
      <c r="H17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1729)&amp;"|",All_Questions_Q_STREAM_F_wrapped)),1,0),0))*1</f>
        <v>1</v>
      </c>
    </row>
    <row r="1731">
      <c r="A1731" t="n">
        <v>1730</v>
      </c>
      <c r="B1731" t="inlineStr">
        <is>
          <t>B</t>
        </is>
      </c>
      <c r="C1731">
        <f>1</f>
        <v>1</v>
      </c>
      <c r="D1731">
        <f>IF(OR(F_Custom1_Q="(None)",F_Custom1_Q="",ISBLANK(F_Custom1_Q),F_Custom1_V="(All)",F_Custom1_V="",ISBLANK(F_Custom1_V)),1,IFERROR(IF(ISNUMBER(SEARCH("|"&amp;INDEX(INDIRECT(F_Custom1_resolved_column),1730)&amp;"|",F_Custom1_wrapped)),1,0),0))</f>
        <v>1</v>
      </c>
      <c r="E1731">
        <f>IF(OR(F_Custom2_Q="(None)",F_Custom2_Q="",ISBLANK(F_Custom2_Q),F_Custom2_V="(All)",F_Custom2_V="",ISBLANK(F_Custom2_V)),1,IFERROR(IF(ISNUMBER(SEARCH("|"&amp;INDEX(INDIRECT(F_Custom2_resolved_column),1730)&amp;"|",F_Custom2_wrapped)),1,0),0))</f>
        <v>1</v>
      </c>
      <c r="F1731">
        <f>D1731*E1731*1</f>
        <v>1</v>
      </c>
      <c r="G1731">
        <f>1</f>
        <v>1</v>
      </c>
      <c r="H17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1730)&amp;"|",All_Questions_Q_STREAM_F_wrapped)),1,0),0))*1</f>
        <v>1</v>
      </c>
    </row>
    <row r="1732">
      <c r="A1732" t="n">
        <v>1731</v>
      </c>
      <c r="B1732" t="inlineStr">
        <is>
          <t>A</t>
        </is>
      </c>
      <c r="C1732">
        <f>1</f>
        <v>1</v>
      </c>
      <c r="D1732">
        <f>IF(OR(F_Custom1_Q="(None)",F_Custom1_Q="",ISBLANK(F_Custom1_Q),F_Custom1_V="(All)",F_Custom1_V="",ISBLANK(F_Custom1_V)),1,IFERROR(IF(ISNUMBER(SEARCH("|"&amp;INDEX(INDIRECT(F_Custom1_resolved_column),1731)&amp;"|",F_Custom1_wrapped)),1,0),0))</f>
        <v>1</v>
      </c>
      <c r="E1732">
        <f>IF(OR(F_Custom2_Q="(None)",F_Custom2_Q="",ISBLANK(F_Custom2_Q),F_Custom2_V="(All)",F_Custom2_V="",ISBLANK(F_Custom2_V)),1,IFERROR(IF(ISNUMBER(SEARCH("|"&amp;INDEX(INDIRECT(F_Custom2_resolved_column),1731)&amp;"|",F_Custom2_wrapped)),1,0),0))</f>
        <v>1</v>
      </c>
      <c r="F1732">
        <f>D1732*E1732*1</f>
        <v>1</v>
      </c>
      <c r="G1732">
        <f>1</f>
        <v>1</v>
      </c>
      <c r="H17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1731)&amp;"|",All_Questions_Q_STREAM_F_wrapped)),1,0),0))*1</f>
        <v>1</v>
      </c>
    </row>
    <row r="1733">
      <c r="A1733" t="n">
        <v>1732</v>
      </c>
      <c r="B1733" t="inlineStr">
        <is>
          <t>B</t>
        </is>
      </c>
      <c r="C1733">
        <f>1</f>
        <v>1</v>
      </c>
      <c r="D1733">
        <f>IF(OR(F_Custom1_Q="(None)",F_Custom1_Q="",ISBLANK(F_Custom1_Q),F_Custom1_V="(All)",F_Custom1_V="",ISBLANK(F_Custom1_V)),1,IFERROR(IF(ISNUMBER(SEARCH("|"&amp;INDEX(INDIRECT(F_Custom1_resolved_column),1732)&amp;"|",F_Custom1_wrapped)),1,0),0))</f>
        <v>1</v>
      </c>
      <c r="E1733">
        <f>IF(OR(F_Custom2_Q="(None)",F_Custom2_Q="",ISBLANK(F_Custom2_Q),F_Custom2_V="(All)",F_Custom2_V="",ISBLANK(F_Custom2_V)),1,IFERROR(IF(ISNUMBER(SEARCH("|"&amp;INDEX(INDIRECT(F_Custom2_resolved_column),1732)&amp;"|",F_Custom2_wrapped)),1,0),0))</f>
        <v>1</v>
      </c>
      <c r="F1733">
        <f>D1733*E1733*1</f>
        <v>1</v>
      </c>
      <c r="G1733">
        <f>1</f>
        <v>1</v>
      </c>
      <c r="H17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1732)&amp;"|",All_Questions_Q_STREAM_F_wrapped)),1,0),0))*1</f>
        <v>1</v>
      </c>
    </row>
    <row r="1734">
      <c r="A1734" t="n">
        <v>1733</v>
      </c>
      <c r="B1734" t="inlineStr">
        <is>
          <t>A</t>
        </is>
      </c>
      <c r="C1734">
        <f>1</f>
        <v>1</v>
      </c>
      <c r="D1734">
        <f>IF(OR(F_Custom1_Q="(None)",F_Custom1_Q="",ISBLANK(F_Custom1_Q),F_Custom1_V="(All)",F_Custom1_V="",ISBLANK(F_Custom1_V)),1,IFERROR(IF(ISNUMBER(SEARCH("|"&amp;INDEX(INDIRECT(F_Custom1_resolved_column),1733)&amp;"|",F_Custom1_wrapped)),1,0),0))</f>
        <v>1</v>
      </c>
      <c r="E1734">
        <f>IF(OR(F_Custom2_Q="(None)",F_Custom2_Q="",ISBLANK(F_Custom2_Q),F_Custom2_V="(All)",F_Custom2_V="",ISBLANK(F_Custom2_V)),1,IFERROR(IF(ISNUMBER(SEARCH("|"&amp;INDEX(INDIRECT(F_Custom2_resolved_column),1733)&amp;"|",F_Custom2_wrapped)),1,0),0))</f>
        <v>1</v>
      </c>
      <c r="F1734">
        <f>D1734*E1734*1</f>
        <v>1</v>
      </c>
      <c r="G1734">
        <f>1</f>
        <v>1</v>
      </c>
      <c r="H17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1733)&amp;"|",All_Questions_Q_STREAM_F_wrapped)),1,0),0))*1</f>
        <v>1</v>
      </c>
    </row>
    <row r="1735">
      <c r="A1735" t="n">
        <v>1734</v>
      </c>
      <c r="B1735" t="inlineStr">
        <is>
          <t>B</t>
        </is>
      </c>
      <c r="C1735">
        <f>1</f>
        <v>1</v>
      </c>
      <c r="D1735">
        <f>IF(OR(F_Custom1_Q="(None)",F_Custom1_Q="",ISBLANK(F_Custom1_Q),F_Custom1_V="(All)",F_Custom1_V="",ISBLANK(F_Custom1_V)),1,IFERROR(IF(ISNUMBER(SEARCH("|"&amp;INDEX(INDIRECT(F_Custom1_resolved_column),1734)&amp;"|",F_Custom1_wrapped)),1,0),0))</f>
        <v>1</v>
      </c>
      <c r="E1735">
        <f>IF(OR(F_Custom2_Q="(None)",F_Custom2_Q="",ISBLANK(F_Custom2_Q),F_Custom2_V="(All)",F_Custom2_V="",ISBLANK(F_Custom2_V)),1,IFERROR(IF(ISNUMBER(SEARCH("|"&amp;INDEX(INDIRECT(F_Custom2_resolved_column),1734)&amp;"|",F_Custom2_wrapped)),1,0),0))</f>
        <v>1</v>
      </c>
      <c r="F1735">
        <f>D1735*E1735*1</f>
        <v>1</v>
      </c>
      <c r="G1735">
        <f>1</f>
        <v>1</v>
      </c>
      <c r="H17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1734)&amp;"|",All_Questions_Q_STREAM_F_wrapped)),1,0),0))*1</f>
        <v>1</v>
      </c>
    </row>
    <row r="1736">
      <c r="A1736" t="n">
        <v>1735</v>
      </c>
      <c r="B1736" t="inlineStr">
        <is>
          <t>A</t>
        </is>
      </c>
      <c r="C1736">
        <f>1</f>
        <v>1</v>
      </c>
      <c r="D1736">
        <f>IF(OR(F_Custom1_Q="(None)",F_Custom1_Q="",ISBLANK(F_Custom1_Q),F_Custom1_V="(All)",F_Custom1_V="",ISBLANK(F_Custom1_V)),1,IFERROR(IF(ISNUMBER(SEARCH("|"&amp;INDEX(INDIRECT(F_Custom1_resolved_column),1735)&amp;"|",F_Custom1_wrapped)),1,0),0))</f>
        <v>1</v>
      </c>
      <c r="E1736">
        <f>IF(OR(F_Custom2_Q="(None)",F_Custom2_Q="",ISBLANK(F_Custom2_Q),F_Custom2_V="(All)",F_Custom2_V="",ISBLANK(F_Custom2_V)),1,IFERROR(IF(ISNUMBER(SEARCH("|"&amp;INDEX(INDIRECT(F_Custom2_resolved_column),1735)&amp;"|",F_Custom2_wrapped)),1,0),0))</f>
        <v>1</v>
      </c>
      <c r="F1736">
        <f>D1736*E1736*1</f>
        <v>1</v>
      </c>
      <c r="G1736">
        <f>1</f>
        <v>1</v>
      </c>
      <c r="H17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1735)&amp;"|",All_Questions_Q_STREAM_F_wrapped)),1,0),0))*1</f>
        <v>1</v>
      </c>
    </row>
    <row r="1737">
      <c r="A1737" t="n">
        <v>1736</v>
      </c>
      <c r="B1737" t="inlineStr">
        <is>
          <t>B</t>
        </is>
      </c>
      <c r="C1737">
        <f>1</f>
        <v>1</v>
      </c>
      <c r="D1737">
        <f>IF(OR(F_Custom1_Q="(None)",F_Custom1_Q="",ISBLANK(F_Custom1_Q),F_Custom1_V="(All)",F_Custom1_V="",ISBLANK(F_Custom1_V)),1,IFERROR(IF(ISNUMBER(SEARCH("|"&amp;INDEX(INDIRECT(F_Custom1_resolved_column),1736)&amp;"|",F_Custom1_wrapped)),1,0),0))</f>
        <v>1</v>
      </c>
      <c r="E1737">
        <f>IF(OR(F_Custom2_Q="(None)",F_Custom2_Q="",ISBLANK(F_Custom2_Q),F_Custom2_V="(All)",F_Custom2_V="",ISBLANK(F_Custom2_V)),1,IFERROR(IF(ISNUMBER(SEARCH("|"&amp;INDEX(INDIRECT(F_Custom2_resolved_column),1736)&amp;"|",F_Custom2_wrapped)),1,0),0))</f>
        <v>1</v>
      </c>
      <c r="F1737">
        <f>D1737*E1737*1</f>
        <v>1</v>
      </c>
      <c r="G1737">
        <f>1</f>
        <v>1</v>
      </c>
      <c r="H17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1736)&amp;"|",All_Questions_Q_STREAM_F_wrapped)),1,0),0))*1</f>
        <v>1</v>
      </c>
    </row>
    <row r="1738">
      <c r="A1738" t="n">
        <v>1737</v>
      </c>
      <c r="B1738" t="inlineStr">
        <is>
          <t>A</t>
        </is>
      </c>
      <c r="C1738">
        <f>1</f>
        <v>1</v>
      </c>
      <c r="D1738">
        <f>IF(OR(F_Custom1_Q="(None)",F_Custom1_Q="",ISBLANK(F_Custom1_Q),F_Custom1_V="(All)",F_Custom1_V="",ISBLANK(F_Custom1_V)),1,IFERROR(IF(ISNUMBER(SEARCH("|"&amp;INDEX(INDIRECT(F_Custom1_resolved_column),1737)&amp;"|",F_Custom1_wrapped)),1,0),0))</f>
        <v>1</v>
      </c>
      <c r="E1738">
        <f>IF(OR(F_Custom2_Q="(None)",F_Custom2_Q="",ISBLANK(F_Custom2_Q),F_Custom2_V="(All)",F_Custom2_V="",ISBLANK(F_Custom2_V)),1,IFERROR(IF(ISNUMBER(SEARCH("|"&amp;INDEX(INDIRECT(F_Custom2_resolved_column),1737)&amp;"|",F_Custom2_wrapped)),1,0),0))</f>
        <v>1</v>
      </c>
      <c r="F1738">
        <f>D1738*E1738*1</f>
        <v>1</v>
      </c>
      <c r="G1738">
        <f>1</f>
        <v>1</v>
      </c>
      <c r="H17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1737)&amp;"|",All_Questions_Q_STREAM_F_wrapped)),1,0),0))*1</f>
        <v>1</v>
      </c>
    </row>
    <row r="1739">
      <c r="A1739" t="n">
        <v>1738</v>
      </c>
      <c r="B1739" t="inlineStr">
        <is>
          <t>B</t>
        </is>
      </c>
      <c r="C1739">
        <f>1</f>
        <v>1</v>
      </c>
      <c r="D1739">
        <f>IF(OR(F_Custom1_Q="(None)",F_Custom1_Q="",ISBLANK(F_Custom1_Q),F_Custom1_V="(All)",F_Custom1_V="",ISBLANK(F_Custom1_V)),1,IFERROR(IF(ISNUMBER(SEARCH("|"&amp;INDEX(INDIRECT(F_Custom1_resolved_column),1738)&amp;"|",F_Custom1_wrapped)),1,0),0))</f>
        <v>1</v>
      </c>
      <c r="E1739">
        <f>IF(OR(F_Custom2_Q="(None)",F_Custom2_Q="",ISBLANK(F_Custom2_Q),F_Custom2_V="(All)",F_Custom2_V="",ISBLANK(F_Custom2_V)),1,IFERROR(IF(ISNUMBER(SEARCH("|"&amp;INDEX(INDIRECT(F_Custom2_resolved_column),1738)&amp;"|",F_Custom2_wrapped)),1,0),0))</f>
        <v>1</v>
      </c>
      <c r="F1739">
        <f>D1739*E1739*1</f>
        <v>1</v>
      </c>
      <c r="G1739">
        <f>1</f>
        <v>1</v>
      </c>
      <c r="H17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1738)&amp;"|",All_Questions_Q_STREAM_F_wrapped)),1,0),0))*1</f>
        <v>1</v>
      </c>
    </row>
    <row r="1740">
      <c r="A1740" t="n">
        <v>1739</v>
      </c>
      <c r="B1740" t="inlineStr">
        <is>
          <t>A</t>
        </is>
      </c>
      <c r="C1740">
        <f>1</f>
        <v>1</v>
      </c>
      <c r="D1740">
        <f>IF(OR(F_Custom1_Q="(None)",F_Custom1_Q="",ISBLANK(F_Custom1_Q),F_Custom1_V="(All)",F_Custom1_V="",ISBLANK(F_Custom1_V)),1,IFERROR(IF(ISNUMBER(SEARCH("|"&amp;INDEX(INDIRECT(F_Custom1_resolved_column),1739)&amp;"|",F_Custom1_wrapped)),1,0),0))</f>
        <v>1</v>
      </c>
      <c r="E1740">
        <f>IF(OR(F_Custom2_Q="(None)",F_Custom2_Q="",ISBLANK(F_Custom2_Q),F_Custom2_V="(All)",F_Custom2_V="",ISBLANK(F_Custom2_V)),1,IFERROR(IF(ISNUMBER(SEARCH("|"&amp;INDEX(INDIRECT(F_Custom2_resolved_column),1739)&amp;"|",F_Custom2_wrapped)),1,0),0))</f>
        <v>1</v>
      </c>
      <c r="F1740">
        <f>D1740*E1740*1</f>
        <v>1</v>
      </c>
      <c r="G1740">
        <f>1</f>
        <v>1</v>
      </c>
      <c r="H17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1739)&amp;"|",All_Questions_Q_STREAM_F_wrapped)),1,0),0))*1</f>
        <v>1</v>
      </c>
    </row>
    <row r="1741">
      <c r="A1741" t="n">
        <v>1740</v>
      </c>
      <c r="B1741" t="inlineStr">
        <is>
          <t>B</t>
        </is>
      </c>
      <c r="C1741">
        <f>1</f>
        <v>1</v>
      </c>
      <c r="D1741">
        <f>IF(OR(F_Custom1_Q="(None)",F_Custom1_Q="",ISBLANK(F_Custom1_Q),F_Custom1_V="(All)",F_Custom1_V="",ISBLANK(F_Custom1_V)),1,IFERROR(IF(ISNUMBER(SEARCH("|"&amp;INDEX(INDIRECT(F_Custom1_resolved_column),1740)&amp;"|",F_Custom1_wrapped)),1,0),0))</f>
        <v>1</v>
      </c>
      <c r="E1741">
        <f>IF(OR(F_Custom2_Q="(None)",F_Custom2_Q="",ISBLANK(F_Custom2_Q),F_Custom2_V="(All)",F_Custom2_V="",ISBLANK(F_Custom2_V)),1,IFERROR(IF(ISNUMBER(SEARCH("|"&amp;INDEX(INDIRECT(F_Custom2_resolved_column),1740)&amp;"|",F_Custom2_wrapped)),1,0),0))</f>
        <v>1</v>
      </c>
      <c r="F1741">
        <f>D1741*E1741*1</f>
        <v>1</v>
      </c>
      <c r="G1741">
        <f>1</f>
        <v>1</v>
      </c>
      <c r="H17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1740)&amp;"|",All_Questions_Q_STREAM_F_wrapped)),1,0),0))*1</f>
        <v>1</v>
      </c>
    </row>
    <row r="1742">
      <c r="A1742" t="n">
        <v>1741</v>
      </c>
      <c r="B1742" t="inlineStr">
        <is>
          <t>A</t>
        </is>
      </c>
      <c r="C1742">
        <f>1</f>
        <v>1</v>
      </c>
      <c r="D1742">
        <f>IF(OR(F_Custom1_Q="(None)",F_Custom1_Q="",ISBLANK(F_Custom1_Q),F_Custom1_V="(All)",F_Custom1_V="",ISBLANK(F_Custom1_V)),1,IFERROR(IF(ISNUMBER(SEARCH("|"&amp;INDEX(INDIRECT(F_Custom1_resolved_column),1741)&amp;"|",F_Custom1_wrapped)),1,0),0))</f>
        <v>1</v>
      </c>
      <c r="E1742">
        <f>IF(OR(F_Custom2_Q="(None)",F_Custom2_Q="",ISBLANK(F_Custom2_Q),F_Custom2_V="(All)",F_Custom2_V="",ISBLANK(F_Custom2_V)),1,IFERROR(IF(ISNUMBER(SEARCH("|"&amp;INDEX(INDIRECT(F_Custom2_resolved_column),1741)&amp;"|",F_Custom2_wrapped)),1,0),0))</f>
        <v>1</v>
      </c>
      <c r="F1742">
        <f>D1742*E1742*1</f>
        <v>1</v>
      </c>
      <c r="G1742">
        <f>1</f>
        <v>1</v>
      </c>
      <c r="H17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1741)&amp;"|",All_Questions_Q_STREAM_F_wrapped)),1,0),0))*1</f>
        <v>1</v>
      </c>
    </row>
    <row r="1743">
      <c r="A1743" t="n">
        <v>1742</v>
      </c>
      <c r="B1743" t="inlineStr">
        <is>
          <t>B</t>
        </is>
      </c>
      <c r="C1743">
        <f>1</f>
        <v>1</v>
      </c>
      <c r="D1743">
        <f>IF(OR(F_Custom1_Q="(None)",F_Custom1_Q="",ISBLANK(F_Custom1_Q),F_Custom1_V="(All)",F_Custom1_V="",ISBLANK(F_Custom1_V)),1,IFERROR(IF(ISNUMBER(SEARCH("|"&amp;INDEX(INDIRECT(F_Custom1_resolved_column),1742)&amp;"|",F_Custom1_wrapped)),1,0),0))</f>
        <v>1</v>
      </c>
      <c r="E1743">
        <f>IF(OR(F_Custom2_Q="(None)",F_Custom2_Q="",ISBLANK(F_Custom2_Q),F_Custom2_V="(All)",F_Custom2_V="",ISBLANK(F_Custom2_V)),1,IFERROR(IF(ISNUMBER(SEARCH("|"&amp;INDEX(INDIRECT(F_Custom2_resolved_column),1742)&amp;"|",F_Custom2_wrapped)),1,0),0))</f>
        <v>1</v>
      </c>
      <c r="F1743">
        <f>D1743*E1743*1</f>
        <v>1</v>
      </c>
      <c r="G1743">
        <f>1</f>
        <v>1</v>
      </c>
      <c r="H17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1742)&amp;"|",All_Questions_Q_STREAM_F_wrapped)),1,0),0))*1</f>
        <v>1</v>
      </c>
    </row>
    <row r="1744">
      <c r="A1744" t="n">
        <v>1743</v>
      </c>
      <c r="B1744" t="inlineStr">
        <is>
          <t>A</t>
        </is>
      </c>
      <c r="C1744">
        <f>1</f>
        <v>1</v>
      </c>
      <c r="D1744">
        <f>IF(OR(F_Custom1_Q="(None)",F_Custom1_Q="",ISBLANK(F_Custom1_Q),F_Custom1_V="(All)",F_Custom1_V="",ISBLANK(F_Custom1_V)),1,IFERROR(IF(ISNUMBER(SEARCH("|"&amp;INDEX(INDIRECT(F_Custom1_resolved_column),1743)&amp;"|",F_Custom1_wrapped)),1,0),0))</f>
        <v>1</v>
      </c>
      <c r="E1744">
        <f>IF(OR(F_Custom2_Q="(None)",F_Custom2_Q="",ISBLANK(F_Custom2_Q),F_Custom2_V="(All)",F_Custom2_V="",ISBLANK(F_Custom2_V)),1,IFERROR(IF(ISNUMBER(SEARCH("|"&amp;INDEX(INDIRECT(F_Custom2_resolved_column),1743)&amp;"|",F_Custom2_wrapped)),1,0),0))</f>
        <v>1</v>
      </c>
      <c r="F1744">
        <f>D1744*E1744*1</f>
        <v>1</v>
      </c>
      <c r="G1744">
        <f>1</f>
        <v>1</v>
      </c>
      <c r="H17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1743)&amp;"|",All_Questions_Q_STREAM_F_wrapped)),1,0),0))*1</f>
        <v>1</v>
      </c>
    </row>
    <row r="1745">
      <c r="A1745" t="n">
        <v>1744</v>
      </c>
      <c r="B1745" t="inlineStr">
        <is>
          <t>B</t>
        </is>
      </c>
      <c r="C1745">
        <f>1</f>
        <v>1</v>
      </c>
      <c r="D1745">
        <f>IF(OR(F_Custom1_Q="(None)",F_Custom1_Q="",ISBLANK(F_Custom1_Q),F_Custom1_V="(All)",F_Custom1_V="",ISBLANK(F_Custom1_V)),1,IFERROR(IF(ISNUMBER(SEARCH("|"&amp;INDEX(INDIRECT(F_Custom1_resolved_column),1744)&amp;"|",F_Custom1_wrapped)),1,0),0))</f>
        <v>1</v>
      </c>
      <c r="E1745">
        <f>IF(OR(F_Custom2_Q="(None)",F_Custom2_Q="",ISBLANK(F_Custom2_Q),F_Custom2_V="(All)",F_Custom2_V="",ISBLANK(F_Custom2_V)),1,IFERROR(IF(ISNUMBER(SEARCH("|"&amp;INDEX(INDIRECT(F_Custom2_resolved_column),1744)&amp;"|",F_Custom2_wrapped)),1,0),0))</f>
        <v>1</v>
      </c>
      <c r="F1745">
        <f>D1745*E1745*1</f>
        <v>1</v>
      </c>
      <c r="G1745">
        <f>1</f>
        <v>1</v>
      </c>
      <c r="H17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1744)&amp;"|",All_Questions_Q_STREAM_F_wrapped)),1,0),0))*1</f>
        <v>1</v>
      </c>
    </row>
    <row r="1746">
      <c r="A1746" t="n">
        <v>1745</v>
      </c>
      <c r="B1746" t="inlineStr">
        <is>
          <t>A</t>
        </is>
      </c>
      <c r="C1746">
        <f>1</f>
        <v>1</v>
      </c>
      <c r="D1746">
        <f>IF(OR(F_Custom1_Q="(None)",F_Custom1_Q="",ISBLANK(F_Custom1_Q),F_Custom1_V="(All)",F_Custom1_V="",ISBLANK(F_Custom1_V)),1,IFERROR(IF(ISNUMBER(SEARCH("|"&amp;INDEX(INDIRECT(F_Custom1_resolved_column),1745)&amp;"|",F_Custom1_wrapped)),1,0),0))</f>
        <v>1</v>
      </c>
      <c r="E1746">
        <f>IF(OR(F_Custom2_Q="(None)",F_Custom2_Q="",ISBLANK(F_Custom2_Q),F_Custom2_V="(All)",F_Custom2_V="",ISBLANK(F_Custom2_V)),1,IFERROR(IF(ISNUMBER(SEARCH("|"&amp;INDEX(INDIRECT(F_Custom2_resolved_column),1745)&amp;"|",F_Custom2_wrapped)),1,0),0))</f>
        <v>1</v>
      </c>
      <c r="F1746">
        <f>D1746*E1746*1</f>
        <v>1</v>
      </c>
      <c r="G1746">
        <f>1</f>
        <v>1</v>
      </c>
      <c r="H17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1745)&amp;"|",All_Questions_Q_STREAM_F_wrapped)),1,0),0))*1</f>
        <v>1</v>
      </c>
    </row>
    <row r="1747">
      <c r="A1747" t="n">
        <v>1746</v>
      </c>
      <c r="B1747" t="inlineStr">
        <is>
          <t>B</t>
        </is>
      </c>
      <c r="C1747">
        <f>1</f>
        <v>1</v>
      </c>
      <c r="D1747">
        <f>IF(OR(F_Custom1_Q="(None)",F_Custom1_Q="",ISBLANK(F_Custom1_Q),F_Custom1_V="(All)",F_Custom1_V="",ISBLANK(F_Custom1_V)),1,IFERROR(IF(ISNUMBER(SEARCH("|"&amp;INDEX(INDIRECT(F_Custom1_resolved_column),1746)&amp;"|",F_Custom1_wrapped)),1,0),0))</f>
        <v>1</v>
      </c>
      <c r="E1747">
        <f>IF(OR(F_Custom2_Q="(None)",F_Custom2_Q="",ISBLANK(F_Custom2_Q),F_Custom2_V="(All)",F_Custom2_V="",ISBLANK(F_Custom2_V)),1,IFERROR(IF(ISNUMBER(SEARCH("|"&amp;INDEX(INDIRECT(F_Custom2_resolved_column),1746)&amp;"|",F_Custom2_wrapped)),1,0),0))</f>
        <v>1</v>
      </c>
      <c r="F1747">
        <f>D1747*E1747*1</f>
        <v>1</v>
      </c>
      <c r="G1747">
        <f>1</f>
        <v>1</v>
      </c>
      <c r="H17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1746)&amp;"|",All_Questions_Q_STREAM_F_wrapped)),1,0),0))*1</f>
        <v>1</v>
      </c>
    </row>
    <row r="1748">
      <c r="A1748" t="n">
        <v>1747</v>
      </c>
      <c r="B1748" t="inlineStr">
        <is>
          <t>A</t>
        </is>
      </c>
      <c r="C1748">
        <f>1</f>
        <v>1</v>
      </c>
      <c r="D1748">
        <f>IF(OR(F_Custom1_Q="(None)",F_Custom1_Q="",ISBLANK(F_Custom1_Q),F_Custom1_V="(All)",F_Custom1_V="",ISBLANK(F_Custom1_V)),1,IFERROR(IF(ISNUMBER(SEARCH("|"&amp;INDEX(INDIRECT(F_Custom1_resolved_column),1747)&amp;"|",F_Custom1_wrapped)),1,0),0))</f>
        <v>1</v>
      </c>
      <c r="E1748">
        <f>IF(OR(F_Custom2_Q="(None)",F_Custom2_Q="",ISBLANK(F_Custom2_Q),F_Custom2_V="(All)",F_Custom2_V="",ISBLANK(F_Custom2_V)),1,IFERROR(IF(ISNUMBER(SEARCH("|"&amp;INDEX(INDIRECT(F_Custom2_resolved_column),1747)&amp;"|",F_Custom2_wrapped)),1,0),0))</f>
        <v>1</v>
      </c>
      <c r="F1748">
        <f>D1748*E1748*1</f>
        <v>1</v>
      </c>
      <c r="G1748">
        <f>1</f>
        <v>1</v>
      </c>
      <c r="H17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1747)&amp;"|",All_Questions_Q_STREAM_F_wrapped)),1,0),0))*1</f>
        <v>1</v>
      </c>
    </row>
    <row r="1749">
      <c r="A1749" t="n">
        <v>1748</v>
      </c>
      <c r="B1749" t="inlineStr">
        <is>
          <t>B</t>
        </is>
      </c>
      <c r="C1749">
        <f>1</f>
        <v>1</v>
      </c>
      <c r="D1749">
        <f>IF(OR(F_Custom1_Q="(None)",F_Custom1_Q="",ISBLANK(F_Custom1_Q),F_Custom1_V="(All)",F_Custom1_V="",ISBLANK(F_Custom1_V)),1,IFERROR(IF(ISNUMBER(SEARCH("|"&amp;INDEX(INDIRECT(F_Custom1_resolved_column),1748)&amp;"|",F_Custom1_wrapped)),1,0),0))</f>
        <v>1</v>
      </c>
      <c r="E1749">
        <f>IF(OR(F_Custom2_Q="(None)",F_Custom2_Q="",ISBLANK(F_Custom2_Q),F_Custom2_V="(All)",F_Custom2_V="",ISBLANK(F_Custom2_V)),1,IFERROR(IF(ISNUMBER(SEARCH("|"&amp;INDEX(INDIRECT(F_Custom2_resolved_column),1748)&amp;"|",F_Custom2_wrapped)),1,0),0))</f>
        <v>1</v>
      </c>
      <c r="F1749">
        <f>D1749*E1749*1</f>
        <v>1</v>
      </c>
      <c r="G1749">
        <f>1</f>
        <v>1</v>
      </c>
      <c r="H17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1748)&amp;"|",All_Questions_Q_STREAM_F_wrapped)),1,0),0))*1</f>
        <v>1</v>
      </c>
    </row>
    <row r="1750">
      <c r="A1750" t="n">
        <v>1749</v>
      </c>
      <c r="B1750" t="inlineStr">
        <is>
          <t>A</t>
        </is>
      </c>
      <c r="C1750">
        <f>1</f>
        <v>1</v>
      </c>
      <c r="D1750">
        <f>IF(OR(F_Custom1_Q="(None)",F_Custom1_Q="",ISBLANK(F_Custom1_Q),F_Custom1_V="(All)",F_Custom1_V="",ISBLANK(F_Custom1_V)),1,IFERROR(IF(ISNUMBER(SEARCH("|"&amp;INDEX(INDIRECT(F_Custom1_resolved_column),1749)&amp;"|",F_Custom1_wrapped)),1,0),0))</f>
        <v>1</v>
      </c>
      <c r="E1750">
        <f>IF(OR(F_Custom2_Q="(None)",F_Custom2_Q="",ISBLANK(F_Custom2_Q),F_Custom2_V="(All)",F_Custom2_V="",ISBLANK(F_Custom2_V)),1,IFERROR(IF(ISNUMBER(SEARCH("|"&amp;INDEX(INDIRECT(F_Custom2_resolved_column),1749)&amp;"|",F_Custom2_wrapped)),1,0),0))</f>
        <v>1</v>
      </c>
      <c r="F1750">
        <f>D1750*E1750*1</f>
        <v>1</v>
      </c>
      <c r="G1750">
        <f>1</f>
        <v>1</v>
      </c>
      <c r="H17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1749)&amp;"|",All_Questions_Q_STREAM_F_wrapped)),1,0),0))*1</f>
        <v>1</v>
      </c>
    </row>
    <row r="1751">
      <c r="A1751" t="n">
        <v>1750</v>
      </c>
      <c r="B1751" t="inlineStr">
        <is>
          <t>B</t>
        </is>
      </c>
      <c r="C1751">
        <f>1</f>
        <v>1</v>
      </c>
      <c r="D1751">
        <f>IF(OR(F_Custom1_Q="(None)",F_Custom1_Q="",ISBLANK(F_Custom1_Q),F_Custom1_V="(All)",F_Custom1_V="",ISBLANK(F_Custom1_V)),1,IFERROR(IF(ISNUMBER(SEARCH("|"&amp;INDEX(INDIRECT(F_Custom1_resolved_column),1750)&amp;"|",F_Custom1_wrapped)),1,0),0))</f>
        <v>1</v>
      </c>
      <c r="E1751">
        <f>IF(OR(F_Custom2_Q="(None)",F_Custom2_Q="",ISBLANK(F_Custom2_Q),F_Custom2_V="(All)",F_Custom2_V="",ISBLANK(F_Custom2_V)),1,IFERROR(IF(ISNUMBER(SEARCH("|"&amp;INDEX(INDIRECT(F_Custom2_resolved_column),1750)&amp;"|",F_Custom2_wrapped)),1,0),0))</f>
        <v>1</v>
      </c>
      <c r="F1751">
        <f>D1751*E1751*1</f>
        <v>1</v>
      </c>
      <c r="G1751">
        <f>1</f>
        <v>1</v>
      </c>
      <c r="H17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1750)&amp;"|",All_Questions_Q_STREAM_F_wrapped)),1,0),0))*1</f>
        <v>1</v>
      </c>
    </row>
    <row r="1752">
      <c r="A1752" t="n">
        <v>1751</v>
      </c>
      <c r="B1752" t="inlineStr">
        <is>
          <t>A</t>
        </is>
      </c>
      <c r="C1752">
        <f>1</f>
        <v>1</v>
      </c>
      <c r="D1752">
        <f>IF(OR(F_Custom1_Q="(None)",F_Custom1_Q="",ISBLANK(F_Custom1_Q),F_Custom1_V="(All)",F_Custom1_V="",ISBLANK(F_Custom1_V)),1,IFERROR(IF(ISNUMBER(SEARCH("|"&amp;INDEX(INDIRECT(F_Custom1_resolved_column),1751)&amp;"|",F_Custom1_wrapped)),1,0),0))</f>
        <v>1</v>
      </c>
      <c r="E1752">
        <f>IF(OR(F_Custom2_Q="(None)",F_Custom2_Q="",ISBLANK(F_Custom2_Q),F_Custom2_V="(All)",F_Custom2_V="",ISBLANK(F_Custom2_V)),1,IFERROR(IF(ISNUMBER(SEARCH("|"&amp;INDEX(INDIRECT(F_Custom2_resolved_column),1751)&amp;"|",F_Custom2_wrapped)),1,0),0))</f>
        <v>1</v>
      </c>
      <c r="F1752">
        <f>D1752*E1752*1</f>
        <v>1</v>
      </c>
      <c r="G1752">
        <f>1</f>
        <v>1</v>
      </c>
      <c r="H17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1751)&amp;"|",All_Questions_Q_STREAM_F_wrapped)),1,0),0))*1</f>
        <v>1</v>
      </c>
    </row>
    <row r="1753">
      <c r="A1753" t="n">
        <v>1752</v>
      </c>
      <c r="B1753" t="inlineStr">
        <is>
          <t>B</t>
        </is>
      </c>
      <c r="C1753">
        <f>1</f>
        <v>1</v>
      </c>
      <c r="D1753">
        <f>IF(OR(F_Custom1_Q="(None)",F_Custom1_Q="",ISBLANK(F_Custom1_Q),F_Custom1_V="(All)",F_Custom1_V="",ISBLANK(F_Custom1_V)),1,IFERROR(IF(ISNUMBER(SEARCH("|"&amp;INDEX(INDIRECT(F_Custom1_resolved_column),1752)&amp;"|",F_Custom1_wrapped)),1,0),0))</f>
        <v>1</v>
      </c>
      <c r="E1753">
        <f>IF(OR(F_Custom2_Q="(None)",F_Custom2_Q="",ISBLANK(F_Custom2_Q),F_Custom2_V="(All)",F_Custom2_V="",ISBLANK(F_Custom2_V)),1,IFERROR(IF(ISNUMBER(SEARCH("|"&amp;INDEX(INDIRECT(F_Custom2_resolved_column),1752)&amp;"|",F_Custom2_wrapped)),1,0),0))</f>
        <v>1</v>
      </c>
      <c r="F1753">
        <f>D1753*E1753*1</f>
        <v>1</v>
      </c>
      <c r="G1753">
        <f>1</f>
        <v>1</v>
      </c>
      <c r="H17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1752)&amp;"|",All_Questions_Q_STREAM_F_wrapped)),1,0),0))*1</f>
        <v>1</v>
      </c>
    </row>
    <row r="1754">
      <c r="A1754" t="n">
        <v>1753</v>
      </c>
      <c r="B1754" t="inlineStr">
        <is>
          <t>A</t>
        </is>
      </c>
      <c r="C1754">
        <f>1</f>
        <v>1</v>
      </c>
      <c r="D1754">
        <f>IF(OR(F_Custom1_Q="(None)",F_Custom1_Q="",ISBLANK(F_Custom1_Q),F_Custom1_V="(All)",F_Custom1_V="",ISBLANK(F_Custom1_V)),1,IFERROR(IF(ISNUMBER(SEARCH("|"&amp;INDEX(INDIRECT(F_Custom1_resolved_column),1753)&amp;"|",F_Custom1_wrapped)),1,0),0))</f>
        <v>1</v>
      </c>
      <c r="E1754">
        <f>IF(OR(F_Custom2_Q="(None)",F_Custom2_Q="",ISBLANK(F_Custom2_Q),F_Custom2_V="(All)",F_Custom2_V="",ISBLANK(F_Custom2_V)),1,IFERROR(IF(ISNUMBER(SEARCH("|"&amp;INDEX(INDIRECT(F_Custom2_resolved_column),1753)&amp;"|",F_Custom2_wrapped)),1,0),0))</f>
        <v>1</v>
      </c>
      <c r="F1754">
        <f>D1754*E1754*1</f>
        <v>1</v>
      </c>
      <c r="G1754">
        <f>1</f>
        <v>1</v>
      </c>
      <c r="H17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1753)&amp;"|",All_Questions_Q_STREAM_F_wrapped)),1,0),0))*1</f>
        <v>1</v>
      </c>
    </row>
    <row r="1755">
      <c r="A1755" t="n">
        <v>1754</v>
      </c>
      <c r="B1755" t="inlineStr">
        <is>
          <t>B</t>
        </is>
      </c>
      <c r="C1755">
        <f>1</f>
        <v>1</v>
      </c>
      <c r="D1755">
        <f>IF(OR(F_Custom1_Q="(None)",F_Custom1_Q="",ISBLANK(F_Custom1_Q),F_Custom1_V="(All)",F_Custom1_V="",ISBLANK(F_Custom1_V)),1,IFERROR(IF(ISNUMBER(SEARCH("|"&amp;INDEX(INDIRECT(F_Custom1_resolved_column),1754)&amp;"|",F_Custom1_wrapped)),1,0),0))</f>
        <v>1</v>
      </c>
      <c r="E1755">
        <f>IF(OR(F_Custom2_Q="(None)",F_Custom2_Q="",ISBLANK(F_Custom2_Q),F_Custom2_V="(All)",F_Custom2_V="",ISBLANK(F_Custom2_V)),1,IFERROR(IF(ISNUMBER(SEARCH("|"&amp;INDEX(INDIRECT(F_Custom2_resolved_column),1754)&amp;"|",F_Custom2_wrapped)),1,0),0))</f>
        <v>1</v>
      </c>
      <c r="F1755">
        <f>D1755*E1755*1</f>
        <v>1</v>
      </c>
      <c r="G1755">
        <f>1</f>
        <v>1</v>
      </c>
      <c r="H17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1754)&amp;"|",All_Questions_Q_STREAM_F_wrapped)),1,0),0))*1</f>
        <v>1</v>
      </c>
    </row>
    <row r="1756">
      <c r="A1756" t="n">
        <v>1755</v>
      </c>
      <c r="B1756" t="inlineStr">
        <is>
          <t>A</t>
        </is>
      </c>
      <c r="C1756">
        <f>1</f>
        <v>1</v>
      </c>
      <c r="D1756">
        <f>IF(OR(F_Custom1_Q="(None)",F_Custom1_Q="",ISBLANK(F_Custom1_Q),F_Custom1_V="(All)",F_Custom1_V="",ISBLANK(F_Custom1_V)),1,IFERROR(IF(ISNUMBER(SEARCH("|"&amp;INDEX(INDIRECT(F_Custom1_resolved_column),1755)&amp;"|",F_Custom1_wrapped)),1,0),0))</f>
        <v>1</v>
      </c>
      <c r="E1756">
        <f>IF(OR(F_Custom2_Q="(None)",F_Custom2_Q="",ISBLANK(F_Custom2_Q),F_Custom2_V="(All)",F_Custom2_V="",ISBLANK(F_Custom2_V)),1,IFERROR(IF(ISNUMBER(SEARCH("|"&amp;INDEX(INDIRECT(F_Custom2_resolved_column),1755)&amp;"|",F_Custom2_wrapped)),1,0),0))</f>
        <v>1</v>
      </c>
      <c r="F1756">
        <f>D1756*E1756*1</f>
        <v>1</v>
      </c>
      <c r="G1756">
        <f>1</f>
        <v>1</v>
      </c>
      <c r="H17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1755)&amp;"|",All_Questions_Q_STREAM_F_wrapped)),1,0),0))*1</f>
        <v>1</v>
      </c>
    </row>
    <row r="1757">
      <c r="A1757" t="n">
        <v>1756</v>
      </c>
      <c r="B1757" t="inlineStr">
        <is>
          <t>B</t>
        </is>
      </c>
      <c r="C1757">
        <f>1</f>
        <v>1</v>
      </c>
      <c r="D1757">
        <f>IF(OR(F_Custom1_Q="(None)",F_Custom1_Q="",ISBLANK(F_Custom1_Q),F_Custom1_V="(All)",F_Custom1_V="",ISBLANK(F_Custom1_V)),1,IFERROR(IF(ISNUMBER(SEARCH("|"&amp;INDEX(INDIRECT(F_Custom1_resolved_column),1756)&amp;"|",F_Custom1_wrapped)),1,0),0))</f>
        <v>1</v>
      </c>
      <c r="E1757">
        <f>IF(OR(F_Custom2_Q="(None)",F_Custom2_Q="",ISBLANK(F_Custom2_Q),F_Custom2_V="(All)",F_Custom2_V="",ISBLANK(F_Custom2_V)),1,IFERROR(IF(ISNUMBER(SEARCH("|"&amp;INDEX(INDIRECT(F_Custom2_resolved_column),1756)&amp;"|",F_Custom2_wrapped)),1,0),0))</f>
        <v>1</v>
      </c>
      <c r="F1757">
        <f>D1757*E1757*1</f>
        <v>1</v>
      </c>
      <c r="G1757">
        <f>1</f>
        <v>1</v>
      </c>
      <c r="H17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1756)&amp;"|",All_Questions_Q_STREAM_F_wrapped)),1,0),0))*1</f>
        <v>1</v>
      </c>
    </row>
    <row r="1758">
      <c r="A1758" t="n">
        <v>1757</v>
      </c>
      <c r="B1758" t="inlineStr">
        <is>
          <t>A</t>
        </is>
      </c>
      <c r="C1758">
        <f>1</f>
        <v>1</v>
      </c>
      <c r="D1758">
        <f>IF(OR(F_Custom1_Q="(None)",F_Custom1_Q="",ISBLANK(F_Custom1_Q),F_Custom1_V="(All)",F_Custom1_V="",ISBLANK(F_Custom1_V)),1,IFERROR(IF(ISNUMBER(SEARCH("|"&amp;INDEX(INDIRECT(F_Custom1_resolved_column),1757)&amp;"|",F_Custom1_wrapped)),1,0),0))</f>
        <v>1</v>
      </c>
      <c r="E1758">
        <f>IF(OR(F_Custom2_Q="(None)",F_Custom2_Q="",ISBLANK(F_Custom2_Q),F_Custom2_V="(All)",F_Custom2_V="",ISBLANK(F_Custom2_V)),1,IFERROR(IF(ISNUMBER(SEARCH("|"&amp;INDEX(INDIRECT(F_Custom2_resolved_column),1757)&amp;"|",F_Custom2_wrapped)),1,0),0))</f>
        <v>1</v>
      </c>
      <c r="F1758">
        <f>D1758*E1758*1</f>
        <v>1</v>
      </c>
      <c r="G1758">
        <f>1</f>
        <v>1</v>
      </c>
      <c r="H17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1757)&amp;"|",All_Questions_Q_STREAM_F_wrapped)),1,0),0))*1</f>
        <v>1</v>
      </c>
    </row>
    <row r="1759">
      <c r="A1759" t="n">
        <v>1758</v>
      </c>
      <c r="B1759" t="inlineStr">
        <is>
          <t>B</t>
        </is>
      </c>
      <c r="C1759">
        <f>1</f>
        <v>1</v>
      </c>
      <c r="D1759">
        <f>IF(OR(F_Custom1_Q="(None)",F_Custom1_Q="",ISBLANK(F_Custom1_Q),F_Custom1_V="(All)",F_Custom1_V="",ISBLANK(F_Custom1_V)),1,IFERROR(IF(ISNUMBER(SEARCH("|"&amp;INDEX(INDIRECT(F_Custom1_resolved_column),1758)&amp;"|",F_Custom1_wrapped)),1,0),0))</f>
        <v>1</v>
      </c>
      <c r="E1759">
        <f>IF(OR(F_Custom2_Q="(None)",F_Custom2_Q="",ISBLANK(F_Custom2_Q),F_Custom2_V="(All)",F_Custom2_V="",ISBLANK(F_Custom2_V)),1,IFERROR(IF(ISNUMBER(SEARCH("|"&amp;INDEX(INDIRECT(F_Custom2_resolved_column),1758)&amp;"|",F_Custom2_wrapped)),1,0),0))</f>
        <v>1</v>
      </c>
      <c r="F1759">
        <f>D1759*E1759*1</f>
        <v>1</v>
      </c>
      <c r="G1759">
        <f>1</f>
        <v>1</v>
      </c>
      <c r="H17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1758)&amp;"|",All_Questions_Q_STREAM_F_wrapped)),1,0),0))*1</f>
        <v>1</v>
      </c>
    </row>
    <row r="1760">
      <c r="A1760" t="n">
        <v>1759</v>
      </c>
      <c r="B1760" t="inlineStr">
        <is>
          <t>A</t>
        </is>
      </c>
      <c r="C1760">
        <f>1</f>
        <v>1</v>
      </c>
      <c r="D1760">
        <f>IF(OR(F_Custom1_Q="(None)",F_Custom1_Q="",ISBLANK(F_Custom1_Q),F_Custom1_V="(All)",F_Custom1_V="",ISBLANK(F_Custom1_V)),1,IFERROR(IF(ISNUMBER(SEARCH("|"&amp;INDEX(INDIRECT(F_Custom1_resolved_column),1759)&amp;"|",F_Custom1_wrapped)),1,0),0))</f>
        <v>1</v>
      </c>
      <c r="E1760">
        <f>IF(OR(F_Custom2_Q="(None)",F_Custom2_Q="",ISBLANK(F_Custom2_Q),F_Custom2_V="(All)",F_Custom2_V="",ISBLANK(F_Custom2_V)),1,IFERROR(IF(ISNUMBER(SEARCH("|"&amp;INDEX(INDIRECT(F_Custom2_resolved_column),1759)&amp;"|",F_Custom2_wrapped)),1,0),0))</f>
        <v>1</v>
      </c>
      <c r="F1760">
        <f>D1760*E1760*1</f>
        <v>1</v>
      </c>
      <c r="G1760">
        <f>1</f>
        <v>1</v>
      </c>
      <c r="H17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1759)&amp;"|",All_Questions_Q_STREAM_F_wrapped)),1,0),0))*1</f>
        <v>1</v>
      </c>
    </row>
    <row r="1761">
      <c r="A1761" t="n">
        <v>1760</v>
      </c>
      <c r="B1761" t="inlineStr">
        <is>
          <t>B</t>
        </is>
      </c>
      <c r="C1761">
        <f>1</f>
        <v>1</v>
      </c>
      <c r="D1761">
        <f>IF(OR(F_Custom1_Q="(None)",F_Custom1_Q="",ISBLANK(F_Custom1_Q),F_Custom1_V="(All)",F_Custom1_V="",ISBLANK(F_Custom1_V)),1,IFERROR(IF(ISNUMBER(SEARCH("|"&amp;INDEX(INDIRECT(F_Custom1_resolved_column),1760)&amp;"|",F_Custom1_wrapped)),1,0),0))</f>
        <v>1</v>
      </c>
      <c r="E1761">
        <f>IF(OR(F_Custom2_Q="(None)",F_Custom2_Q="",ISBLANK(F_Custom2_Q),F_Custom2_V="(All)",F_Custom2_V="",ISBLANK(F_Custom2_V)),1,IFERROR(IF(ISNUMBER(SEARCH("|"&amp;INDEX(INDIRECT(F_Custom2_resolved_column),1760)&amp;"|",F_Custom2_wrapped)),1,0),0))</f>
        <v>1</v>
      </c>
      <c r="F1761">
        <f>D1761*E1761*1</f>
        <v>1</v>
      </c>
      <c r="G1761">
        <f>1</f>
        <v>1</v>
      </c>
      <c r="H17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1760)&amp;"|",All_Questions_Q_STREAM_F_wrapped)),1,0),0))*1</f>
        <v>1</v>
      </c>
    </row>
    <row r="1762">
      <c r="A1762" t="n">
        <v>1761</v>
      </c>
      <c r="B1762" t="inlineStr">
        <is>
          <t>A</t>
        </is>
      </c>
      <c r="C1762">
        <f>1</f>
        <v>1</v>
      </c>
      <c r="D1762">
        <f>IF(OR(F_Custom1_Q="(None)",F_Custom1_Q="",ISBLANK(F_Custom1_Q),F_Custom1_V="(All)",F_Custom1_V="",ISBLANK(F_Custom1_V)),1,IFERROR(IF(ISNUMBER(SEARCH("|"&amp;INDEX(INDIRECT(F_Custom1_resolved_column),1761)&amp;"|",F_Custom1_wrapped)),1,0),0))</f>
        <v>1</v>
      </c>
      <c r="E1762">
        <f>IF(OR(F_Custom2_Q="(None)",F_Custom2_Q="",ISBLANK(F_Custom2_Q),F_Custom2_V="(All)",F_Custom2_V="",ISBLANK(F_Custom2_V)),1,IFERROR(IF(ISNUMBER(SEARCH("|"&amp;INDEX(INDIRECT(F_Custom2_resolved_column),1761)&amp;"|",F_Custom2_wrapped)),1,0),0))</f>
        <v>1</v>
      </c>
      <c r="F1762">
        <f>D1762*E1762*1</f>
        <v>1</v>
      </c>
      <c r="G1762">
        <f>1</f>
        <v>1</v>
      </c>
      <c r="H17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1761)&amp;"|",All_Questions_Q_STREAM_F_wrapped)),1,0),0))*1</f>
        <v>1</v>
      </c>
    </row>
    <row r="1763">
      <c r="A1763" t="n">
        <v>1762</v>
      </c>
      <c r="B1763" t="inlineStr">
        <is>
          <t>B</t>
        </is>
      </c>
      <c r="C1763">
        <f>1</f>
        <v>1</v>
      </c>
      <c r="D1763">
        <f>IF(OR(F_Custom1_Q="(None)",F_Custom1_Q="",ISBLANK(F_Custom1_Q),F_Custom1_V="(All)",F_Custom1_V="",ISBLANK(F_Custom1_V)),1,IFERROR(IF(ISNUMBER(SEARCH("|"&amp;INDEX(INDIRECT(F_Custom1_resolved_column),1762)&amp;"|",F_Custom1_wrapped)),1,0),0))</f>
        <v>1</v>
      </c>
      <c r="E1763">
        <f>IF(OR(F_Custom2_Q="(None)",F_Custom2_Q="",ISBLANK(F_Custom2_Q),F_Custom2_V="(All)",F_Custom2_V="",ISBLANK(F_Custom2_V)),1,IFERROR(IF(ISNUMBER(SEARCH("|"&amp;INDEX(INDIRECT(F_Custom2_resolved_column),1762)&amp;"|",F_Custom2_wrapped)),1,0),0))</f>
        <v>1</v>
      </c>
      <c r="F1763">
        <f>D1763*E1763*1</f>
        <v>1</v>
      </c>
      <c r="G1763">
        <f>1</f>
        <v>1</v>
      </c>
      <c r="H17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1762)&amp;"|",All_Questions_Q_STREAM_F_wrapped)),1,0),0))*1</f>
        <v>1</v>
      </c>
    </row>
    <row r="1764">
      <c r="A1764" t="n">
        <v>1763</v>
      </c>
      <c r="B1764" t="inlineStr">
        <is>
          <t>A</t>
        </is>
      </c>
      <c r="C1764">
        <f>1</f>
        <v>1</v>
      </c>
      <c r="D1764">
        <f>IF(OR(F_Custom1_Q="(None)",F_Custom1_Q="",ISBLANK(F_Custom1_Q),F_Custom1_V="(All)",F_Custom1_V="",ISBLANK(F_Custom1_V)),1,IFERROR(IF(ISNUMBER(SEARCH("|"&amp;INDEX(INDIRECT(F_Custom1_resolved_column),1763)&amp;"|",F_Custom1_wrapped)),1,0),0))</f>
        <v>1</v>
      </c>
      <c r="E1764">
        <f>IF(OR(F_Custom2_Q="(None)",F_Custom2_Q="",ISBLANK(F_Custom2_Q),F_Custom2_V="(All)",F_Custom2_V="",ISBLANK(F_Custom2_V)),1,IFERROR(IF(ISNUMBER(SEARCH("|"&amp;INDEX(INDIRECT(F_Custom2_resolved_column),1763)&amp;"|",F_Custom2_wrapped)),1,0),0))</f>
        <v>1</v>
      </c>
      <c r="F1764">
        <f>D1764*E1764*1</f>
        <v>1</v>
      </c>
      <c r="G1764">
        <f>1</f>
        <v>1</v>
      </c>
      <c r="H17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1763)&amp;"|",All_Questions_Q_STREAM_F_wrapped)),1,0),0))*1</f>
        <v>1</v>
      </c>
    </row>
    <row r="1765">
      <c r="A1765" t="n">
        <v>1764</v>
      </c>
      <c r="B1765" t="inlineStr">
        <is>
          <t>B</t>
        </is>
      </c>
      <c r="C1765">
        <f>1</f>
        <v>1</v>
      </c>
      <c r="D1765">
        <f>IF(OR(F_Custom1_Q="(None)",F_Custom1_Q="",ISBLANK(F_Custom1_Q),F_Custom1_V="(All)",F_Custom1_V="",ISBLANK(F_Custom1_V)),1,IFERROR(IF(ISNUMBER(SEARCH("|"&amp;INDEX(INDIRECT(F_Custom1_resolved_column),1764)&amp;"|",F_Custom1_wrapped)),1,0),0))</f>
        <v>1</v>
      </c>
      <c r="E1765">
        <f>IF(OR(F_Custom2_Q="(None)",F_Custom2_Q="",ISBLANK(F_Custom2_Q),F_Custom2_V="(All)",F_Custom2_V="",ISBLANK(F_Custom2_V)),1,IFERROR(IF(ISNUMBER(SEARCH("|"&amp;INDEX(INDIRECT(F_Custom2_resolved_column),1764)&amp;"|",F_Custom2_wrapped)),1,0),0))</f>
        <v>1</v>
      </c>
      <c r="F1765">
        <f>D1765*E1765*1</f>
        <v>1</v>
      </c>
      <c r="G1765">
        <f>1</f>
        <v>1</v>
      </c>
      <c r="H17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1764)&amp;"|",All_Questions_Q_STREAM_F_wrapped)),1,0),0))*1</f>
        <v>1</v>
      </c>
    </row>
    <row r="1766">
      <c r="A1766" t="n">
        <v>1765</v>
      </c>
      <c r="B1766" t="inlineStr">
        <is>
          <t>A</t>
        </is>
      </c>
      <c r="C1766">
        <f>1</f>
        <v>1</v>
      </c>
      <c r="D1766">
        <f>IF(OR(F_Custom1_Q="(None)",F_Custom1_Q="",ISBLANK(F_Custom1_Q),F_Custom1_V="(All)",F_Custom1_V="",ISBLANK(F_Custom1_V)),1,IFERROR(IF(ISNUMBER(SEARCH("|"&amp;INDEX(INDIRECT(F_Custom1_resolved_column),1765)&amp;"|",F_Custom1_wrapped)),1,0),0))</f>
        <v>1</v>
      </c>
      <c r="E1766">
        <f>IF(OR(F_Custom2_Q="(None)",F_Custom2_Q="",ISBLANK(F_Custom2_Q),F_Custom2_V="(All)",F_Custom2_V="",ISBLANK(F_Custom2_V)),1,IFERROR(IF(ISNUMBER(SEARCH("|"&amp;INDEX(INDIRECT(F_Custom2_resolved_column),1765)&amp;"|",F_Custom2_wrapped)),1,0),0))</f>
        <v>1</v>
      </c>
      <c r="F1766">
        <f>D1766*E1766*1</f>
        <v>1</v>
      </c>
      <c r="G1766">
        <f>1</f>
        <v>1</v>
      </c>
      <c r="H17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1765)&amp;"|",All_Questions_Q_STREAM_F_wrapped)),1,0),0))*1</f>
        <v>1</v>
      </c>
    </row>
    <row r="1767">
      <c r="A1767" t="n">
        <v>1766</v>
      </c>
      <c r="B1767" t="inlineStr">
        <is>
          <t>B</t>
        </is>
      </c>
      <c r="C1767">
        <f>1</f>
        <v>1</v>
      </c>
      <c r="D1767">
        <f>IF(OR(F_Custom1_Q="(None)",F_Custom1_Q="",ISBLANK(F_Custom1_Q),F_Custom1_V="(All)",F_Custom1_V="",ISBLANK(F_Custom1_V)),1,IFERROR(IF(ISNUMBER(SEARCH("|"&amp;INDEX(INDIRECT(F_Custom1_resolved_column),1766)&amp;"|",F_Custom1_wrapped)),1,0),0))</f>
        <v>1</v>
      </c>
      <c r="E1767">
        <f>IF(OR(F_Custom2_Q="(None)",F_Custom2_Q="",ISBLANK(F_Custom2_Q),F_Custom2_V="(All)",F_Custom2_V="",ISBLANK(F_Custom2_V)),1,IFERROR(IF(ISNUMBER(SEARCH("|"&amp;INDEX(INDIRECT(F_Custom2_resolved_column),1766)&amp;"|",F_Custom2_wrapped)),1,0),0))</f>
        <v>1</v>
      </c>
      <c r="F1767">
        <f>D1767*E1767*1</f>
        <v>1</v>
      </c>
      <c r="G1767">
        <f>1</f>
        <v>1</v>
      </c>
      <c r="H17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1766)&amp;"|",All_Questions_Q_STREAM_F_wrapped)),1,0),0))*1</f>
        <v>1</v>
      </c>
    </row>
    <row r="1768">
      <c r="A1768" t="n">
        <v>1767</v>
      </c>
      <c r="B1768" t="inlineStr">
        <is>
          <t>A</t>
        </is>
      </c>
      <c r="C1768">
        <f>1</f>
        <v>1</v>
      </c>
      <c r="D1768">
        <f>IF(OR(F_Custom1_Q="(None)",F_Custom1_Q="",ISBLANK(F_Custom1_Q),F_Custom1_V="(All)",F_Custom1_V="",ISBLANK(F_Custom1_V)),1,IFERROR(IF(ISNUMBER(SEARCH("|"&amp;INDEX(INDIRECT(F_Custom1_resolved_column),1767)&amp;"|",F_Custom1_wrapped)),1,0),0))</f>
        <v>1</v>
      </c>
      <c r="E1768">
        <f>IF(OR(F_Custom2_Q="(None)",F_Custom2_Q="",ISBLANK(F_Custom2_Q),F_Custom2_V="(All)",F_Custom2_V="",ISBLANK(F_Custom2_V)),1,IFERROR(IF(ISNUMBER(SEARCH("|"&amp;INDEX(INDIRECT(F_Custom2_resolved_column),1767)&amp;"|",F_Custom2_wrapped)),1,0),0))</f>
        <v>1</v>
      </c>
      <c r="F1768">
        <f>D1768*E1768*1</f>
        <v>1</v>
      </c>
      <c r="G1768">
        <f>1</f>
        <v>1</v>
      </c>
      <c r="H17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1767)&amp;"|",All_Questions_Q_STREAM_F_wrapped)),1,0),0))*1</f>
        <v>1</v>
      </c>
    </row>
    <row r="1769">
      <c r="A1769" t="n">
        <v>1768</v>
      </c>
      <c r="B1769" t="inlineStr">
        <is>
          <t>B</t>
        </is>
      </c>
      <c r="C1769">
        <f>1</f>
        <v>1</v>
      </c>
      <c r="D1769">
        <f>IF(OR(F_Custom1_Q="(None)",F_Custom1_Q="",ISBLANK(F_Custom1_Q),F_Custom1_V="(All)",F_Custom1_V="",ISBLANK(F_Custom1_V)),1,IFERROR(IF(ISNUMBER(SEARCH("|"&amp;INDEX(INDIRECT(F_Custom1_resolved_column),1768)&amp;"|",F_Custom1_wrapped)),1,0),0))</f>
        <v>1</v>
      </c>
      <c r="E1769">
        <f>IF(OR(F_Custom2_Q="(None)",F_Custom2_Q="",ISBLANK(F_Custom2_Q),F_Custom2_V="(All)",F_Custom2_V="",ISBLANK(F_Custom2_V)),1,IFERROR(IF(ISNUMBER(SEARCH("|"&amp;INDEX(INDIRECT(F_Custom2_resolved_column),1768)&amp;"|",F_Custom2_wrapped)),1,0),0))</f>
        <v>1</v>
      </c>
      <c r="F1769">
        <f>D1769*E1769*1</f>
        <v>1</v>
      </c>
      <c r="G1769">
        <f>1</f>
        <v>1</v>
      </c>
      <c r="H17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1768)&amp;"|",All_Questions_Q_STREAM_F_wrapped)),1,0),0))*1</f>
        <v>1</v>
      </c>
    </row>
    <row r="1770">
      <c r="A1770" t="n">
        <v>1769</v>
      </c>
      <c r="B1770" t="inlineStr">
        <is>
          <t>A</t>
        </is>
      </c>
      <c r="C1770">
        <f>1</f>
        <v>1</v>
      </c>
      <c r="D1770">
        <f>IF(OR(F_Custom1_Q="(None)",F_Custom1_Q="",ISBLANK(F_Custom1_Q),F_Custom1_V="(All)",F_Custom1_V="",ISBLANK(F_Custom1_V)),1,IFERROR(IF(ISNUMBER(SEARCH("|"&amp;INDEX(INDIRECT(F_Custom1_resolved_column),1769)&amp;"|",F_Custom1_wrapped)),1,0),0))</f>
        <v>1</v>
      </c>
      <c r="E1770">
        <f>IF(OR(F_Custom2_Q="(None)",F_Custom2_Q="",ISBLANK(F_Custom2_Q),F_Custom2_V="(All)",F_Custom2_V="",ISBLANK(F_Custom2_V)),1,IFERROR(IF(ISNUMBER(SEARCH("|"&amp;INDEX(INDIRECT(F_Custom2_resolved_column),1769)&amp;"|",F_Custom2_wrapped)),1,0),0))</f>
        <v>1</v>
      </c>
      <c r="F1770">
        <f>D1770*E1770*1</f>
        <v>1</v>
      </c>
      <c r="G1770">
        <f>1</f>
        <v>1</v>
      </c>
      <c r="H17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1769)&amp;"|",All_Questions_Q_STREAM_F_wrapped)),1,0),0))*1</f>
        <v>1</v>
      </c>
    </row>
    <row r="1771">
      <c r="A1771" t="n">
        <v>1770</v>
      </c>
      <c r="B1771" t="inlineStr">
        <is>
          <t>B</t>
        </is>
      </c>
      <c r="C1771">
        <f>1</f>
        <v>1</v>
      </c>
      <c r="D1771">
        <f>IF(OR(F_Custom1_Q="(None)",F_Custom1_Q="",ISBLANK(F_Custom1_Q),F_Custom1_V="(All)",F_Custom1_V="",ISBLANK(F_Custom1_V)),1,IFERROR(IF(ISNUMBER(SEARCH("|"&amp;INDEX(INDIRECT(F_Custom1_resolved_column),1770)&amp;"|",F_Custom1_wrapped)),1,0),0))</f>
        <v>1</v>
      </c>
      <c r="E1771">
        <f>IF(OR(F_Custom2_Q="(None)",F_Custom2_Q="",ISBLANK(F_Custom2_Q),F_Custom2_V="(All)",F_Custom2_V="",ISBLANK(F_Custom2_V)),1,IFERROR(IF(ISNUMBER(SEARCH("|"&amp;INDEX(INDIRECT(F_Custom2_resolved_column),1770)&amp;"|",F_Custom2_wrapped)),1,0),0))</f>
        <v>1</v>
      </c>
      <c r="F1771">
        <f>D1771*E1771*1</f>
        <v>1</v>
      </c>
      <c r="G1771">
        <f>1</f>
        <v>1</v>
      </c>
      <c r="H17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1770)&amp;"|",All_Questions_Q_STREAM_F_wrapped)),1,0),0))*1</f>
        <v>1</v>
      </c>
    </row>
    <row r="1772">
      <c r="A1772" t="n">
        <v>1771</v>
      </c>
      <c r="B1772" t="inlineStr">
        <is>
          <t>A</t>
        </is>
      </c>
      <c r="C1772">
        <f>1</f>
        <v>1</v>
      </c>
      <c r="D1772">
        <f>IF(OR(F_Custom1_Q="(None)",F_Custom1_Q="",ISBLANK(F_Custom1_Q),F_Custom1_V="(All)",F_Custom1_V="",ISBLANK(F_Custom1_V)),1,IFERROR(IF(ISNUMBER(SEARCH("|"&amp;INDEX(INDIRECT(F_Custom1_resolved_column),1771)&amp;"|",F_Custom1_wrapped)),1,0),0))</f>
        <v>1</v>
      </c>
      <c r="E1772">
        <f>IF(OR(F_Custom2_Q="(None)",F_Custom2_Q="",ISBLANK(F_Custom2_Q),F_Custom2_V="(All)",F_Custom2_V="",ISBLANK(F_Custom2_V)),1,IFERROR(IF(ISNUMBER(SEARCH("|"&amp;INDEX(INDIRECT(F_Custom2_resolved_column),1771)&amp;"|",F_Custom2_wrapped)),1,0),0))</f>
        <v>1</v>
      </c>
      <c r="F1772">
        <f>D1772*E1772*1</f>
        <v>1</v>
      </c>
      <c r="G1772">
        <f>1</f>
        <v>1</v>
      </c>
      <c r="H17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1771)&amp;"|",All_Questions_Q_STREAM_F_wrapped)),1,0),0))*1</f>
        <v>1</v>
      </c>
    </row>
    <row r="1773">
      <c r="A1773" t="n">
        <v>1772</v>
      </c>
      <c r="B1773" t="inlineStr">
        <is>
          <t>B</t>
        </is>
      </c>
      <c r="C1773">
        <f>1</f>
        <v>1</v>
      </c>
      <c r="D1773">
        <f>IF(OR(F_Custom1_Q="(None)",F_Custom1_Q="",ISBLANK(F_Custom1_Q),F_Custom1_V="(All)",F_Custom1_V="",ISBLANK(F_Custom1_V)),1,IFERROR(IF(ISNUMBER(SEARCH("|"&amp;INDEX(INDIRECT(F_Custom1_resolved_column),1772)&amp;"|",F_Custom1_wrapped)),1,0),0))</f>
        <v>1</v>
      </c>
      <c r="E1773">
        <f>IF(OR(F_Custom2_Q="(None)",F_Custom2_Q="",ISBLANK(F_Custom2_Q),F_Custom2_V="(All)",F_Custom2_V="",ISBLANK(F_Custom2_V)),1,IFERROR(IF(ISNUMBER(SEARCH("|"&amp;INDEX(INDIRECT(F_Custom2_resolved_column),1772)&amp;"|",F_Custom2_wrapped)),1,0),0))</f>
        <v>1</v>
      </c>
      <c r="F1773">
        <f>D1773*E1773*1</f>
        <v>1</v>
      </c>
      <c r="G1773">
        <f>1</f>
        <v>1</v>
      </c>
      <c r="H17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1772)&amp;"|",All_Questions_Q_STREAM_F_wrapped)),1,0),0))*1</f>
        <v>1</v>
      </c>
    </row>
    <row r="1774">
      <c r="A1774" t="n">
        <v>1773</v>
      </c>
      <c r="B1774" t="inlineStr">
        <is>
          <t>A</t>
        </is>
      </c>
      <c r="C1774">
        <f>1</f>
        <v>1</v>
      </c>
      <c r="D1774">
        <f>IF(OR(F_Custom1_Q="(None)",F_Custom1_Q="",ISBLANK(F_Custom1_Q),F_Custom1_V="(All)",F_Custom1_V="",ISBLANK(F_Custom1_V)),1,IFERROR(IF(ISNUMBER(SEARCH("|"&amp;INDEX(INDIRECT(F_Custom1_resolved_column),1773)&amp;"|",F_Custom1_wrapped)),1,0),0))</f>
        <v>1</v>
      </c>
      <c r="E1774">
        <f>IF(OR(F_Custom2_Q="(None)",F_Custom2_Q="",ISBLANK(F_Custom2_Q),F_Custom2_V="(All)",F_Custom2_V="",ISBLANK(F_Custom2_V)),1,IFERROR(IF(ISNUMBER(SEARCH("|"&amp;INDEX(INDIRECT(F_Custom2_resolved_column),1773)&amp;"|",F_Custom2_wrapped)),1,0),0))</f>
        <v>1</v>
      </c>
      <c r="F1774">
        <f>D1774*E1774*1</f>
        <v>1</v>
      </c>
      <c r="G1774">
        <f>1</f>
        <v>1</v>
      </c>
      <c r="H17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1773)&amp;"|",All_Questions_Q_STREAM_F_wrapped)),1,0),0))*1</f>
        <v>1</v>
      </c>
    </row>
    <row r="1775">
      <c r="A1775" t="n">
        <v>1774</v>
      </c>
      <c r="B1775" t="inlineStr">
        <is>
          <t>B</t>
        </is>
      </c>
      <c r="C1775">
        <f>1</f>
        <v>1</v>
      </c>
      <c r="D1775">
        <f>IF(OR(F_Custom1_Q="(None)",F_Custom1_Q="",ISBLANK(F_Custom1_Q),F_Custom1_V="(All)",F_Custom1_V="",ISBLANK(F_Custom1_V)),1,IFERROR(IF(ISNUMBER(SEARCH("|"&amp;INDEX(INDIRECT(F_Custom1_resolved_column),1774)&amp;"|",F_Custom1_wrapped)),1,0),0))</f>
        <v>1</v>
      </c>
      <c r="E1775">
        <f>IF(OR(F_Custom2_Q="(None)",F_Custom2_Q="",ISBLANK(F_Custom2_Q),F_Custom2_V="(All)",F_Custom2_V="",ISBLANK(F_Custom2_V)),1,IFERROR(IF(ISNUMBER(SEARCH("|"&amp;INDEX(INDIRECT(F_Custom2_resolved_column),1774)&amp;"|",F_Custom2_wrapped)),1,0),0))</f>
        <v>1</v>
      </c>
      <c r="F1775">
        <f>D1775*E1775*1</f>
        <v>1</v>
      </c>
      <c r="G1775">
        <f>1</f>
        <v>1</v>
      </c>
      <c r="H17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1774)&amp;"|",All_Questions_Q_STREAM_F_wrapped)),1,0),0))*1</f>
        <v>1</v>
      </c>
    </row>
    <row r="1776">
      <c r="A1776" t="n">
        <v>1775</v>
      </c>
      <c r="B1776" t="inlineStr">
        <is>
          <t>A</t>
        </is>
      </c>
      <c r="C1776">
        <f>1</f>
        <v>1</v>
      </c>
      <c r="D1776">
        <f>IF(OR(F_Custom1_Q="(None)",F_Custom1_Q="",ISBLANK(F_Custom1_Q),F_Custom1_V="(All)",F_Custom1_V="",ISBLANK(F_Custom1_V)),1,IFERROR(IF(ISNUMBER(SEARCH("|"&amp;INDEX(INDIRECT(F_Custom1_resolved_column),1775)&amp;"|",F_Custom1_wrapped)),1,0),0))</f>
        <v>1</v>
      </c>
      <c r="E1776">
        <f>IF(OR(F_Custom2_Q="(None)",F_Custom2_Q="",ISBLANK(F_Custom2_Q),F_Custom2_V="(All)",F_Custom2_V="",ISBLANK(F_Custom2_V)),1,IFERROR(IF(ISNUMBER(SEARCH("|"&amp;INDEX(INDIRECT(F_Custom2_resolved_column),1775)&amp;"|",F_Custom2_wrapped)),1,0),0))</f>
        <v>1</v>
      </c>
      <c r="F1776">
        <f>D1776*E1776*1</f>
        <v>1</v>
      </c>
      <c r="G1776">
        <f>1</f>
        <v>1</v>
      </c>
      <c r="H17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1775)&amp;"|",All_Questions_Q_STREAM_F_wrapped)),1,0),0))*1</f>
        <v>1</v>
      </c>
    </row>
    <row r="1777">
      <c r="A1777" t="n">
        <v>1776</v>
      </c>
      <c r="B1777" t="inlineStr">
        <is>
          <t>B</t>
        </is>
      </c>
      <c r="C1777">
        <f>1</f>
        <v>1</v>
      </c>
      <c r="D1777">
        <f>IF(OR(F_Custom1_Q="(None)",F_Custom1_Q="",ISBLANK(F_Custom1_Q),F_Custom1_V="(All)",F_Custom1_V="",ISBLANK(F_Custom1_V)),1,IFERROR(IF(ISNUMBER(SEARCH("|"&amp;INDEX(INDIRECT(F_Custom1_resolved_column),1776)&amp;"|",F_Custom1_wrapped)),1,0),0))</f>
        <v>1</v>
      </c>
      <c r="E1777">
        <f>IF(OR(F_Custom2_Q="(None)",F_Custom2_Q="",ISBLANK(F_Custom2_Q),F_Custom2_V="(All)",F_Custom2_V="",ISBLANK(F_Custom2_V)),1,IFERROR(IF(ISNUMBER(SEARCH("|"&amp;INDEX(INDIRECT(F_Custom2_resolved_column),1776)&amp;"|",F_Custom2_wrapped)),1,0),0))</f>
        <v>1</v>
      </c>
      <c r="F1777">
        <f>D1777*E1777*1</f>
        <v>1</v>
      </c>
      <c r="G1777">
        <f>1</f>
        <v>1</v>
      </c>
      <c r="H17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1776)&amp;"|",All_Questions_Q_STREAM_F_wrapped)),1,0),0))*1</f>
        <v>1</v>
      </c>
    </row>
    <row r="1778">
      <c r="A1778" t="n">
        <v>1777</v>
      </c>
      <c r="B1778" t="inlineStr">
        <is>
          <t>A</t>
        </is>
      </c>
      <c r="C1778">
        <f>1</f>
        <v>1</v>
      </c>
      <c r="D1778">
        <f>IF(OR(F_Custom1_Q="(None)",F_Custom1_Q="",ISBLANK(F_Custom1_Q),F_Custom1_V="(All)",F_Custom1_V="",ISBLANK(F_Custom1_V)),1,IFERROR(IF(ISNUMBER(SEARCH("|"&amp;INDEX(INDIRECT(F_Custom1_resolved_column),1777)&amp;"|",F_Custom1_wrapped)),1,0),0))</f>
        <v>1</v>
      </c>
      <c r="E1778">
        <f>IF(OR(F_Custom2_Q="(None)",F_Custom2_Q="",ISBLANK(F_Custom2_Q),F_Custom2_V="(All)",F_Custom2_V="",ISBLANK(F_Custom2_V)),1,IFERROR(IF(ISNUMBER(SEARCH("|"&amp;INDEX(INDIRECT(F_Custom2_resolved_column),1777)&amp;"|",F_Custom2_wrapped)),1,0),0))</f>
        <v>1</v>
      </c>
      <c r="F1778">
        <f>D1778*E1778*1</f>
        <v>1</v>
      </c>
      <c r="G1778">
        <f>1</f>
        <v>1</v>
      </c>
      <c r="H17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1777)&amp;"|",All_Questions_Q_STREAM_F_wrapped)),1,0),0))*1</f>
        <v>1</v>
      </c>
    </row>
    <row r="1779">
      <c r="A1779" t="n">
        <v>1778</v>
      </c>
      <c r="B1779" t="inlineStr">
        <is>
          <t>B</t>
        </is>
      </c>
      <c r="C1779">
        <f>1</f>
        <v>1</v>
      </c>
      <c r="D1779">
        <f>IF(OR(F_Custom1_Q="(None)",F_Custom1_Q="",ISBLANK(F_Custom1_Q),F_Custom1_V="(All)",F_Custom1_V="",ISBLANK(F_Custom1_V)),1,IFERROR(IF(ISNUMBER(SEARCH("|"&amp;INDEX(INDIRECT(F_Custom1_resolved_column),1778)&amp;"|",F_Custom1_wrapped)),1,0),0))</f>
        <v>1</v>
      </c>
      <c r="E1779">
        <f>IF(OR(F_Custom2_Q="(None)",F_Custom2_Q="",ISBLANK(F_Custom2_Q),F_Custom2_V="(All)",F_Custom2_V="",ISBLANK(F_Custom2_V)),1,IFERROR(IF(ISNUMBER(SEARCH("|"&amp;INDEX(INDIRECT(F_Custom2_resolved_column),1778)&amp;"|",F_Custom2_wrapped)),1,0),0))</f>
        <v>1</v>
      </c>
      <c r="F1779">
        <f>D1779*E1779*1</f>
        <v>1</v>
      </c>
      <c r="G1779">
        <f>1</f>
        <v>1</v>
      </c>
      <c r="H17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1778)&amp;"|",All_Questions_Q_STREAM_F_wrapped)),1,0),0))*1</f>
        <v>1</v>
      </c>
    </row>
    <row r="1780">
      <c r="A1780" t="n">
        <v>1779</v>
      </c>
      <c r="B1780" t="inlineStr">
        <is>
          <t>A</t>
        </is>
      </c>
      <c r="C1780">
        <f>1</f>
        <v>1</v>
      </c>
      <c r="D1780">
        <f>IF(OR(F_Custom1_Q="(None)",F_Custom1_Q="",ISBLANK(F_Custom1_Q),F_Custom1_V="(All)",F_Custom1_V="",ISBLANK(F_Custom1_V)),1,IFERROR(IF(ISNUMBER(SEARCH("|"&amp;INDEX(INDIRECT(F_Custom1_resolved_column),1779)&amp;"|",F_Custom1_wrapped)),1,0),0))</f>
        <v>1</v>
      </c>
      <c r="E1780">
        <f>IF(OR(F_Custom2_Q="(None)",F_Custom2_Q="",ISBLANK(F_Custom2_Q),F_Custom2_V="(All)",F_Custom2_V="",ISBLANK(F_Custom2_V)),1,IFERROR(IF(ISNUMBER(SEARCH("|"&amp;INDEX(INDIRECT(F_Custom2_resolved_column),1779)&amp;"|",F_Custom2_wrapped)),1,0),0))</f>
        <v>1</v>
      </c>
      <c r="F1780">
        <f>D1780*E1780*1</f>
        <v>1</v>
      </c>
      <c r="G1780">
        <f>1</f>
        <v>1</v>
      </c>
      <c r="H17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1779)&amp;"|",All_Questions_Q_STREAM_F_wrapped)),1,0),0))*1</f>
        <v>1</v>
      </c>
    </row>
    <row r="1781">
      <c r="A1781" t="n">
        <v>1780</v>
      </c>
      <c r="B1781" t="inlineStr">
        <is>
          <t>B</t>
        </is>
      </c>
      <c r="C1781">
        <f>1</f>
        <v>1</v>
      </c>
      <c r="D1781">
        <f>IF(OR(F_Custom1_Q="(None)",F_Custom1_Q="",ISBLANK(F_Custom1_Q),F_Custom1_V="(All)",F_Custom1_V="",ISBLANK(F_Custom1_V)),1,IFERROR(IF(ISNUMBER(SEARCH("|"&amp;INDEX(INDIRECT(F_Custom1_resolved_column),1780)&amp;"|",F_Custom1_wrapped)),1,0),0))</f>
        <v>1</v>
      </c>
      <c r="E1781">
        <f>IF(OR(F_Custom2_Q="(None)",F_Custom2_Q="",ISBLANK(F_Custom2_Q),F_Custom2_V="(All)",F_Custom2_V="",ISBLANK(F_Custom2_V)),1,IFERROR(IF(ISNUMBER(SEARCH("|"&amp;INDEX(INDIRECT(F_Custom2_resolved_column),1780)&amp;"|",F_Custom2_wrapped)),1,0),0))</f>
        <v>1</v>
      </c>
      <c r="F1781">
        <f>D1781*E1781*1</f>
        <v>1</v>
      </c>
      <c r="G1781">
        <f>1</f>
        <v>1</v>
      </c>
      <c r="H17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1780)&amp;"|",All_Questions_Q_STREAM_F_wrapped)),1,0),0))*1</f>
        <v>1</v>
      </c>
    </row>
    <row r="1782">
      <c r="A1782" t="n">
        <v>1781</v>
      </c>
      <c r="B1782" t="inlineStr">
        <is>
          <t>A</t>
        </is>
      </c>
      <c r="C1782">
        <f>1</f>
        <v>1</v>
      </c>
      <c r="D1782">
        <f>IF(OR(F_Custom1_Q="(None)",F_Custom1_Q="",ISBLANK(F_Custom1_Q),F_Custom1_V="(All)",F_Custom1_V="",ISBLANK(F_Custom1_V)),1,IFERROR(IF(ISNUMBER(SEARCH("|"&amp;INDEX(INDIRECT(F_Custom1_resolved_column),1781)&amp;"|",F_Custom1_wrapped)),1,0),0))</f>
        <v>1</v>
      </c>
      <c r="E1782">
        <f>IF(OR(F_Custom2_Q="(None)",F_Custom2_Q="",ISBLANK(F_Custom2_Q),F_Custom2_V="(All)",F_Custom2_V="",ISBLANK(F_Custom2_V)),1,IFERROR(IF(ISNUMBER(SEARCH("|"&amp;INDEX(INDIRECT(F_Custom2_resolved_column),1781)&amp;"|",F_Custom2_wrapped)),1,0),0))</f>
        <v>1</v>
      </c>
      <c r="F1782">
        <f>D1782*E1782*1</f>
        <v>1</v>
      </c>
      <c r="G1782">
        <f>1</f>
        <v>1</v>
      </c>
      <c r="H17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1781)&amp;"|",All_Questions_Q_STREAM_F_wrapped)),1,0),0))*1</f>
        <v>1</v>
      </c>
    </row>
    <row r="1783">
      <c r="A1783" t="n">
        <v>1782</v>
      </c>
      <c r="B1783" t="inlineStr">
        <is>
          <t>B</t>
        </is>
      </c>
      <c r="C1783">
        <f>1</f>
        <v>1</v>
      </c>
      <c r="D1783">
        <f>IF(OR(F_Custom1_Q="(None)",F_Custom1_Q="",ISBLANK(F_Custom1_Q),F_Custom1_V="(All)",F_Custom1_V="",ISBLANK(F_Custom1_V)),1,IFERROR(IF(ISNUMBER(SEARCH("|"&amp;INDEX(INDIRECT(F_Custom1_resolved_column),1782)&amp;"|",F_Custom1_wrapped)),1,0),0))</f>
        <v>1</v>
      </c>
      <c r="E1783">
        <f>IF(OR(F_Custom2_Q="(None)",F_Custom2_Q="",ISBLANK(F_Custom2_Q),F_Custom2_V="(All)",F_Custom2_V="",ISBLANK(F_Custom2_V)),1,IFERROR(IF(ISNUMBER(SEARCH("|"&amp;INDEX(INDIRECT(F_Custom2_resolved_column),1782)&amp;"|",F_Custom2_wrapped)),1,0),0))</f>
        <v>1</v>
      </c>
      <c r="F1783">
        <f>D1783*E1783*1</f>
        <v>1</v>
      </c>
      <c r="G1783">
        <f>1</f>
        <v>1</v>
      </c>
      <c r="H17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1782)&amp;"|",All_Questions_Q_STREAM_F_wrapped)),1,0),0))*1</f>
        <v>1</v>
      </c>
    </row>
    <row r="1784">
      <c r="A1784" t="n">
        <v>1783</v>
      </c>
      <c r="B1784" t="inlineStr">
        <is>
          <t>A</t>
        </is>
      </c>
      <c r="C1784">
        <f>1</f>
        <v>1</v>
      </c>
      <c r="D1784">
        <f>IF(OR(F_Custom1_Q="(None)",F_Custom1_Q="",ISBLANK(F_Custom1_Q),F_Custom1_V="(All)",F_Custom1_V="",ISBLANK(F_Custom1_V)),1,IFERROR(IF(ISNUMBER(SEARCH("|"&amp;INDEX(INDIRECT(F_Custom1_resolved_column),1783)&amp;"|",F_Custom1_wrapped)),1,0),0))</f>
        <v>1</v>
      </c>
      <c r="E1784">
        <f>IF(OR(F_Custom2_Q="(None)",F_Custom2_Q="",ISBLANK(F_Custom2_Q),F_Custom2_V="(All)",F_Custom2_V="",ISBLANK(F_Custom2_V)),1,IFERROR(IF(ISNUMBER(SEARCH("|"&amp;INDEX(INDIRECT(F_Custom2_resolved_column),1783)&amp;"|",F_Custom2_wrapped)),1,0),0))</f>
        <v>1</v>
      </c>
      <c r="F1784">
        <f>D1784*E1784*1</f>
        <v>1</v>
      </c>
      <c r="G1784">
        <f>1</f>
        <v>1</v>
      </c>
      <c r="H17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1783)&amp;"|",All_Questions_Q_STREAM_F_wrapped)),1,0),0))*1</f>
        <v>1</v>
      </c>
    </row>
    <row r="1785">
      <c r="A1785" t="n">
        <v>1784</v>
      </c>
      <c r="B1785" t="inlineStr">
        <is>
          <t>B</t>
        </is>
      </c>
      <c r="C1785">
        <f>1</f>
        <v>1</v>
      </c>
      <c r="D1785">
        <f>IF(OR(F_Custom1_Q="(None)",F_Custom1_Q="",ISBLANK(F_Custom1_Q),F_Custom1_V="(All)",F_Custom1_V="",ISBLANK(F_Custom1_V)),1,IFERROR(IF(ISNUMBER(SEARCH("|"&amp;INDEX(INDIRECT(F_Custom1_resolved_column),1784)&amp;"|",F_Custom1_wrapped)),1,0),0))</f>
        <v>1</v>
      </c>
      <c r="E1785">
        <f>IF(OR(F_Custom2_Q="(None)",F_Custom2_Q="",ISBLANK(F_Custom2_Q),F_Custom2_V="(All)",F_Custom2_V="",ISBLANK(F_Custom2_V)),1,IFERROR(IF(ISNUMBER(SEARCH("|"&amp;INDEX(INDIRECT(F_Custom2_resolved_column),1784)&amp;"|",F_Custom2_wrapped)),1,0),0))</f>
        <v>1</v>
      </c>
      <c r="F1785">
        <f>D1785*E1785*1</f>
        <v>1</v>
      </c>
      <c r="G1785">
        <f>1</f>
        <v>1</v>
      </c>
      <c r="H17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1784)&amp;"|",All_Questions_Q_STREAM_F_wrapped)),1,0),0))*1</f>
        <v>1</v>
      </c>
    </row>
    <row r="1786">
      <c r="A1786" t="n">
        <v>1785</v>
      </c>
      <c r="B1786" t="inlineStr">
        <is>
          <t>A</t>
        </is>
      </c>
      <c r="C1786">
        <f>1</f>
        <v>1</v>
      </c>
      <c r="D1786">
        <f>IF(OR(F_Custom1_Q="(None)",F_Custom1_Q="",ISBLANK(F_Custom1_Q),F_Custom1_V="(All)",F_Custom1_V="",ISBLANK(F_Custom1_V)),1,IFERROR(IF(ISNUMBER(SEARCH("|"&amp;INDEX(INDIRECT(F_Custom1_resolved_column),1785)&amp;"|",F_Custom1_wrapped)),1,0),0))</f>
        <v>1</v>
      </c>
      <c r="E1786">
        <f>IF(OR(F_Custom2_Q="(None)",F_Custom2_Q="",ISBLANK(F_Custom2_Q),F_Custom2_V="(All)",F_Custom2_V="",ISBLANK(F_Custom2_V)),1,IFERROR(IF(ISNUMBER(SEARCH("|"&amp;INDEX(INDIRECT(F_Custom2_resolved_column),1785)&amp;"|",F_Custom2_wrapped)),1,0),0))</f>
        <v>1</v>
      </c>
      <c r="F1786">
        <f>D1786*E1786*1</f>
        <v>1</v>
      </c>
      <c r="G1786">
        <f>1</f>
        <v>1</v>
      </c>
      <c r="H17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1785)&amp;"|",All_Questions_Q_STREAM_F_wrapped)),1,0),0))*1</f>
        <v>1</v>
      </c>
    </row>
    <row r="1787">
      <c r="A1787" t="n">
        <v>1786</v>
      </c>
      <c r="B1787" t="inlineStr">
        <is>
          <t>B</t>
        </is>
      </c>
      <c r="C1787">
        <f>1</f>
        <v>1</v>
      </c>
      <c r="D1787">
        <f>IF(OR(F_Custom1_Q="(None)",F_Custom1_Q="",ISBLANK(F_Custom1_Q),F_Custom1_V="(All)",F_Custom1_V="",ISBLANK(F_Custom1_V)),1,IFERROR(IF(ISNUMBER(SEARCH("|"&amp;INDEX(INDIRECT(F_Custom1_resolved_column),1786)&amp;"|",F_Custom1_wrapped)),1,0),0))</f>
        <v>1</v>
      </c>
      <c r="E1787">
        <f>IF(OR(F_Custom2_Q="(None)",F_Custom2_Q="",ISBLANK(F_Custom2_Q),F_Custom2_V="(All)",F_Custom2_V="",ISBLANK(F_Custom2_V)),1,IFERROR(IF(ISNUMBER(SEARCH("|"&amp;INDEX(INDIRECT(F_Custom2_resolved_column),1786)&amp;"|",F_Custom2_wrapped)),1,0),0))</f>
        <v>1</v>
      </c>
      <c r="F1787">
        <f>D1787*E1787*1</f>
        <v>1</v>
      </c>
      <c r="G1787">
        <f>1</f>
        <v>1</v>
      </c>
      <c r="H17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1786)&amp;"|",All_Questions_Q_STREAM_F_wrapped)),1,0),0))*1</f>
        <v>1</v>
      </c>
    </row>
    <row r="1788">
      <c r="A1788" t="n">
        <v>1787</v>
      </c>
      <c r="B1788" t="inlineStr">
        <is>
          <t>A</t>
        </is>
      </c>
      <c r="C1788">
        <f>1</f>
        <v>1</v>
      </c>
      <c r="D1788">
        <f>IF(OR(F_Custom1_Q="(None)",F_Custom1_Q="",ISBLANK(F_Custom1_Q),F_Custom1_V="(All)",F_Custom1_V="",ISBLANK(F_Custom1_V)),1,IFERROR(IF(ISNUMBER(SEARCH("|"&amp;INDEX(INDIRECT(F_Custom1_resolved_column),1787)&amp;"|",F_Custom1_wrapped)),1,0),0))</f>
        <v>1</v>
      </c>
      <c r="E1788">
        <f>IF(OR(F_Custom2_Q="(None)",F_Custom2_Q="",ISBLANK(F_Custom2_Q),F_Custom2_V="(All)",F_Custom2_V="",ISBLANK(F_Custom2_V)),1,IFERROR(IF(ISNUMBER(SEARCH("|"&amp;INDEX(INDIRECT(F_Custom2_resolved_column),1787)&amp;"|",F_Custom2_wrapped)),1,0),0))</f>
        <v>1</v>
      </c>
      <c r="F1788">
        <f>D1788*E1788*1</f>
        <v>1</v>
      </c>
      <c r="G1788">
        <f>1</f>
        <v>1</v>
      </c>
      <c r="H17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1787)&amp;"|",All_Questions_Q_STREAM_F_wrapped)),1,0),0))*1</f>
        <v>1</v>
      </c>
    </row>
    <row r="1789">
      <c r="A1789" t="n">
        <v>1788</v>
      </c>
      <c r="B1789" t="inlineStr">
        <is>
          <t>B</t>
        </is>
      </c>
      <c r="C1789">
        <f>1</f>
        <v>1</v>
      </c>
      <c r="D1789">
        <f>IF(OR(F_Custom1_Q="(None)",F_Custom1_Q="",ISBLANK(F_Custom1_Q),F_Custom1_V="(All)",F_Custom1_V="",ISBLANK(F_Custom1_V)),1,IFERROR(IF(ISNUMBER(SEARCH("|"&amp;INDEX(INDIRECT(F_Custom1_resolved_column),1788)&amp;"|",F_Custom1_wrapped)),1,0),0))</f>
        <v>1</v>
      </c>
      <c r="E1789">
        <f>IF(OR(F_Custom2_Q="(None)",F_Custom2_Q="",ISBLANK(F_Custom2_Q),F_Custom2_V="(All)",F_Custom2_V="",ISBLANK(F_Custom2_V)),1,IFERROR(IF(ISNUMBER(SEARCH("|"&amp;INDEX(INDIRECT(F_Custom2_resolved_column),1788)&amp;"|",F_Custom2_wrapped)),1,0),0))</f>
        <v>1</v>
      </c>
      <c r="F1789">
        <f>D1789*E1789*1</f>
        <v>1</v>
      </c>
      <c r="G1789">
        <f>1</f>
        <v>1</v>
      </c>
      <c r="H17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1788)&amp;"|",All_Questions_Q_STREAM_F_wrapped)),1,0),0))*1</f>
        <v>1</v>
      </c>
    </row>
    <row r="1790">
      <c r="A1790" t="n">
        <v>1789</v>
      </c>
      <c r="B1790" t="inlineStr">
        <is>
          <t>A</t>
        </is>
      </c>
      <c r="C1790">
        <f>1</f>
        <v>1</v>
      </c>
      <c r="D1790">
        <f>IF(OR(F_Custom1_Q="(None)",F_Custom1_Q="",ISBLANK(F_Custom1_Q),F_Custom1_V="(All)",F_Custom1_V="",ISBLANK(F_Custom1_V)),1,IFERROR(IF(ISNUMBER(SEARCH("|"&amp;INDEX(INDIRECT(F_Custom1_resolved_column),1789)&amp;"|",F_Custom1_wrapped)),1,0),0))</f>
        <v>1</v>
      </c>
      <c r="E1790">
        <f>IF(OR(F_Custom2_Q="(None)",F_Custom2_Q="",ISBLANK(F_Custom2_Q),F_Custom2_V="(All)",F_Custom2_V="",ISBLANK(F_Custom2_V)),1,IFERROR(IF(ISNUMBER(SEARCH("|"&amp;INDEX(INDIRECT(F_Custom2_resolved_column),1789)&amp;"|",F_Custom2_wrapped)),1,0),0))</f>
        <v>1</v>
      </c>
      <c r="F1790">
        <f>D1790*E1790*1</f>
        <v>1</v>
      </c>
      <c r="G1790">
        <f>1</f>
        <v>1</v>
      </c>
      <c r="H17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1789)&amp;"|",All_Questions_Q_STREAM_F_wrapped)),1,0),0))*1</f>
        <v>1</v>
      </c>
    </row>
    <row r="1791">
      <c r="A1791" t="n">
        <v>1790</v>
      </c>
      <c r="B1791" t="inlineStr">
        <is>
          <t>B</t>
        </is>
      </c>
      <c r="C1791">
        <f>1</f>
        <v>1</v>
      </c>
      <c r="D1791">
        <f>IF(OR(F_Custom1_Q="(None)",F_Custom1_Q="",ISBLANK(F_Custom1_Q),F_Custom1_V="(All)",F_Custom1_V="",ISBLANK(F_Custom1_V)),1,IFERROR(IF(ISNUMBER(SEARCH("|"&amp;INDEX(INDIRECT(F_Custom1_resolved_column),1790)&amp;"|",F_Custom1_wrapped)),1,0),0))</f>
        <v>1</v>
      </c>
      <c r="E1791">
        <f>IF(OR(F_Custom2_Q="(None)",F_Custom2_Q="",ISBLANK(F_Custom2_Q),F_Custom2_V="(All)",F_Custom2_V="",ISBLANK(F_Custom2_V)),1,IFERROR(IF(ISNUMBER(SEARCH("|"&amp;INDEX(INDIRECT(F_Custom2_resolved_column),1790)&amp;"|",F_Custom2_wrapped)),1,0),0))</f>
        <v>1</v>
      </c>
      <c r="F1791">
        <f>D1791*E1791*1</f>
        <v>1</v>
      </c>
      <c r="G1791">
        <f>1</f>
        <v>1</v>
      </c>
      <c r="H17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1790)&amp;"|",All_Questions_Q_STREAM_F_wrapped)),1,0),0))*1</f>
        <v>1</v>
      </c>
    </row>
    <row r="1792">
      <c r="A1792" t="n">
        <v>1791</v>
      </c>
      <c r="B1792" t="inlineStr">
        <is>
          <t>A</t>
        </is>
      </c>
      <c r="C1792">
        <f>1</f>
        <v>1</v>
      </c>
      <c r="D1792">
        <f>IF(OR(F_Custom1_Q="(None)",F_Custom1_Q="",ISBLANK(F_Custom1_Q),F_Custom1_V="(All)",F_Custom1_V="",ISBLANK(F_Custom1_V)),1,IFERROR(IF(ISNUMBER(SEARCH("|"&amp;INDEX(INDIRECT(F_Custom1_resolved_column),1791)&amp;"|",F_Custom1_wrapped)),1,0),0))</f>
        <v>1</v>
      </c>
      <c r="E1792">
        <f>IF(OR(F_Custom2_Q="(None)",F_Custom2_Q="",ISBLANK(F_Custom2_Q),F_Custom2_V="(All)",F_Custom2_V="",ISBLANK(F_Custom2_V)),1,IFERROR(IF(ISNUMBER(SEARCH("|"&amp;INDEX(INDIRECT(F_Custom2_resolved_column),1791)&amp;"|",F_Custom2_wrapped)),1,0),0))</f>
        <v>1</v>
      </c>
      <c r="F1792">
        <f>D1792*E1792*1</f>
        <v>1</v>
      </c>
      <c r="G1792">
        <f>1</f>
        <v>1</v>
      </c>
      <c r="H17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1791)&amp;"|",All_Questions_Q_STREAM_F_wrapped)),1,0),0))*1</f>
        <v>1</v>
      </c>
    </row>
    <row r="1793">
      <c r="A1793" t="n">
        <v>1792</v>
      </c>
      <c r="B1793" t="inlineStr">
        <is>
          <t>B</t>
        </is>
      </c>
      <c r="C1793">
        <f>1</f>
        <v>1</v>
      </c>
      <c r="D1793">
        <f>IF(OR(F_Custom1_Q="(None)",F_Custom1_Q="",ISBLANK(F_Custom1_Q),F_Custom1_V="(All)",F_Custom1_V="",ISBLANK(F_Custom1_V)),1,IFERROR(IF(ISNUMBER(SEARCH("|"&amp;INDEX(INDIRECT(F_Custom1_resolved_column),1792)&amp;"|",F_Custom1_wrapped)),1,0),0))</f>
        <v>1</v>
      </c>
      <c r="E1793">
        <f>IF(OR(F_Custom2_Q="(None)",F_Custom2_Q="",ISBLANK(F_Custom2_Q),F_Custom2_V="(All)",F_Custom2_V="",ISBLANK(F_Custom2_V)),1,IFERROR(IF(ISNUMBER(SEARCH("|"&amp;INDEX(INDIRECT(F_Custom2_resolved_column),1792)&amp;"|",F_Custom2_wrapped)),1,0),0))</f>
        <v>1</v>
      </c>
      <c r="F1793">
        <f>D1793*E1793*1</f>
        <v>1</v>
      </c>
      <c r="G1793">
        <f>1</f>
        <v>1</v>
      </c>
      <c r="H17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1792)&amp;"|",All_Questions_Q_STREAM_F_wrapped)),1,0),0))*1</f>
        <v>1</v>
      </c>
    </row>
    <row r="1794">
      <c r="A1794" t="n">
        <v>1793</v>
      </c>
      <c r="B1794" t="inlineStr">
        <is>
          <t>A</t>
        </is>
      </c>
      <c r="C1794">
        <f>1</f>
        <v>1</v>
      </c>
      <c r="D1794">
        <f>IF(OR(F_Custom1_Q="(None)",F_Custom1_Q="",ISBLANK(F_Custom1_Q),F_Custom1_V="(All)",F_Custom1_V="",ISBLANK(F_Custom1_V)),1,IFERROR(IF(ISNUMBER(SEARCH("|"&amp;INDEX(INDIRECT(F_Custom1_resolved_column),1793)&amp;"|",F_Custom1_wrapped)),1,0),0))</f>
        <v>1</v>
      </c>
      <c r="E1794">
        <f>IF(OR(F_Custom2_Q="(None)",F_Custom2_Q="",ISBLANK(F_Custom2_Q),F_Custom2_V="(All)",F_Custom2_V="",ISBLANK(F_Custom2_V)),1,IFERROR(IF(ISNUMBER(SEARCH("|"&amp;INDEX(INDIRECT(F_Custom2_resolved_column),1793)&amp;"|",F_Custom2_wrapped)),1,0),0))</f>
        <v>1</v>
      </c>
      <c r="F1794">
        <f>D1794*E1794*1</f>
        <v>1</v>
      </c>
      <c r="G1794">
        <f>1</f>
        <v>1</v>
      </c>
      <c r="H17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1793)&amp;"|",All_Questions_Q_STREAM_F_wrapped)),1,0),0))*1</f>
        <v>1</v>
      </c>
    </row>
    <row r="1795">
      <c r="A1795" t="n">
        <v>1794</v>
      </c>
      <c r="B1795" t="inlineStr">
        <is>
          <t>B</t>
        </is>
      </c>
      <c r="C1795">
        <f>1</f>
        <v>1</v>
      </c>
      <c r="D1795">
        <f>IF(OR(F_Custom1_Q="(None)",F_Custom1_Q="",ISBLANK(F_Custom1_Q),F_Custom1_V="(All)",F_Custom1_V="",ISBLANK(F_Custom1_V)),1,IFERROR(IF(ISNUMBER(SEARCH("|"&amp;INDEX(INDIRECT(F_Custom1_resolved_column),1794)&amp;"|",F_Custom1_wrapped)),1,0),0))</f>
        <v>1</v>
      </c>
      <c r="E1795">
        <f>IF(OR(F_Custom2_Q="(None)",F_Custom2_Q="",ISBLANK(F_Custom2_Q),F_Custom2_V="(All)",F_Custom2_V="",ISBLANK(F_Custom2_V)),1,IFERROR(IF(ISNUMBER(SEARCH("|"&amp;INDEX(INDIRECT(F_Custom2_resolved_column),1794)&amp;"|",F_Custom2_wrapped)),1,0),0))</f>
        <v>1</v>
      </c>
      <c r="F1795">
        <f>D1795*E1795*1</f>
        <v>1</v>
      </c>
      <c r="G1795">
        <f>1</f>
        <v>1</v>
      </c>
      <c r="H17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1794)&amp;"|",All_Questions_Q_STREAM_F_wrapped)),1,0),0))*1</f>
        <v>1</v>
      </c>
    </row>
    <row r="1796">
      <c r="A1796" t="n">
        <v>1795</v>
      </c>
      <c r="B1796" t="inlineStr">
        <is>
          <t>A</t>
        </is>
      </c>
      <c r="C1796">
        <f>1</f>
        <v>1</v>
      </c>
      <c r="D1796">
        <f>IF(OR(F_Custom1_Q="(None)",F_Custom1_Q="",ISBLANK(F_Custom1_Q),F_Custom1_V="(All)",F_Custom1_V="",ISBLANK(F_Custom1_V)),1,IFERROR(IF(ISNUMBER(SEARCH("|"&amp;INDEX(INDIRECT(F_Custom1_resolved_column),1795)&amp;"|",F_Custom1_wrapped)),1,0),0))</f>
        <v>1</v>
      </c>
      <c r="E1796">
        <f>IF(OR(F_Custom2_Q="(None)",F_Custom2_Q="",ISBLANK(F_Custom2_Q),F_Custom2_V="(All)",F_Custom2_V="",ISBLANK(F_Custom2_V)),1,IFERROR(IF(ISNUMBER(SEARCH("|"&amp;INDEX(INDIRECT(F_Custom2_resolved_column),1795)&amp;"|",F_Custom2_wrapped)),1,0),0))</f>
        <v>1</v>
      </c>
      <c r="F1796">
        <f>D1796*E1796*1</f>
        <v>1</v>
      </c>
      <c r="G1796">
        <f>1</f>
        <v>1</v>
      </c>
      <c r="H17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1795)&amp;"|",All_Questions_Q_STREAM_F_wrapped)),1,0),0))*1</f>
        <v>1</v>
      </c>
    </row>
    <row r="1797">
      <c r="A1797" t="n">
        <v>1796</v>
      </c>
      <c r="B1797" t="inlineStr">
        <is>
          <t>B</t>
        </is>
      </c>
      <c r="C1797">
        <f>1</f>
        <v>1</v>
      </c>
      <c r="D1797">
        <f>IF(OR(F_Custom1_Q="(None)",F_Custom1_Q="",ISBLANK(F_Custom1_Q),F_Custom1_V="(All)",F_Custom1_V="",ISBLANK(F_Custom1_V)),1,IFERROR(IF(ISNUMBER(SEARCH("|"&amp;INDEX(INDIRECT(F_Custom1_resolved_column),1796)&amp;"|",F_Custom1_wrapped)),1,0),0))</f>
        <v>1</v>
      </c>
      <c r="E1797">
        <f>IF(OR(F_Custom2_Q="(None)",F_Custom2_Q="",ISBLANK(F_Custom2_Q),F_Custom2_V="(All)",F_Custom2_V="",ISBLANK(F_Custom2_V)),1,IFERROR(IF(ISNUMBER(SEARCH("|"&amp;INDEX(INDIRECT(F_Custom2_resolved_column),1796)&amp;"|",F_Custom2_wrapped)),1,0),0))</f>
        <v>1</v>
      </c>
      <c r="F1797">
        <f>D1797*E1797*1</f>
        <v>1</v>
      </c>
      <c r="G1797">
        <f>1</f>
        <v>1</v>
      </c>
      <c r="H17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1796)&amp;"|",All_Questions_Q_STREAM_F_wrapped)),1,0),0))*1</f>
        <v>1</v>
      </c>
    </row>
    <row r="1798">
      <c r="A1798" t="n">
        <v>1797</v>
      </c>
      <c r="B1798" t="inlineStr">
        <is>
          <t>A</t>
        </is>
      </c>
      <c r="C1798">
        <f>1</f>
        <v>1</v>
      </c>
      <c r="D1798">
        <f>IF(OR(F_Custom1_Q="(None)",F_Custom1_Q="",ISBLANK(F_Custom1_Q),F_Custom1_V="(All)",F_Custom1_V="",ISBLANK(F_Custom1_V)),1,IFERROR(IF(ISNUMBER(SEARCH("|"&amp;INDEX(INDIRECT(F_Custom1_resolved_column),1797)&amp;"|",F_Custom1_wrapped)),1,0),0))</f>
        <v>1</v>
      </c>
      <c r="E1798">
        <f>IF(OR(F_Custom2_Q="(None)",F_Custom2_Q="",ISBLANK(F_Custom2_Q),F_Custom2_V="(All)",F_Custom2_V="",ISBLANK(F_Custom2_V)),1,IFERROR(IF(ISNUMBER(SEARCH("|"&amp;INDEX(INDIRECT(F_Custom2_resolved_column),1797)&amp;"|",F_Custom2_wrapped)),1,0),0))</f>
        <v>1</v>
      </c>
      <c r="F1798">
        <f>D1798*E1798*1</f>
        <v>1</v>
      </c>
      <c r="G1798">
        <f>1</f>
        <v>1</v>
      </c>
      <c r="H17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1797)&amp;"|",All_Questions_Q_STREAM_F_wrapped)),1,0),0))*1</f>
        <v>1</v>
      </c>
    </row>
    <row r="1799">
      <c r="A1799" t="n">
        <v>1798</v>
      </c>
      <c r="B1799" t="inlineStr">
        <is>
          <t>B</t>
        </is>
      </c>
      <c r="C1799">
        <f>1</f>
        <v>1</v>
      </c>
      <c r="D1799">
        <f>IF(OR(F_Custom1_Q="(None)",F_Custom1_Q="",ISBLANK(F_Custom1_Q),F_Custom1_V="(All)",F_Custom1_V="",ISBLANK(F_Custom1_V)),1,IFERROR(IF(ISNUMBER(SEARCH("|"&amp;INDEX(INDIRECT(F_Custom1_resolved_column),1798)&amp;"|",F_Custom1_wrapped)),1,0),0))</f>
        <v>1</v>
      </c>
      <c r="E1799">
        <f>IF(OR(F_Custom2_Q="(None)",F_Custom2_Q="",ISBLANK(F_Custom2_Q),F_Custom2_V="(All)",F_Custom2_V="",ISBLANK(F_Custom2_V)),1,IFERROR(IF(ISNUMBER(SEARCH("|"&amp;INDEX(INDIRECT(F_Custom2_resolved_column),1798)&amp;"|",F_Custom2_wrapped)),1,0),0))</f>
        <v>1</v>
      </c>
      <c r="F1799">
        <f>D1799*E1799*1</f>
        <v>1</v>
      </c>
      <c r="G1799">
        <f>1</f>
        <v>1</v>
      </c>
      <c r="H17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1798)&amp;"|",All_Questions_Q_STREAM_F_wrapped)),1,0),0))*1</f>
        <v>1</v>
      </c>
    </row>
    <row r="1800">
      <c r="A1800" t="n">
        <v>1799</v>
      </c>
      <c r="B1800" t="inlineStr">
        <is>
          <t>A</t>
        </is>
      </c>
      <c r="C1800">
        <f>1</f>
        <v>1</v>
      </c>
      <c r="D1800">
        <f>IF(OR(F_Custom1_Q="(None)",F_Custom1_Q="",ISBLANK(F_Custom1_Q),F_Custom1_V="(All)",F_Custom1_V="",ISBLANK(F_Custom1_V)),1,IFERROR(IF(ISNUMBER(SEARCH("|"&amp;INDEX(INDIRECT(F_Custom1_resolved_column),1799)&amp;"|",F_Custom1_wrapped)),1,0),0))</f>
        <v>1</v>
      </c>
      <c r="E1800">
        <f>IF(OR(F_Custom2_Q="(None)",F_Custom2_Q="",ISBLANK(F_Custom2_Q),F_Custom2_V="(All)",F_Custom2_V="",ISBLANK(F_Custom2_V)),1,IFERROR(IF(ISNUMBER(SEARCH("|"&amp;INDEX(INDIRECT(F_Custom2_resolved_column),1799)&amp;"|",F_Custom2_wrapped)),1,0),0))</f>
        <v>1</v>
      </c>
      <c r="F1800">
        <f>D1800*E1800*1</f>
        <v>1</v>
      </c>
      <c r="G1800">
        <f>1</f>
        <v>1</v>
      </c>
      <c r="H18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1799)&amp;"|",All_Questions_Q_STREAM_F_wrapped)),1,0),0))*1</f>
        <v>1</v>
      </c>
    </row>
    <row r="1801">
      <c r="A1801" t="n">
        <v>1800</v>
      </c>
      <c r="B1801" t="inlineStr">
        <is>
          <t>B</t>
        </is>
      </c>
      <c r="C1801">
        <f>1</f>
        <v>1</v>
      </c>
      <c r="D1801">
        <f>IF(OR(F_Custom1_Q="(None)",F_Custom1_Q="",ISBLANK(F_Custom1_Q),F_Custom1_V="(All)",F_Custom1_V="",ISBLANK(F_Custom1_V)),1,IFERROR(IF(ISNUMBER(SEARCH("|"&amp;INDEX(INDIRECT(F_Custom1_resolved_column),1800)&amp;"|",F_Custom1_wrapped)),1,0),0))</f>
        <v>1</v>
      </c>
      <c r="E1801">
        <f>IF(OR(F_Custom2_Q="(None)",F_Custom2_Q="",ISBLANK(F_Custom2_Q),F_Custom2_V="(All)",F_Custom2_V="",ISBLANK(F_Custom2_V)),1,IFERROR(IF(ISNUMBER(SEARCH("|"&amp;INDEX(INDIRECT(F_Custom2_resolved_column),1800)&amp;"|",F_Custom2_wrapped)),1,0),0))</f>
        <v>1</v>
      </c>
      <c r="F1801">
        <f>D1801*E1801*1</f>
        <v>1</v>
      </c>
      <c r="G1801">
        <f>1</f>
        <v>1</v>
      </c>
      <c r="H18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1800)&amp;"|",All_Questions_Q_STREAM_F_wrapped)),1,0),0))*1</f>
        <v>1</v>
      </c>
    </row>
    <row r="1802">
      <c r="A1802" t="n">
        <v>1801</v>
      </c>
      <c r="B1802" t="inlineStr">
        <is>
          <t>A</t>
        </is>
      </c>
      <c r="C1802">
        <f>1</f>
        <v>1</v>
      </c>
      <c r="D1802">
        <f>IF(OR(F_Custom1_Q="(None)",F_Custom1_Q="",ISBLANK(F_Custom1_Q),F_Custom1_V="(All)",F_Custom1_V="",ISBLANK(F_Custom1_V)),1,IFERROR(IF(ISNUMBER(SEARCH("|"&amp;INDEX(INDIRECT(F_Custom1_resolved_column),1801)&amp;"|",F_Custom1_wrapped)),1,0),0))</f>
        <v>1</v>
      </c>
      <c r="E1802">
        <f>IF(OR(F_Custom2_Q="(None)",F_Custom2_Q="",ISBLANK(F_Custom2_Q),F_Custom2_V="(All)",F_Custom2_V="",ISBLANK(F_Custom2_V)),1,IFERROR(IF(ISNUMBER(SEARCH("|"&amp;INDEX(INDIRECT(F_Custom2_resolved_column),1801)&amp;"|",F_Custom2_wrapped)),1,0),0))</f>
        <v>1</v>
      </c>
      <c r="F1802">
        <f>D1802*E1802*1</f>
        <v>1</v>
      </c>
      <c r="G1802">
        <f>1</f>
        <v>1</v>
      </c>
      <c r="H18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1801)&amp;"|",All_Questions_Q_STREAM_F_wrapped)),1,0),0))*1</f>
        <v>1</v>
      </c>
    </row>
    <row r="1803">
      <c r="A1803" t="n">
        <v>1802</v>
      </c>
      <c r="B1803" t="inlineStr">
        <is>
          <t>B</t>
        </is>
      </c>
      <c r="C1803">
        <f>1</f>
        <v>1</v>
      </c>
      <c r="D1803">
        <f>IF(OR(F_Custom1_Q="(None)",F_Custom1_Q="",ISBLANK(F_Custom1_Q),F_Custom1_V="(All)",F_Custom1_V="",ISBLANK(F_Custom1_V)),1,IFERROR(IF(ISNUMBER(SEARCH("|"&amp;INDEX(INDIRECT(F_Custom1_resolved_column),1802)&amp;"|",F_Custom1_wrapped)),1,0),0))</f>
        <v>1</v>
      </c>
      <c r="E1803">
        <f>IF(OR(F_Custom2_Q="(None)",F_Custom2_Q="",ISBLANK(F_Custom2_Q),F_Custom2_V="(All)",F_Custom2_V="",ISBLANK(F_Custom2_V)),1,IFERROR(IF(ISNUMBER(SEARCH("|"&amp;INDEX(INDIRECT(F_Custom2_resolved_column),1802)&amp;"|",F_Custom2_wrapped)),1,0),0))</f>
        <v>1</v>
      </c>
      <c r="F1803">
        <f>D1803*E1803*1</f>
        <v>1</v>
      </c>
      <c r="G1803">
        <f>1</f>
        <v>1</v>
      </c>
      <c r="H18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1802)&amp;"|",All_Questions_Q_STREAM_F_wrapped)),1,0),0))*1</f>
        <v>1</v>
      </c>
    </row>
    <row r="1804">
      <c r="A1804" t="n">
        <v>1803</v>
      </c>
      <c r="B1804" t="inlineStr">
        <is>
          <t>A</t>
        </is>
      </c>
      <c r="C1804">
        <f>1</f>
        <v>1</v>
      </c>
      <c r="D1804">
        <f>IF(OR(F_Custom1_Q="(None)",F_Custom1_Q="",ISBLANK(F_Custom1_Q),F_Custom1_V="(All)",F_Custom1_V="",ISBLANK(F_Custom1_V)),1,IFERROR(IF(ISNUMBER(SEARCH("|"&amp;INDEX(INDIRECT(F_Custom1_resolved_column),1803)&amp;"|",F_Custom1_wrapped)),1,0),0))</f>
        <v>1</v>
      </c>
      <c r="E1804">
        <f>IF(OR(F_Custom2_Q="(None)",F_Custom2_Q="",ISBLANK(F_Custom2_Q),F_Custom2_V="(All)",F_Custom2_V="",ISBLANK(F_Custom2_V)),1,IFERROR(IF(ISNUMBER(SEARCH("|"&amp;INDEX(INDIRECT(F_Custom2_resolved_column),1803)&amp;"|",F_Custom2_wrapped)),1,0),0))</f>
        <v>1</v>
      </c>
      <c r="F1804">
        <f>D1804*E1804*1</f>
        <v>1</v>
      </c>
      <c r="G1804">
        <f>1</f>
        <v>1</v>
      </c>
      <c r="H18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1803)&amp;"|",All_Questions_Q_STREAM_F_wrapped)),1,0),0))*1</f>
        <v>1</v>
      </c>
    </row>
    <row r="1805">
      <c r="A1805" t="n">
        <v>1804</v>
      </c>
      <c r="B1805" t="inlineStr">
        <is>
          <t>B</t>
        </is>
      </c>
      <c r="C1805">
        <f>1</f>
        <v>1</v>
      </c>
      <c r="D1805">
        <f>IF(OR(F_Custom1_Q="(None)",F_Custom1_Q="",ISBLANK(F_Custom1_Q),F_Custom1_V="(All)",F_Custom1_V="",ISBLANK(F_Custom1_V)),1,IFERROR(IF(ISNUMBER(SEARCH("|"&amp;INDEX(INDIRECT(F_Custom1_resolved_column),1804)&amp;"|",F_Custom1_wrapped)),1,0),0))</f>
        <v>1</v>
      </c>
      <c r="E1805">
        <f>IF(OR(F_Custom2_Q="(None)",F_Custom2_Q="",ISBLANK(F_Custom2_Q),F_Custom2_V="(All)",F_Custom2_V="",ISBLANK(F_Custom2_V)),1,IFERROR(IF(ISNUMBER(SEARCH("|"&amp;INDEX(INDIRECT(F_Custom2_resolved_column),1804)&amp;"|",F_Custom2_wrapped)),1,0),0))</f>
        <v>1</v>
      </c>
      <c r="F1805">
        <f>D1805*E1805*1</f>
        <v>1</v>
      </c>
      <c r="G1805">
        <f>1</f>
        <v>1</v>
      </c>
      <c r="H18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1804)&amp;"|",All_Questions_Q_STREAM_F_wrapped)),1,0),0))*1</f>
        <v>1</v>
      </c>
    </row>
    <row r="1806">
      <c r="A1806" t="n">
        <v>1805</v>
      </c>
      <c r="B1806" t="inlineStr">
        <is>
          <t>A</t>
        </is>
      </c>
      <c r="C1806">
        <f>1</f>
        <v>1</v>
      </c>
      <c r="D1806">
        <f>IF(OR(F_Custom1_Q="(None)",F_Custom1_Q="",ISBLANK(F_Custom1_Q),F_Custom1_V="(All)",F_Custom1_V="",ISBLANK(F_Custom1_V)),1,IFERROR(IF(ISNUMBER(SEARCH("|"&amp;INDEX(INDIRECT(F_Custom1_resolved_column),1805)&amp;"|",F_Custom1_wrapped)),1,0),0))</f>
        <v>1</v>
      </c>
      <c r="E1806">
        <f>IF(OR(F_Custom2_Q="(None)",F_Custom2_Q="",ISBLANK(F_Custom2_Q),F_Custom2_V="(All)",F_Custom2_V="",ISBLANK(F_Custom2_V)),1,IFERROR(IF(ISNUMBER(SEARCH("|"&amp;INDEX(INDIRECT(F_Custom2_resolved_column),1805)&amp;"|",F_Custom2_wrapped)),1,0),0))</f>
        <v>1</v>
      </c>
      <c r="F1806">
        <f>D1806*E1806*1</f>
        <v>1</v>
      </c>
      <c r="G1806">
        <f>1</f>
        <v>1</v>
      </c>
      <c r="H18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1805)&amp;"|",All_Questions_Q_STREAM_F_wrapped)),1,0),0))*1</f>
        <v>1</v>
      </c>
    </row>
    <row r="1807">
      <c r="A1807" t="n">
        <v>1806</v>
      </c>
      <c r="B1807" t="inlineStr">
        <is>
          <t>B</t>
        </is>
      </c>
      <c r="C1807">
        <f>1</f>
        <v>1</v>
      </c>
      <c r="D1807">
        <f>IF(OR(F_Custom1_Q="(None)",F_Custom1_Q="",ISBLANK(F_Custom1_Q),F_Custom1_V="(All)",F_Custom1_V="",ISBLANK(F_Custom1_V)),1,IFERROR(IF(ISNUMBER(SEARCH("|"&amp;INDEX(INDIRECT(F_Custom1_resolved_column),1806)&amp;"|",F_Custom1_wrapped)),1,0),0))</f>
        <v>1</v>
      </c>
      <c r="E1807">
        <f>IF(OR(F_Custom2_Q="(None)",F_Custom2_Q="",ISBLANK(F_Custom2_Q),F_Custom2_V="(All)",F_Custom2_V="",ISBLANK(F_Custom2_V)),1,IFERROR(IF(ISNUMBER(SEARCH("|"&amp;INDEX(INDIRECT(F_Custom2_resolved_column),1806)&amp;"|",F_Custom2_wrapped)),1,0),0))</f>
        <v>1</v>
      </c>
      <c r="F1807">
        <f>D1807*E1807*1</f>
        <v>1</v>
      </c>
      <c r="G1807">
        <f>1</f>
        <v>1</v>
      </c>
      <c r="H18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1806)&amp;"|",All_Questions_Q_STREAM_F_wrapped)),1,0),0))*1</f>
        <v>1</v>
      </c>
    </row>
    <row r="1808">
      <c r="A1808" t="n">
        <v>1807</v>
      </c>
      <c r="B1808" t="inlineStr">
        <is>
          <t>A</t>
        </is>
      </c>
      <c r="C1808">
        <f>1</f>
        <v>1</v>
      </c>
      <c r="D1808">
        <f>IF(OR(F_Custom1_Q="(None)",F_Custom1_Q="",ISBLANK(F_Custom1_Q),F_Custom1_V="(All)",F_Custom1_V="",ISBLANK(F_Custom1_V)),1,IFERROR(IF(ISNUMBER(SEARCH("|"&amp;INDEX(INDIRECT(F_Custom1_resolved_column),1807)&amp;"|",F_Custom1_wrapped)),1,0),0))</f>
        <v>1</v>
      </c>
      <c r="E1808">
        <f>IF(OR(F_Custom2_Q="(None)",F_Custom2_Q="",ISBLANK(F_Custom2_Q),F_Custom2_V="(All)",F_Custom2_V="",ISBLANK(F_Custom2_V)),1,IFERROR(IF(ISNUMBER(SEARCH("|"&amp;INDEX(INDIRECT(F_Custom2_resolved_column),1807)&amp;"|",F_Custom2_wrapped)),1,0),0))</f>
        <v>1</v>
      </c>
      <c r="F1808">
        <f>D1808*E1808*1</f>
        <v>1</v>
      </c>
      <c r="G1808">
        <f>1</f>
        <v>1</v>
      </c>
      <c r="H18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1807)&amp;"|",All_Questions_Q_STREAM_F_wrapped)),1,0),0))*1</f>
        <v>1</v>
      </c>
    </row>
    <row r="1809">
      <c r="A1809" t="n">
        <v>1808</v>
      </c>
      <c r="B1809" t="inlineStr">
        <is>
          <t>B</t>
        </is>
      </c>
      <c r="C1809">
        <f>1</f>
        <v>1</v>
      </c>
      <c r="D1809">
        <f>IF(OR(F_Custom1_Q="(None)",F_Custom1_Q="",ISBLANK(F_Custom1_Q),F_Custom1_V="(All)",F_Custom1_V="",ISBLANK(F_Custom1_V)),1,IFERROR(IF(ISNUMBER(SEARCH("|"&amp;INDEX(INDIRECT(F_Custom1_resolved_column),1808)&amp;"|",F_Custom1_wrapped)),1,0),0))</f>
        <v>1</v>
      </c>
      <c r="E1809">
        <f>IF(OR(F_Custom2_Q="(None)",F_Custom2_Q="",ISBLANK(F_Custom2_Q),F_Custom2_V="(All)",F_Custom2_V="",ISBLANK(F_Custom2_V)),1,IFERROR(IF(ISNUMBER(SEARCH("|"&amp;INDEX(INDIRECT(F_Custom2_resolved_column),1808)&amp;"|",F_Custom2_wrapped)),1,0),0))</f>
        <v>1</v>
      </c>
      <c r="F1809">
        <f>D1809*E1809*1</f>
        <v>1</v>
      </c>
      <c r="G1809">
        <f>1</f>
        <v>1</v>
      </c>
      <c r="H18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1808)&amp;"|",All_Questions_Q_STREAM_F_wrapped)),1,0),0))*1</f>
        <v>1</v>
      </c>
    </row>
    <row r="1810">
      <c r="A1810" t="n">
        <v>1809</v>
      </c>
      <c r="B1810" t="inlineStr">
        <is>
          <t>A</t>
        </is>
      </c>
      <c r="C1810">
        <f>1</f>
        <v>1</v>
      </c>
      <c r="D1810">
        <f>IF(OR(F_Custom1_Q="(None)",F_Custom1_Q="",ISBLANK(F_Custom1_Q),F_Custom1_V="(All)",F_Custom1_V="",ISBLANK(F_Custom1_V)),1,IFERROR(IF(ISNUMBER(SEARCH("|"&amp;INDEX(INDIRECT(F_Custom1_resolved_column),1809)&amp;"|",F_Custom1_wrapped)),1,0),0))</f>
        <v>1</v>
      </c>
      <c r="E1810">
        <f>IF(OR(F_Custom2_Q="(None)",F_Custom2_Q="",ISBLANK(F_Custom2_Q),F_Custom2_V="(All)",F_Custom2_V="",ISBLANK(F_Custom2_V)),1,IFERROR(IF(ISNUMBER(SEARCH("|"&amp;INDEX(INDIRECT(F_Custom2_resolved_column),1809)&amp;"|",F_Custom2_wrapped)),1,0),0))</f>
        <v>1</v>
      </c>
      <c r="F1810">
        <f>D1810*E1810*1</f>
        <v>1</v>
      </c>
      <c r="G1810">
        <f>1</f>
        <v>1</v>
      </c>
      <c r="H18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1809)&amp;"|",All_Questions_Q_STREAM_F_wrapped)),1,0),0))*1</f>
        <v>1</v>
      </c>
    </row>
    <row r="1811">
      <c r="A1811" t="n">
        <v>1810</v>
      </c>
      <c r="B1811" t="inlineStr">
        <is>
          <t>B</t>
        </is>
      </c>
      <c r="C1811">
        <f>1</f>
        <v>1</v>
      </c>
      <c r="D1811">
        <f>IF(OR(F_Custom1_Q="(None)",F_Custom1_Q="",ISBLANK(F_Custom1_Q),F_Custom1_V="(All)",F_Custom1_V="",ISBLANK(F_Custom1_V)),1,IFERROR(IF(ISNUMBER(SEARCH("|"&amp;INDEX(INDIRECT(F_Custom1_resolved_column),1810)&amp;"|",F_Custom1_wrapped)),1,0),0))</f>
        <v>1</v>
      </c>
      <c r="E1811">
        <f>IF(OR(F_Custom2_Q="(None)",F_Custom2_Q="",ISBLANK(F_Custom2_Q),F_Custom2_V="(All)",F_Custom2_V="",ISBLANK(F_Custom2_V)),1,IFERROR(IF(ISNUMBER(SEARCH("|"&amp;INDEX(INDIRECT(F_Custom2_resolved_column),1810)&amp;"|",F_Custom2_wrapped)),1,0),0))</f>
        <v>1</v>
      </c>
      <c r="F1811">
        <f>D1811*E1811*1</f>
        <v>1</v>
      </c>
      <c r="G1811">
        <f>1</f>
        <v>1</v>
      </c>
      <c r="H18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1810)&amp;"|",All_Questions_Q_STREAM_F_wrapped)),1,0),0))*1</f>
        <v>1</v>
      </c>
    </row>
    <row r="1812">
      <c r="A1812" t="n">
        <v>1811</v>
      </c>
      <c r="B1812" t="inlineStr">
        <is>
          <t>A</t>
        </is>
      </c>
      <c r="C1812">
        <f>1</f>
        <v>1</v>
      </c>
      <c r="D1812">
        <f>IF(OR(F_Custom1_Q="(None)",F_Custom1_Q="",ISBLANK(F_Custom1_Q),F_Custom1_V="(All)",F_Custom1_V="",ISBLANK(F_Custom1_V)),1,IFERROR(IF(ISNUMBER(SEARCH("|"&amp;INDEX(INDIRECT(F_Custom1_resolved_column),1811)&amp;"|",F_Custom1_wrapped)),1,0),0))</f>
        <v>1</v>
      </c>
      <c r="E1812">
        <f>IF(OR(F_Custom2_Q="(None)",F_Custom2_Q="",ISBLANK(F_Custom2_Q),F_Custom2_V="(All)",F_Custom2_V="",ISBLANK(F_Custom2_V)),1,IFERROR(IF(ISNUMBER(SEARCH("|"&amp;INDEX(INDIRECT(F_Custom2_resolved_column),1811)&amp;"|",F_Custom2_wrapped)),1,0),0))</f>
        <v>1</v>
      </c>
      <c r="F1812">
        <f>D1812*E1812*1</f>
        <v>1</v>
      </c>
      <c r="G1812">
        <f>1</f>
        <v>1</v>
      </c>
      <c r="H18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1811)&amp;"|",All_Questions_Q_STREAM_F_wrapped)),1,0),0))*1</f>
        <v>1</v>
      </c>
    </row>
    <row r="1813">
      <c r="A1813" t="n">
        <v>1812</v>
      </c>
      <c r="B1813" t="inlineStr">
        <is>
          <t>B</t>
        </is>
      </c>
      <c r="C1813">
        <f>1</f>
        <v>1</v>
      </c>
      <c r="D1813">
        <f>IF(OR(F_Custom1_Q="(None)",F_Custom1_Q="",ISBLANK(F_Custom1_Q),F_Custom1_V="(All)",F_Custom1_V="",ISBLANK(F_Custom1_V)),1,IFERROR(IF(ISNUMBER(SEARCH("|"&amp;INDEX(INDIRECT(F_Custom1_resolved_column),1812)&amp;"|",F_Custom1_wrapped)),1,0),0))</f>
        <v>1</v>
      </c>
      <c r="E1813">
        <f>IF(OR(F_Custom2_Q="(None)",F_Custom2_Q="",ISBLANK(F_Custom2_Q),F_Custom2_V="(All)",F_Custom2_V="",ISBLANK(F_Custom2_V)),1,IFERROR(IF(ISNUMBER(SEARCH("|"&amp;INDEX(INDIRECT(F_Custom2_resolved_column),1812)&amp;"|",F_Custom2_wrapped)),1,0),0))</f>
        <v>1</v>
      </c>
      <c r="F1813">
        <f>D1813*E1813*1</f>
        <v>1</v>
      </c>
      <c r="G1813">
        <f>1</f>
        <v>1</v>
      </c>
      <c r="H18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1812)&amp;"|",All_Questions_Q_STREAM_F_wrapped)),1,0),0))*1</f>
        <v>1</v>
      </c>
    </row>
    <row r="1814">
      <c r="A1814" t="n">
        <v>1813</v>
      </c>
      <c r="B1814" t="inlineStr">
        <is>
          <t>A</t>
        </is>
      </c>
      <c r="C1814">
        <f>1</f>
        <v>1</v>
      </c>
      <c r="D1814">
        <f>IF(OR(F_Custom1_Q="(None)",F_Custom1_Q="",ISBLANK(F_Custom1_Q),F_Custom1_V="(All)",F_Custom1_V="",ISBLANK(F_Custom1_V)),1,IFERROR(IF(ISNUMBER(SEARCH("|"&amp;INDEX(INDIRECT(F_Custom1_resolved_column),1813)&amp;"|",F_Custom1_wrapped)),1,0),0))</f>
        <v>1</v>
      </c>
      <c r="E1814">
        <f>IF(OR(F_Custom2_Q="(None)",F_Custom2_Q="",ISBLANK(F_Custom2_Q),F_Custom2_V="(All)",F_Custom2_V="",ISBLANK(F_Custom2_V)),1,IFERROR(IF(ISNUMBER(SEARCH("|"&amp;INDEX(INDIRECT(F_Custom2_resolved_column),1813)&amp;"|",F_Custom2_wrapped)),1,0),0))</f>
        <v>1</v>
      </c>
      <c r="F1814">
        <f>D1814*E1814*1</f>
        <v>1</v>
      </c>
      <c r="G1814">
        <f>1</f>
        <v>1</v>
      </c>
      <c r="H18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1813)&amp;"|",All_Questions_Q_STREAM_F_wrapped)),1,0),0))*1</f>
        <v>1</v>
      </c>
    </row>
    <row r="1815">
      <c r="A1815" t="n">
        <v>1814</v>
      </c>
      <c r="B1815" t="inlineStr">
        <is>
          <t>B</t>
        </is>
      </c>
      <c r="C1815">
        <f>1</f>
        <v>1</v>
      </c>
      <c r="D1815">
        <f>IF(OR(F_Custom1_Q="(None)",F_Custom1_Q="",ISBLANK(F_Custom1_Q),F_Custom1_V="(All)",F_Custom1_V="",ISBLANK(F_Custom1_V)),1,IFERROR(IF(ISNUMBER(SEARCH("|"&amp;INDEX(INDIRECT(F_Custom1_resolved_column),1814)&amp;"|",F_Custom1_wrapped)),1,0),0))</f>
        <v>1</v>
      </c>
      <c r="E1815">
        <f>IF(OR(F_Custom2_Q="(None)",F_Custom2_Q="",ISBLANK(F_Custom2_Q),F_Custom2_V="(All)",F_Custom2_V="",ISBLANK(F_Custom2_V)),1,IFERROR(IF(ISNUMBER(SEARCH("|"&amp;INDEX(INDIRECT(F_Custom2_resolved_column),1814)&amp;"|",F_Custom2_wrapped)),1,0),0))</f>
        <v>1</v>
      </c>
      <c r="F1815">
        <f>D1815*E1815*1</f>
        <v>1</v>
      </c>
      <c r="G1815">
        <f>1</f>
        <v>1</v>
      </c>
      <c r="H18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1814)&amp;"|",All_Questions_Q_STREAM_F_wrapped)),1,0),0))*1</f>
        <v>1</v>
      </c>
    </row>
    <row r="1816">
      <c r="A1816" t="n">
        <v>1815</v>
      </c>
      <c r="B1816" t="inlineStr">
        <is>
          <t>A</t>
        </is>
      </c>
      <c r="C1816">
        <f>1</f>
        <v>1</v>
      </c>
      <c r="D1816">
        <f>IF(OR(F_Custom1_Q="(None)",F_Custom1_Q="",ISBLANK(F_Custom1_Q),F_Custom1_V="(All)",F_Custom1_V="",ISBLANK(F_Custom1_V)),1,IFERROR(IF(ISNUMBER(SEARCH("|"&amp;INDEX(INDIRECT(F_Custom1_resolved_column),1815)&amp;"|",F_Custom1_wrapped)),1,0),0))</f>
        <v>1</v>
      </c>
      <c r="E1816">
        <f>IF(OR(F_Custom2_Q="(None)",F_Custom2_Q="",ISBLANK(F_Custom2_Q),F_Custom2_V="(All)",F_Custom2_V="",ISBLANK(F_Custom2_V)),1,IFERROR(IF(ISNUMBER(SEARCH("|"&amp;INDEX(INDIRECT(F_Custom2_resolved_column),1815)&amp;"|",F_Custom2_wrapped)),1,0),0))</f>
        <v>1</v>
      </c>
      <c r="F1816">
        <f>D1816*E1816*1</f>
        <v>1</v>
      </c>
      <c r="G1816">
        <f>1</f>
        <v>1</v>
      </c>
      <c r="H18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1815)&amp;"|",All_Questions_Q_STREAM_F_wrapped)),1,0),0))*1</f>
        <v>1</v>
      </c>
    </row>
    <row r="1817">
      <c r="A1817" t="n">
        <v>1816</v>
      </c>
      <c r="B1817" t="inlineStr">
        <is>
          <t>B</t>
        </is>
      </c>
      <c r="C1817">
        <f>1</f>
        <v>1</v>
      </c>
      <c r="D1817">
        <f>IF(OR(F_Custom1_Q="(None)",F_Custom1_Q="",ISBLANK(F_Custom1_Q),F_Custom1_V="(All)",F_Custom1_V="",ISBLANK(F_Custom1_V)),1,IFERROR(IF(ISNUMBER(SEARCH("|"&amp;INDEX(INDIRECT(F_Custom1_resolved_column),1816)&amp;"|",F_Custom1_wrapped)),1,0),0))</f>
        <v>1</v>
      </c>
      <c r="E1817">
        <f>IF(OR(F_Custom2_Q="(None)",F_Custom2_Q="",ISBLANK(F_Custom2_Q),F_Custom2_V="(All)",F_Custom2_V="",ISBLANK(F_Custom2_V)),1,IFERROR(IF(ISNUMBER(SEARCH("|"&amp;INDEX(INDIRECT(F_Custom2_resolved_column),1816)&amp;"|",F_Custom2_wrapped)),1,0),0))</f>
        <v>1</v>
      </c>
      <c r="F1817">
        <f>D1817*E1817*1</f>
        <v>1</v>
      </c>
      <c r="G1817">
        <f>1</f>
        <v>1</v>
      </c>
      <c r="H18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1816)&amp;"|",All_Questions_Q_STREAM_F_wrapped)),1,0),0))*1</f>
        <v>1</v>
      </c>
    </row>
    <row r="1818">
      <c r="A1818" t="n">
        <v>1817</v>
      </c>
      <c r="B1818" t="inlineStr">
        <is>
          <t>A</t>
        </is>
      </c>
      <c r="C1818">
        <f>1</f>
        <v>1</v>
      </c>
      <c r="D1818">
        <f>IF(OR(F_Custom1_Q="(None)",F_Custom1_Q="",ISBLANK(F_Custom1_Q),F_Custom1_V="(All)",F_Custom1_V="",ISBLANK(F_Custom1_V)),1,IFERROR(IF(ISNUMBER(SEARCH("|"&amp;INDEX(INDIRECT(F_Custom1_resolved_column),1817)&amp;"|",F_Custom1_wrapped)),1,0),0))</f>
        <v>1</v>
      </c>
      <c r="E1818">
        <f>IF(OR(F_Custom2_Q="(None)",F_Custom2_Q="",ISBLANK(F_Custom2_Q),F_Custom2_V="(All)",F_Custom2_V="",ISBLANK(F_Custom2_V)),1,IFERROR(IF(ISNUMBER(SEARCH("|"&amp;INDEX(INDIRECT(F_Custom2_resolved_column),1817)&amp;"|",F_Custom2_wrapped)),1,0),0))</f>
        <v>1</v>
      </c>
      <c r="F1818">
        <f>D1818*E1818*1</f>
        <v>1</v>
      </c>
      <c r="G1818">
        <f>1</f>
        <v>1</v>
      </c>
      <c r="H18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1817)&amp;"|",All_Questions_Q_STREAM_F_wrapped)),1,0),0))*1</f>
        <v>1</v>
      </c>
    </row>
    <row r="1819">
      <c r="A1819" t="n">
        <v>1818</v>
      </c>
      <c r="B1819" t="inlineStr">
        <is>
          <t>B</t>
        </is>
      </c>
      <c r="C1819">
        <f>1</f>
        <v>1</v>
      </c>
      <c r="D1819">
        <f>IF(OR(F_Custom1_Q="(None)",F_Custom1_Q="",ISBLANK(F_Custom1_Q),F_Custom1_V="(All)",F_Custom1_V="",ISBLANK(F_Custom1_V)),1,IFERROR(IF(ISNUMBER(SEARCH("|"&amp;INDEX(INDIRECT(F_Custom1_resolved_column),1818)&amp;"|",F_Custom1_wrapped)),1,0),0))</f>
        <v>1</v>
      </c>
      <c r="E1819">
        <f>IF(OR(F_Custom2_Q="(None)",F_Custom2_Q="",ISBLANK(F_Custom2_Q),F_Custom2_V="(All)",F_Custom2_V="",ISBLANK(F_Custom2_V)),1,IFERROR(IF(ISNUMBER(SEARCH("|"&amp;INDEX(INDIRECT(F_Custom2_resolved_column),1818)&amp;"|",F_Custom2_wrapped)),1,0),0))</f>
        <v>1</v>
      </c>
      <c r="F1819">
        <f>D1819*E1819*1</f>
        <v>1</v>
      </c>
      <c r="G1819">
        <f>1</f>
        <v>1</v>
      </c>
      <c r="H18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1818)&amp;"|",All_Questions_Q_STREAM_F_wrapped)),1,0),0))*1</f>
        <v>1</v>
      </c>
    </row>
    <row r="1820">
      <c r="A1820" t="n">
        <v>1819</v>
      </c>
      <c r="B1820" t="inlineStr">
        <is>
          <t>A</t>
        </is>
      </c>
      <c r="C1820">
        <f>1</f>
        <v>1</v>
      </c>
      <c r="D1820">
        <f>IF(OR(F_Custom1_Q="(None)",F_Custom1_Q="",ISBLANK(F_Custom1_Q),F_Custom1_V="(All)",F_Custom1_V="",ISBLANK(F_Custom1_V)),1,IFERROR(IF(ISNUMBER(SEARCH("|"&amp;INDEX(INDIRECT(F_Custom1_resolved_column),1819)&amp;"|",F_Custom1_wrapped)),1,0),0))</f>
        <v>1</v>
      </c>
      <c r="E1820">
        <f>IF(OR(F_Custom2_Q="(None)",F_Custom2_Q="",ISBLANK(F_Custom2_Q),F_Custom2_V="(All)",F_Custom2_V="",ISBLANK(F_Custom2_V)),1,IFERROR(IF(ISNUMBER(SEARCH("|"&amp;INDEX(INDIRECT(F_Custom2_resolved_column),1819)&amp;"|",F_Custom2_wrapped)),1,0),0))</f>
        <v>1</v>
      </c>
      <c r="F1820">
        <f>D1820*E1820*1</f>
        <v>1</v>
      </c>
      <c r="G1820">
        <f>1</f>
        <v>1</v>
      </c>
      <c r="H18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1819)&amp;"|",All_Questions_Q_STREAM_F_wrapped)),1,0),0))*1</f>
        <v>1</v>
      </c>
    </row>
    <row r="1821">
      <c r="A1821" t="n">
        <v>1820</v>
      </c>
      <c r="B1821" t="inlineStr">
        <is>
          <t>B</t>
        </is>
      </c>
      <c r="C1821">
        <f>1</f>
        <v>1</v>
      </c>
      <c r="D1821">
        <f>IF(OR(F_Custom1_Q="(None)",F_Custom1_Q="",ISBLANK(F_Custom1_Q),F_Custom1_V="(All)",F_Custom1_V="",ISBLANK(F_Custom1_V)),1,IFERROR(IF(ISNUMBER(SEARCH("|"&amp;INDEX(INDIRECT(F_Custom1_resolved_column),1820)&amp;"|",F_Custom1_wrapped)),1,0),0))</f>
        <v>1</v>
      </c>
      <c r="E1821">
        <f>IF(OR(F_Custom2_Q="(None)",F_Custom2_Q="",ISBLANK(F_Custom2_Q),F_Custom2_V="(All)",F_Custom2_V="",ISBLANK(F_Custom2_V)),1,IFERROR(IF(ISNUMBER(SEARCH("|"&amp;INDEX(INDIRECT(F_Custom2_resolved_column),1820)&amp;"|",F_Custom2_wrapped)),1,0),0))</f>
        <v>1</v>
      </c>
      <c r="F1821">
        <f>D1821*E1821*1</f>
        <v>1</v>
      </c>
      <c r="G1821">
        <f>1</f>
        <v>1</v>
      </c>
      <c r="H18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1820)&amp;"|",All_Questions_Q_STREAM_F_wrapped)),1,0),0))*1</f>
        <v>1</v>
      </c>
    </row>
    <row r="1822">
      <c r="A1822" t="n">
        <v>1821</v>
      </c>
      <c r="B1822" t="inlineStr">
        <is>
          <t>A</t>
        </is>
      </c>
      <c r="C1822">
        <f>1</f>
        <v>1</v>
      </c>
      <c r="D1822">
        <f>IF(OR(F_Custom1_Q="(None)",F_Custom1_Q="",ISBLANK(F_Custom1_Q),F_Custom1_V="(All)",F_Custom1_V="",ISBLANK(F_Custom1_V)),1,IFERROR(IF(ISNUMBER(SEARCH("|"&amp;INDEX(INDIRECT(F_Custom1_resolved_column),1821)&amp;"|",F_Custom1_wrapped)),1,0),0))</f>
        <v>1</v>
      </c>
      <c r="E1822">
        <f>IF(OR(F_Custom2_Q="(None)",F_Custom2_Q="",ISBLANK(F_Custom2_Q),F_Custom2_V="(All)",F_Custom2_V="",ISBLANK(F_Custom2_V)),1,IFERROR(IF(ISNUMBER(SEARCH("|"&amp;INDEX(INDIRECT(F_Custom2_resolved_column),1821)&amp;"|",F_Custom2_wrapped)),1,0),0))</f>
        <v>1</v>
      </c>
      <c r="F1822">
        <f>D1822*E1822*1</f>
        <v>1</v>
      </c>
      <c r="G1822">
        <f>1</f>
        <v>1</v>
      </c>
      <c r="H18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1821)&amp;"|",All_Questions_Q_STREAM_F_wrapped)),1,0),0))*1</f>
        <v>1</v>
      </c>
    </row>
    <row r="1823">
      <c r="A1823" t="n">
        <v>1822</v>
      </c>
      <c r="B1823" t="inlineStr">
        <is>
          <t>B</t>
        </is>
      </c>
      <c r="C1823">
        <f>1</f>
        <v>1</v>
      </c>
      <c r="D1823">
        <f>IF(OR(F_Custom1_Q="(None)",F_Custom1_Q="",ISBLANK(F_Custom1_Q),F_Custom1_V="(All)",F_Custom1_V="",ISBLANK(F_Custom1_V)),1,IFERROR(IF(ISNUMBER(SEARCH("|"&amp;INDEX(INDIRECT(F_Custom1_resolved_column),1822)&amp;"|",F_Custom1_wrapped)),1,0),0))</f>
        <v>1</v>
      </c>
      <c r="E1823">
        <f>IF(OR(F_Custom2_Q="(None)",F_Custom2_Q="",ISBLANK(F_Custom2_Q),F_Custom2_V="(All)",F_Custom2_V="",ISBLANK(F_Custom2_V)),1,IFERROR(IF(ISNUMBER(SEARCH("|"&amp;INDEX(INDIRECT(F_Custom2_resolved_column),1822)&amp;"|",F_Custom2_wrapped)),1,0),0))</f>
        <v>1</v>
      </c>
      <c r="F1823">
        <f>D1823*E1823*1</f>
        <v>1</v>
      </c>
      <c r="G1823">
        <f>1</f>
        <v>1</v>
      </c>
      <c r="H18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1822)&amp;"|",All_Questions_Q_STREAM_F_wrapped)),1,0),0))*1</f>
        <v>1</v>
      </c>
    </row>
    <row r="1824">
      <c r="A1824" t="n">
        <v>1823</v>
      </c>
      <c r="B1824" t="inlineStr">
        <is>
          <t>A</t>
        </is>
      </c>
      <c r="C1824">
        <f>1</f>
        <v>1</v>
      </c>
      <c r="D1824">
        <f>IF(OR(F_Custom1_Q="(None)",F_Custom1_Q="",ISBLANK(F_Custom1_Q),F_Custom1_V="(All)",F_Custom1_V="",ISBLANK(F_Custom1_V)),1,IFERROR(IF(ISNUMBER(SEARCH("|"&amp;INDEX(INDIRECT(F_Custom1_resolved_column),1823)&amp;"|",F_Custom1_wrapped)),1,0),0))</f>
        <v>1</v>
      </c>
      <c r="E1824">
        <f>IF(OR(F_Custom2_Q="(None)",F_Custom2_Q="",ISBLANK(F_Custom2_Q),F_Custom2_V="(All)",F_Custom2_V="",ISBLANK(F_Custom2_V)),1,IFERROR(IF(ISNUMBER(SEARCH("|"&amp;INDEX(INDIRECT(F_Custom2_resolved_column),1823)&amp;"|",F_Custom2_wrapped)),1,0),0))</f>
        <v>1</v>
      </c>
      <c r="F1824">
        <f>D1824*E1824*1</f>
        <v>1</v>
      </c>
      <c r="G1824">
        <f>1</f>
        <v>1</v>
      </c>
      <c r="H18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1823)&amp;"|",All_Questions_Q_STREAM_F_wrapped)),1,0),0))*1</f>
        <v>1</v>
      </c>
    </row>
    <row r="1825">
      <c r="A1825" t="n">
        <v>1824</v>
      </c>
      <c r="B1825" t="inlineStr">
        <is>
          <t>B</t>
        </is>
      </c>
      <c r="C1825">
        <f>1</f>
        <v>1</v>
      </c>
      <c r="D1825">
        <f>IF(OR(F_Custom1_Q="(None)",F_Custom1_Q="",ISBLANK(F_Custom1_Q),F_Custom1_V="(All)",F_Custom1_V="",ISBLANK(F_Custom1_V)),1,IFERROR(IF(ISNUMBER(SEARCH("|"&amp;INDEX(INDIRECT(F_Custom1_resolved_column),1824)&amp;"|",F_Custom1_wrapped)),1,0),0))</f>
        <v>1</v>
      </c>
      <c r="E1825">
        <f>IF(OR(F_Custom2_Q="(None)",F_Custom2_Q="",ISBLANK(F_Custom2_Q),F_Custom2_V="(All)",F_Custom2_V="",ISBLANK(F_Custom2_V)),1,IFERROR(IF(ISNUMBER(SEARCH("|"&amp;INDEX(INDIRECT(F_Custom2_resolved_column),1824)&amp;"|",F_Custom2_wrapped)),1,0),0))</f>
        <v>1</v>
      </c>
      <c r="F1825">
        <f>D1825*E1825*1</f>
        <v>1</v>
      </c>
      <c r="G1825">
        <f>1</f>
        <v>1</v>
      </c>
      <c r="H18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1824)&amp;"|",All_Questions_Q_STREAM_F_wrapped)),1,0),0))*1</f>
        <v>1</v>
      </c>
    </row>
    <row r="1826">
      <c r="A1826" t="n">
        <v>1825</v>
      </c>
      <c r="B1826" t="inlineStr">
        <is>
          <t>A</t>
        </is>
      </c>
      <c r="C1826">
        <f>1</f>
        <v>1</v>
      </c>
      <c r="D1826">
        <f>IF(OR(F_Custom1_Q="(None)",F_Custom1_Q="",ISBLANK(F_Custom1_Q),F_Custom1_V="(All)",F_Custom1_V="",ISBLANK(F_Custom1_V)),1,IFERROR(IF(ISNUMBER(SEARCH("|"&amp;INDEX(INDIRECT(F_Custom1_resolved_column),1825)&amp;"|",F_Custom1_wrapped)),1,0),0))</f>
        <v>1</v>
      </c>
      <c r="E1826">
        <f>IF(OR(F_Custom2_Q="(None)",F_Custom2_Q="",ISBLANK(F_Custom2_Q),F_Custom2_V="(All)",F_Custom2_V="",ISBLANK(F_Custom2_V)),1,IFERROR(IF(ISNUMBER(SEARCH("|"&amp;INDEX(INDIRECT(F_Custom2_resolved_column),1825)&amp;"|",F_Custom2_wrapped)),1,0),0))</f>
        <v>1</v>
      </c>
      <c r="F1826">
        <f>D1826*E1826*1</f>
        <v>1</v>
      </c>
      <c r="G1826">
        <f>1</f>
        <v>1</v>
      </c>
      <c r="H18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1825)&amp;"|",All_Questions_Q_STREAM_F_wrapped)),1,0),0))*1</f>
        <v>1</v>
      </c>
    </row>
    <row r="1827">
      <c r="A1827" t="n">
        <v>1826</v>
      </c>
      <c r="B1827" t="inlineStr">
        <is>
          <t>B</t>
        </is>
      </c>
      <c r="C1827">
        <f>1</f>
        <v>1</v>
      </c>
      <c r="D1827">
        <f>IF(OR(F_Custom1_Q="(None)",F_Custom1_Q="",ISBLANK(F_Custom1_Q),F_Custom1_V="(All)",F_Custom1_V="",ISBLANK(F_Custom1_V)),1,IFERROR(IF(ISNUMBER(SEARCH("|"&amp;INDEX(INDIRECT(F_Custom1_resolved_column),1826)&amp;"|",F_Custom1_wrapped)),1,0),0))</f>
        <v>1</v>
      </c>
      <c r="E1827">
        <f>IF(OR(F_Custom2_Q="(None)",F_Custom2_Q="",ISBLANK(F_Custom2_Q),F_Custom2_V="(All)",F_Custom2_V="",ISBLANK(F_Custom2_V)),1,IFERROR(IF(ISNUMBER(SEARCH("|"&amp;INDEX(INDIRECT(F_Custom2_resolved_column),1826)&amp;"|",F_Custom2_wrapped)),1,0),0))</f>
        <v>1</v>
      </c>
      <c r="F1827">
        <f>D1827*E1827*1</f>
        <v>1</v>
      </c>
      <c r="G1827">
        <f>1</f>
        <v>1</v>
      </c>
      <c r="H18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1826)&amp;"|",All_Questions_Q_STREAM_F_wrapped)),1,0),0))*1</f>
        <v>1</v>
      </c>
    </row>
    <row r="1828">
      <c r="A1828" t="n">
        <v>1827</v>
      </c>
      <c r="B1828" t="inlineStr">
        <is>
          <t>A</t>
        </is>
      </c>
      <c r="C1828">
        <f>1</f>
        <v>1</v>
      </c>
      <c r="D1828">
        <f>IF(OR(F_Custom1_Q="(None)",F_Custom1_Q="",ISBLANK(F_Custom1_Q),F_Custom1_V="(All)",F_Custom1_V="",ISBLANK(F_Custom1_V)),1,IFERROR(IF(ISNUMBER(SEARCH("|"&amp;INDEX(INDIRECT(F_Custom1_resolved_column),1827)&amp;"|",F_Custom1_wrapped)),1,0),0))</f>
        <v>1</v>
      </c>
      <c r="E1828">
        <f>IF(OR(F_Custom2_Q="(None)",F_Custom2_Q="",ISBLANK(F_Custom2_Q),F_Custom2_V="(All)",F_Custom2_V="",ISBLANK(F_Custom2_V)),1,IFERROR(IF(ISNUMBER(SEARCH("|"&amp;INDEX(INDIRECT(F_Custom2_resolved_column),1827)&amp;"|",F_Custom2_wrapped)),1,0),0))</f>
        <v>1</v>
      </c>
      <c r="F1828">
        <f>D1828*E1828*1</f>
        <v>1</v>
      </c>
      <c r="G1828">
        <f>1</f>
        <v>1</v>
      </c>
      <c r="H18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1827)&amp;"|",All_Questions_Q_STREAM_F_wrapped)),1,0),0))*1</f>
        <v>1</v>
      </c>
    </row>
    <row r="1829">
      <c r="A1829" t="n">
        <v>1828</v>
      </c>
      <c r="B1829" t="inlineStr">
        <is>
          <t>B</t>
        </is>
      </c>
      <c r="C1829">
        <f>1</f>
        <v>1</v>
      </c>
      <c r="D1829">
        <f>IF(OR(F_Custom1_Q="(None)",F_Custom1_Q="",ISBLANK(F_Custom1_Q),F_Custom1_V="(All)",F_Custom1_V="",ISBLANK(F_Custom1_V)),1,IFERROR(IF(ISNUMBER(SEARCH("|"&amp;INDEX(INDIRECT(F_Custom1_resolved_column),1828)&amp;"|",F_Custom1_wrapped)),1,0),0))</f>
        <v>1</v>
      </c>
      <c r="E1829">
        <f>IF(OR(F_Custom2_Q="(None)",F_Custom2_Q="",ISBLANK(F_Custom2_Q),F_Custom2_V="(All)",F_Custom2_V="",ISBLANK(F_Custom2_V)),1,IFERROR(IF(ISNUMBER(SEARCH("|"&amp;INDEX(INDIRECT(F_Custom2_resolved_column),1828)&amp;"|",F_Custom2_wrapped)),1,0),0))</f>
        <v>1</v>
      </c>
      <c r="F1829">
        <f>D1829*E1829*1</f>
        <v>1</v>
      </c>
      <c r="G1829">
        <f>1</f>
        <v>1</v>
      </c>
      <c r="H18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1828)&amp;"|",All_Questions_Q_STREAM_F_wrapped)),1,0),0))*1</f>
        <v>1</v>
      </c>
    </row>
    <row r="1830">
      <c r="A1830" t="n">
        <v>1829</v>
      </c>
      <c r="B1830" t="inlineStr">
        <is>
          <t>A</t>
        </is>
      </c>
      <c r="C1830">
        <f>1</f>
        <v>1</v>
      </c>
      <c r="D1830">
        <f>IF(OR(F_Custom1_Q="(None)",F_Custom1_Q="",ISBLANK(F_Custom1_Q),F_Custom1_V="(All)",F_Custom1_V="",ISBLANK(F_Custom1_V)),1,IFERROR(IF(ISNUMBER(SEARCH("|"&amp;INDEX(INDIRECT(F_Custom1_resolved_column),1829)&amp;"|",F_Custom1_wrapped)),1,0),0))</f>
        <v>1</v>
      </c>
      <c r="E1830">
        <f>IF(OR(F_Custom2_Q="(None)",F_Custom2_Q="",ISBLANK(F_Custom2_Q),F_Custom2_V="(All)",F_Custom2_V="",ISBLANK(F_Custom2_V)),1,IFERROR(IF(ISNUMBER(SEARCH("|"&amp;INDEX(INDIRECT(F_Custom2_resolved_column),1829)&amp;"|",F_Custom2_wrapped)),1,0),0))</f>
        <v>1</v>
      </c>
      <c r="F1830">
        <f>D1830*E1830*1</f>
        <v>1</v>
      </c>
      <c r="G1830">
        <f>1</f>
        <v>1</v>
      </c>
      <c r="H18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1829)&amp;"|",All_Questions_Q_STREAM_F_wrapped)),1,0),0))*1</f>
        <v>1</v>
      </c>
    </row>
    <row r="1831">
      <c r="A1831" t="n">
        <v>1830</v>
      </c>
      <c r="B1831" t="inlineStr">
        <is>
          <t>B</t>
        </is>
      </c>
      <c r="C1831">
        <f>1</f>
        <v>1</v>
      </c>
      <c r="D1831">
        <f>IF(OR(F_Custom1_Q="(None)",F_Custom1_Q="",ISBLANK(F_Custom1_Q),F_Custom1_V="(All)",F_Custom1_V="",ISBLANK(F_Custom1_V)),1,IFERROR(IF(ISNUMBER(SEARCH("|"&amp;INDEX(INDIRECT(F_Custom1_resolved_column),1830)&amp;"|",F_Custom1_wrapped)),1,0),0))</f>
        <v>1</v>
      </c>
      <c r="E1831">
        <f>IF(OR(F_Custom2_Q="(None)",F_Custom2_Q="",ISBLANK(F_Custom2_Q),F_Custom2_V="(All)",F_Custom2_V="",ISBLANK(F_Custom2_V)),1,IFERROR(IF(ISNUMBER(SEARCH("|"&amp;INDEX(INDIRECT(F_Custom2_resolved_column),1830)&amp;"|",F_Custom2_wrapped)),1,0),0))</f>
        <v>1</v>
      </c>
      <c r="F1831">
        <f>D1831*E1831*1</f>
        <v>1</v>
      </c>
      <c r="G1831">
        <f>1</f>
        <v>1</v>
      </c>
      <c r="H18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1830)&amp;"|",All_Questions_Q_STREAM_F_wrapped)),1,0),0))*1</f>
        <v>1</v>
      </c>
    </row>
    <row r="1832">
      <c r="A1832" t="n">
        <v>1831</v>
      </c>
      <c r="B1832" t="inlineStr">
        <is>
          <t>A</t>
        </is>
      </c>
      <c r="C1832">
        <f>1</f>
        <v>1</v>
      </c>
      <c r="D1832">
        <f>IF(OR(F_Custom1_Q="(None)",F_Custom1_Q="",ISBLANK(F_Custom1_Q),F_Custom1_V="(All)",F_Custom1_V="",ISBLANK(F_Custom1_V)),1,IFERROR(IF(ISNUMBER(SEARCH("|"&amp;INDEX(INDIRECT(F_Custom1_resolved_column),1831)&amp;"|",F_Custom1_wrapped)),1,0),0))</f>
        <v>1</v>
      </c>
      <c r="E1832">
        <f>IF(OR(F_Custom2_Q="(None)",F_Custom2_Q="",ISBLANK(F_Custom2_Q),F_Custom2_V="(All)",F_Custom2_V="",ISBLANK(F_Custom2_V)),1,IFERROR(IF(ISNUMBER(SEARCH("|"&amp;INDEX(INDIRECT(F_Custom2_resolved_column),1831)&amp;"|",F_Custom2_wrapped)),1,0),0))</f>
        <v>1</v>
      </c>
      <c r="F1832">
        <f>D1832*E1832*1</f>
        <v>1</v>
      </c>
      <c r="G1832">
        <f>1</f>
        <v>1</v>
      </c>
      <c r="H18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1831)&amp;"|",All_Questions_Q_STREAM_F_wrapped)),1,0),0))*1</f>
        <v>1</v>
      </c>
    </row>
    <row r="1833">
      <c r="A1833" t="n">
        <v>1832</v>
      </c>
      <c r="B1833" t="inlineStr">
        <is>
          <t>B</t>
        </is>
      </c>
      <c r="C1833">
        <f>1</f>
        <v>1</v>
      </c>
      <c r="D1833">
        <f>IF(OR(F_Custom1_Q="(None)",F_Custom1_Q="",ISBLANK(F_Custom1_Q),F_Custom1_V="(All)",F_Custom1_V="",ISBLANK(F_Custom1_V)),1,IFERROR(IF(ISNUMBER(SEARCH("|"&amp;INDEX(INDIRECT(F_Custom1_resolved_column),1832)&amp;"|",F_Custom1_wrapped)),1,0),0))</f>
        <v>1</v>
      </c>
      <c r="E1833">
        <f>IF(OR(F_Custom2_Q="(None)",F_Custom2_Q="",ISBLANK(F_Custom2_Q),F_Custom2_V="(All)",F_Custom2_V="",ISBLANK(F_Custom2_V)),1,IFERROR(IF(ISNUMBER(SEARCH("|"&amp;INDEX(INDIRECT(F_Custom2_resolved_column),1832)&amp;"|",F_Custom2_wrapped)),1,0),0))</f>
        <v>1</v>
      </c>
      <c r="F1833">
        <f>D1833*E1833*1</f>
        <v>1</v>
      </c>
      <c r="G1833">
        <f>1</f>
        <v>1</v>
      </c>
      <c r="H18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1832)&amp;"|",All_Questions_Q_STREAM_F_wrapped)),1,0),0))*1</f>
        <v>1</v>
      </c>
    </row>
    <row r="1834">
      <c r="A1834" t="n">
        <v>1833</v>
      </c>
      <c r="B1834" t="inlineStr">
        <is>
          <t>A</t>
        </is>
      </c>
      <c r="C1834">
        <f>1</f>
        <v>1</v>
      </c>
      <c r="D1834">
        <f>IF(OR(F_Custom1_Q="(None)",F_Custom1_Q="",ISBLANK(F_Custom1_Q),F_Custom1_V="(All)",F_Custom1_V="",ISBLANK(F_Custom1_V)),1,IFERROR(IF(ISNUMBER(SEARCH("|"&amp;INDEX(INDIRECT(F_Custom1_resolved_column),1833)&amp;"|",F_Custom1_wrapped)),1,0),0))</f>
        <v>1</v>
      </c>
      <c r="E1834">
        <f>IF(OR(F_Custom2_Q="(None)",F_Custom2_Q="",ISBLANK(F_Custom2_Q),F_Custom2_V="(All)",F_Custom2_V="",ISBLANK(F_Custom2_V)),1,IFERROR(IF(ISNUMBER(SEARCH("|"&amp;INDEX(INDIRECT(F_Custom2_resolved_column),1833)&amp;"|",F_Custom2_wrapped)),1,0),0))</f>
        <v>1</v>
      </c>
      <c r="F1834">
        <f>D1834*E1834*1</f>
        <v>1</v>
      </c>
      <c r="G1834">
        <f>1</f>
        <v>1</v>
      </c>
      <c r="H18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1833)&amp;"|",All_Questions_Q_STREAM_F_wrapped)),1,0),0))*1</f>
        <v>1</v>
      </c>
    </row>
    <row r="1835">
      <c r="A1835" t="n">
        <v>1834</v>
      </c>
      <c r="B1835" t="inlineStr">
        <is>
          <t>B</t>
        </is>
      </c>
      <c r="C1835">
        <f>1</f>
        <v>1</v>
      </c>
      <c r="D1835">
        <f>IF(OR(F_Custom1_Q="(None)",F_Custom1_Q="",ISBLANK(F_Custom1_Q),F_Custom1_V="(All)",F_Custom1_V="",ISBLANK(F_Custom1_V)),1,IFERROR(IF(ISNUMBER(SEARCH("|"&amp;INDEX(INDIRECT(F_Custom1_resolved_column),1834)&amp;"|",F_Custom1_wrapped)),1,0),0))</f>
        <v>1</v>
      </c>
      <c r="E1835">
        <f>IF(OR(F_Custom2_Q="(None)",F_Custom2_Q="",ISBLANK(F_Custom2_Q),F_Custom2_V="(All)",F_Custom2_V="",ISBLANK(F_Custom2_V)),1,IFERROR(IF(ISNUMBER(SEARCH("|"&amp;INDEX(INDIRECT(F_Custom2_resolved_column),1834)&amp;"|",F_Custom2_wrapped)),1,0),0))</f>
        <v>1</v>
      </c>
      <c r="F1835">
        <f>D1835*E1835*1</f>
        <v>1</v>
      </c>
      <c r="G1835">
        <f>1</f>
        <v>1</v>
      </c>
      <c r="H18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1834)&amp;"|",All_Questions_Q_STREAM_F_wrapped)),1,0),0))*1</f>
        <v>1</v>
      </c>
    </row>
    <row r="1836">
      <c r="A1836" t="n">
        <v>1835</v>
      </c>
      <c r="B1836" t="inlineStr">
        <is>
          <t>A</t>
        </is>
      </c>
      <c r="C1836">
        <f>1</f>
        <v>1</v>
      </c>
      <c r="D1836">
        <f>IF(OR(F_Custom1_Q="(None)",F_Custom1_Q="",ISBLANK(F_Custom1_Q),F_Custom1_V="(All)",F_Custom1_V="",ISBLANK(F_Custom1_V)),1,IFERROR(IF(ISNUMBER(SEARCH("|"&amp;INDEX(INDIRECT(F_Custom1_resolved_column),1835)&amp;"|",F_Custom1_wrapped)),1,0),0))</f>
        <v>1</v>
      </c>
      <c r="E1836">
        <f>IF(OR(F_Custom2_Q="(None)",F_Custom2_Q="",ISBLANK(F_Custom2_Q),F_Custom2_V="(All)",F_Custom2_V="",ISBLANK(F_Custom2_V)),1,IFERROR(IF(ISNUMBER(SEARCH("|"&amp;INDEX(INDIRECT(F_Custom2_resolved_column),1835)&amp;"|",F_Custom2_wrapped)),1,0),0))</f>
        <v>1</v>
      </c>
      <c r="F1836">
        <f>D1836*E1836*1</f>
        <v>1</v>
      </c>
      <c r="G1836">
        <f>1</f>
        <v>1</v>
      </c>
      <c r="H18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1835)&amp;"|",All_Questions_Q_STREAM_F_wrapped)),1,0),0))*1</f>
        <v>1</v>
      </c>
    </row>
    <row r="1837">
      <c r="A1837" t="n">
        <v>1836</v>
      </c>
      <c r="B1837" t="inlineStr">
        <is>
          <t>B</t>
        </is>
      </c>
      <c r="C1837">
        <f>1</f>
        <v>1</v>
      </c>
      <c r="D1837">
        <f>IF(OR(F_Custom1_Q="(None)",F_Custom1_Q="",ISBLANK(F_Custom1_Q),F_Custom1_V="(All)",F_Custom1_V="",ISBLANK(F_Custom1_V)),1,IFERROR(IF(ISNUMBER(SEARCH("|"&amp;INDEX(INDIRECT(F_Custom1_resolved_column),1836)&amp;"|",F_Custom1_wrapped)),1,0),0))</f>
        <v>1</v>
      </c>
      <c r="E1837">
        <f>IF(OR(F_Custom2_Q="(None)",F_Custom2_Q="",ISBLANK(F_Custom2_Q),F_Custom2_V="(All)",F_Custom2_V="",ISBLANK(F_Custom2_V)),1,IFERROR(IF(ISNUMBER(SEARCH("|"&amp;INDEX(INDIRECT(F_Custom2_resolved_column),1836)&amp;"|",F_Custom2_wrapped)),1,0),0))</f>
        <v>1</v>
      </c>
      <c r="F1837">
        <f>D1837*E1837*1</f>
        <v>1</v>
      </c>
      <c r="G1837">
        <f>1</f>
        <v>1</v>
      </c>
      <c r="H18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1836)&amp;"|",All_Questions_Q_STREAM_F_wrapped)),1,0),0))*1</f>
        <v>1</v>
      </c>
    </row>
    <row r="1838">
      <c r="A1838" t="n">
        <v>1837</v>
      </c>
      <c r="B1838" t="inlineStr">
        <is>
          <t>A</t>
        </is>
      </c>
      <c r="C1838">
        <f>1</f>
        <v>1</v>
      </c>
      <c r="D1838">
        <f>IF(OR(F_Custom1_Q="(None)",F_Custom1_Q="",ISBLANK(F_Custom1_Q),F_Custom1_V="(All)",F_Custom1_V="",ISBLANK(F_Custom1_V)),1,IFERROR(IF(ISNUMBER(SEARCH("|"&amp;INDEX(INDIRECT(F_Custom1_resolved_column),1837)&amp;"|",F_Custom1_wrapped)),1,0),0))</f>
        <v>1</v>
      </c>
      <c r="E1838">
        <f>IF(OR(F_Custom2_Q="(None)",F_Custom2_Q="",ISBLANK(F_Custom2_Q),F_Custom2_V="(All)",F_Custom2_V="",ISBLANK(F_Custom2_V)),1,IFERROR(IF(ISNUMBER(SEARCH("|"&amp;INDEX(INDIRECT(F_Custom2_resolved_column),1837)&amp;"|",F_Custom2_wrapped)),1,0),0))</f>
        <v>1</v>
      </c>
      <c r="F1838">
        <f>D1838*E1838*1</f>
        <v>1</v>
      </c>
      <c r="G1838">
        <f>1</f>
        <v>1</v>
      </c>
      <c r="H18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1837)&amp;"|",All_Questions_Q_STREAM_F_wrapped)),1,0),0))*1</f>
        <v>1</v>
      </c>
    </row>
    <row r="1839">
      <c r="A1839" t="n">
        <v>1838</v>
      </c>
      <c r="B1839" t="inlineStr">
        <is>
          <t>B</t>
        </is>
      </c>
      <c r="C1839">
        <f>1</f>
        <v>1</v>
      </c>
      <c r="D1839">
        <f>IF(OR(F_Custom1_Q="(None)",F_Custom1_Q="",ISBLANK(F_Custom1_Q),F_Custom1_V="(All)",F_Custom1_V="",ISBLANK(F_Custom1_V)),1,IFERROR(IF(ISNUMBER(SEARCH("|"&amp;INDEX(INDIRECT(F_Custom1_resolved_column),1838)&amp;"|",F_Custom1_wrapped)),1,0),0))</f>
        <v>1</v>
      </c>
      <c r="E1839">
        <f>IF(OR(F_Custom2_Q="(None)",F_Custom2_Q="",ISBLANK(F_Custom2_Q),F_Custom2_V="(All)",F_Custom2_V="",ISBLANK(F_Custom2_V)),1,IFERROR(IF(ISNUMBER(SEARCH("|"&amp;INDEX(INDIRECT(F_Custom2_resolved_column),1838)&amp;"|",F_Custom2_wrapped)),1,0),0))</f>
        <v>1</v>
      </c>
      <c r="F1839">
        <f>D1839*E1839*1</f>
        <v>1</v>
      </c>
      <c r="G1839">
        <f>1</f>
        <v>1</v>
      </c>
      <c r="H18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1838)&amp;"|",All_Questions_Q_STREAM_F_wrapped)),1,0),0))*1</f>
        <v>1</v>
      </c>
    </row>
    <row r="1840">
      <c r="A1840" t="n">
        <v>1839</v>
      </c>
      <c r="B1840" t="inlineStr">
        <is>
          <t>A</t>
        </is>
      </c>
      <c r="C1840">
        <f>1</f>
        <v>1</v>
      </c>
      <c r="D1840">
        <f>IF(OR(F_Custom1_Q="(None)",F_Custom1_Q="",ISBLANK(F_Custom1_Q),F_Custom1_V="(All)",F_Custom1_V="",ISBLANK(F_Custom1_V)),1,IFERROR(IF(ISNUMBER(SEARCH("|"&amp;INDEX(INDIRECT(F_Custom1_resolved_column),1839)&amp;"|",F_Custom1_wrapped)),1,0),0))</f>
        <v>1</v>
      </c>
      <c r="E1840">
        <f>IF(OR(F_Custom2_Q="(None)",F_Custom2_Q="",ISBLANK(F_Custom2_Q),F_Custom2_V="(All)",F_Custom2_V="",ISBLANK(F_Custom2_V)),1,IFERROR(IF(ISNUMBER(SEARCH("|"&amp;INDEX(INDIRECT(F_Custom2_resolved_column),1839)&amp;"|",F_Custom2_wrapped)),1,0),0))</f>
        <v>1</v>
      </c>
      <c r="F1840">
        <f>D1840*E1840*1</f>
        <v>1</v>
      </c>
      <c r="G1840">
        <f>1</f>
        <v>1</v>
      </c>
      <c r="H18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1839)&amp;"|",All_Questions_Q_STREAM_F_wrapped)),1,0),0))*1</f>
        <v>1</v>
      </c>
    </row>
    <row r="1841">
      <c r="A1841" t="n">
        <v>1840</v>
      </c>
      <c r="B1841" t="inlineStr">
        <is>
          <t>B</t>
        </is>
      </c>
      <c r="C1841">
        <f>1</f>
        <v>1</v>
      </c>
      <c r="D1841">
        <f>IF(OR(F_Custom1_Q="(None)",F_Custom1_Q="",ISBLANK(F_Custom1_Q),F_Custom1_V="(All)",F_Custom1_V="",ISBLANK(F_Custom1_V)),1,IFERROR(IF(ISNUMBER(SEARCH("|"&amp;INDEX(INDIRECT(F_Custom1_resolved_column),1840)&amp;"|",F_Custom1_wrapped)),1,0),0))</f>
        <v>1</v>
      </c>
      <c r="E1841">
        <f>IF(OR(F_Custom2_Q="(None)",F_Custom2_Q="",ISBLANK(F_Custom2_Q),F_Custom2_V="(All)",F_Custom2_V="",ISBLANK(F_Custom2_V)),1,IFERROR(IF(ISNUMBER(SEARCH("|"&amp;INDEX(INDIRECT(F_Custom2_resolved_column),1840)&amp;"|",F_Custom2_wrapped)),1,0),0))</f>
        <v>1</v>
      </c>
      <c r="F1841">
        <f>D1841*E1841*1</f>
        <v>1</v>
      </c>
      <c r="G1841">
        <f>1</f>
        <v>1</v>
      </c>
      <c r="H18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1840)&amp;"|",All_Questions_Q_STREAM_F_wrapped)),1,0),0))*1</f>
        <v>1</v>
      </c>
    </row>
    <row r="1842">
      <c r="A1842" t="n">
        <v>1841</v>
      </c>
      <c r="B1842" t="inlineStr">
        <is>
          <t>A</t>
        </is>
      </c>
      <c r="C1842">
        <f>1</f>
        <v>1</v>
      </c>
      <c r="D1842">
        <f>IF(OR(F_Custom1_Q="(None)",F_Custom1_Q="",ISBLANK(F_Custom1_Q),F_Custom1_V="(All)",F_Custom1_V="",ISBLANK(F_Custom1_V)),1,IFERROR(IF(ISNUMBER(SEARCH("|"&amp;INDEX(INDIRECT(F_Custom1_resolved_column),1841)&amp;"|",F_Custom1_wrapped)),1,0),0))</f>
        <v>1</v>
      </c>
      <c r="E1842">
        <f>IF(OR(F_Custom2_Q="(None)",F_Custom2_Q="",ISBLANK(F_Custom2_Q),F_Custom2_V="(All)",F_Custom2_V="",ISBLANK(F_Custom2_V)),1,IFERROR(IF(ISNUMBER(SEARCH("|"&amp;INDEX(INDIRECT(F_Custom2_resolved_column),1841)&amp;"|",F_Custom2_wrapped)),1,0),0))</f>
        <v>1</v>
      </c>
      <c r="F1842">
        <f>D1842*E1842*1</f>
        <v>1</v>
      </c>
      <c r="G1842">
        <f>1</f>
        <v>1</v>
      </c>
      <c r="H18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1841)&amp;"|",All_Questions_Q_STREAM_F_wrapped)),1,0),0))*1</f>
        <v>1</v>
      </c>
    </row>
    <row r="1843">
      <c r="A1843" t="n">
        <v>1842</v>
      </c>
      <c r="B1843" t="inlineStr">
        <is>
          <t>B</t>
        </is>
      </c>
      <c r="C1843">
        <f>1</f>
        <v>1</v>
      </c>
      <c r="D1843">
        <f>IF(OR(F_Custom1_Q="(None)",F_Custom1_Q="",ISBLANK(F_Custom1_Q),F_Custom1_V="(All)",F_Custom1_V="",ISBLANK(F_Custom1_V)),1,IFERROR(IF(ISNUMBER(SEARCH("|"&amp;INDEX(INDIRECT(F_Custom1_resolved_column),1842)&amp;"|",F_Custom1_wrapped)),1,0),0))</f>
        <v>1</v>
      </c>
      <c r="E1843">
        <f>IF(OR(F_Custom2_Q="(None)",F_Custom2_Q="",ISBLANK(F_Custom2_Q),F_Custom2_V="(All)",F_Custom2_V="",ISBLANK(F_Custom2_V)),1,IFERROR(IF(ISNUMBER(SEARCH("|"&amp;INDEX(INDIRECT(F_Custom2_resolved_column),1842)&amp;"|",F_Custom2_wrapped)),1,0),0))</f>
        <v>1</v>
      </c>
      <c r="F1843">
        <f>D1843*E1843*1</f>
        <v>1</v>
      </c>
      <c r="G1843">
        <f>1</f>
        <v>1</v>
      </c>
      <c r="H18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1842)&amp;"|",All_Questions_Q_STREAM_F_wrapped)),1,0),0))*1</f>
        <v>1</v>
      </c>
    </row>
    <row r="1844">
      <c r="A1844" t="n">
        <v>1843</v>
      </c>
      <c r="B1844" t="inlineStr">
        <is>
          <t>A</t>
        </is>
      </c>
      <c r="C1844">
        <f>1</f>
        <v>1</v>
      </c>
      <c r="D1844">
        <f>IF(OR(F_Custom1_Q="(None)",F_Custom1_Q="",ISBLANK(F_Custom1_Q),F_Custom1_V="(All)",F_Custom1_V="",ISBLANK(F_Custom1_V)),1,IFERROR(IF(ISNUMBER(SEARCH("|"&amp;INDEX(INDIRECT(F_Custom1_resolved_column),1843)&amp;"|",F_Custom1_wrapped)),1,0),0))</f>
        <v>1</v>
      </c>
      <c r="E1844">
        <f>IF(OR(F_Custom2_Q="(None)",F_Custom2_Q="",ISBLANK(F_Custom2_Q),F_Custom2_V="(All)",F_Custom2_V="",ISBLANK(F_Custom2_V)),1,IFERROR(IF(ISNUMBER(SEARCH("|"&amp;INDEX(INDIRECT(F_Custom2_resolved_column),1843)&amp;"|",F_Custom2_wrapped)),1,0),0))</f>
        <v>1</v>
      </c>
      <c r="F1844">
        <f>D1844*E1844*1</f>
        <v>1</v>
      </c>
      <c r="G1844">
        <f>1</f>
        <v>1</v>
      </c>
      <c r="H18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1843)&amp;"|",All_Questions_Q_STREAM_F_wrapped)),1,0),0))*1</f>
        <v>1</v>
      </c>
    </row>
    <row r="1845">
      <c r="A1845" t="n">
        <v>1844</v>
      </c>
      <c r="B1845" t="inlineStr">
        <is>
          <t>B</t>
        </is>
      </c>
      <c r="C1845">
        <f>1</f>
        <v>1</v>
      </c>
      <c r="D1845">
        <f>IF(OR(F_Custom1_Q="(None)",F_Custom1_Q="",ISBLANK(F_Custom1_Q),F_Custom1_V="(All)",F_Custom1_V="",ISBLANK(F_Custom1_V)),1,IFERROR(IF(ISNUMBER(SEARCH("|"&amp;INDEX(INDIRECT(F_Custom1_resolved_column),1844)&amp;"|",F_Custom1_wrapped)),1,0),0))</f>
        <v>1</v>
      </c>
      <c r="E1845">
        <f>IF(OR(F_Custom2_Q="(None)",F_Custom2_Q="",ISBLANK(F_Custom2_Q),F_Custom2_V="(All)",F_Custom2_V="",ISBLANK(F_Custom2_V)),1,IFERROR(IF(ISNUMBER(SEARCH("|"&amp;INDEX(INDIRECT(F_Custom2_resolved_column),1844)&amp;"|",F_Custom2_wrapped)),1,0),0))</f>
        <v>1</v>
      </c>
      <c r="F1845">
        <f>D1845*E1845*1</f>
        <v>1</v>
      </c>
      <c r="G1845">
        <f>1</f>
        <v>1</v>
      </c>
      <c r="H18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1844)&amp;"|",All_Questions_Q_STREAM_F_wrapped)),1,0),0))*1</f>
        <v>1</v>
      </c>
    </row>
    <row r="1846">
      <c r="A1846" t="n">
        <v>1845</v>
      </c>
      <c r="B1846" t="inlineStr">
        <is>
          <t>A</t>
        </is>
      </c>
      <c r="C1846">
        <f>1</f>
        <v>1</v>
      </c>
      <c r="D1846">
        <f>IF(OR(F_Custom1_Q="(None)",F_Custom1_Q="",ISBLANK(F_Custom1_Q),F_Custom1_V="(All)",F_Custom1_V="",ISBLANK(F_Custom1_V)),1,IFERROR(IF(ISNUMBER(SEARCH("|"&amp;INDEX(INDIRECT(F_Custom1_resolved_column),1845)&amp;"|",F_Custom1_wrapped)),1,0),0))</f>
        <v>1</v>
      </c>
      <c r="E1846">
        <f>IF(OR(F_Custom2_Q="(None)",F_Custom2_Q="",ISBLANK(F_Custom2_Q),F_Custom2_V="(All)",F_Custom2_V="",ISBLANK(F_Custom2_V)),1,IFERROR(IF(ISNUMBER(SEARCH("|"&amp;INDEX(INDIRECT(F_Custom2_resolved_column),1845)&amp;"|",F_Custom2_wrapped)),1,0),0))</f>
        <v>1</v>
      </c>
      <c r="F1846">
        <f>D1846*E1846*1</f>
        <v>1</v>
      </c>
      <c r="G1846">
        <f>1</f>
        <v>1</v>
      </c>
      <c r="H18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1845)&amp;"|",All_Questions_Q_STREAM_F_wrapped)),1,0),0))*1</f>
        <v>1</v>
      </c>
    </row>
    <row r="1847">
      <c r="A1847" t="n">
        <v>1846</v>
      </c>
      <c r="B1847" t="inlineStr">
        <is>
          <t>B</t>
        </is>
      </c>
      <c r="C1847">
        <f>1</f>
        <v>1</v>
      </c>
      <c r="D1847">
        <f>IF(OR(F_Custom1_Q="(None)",F_Custom1_Q="",ISBLANK(F_Custom1_Q),F_Custom1_V="(All)",F_Custom1_V="",ISBLANK(F_Custom1_V)),1,IFERROR(IF(ISNUMBER(SEARCH("|"&amp;INDEX(INDIRECT(F_Custom1_resolved_column),1846)&amp;"|",F_Custom1_wrapped)),1,0),0))</f>
        <v>1</v>
      </c>
      <c r="E1847">
        <f>IF(OR(F_Custom2_Q="(None)",F_Custom2_Q="",ISBLANK(F_Custom2_Q),F_Custom2_V="(All)",F_Custom2_V="",ISBLANK(F_Custom2_V)),1,IFERROR(IF(ISNUMBER(SEARCH("|"&amp;INDEX(INDIRECT(F_Custom2_resolved_column),1846)&amp;"|",F_Custom2_wrapped)),1,0),0))</f>
        <v>1</v>
      </c>
      <c r="F1847">
        <f>D1847*E1847*1</f>
        <v>1</v>
      </c>
      <c r="G1847">
        <f>1</f>
        <v>1</v>
      </c>
      <c r="H18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1846)&amp;"|",All_Questions_Q_STREAM_F_wrapped)),1,0),0))*1</f>
        <v>1</v>
      </c>
    </row>
    <row r="1848">
      <c r="A1848" t="n">
        <v>1847</v>
      </c>
      <c r="B1848" t="inlineStr">
        <is>
          <t>A</t>
        </is>
      </c>
      <c r="C1848">
        <f>1</f>
        <v>1</v>
      </c>
      <c r="D1848">
        <f>IF(OR(F_Custom1_Q="(None)",F_Custom1_Q="",ISBLANK(F_Custom1_Q),F_Custom1_V="(All)",F_Custom1_V="",ISBLANK(F_Custom1_V)),1,IFERROR(IF(ISNUMBER(SEARCH("|"&amp;INDEX(INDIRECT(F_Custom1_resolved_column),1847)&amp;"|",F_Custom1_wrapped)),1,0),0))</f>
        <v>1</v>
      </c>
      <c r="E1848">
        <f>IF(OR(F_Custom2_Q="(None)",F_Custom2_Q="",ISBLANK(F_Custom2_Q),F_Custom2_V="(All)",F_Custom2_V="",ISBLANK(F_Custom2_V)),1,IFERROR(IF(ISNUMBER(SEARCH("|"&amp;INDEX(INDIRECT(F_Custom2_resolved_column),1847)&amp;"|",F_Custom2_wrapped)),1,0),0))</f>
        <v>1</v>
      </c>
      <c r="F1848">
        <f>D1848*E1848*1</f>
        <v>1</v>
      </c>
      <c r="G1848">
        <f>1</f>
        <v>1</v>
      </c>
      <c r="H18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1847)&amp;"|",All_Questions_Q_STREAM_F_wrapped)),1,0),0))*1</f>
        <v>1</v>
      </c>
    </row>
    <row r="1849">
      <c r="A1849" t="n">
        <v>1848</v>
      </c>
      <c r="B1849" t="inlineStr">
        <is>
          <t>B</t>
        </is>
      </c>
      <c r="C1849">
        <f>1</f>
        <v>1</v>
      </c>
      <c r="D1849">
        <f>IF(OR(F_Custom1_Q="(None)",F_Custom1_Q="",ISBLANK(F_Custom1_Q),F_Custom1_V="(All)",F_Custom1_V="",ISBLANK(F_Custom1_V)),1,IFERROR(IF(ISNUMBER(SEARCH("|"&amp;INDEX(INDIRECT(F_Custom1_resolved_column),1848)&amp;"|",F_Custom1_wrapped)),1,0),0))</f>
        <v>1</v>
      </c>
      <c r="E1849">
        <f>IF(OR(F_Custom2_Q="(None)",F_Custom2_Q="",ISBLANK(F_Custom2_Q),F_Custom2_V="(All)",F_Custom2_V="",ISBLANK(F_Custom2_V)),1,IFERROR(IF(ISNUMBER(SEARCH("|"&amp;INDEX(INDIRECT(F_Custom2_resolved_column),1848)&amp;"|",F_Custom2_wrapped)),1,0),0))</f>
        <v>1</v>
      </c>
      <c r="F1849">
        <f>D1849*E1849*1</f>
        <v>1</v>
      </c>
      <c r="G1849">
        <f>1</f>
        <v>1</v>
      </c>
      <c r="H18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1848)&amp;"|",All_Questions_Q_STREAM_F_wrapped)),1,0),0))*1</f>
        <v>1</v>
      </c>
    </row>
    <row r="1850">
      <c r="A1850" t="n">
        <v>1849</v>
      </c>
      <c r="B1850" t="inlineStr">
        <is>
          <t>A</t>
        </is>
      </c>
      <c r="C1850">
        <f>1</f>
        <v>1</v>
      </c>
      <c r="D1850">
        <f>IF(OR(F_Custom1_Q="(None)",F_Custom1_Q="",ISBLANK(F_Custom1_Q),F_Custom1_V="(All)",F_Custom1_V="",ISBLANK(F_Custom1_V)),1,IFERROR(IF(ISNUMBER(SEARCH("|"&amp;INDEX(INDIRECT(F_Custom1_resolved_column),1849)&amp;"|",F_Custom1_wrapped)),1,0),0))</f>
        <v>1</v>
      </c>
      <c r="E1850">
        <f>IF(OR(F_Custom2_Q="(None)",F_Custom2_Q="",ISBLANK(F_Custom2_Q),F_Custom2_V="(All)",F_Custom2_V="",ISBLANK(F_Custom2_V)),1,IFERROR(IF(ISNUMBER(SEARCH("|"&amp;INDEX(INDIRECT(F_Custom2_resolved_column),1849)&amp;"|",F_Custom2_wrapped)),1,0),0))</f>
        <v>1</v>
      </c>
      <c r="F1850">
        <f>D1850*E1850*1</f>
        <v>1</v>
      </c>
      <c r="G1850">
        <f>1</f>
        <v>1</v>
      </c>
      <c r="H18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1849)&amp;"|",All_Questions_Q_STREAM_F_wrapped)),1,0),0))*1</f>
        <v>1</v>
      </c>
    </row>
    <row r="1851">
      <c r="A1851" t="n">
        <v>1850</v>
      </c>
      <c r="B1851" t="inlineStr">
        <is>
          <t>B</t>
        </is>
      </c>
      <c r="C1851">
        <f>1</f>
        <v>1</v>
      </c>
      <c r="D1851">
        <f>IF(OR(F_Custom1_Q="(None)",F_Custom1_Q="",ISBLANK(F_Custom1_Q),F_Custom1_V="(All)",F_Custom1_V="",ISBLANK(F_Custom1_V)),1,IFERROR(IF(ISNUMBER(SEARCH("|"&amp;INDEX(INDIRECT(F_Custom1_resolved_column),1850)&amp;"|",F_Custom1_wrapped)),1,0),0))</f>
        <v>1</v>
      </c>
      <c r="E1851">
        <f>IF(OR(F_Custom2_Q="(None)",F_Custom2_Q="",ISBLANK(F_Custom2_Q),F_Custom2_V="(All)",F_Custom2_V="",ISBLANK(F_Custom2_V)),1,IFERROR(IF(ISNUMBER(SEARCH("|"&amp;INDEX(INDIRECT(F_Custom2_resolved_column),1850)&amp;"|",F_Custom2_wrapped)),1,0),0))</f>
        <v>1</v>
      </c>
      <c r="F1851">
        <f>D1851*E1851*1</f>
        <v>1</v>
      </c>
      <c r="G1851">
        <f>1</f>
        <v>1</v>
      </c>
      <c r="H18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1850)&amp;"|",All_Questions_Q_STREAM_F_wrapped)),1,0),0))*1</f>
        <v>1</v>
      </c>
    </row>
    <row r="1852">
      <c r="A1852" t="n">
        <v>1851</v>
      </c>
      <c r="B1852" t="inlineStr">
        <is>
          <t>A</t>
        </is>
      </c>
      <c r="C1852">
        <f>1</f>
        <v>1</v>
      </c>
      <c r="D1852">
        <f>IF(OR(F_Custom1_Q="(None)",F_Custom1_Q="",ISBLANK(F_Custom1_Q),F_Custom1_V="(All)",F_Custom1_V="",ISBLANK(F_Custom1_V)),1,IFERROR(IF(ISNUMBER(SEARCH("|"&amp;INDEX(INDIRECT(F_Custom1_resolved_column),1851)&amp;"|",F_Custom1_wrapped)),1,0),0))</f>
        <v>1</v>
      </c>
      <c r="E1852">
        <f>IF(OR(F_Custom2_Q="(None)",F_Custom2_Q="",ISBLANK(F_Custom2_Q),F_Custom2_V="(All)",F_Custom2_V="",ISBLANK(F_Custom2_V)),1,IFERROR(IF(ISNUMBER(SEARCH("|"&amp;INDEX(INDIRECT(F_Custom2_resolved_column),1851)&amp;"|",F_Custom2_wrapped)),1,0),0))</f>
        <v>1</v>
      </c>
      <c r="F1852">
        <f>D1852*E1852*1</f>
        <v>1</v>
      </c>
      <c r="G1852">
        <f>1</f>
        <v>1</v>
      </c>
      <c r="H18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1851)&amp;"|",All_Questions_Q_STREAM_F_wrapped)),1,0),0))*1</f>
        <v>1</v>
      </c>
    </row>
    <row r="1853">
      <c r="A1853" t="n">
        <v>1852</v>
      </c>
      <c r="B1853" t="inlineStr">
        <is>
          <t>B</t>
        </is>
      </c>
      <c r="C1853">
        <f>1</f>
        <v>1</v>
      </c>
      <c r="D1853">
        <f>IF(OR(F_Custom1_Q="(None)",F_Custom1_Q="",ISBLANK(F_Custom1_Q),F_Custom1_V="(All)",F_Custom1_V="",ISBLANK(F_Custom1_V)),1,IFERROR(IF(ISNUMBER(SEARCH("|"&amp;INDEX(INDIRECT(F_Custom1_resolved_column),1852)&amp;"|",F_Custom1_wrapped)),1,0),0))</f>
        <v>1</v>
      </c>
      <c r="E1853">
        <f>IF(OR(F_Custom2_Q="(None)",F_Custom2_Q="",ISBLANK(F_Custom2_Q),F_Custom2_V="(All)",F_Custom2_V="",ISBLANK(F_Custom2_V)),1,IFERROR(IF(ISNUMBER(SEARCH("|"&amp;INDEX(INDIRECT(F_Custom2_resolved_column),1852)&amp;"|",F_Custom2_wrapped)),1,0),0))</f>
        <v>1</v>
      </c>
      <c r="F1853">
        <f>D1853*E1853*1</f>
        <v>1</v>
      </c>
      <c r="G1853">
        <f>1</f>
        <v>1</v>
      </c>
      <c r="H18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1852)&amp;"|",All_Questions_Q_STREAM_F_wrapped)),1,0),0))*1</f>
        <v>1</v>
      </c>
    </row>
    <row r="1854">
      <c r="A1854" t="n">
        <v>1853</v>
      </c>
      <c r="B1854" t="inlineStr">
        <is>
          <t>A</t>
        </is>
      </c>
      <c r="C1854">
        <f>1</f>
        <v>1</v>
      </c>
      <c r="D1854">
        <f>IF(OR(F_Custom1_Q="(None)",F_Custom1_Q="",ISBLANK(F_Custom1_Q),F_Custom1_V="(All)",F_Custom1_V="",ISBLANK(F_Custom1_V)),1,IFERROR(IF(ISNUMBER(SEARCH("|"&amp;INDEX(INDIRECT(F_Custom1_resolved_column),1853)&amp;"|",F_Custom1_wrapped)),1,0),0))</f>
        <v>1</v>
      </c>
      <c r="E1854">
        <f>IF(OR(F_Custom2_Q="(None)",F_Custom2_Q="",ISBLANK(F_Custom2_Q),F_Custom2_V="(All)",F_Custom2_V="",ISBLANK(F_Custom2_V)),1,IFERROR(IF(ISNUMBER(SEARCH("|"&amp;INDEX(INDIRECT(F_Custom2_resolved_column),1853)&amp;"|",F_Custom2_wrapped)),1,0),0))</f>
        <v>1</v>
      </c>
      <c r="F1854">
        <f>D1854*E1854*1</f>
        <v>1</v>
      </c>
      <c r="G1854">
        <f>1</f>
        <v>1</v>
      </c>
      <c r="H18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1853)&amp;"|",All_Questions_Q_STREAM_F_wrapped)),1,0),0))*1</f>
        <v>1</v>
      </c>
    </row>
    <row r="1855">
      <c r="A1855" t="n">
        <v>1854</v>
      </c>
      <c r="B1855" t="inlineStr">
        <is>
          <t>B</t>
        </is>
      </c>
      <c r="C1855">
        <f>1</f>
        <v>1</v>
      </c>
      <c r="D1855">
        <f>IF(OR(F_Custom1_Q="(None)",F_Custom1_Q="",ISBLANK(F_Custom1_Q),F_Custom1_V="(All)",F_Custom1_V="",ISBLANK(F_Custom1_V)),1,IFERROR(IF(ISNUMBER(SEARCH("|"&amp;INDEX(INDIRECT(F_Custom1_resolved_column),1854)&amp;"|",F_Custom1_wrapped)),1,0),0))</f>
        <v>1</v>
      </c>
      <c r="E1855">
        <f>IF(OR(F_Custom2_Q="(None)",F_Custom2_Q="",ISBLANK(F_Custom2_Q),F_Custom2_V="(All)",F_Custom2_V="",ISBLANK(F_Custom2_V)),1,IFERROR(IF(ISNUMBER(SEARCH("|"&amp;INDEX(INDIRECT(F_Custom2_resolved_column),1854)&amp;"|",F_Custom2_wrapped)),1,0),0))</f>
        <v>1</v>
      </c>
      <c r="F1855">
        <f>D1855*E1855*1</f>
        <v>1</v>
      </c>
      <c r="G1855">
        <f>1</f>
        <v>1</v>
      </c>
      <c r="H18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1854)&amp;"|",All_Questions_Q_STREAM_F_wrapped)),1,0),0))*1</f>
        <v>1</v>
      </c>
    </row>
    <row r="1856">
      <c r="A1856" t="n">
        <v>1855</v>
      </c>
      <c r="B1856" t="inlineStr">
        <is>
          <t>A</t>
        </is>
      </c>
      <c r="C1856">
        <f>1</f>
        <v>1</v>
      </c>
      <c r="D1856">
        <f>IF(OR(F_Custom1_Q="(None)",F_Custom1_Q="",ISBLANK(F_Custom1_Q),F_Custom1_V="(All)",F_Custom1_V="",ISBLANK(F_Custom1_V)),1,IFERROR(IF(ISNUMBER(SEARCH("|"&amp;INDEX(INDIRECT(F_Custom1_resolved_column),1855)&amp;"|",F_Custom1_wrapped)),1,0),0))</f>
        <v>1</v>
      </c>
      <c r="E1856">
        <f>IF(OR(F_Custom2_Q="(None)",F_Custom2_Q="",ISBLANK(F_Custom2_Q),F_Custom2_V="(All)",F_Custom2_V="",ISBLANK(F_Custom2_V)),1,IFERROR(IF(ISNUMBER(SEARCH("|"&amp;INDEX(INDIRECT(F_Custom2_resolved_column),1855)&amp;"|",F_Custom2_wrapped)),1,0),0))</f>
        <v>1</v>
      </c>
      <c r="F1856">
        <f>D1856*E1856*1</f>
        <v>1</v>
      </c>
      <c r="G1856">
        <f>1</f>
        <v>1</v>
      </c>
      <c r="H18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1855)&amp;"|",All_Questions_Q_STREAM_F_wrapped)),1,0),0))*1</f>
        <v>1</v>
      </c>
    </row>
    <row r="1857">
      <c r="A1857" t="n">
        <v>1856</v>
      </c>
      <c r="B1857" t="inlineStr">
        <is>
          <t>B</t>
        </is>
      </c>
      <c r="C1857">
        <f>1</f>
        <v>1</v>
      </c>
      <c r="D1857">
        <f>IF(OR(F_Custom1_Q="(None)",F_Custom1_Q="",ISBLANK(F_Custom1_Q),F_Custom1_V="(All)",F_Custom1_V="",ISBLANK(F_Custom1_V)),1,IFERROR(IF(ISNUMBER(SEARCH("|"&amp;INDEX(INDIRECT(F_Custom1_resolved_column),1856)&amp;"|",F_Custom1_wrapped)),1,0),0))</f>
        <v>1</v>
      </c>
      <c r="E1857">
        <f>IF(OR(F_Custom2_Q="(None)",F_Custom2_Q="",ISBLANK(F_Custom2_Q),F_Custom2_V="(All)",F_Custom2_V="",ISBLANK(F_Custom2_V)),1,IFERROR(IF(ISNUMBER(SEARCH("|"&amp;INDEX(INDIRECT(F_Custom2_resolved_column),1856)&amp;"|",F_Custom2_wrapped)),1,0),0))</f>
        <v>1</v>
      </c>
      <c r="F1857">
        <f>D1857*E1857*1</f>
        <v>1</v>
      </c>
      <c r="G1857">
        <f>1</f>
        <v>1</v>
      </c>
      <c r="H18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1856)&amp;"|",All_Questions_Q_STREAM_F_wrapped)),1,0),0))*1</f>
        <v>1</v>
      </c>
    </row>
    <row r="1858">
      <c r="A1858" t="n">
        <v>1857</v>
      </c>
      <c r="B1858" t="inlineStr">
        <is>
          <t>A</t>
        </is>
      </c>
      <c r="C1858">
        <f>1</f>
        <v>1</v>
      </c>
      <c r="D1858">
        <f>IF(OR(F_Custom1_Q="(None)",F_Custom1_Q="",ISBLANK(F_Custom1_Q),F_Custom1_V="(All)",F_Custom1_V="",ISBLANK(F_Custom1_V)),1,IFERROR(IF(ISNUMBER(SEARCH("|"&amp;INDEX(INDIRECT(F_Custom1_resolved_column),1857)&amp;"|",F_Custom1_wrapped)),1,0),0))</f>
        <v>1</v>
      </c>
      <c r="E1858">
        <f>IF(OR(F_Custom2_Q="(None)",F_Custom2_Q="",ISBLANK(F_Custom2_Q),F_Custom2_V="(All)",F_Custom2_V="",ISBLANK(F_Custom2_V)),1,IFERROR(IF(ISNUMBER(SEARCH("|"&amp;INDEX(INDIRECT(F_Custom2_resolved_column),1857)&amp;"|",F_Custom2_wrapped)),1,0),0))</f>
        <v>1</v>
      </c>
      <c r="F1858">
        <f>D1858*E1858*1</f>
        <v>1</v>
      </c>
      <c r="G1858">
        <f>1</f>
        <v>1</v>
      </c>
      <c r="H18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1857)&amp;"|",All_Questions_Q_STREAM_F_wrapped)),1,0),0))*1</f>
        <v>1</v>
      </c>
    </row>
    <row r="1859">
      <c r="A1859" t="n">
        <v>1858</v>
      </c>
      <c r="B1859" t="inlineStr">
        <is>
          <t>B</t>
        </is>
      </c>
      <c r="C1859">
        <f>1</f>
        <v>1</v>
      </c>
      <c r="D1859">
        <f>IF(OR(F_Custom1_Q="(None)",F_Custom1_Q="",ISBLANK(F_Custom1_Q),F_Custom1_V="(All)",F_Custom1_V="",ISBLANK(F_Custom1_V)),1,IFERROR(IF(ISNUMBER(SEARCH("|"&amp;INDEX(INDIRECT(F_Custom1_resolved_column),1858)&amp;"|",F_Custom1_wrapped)),1,0),0))</f>
        <v>1</v>
      </c>
      <c r="E1859">
        <f>IF(OR(F_Custom2_Q="(None)",F_Custom2_Q="",ISBLANK(F_Custom2_Q),F_Custom2_V="(All)",F_Custom2_V="",ISBLANK(F_Custom2_V)),1,IFERROR(IF(ISNUMBER(SEARCH("|"&amp;INDEX(INDIRECT(F_Custom2_resolved_column),1858)&amp;"|",F_Custom2_wrapped)),1,0),0))</f>
        <v>1</v>
      </c>
      <c r="F1859">
        <f>D1859*E1859*1</f>
        <v>1</v>
      </c>
      <c r="G1859">
        <f>1</f>
        <v>1</v>
      </c>
      <c r="H18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1858)&amp;"|",All_Questions_Q_STREAM_F_wrapped)),1,0),0))*1</f>
        <v>1</v>
      </c>
    </row>
    <row r="1860">
      <c r="A1860" t="n">
        <v>1859</v>
      </c>
      <c r="B1860" t="inlineStr">
        <is>
          <t>A</t>
        </is>
      </c>
      <c r="C1860">
        <f>1</f>
        <v>1</v>
      </c>
      <c r="D1860">
        <f>IF(OR(F_Custom1_Q="(None)",F_Custom1_Q="",ISBLANK(F_Custom1_Q),F_Custom1_V="(All)",F_Custom1_V="",ISBLANK(F_Custom1_V)),1,IFERROR(IF(ISNUMBER(SEARCH("|"&amp;INDEX(INDIRECT(F_Custom1_resolved_column),1859)&amp;"|",F_Custom1_wrapped)),1,0),0))</f>
        <v>1</v>
      </c>
      <c r="E1860">
        <f>IF(OR(F_Custom2_Q="(None)",F_Custom2_Q="",ISBLANK(F_Custom2_Q),F_Custom2_V="(All)",F_Custom2_V="",ISBLANK(F_Custom2_V)),1,IFERROR(IF(ISNUMBER(SEARCH("|"&amp;INDEX(INDIRECT(F_Custom2_resolved_column),1859)&amp;"|",F_Custom2_wrapped)),1,0),0))</f>
        <v>1</v>
      </c>
      <c r="F1860">
        <f>D1860*E1860*1</f>
        <v>1</v>
      </c>
      <c r="G1860">
        <f>1</f>
        <v>1</v>
      </c>
      <c r="H18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1859)&amp;"|",All_Questions_Q_STREAM_F_wrapped)),1,0),0))*1</f>
        <v>1</v>
      </c>
    </row>
    <row r="1861">
      <c r="A1861" t="n">
        <v>1860</v>
      </c>
      <c r="B1861" t="inlineStr">
        <is>
          <t>B</t>
        </is>
      </c>
      <c r="C1861">
        <f>1</f>
        <v>1</v>
      </c>
      <c r="D1861">
        <f>IF(OR(F_Custom1_Q="(None)",F_Custom1_Q="",ISBLANK(F_Custom1_Q),F_Custom1_V="(All)",F_Custom1_V="",ISBLANK(F_Custom1_V)),1,IFERROR(IF(ISNUMBER(SEARCH("|"&amp;INDEX(INDIRECT(F_Custom1_resolved_column),1860)&amp;"|",F_Custom1_wrapped)),1,0),0))</f>
        <v>1</v>
      </c>
      <c r="E1861">
        <f>IF(OR(F_Custom2_Q="(None)",F_Custom2_Q="",ISBLANK(F_Custom2_Q),F_Custom2_V="(All)",F_Custom2_V="",ISBLANK(F_Custom2_V)),1,IFERROR(IF(ISNUMBER(SEARCH("|"&amp;INDEX(INDIRECT(F_Custom2_resolved_column),1860)&amp;"|",F_Custom2_wrapped)),1,0),0))</f>
        <v>1</v>
      </c>
      <c r="F1861">
        <f>D1861*E1861*1</f>
        <v>1</v>
      </c>
      <c r="G1861">
        <f>1</f>
        <v>1</v>
      </c>
      <c r="H18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1860)&amp;"|",All_Questions_Q_STREAM_F_wrapped)),1,0),0))*1</f>
        <v>1</v>
      </c>
    </row>
    <row r="1862">
      <c r="A1862" t="n">
        <v>1861</v>
      </c>
      <c r="B1862" t="inlineStr">
        <is>
          <t>A</t>
        </is>
      </c>
      <c r="C1862">
        <f>1</f>
        <v>1</v>
      </c>
      <c r="D1862">
        <f>IF(OR(F_Custom1_Q="(None)",F_Custom1_Q="",ISBLANK(F_Custom1_Q),F_Custom1_V="(All)",F_Custom1_V="",ISBLANK(F_Custom1_V)),1,IFERROR(IF(ISNUMBER(SEARCH("|"&amp;INDEX(INDIRECT(F_Custom1_resolved_column),1861)&amp;"|",F_Custom1_wrapped)),1,0),0))</f>
        <v>1</v>
      </c>
      <c r="E1862">
        <f>IF(OR(F_Custom2_Q="(None)",F_Custom2_Q="",ISBLANK(F_Custom2_Q),F_Custom2_V="(All)",F_Custom2_V="",ISBLANK(F_Custom2_V)),1,IFERROR(IF(ISNUMBER(SEARCH("|"&amp;INDEX(INDIRECT(F_Custom2_resolved_column),1861)&amp;"|",F_Custom2_wrapped)),1,0),0))</f>
        <v>1</v>
      </c>
      <c r="F1862">
        <f>D1862*E1862*1</f>
        <v>1</v>
      </c>
      <c r="G1862">
        <f>1</f>
        <v>1</v>
      </c>
      <c r="H18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1861)&amp;"|",All_Questions_Q_STREAM_F_wrapped)),1,0),0))*1</f>
        <v>1</v>
      </c>
    </row>
    <row r="1863">
      <c r="A1863" t="n">
        <v>1862</v>
      </c>
      <c r="B1863" t="inlineStr">
        <is>
          <t>B</t>
        </is>
      </c>
      <c r="C1863">
        <f>1</f>
        <v>1</v>
      </c>
      <c r="D1863">
        <f>IF(OR(F_Custom1_Q="(None)",F_Custom1_Q="",ISBLANK(F_Custom1_Q),F_Custom1_V="(All)",F_Custom1_V="",ISBLANK(F_Custom1_V)),1,IFERROR(IF(ISNUMBER(SEARCH("|"&amp;INDEX(INDIRECT(F_Custom1_resolved_column),1862)&amp;"|",F_Custom1_wrapped)),1,0),0))</f>
        <v>1</v>
      </c>
      <c r="E1863">
        <f>IF(OR(F_Custom2_Q="(None)",F_Custom2_Q="",ISBLANK(F_Custom2_Q),F_Custom2_V="(All)",F_Custom2_V="",ISBLANK(F_Custom2_V)),1,IFERROR(IF(ISNUMBER(SEARCH("|"&amp;INDEX(INDIRECT(F_Custom2_resolved_column),1862)&amp;"|",F_Custom2_wrapped)),1,0),0))</f>
        <v>1</v>
      </c>
      <c r="F1863">
        <f>D1863*E1863*1</f>
        <v>1</v>
      </c>
      <c r="G1863">
        <f>1</f>
        <v>1</v>
      </c>
      <c r="H18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1862)&amp;"|",All_Questions_Q_STREAM_F_wrapped)),1,0),0))*1</f>
        <v>1</v>
      </c>
    </row>
    <row r="1864">
      <c r="A1864" t="n">
        <v>1863</v>
      </c>
      <c r="B1864" t="inlineStr">
        <is>
          <t>A</t>
        </is>
      </c>
      <c r="C1864">
        <f>1</f>
        <v>1</v>
      </c>
      <c r="D1864">
        <f>IF(OR(F_Custom1_Q="(None)",F_Custom1_Q="",ISBLANK(F_Custom1_Q),F_Custom1_V="(All)",F_Custom1_V="",ISBLANK(F_Custom1_V)),1,IFERROR(IF(ISNUMBER(SEARCH("|"&amp;INDEX(INDIRECT(F_Custom1_resolved_column),1863)&amp;"|",F_Custom1_wrapped)),1,0),0))</f>
        <v>1</v>
      </c>
      <c r="E1864">
        <f>IF(OR(F_Custom2_Q="(None)",F_Custom2_Q="",ISBLANK(F_Custom2_Q),F_Custom2_V="(All)",F_Custom2_V="",ISBLANK(F_Custom2_V)),1,IFERROR(IF(ISNUMBER(SEARCH("|"&amp;INDEX(INDIRECT(F_Custom2_resolved_column),1863)&amp;"|",F_Custom2_wrapped)),1,0),0))</f>
        <v>1</v>
      </c>
      <c r="F1864">
        <f>D1864*E1864*1</f>
        <v>1</v>
      </c>
      <c r="G1864">
        <f>1</f>
        <v>1</v>
      </c>
      <c r="H18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1863)&amp;"|",All_Questions_Q_STREAM_F_wrapped)),1,0),0))*1</f>
        <v>1</v>
      </c>
    </row>
    <row r="1865">
      <c r="A1865" t="n">
        <v>1864</v>
      </c>
      <c r="B1865" t="inlineStr">
        <is>
          <t>B</t>
        </is>
      </c>
      <c r="C1865">
        <f>1</f>
        <v>1</v>
      </c>
      <c r="D1865">
        <f>IF(OR(F_Custom1_Q="(None)",F_Custom1_Q="",ISBLANK(F_Custom1_Q),F_Custom1_V="(All)",F_Custom1_V="",ISBLANK(F_Custom1_V)),1,IFERROR(IF(ISNUMBER(SEARCH("|"&amp;INDEX(INDIRECT(F_Custom1_resolved_column),1864)&amp;"|",F_Custom1_wrapped)),1,0),0))</f>
        <v>1</v>
      </c>
      <c r="E1865">
        <f>IF(OR(F_Custom2_Q="(None)",F_Custom2_Q="",ISBLANK(F_Custom2_Q),F_Custom2_V="(All)",F_Custom2_V="",ISBLANK(F_Custom2_V)),1,IFERROR(IF(ISNUMBER(SEARCH("|"&amp;INDEX(INDIRECT(F_Custom2_resolved_column),1864)&amp;"|",F_Custom2_wrapped)),1,0),0))</f>
        <v>1</v>
      </c>
      <c r="F1865">
        <f>D1865*E1865*1</f>
        <v>1</v>
      </c>
      <c r="G1865">
        <f>1</f>
        <v>1</v>
      </c>
      <c r="H18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1864)&amp;"|",All_Questions_Q_STREAM_F_wrapped)),1,0),0))*1</f>
        <v>1</v>
      </c>
    </row>
    <row r="1866">
      <c r="A1866" t="n">
        <v>1865</v>
      </c>
      <c r="B1866" t="inlineStr">
        <is>
          <t>A</t>
        </is>
      </c>
      <c r="C1866">
        <f>1</f>
        <v>1</v>
      </c>
      <c r="D1866">
        <f>IF(OR(F_Custom1_Q="(None)",F_Custom1_Q="",ISBLANK(F_Custom1_Q),F_Custom1_V="(All)",F_Custom1_V="",ISBLANK(F_Custom1_V)),1,IFERROR(IF(ISNUMBER(SEARCH("|"&amp;INDEX(INDIRECT(F_Custom1_resolved_column),1865)&amp;"|",F_Custom1_wrapped)),1,0),0))</f>
        <v>1</v>
      </c>
      <c r="E1866">
        <f>IF(OR(F_Custom2_Q="(None)",F_Custom2_Q="",ISBLANK(F_Custom2_Q),F_Custom2_V="(All)",F_Custom2_V="",ISBLANK(F_Custom2_V)),1,IFERROR(IF(ISNUMBER(SEARCH("|"&amp;INDEX(INDIRECT(F_Custom2_resolved_column),1865)&amp;"|",F_Custom2_wrapped)),1,0),0))</f>
        <v>1</v>
      </c>
      <c r="F1866">
        <f>D1866*E1866*1</f>
        <v>1</v>
      </c>
      <c r="G1866">
        <f>1</f>
        <v>1</v>
      </c>
      <c r="H18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1865)&amp;"|",All_Questions_Q_STREAM_F_wrapped)),1,0),0))*1</f>
        <v>1</v>
      </c>
    </row>
    <row r="1867">
      <c r="A1867" t="n">
        <v>1866</v>
      </c>
      <c r="B1867" t="inlineStr">
        <is>
          <t>B</t>
        </is>
      </c>
      <c r="C1867">
        <f>1</f>
        <v>1</v>
      </c>
      <c r="D1867">
        <f>IF(OR(F_Custom1_Q="(None)",F_Custom1_Q="",ISBLANK(F_Custom1_Q),F_Custom1_V="(All)",F_Custom1_V="",ISBLANK(F_Custom1_V)),1,IFERROR(IF(ISNUMBER(SEARCH("|"&amp;INDEX(INDIRECT(F_Custom1_resolved_column),1866)&amp;"|",F_Custom1_wrapped)),1,0),0))</f>
        <v>1</v>
      </c>
      <c r="E1867">
        <f>IF(OR(F_Custom2_Q="(None)",F_Custom2_Q="",ISBLANK(F_Custom2_Q),F_Custom2_V="(All)",F_Custom2_V="",ISBLANK(F_Custom2_V)),1,IFERROR(IF(ISNUMBER(SEARCH("|"&amp;INDEX(INDIRECT(F_Custom2_resolved_column),1866)&amp;"|",F_Custom2_wrapped)),1,0),0))</f>
        <v>1</v>
      </c>
      <c r="F1867">
        <f>D1867*E1867*1</f>
        <v>1</v>
      </c>
      <c r="G1867">
        <f>1</f>
        <v>1</v>
      </c>
      <c r="H18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1866)&amp;"|",All_Questions_Q_STREAM_F_wrapped)),1,0),0))*1</f>
        <v>1</v>
      </c>
    </row>
    <row r="1868">
      <c r="A1868" t="n">
        <v>1867</v>
      </c>
      <c r="B1868" t="inlineStr">
        <is>
          <t>A</t>
        </is>
      </c>
      <c r="C1868">
        <f>1</f>
        <v>1</v>
      </c>
      <c r="D1868">
        <f>IF(OR(F_Custom1_Q="(None)",F_Custom1_Q="",ISBLANK(F_Custom1_Q),F_Custom1_V="(All)",F_Custom1_V="",ISBLANK(F_Custom1_V)),1,IFERROR(IF(ISNUMBER(SEARCH("|"&amp;INDEX(INDIRECT(F_Custom1_resolved_column),1867)&amp;"|",F_Custom1_wrapped)),1,0),0))</f>
        <v>1</v>
      </c>
      <c r="E1868">
        <f>IF(OR(F_Custom2_Q="(None)",F_Custom2_Q="",ISBLANK(F_Custom2_Q),F_Custom2_V="(All)",F_Custom2_V="",ISBLANK(F_Custom2_V)),1,IFERROR(IF(ISNUMBER(SEARCH("|"&amp;INDEX(INDIRECT(F_Custom2_resolved_column),1867)&amp;"|",F_Custom2_wrapped)),1,0),0))</f>
        <v>1</v>
      </c>
      <c r="F1868">
        <f>D1868*E1868*1</f>
        <v>1</v>
      </c>
      <c r="G1868">
        <f>1</f>
        <v>1</v>
      </c>
      <c r="H18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1867)&amp;"|",All_Questions_Q_STREAM_F_wrapped)),1,0),0))*1</f>
        <v>1</v>
      </c>
    </row>
    <row r="1869">
      <c r="A1869" t="n">
        <v>1868</v>
      </c>
      <c r="B1869" t="inlineStr">
        <is>
          <t>B</t>
        </is>
      </c>
      <c r="C1869">
        <f>1</f>
        <v>1</v>
      </c>
      <c r="D1869">
        <f>IF(OR(F_Custom1_Q="(None)",F_Custom1_Q="",ISBLANK(F_Custom1_Q),F_Custom1_V="(All)",F_Custom1_V="",ISBLANK(F_Custom1_V)),1,IFERROR(IF(ISNUMBER(SEARCH("|"&amp;INDEX(INDIRECT(F_Custom1_resolved_column),1868)&amp;"|",F_Custom1_wrapped)),1,0),0))</f>
        <v>1</v>
      </c>
      <c r="E1869">
        <f>IF(OR(F_Custom2_Q="(None)",F_Custom2_Q="",ISBLANK(F_Custom2_Q),F_Custom2_V="(All)",F_Custom2_V="",ISBLANK(F_Custom2_V)),1,IFERROR(IF(ISNUMBER(SEARCH("|"&amp;INDEX(INDIRECT(F_Custom2_resolved_column),1868)&amp;"|",F_Custom2_wrapped)),1,0),0))</f>
        <v>1</v>
      </c>
      <c r="F1869">
        <f>D1869*E1869*1</f>
        <v>1</v>
      </c>
      <c r="G1869">
        <f>1</f>
        <v>1</v>
      </c>
      <c r="H18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1868)&amp;"|",All_Questions_Q_STREAM_F_wrapped)),1,0),0))*1</f>
        <v>1</v>
      </c>
    </row>
    <row r="1870">
      <c r="A1870" t="n">
        <v>1869</v>
      </c>
      <c r="B1870" t="inlineStr">
        <is>
          <t>A</t>
        </is>
      </c>
      <c r="C1870">
        <f>1</f>
        <v>1</v>
      </c>
      <c r="D1870">
        <f>IF(OR(F_Custom1_Q="(None)",F_Custom1_Q="",ISBLANK(F_Custom1_Q),F_Custom1_V="(All)",F_Custom1_V="",ISBLANK(F_Custom1_V)),1,IFERROR(IF(ISNUMBER(SEARCH("|"&amp;INDEX(INDIRECT(F_Custom1_resolved_column),1869)&amp;"|",F_Custom1_wrapped)),1,0),0))</f>
        <v>1</v>
      </c>
      <c r="E1870">
        <f>IF(OR(F_Custom2_Q="(None)",F_Custom2_Q="",ISBLANK(F_Custom2_Q),F_Custom2_V="(All)",F_Custom2_V="",ISBLANK(F_Custom2_V)),1,IFERROR(IF(ISNUMBER(SEARCH("|"&amp;INDEX(INDIRECT(F_Custom2_resolved_column),1869)&amp;"|",F_Custom2_wrapped)),1,0),0))</f>
        <v>1</v>
      </c>
      <c r="F1870">
        <f>D1870*E1870*1</f>
        <v>1</v>
      </c>
      <c r="G1870">
        <f>1</f>
        <v>1</v>
      </c>
      <c r="H18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1869)&amp;"|",All_Questions_Q_STREAM_F_wrapped)),1,0),0))*1</f>
        <v>1</v>
      </c>
    </row>
    <row r="1871">
      <c r="A1871" t="n">
        <v>1870</v>
      </c>
      <c r="B1871" t="inlineStr">
        <is>
          <t>B</t>
        </is>
      </c>
      <c r="C1871">
        <f>1</f>
        <v>1</v>
      </c>
      <c r="D1871">
        <f>IF(OR(F_Custom1_Q="(None)",F_Custom1_Q="",ISBLANK(F_Custom1_Q),F_Custom1_V="(All)",F_Custom1_V="",ISBLANK(F_Custom1_V)),1,IFERROR(IF(ISNUMBER(SEARCH("|"&amp;INDEX(INDIRECT(F_Custom1_resolved_column),1870)&amp;"|",F_Custom1_wrapped)),1,0),0))</f>
        <v>1</v>
      </c>
      <c r="E1871">
        <f>IF(OR(F_Custom2_Q="(None)",F_Custom2_Q="",ISBLANK(F_Custom2_Q),F_Custom2_V="(All)",F_Custom2_V="",ISBLANK(F_Custom2_V)),1,IFERROR(IF(ISNUMBER(SEARCH("|"&amp;INDEX(INDIRECT(F_Custom2_resolved_column),1870)&amp;"|",F_Custom2_wrapped)),1,0),0))</f>
        <v>1</v>
      </c>
      <c r="F1871">
        <f>D1871*E1871*1</f>
        <v>1</v>
      </c>
      <c r="G1871">
        <f>1</f>
        <v>1</v>
      </c>
      <c r="H18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1870)&amp;"|",All_Questions_Q_STREAM_F_wrapped)),1,0),0))*1</f>
        <v>1</v>
      </c>
    </row>
    <row r="1872">
      <c r="A1872" t="n">
        <v>1871</v>
      </c>
      <c r="B1872" t="inlineStr">
        <is>
          <t>A</t>
        </is>
      </c>
      <c r="C1872">
        <f>1</f>
        <v>1</v>
      </c>
      <c r="D1872">
        <f>IF(OR(F_Custom1_Q="(None)",F_Custom1_Q="",ISBLANK(F_Custom1_Q),F_Custom1_V="(All)",F_Custom1_V="",ISBLANK(F_Custom1_V)),1,IFERROR(IF(ISNUMBER(SEARCH("|"&amp;INDEX(INDIRECT(F_Custom1_resolved_column),1871)&amp;"|",F_Custom1_wrapped)),1,0),0))</f>
        <v>1</v>
      </c>
      <c r="E1872">
        <f>IF(OR(F_Custom2_Q="(None)",F_Custom2_Q="",ISBLANK(F_Custom2_Q),F_Custom2_V="(All)",F_Custom2_V="",ISBLANK(F_Custom2_V)),1,IFERROR(IF(ISNUMBER(SEARCH("|"&amp;INDEX(INDIRECT(F_Custom2_resolved_column),1871)&amp;"|",F_Custom2_wrapped)),1,0),0))</f>
        <v>1</v>
      </c>
      <c r="F1872">
        <f>D1872*E1872*1</f>
        <v>1</v>
      </c>
      <c r="G1872">
        <f>1</f>
        <v>1</v>
      </c>
      <c r="H18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1871)&amp;"|",All_Questions_Q_STREAM_F_wrapped)),1,0),0))*1</f>
        <v>1</v>
      </c>
    </row>
    <row r="1873">
      <c r="A1873" t="n">
        <v>1872</v>
      </c>
      <c r="B1873" t="inlineStr">
        <is>
          <t>B</t>
        </is>
      </c>
      <c r="C1873">
        <f>1</f>
        <v>1</v>
      </c>
      <c r="D1873">
        <f>IF(OR(F_Custom1_Q="(None)",F_Custom1_Q="",ISBLANK(F_Custom1_Q),F_Custom1_V="(All)",F_Custom1_V="",ISBLANK(F_Custom1_V)),1,IFERROR(IF(ISNUMBER(SEARCH("|"&amp;INDEX(INDIRECT(F_Custom1_resolved_column),1872)&amp;"|",F_Custom1_wrapped)),1,0),0))</f>
        <v>1</v>
      </c>
      <c r="E1873">
        <f>IF(OR(F_Custom2_Q="(None)",F_Custom2_Q="",ISBLANK(F_Custom2_Q),F_Custom2_V="(All)",F_Custom2_V="",ISBLANK(F_Custom2_V)),1,IFERROR(IF(ISNUMBER(SEARCH("|"&amp;INDEX(INDIRECT(F_Custom2_resolved_column),1872)&amp;"|",F_Custom2_wrapped)),1,0),0))</f>
        <v>1</v>
      </c>
      <c r="F1873">
        <f>D1873*E1873*1</f>
        <v>1</v>
      </c>
      <c r="G1873">
        <f>1</f>
        <v>1</v>
      </c>
      <c r="H18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1872)&amp;"|",All_Questions_Q_STREAM_F_wrapped)),1,0),0))*1</f>
        <v>1</v>
      </c>
    </row>
    <row r="1874">
      <c r="A1874" t="n">
        <v>1873</v>
      </c>
      <c r="B1874" t="inlineStr">
        <is>
          <t>A</t>
        </is>
      </c>
      <c r="C1874">
        <f>1</f>
        <v>1</v>
      </c>
      <c r="D1874">
        <f>IF(OR(F_Custom1_Q="(None)",F_Custom1_Q="",ISBLANK(F_Custom1_Q),F_Custom1_V="(All)",F_Custom1_V="",ISBLANK(F_Custom1_V)),1,IFERROR(IF(ISNUMBER(SEARCH("|"&amp;INDEX(INDIRECT(F_Custom1_resolved_column),1873)&amp;"|",F_Custom1_wrapped)),1,0),0))</f>
        <v>1</v>
      </c>
      <c r="E1874">
        <f>IF(OR(F_Custom2_Q="(None)",F_Custom2_Q="",ISBLANK(F_Custom2_Q),F_Custom2_V="(All)",F_Custom2_V="",ISBLANK(F_Custom2_V)),1,IFERROR(IF(ISNUMBER(SEARCH("|"&amp;INDEX(INDIRECT(F_Custom2_resolved_column),1873)&amp;"|",F_Custom2_wrapped)),1,0),0))</f>
        <v>1</v>
      </c>
      <c r="F1874">
        <f>D1874*E1874*1</f>
        <v>1</v>
      </c>
      <c r="G1874">
        <f>1</f>
        <v>1</v>
      </c>
      <c r="H18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1873)&amp;"|",All_Questions_Q_STREAM_F_wrapped)),1,0),0))*1</f>
        <v>1</v>
      </c>
    </row>
    <row r="1875">
      <c r="A1875" t="n">
        <v>1874</v>
      </c>
      <c r="B1875" t="inlineStr">
        <is>
          <t>B</t>
        </is>
      </c>
      <c r="C1875">
        <f>1</f>
        <v>1</v>
      </c>
      <c r="D1875">
        <f>IF(OR(F_Custom1_Q="(None)",F_Custom1_Q="",ISBLANK(F_Custom1_Q),F_Custom1_V="(All)",F_Custom1_V="",ISBLANK(F_Custom1_V)),1,IFERROR(IF(ISNUMBER(SEARCH("|"&amp;INDEX(INDIRECT(F_Custom1_resolved_column),1874)&amp;"|",F_Custom1_wrapped)),1,0),0))</f>
        <v>1</v>
      </c>
      <c r="E1875">
        <f>IF(OR(F_Custom2_Q="(None)",F_Custom2_Q="",ISBLANK(F_Custom2_Q),F_Custom2_V="(All)",F_Custom2_V="",ISBLANK(F_Custom2_V)),1,IFERROR(IF(ISNUMBER(SEARCH("|"&amp;INDEX(INDIRECT(F_Custom2_resolved_column),1874)&amp;"|",F_Custom2_wrapped)),1,0),0))</f>
        <v>1</v>
      </c>
      <c r="F1875">
        <f>D1875*E1875*1</f>
        <v>1</v>
      </c>
      <c r="G1875">
        <f>1</f>
        <v>1</v>
      </c>
      <c r="H18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1874)&amp;"|",All_Questions_Q_STREAM_F_wrapped)),1,0),0))*1</f>
        <v>1</v>
      </c>
    </row>
    <row r="1876">
      <c r="A1876" t="n">
        <v>1875</v>
      </c>
      <c r="B1876" t="inlineStr">
        <is>
          <t>A</t>
        </is>
      </c>
      <c r="C1876">
        <f>1</f>
        <v>1</v>
      </c>
      <c r="D1876">
        <f>IF(OR(F_Custom1_Q="(None)",F_Custom1_Q="",ISBLANK(F_Custom1_Q),F_Custom1_V="(All)",F_Custom1_V="",ISBLANK(F_Custom1_V)),1,IFERROR(IF(ISNUMBER(SEARCH("|"&amp;INDEX(INDIRECT(F_Custom1_resolved_column),1875)&amp;"|",F_Custom1_wrapped)),1,0),0))</f>
        <v>1</v>
      </c>
      <c r="E1876">
        <f>IF(OR(F_Custom2_Q="(None)",F_Custom2_Q="",ISBLANK(F_Custom2_Q),F_Custom2_V="(All)",F_Custom2_V="",ISBLANK(F_Custom2_V)),1,IFERROR(IF(ISNUMBER(SEARCH("|"&amp;INDEX(INDIRECT(F_Custom2_resolved_column),1875)&amp;"|",F_Custom2_wrapped)),1,0),0))</f>
        <v>1</v>
      </c>
      <c r="F1876">
        <f>D1876*E1876*1</f>
        <v>1</v>
      </c>
      <c r="G1876">
        <f>1</f>
        <v>1</v>
      </c>
      <c r="H18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1875)&amp;"|",All_Questions_Q_STREAM_F_wrapped)),1,0),0))*1</f>
        <v>1</v>
      </c>
    </row>
    <row r="1877">
      <c r="A1877" t="n">
        <v>1876</v>
      </c>
      <c r="B1877" t="inlineStr">
        <is>
          <t>B</t>
        </is>
      </c>
      <c r="C1877">
        <f>1</f>
        <v>1</v>
      </c>
      <c r="D1877">
        <f>IF(OR(F_Custom1_Q="(None)",F_Custom1_Q="",ISBLANK(F_Custom1_Q),F_Custom1_V="(All)",F_Custom1_V="",ISBLANK(F_Custom1_V)),1,IFERROR(IF(ISNUMBER(SEARCH("|"&amp;INDEX(INDIRECT(F_Custom1_resolved_column),1876)&amp;"|",F_Custom1_wrapped)),1,0),0))</f>
        <v>1</v>
      </c>
      <c r="E1877">
        <f>IF(OR(F_Custom2_Q="(None)",F_Custom2_Q="",ISBLANK(F_Custom2_Q),F_Custom2_V="(All)",F_Custom2_V="",ISBLANK(F_Custom2_V)),1,IFERROR(IF(ISNUMBER(SEARCH("|"&amp;INDEX(INDIRECT(F_Custom2_resolved_column),1876)&amp;"|",F_Custom2_wrapped)),1,0),0))</f>
        <v>1</v>
      </c>
      <c r="F1877">
        <f>D1877*E1877*1</f>
        <v>1</v>
      </c>
      <c r="G1877">
        <f>1</f>
        <v>1</v>
      </c>
      <c r="H18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1876)&amp;"|",All_Questions_Q_STREAM_F_wrapped)),1,0),0))*1</f>
        <v>1</v>
      </c>
    </row>
    <row r="1878">
      <c r="A1878" t="n">
        <v>1877</v>
      </c>
      <c r="B1878" t="inlineStr">
        <is>
          <t>A</t>
        </is>
      </c>
      <c r="C1878">
        <f>1</f>
        <v>1</v>
      </c>
      <c r="D1878">
        <f>IF(OR(F_Custom1_Q="(None)",F_Custom1_Q="",ISBLANK(F_Custom1_Q),F_Custom1_V="(All)",F_Custom1_V="",ISBLANK(F_Custom1_V)),1,IFERROR(IF(ISNUMBER(SEARCH("|"&amp;INDEX(INDIRECT(F_Custom1_resolved_column),1877)&amp;"|",F_Custom1_wrapped)),1,0),0))</f>
        <v>1</v>
      </c>
      <c r="E1878">
        <f>IF(OR(F_Custom2_Q="(None)",F_Custom2_Q="",ISBLANK(F_Custom2_Q),F_Custom2_V="(All)",F_Custom2_V="",ISBLANK(F_Custom2_V)),1,IFERROR(IF(ISNUMBER(SEARCH("|"&amp;INDEX(INDIRECT(F_Custom2_resolved_column),1877)&amp;"|",F_Custom2_wrapped)),1,0),0))</f>
        <v>1</v>
      </c>
      <c r="F1878">
        <f>D1878*E1878*1</f>
        <v>1</v>
      </c>
      <c r="G1878">
        <f>1</f>
        <v>1</v>
      </c>
      <c r="H18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1877)&amp;"|",All_Questions_Q_STREAM_F_wrapped)),1,0),0))*1</f>
        <v>1</v>
      </c>
    </row>
    <row r="1879">
      <c r="A1879" t="n">
        <v>1878</v>
      </c>
      <c r="B1879" t="inlineStr">
        <is>
          <t>B</t>
        </is>
      </c>
      <c r="C1879">
        <f>1</f>
        <v>1</v>
      </c>
      <c r="D1879">
        <f>IF(OR(F_Custom1_Q="(None)",F_Custom1_Q="",ISBLANK(F_Custom1_Q),F_Custom1_V="(All)",F_Custom1_V="",ISBLANK(F_Custom1_V)),1,IFERROR(IF(ISNUMBER(SEARCH("|"&amp;INDEX(INDIRECT(F_Custom1_resolved_column),1878)&amp;"|",F_Custom1_wrapped)),1,0),0))</f>
        <v>1</v>
      </c>
      <c r="E1879">
        <f>IF(OR(F_Custom2_Q="(None)",F_Custom2_Q="",ISBLANK(F_Custom2_Q),F_Custom2_V="(All)",F_Custom2_V="",ISBLANK(F_Custom2_V)),1,IFERROR(IF(ISNUMBER(SEARCH("|"&amp;INDEX(INDIRECT(F_Custom2_resolved_column),1878)&amp;"|",F_Custom2_wrapped)),1,0),0))</f>
        <v>1</v>
      </c>
      <c r="F1879">
        <f>D1879*E1879*1</f>
        <v>1</v>
      </c>
      <c r="G1879">
        <f>1</f>
        <v>1</v>
      </c>
      <c r="H18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1878)&amp;"|",All_Questions_Q_STREAM_F_wrapped)),1,0),0))*1</f>
        <v>1</v>
      </c>
    </row>
    <row r="1880">
      <c r="A1880" t="n">
        <v>1879</v>
      </c>
      <c r="B1880" t="inlineStr">
        <is>
          <t>A</t>
        </is>
      </c>
      <c r="C1880">
        <f>1</f>
        <v>1</v>
      </c>
      <c r="D1880">
        <f>IF(OR(F_Custom1_Q="(None)",F_Custom1_Q="",ISBLANK(F_Custom1_Q),F_Custom1_V="(All)",F_Custom1_V="",ISBLANK(F_Custom1_V)),1,IFERROR(IF(ISNUMBER(SEARCH("|"&amp;INDEX(INDIRECT(F_Custom1_resolved_column),1879)&amp;"|",F_Custom1_wrapped)),1,0),0))</f>
        <v>1</v>
      </c>
      <c r="E1880">
        <f>IF(OR(F_Custom2_Q="(None)",F_Custom2_Q="",ISBLANK(F_Custom2_Q),F_Custom2_V="(All)",F_Custom2_V="",ISBLANK(F_Custom2_V)),1,IFERROR(IF(ISNUMBER(SEARCH("|"&amp;INDEX(INDIRECT(F_Custom2_resolved_column),1879)&amp;"|",F_Custom2_wrapped)),1,0),0))</f>
        <v>1</v>
      </c>
      <c r="F1880">
        <f>D1880*E1880*1</f>
        <v>1</v>
      </c>
      <c r="G1880">
        <f>1</f>
        <v>1</v>
      </c>
      <c r="H18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1879)&amp;"|",All_Questions_Q_STREAM_F_wrapped)),1,0),0))*1</f>
        <v>1</v>
      </c>
    </row>
    <row r="1881">
      <c r="A1881" t="n">
        <v>1880</v>
      </c>
      <c r="B1881" t="inlineStr">
        <is>
          <t>B</t>
        </is>
      </c>
      <c r="C1881">
        <f>1</f>
        <v>1</v>
      </c>
      <c r="D1881">
        <f>IF(OR(F_Custom1_Q="(None)",F_Custom1_Q="",ISBLANK(F_Custom1_Q),F_Custom1_V="(All)",F_Custom1_V="",ISBLANK(F_Custom1_V)),1,IFERROR(IF(ISNUMBER(SEARCH("|"&amp;INDEX(INDIRECT(F_Custom1_resolved_column),1880)&amp;"|",F_Custom1_wrapped)),1,0),0))</f>
        <v>1</v>
      </c>
      <c r="E1881">
        <f>IF(OR(F_Custom2_Q="(None)",F_Custom2_Q="",ISBLANK(F_Custom2_Q),F_Custom2_V="(All)",F_Custom2_V="",ISBLANK(F_Custom2_V)),1,IFERROR(IF(ISNUMBER(SEARCH("|"&amp;INDEX(INDIRECT(F_Custom2_resolved_column),1880)&amp;"|",F_Custom2_wrapped)),1,0),0))</f>
        <v>1</v>
      </c>
      <c r="F1881">
        <f>D1881*E1881*1</f>
        <v>1</v>
      </c>
      <c r="G1881">
        <f>1</f>
        <v>1</v>
      </c>
      <c r="H18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1880)&amp;"|",All_Questions_Q_STREAM_F_wrapped)),1,0),0))*1</f>
        <v>1</v>
      </c>
    </row>
    <row r="1882">
      <c r="A1882" t="n">
        <v>1881</v>
      </c>
      <c r="B1882" t="inlineStr">
        <is>
          <t>A</t>
        </is>
      </c>
      <c r="C1882">
        <f>1</f>
        <v>1</v>
      </c>
      <c r="D1882">
        <f>IF(OR(F_Custom1_Q="(None)",F_Custom1_Q="",ISBLANK(F_Custom1_Q),F_Custom1_V="(All)",F_Custom1_V="",ISBLANK(F_Custom1_V)),1,IFERROR(IF(ISNUMBER(SEARCH("|"&amp;INDEX(INDIRECT(F_Custom1_resolved_column),1881)&amp;"|",F_Custom1_wrapped)),1,0),0))</f>
        <v>1</v>
      </c>
      <c r="E1882">
        <f>IF(OR(F_Custom2_Q="(None)",F_Custom2_Q="",ISBLANK(F_Custom2_Q),F_Custom2_V="(All)",F_Custom2_V="",ISBLANK(F_Custom2_V)),1,IFERROR(IF(ISNUMBER(SEARCH("|"&amp;INDEX(INDIRECT(F_Custom2_resolved_column),1881)&amp;"|",F_Custom2_wrapped)),1,0),0))</f>
        <v>1</v>
      </c>
      <c r="F1882">
        <f>D1882*E1882*1</f>
        <v>1</v>
      </c>
      <c r="G1882">
        <f>1</f>
        <v>1</v>
      </c>
      <c r="H18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1881)&amp;"|",All_Questions_Q_STREAM_F_wrapped)),1,0),0))*1</f>
        <v>1</v>
      </c>
    </row>
    <row r="1883">
      <c r="A1883" t="n">
        <v>1882</v>
      </c>
      <c r="B1883" t="inlineStr">
        <is>
          <t>B</t>
        </is>
      </c>
      <c r="C1883">
        <f>1</f>
        <v>1</v>
      </c>
      <c r="D1883">
        <f>IF(OR(F_Custom1_Q="(None)",F_Custom1_Q="",ISBLANK(F_Custom1_Q),F_Custom1_V="(All)",F_Custom1_V="",ISBLANK(F_Custom1_V)),1,IFERROR(IF(ISNUMBER(SEARCH("|"&amp;INDEX(INDIRECT(F_Custom1_resolved_column),1882)&amp;"|",F_Custom1_wrapped)),1,0),0))</f>
        <v>1</v>
      </c>
      <c r="E1883">
        <f>IF(OR(F_Custom2_Q="(None)",F_Custom2_Q="",ISBLANK(F_Custom2_Q),F_Custom2_V="(All)",F_Custom2_V="",ISBLANK(F_Custom2_V)),1,IFERROR(IF(ISNUMBER(SEARCH("|"&amp;INDEX(INDIRECT(F_Custom2_resolved_column),1882)&amp;"|",F_Custom2_wrapped)),1,0),0))</f>
        <v>1</v>
      </c>
      <c r="F1883">
        <f>D1883*E1883*1</f>
        <v>1</v>
      </c>
      <c r="G1883">
        <f>1</f>
        <v>1</v>
      </c>
      <c r="H18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1882)&amp;"|",All_Questions_Q_STREAM_F_wrapped)),1,0),0))*1</f>
        <v>1</v>
      </c>
    </row>
    <row r="1884">
      <c r="A1884" t="n">
        <v>1883</v>
      </c>
      <c r="B1884" t="inlineStr">
        <is>
          <t>A</t>
        </is>
      </c>
      <c r="C1884">
        <f>1</f>
        <v>1</v>
      </c>
      <c r="D1884">
        <f>IF(OR(F_Custom1_Q="(None)",F_Custom1_Q="",ISBLANK(F_Custom1_Q),F_Custom1_V="(All)",F_Custom1_V="",ISBLANK(F_Custom1_V)),1,IFERROR(IF(ISNUMBER(SEARCH("|"&amp;INDEX(INDIRECT(F_Custom1_resolved_column),1883)&amp;"|",F_Custom1_wrapped)),1,0),0))</f>
        <v>1</v>
      </c>
      <c r="E1884">
        <f>IF(OR(F_Custom2_Q="(None)",F_Custom2_Q="",ISBLANK(F_Custom2_Q),F_Custom2_V="(All)",F_Custom2_V="",ISBLANK(F_Custom2_V)),1,IFERROR(IF(ISNUMBER(SEARCH("|"&amp;INDEX(INDIRECT(F_Custom2_resolved_column),1883)&amp;"|",F_Custom2_wrapped)),1,0),0))</f>
        <v>1</v>
      </c>
      <c r="F1884">
        <f>D1884*E1884*1</f>
        <v>1</v>
      </c>
      <c r="G1884">
        <f>1</f>
        <v>1</v>
      </c>
      <c r="H18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1883)&amp;"|",All_Questions_Q_STREAM_F_wrapped)),1,0),0))*1</f>
        <v>1</v>
      </c>
    </row>
    <row r="1885">
      <c r="A1885" t="n">
        <v>1884</v>
      </c>
      <c r="B1885" t="inlineStr">
        <is>
          <t>B</t>
        </is>
      </c>
      <c r="C1885">
        <f>1</f>
        <v>1</v>
      </c>
      <c r="D1885">
        <f>IF(OR(F_Custom1_Q="(None)",F_Custom1_Q="",ISBLANK(F_Custom1_Q),F_Custom1_V="(All)",F_Custom1_V="",ISBLANK(F_Custom1_V)),1,IFERROR(IF(ISNUMBER(SEARCH("|"&amp;INDEX(INDIRECT(F_Custom1_resolved_column),1884)&amp;"|",F_Custom1_wrapped)),1,0),0))</f>
        <v>1</v>
      </c>
      <c r="E1885">
        <f>IF(OR(F_Custom2_Q="(None)",F_Custom2_Q="",ISBLANK(F_Custom2_Q),F_Custom2_V="(All)",F_Custom2_V="",ISBLANK(F_Custom2_V)),1,IFERROR(IF(ISNUMBER(SEARCH("|"&amp;INDEX(INDIRECT(F_Custom2_resolved_column),1884)&amp;"|",F_Custom2_wrapped)),1,0),0))</f>
        <v>1</v>
      </c>
      <c r="F1885">
        <f>D1885*E1885*1</f>
        <v>1</v>
      </c>
      <c r="G1885">
        <f>1</f>
        <v>1</v>
      </c>
      <c r="H18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1884)&amp;"|",All_Questions_Q_STREAM_F_wrapped)),1,0),0))*1</f>
        <v>1</v>
      </c>
    </row>
    <row r="1886">
      <c r="A1886" t="n">
        <v>1885</v>
      </c>
      <c r="B1886" t="inlineStr">
        <is>
          <t>A</t>
        </is>
      </c>
      <c r="C1886">
        <f>1</f>
        <v>1</v>
      </c>
      <c r="D1886">
        <f>IF(OR(F_Custom1_Q="(None)",F_Custom1_Q="",ISBLANK(F_Custom1_Q),F_Custom1_V="(All)",F_Custom1_V="",ISBLANK(F_Custom1_V)),1,IFERROR(IF(ISNUMBER(SEARCH("|"&amp;INDEX(INDIRECT(F_Custom1_resolved_column),1885)&amp;"|",F_Custom1_wrapped)),1,0),0))</f>
        <v>1</v>
      </c>
      <c r="E1886">
        <f>IF(OR(F_Custom2_Q="(None)",F_Custom2_Q="",ISBLANK(F_Custom2_Q),F_Custom2_V="(All)",F_Custom2_V="",ISBLANK(F_Custom2_V)),1,IFERROR(IF(ISNUMBER(SEARCH("|"&amp;INDEX(INDIRECT(F_Custom2_resolved_column),1885)&amp;"|",F_Custom2_wrapped)),1,0),0))</f>
        <v>1</v>
      </c>
      <c r="F1886">
        <f>D1886*E1886*1</f>
        <v>1</v>
      </c>
      <c r="G1886">
        <f>1</f>
        <v>1</v>
      </c>
      <c r="H18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1885)&amp;"|",All_Questions_Q_STREAM_F_wrapped)),1,0),0))*1</f>
        <v>1</v>
      </c>
    </row>
    <row r="1887">
      <c r="A1887" t="n">
        <v>1886</v>
      </c>
      <c r="B1887" t="inlineStr">
        <is>
          <t>B</t>
        </is>
      </c>
      <c r="C1887">
        <f>1</f>
        <v>1</v>
      </c>
      <c r="D1887">
        <f>IF(OR(F_Custom1_Q="(None)",F_Custom1_Q="",ISBLANK(F_Custom1_Q),F_Custom1_V="(All)",F_Custom1_V="",ISBLANK(F_Custom1_V)),1,IFERROR(IF(ISNUMBER(SEARCH("|"&amp;INDEX(INDIRECT(F_Custom1_resolved_column),1886)&amp;"|",F_Custom1_wrapped)),1,0),0))</f>
        <v>1</v>
      </c>
      <c r="E1887">
        <f>IF(OR(F_Custom2_Q="(None)",F_Custom2_Q="",ISBLANK(F_Custom2_Q),F_Custom2_V="(All)",F_Custom2_V="",ISBLANK(F_Custom2_V)),1,IFERROR(IF(ISNUMBER(SEARCH("|"&amp;INDEX(INDIRECT(F_Custom2_resolved_column),1886)&amp;"|",F_Custom2_wrapped)),1,0),0))</f>
        <v>1</v>
      </c>
      <c r="F1887">
        <f>D1887*E1887*1</f>
        <v>1</v>
      </c>
      <c r="G1887">
        <f>1</f>
        <v>1</v>
      </c>
      <c r="H18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1886)&amp;"|",All_Questions_Q_STREAM_F_wrapped)),1,0),0))*1</f>
        <v>1</v>
      </c>
    </row>
    <row r="1888">
      <c r="A1888" t="n">
        <v>1887</v>
      </c>
      <c r="B1888" t="inlineStr">
        <is>
          <t>A</t>
        </is>
      </c>
      <c r="C1888">
        <f>1</f>
        <v>1</v>
      </c>
      <c r="D1888">
        <f>IF(OR(F_Custom1_Q="(None)",F_Custom1_Q="",ISBLANK(F_Custom1_Q),F_Custom1_V="(All)",F_Custom1_V="",ISBLANK(F_Custom1_V)),1,IFERROR(IF(ISNUMBER(SEARCH("|"&amp;INDEX(INDIRECT(F_Custom1_resolved_column),1887)&amp;"|",F_Custom1_wrapped)),1,0),0))</f>
        <v>1</v>
      </c>
      <c r="E1888">
        <f>IF(OR(F_Custom2_Q="(None)",F_Custom2_Q="",ISBLANK(F_Custom2_Q),F_Custom2_V="(All)",F_Custom2_V="",ISBLANK(F_Custom2_V)),1,IFERROR(IF(ISNUMBER(SEARCH("|"&amp;INDEX(INDIRECT(F_Custom2_resolved_column),1887)&amp;"|",F_Custom2_wrapped)),1,0),0))</f>
        <v>1</v>
      </c>
      <c r="F1888">
        <f>D1888*E1888*1</f>
        <v>1</v>
      </c>
      <c r="G1888">
        <f>1</f>
        <v>1</v>
      </c>
      <c r="H18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1887)&amp;"|",All_Questions_Q_STREAM_F_wrapped)),1,0),0))*1</f>
        <v>1</v>
      </c>
    </row>
    <row r="1889">
      <c r="A1889" t="n">
        <v>1888</v>
      </c>
      <c r="B1889" t="inlineStr">
        <is>
          <t>B</t>
        </is>
      </c>
      <c r="C1889">
        <f>1</f>
        <v>1</v>
      </c>
      <c r="D1889">
        <f>IF(OR(F_Custom1_Q="(None)",F_Custom1_Q="",ISBLANK(F_Custom1_Q),F_Custom1_V="(All)",F_Custom1_V="",ISBLANK(F_Custom1_V)),1,IFERROR(IF(ISNUMBER(SEARCH("|"&amp;INDEX(INDIRECT(F_Custom1_resolved_column),1888)&amp;"|",F_Custom1_wrapped)),1,0),0))</f>
        <v>1</v>
      </c>
      <c r="E1889">
        <f>IF(OR(F_Custom2_Q="(None)",F_Custom2_Q="",ISBLANK(F_Custom2_Q),F_Custom2_V="(All)",F_Custom2_V="",ISBLANK(F_Custom2_V)),1,IFERROR(IF(ISNUMBER(SEARCH("|"&amp;INDEX(INDIRECT(F_Custom2_resolved_column),1888)&amp;"|",F_Custom2_wrapped)),1,0),0))</f>
        <v>1</v>
      </c>
      <c r="F1889">
        <f>D1889*E1889*1</f>
        <v>1</v>
      </c>
      <c r="G1889">
        <f>1</f>
        <v>1</v>
      </c>
      <c r="H18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1888)&amp;"|",All_Questions_Q_STREAM_F_wrapped)),1,0),0))*1</f>
        <v>1</v>
      </c>
    </row>
    <row r="1890">
      <c r="A1890" t="n">
        <v>1889</v>
      </c>
      <c r="B1890" t="inlineStr">
        <is>
          <t>A</t>
        </is>
      </c>
      <c r="C1890">
        <f>1</f>
        <v>1</v>
      </c>
      <c r="D1890">
        <f>IF(OR(F_Custom1_Q="(None)",F_Custom1_Q="",ISBLANK(F_Custom1_Q),F_Custom1_V="(All)",F_Custom1_V="",ISBLANK(F_Custom1_V)),1,IFERROR(IF(ISNUMBER(SEARCH("|"&amp;INDEX(INDIRECT(F_Custom1_resolved_column),1889)&amp;"|",F_Custom1_wrapped)),1,0),0))</f>
        <v>1</v>
      </c>
      <c r="E1890">
        <f>IF(OR(F_Custom2_Q="(None)",F_Custom2_Q="",ISBLANK(F_Custom2_Q),F_Custom2_V="(All)",F_Custom2_V="",ISBLANK(F_Custom2_V)),1,IFERROR(IF(ISNUMBER(SEARCH("|"&amp;INDEX(INDIRECT(F_Custom2_resolved_column),1889)&amp;"|",F_Custom2_wrapped)),1,0),0))</f>
        <v>1</v>
      </c>
      <c r="F1890">
        <f>D1890*E1890*1</f>
        <v>1</v>
      </c>
      <c r="G1890">
        <f>1</f>
        <v>1</v>
      </c>
      <c r="H18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1889)&amp;"|",All_Questions_Q_STREAM_F_wrapped)),1,0),0))*1</f>
        <v>1</v>
      </c>
    </row>
    <row r="1891">
      <c r="A1891" t="n">
        <v>1890</v>
      </c>
      <c r="B1891" t="inlineStr">
        <is>
          <t>B</t>
        </is>
      </c>
      <c r="C1891">
        <f>1</f>
        <v>1</v>
      </c>
      <c r="D1891">
        <f>IF(OR(F_Custom1_Q="(None)",F_Custom1_Q="",ISBLANK(F_Custom1_Q),F_Custom1_V="(All)",F_Custom1_V="",ISBLANK(F_Custom1_V)),1,IFERROR(IF(ISNUMBER(SEARCH("|"&amp;INDEX(INDIRECT(F_Custom1_resolved_column),1890)&amp;"|",F_Custom1_wrapped)),1,0),0))</f>
        <v>1</v>
      </c>
      <c r="E1891">
        <f>IF(OR(F_Custom2_Q="(None)",F_Custom2_Q="",ISBLANK(F_Custom2_Q),F_Custom2_V="(All)",F_Custom2_V="",ISBLANK(F_Custom2_V)),1,IFERROR(IF(ISNUMBER(SEARCH("|"&amp;INDEX(INDIRECT(F_Custom2_resolved_column),1890)&amp;"|",F_Custom2_wrapped)),1,0),0))</f>
        <v>1</v>
      </c>
      <c r="F1891">
        <f>D1891*E1891*1</f>
        <v>1</v>
      </c>
      <c r="G1891">
        <f>1</f>
        <v>1</v>
      </c>
      <c r="H18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1890)&amp;"|",All_Questions_Q_STREAM_F_wrapped)),1,0),0))*1</f>
        <v>1</v>
      </c>
    </row>
    <row r="1892">
      <c r="A1892" t="n">
        <v>1891</v>
      </c>
      <c r="B1892" t="inlineStr">
        <is>
          <t>A</t>
        </is>
      </c>
      <c r="C1892">
        <f>1</f>
        <v>1</v>
      </c>
      <c r="D1892">
        <f>IF(OR(F_Custom1_Q="(None)",F_Custom1_Q="",ISBLANK(F_Custom1_Q),F_Custom1_V="(All)",F_Custom1_V="",ISBLANK(F_Custom1_V)),1,IFERROR(IF(ISNUMBER(SEARCH("|"&amp;INDEX(INDIRECT(F_Custom1_resolved_column),1891)&amp;"|",F_Custom1_wrapped)),1,0),0))</f>
        <v>1</v>
      </c>
      <c r="E1892">
        <f>IF(OR(F_Custom2_Q="(None)",F_Custom2_Q="",ISBLANK(F_Custom2_Q),F_Custom2_V="(All)",F_Custom2_V="",ISBLANK(F_Custom2_V)),1,IFERROR(IF(ISNUMBER(SEARCH("|"&amp;INDEX(INDIRECT(F_Custom2_resolved_column),1891)&amp;"|",F_Custom2_wrapped)),1,0),0))</f>
        <v>1</v>
      </c>
      <c r="F1892">
        <f>D1892*E1892*1</f>
        <v>1</v>
      </c>
      <c r="G1892">
        <f>1</f>
        <v>1</v>
      </c>
      <c r="H18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1891)&amp;"|",All_Questions_Q_STREAM_F_wrapped)),1,0),0))*1</f>
        <v>1</v>
      </c>
    </row>
    <row r="1893">
      <c r="A1893" t="n">
        <v>1892</v>
      </c>
      <c r="B1893" t="inlineStr">
        <is>
          <t>B</t>
        </is>
      </c>
      <c r="C1893">
        <f>1</f>
        <v>1</v>
      </c>
      <c r="D1893">
        <f>IF(OR(F_Custom1_Q="(None)",F_Custom1_Q="",ISBLANK(F_Custom1_Q),F_Custom1_V="(All)",F_Custom1_V="",ISBLANK(F_Custom1_V)),1,IFERROR(IF(ISNUMBER(SEARCH("|"&amp;INDEX(INDIRECT(F_Custom1_resolved_column),1892)&amp;"|",F_Custom1_wrapped)),1,0),0))</f>
        <v>1</v>
      </c>
      <c r="E1893">
        <f>IF(OR(F_Custom2_Q="(None)",F_Custom2_Q="",ISBLANK(F_Custom2_Q),F_Custom2_V="(All)",F_Custom2_V="",ISBLANK(F_Custom2_V)),1,IFERROR(IF(ISNUMBER(SEARCH("|"&amp;INDEX(INDIRECT(F_Custom2_resolved_column),1892)&amp;"|",F_Custom2_wrapped)),1,0),0))</f>
        <v>1</v>
      </c>
      <c r="F1893">
        <f>D1893*E1893*1</f>
        <v>1</v>
      </c>
      <c r="G1893">
        <f>1</f>
        <v>1</v>
      </c>
      <c r="H18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1892)&amp;"|",All_Questions_Q_STREAM_F_wrapped)),1,0),0))*1</f>
        <v>1</v>
      </c>
    </row>
    <row r="1894">
      <c r="A1894" t="n">
        <v>1893</v>
      </c>
      <c r="B1894" t="inlineStr">
        <is>
          <t>A</t>
        </is>
      </c>
      <c r="C1894">
        <f>1</f>
        <v>1</v>
      </c>
      <c r="D1894">
        <f>IF(OR(F_Custom1_Q="(None)",F_Custom1_Q="",ISBLANK(F_Custom1_Q),F_Custom1_V="(All)",F_Custom1_V="",ISBLANK(F_Custom1_V)),1,IFERROR(IF(ISNUMBER(SEARCH("|"&amp;INDEX(INDIRECT(F_Custom1_resolved_column),1893)&amp;"|",F_Custom1_wrapped)),1,0),0))</f>
        <v>1</v>
      </c>
      <c r="E1894">
        <f>IF(OR(F_Custom2_Q="(None)",F_Custom2_Q="",ISBLANK(F_Custom2_Q),F_Custom2_V="(All)",F_Custom2_V="",ISBLANK(F_Custom2_V)),1,IFERROR(IF(ISNUMBER(SEARCH("|"&amp;INDEX(INDIRECT(F_Custom2_resolved_column),1893)&amp;"|",F_Custom2_wrapped)),1,0),0))</f>
        <v>1</v>
      </c>
      <c r="F1894">
        <f>D1894*E1894*1</f>
        <v>1</v>
      </c>
      <c r="G1894">
        <f>1</f>
        <v>1</v>
      </c>
      <c r="H18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1893)&amp;"|",All_Questions_Q_STREAM_F_wrapped)),1,0),0))*1</f>
        <v>1</v>
      </c>
    </row>
    <row r="1895">
      <c r="A1895" t="n">
        <v>1894</v>
      </c>
      <c r="B1895" t="inlineStr">
        <is>
          <t>B</t>
        </is>
      </c>
      <c r="C1895">
        <f>1</f>
        <v>1</v>
      </c>
      <c r="D1895">
        <f>IF(OR(F_Custom1_Q="(None)",F_Custom1_Q="",ISBLANK(F_Custom1_Q),F_Custom1_V="(All)",F_Custom1_V="",ISBLANK(F_Custom1_V)),1,IFERROR(IF(ISNUMBER(SEARCH("|"&amp;INDEX(INDIRECT(F_Custom1_resolved_column),1894)&amp;"|",F_Custom1_wrapped)),1,0),0))</f>
        <v>1</v>
      </c>
      <c r="E1895">
        <f>IF(OR(F_Custom2_Q="(None)",F_Custom2_Q="",ISBLANK(F_Custom2_Q),F_Custom2_V="(All)",F_Custom2_V="",ISBLANK(F_Custom2_V)),1,IFERROR(IF(ISNUMBER(SEARCH("|"&amp;INDEX(INDIRECT(F_Custom2_resolved_column),1894)&amp;"|",F_Custom2_wrapped)),1,0),0))</f>
        <v>1</v>
      </c>
      <c r="F1895">
        <f>D1895*E1895*1</f>
        <v>1</v>
      </c>
      <c r="G1895">
        <f>1</f>
        <v>1</v>
      </c>
      <c r="H18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1894)&amp;"|",All_Questions_Q_STREAM_F_wrapped)),1,0),0))*1</f>
        <v>1</v>
      </c>
    </row>
    <row r="1896">
      <c r="A1896" t="n">
        <v>1895</v>
      </c>
      <c r="B1896" t="inlineStr">
        <is>
          <t>A</t>
        </is>
      </c>
      <c r="C1896">
        <f>1</f>
        <v>1</v>
      </c>
      <c r="D1896">
        <f>IF(OR(F_Custom1_Q="(None)",F_Custom1_Q="",ISBLANK(F_Custom1_Q),F_Custom1_V="(All)",F_Custom1_V="",ISBLANK(F_Custom1_V)),1,IFERROR(IF(ISNUMBER(SEARCH("|"&amp;INDEX(INDIRECT(F_Custom1_resolved_column),1895)&amp;"|",F_Custom1_wrapped)),1,0),0))</f>
        <v>1</v>
      </c>
      <c r="E1896">
        <f>IF(OR(F_Custom2_Q="(None)",F_Custom2_Q="",ISBLANK(F_Custom2_Q),F_Custom2_V="(All)",F_Custom2_V="",ISBLANK(F_Custom2_V)),1,IFERROR(IF(ISNUMBER(SEARCH("|"&amp;INDEX(INDIRECT(F_Custom2_resolved_column),1895)&amp;"|",F_Custom2_wrapped)),1,0),0))</f>
        <v>1</v>
      </c>
      <c r="F1896">
        <f>D1896*E1896*1</f>
        <v>1</v>
      </c>
      <c r="G1896">
        <f>1</f>
        <v>1</v>
      </c>
      <c r="H18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1895)&amp;"|",All_Questions_Q_STREAM_F_wrapped)),1,0),0))*1</f>
        <v>1</v>
      </c>
    </row>
    <row r="1897">
      <c r="A1897" t="n">
        <v>1896</v>
      </c>
      <c r="B1897" t="inlineStr">
        <is>
          <t>B</t>
        </is>
      </c>
      <c r="C1897">
        <f>1</f>
        <v>1</v>
      </c>
      <c r="D1897">
        <f>IF(OR(F_Custom1_Q="(None)",F_Custom1_Q="",ISBLANK(F_Custom1_Q),F_Custom1_V="(All)",F_Custom1_V="",ISBLANK(F_Custom1_V)),1,IFERROR(IF(ISNUMBER(SEARCH("|"&amp;INDEX(INDIRECT(F_Custom1_resolved_column),1896)&amp;"|",F_Custom1_wrapped)),1,0),0))</f>
        <v>1</v>
      </c>
      <c r="E1897">
        <f>IF(OR(F_Custom2_Q="(None)",F_Custom2_Q="",ISBLANK(F_Custom2_Q),F_Custom2_V="(All)",F_Custom2_V="",ISBLANK(F_Custom2_V)),1,IFERROR(IF(ISNUMBER(SEARCH("|"&amp;INDEX(INDIRECT(F_Custom2_resolved_column),1896)&amp;"|",F_Custom2_wrapped)),1,0),0))</f>
        <v>1</v>
      </c>
      <c r="F1897">
        <f>D1897*E1897*1</f>
        <v>1</v>
      </c>
      <c r="G1897">
        <f>1</f>
        <v>1</v>
      </c>
      <c r="H18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1896)&amp;"|",All_Questions_Q_STREAM_F_wrapped)),1,0),0))*1</f>
        <v>1</v>
      </c>
    </row>
    <row r="1898">
      <c r="A1898" t="n">
        <v>1897</v>
      </c>
      <c r="B1898" t="inlineStr">
        <is>
          <t>A</t>
        </is>
      </c>
      <c r="C1898">
        <f>1</f>
        <v>1</v>
      </c>
      <c r="D1898">
        <f>IF(OR(F_Custom1_Q="(None)",F_Custom1_Q="",ISBLANK(F_Custom1_Q),F_Custom1_V="(All)",F_Custom1_V="",ISBLANK(F_Custom1_V)),1,IFERROR(IF(ISNUMBER(SEARCH("|"&amp;INDEX(INDIRECT(F_Custom1_resolved_column),1897)&amp;"|",F_Custom1_wrapped)),1,0),0))</f>
        <v>1</v>
      </c>
      <c r="E1898">
        <f>IF(OR(F_Custom2_Q="(None)",F_Custom2_Q="",ISBLANK(F_Custom2_Q),F_Custom2_V="(All)",F_Custom2_V="",ISBLANK(F_Custom2_V)),1,IFERROR(IF(ISNUMBER(SEARCH("|"&amp;INDEX(INDIRECT(F_Custom2_resolved_column),1897)&amp;"|",F_Custom2_wrapped)),1,0),0))</f>
        <v>1</v>
      </c>
      <c r="F1898">
        <f>D1898*E1898*1</f>
        <v>1</v>
      </c>
      <c r="G1898">
        <f>1</f>
        <v>1</v>
      </c>
      <c r="H18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1897)&amp;"|",All_Questions_Q_STREAM_F_wrapped)),1,0),0))*1</f>
        <v>1</v>
      </c>
    </row>
    <row r="1899">
      <c r="A1899" t="n">
        <v>1898</v>
      </c>
      <c r="B1899" t="inlineStr">
        <is>
          <t>B</t>
        </is>
      </c>
      <c r="C1899">
        <f>1</f>
        <v>1</v>
      </c>
      <c r="D1899">
        <f>IF(OR(F_Custom1_Q="(None)",F_Custom1_Q="",ISBLANK(F_Custom1_Q),F_Custom1_V="(All)",F_Custom1_V="",ISBLANK(F_Custom1_V)),1,IFERROR(IF(ISNUMBER(SEARCH("|"&amp;INDEX(INDIRECT(F_Custom1_resolved_column),1898)&amp;"|",F_Custom1_wrapped)),1,0),0))</f>
        <v>1</v>
      </c>
      <c r="E1899">
        <f>IF(OR(F_Custom2_Q="(None)",F_Custom2_Q="",ISBLANK(F_Custom2_Q),F_Custom2_V="(All)",F_Custom2_V="",ISBLANK(F_Custom2_V)),1,IFERROR(IF(ISNUMBER(SEARCH("|"&amp;INDEX(INDIRECT(F_Custom2_resolved_column),1898)&amp;"|",F_Custom2_wrapped)),1,0),0))</f>
        <v>1</v>
      </c>
      <c r="F1899">
        <f>D1899*E1899*1</f>
        <v>1</v>
      </c>
      <c r="G1899">
        <f>1</f>
        <v>1</v>
      </c>
      <c r="H18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1898)&amp;"|",All_Questions_Q_STREAM_F_wrapped)),1,0),0))*1</f>
        <v>1</v>
      </c>
    </row>
    <row r="1900">
      <c r="A1900" t="n">
        <v>1899</v>
      </c>
      <c r="B1900" t="inlineStr">
        <is>
          <t>A</t>
        </is>
      </c>
      <c r="C1900">
        <f>1</f>
        <v>1</v>
      </c>
      <c r="D1900">
        <f>IF(OR(F_Custom1_Q="(None)",F_Custom1_Q="",ISBLANK(F_Custom1_Q),F_Custom1_V="(All)",F_Custom1_V="",ISBLANK(F_Custom1_V)),1,IFERROR(IF(ISNUMBER(SEARCH("|"&amp;INDEX(INDIRECT(F_Custom1_resolved_column),1899)&amp;"|",F_Custom1_wrapped)),1,0),0))</f>
        <v>1</v>
      </c>
      <c r="E1900">
        <f>IF(OR(F_Custom2_Q="(None)",F_Custom2_Q="",ISBLANK(F_Custom2_Q),F_Custom2_V="(All)",F_Custom2_V="",ISBLANK(F_Custom2_V)),1,IFERROR(IF(ISNUMBER(SEARCH("|"&amp;INDEX(INDIRECT(F_Custom2_resolved_column),1899)&amp;"|",F_Custom2_wrapped)),1,0),0))</f>
        <v>1</v>
      </c>
      <c r="F1900">
        <f>D1900*E1900*1</f>
        <v>1</v>
      </c>
      <c r="G1900">
        <f>1</f>
        <v>1</v>
      </c>
      <c r="H19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1899)&amp;"|",All_Questions_Q_STREAM_F_wrapped)),1,0),0))*1</f>
        <v>1</v>
      </c>
    </row>
    <row r="1901">
      <c r="A1901" t="n">
        <v>1900</v>
      </c>
      <c r="B1901" t="inlineStr">
        <is>
          <t>B</t>
        </is>
      </c>
      <c r="C1901">
        <f>1</f>
        <v>1</v>
      </c>
      <c r="D1901">
        <f>IF(OR(F_Custom1_Q="(None)",F_Custom1_Q="",ISBLANK(F_Custom1_Q),F_Custom1_V="(All)",F_Custom1_V="",ISBLANK(F_Custom1_V)),1,IFERROR(IF(ISNUMBER(SEARCH("|"&amp;INDEX(INDIRECT(F_Custom1_resolved_column),1900)&amp;"|",F_Custom1_wrapped)),1,0),0))</f>
        <v>1</v>
      </c>
      <c r="E1901">
        <f>IF(OR(F_Custom2_Q="(None)",F_Custom2_Q="",ISBLANK(F_Custom2_Q),F_Custom2_V="(All)",F_Custom2_V="",ISBLANK(F_Custom2_V)),1,IFERROR(IF(ISNUMBER(SEARCH("|"&amp;INDEX(INDIRECT(F_Custom2_resolved_column),1900)&amp;"|",F_Custom2_wrapped)),1,0),0))</f>
        <v>1</v>
      </c>
      <c r="F1901">
        <f>D1901*E1901*1</f>
        <v>1</v>
      </c>
      <c r="G1901">
        <f>1</f>
        <v>1</v>
      </c>
      <c r="H19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1900)&amp;"|",All_Questions_Q_STREAM_F_wrapped)),1,0),0))*1</f>
        <v>1</v>
      </c>
    </row>
    <row r="1902">
      <c r="A1902" t="n">
        <v>1901</v>
      </c>
      <c r="B1902" t="inlineStr">
        <is>
          <t>A</t>
        </is>
      </c>
      <c r="C1902">
        <f>1</f>
        <v>1</v>
      </c>
      <c r="D1902">
        <f>IF(OR(F_Custom1_Q="(None)",F_Custom1_Q="",ISBLANK(F_Custom1_Q),F_Custom1_V="(All)",F_Custom1_V="",ISBLANK(F_Custom1_V)),1,IFERROR(IF(ISNUMBER(SEARCH("|"&amp;INDEX(INDIRECT(F_Custom1_resolved_column),1901)&amp;"|",F_Custom1_wrapped)),1,0),0))</f>
        <v>1</v>
      </c>
      <c r="E1902">
        <f>IF(OR(F_Custom2_Q="(None)",F_Custom2_Q="",ISBLANK(F_Custom2_Q),F_Custom2_V="(All)",F_Custom2_V="",ISBLANK(F_Custom2_V)),1,IFERROR(IF(ISNUMBER(SEARCH("|"&amp;INDEX(INDIRECT(F_Custom2_resolved_column),1901)&amp;"|",F_Custom2_wrapped)),1,0),0))</f>
        <v>1</v>
      </c>
      <c r="F1902">
        <f>D1902*E1902*1</f>
        <v>1</v>
      </c>
      <c r="G1902">
        <f>1</f>
        <v>1</v>
      </c>
      <c r="H19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1901)&amp;"|",All_Questions_Q_STREAM_F_wrapped)),1,0),0))*1</f>
        <v>1</v>
      </c>
    </row>
    <row r="1903">
      <c r="A1903" t="n">
        <v>1902</v>
      </c>
      <c r="B1903" t="inlineStr">
        <is>
          <t>B</t>
        </is>
      </c>
      <c r="C1903">
        <f>1</f>
        <v>1</v>
      </c>
      <c r="D1903">
        <f>IF(OR(F_Custom1_Q="(None)",F_Custom1_Q="",ISBLANK(F_Custom1_Q),F_Custom1_V="(All)",F_Custom1_V="",ISBLANK(F_Custom1_V)),1,IFERROR(IF(ISNUMBER(SEARCH("|"&amp;INDEX(INDIRECT(F_Custom1_resolved_column),1902)&amp;"|",F_Custom1_wrapped)),1,0),0))</f>
        <v>1</v>
      </c>
      <c r="E1903">
        <f>IF(OR(F_Custom2_Q="(None)",F_Custom2_Q="",ISBLANK(F_Custom2_Q),F_Custom2_V="(All)",F_Custom2_V="",ISBLANK(F_Custom2_V)),1,IFERROR(IF(ISNUMBER(SEARCH("|"&amp;INDEX(INDIRECT(F_Custom2_resolved_column),1902)&amp;"|",F_Custom2_wrapped)),1,0),0))</f>
        <v>1</v>
      </c>
      <c r="F1903">
        <f>D1903*E1903*1</f>
        <v>1</v>
      </c>
      <c r="G1903">
        <f>1</f>
        <v>1</v>
      </c>
      <c r="H19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1902)&amp;"|",All_Questions_Q_STREAM_F_wrapped)),1,0),0))*1</f>
        <v>1</v>
      </c>
    </row>
    <row r="1904">
      <c r="A1904" t="n">
        <v>1903</v>
      </c>
      <c r="B1904" t="inlineStr">
        <is>
          <t>A</t>
        </is>
      </c>
      <c r="C1904">
        <f>1</f>
        <v>1</v>
      </c>
      <c r="D1904">
        <f>IF(OR(F_Custom1_Q="(None)",F_Custom1_Q="",ISBLANK(F_Custom1_Q),F_Custom1_V="(All)",F_Custom1_V="",ISBLANK(F_Custom1_V)),1,IFERROR(IF(ISNUMBER(SEARCH("|"&amp;INDEX(INDIRECT(F_Custom1_resolved_column),1903)&amp;"|",F_Custom1_wrapped)),1,0),0))</f>
        <v>1</v>
      </c>
      <c r="E1904">
        <f>IF(OR(F_Custom2_Q="(None)",F_Custom2_Q="",ISBLANK(F_Custom2_Q),F_Custom2_V="(All)",F_Custom2_V="",ISBLANK(F_Custom2_V)),1,IFERROR(IF(ISNUMBER(SEARCH("|"&amp;INDEX(INDIRECT(F_Custom2_resolved_column),1903)&amp;"|",F_Custom2_wrapped)),1,0),0))</f>
        <v>1</v>
      </c>
      <c r="F1904">
        <f>D1904*E1904*1</f>
        <v>1</v>
      </c>
      <c r="G1904">
        <f>1</f>
        <v>1</v>
      </c>
      <c r="H19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1903)&amp;"|",All_Questions_Q_STREAM_F_wrapped)),1,0),0))*1</f>
        <v>1</v>
      </c>
    </row>
    <row r="1905">
      <c r="A1905" t="n">
        <v>1904</v>
      </c>
      <c r="B1905" t="inlineStr">
        <is>
          <t>B</t>
        </is>
      </c>
      <c r="C1905">
        <f>1</f>
        <v>1</v>
      </c>
      <c r="D1905">
        <f>IF(OR(F_Custom1_Q="(None)",F_Custom1_Q="",ISBLANK(F_Custom1_Q),F_Custom1_V="(All)",F_Custom1_V="",ISBLANK(F_Custom1_V)),1,IFERROR(IF(ISNUMBER(SEARCH("|"&amp;INDEX(INDIRECT(F_Custom1_resolved_column),1904)&amp;"|",F_Custom1_wrapped)),1,0),0))</f>
        <v>1</v>
      </c>
      <c r="E1905">
        <f>IF(OR(F_Custom2_Q="(None)",F_Custom2_Q="",ISBLANK(F_Custom2_Q),F_Custom2_V="(All)",F_Custom2_V="",ISBLANK(F_Custom2_V)),1,IFERROR(IF(ISNUMBER(SEARCH("|"&amp;INDEX(INDIRECT(F_Custom2_resolved_column),1904)&amp;"|",F_Custom2_wrapped)),1,0),0))</f>
        <v>1</v>
      </c>
      <c r="F1905">
        <f>D1905*E1905*1</f>
        <v>1</v>
      </c>
      <c r="G1905">
        <f>1</f>
        <v>1</v>
      </c>
      <c r="H19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1904)&amp;"|",All_Questions_Q_STREAM_F_wrapped)),1,0),0))*1</f>
        <v>1</v>
      </c>
    </row>
    <row r="1906">
      <c r="A1906" t="n">
        <v>1905</v>
      </c>
      <c r="B1906" t="inlineStr">
        <is>
          <t>A</t>
        </is>
      </c>
      <c r="C1906">
        <f>1</f>
        <v>1</v>
      </c>
      <c r="D1906">
        <f>IF(OR(F_Custom1_Q="(None)",F_Custom1_Q="",ISBLANK(F_Custom1_Q),F_Custom1_V="(All)",F_Custom1_V="",ISBLANK(F_Custom1_V)),1,IFERROR(IF(ISNUMBER(SEARCH("|"&amp;INDEX(INDIRECT(F_Custom1_resolved_column),1905)&amp;"|",F_Custom1_wrapped)),1,0),0))</f>
        <v>1</v>
      </c>
      <c r="E1906">
        <f>IF(OR(F_Custom2_Q="(None)",F_Custom2_Q="",ISBLANK(F_Custom2_Q),F_Custom2_V="(All)",F_Custom2_V="",ISBLANK(F_Custom2_V)),1,IFERROR(IF(ISNUMBER(SEARCH("|"&amp;INDEX(INDIRECT(F_Custom2_resolved_column),1905)&amp;"|",F_Custom2_wrapped)),1,0),0))</f>
        <v>1</v>
      </c>
      <c r="F1906">
        <f>D1906*E1906*1</f>
        <v>1</v>
      </c>
      <c r="G1906">
        <f>1</f>
        <v>1</v>
      </c>
      <c r="H19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1905)&amp;"|",All_Questions_Q_STREAM_F_wrapped)),1,0),0))*1</f>
        <v>1</v>
      </c>
    </row>
    <row r="1907">
      <c r="A1907" t="n">
        <v>1906</v>
      </c>
      <c r="B1907" t="inlineStr">
        <is>
          <t>B</t>
        </is>
      </c>
      <c r="C1907">
        <f>1</f>
        <v>1</v>
      </c>
      <c r="D1907">
        <f>IF(OR(F_Custom1_Q="(None)",F_Custom1_Q="",ISBLANK(F_Custom1_Q),F_Custom1_V="(All)",F_Custom1_V="",ISBLANK(F_Custom1_V)),1,IFERROR(IF(ISNUMBER(SEARCH("|"&amp;INDEX(INDIRECT(F_Custom1_resolved_column),1906)&amp;"|",F_Custom1_wrapped)),1,0),0))</f>
        <v>1</v>
      </c>
      <c r="E1907">
        <f>IF(OR(F_Custom2_Q="(None)",F_Custom2_Q="",ISBLANK(F_Custom2_Q),F_Custom2_V="(All)",F_Custom2_V="",ISBLANK(F_Custom2_V)),1,IFERROR(IF(ISNUMBER(SEARCH("|"&amp;INDEX(INDIRECT(F_Custom2_resolved_column),1906)&amp;"|",F_Custom2_wrapped)),1,0),0))</f>
        <v>1</v>
      </c>
      <c r="F1907">
        <f>D1907*E1907*1</f>
        <v>1</v>
      </c>
      <c r="G1907">
        <f>1</f>
        <v>1</v>
      </c>
      <c r="H19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1906)&amp;"|",All_Questions_Q_STREAM_F_wrapped)),1,0),0))*1</f>
        <v>1</v>
      </c>
    </row>
    <row r="1908">
      <c r="A1908" t="n">
        <v>1907</v>
      </c>
      <c r="B1908" t="inlineStr">
        <is>
          <t>A</t>
        </is>
      </c>
      <c r="C1908">
        <f>1</f>
        <v>1</v>
      </c>
      <c r="D1908">
        <f>IF(OR(F_Custom1_Q="(None)",F_Custom1_Q="",ISBLANK(F_Custom1_Q),F_Custom1_V="(All)",F_Custom1_V="",ISBLANK(F_Custom1_V)),1,IFERROR(IF(ISNUMBER(SEARCH("|"&amp;INDEX(INDIRECT(F_Custom1_resolved_column),1907)&amp;"|",F_Custom1_wrapped)),1,0),0))</f>
        <v>1</v>
      </c>
      <c r="E1908">
        <f>IF(OR(F_Custom2_Q="(None)",F_Custom2_Q="",ISBLANK(F_Custom2_Q),F_Custom2_V="(All)",F_Custom2_V="",ISBLANK(F_Custom2_V)),1,IFERROR(IF(ISNUMBER(SEARCH("|"&amp;INDEX(INDIRECT(F_Custom2_resolved_column),1907)&amp;"|",F_Custom2_wrapped)),1,0),0))</f>
        <v>1</v>
      </c>
      <c r="F1908">
        <f>D1908*E1908*1</f>
        <v>1</v>
      </c>
      <c r="G1908">
        <f>1</f>
        <v>1</v>
      </c>
      <c r="H19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1907)&amp;"|",All_Questions_Q_STREAM_F_wrapped)),1,0),0))*1</f>
        <v>1</v>
      </c>
    </row>
    <row r="1909">
      <c r="A1909" t="n">
        <v>1908</v>
      </c>
      <c r="B1909" t="inlineStr">
        <is>
          <t>B</t>
        </is>
      </c>
      <c r="C1909">
        <f>1</f>
        <v>1</v>
      </c>
      <c r="D1909">
        <f>IF(OR(F_Custom1_Q="(None)",F_Custom1_Q="",ISBLANK(F_Custom1_Q),F_Custom1_V="(All)",F_Custom1_V="",ISBLANK(F_Custom1_V)),1,IFERROR(IF(ISNUMBER(SEARCH("|"&amp;INDEX(INDIRECT(F_Custom1_resolved_column),1908)&amp;"|",F_Custom1_wrapped)),1,0),0))</f>
        <v>1</v>
      </c>
      <c r="E1909">
        <f>IF(OR(F_Custom2_Q="(None)",F_Custom2_Q="",ISBLANK(F_Custom2_Q),F_Custom2_V="(All)",F_Custom2_V="",ISBLANK(F_Custom2_V)),1,IFERROR(IF(ISNUMBER(SEARCH("|"&amp;INDEX(INDIRECT(F_Custom2_resolved_column),1908)&amp;"|",F_Custom2_wrapped)),1,0),0))</f>
        <v>1</v>
      </c>
      <c r="F1909">
        <f>D1909*E1909*1</f>
        <v>1</v>
      </c>
      <c r="G1909">
        <f>1</f>
        <v>1</v>
      </c>
      <c r="H19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1908)&amp;"|",All_Questions_Q_STREAM_F_wrapped)),1,0),0))*1</f>
        <v>1</v>
      </c>
    </row>
    <row r="1910">
      <c r="A1910" t="n">
        <v>1909</v>
      </c>
      <c r="B1910" t="inlineStr">
        <is>
          <t>A</t>
        </is>
      </c>
      <c r="C1910">
        <f>1</f>
        <v>1</v>
      </c>
      <c r="D1910">
        <f>IF(OR(F_Custom1_Q="(None)",F_Custom1_Q="",ISBLANK(F_Custom1_Q),F_Custom1_V="(All)",F_Custom1_V="",ISBLANK(F_Custom1_V)),1,IFERROR(IF(ISNUMBER(SEARCH("|"&amp;INDEX(INDIRECT(F_Custom1_resolved_column),1909)&amp;"|",F_Custom1_wrapped)),1,0),0))</f>
        <v>1</v>
      </c>
      <c r="E1910">
        <f>IF(OR(F_Custom2_Q="(None)",F_Custom2_Q="",ISBLANK(F_Custom2_Q),F_Custom2_V="(All)",F_Custom2_V="",ISBLANK(F_Custom2_V)),1,IFERROR(IF(ISNUMBER(SEARCH("|"&amp;INDEX(INDIRECT(F_Custom2_resolved_column),1909)&amp;"|",F_Custom2_wrapped)),1,0),0))</f>
        <v>1</v>
      </c>
      <c r="F1910">
        <f>D1910*E1910*1</f>
        <v>1</v>
      </c>
      <c r="G1910">
        <f>1</f>
        <v>1</v>
      </c>
      <c r="H19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1909)&amp;"|",All_Questions_Q_STREAM_F_wrapped)),1,0),0))*1</f>
        <v>1</v>
      </c>
    </row>
    <row r="1911">
      <c r="A1911" t="n">
        <v>1910</v>
      </c>
      <c r="B1911" t="inlineStr">
        <is>
          <t>B</t>
        </is>
      </c>
      <c r="C1911">
        <f>1</f>
        <v>1</v>
      </c>
      <c r="D1911">
        <f>IF(OR(F_Custom1_Q="(None)",F_Custom1_Q="",ISBLANK(F_Custom1_Q),F_Custom1_V="(All)",F_Custom1_V="",ISBLANK(F_Custom1_V)),1,IFERROR(IF(ISNUMBER(SEARCH("|"&amp;INDEX(INDIRECT(F_Custom1_resolved_column),1910)&amp;"|",F_Custom1_wrapped)),1,0),0))</f>
        <v>1</v>
      </c>
      <c r="E1911">
        <f>IF(OR(F_Custom2_Q="(None)",F_Custom2_Q="",ISBLANK(F_Custom2_Q),F_Custom2_V="(All)",F_Custom2_V="",ISBLANK(F_Custom2_V)),1,IFERROR(IF(ISNUMBER(SEARCH("|"&amp;INDEX(INDIRECT(F_Custom2_resolved_column),1910)&amp;"|",F_Custom2_wrapped)),1,0),0))</f>
        <v>1</v>
      </c>
      <c r="F1911">
        <f>D1911*E1911*1</f>
        <v>1</v>
      </c>
      <c r="G1911">
        <f>1</f>
        <v>1</v>
      </c>
      <c r="H19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1910)&amp;"|",All_Questions_Q_STREAM_F_wrapped)),1,0),0))*1</f>
        <v>1</v>
      </c>
    </row>
    <row r="1912">
      <c r="A1912" t="n">
        <v>1911</v>
      </c>
      <c r="B1912" t="inlineStr">
        <is>
          <t>A</t>
        </is>
      </c>
      <c r="C1912">
        <f>1</f>
        <v>1</v>
      </c>
      <c r="D1912">
        <f>IF(OR(F_Custom1_Q="(None)",F_Custom1_Q="",ISBLANK(F_Custom1_Q),F_Custom1_V="(All)",F_Custom1_V="",ISBLANK(F_Custom1_V)),1,IFERROR(IF(ISNUMBER(SEARCH("|"&amp;INDEX(INDIRECT(F_Custom1_resolved_column),1911)&amp;"|",F_Custom1_wrapped)),1,0),0))</f>
        <v>1</v>
      </c>
      <c r="E1912">
        <f>IF(OR(F_Custom2_Q="(None)",F_Custom2_Q="",ISBLANK(F_Custom2_Q),F_Custom2_V="(All)",F_Custom2_V="",ISBLANK(F_Custom2_V)),1,IFERROR(IF(ISNUMBER(SEARCH("|"&amp;INDEX(INDIRECT(F_Custom2_resolved_column),1911)&amp;"|",F_Custom2_wrapped)),1,0),0))</f>
        <v>1</v>
      </c>
      <c r="F1912">
        <f>D1912*E1912*1</f>
        <v>1</v>
      </c>
      <c r="G1912">
        <f>1</f>
        <v>1</v>
      </c>
      <c r="H19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1911)&amp;"|",All_Questions_Q_STREAM_F_wrapped)),1,0),0))*1</f>
        <v>1</v>
      </c>
    </row>
    <row r="1913">
      <c r="A1913" t="n">
        <v>1912</v>
      </c>
      <c r="B1913" t="inlineStr">
        <is>
          <t>B</t>
        </is>
      </c>
      <c r="C1913">
        <f>1</f>
        <v>1</v>
      </c>
      <c r="D1913">
        <f>IF(OR(F_Custom1_Q="(None)",F_Custom1_Q="",ISBLANK(F_Custom1_Q),F_Custom1_V="(All)",F_Custom1_V="",ISBLANK(F_Custom1_V)),1,IFERROR(IF(ISNUMBER(SEARCH("|"&amp;INDEX(INDIRECT(F_Custom1_resolved_column),1912)&amp;"|",F_Custom1_wrapped)),1,0),0))</f>
        <v>1</v>
      </c>
      <c r="E1913">
        <f>IF(OR(F_Custom2_Q="(None)",F_Custom2_Q="",ISBLANK(F_Custom2_Q),F_Custom2_V="(All)",F_Custom2_V="",ISBLANK(F_Custom2_V)),1,IFERROR(IF(ISNUMBER(SEARCH("|"&amp;INDEX(INDIRECT(F_Custom2_resolved_column),1912)&amp;"|",F_Custom2_wrapped)),1,0),0))</f>
        <v>1</v>
      </c>
      <c r="F1913">
        <f>D1913*E1913*1</f>
        <v>1</v>
      </c>
      <c r="G1913">
        <f>1</f>
        <v>1</v>
      </c>
      <c r="H19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1912)&amp;"|",All_Questions_Q_STREAM_F_wrapped)),1,0),0))*1</f>
        <v>1</v>
      </c>
    </row>
    <row r="1914">
      <c r="A1914" t="n">
        <v>1913</v>
      </c>
      <c r="B1914" t="inlineStr">
        <is>
          <t>A</t>
        </is>
      </c>
      <c r="C1914">
        <f>1</f>
        <v>1</v>
      </c>
      <c r="D1914">
        <f>IF(OR(F_Custom1_Q="(None)",F_Custom1_Q="",ISBLANK(F_Custom1_Q),F_Custom1_V="(All)",F_Custom1_V="",ISBLANK(F_Custom1_V)),1,IFERROR(IF(ISNUMBER(SEARCH("|"&amp;INDEX(INDIRECT(F_Custom1_resolved_column),1913)&amp;"|",F_Custom1_wrapped)),1,0),0))</f>
        <v>1</v>
      </c>
      <c r="E1914">
        <f>IF(OR(F_Custom2_Q="(None)",F_Custom2_Q="",ISBLANK(F_Custom2_Q),F_Custom2_V="(All)",F_Custom2_V="",ISBLANK(F_Custom2_V)),1,IFERROR(IF(ISNUMBER(SEARCH("|"&amp;INDEX(INDIRECT(F_Custom2_resolved_column),1913)&amp;"|",F_Custom2_wrapped)),1,0),0))</f>
        <v>1</v>
      </c>
      <c r="F1914">
        <f>D1914*E1914*1</f>
        <v>1</v>
      </c>
      <c r="G1914">
        <f>1</f>
        <v>1</v>
      </c>
      <c r="H19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1913)&amp;"|",All_Questions_Q_STREAM_F_wrapped)),1,0),0))*1</f>
        <v>1</v>
      </c>
    </row>
    <row r="1915">
      <c r="A1915" t="n">
        <v>1914</v>
      </c>
      <c r="B1915" t="inlineStr">
        <is>
          <t>B</t>
        </is>
      </c>
      <c r="C1915">
        <f>1</f>
        <v>1</v>
      </c>
      <c r="D1915">
        <f>IF(OR(F_Custom1_Q="(None)",F_Custom1_Q="",ISBLANK(F_Custom1_Q),F_Custom1_V="(All)",F_Custom1_V="",ISBLANK(F_Custom1_V)),1,IFERROR(IF(ISNUMBER(SEARCH("|"&amp;INDEX(INDIRECT(F_Custom1_resolved_column),1914)&amp;"|",F_Custom1_wrapped)),1,0),0))</f>
        <v>1</v>
      </c>
      <c r="E1915">
        <f>IF(OR(F_Custom2_Q="(None)",F_Custom2_Q="",ISBLANK(F_Custom2_Q),F_Custom2_V="(All)",F_Custom2_V="",ISBLANK(F_Custom2_V)),1,IFERROR(IF(ISNUMBER(SEARCH("|"&amp;INDEX(INDIRECT(F_Custom2_resolved_column),1914)&amp;"|",F_Custom2_wrapped)),1,0),0))</f>
        <v>1</v>
      </c>
      <c r="F1915">
        <f>D1915*E1915*1</f>
        <v>1</v>
      </c>
      <c r="G1915">
        <f>1</f>
        <v>1</v>
      </c>
      <c r="H19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1914)&amp;"|",All_Questions_Q_STREAM_F_wrapped)),1,0),0))*1</f>
        <v>1</v>
      </c>
    </row>
    <row r="1916">
      <c r="A1916" t="n">
        <v>1915</v>
      </c>
      <c r="B1916" t="inlineStr">
        <is>
          <t>A</t>
        </is>
      </c>
      <c r="C1916">
        <f>1</f>
        <v>1</v>
      </c>
      <c r="D1916">
        <f>IF(OR(F_Custom1_Q="(None)",F_Custom1_Q="",ISBLANK(F_Custom1_Q),F_Custom1_V="(All)",F_Custom1_V="",ISBLANK(F_Custom1_V)),1,IFERROR(IF(ISNUMBER(SEARCH("|"&amp;INDEX(INDIRECT(F_Custom1_resolved_column),1915)&amp;"|",F_Custom1_wrapped)),1,0),0))</f>
        <v>1</v>
      </c>
      <c r="E1916">
        <f>IF(OR(F_Custom2_Q="(None)",F_Custom2_Q="",ISBLANK(F_Custom2_Q),F_Custom2_V="(All)",F_Custom2_V="",ISBLANK(F_Custom2_V)),1,IFERROR(IF(ISNUMBER(SEARCH("|"&amp;INDEX(INDIRECT(F_Custom2_resolved_column),1915)&amp;"|",F_Custom2_wrapped)),1,0),0))</f>
        <v>1</v>
      </c>
      <c r="F1916">
        <f>D1916*E1916*1</f>
        <v>1</v>
      </c>
      <c r="G1916">
        <f>1</f>
        <v>1</v>
      </c>
      <c r="H19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1915)&amp;"|",All_Questions_Q_STREAM_F_wrapped)),1,0),0))*1</f>
        <v>1</v>
      </c>
    </row>
    <row r="1917">
      <c r="A1917" t="n">
        <v>1916</v>
      </c>
      <c r="B1917" t="inlineStr">
        <is>
          <t>B</t>
        </is>
      </c>
      <c r="C1917">
        <f>1</f>
        <v>1</v>
      </c>
      <c r="D1917">
        <f>IF(OR(F_Custom1_Q="(None)",F_Custom1_Q="",ISBLANK(F_Custom1_Q),F_Custom1_V="(All)",F_Custom1_V="",ISBLANK(F_Custom1_V)),1,IFERROR(IF(ISNUMBER(SEARCH("|"&amp;INDEX(INDIRECT(F_Custom1_resolved_column),1916)&amp;"|",F_Custom1_wrapped)),1,0),0))</f>
        <v>1</v>
      </c>
      <c r="E1917">
        <f>IF(OR(F_Custom2_Q="(None)",F_Custom2_Q="",ISBLANK(F_Custom2_Q),F_Custom2_V="(All)",F_Custom2_V="",ISBLANK(F_Custom2_V)),1,IFERROR(IF(ISNUMBER(SEARCH("|"&amp;INDEX(INDIRECT(F_Custom2_resolved_column),1916)&amp;"|",F_Custom2_wrapped)),1,0),0))</f>
        <v>1</v>
      </c>
      <c r="F1917">
        <f>D1917*E1917*1</f>
        <v>1</v>
      </c>
      <c r="G1917">
        <f>1</f>
        <v>1</v>
      </c>
      <c r="H19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1916)&amp;"|",All_Questions_Q_STREAM_F_wrapped)),1,0),0))*1</f>
        <v>1</v>
      </c>
    </row>
    <row r="1918">
      <c r="A1918" t="n">
        <v>1917</v>
      </c>
      <c r="B1918" t="inlineStr">
        <is>
          <t>A</t>
        </is>
      </c>
      <c r="C1918">
        <f>1</f>
        <v>1</v>
      </c>
      <c r="D1918">
        <f>IF(OR(F_Custom1_Q="(None)",F_Custom1_Q="",ISBLANK(F_Custom1_Q),F_Custom1_V="(All)",F_Custom1_V="",ISBLANK(F_Custom1_V)),1,IFERROR(IF(ISNUMBER(SEARCH("|"&amp;INDEX(INDIRECT(F_Custom1_resolved_column),1917)&amp;"|",F_Custom1_wrapped)),1,0),0))</f>
        <v>1</v>
      </c>
      <c r="E1918">
        <f>IF(OR(F_Custom2_Q="(None)",F_Custom2_Q="",ISBLANK(F_Custom2_Q),F_Custom2_V="(All)",F_Custom2_V="",ISBLANK(F_Custom2_V)),1,IFERROR(IF(ISNUMBER(SEARCH("|"&amp;INDEX(INDIRECT(F_Custom2_resolved_column),1917)&amp;"|",F_Custom2_wrapped)),1,0),0))</f>
        <v>1</v>
      </c>
      <c r="F1918">
        <f>D1918*E1918*1</f>
        <v>1</v>
      </c>
      <c r="G1918">
        <f>1</f>
        <v>1</v>
      </c>
      <c r="H19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1917)&amp;"|",All_Questions_Q_STREAM_F_wrapped)),1,0),0))*1</f>
        <v>1</v>
      </c>
    </row>
    <row r="1919">
      <c r="A1919" t="n">
        <v>1918</v>
      </c>
      <c r="B1919" t="inlineStr">
        <is>
          <t>B</t>
        </is>
      </c>
      <c r="C1919">
        <f>1</f>
        <v>1</v>
      </c>
      <c r="D1919">
        <f>IF(OR(F_Custom1_Q="(None)",F_Custom1_Q="",ISBLANK(F_Custom1_Q),F_Custom1_V="(All)",F_Custom1_V="",ISBLANK(F_Custom1_V)),1,IFERROR(IF(ISNUMBER(SEARCH("|"&amp;INDEX(INDIRECT(F_Custom1_resolved_column),1918)&amp;"|",F_Custom1_wrapped)),1,0),0))</f>
        <v>1</v>
      </c>
      <c r="E1919">
        <f>IF(OR(F_Custom2_Q="(None)",F_Custom2_Q="",ISBLANK(F_Custom2_Q),F_Custom2_V="(All)",F_Custom2_V="",ISBLANK(F_Custom2_V)),1,IFERROR(IF(ISNUMBER(SEARCH("|"&amp;INDEX(INDIRECT(F_Custom2_resolved_column),1918)&amp;"|",F_Custom2_wrapped)),1,0),0))</f>
        <v>1</v>
      </c>
      <c r="F1919">
        <f>D1919*E1919*1</f>
        <v>1</v>
      </c>
      <c r="G1919">
        <f>1</f>
        <v>1</v>
      </c>
      <c r="H19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1918)&amp;"|",All_Questions_Q_STREAM_F_wrapped)),1,0),0))*1</f>
        <v>1</v>
      </c>
    </row>
    <row r="1920">
      <c r="A1920" t="n">
        <v>1919</v>
      </c>
      <c r="B1920" t="inlineStr">
        <is>
          <t>A</t>
        </is>
      </c>
      <c r="C1920">
        <f>1</f>
        <v>1</v>
      </c>
      <c r="D1920">
        <f>IF(OR(F_Custom1_Q="(None)",F_Custom1_Q="",ISBLANK(F_Custom1_Q),F_Custom1_V="(All)",F_Custom1_V="",ISBLANK(F_Custom1_V)),1,IFERROR(IF(ISNUMBER(SEARCH("|"&amp;INDEX(INDIRECT(F_Custom1_resolved_column),1919)&amp;"|",F_Custom1_wrapped)),1,0),0))</f>
        <v>1</v>
      </c>
      <c r="E1920">
        <f>IF(OR(F_Custom2_Q="(None)",F_Custom2_Q="",ISBLANK(F_Custom2_Q),F_Custom2_V="(All)",F_Custom2_V="",ISBLANK(F_Custom2_V)),1,IFERROR(IF(ISNUMBER(SEARCH("|"&amp;INDEX(INDIRECT(F_Custom2_resolved_column),1919)&amp;"|",F_Custom2_wrapped)),1,0),0))</f>
        <v>1</v>
      </c>
      <c r="F1920">
        <f>D1920*E1920*1</f>
        <v>1</v>
      </c>
      <c r="G1920">
        <f>1</f>
        <v>1</v>
      </c>
      <c r="H19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1919)&amp;"|",All_Questions_Q_STREAM_F_wrapped)),1,0),0))*1</f>
        <v>1</v>
      </c>
    </row>
    <row r="1921">
      <c r="A1921" t="n">
        <v>1920</v>
      </c>
      <c r="B1921" t="inlineStr">
        <is>
          <t>B</t>
        </is>
      </c>
      <c r="C1921">
        <f>1</f>
        <v>1</v>
      </c>
      <c r="D1921">
        <f>IF(OR(F_Custom1_Q="(None)",F_Custom1_Q="",ISBLANK(F_Custom1_Q),F_Custom1_V="(All)",F_Custom1_V="",ISBLANK(F_Custom1_V)),1,IFERROR(IF(ISNUMBER(SEARCH("|"&amp;INDEX(INDIRECT(F_Custom1_resolved_column),1920)&amp;"|",F_Custom1_wrapped)),1,0),0))</f>
        <v>1</v>
      </c>
      <c r="E1921">
        <f>IF(OR(F_Custom2_Q="(None)",F_Custom2_Q="",ISBLANK(F_Custom2_Q),F_Custom2_V="(All)",F_Custom2_V="",ISBLANK(F_Custom2_V)),1,IFERROR(IF(ISNUMBER(SEARCH("|"&amp;INDEX(INDIRECT(F_Custom2_resolved_column),1920)&amp;"|",F_Custom2_wrapped)),1,0),0))</f>
        <v>1</v>
      </c>
      <c r="F1921">
        <f>D1921*E1921*1</f>
        <v>1</v>
      </c>
      <c r="G1921">
        <f>1</f>
        <v>1</v>
      </c>
      <c r="H19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1920)&amp;"|",All_Questions_Q_STREAM_F_wrapped)),1,0),0))*1</f>
        <v>1</v>
      </c>
    </row>
    <row r="1922">
      <c r="A1922" t="n">
        <v>1921</v>
      </c>
      <c r="B1922" t="inlineStr">
        <is>
          <t>A</t>
        </is>
      </c>
      <c r="C1922">
        <f>1</f>
        <v>1</v>
      </c>
      <c r="D1922">
        <f>IF(OR(F_Custom1_Q="(None)",F_Custom1_Q="",ISBLANK(F_Custom1_Q),F_Custom1_V="(All)",F_Custom1_V="",ISBLANK(F_Custom1_V)),1,IFERROR(IF(ISNUMBER(SEARCH("|"&amp;INDEX(INDIRECT(F_Custom1_resolved_column),1921)&amp;"|",F_Custom1_wrapped)),1,0),0))</f>
        <v>1</v>
      </c>
      <c r="E1922">
        <f>IF(OR(F_Custom2_Q="(None)",F_Custom2_Q="",ISBLANK(F_Custom2_Q),F_Custom2_V="(All)",F_Custom2_V="",ISBLANK(F_Custom2_V)),1,IFERROR(IF(ISNUMBER(SEARCH("|"&amp;INDEX(INDIRECT(F_Custom2_resolved_column),1921)&amp;"|",F_Custom2_wrapped)),1,0),0))</f>
        <v>1</v>
      </c>
      <c r="F1922">
        <f>D1922*E1922*1</f>
        <v>1</v>
      </c>
      <c r="G1922">
        <f>1</f>
        <v>1</v>
      </c>
      <c r="H19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1921)&amp;"|",All_Questions_Q_STREAM_F_wrapped)),1,0),0))*1</f>
        <v>1</v>
      </c>
    </row>
    <row r="1923">
      <c r="A1923" t="n">
        <v>1922</v>
      </c>
      <c r="B1923" t="inlineStr">
        <is>
          <t>B</t>
        </is>
      </c>
      <c r="C1923">
        <f>1</f>
        <v>1</v>
      </c>
      <c r="D1923">
        <f>IF(OR(F_Custom1_Q="(None)",F_Custom1_Q="",ISBLANK(F_Custom1_Q),F_Custom1_V="(All)",F_Custom1_V="",ISBLANK(F_Custom1_V)),1,IFERROR(IF(ISNUMBER(SEARCH("|"&amp;INDEX(INDIRECT(F_Custom1_resolved_column),1922)&amp;"|",F_Custom1_wrapped)),1,0),0))</f>
        <v>1</v>
      </c>
      <c r="E1923">
        <f>IF(OR(F_Custom2_Q="(None)",F_Custom2_Q="",ISBLANK(F_Custom2_Q),F_Custom2_V="(All)",F_Custom2_V="",ISBLANK(F_Custom2_V)),1,IFERROR(IF(ISNUMBER(SEARCH("|"&amp;INDEX(INDIRECT(F_Custom2_resolved_column),1922)&amp;"|",F_Custom2_wrapped)),1,0),0))</f>
        <v>1</v>
      </c>
      <c r="F1923">
        <f>D1923*E1923*1</f>
        <v>1</v>
      </c>
      <c r="G1923">
        <f>1</f>
        <v>1</v>
      </c>
      <c r="H19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1922)&amp;"|",All_Questions_Q_STREAM_F_wrapped)),1,0),0))*1</f>
        <v>1</v>
      </c>
    </row>
    <row r="1924">
      <c r="A1924" t="n">
        <v>1923</v>
      </c>
      <c r="B1924" t="inlineStr">
        <is>
          <t>A</t>
        </is>
      </c>
      <c r="C1924">
        <f>1</f>
        <v>1</v>
      </c>
      <c r="D1924">
        <f>IF(OR(F_Custom1_Q="(None)",F_Custom1_Q="",ISBLANK(F_Custom1_Q),F_Custom1_V="(All)",F_Custom1_V="",ISBLANK(F_Custom1_V)),1,IFERROR(IF(ISNUMBER(SEARCH("|"&amp;INDEX(INDIRECT(F_Custom1_resolved_column),1923)&amp;"|",F_Custom1_wrapped)),1,0),0))</f>
        <v>1</v>
      </c>
      <c r="E1924">
        <f>IF(OR(F_Custom2_Q="(None)",F_Custom2_Q="",ISBLANK(F_Custom2_Q),F_Custom2_V="(All)",F_Custom2_V="",ISBLANK(F_Custom2_V)),1,IFERROR(IF(ISNUMBER(SEARCH("|"&amp;INDEX(INDIRECT(F_Custom2_resolved_column),1923)&amp;"|",F_Custom2_wrapped)),1,0),0))</f>
        <v>1</v>
      </c>
      <c r="F1924">
        <f>D1924*E1924*1</f>
        <v>1</v>
      </c>
      <c r="G1924">
        <f>1</f>
        <v>1</v>
      </c>
      <c r="H19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1923)&amp;"|",All_Questions_Q_STREAM_F_wrapped)),1,0),0))*1</f>
        <v>1</v>
      </c>
    </row>
    <row r="1925">
      <c r="A1925" t="n">
        <v>1924</v>
      </c>
      <c r="B1925" t="inlineStr">
        <is>
          <t>B</t>
        </is>
      </c>
      <c r="C1925">
        <f>1</f>
        <v>1</v>
      </c>
      <c r="D1925">
        <f>IF(OR(F_Custom1_Q="(None)",F_Custom1_Q="",ISBLANK(F_Custom1_Q),F_Custom1_V="(All)",F_Custom1_V="",ISBLANK(F_Custom1_V)),1,IFERROR(IF(ISNUMBER(SEARCH("|"&amp;INDEX(INDIRECT(F_Custom1_resolved_column),1924)&amp;"|",F_Custom1_wrapped)),1,0),0))</f>
        <v>1</v>
      </c>
      <c r="E1925">
        <f>IF(OR(F_Custom2_Q="(None)",F_Custom2_Q="",ISBLANK(F_Custom2_Q),F_Custom2_V="(All)",F_Custom2_V="",ISBLANK(F_Custom2_V)),1,IFERROR(IF(ISNUMBER(SEARCH("|"&amp;INDEX(INDIRECT(F_Custom2_resolved_column),1924)&amp;"|",F_Custom2_wrapped)),1,0),0))</f>
        <v>1</v>
      </c>
      <c r="F1925">
        <f>D1925*E1925*1</f>
        <v>1</v>
      </c>
      <c r="G1925">
        <f>1</f>
        <v>1</v>
      </c>
      <c r="H19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1924)&amp;"|",All_Questions_Q_STREAM_F_wrapped)),1,0),0))*1</f>
        <v>1</v>
      </c>
    </row>
    <row r="1926">
      <c r="A1926" t="n">
        <v>1925</v>
      </c>
      <c r="B1926" t="inlineStr">
        <is>
          <t>A</t>
        </is>
      </c>
      <c r="C1926">
        <f>1</f>
        <v>1</v>
      </c>
      <c r="D1926">
        <f>IF(OR(F_Custom1_Q="(None)",F_Custom1_Q="",ISBLANK(F_Custom1_Q),F_Custom1_V="(All)",F_Custom1_V="",ISBLANK(F_Custom1_V)),1,IFERROR(IF(ISNUMBER(SEARCH("|"&amp;INDEX(INDIRECT(F_Custom1_resolved_column),1925)&amp;"|",F_Custom1_wrapped)),1,0),0))</f>
        <v>1</v>
      </c>
      <c r="E1926">
        <f>IF(OR(F_Custom2_Q="(None)",F_Custom2_Q="",ISBLANK(F_Custom2_Q),F_Custom2_V="(All)",F_Custom2_V="",ISBLANK(F_Custom2_V)),1,IFERROR(IF(ISNUMBER(SEARCH("|"&amp;INDEX(INDIRECT(F_Custom2_resolved_column),1925)&amp;"|",F_Custom2_wrapped)),1,0),0))</f>
        <v>1</v>
      </c>
      <c r="F1926">
        <f>D1926*E1926*1</f>
        <v>1</v>
      </c>
      <c r="G1926">
        <f>1</f>
        <v>1</v>
      </c>
      <c r="H19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1925)&amp;"|",All_Questions_Q_STREAM_F_wrapped)),1,0),0))*1</f>
        <v>1</v>
      </c>
    </row>
    <row r="1927">
      <c r="A1927" t="n">
        <v>1926</v>
      </c>
      <c r="B1927" t="inlineStr">
        <is>
          <t>B</t>
        </is>
      </c>
      <c r="C1927">
        <f>1</f>
        <v>1</v>
      </c>
      <c r="D1927">
        <f>IF(OR(F_Custom1_Q="(None)",F_Custom1_Q="",ISBLANK(F_Custom1_Q),F_Custom1_V="(All)",F_Custom1_V="",ISBLANK(F_Custom1_V)),1,IFERROR(IF(ISNUMBER(SEARCH("|"&amp;INDEX(INDIRECT(F_Custom1_resolved_column),1926)&amp;"|",F_Custom1_wrapped)),1,0),0))</f>
        <v>1</v>
      </c>
      <c r="E1927">
        <f>IF(OR(F_Custom2_Q="(None)",F_Custom2_Q="",ISBLANK(F_Custom2_Q),F_Custom2_V="(All)",F_Custom2_V="",ISBLANK(F_Custom2_V)),1,IFERROR(IF(ISNUMBER(SEARCH("|"&amp;INDEX(INDIRECT(F_Custom2_resolved_column),1926)&amp;"|",F_Custom2_wrapped)),1,0),0))</f>
        <v>1</v>
      </c>
      <c r="F1927">
        <f>D1927*E1927*1</f>
        <v>1</v>
      </c>
      <c r="G1927">
        <f>1</f>
        <v>1</v>
      </c>
      <c r="H19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1926)&amp;"|",All_Questions_Q_STREAM_F_wrapped)),1,0),0))*1</f>
        <v>1</v>
      </c>
    </row>
    <row r="1928">
      <c r="A1928" t="n">
        <v>1927</v>
      </c>
      <c r="B1928" t="inlineStr">
        <is>
          <t>A</t>
        </is>
      </c>
      <c r="C1928">
        <f>1</f>
        <v>1</v>
      </c>
      <c r="D1928">
        <f>IF(OR(F_Custom1_Q="(None)",F_Custom1_Q="",ISBLANK(F_Custom1_Q),F_Custom1_V="(All)",F_Custom1_V="",ISBLANK(F_Custom1_V)),1,IFERROR(IF(ISNUMBER(SEARCH("|"&amp;INDEX(INDIRECT(F_Custom1_resolved_column),1927)&amp;"|",F_Custom1_wrapped)),1,0),0))</f>
        <v>1</v>
      </c>
      <c r="E1928">
        <f>IF(OR(F_Custom2_Q="(None)",F_Custom2_Q="",ISBLANK(F_Custom2_Q),F_Custom2_V="(All)",F_Custom2_V="",ISBLANK(F_Custom2_V)),1,IFERROR(IF(ISNUMBER(SEARCH("|"&amp;INDEX(INDIRECT(F_Custom2_resolved_column),1927)&amp;"|",F_Custom2_wrapped)),1,0),0))</f>
        <v>1</v>
      </c>
      <c r="F1928">
        <f>D1928*E1928*1</f>
        <v>1</v>
      </c>
      <c r="G1928">
        <f>1</f>
        <v>1</v>
      </c>
      <c r="H19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1927)&amp;"|",All_Questions_Q_STREAM_F_wrapped)),1,0),0))*1</f>
        <v>1</v>
      </c>
    </row>
    <row r="1929">
      <c r="A1929" t="n">
        <v>1928</v>
      </c>
      <c r="B1929" t="inlineStr">
        <is>
          <t>B</t>
        </is>
      </c>
      <c r="C1929">
        <f>1</f>
        <v>1</v>
      </c>
      <c r="D1929">
        <f>IF(OR(F_Custom1_Q="(None)",F_Custom1_Q="",ISBLANK(F_Custom1_Q),F_Custom1_V="(All)",F_Custom1_V="",ISBLANK(F_Custom1_V)),1,IFERROR(IF(ISNUMBER(SEARCH("|"&amp;INDEX(INDIRECT(F_Custom1_resolved_column),1928)&amp;"|",F_Custom1_wrapped)),1,0),0))</f>
        <v>1</v>
      </c>
      <c r="E1929">
        <f>IF(OR(F_Custom2_Q="(None)",F_Custom2_Q="",ISBLANK(F_Custom2_Q),F_Custom2_V="(All)",F_Custom2_V="",ISBLANK(F_Custom2_V)),1,IFERROR(IF(ISNUMBER(SEARCH("|"&amp;INDEX(INDIRECT(F_Custom2_resolved_column),1928)&amp;"|",F_Custom2_wrapped)),1,0),0))</f>
        <v>1</v>
      </c>
      <c r="F1929">
        <f>D1929*E1929*1</f>
        <v>1</v>
      </c>
      <c r="G1929">
        <f>1</f>
        <v>1</v>
      </c>
      <c r="H19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1928)&amp;"|",All_Questions_Q_STREAM_F_wrapped)),1,0),0))*1</f>
        <v>1</v>
      </c>
    </row>
    <row r="1930">
      <c r="A1930" t="n">
        <v>1929</v>
      </c>
      <c r="B1930" t="inlineStr">
        <is>
          <t>A</t>
        </is>
      </c>
      <c r="C1930">
        <f>1</f>
        <v>1</v>
      </c>
      <c r="D1930">
        <f>IF(OR(F_Custom1_Q="(None)",F_Custom1_Q="",ISBLANK(F_Custom1_Q),F_Custom1_V="(All)",F_Custom1_V="",ISBLANK(F_Custom1_V)),1,IFERROR(IF(ISNUMBER(SEARCH("|"&amp;INDEX(INDIRECT(F_Custom1_resolved_column),1929)&amp;"|",F_Custom1_wrapped)),1,0),0))</f>
        <v>1</v>
      </c>
      <c r="E1930">
        <f>IF(OR(F_Custom2_Q="(None)",F_Custom2_Q="",ISBLANK(F_Custom2_Q),F_Custom2_V="(All)",F_Custom2_V="",ISBLANK(F_Custom2_V)),1,IFERROR(IF(ISNUMBER(SEARCH("|"&amp;INDEX(INDIRECT(F_Custom2_resolved_column),1929)&amp;"|",F_Custom2_wrapped)),1,0),0))</f>
        <v>1</v>
      </c>
      <c r="F1930">
        <f>D1930*E1930*1</f>
        <v>1</v>
      </c>
      <c r="G1930">
        <f>1</f>
        <v>1</v>
      </c>
      <c r="H19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1929)&amp;"|",All_Questions_Q_STREAM_F_wrapped)),1,0),0))*1</f>
        <v>1</v>
      </c>
    </row>
    <row r="1931">
      <c r="A1931" t="n">
        <v>1930</v>
      </c>
      <c r="B1931" t="inlineStr">
        <is>
          <t>B</t>
        </is>
      </c>
      <c r="C1931">
        <f>1</f>
        <v>1</v>
      </c>
      <c r="D1931">
        <f>IF(OR(F_Custom1_Q="(None)",F_Custom1_Q="",ISBLANK(F_Custom1_Q),F_Custom1_V="(All)",F_Custom1_V="",ISBLANK(F_Custom1_V)),1,IFERROR(IF(ISNUMBER(SEARCH("|"&amp;INDEX(INDIRECT(F_Custom1_resolved_column),1930)&amp;"|",F_Custom1_wrapped)),1,0),0))</f>
        <v>1</v>
      </c>
      <c r="E1931">
        <f>IF(OR(F_Custom2_Q="(None)",F_Custom2_Q="",ISBLANK(F_Custom2_Q),F_Custom2_V="(All)",F_Custom2_V="",ISBLANK(F_Custom2_V)),1,IFERROR(IF(ISNUMBER(SEARCH("|"&amp;INDEX(INDIRECT(F_Custom2_resolved_column),1930)&amp;"|",F_Custom2_wrapped)),1,0),0))</f>
        <v>1</v>
      </c>
      <c r="F1931">
        <f>D1931*E1931*1</f>
        <v>1</v>
      </c>
      <c r="G1931">
        <f>1</f>
        <v>1</v>
      </c>
      <c r="H19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1930)&amp;"|",All_Questions_Q_STREAM_F_wrapped)),1,0),0))*1</f>
        <v>1</v>
      </c>
    </row>
    <row r="1932">
      <c r="A1932" t="n">
        <v>1931</v>
      </c>
      <c r="B1932" t="inlineStr">
        <is>
          <t>A</t>
        </is>
      </c>
      <c r="C1932">
        <f>1</f>
        <v>1</v>
      </c>
      <c r="D1932">
        <f>IF(OR(F_Custom1_Q="(None)",F_Custom1_Q="",ISBLANK(F_Custom1_Q),F_Custom1_V="(All)",F_Custom1_V="",ISBLANK(F_Custom1_V)),1,IFERROR(IF(ISNUMBER(SEARCH("|"&amp;INDEX(INDIRECT(F_Custom1_resolved_column),1931)&amp;"|",F_Custom1_wrapped)),1,0),0))</f>
        <v>1</v>
      </c>
      <c r="E1932">
        <f>IF(OR(F_Custom2_Q="(None)",F_Custom2_Q="",ISBLANK(F_Custom2_Q),F_Custom2_V="(All)",F_Custom2_V="",ISBLANK(F_Custom2_V)),1,IFERROR(IF(ISNUMBER(SEARCH("|"&amp;INDEX(INDIRECT(F_Custom2_resolved_column),1931)&amp;"|",F_Custom2_wrapped)),1,0),0))</f>
        <v>1</v>
      </c>
      <c r="F1932">
        <f>D1932*E1932*1</f>
        <v>1</v>
      </c>
      <c r="G1932">
        <f>1</f>
        <v>1</v>
      </c>
      <c r="H19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1931)&amp;"|",All_Questions_Q_STREAM_F_wrapped)),1,0),0))*1</f>
        <v>1</v>
      </c>
    </row>
    <row r="1933">
      <c r="A1933" t="n">
        <v>1932</v>
      </c>
      <c r="B1933" t="inlineStr">
        <is>
          <t>B</t>
        </is>
      </c>
      <c r="C1933">
        <f>1</f>
        <v>1</v>
      </c>
      <c r="D1933">
        <f>IF(OR(F_Custom1_Q="(None)",F_Custom1_Q="",ISBLANK(F_Custom1_Q),F_Custom1_V="(All)",F_Custom1_V="",ISBLANK(F_Custom1_V)),1,IFERROR(IF(ISNUMBER(SEARCH("|"&amp;INDEX(INDIRECT(F_Custom1_resolved_column),1932)&amp;"|",F_Custom1_wrapped)),1,0),0))</f>
        <v>1</v>
      </c>
      <c r="E1933">
        <f>IF(OR(F_Custom2_Q="(None)",F_Custom2_Q="",ISBLANK(F_Custom2_Q),F_Custom2_V="(All)",F_Custom2_V="",ISBLANK(F_Custom2_V)),1,IFERROR(IF(ISNUMBER(SEARCH("|"&amp;INDEX(INDIRECT(F_Custom2_resolved_column),1932)&amp;"|",F_Custom2_wrapped)),1,0),0))</f>
        <v>1</v>
      </c>
      <c r="F1933">
        <f>D1933*E1933*1</f>
        <v>1</v>
      </c>
      <c r="G1933">
        <f>1</f>
        <v>1</v>
      </c>
      <c r="H19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1932)&amp;"|",All_Questions_Q_STREAM_F_wrapped)),1,0),0))*1</f>
        <v>1</v>
      </c>
    </row>
    <row r="1934">
      <c r="A1934" t="n">
        <v>1933</v>
      </c>
      <c r="B1934" t="inlineStr">
        <is>
          <t>A</t>
        </is>
      </c>
      <c r="C1934">
        <f>1</f>
        <v>1</v>
      </c>
      <c r="D1934">
        <f>IF(OR(F_Custom1_Q="(None)",F_Custom1_Q="",ISBLANK(F_Custom1_Q),F_Custom1_V="(All)",F_Custom1_V="",ISBLANK(F_Custom1_V)),1,IFERROR(IF(ISNUMBER(SEARCH("|"&amp;INDEX(INDIRECT(F_Custom1_resolved_column),1933)&amp;"|",F_Custom1_wrapped)),1,0),0))</f>
        <v>1</v>
      </c>
      <c r="E1934">
        <f>IF(OR(F_Custom2_Q="(None)",F_Custom2_Q="",ISBLANK(F_Custom2_Q),F_Custom2_V="(All)",F_Custom2_V="",ISBLANK(F_Custom2_V)),1,IFERROR(IF(ISNUMBER(SEARCH("|"&amp;INDEX(INDIRECT(F_Custom2_resolved_column),1933)&amp;"|",F_Custom2_wrapped)),1,0),0))</f>
        <v>1</v>
      </c>
      <c r="F1934">
        <f>D1934*E1934*1</f>
        <v>1</v>
      </c>
      <c r="G1934">
        <f>1</f>
        <v>1</v>
      </c>
      <c r="H19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1933)&amp;"|",All_Questions_Q_STREAM_F_wrapped)),1,0),0))*1</f>
        <v>1</v>
      </c>
    </row>
    <row r="1935">
      <c r="A1935" t="n">
        <v>1934</v>
      </c>
      <c r="B1935" t="inlineStr">
        <is>
          <t>B</t>
        </is>
      </c>
      <c r="C1935">
        <f>1</f>
        <v>1</v>
      </c>
      <c r="D1935">
        <f>IF(OR(F_Custom1_Q="(None)",F_Custom1_Q="",ISBLANK(F_Custom1_Q),F_Custom1_V="(All)",F_Custom1_V="",ISBLANK(F_Custom1_V)),1,IFERROR(IF(ISNUMBER(SEARCH("|"&amp;INDEX(INDIRECT(F_Custom1_resolved_column),1934)&amp;"|",F_Custom1_wrapped)),1,0),0))</f>
        <v>1</v>
      </c>
      <c r="E1935">
        <f>IF(OR(F_Custom2_Q="(None)",F_Custom2_Q="",ISBLANK(F_Custom2_Q),F_Custom2_V="(All)",F_Custom2_V="",ISBLANK(F_Custom2_V)),1,IFERROR(IF(ISNUMBER(SEARCH("|"&amp;INDEX(INDIRECT(F_Custom2_resolved_column),1934)&amp;"|",F_Custom2_wrapped)),1,0),0))</f>
        <v>1</v>
      </c>
      <c r="F1935">
        <f>D1935*E1935*1</f>
        <v>1</v>
      </c>
      <c r="G1935">
        <f>1</f>
        <v>1</v>
      </c>
      <c r="H19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1934)&amp;"|",All_Questions_Q_STREAM_F_wrapped)),1,0),0))*1</f>
        <v>1</v>
      </c>
    </row>
    <row r="1936">
      <c r="A1936" t="n">
        <v>1935</v>
      </c>
      <c r="B1936" t="inlineStr">
        <is>
          <t>A</t>
        </is>
      </c>
      <c r="C1936">
        <f>1</f>
        <v>1</v>
      </c>
      <c r="D1936">
        <f>IF(OR(F_Custom1_Q="(None)",F_Custom1_Q="",ISBLANK(F_Custom1_Q),F_Custom1_V="(All)",F_Custom1_V="",ISBLANK(F_Custom1_V)),1,IFERROR(IF(ISNUMBER(SEARCH("|"&amp;INDEX(INDIRECT(F_Custom1_resolved_column),1935)&amp;"|",F_Custom1_wrapped)),1,0),0))</f>
        <v>1</v>
      </c>
      <c r="E1936">
        <f>IF(OR(F_Custom2_Q="(None)",F_Custom2_Q="",ISBLANK(F_Custom2_Q),F_Custom2_V="(All)",F_Custom2_V="",ISBLANK(F_Custom2_V)),1,IFERROR(IF(ISNUMBER(SEARCH("|"&amp;INDEX(INDIRECT(F_Custom2_resolved_column),1935)&amp;"|",F_Custom2_wrapped)),1,0),0))</f>
        <v>1</v>
      </c>
      <c r="F1936">
        <f>D1936*E1936*1</f>
        <v>1</v>
      </c>
      <c r="G1936">
        <f>1</f>
        <v>1</v>
      </c>
      <c r="H19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1935)&amp;"|",All_Questions_Q_STREAM_F_wrapped)),1,0),0))*1</f>
        <v>1</v>
      </c>
    </row>
    <row r="1937">
      <c r="A1937" t="n">
        <v>1936</v>
      </c>
      <c r="B1937" t="inlineStr">
        <is>
          <t>B</t>
        </is>
      </c>
      <c r="C1937">
        <f>1</f>
        <v>1</v>
      </c>
      <c r="D1937">
        <f>IF(OR(F_Custom1_Q="(None)",F_Custom1_Q="",ISBLANK(F_Custom1_Q),F_Custom1_V="(All)",F_Custom1_V="",ISBLANK(F_Custom1_V)),1,IFERROR(IF(ISNUMBER(SEARCH("|"&amp;INDEX(INDIRECT(F_Custom1_resolved_column),1936)&amp;"|",F_Custom1_wrapped)),1,0),0))</f>
        <v>1</v>
      </c>
      <c r="E1937">
        <f>IF(OR(F_Custom2_Q="(None)",F_Custom2_Q="",ISBLANK(F_Custom2_Q),F_Custom2_V="(All)",F_Custom2_V="",ISBLANK(F_Custom2_V)),1,IFERROR(IF(ISNUMBER(SEARCH("|"&amp;INDEX(INDIRECT(F_Custom2_resolved_column),1936)&amp;"|",F_Custom2_wrapped)),1,0),0))</f>
        <v>1</v>
      </c>
      <c r="F1937">
        <f>D1937*E1937*1</f>
        <v>1</v>
      </c>
      <c r="G1937">
        <f>1</f>
        <v>1</v>
      </c>
      <c r="H19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1936)&amp;"|",All_Questions_Q_STREAM_F_wrapped)),1,0),0))*1</f>
        <v>1</v>
      </c>
    </row>
    <row r="1938">
      <c r="A1938" t="n">
        <v>1937</v>
      </c>
      <c r="B1938" t="inlineStr">
        <is>
          <t>A</t>
        </is>
      </c>
      <c r="C1938">
        <f>1</f>
        <v>1</v>
      </c>
      <c r="D1938">
        <f>IF(OR(F_Custom1_Q="(None)",F_Custom1_Q="",ISBLANK(F_Custom1_Q),F_Custom1_V="(All)",F_Custom1_V="",ISBLANK(F_Custom1_V)),1,IFERROR(IF(ISNUMBER(SEARCH("|"&amp;INDEX(INDIRECT(F_Custom1_resolved_column),1937)&amp;"|",F_Custom1_wrapped)),1,0),0))</f>
        <v>1</v>
      </c>
      <c r="E1938">
        <f>IF(OR(F_Custom2_Q="(None)",F_Custom2_Q="",ISBLANK(F_Custom2_Q),F_Custom2_V="(All)",F_Custom2_V="",ISBLANK(F_Custom2_V)),1,IFERROR(IF(ISNUMBER(SEARCH("|"&amp;INDEX(INDIRECT(F_Custom2_resolved_column),1937)&amp;"|",F_Custom2_wrapped)),1,0),0))</f>
        <v>1</v>
      </c>
      <c r="F1938">
        <f>D1938*E1938*1</f>
        <v>1</v>
      </c>
      <c r="G1938">
        <f>1</f>
        <v>1</v>
      </c>
      <c r="H19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1937)&amp;"|",All_Questions_Q_STREAM_F_wrapped)),1,0),0))*1</f>
        <v>1</v>
      </c>
    </row>
    <row r="1939">
      <c r="A1939" t="n">
        <v>1938</v>
      </c>
      <c r="B1939" t="inlineStr">
        <is>
          <t>B</t>
        </is>
      </c>
      <c r="C1939">
        <f>1</f>
        <v>1</v>
      </c>
      <c r="D1939">
        <f>IF(OR(F_Custom1_Q="(None)",F_Custom1_Q="",ISBLANK(F_Custom1_Q),F_Custom1_V="(All)",F_Custom1_V="",ISBLANK(F_Custom1_V)),1,IFERROR(IF(ISNUMBER(SEARCH("|"&amp;INDEX(INDIRECT(F_Custom1_resolved_column),1938)&amp;"|",F_Custom1_wrapped)),1,0),0))</f>
        <v>1</v>
      </c>
      <c r="E1939">
        <f>IF(OR(F_Custom2_Q="(None)",F_Custom2_Q="",ISBLANK(F_Custom2_Q),F_Custom2_V="(All)",F_Custom2_V="",ISBLANK(F_Custom2_V)),1,IFERROR(IF(ISNUMBER(SEARCH("|"&amp;INDEX(INDIRECT(F_Custom2_resolved_column),1938)&amp;"|",F_Custom2_wrapped)),1,0),0))</f>
        <v>1</v>
      </c>
      <c r="F1939">
        <f>D1939*E1939*1</f>
        <v>1</v>
      </c>
      <c r="G1939">
        <f>1</f>
        <v>1</v>
      </c>
      <c r="H19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1938)&amp;"|",All_Questions_Q_STREAM_F_wrapped)),1,0),0))*1</f>
        <v>1</v>
      </c>
    </row>
    <row r="1940">
      <c r="A1940" t="n">
        <v>1939</v>
      </c>
      <c r="B1940" t="inlineStr">
        <is>
          <t>A</t>
        </is>
      </c>
      <c r="C1940">
        <f>1</f>
        <v>1</v>
      </c>
      <c r="D1940">
        <f>IF(OR(F_Custom1_Q="(None)",F_Custom1_Q="",ISBLANK(F_Custom1_Q),F_Custom1_V="(All)",F_Custom1_V="",ISBLANK(F_Custom1_V)),1,IFERROR(IF(ISNUMBER(SEARCH("|"&amp;INDEX(INDIRECT(F_Custom1_resolved_column),1939)&amp;"|",F_Custom1_wrapped)),1,0),0))</f>
        <v>1</v>
      </c>
      <c r="E1940">
        <f>IF(OR(F_Custom2_Q="(None)",F_Custom2_Q="",ISBLANK(F_Custom2_Q),F_Custom2_V="(All)",F_Custom2_V="",ISBLANK(F_Custom2_V)),1,IFERROR(IF(ISNUMBER(SEARCH("|"&amp;INDEX(INDIRECT(F_Custom2_resolved_column),1939)&amp;"|",F_Custom2_wrapped)),1,0),0))</f>
        <v>1</v>
      </c>
      <c r="F1940">
        <f>D1940*E1940*1</f>
        <v>1</v>
      </c>
      <c r="G1940">
        <f>1</f>
        <v>1</v>
      </c>
      <c r="H19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1939)&amp;"|",All_Questions_Q_STREAM_F_wrapped)),1,0),0))*1</f>
        <v>1</v>
      </c>
    </row>
    <row r="1941">
      <c r="A1941" t="n">
        <v>1940</v>
      </c>
      <c r="B1941" t="inlineStr">
        <is>
          <t>B</t>
        </is>
      </c>
      <c r="C1941">
        <f>1</f>
        <v>1</v>
      </c>
      <c r="D1941">
        <f>IF(OR(F_Custom1_Q="(None)",F_Custom1_Q="",ISBLANK(F_Custom1_Q),F_Custom1_V="(All)",F_Custom1_V="",ISBLANK(F_Custom1_V)),1,IFERROR(IF(ISNUMBER(SEARCH("|"&amp;INDEX(INDIRECT(F_Custom1_resolved_column),1940)&amp;"|",F_Custom1_wrapped)),1,0),0))</f>
        <v>1</v>
      </c>
      <c r="E1941">
        <f>IF(OR(F_Custom2_Q="(None)",F_Custom2_Q="",ISBLANK(F_Custom2_Q),F_Custom2_V="(All)",F_Custom2_V="",ISBLANK(F_Custom2_V)),1,IFERROR(IF(ISNUMBER(SEARCH("|"&amp;INDEX(INDIRECT(F_Custom2_resolved_column),1940)&amp;"|",F_Custom2_wrapped)),1,0),0))</f>
        <v>1</v>
      </c>
      <c r="F1941">
        <f>D1941*E1941*1</f>
        <v>1</v>
      </c>
      <c r="G1941">
        <f>1</f>
        <v>1</v>
      </c>
      <c r="H19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1940)&amp;"|",All_Questions_Q_STREAM_F_wrapped)),1,0),0))*1</f>
        <v>1</v>
      </c>
    </row>
    <row r="1942">
      <c r="A1942" t="n">
        <v>1941</v>
      </c>
      <c r="B1942" t="inlineStr">
        <is>
          <t>A</t>
        </is>
      </c>
      <c r="C1942">
        <f>1</f>
        <v>1</v>
      </c>
      <c r="D1942">
        <f>IF(OR(F_Custom1_Q="(None)",F_Custom1_Q="",ISBLANK(F_Custom1_Q),F_Custom1_V="(All)",F_Custom1_V="",ISBLANK(F_Custom1_V)),1,IFERROR(IF(ISNUMBER(SEARCH("|"&amp;INDEX(INDIRECT(F_Custom1_resolved_column),1941)&amp;"|",F_Custom1_wrapped)),1,0),0))</f>
        <v>1</v>
      </c>
      <c r="E1942">
        <f>IF(OR(F_Custom2_Q="(None)",F_Custom2_Q="",ISBLANK(F_Custom2_Q),F_Custom2_V="(All)",F_Custom2_V="",ISBLANK(F_Custom2_V)),1,IFERROR(IF(ISNUMBER(SEARCH("|"&amp;INDEX(INDIRECT(F_Custom2_resolved_column),1941)&amp;"|",F_Custom2_wrapped)),1,0),0))</f>
        <v>1</v>
      </c>
      <c r="F1942">
        <f>D1942*E1942*1</f>
        <v>1</v>
      </c>
      <c r="G1942">
        <f>1</f>
        <v>1</v>
      </c>
      <c r="H19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1941)&amp;"|",All_Questions_Q_STREAM_F_wrapped)),1,0),0))*1</f>
        <v>1</v>
      </c>
    </row>
    <row r="1943">
      <c r="A1943" t="n">
        <v>1942</v>
      </c>
      <c r="B1943" t="inlineStr">
        <is>
          <t>B</t>
        </is>
      </c>
      <c r="C1943">
        <f>1</f>
        <v>1</v>
      </c>
      <c r="D1943">
        <f>IF(OR(F_Custom1_Q="(None)",F_Custom1_Q="",ISBLANK(F_Custom1_Q),F_Custom1_V="(All)",F_Custom1_V="",ISBLANK(F_Custom1_V)),1,IFERROR(IF(ISNUMBER(SEARCH("|"&amp;INDEX(INDIRECT(F_Custom1_resolved_column),1942)&amp;"|",F_Custom1_wrapped)),1,0),0))</f>
        <v>1</v>
      </c>
      <c r="E1943">
        <f>IF(OR(F_Custom2_Q="(None)",F_Custom2_Q="",ISBLANK(F_Custom2_Q),F_Custom2_V="(All)",F_Custom2_V="",ISBLANK(F_Custom2_V)),1,IFERROR(IF(ISNUMBER(SEARCH("|"&amp;INDEX(INDIRECT(F_Custom2_resolved_column),1942)&amp;"|",F_Custom2_wrapped)),1,0),0))</f>
        <v>1</v>
      </c>
      <c r="F1943">
        <f>D1943*E1943*1</f>
        <v>1</v>
      </c>
      <c r="G1943">
        <f>1</f>
        <v>1</v>
      </c>
      <c r="H19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1942)&amp;"|",All_Questions_Q_STREAM_F_wrapped)),1,0),0))*1</f>
        <v>1</v>
      </c>
    </row>
    <row r="1944">
      <c r="A1944" t="n">
        <v>1943</v>
      </c>
      <c r="B1944" t="inlineStr">
        <is>
          <t>A</t>
        </is>
      </c>
      <c r="C1944">
        <f>1</f>
        <v>1</v>
      </c>
      <c r="D1944">
        <f>IF(OR(F_Custom1_Q="(None)",F_Custom1_Q="",ISBLANK(F_Custom1_Q),F_Custom1_V="(All)",F_Custom1_V="",ISBLANK(F_Custom1_V)),1,IFERROR(IF(ISNUMBER(SEARCH("|"&amp;INDEX(INDIRECT(F_Custom1_resolved_column),1943)&amp;"|",F_Custom1_wrapped)),1,0),0))</f>
        <v>1</v>
      </c>
      <c r="E1944">
        <f>IF(OR(F_Custom2_Q="(None)",F_Custom2_Q="",ISBLANK(F_Custom2_Q),F_Custom2_V="(All)",F_Custom2_V="",ISBLANK(F_Custom2_V)),1,IFERROR(IF(ISNUMBER(SEARCH("|"&amp;INDEX(INDIRECT(F_Custom2_resolved_column),1943)&amp;"|",F_Custom2_wrapped)),1,0),0))</f>
        <v>1</v>
      </c>
      <c r="F1944">
        <f>D1944*E1944*1</f>
        <v>1</v>
      </c>
      <c r="G1944">
        <f>1</f>
        <v>1</v>
      </c>
      <c r="H19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1943)&amp;"|",All_Questions_Q_STREAM_F_wrapped)),1,0),0))*1</f>
        <v>1</v>
      </c>
    </row>
    <row r="1945">
      <c r="A1945" t="n">
        <v>1944</v>
      </c>
      <c r="B1945" t="inlineStr">
        <is>
          <t>B</t>
        </is>
      </c>
      <c r="C1945">
        <f>1</f>
        <v>1</v>
      </c>
      <c r="D1945">
        <f>IF(OR(F_Custom1_Q="(None)",F_Custom1_Q="",ISBLANK(F_Custom1_Q),F_Custom1_V="(All)",F_Custom1_V="",ISBLANK(F_Custom1_V)),1,IFERROR(IF(ISNUMBER(SEARCH("|"&amp;INDEX(INDIRECT(F_Custom1_resolved_column),1944)&amp;"|",F_Custom1_wrapped)),1,0),0))</f>
        <v>1</v>
      </c>
      <c r="E1945">
        <f>IF(OR(F_Custom2_Q="(None)",F_Custom2_Q="",ISBLANK(F_Custom2_Q),F_Custom2_V="(All)",F_Custom2_V="",ISBLANK(F_Custom2_V)),1,IFERROR(IF(ISNUMBER(SEARCH("|"&amp;INDEX(INDIRECT(F_Custom2_resolved_column),1944)&amp;"|",F_Custom2_wrapped)),1,0),0))</f>
        <v>1</v>
      </c>
      <c r="F1945">
        <f>D1945*E1945*1</f>
        <v>1</v>
      </c>
      <c r="G1945">
        <f>1</f>
        <v>1</v>
      </c>
      <c r="H19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1944)&amp;"|",All_Questions_Q_STREAM_F_wrapped)),1,0),0))*1</f>
        <v>1</v>
      </c>
    </row>
    <row r="1946">
      <c r="A1946" t="n">
        <v>1945</v>
      </c>
      <c r="B1946" t="inlineStr">
        <is>
          <t>A</t>
        </is>
      </c>
      <c r="C1946">
        <f>1</f>
        <v>1</v>
      </c>
      <c r="D1946">
        <f>IF(OR(F_Custom1_Q="(None)",F_Custom1_Q="",ISBLANK(F_Custom1_Q),F_Custom1_V="(All)",F_Custom1_V="",ISBLANK(F_Custom1_V)),1,IFERROR(IF(ISNUMBER(SEARCH("|"&amp;INDEX(INDIRECT(F_Custom1_resolved_column),1945)&amp;"|",F_Custom1_wrapped)),1,0),0))</f>
        <v>1</v>
      </c>
      <c r="E1946">
        <f>IF(OR(F_Custom2_Q="(None)",F_Custom2_Q="",ISBLANK(F_Custom2_Q),F_Custom2_V="(All)",F_Custom2_V="",ISBLANK(F_Custom2_V)),1,IFERROR(IF(ISNUMBER(SEARCH("|"&amp;INDEX(INDIRECT(F_Custom2_resolved_column),1945)&amp;"|",F_Custom2_wrapped)),1,0),0))</f>
        <v>1</v>
      </c>
      <c r="F1946">
        <f>D1946*E1946*1</f>
        <v>1</v>
      </c>
      <c r="G1946">
        <f>1</f>
        <v>1</v>
      </c>
      <c r="H19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1945)&amp;"|",All_Questions_Q_STREAM_F_wrapped)),1,0),0))*1</f>
        <v>1</v>
      </c>
    </row>
    <row r="1947">
      <c r="A1947" t="n">
        <v>1946</v>
      </c>
      <c r="B1947" t="inlineStr">
        <is>
          <t>B</t>
        </is>
      </c>
      <c r="C1947">
        <f>1</f>
        <v>1</v>
      </c>
      <c r="D1947">
        <f>IF(OR(F_Custom1_Q="(None)",F_Custom1_Q="",ISBLANK(F_Custom1_Q),F_Custom1_V="(All)",F_Custom1_V="",ISBLANK(F_Custom1_V)),1,IFERROR(IF(ISNUMBER(SEARCH("|"&amp;INDEX(INDIRECT(F_Custom1_resolved_column),1946)&amp;"|",F_Custom1_wrapped)),1,0),0))</f>
        <v>1</v>
      </c>
      <c r="E1947">
        <f>IF(OR(F_Custom2_Q="(None)",F_Custom2_Q="",ISBLANK(F_Custom2_Q),F_Custom2_V="(All)",F_Custom2_V="",ISBLANK(F_Custom2_V)),1,IFERROR(IF(ISNUMBER(SEARCH("|"&amp;INDEX(INDIRECT(F_Custom2_resolved_column),1946)&amp;"|",F_Custom2_wrapped)),1,0),0))</f>
        <v>1</v>
      </c>
      <c r="F1947">
        <f>D1947*E1947*1</f>
        <v>1</v>
      </c>
      <c r="G1947">
        <f>1</f>
        <v>1</v>
      </c>
      <c r="H19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1946)&amp;"|",All_Questions_Q_STREAM_F_wrapped)),1,0),0))*1</f>
        <v>1</v>
      </c>
    </row>
    <row r="1948">
      <c r="A1948" t="n">
        <v>1947</v>
      </c>
      <c r="B1948" t="inlineStr">
        <is>
          <t>A</t>
        </is>
      </c>
      <c r="C1948">
        <f>1</f>
        <v>1</v>
      </c>
      <c r="D1948">
        <f>IF(OR(F_Custom1_Q="(None)",F_Custom1_Q="",ISBLANK(F_Custom1_Q),F_Custom1_V="(All)",F_Custom1_V="",ISBLANK(F_Custom1_V)),1,IFERROR(IF(ISNUMBER(SEARCH("|"&amp;INDEX(INDIRECT(F_Custom1_resolved_column),1947)&amp;"|",F_Custom1_wrapped)),1,0),0))</f>
        <v>1</v>
      </c>
      <c r="E1948">
        <f>IF(OR(F_Custom2_Q="(None)",F_Custom2_Q="",ISBLANK(F_Custom2_Q),F_Custom2_V="(All)",F_Custom2_V="",ISBLANK(F_Custom2_V)),1,IFERROR(IF(ISNUMBER(SEARCH("|"&amp;INDEX(INDIRECT(F_Custom2_resolved_column),1947)&amp;"|",F_Custom2_wrapped)),1,0),0))</f>
        <v>1</v>
      </c>
      <c r="F1948">
        <f>D1948*E1948*1</f>
        <v>1</v>
      </c>
      <c r="G1948">
        <f>1</f>
        <v>1</v>
      </c>
      <c r="H19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1947)&amp;"|",All_Questions_Q_STREAM_F_wrapped)),1,0),0))*1</f>
        <v>1</v>
      </c>
    </row>
    <row r="1949">
      <c r="A1949" t="n">
        <v>1948</v>
      </c>
      <c r="B1949" t="inlineStr">
        <is>
          <t>B</t>
        </is>
      </c>
      <c r="C1949">
        <f>1</f>
        <v>1</v>
      </c>
      <c r="D1949">
        <f>IF(OR(F_Custom1_Q="(None)",F_Custom1_Q="",ISBLANK(F_Custom1_Q),F_Custom1_V="(All)",F_Custom1_V="",ISBLANK(F_Custom1_V)),1,IFERROR(IF(ISNUMBER(SEARCH("|"&amp;INDEX(INDIRECT(F_Custom1_resolved_column),1948)&amp;"|",F_Custom1_wrapped)),1,0),0))</f>
        <v>1</v>
      </c>
      <c r="E1949">
        <f>IF(OR(F_Custom2_Q="(None)",F_Custom2_Q="",ISBLANK(F_Custom2_Q),F_Custom2_V="(All)",F_Custom2_V="",ISBLANK(F_Custom2_V)),1,IFERROR(IF(ISNUMBER(SEARCH("|"&amp;INDEX(INDIRECT(F_Custom2_resolved_column),1948)&amp;"|",F_Custom2_wrapped)),1,0),0))</f>
        <v>1</v>
      </c>
      <c r="F1949">
        <f>D1949*E1949*1</f>
        <v>1</v>
      </c>
      <c r="G1949">
        <f>1</f>
        <v>1</v>
      </c>
      <c r="H19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1948)&amp;"|",All_Questions_Q_STREAM_F_wrapped)),1,0),0))*1</f>
        <v>1</v>
      </c>
    </row>
    <row r="1950">
      <c r="A1950" t="n">
        <v>1949</v>
      </c>
      <c r="B1950" t="inlineStr">
        <is>
          <t>A</t>
        </is>
      </c>
      <c r="C1950">
        <f>1</f>
        <v>1</v>
      </c>
      <c r="D1950">
        <f>IF(OR(F_Custom1_Q="(None)",F_Custom1_Q="",ISBLANK(F_Custom1_Q),F_Custom1_V="(All)",F_Custom1_V="",ISBLANK(F_Custom1_V)),1,IFERROR(IF(ISNUMBER(SEARCH("|"&amp;INDEX(INDIRECT(F_Custom1_resolved_column),1949)&amp;"|",F_Custom1_wrapped)),1,0),0))</f>
        <v>1</v>
      </c>
      <c r="E1950">
        <f>IF(OR(F_Custom2_Q="(None)",F_Custom2_Q="",ISBLANK(F_Custom2_Q),F_Custom2_V="(All)",F_Custom2_V="",ISBLANK(F_Custom2_V)),1,IFERROR(IF(ISNUMBER(SEARCH("|"&amp;INDEX(INDIRECT(F_Custom2_resolved_column),1949)&amp;"|",F_Custom2_wrapped)),1,0),0))</f>
        <v>1</v>
      </c>
      <c r="F1950">
        <f>D1950*E1950*1</f>
        <v>1</v>
      </c>
      <c r="G1950">
        <f>1</f>
        <v>1</v>
      </c>
      <c r="H19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1949)&amp;"|",All_Questions_Q_STREAM_F_wrapped)),1,0),0))*1</f>
        <v>1</v>
      </c>
    </row>
    <row r="1951">
      <c r="A1951" t="n">
        <v>1950</v>
      </c>
      <c r="B1951" t="inlineStr">
        <is>
          <t>B</t>
        </is>
      </c>
      <c r="C1951">
        <f>1</f>
        <v>1</v>
      </c>
      <c r="D1951">
        <f>IF(OR(F_Custom1_Q="(None)",F_Custom1_Q="",ISBLANK(F_Custom1_Q),F_Custom1_V="(All)",F_Custom1_V="",ISBLANK(F_Custom1_V)),1,IFERROR(IF(ISNUMBER(SEARCH("|"&amp;INDEX(INDIRECT(F_Custom1_resolved_column),1950)&amp;"|",F_Custom1_wrapped)),1,0),0))</f>
        <v>1</v>
      </c>
      <c r="E1951">
        <f>IF(OR(F_Custom2_Q="(None)",F_Custom2_Q="",ISBLANK(F_Custom2_Q),F_Custom2_V="(All)",F_Custom2_V="",ISBLANK(F_Custom2_V)),1,IFERROR(IF(ISNUMBER(SEARCH("|"&amp;INDEX(INDIRECT(F_Custom2_resolved_column),1950)&amp;"|",F_Custom2_wrapped)),1,0),0))</f>
        <v>1</v>
      </c>
      <c r="F1951">
        <f>D1951*E1951*1</f>
        <v>1</v>
      </c>
      <c r="G1951">
        <f>1</f>
        <v>1</v>
      </c>
      <c r="H19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1950)&amp;"|",All_Questions_Q_STREAM_F_wrapped)),1,0),0))*1</f>
        <v>1</v>
      </c>
    </row>
    <row r="1952">
      <c r="A1952" t="n">
        <v>1951</v>
      </c>
      <c r="B1952" t="inlineStr">
        <is>
          <t>A</t>
        </is>
      </c>
      <c r="C1952">
        <f>1</f>
        <v>1</v>
      </c>
      <c r="D1952">
        <f>IF(OR(F_Custom1_Q="(None)",F_Custom1_Q="",ISBLANK(F_Custom1_Q),F_Custom1_V="(All)",F_Custom1_V="",ISBLANK(F_Custom1_V)),1,IFERROR(IF(ISNUMBER(SEARCH("|"&amp;INDEX(INDIRECT(F_Custom1_resolved_column),1951)&amp;"|",F_Custom1_wrapped)),1,0),0))</f>
        <v>1</v>
      </c>
      <c r="E1952">
        <f>IF(OR(F_Custom2_Q="(None)",F_Custom2_Q="",ISBLANK(F_Custom2_Q),F_Custom2_V="(All)",F_Custom2_V="",ISBLANK(F_Custom2_V)),1,IFERROR(IF(ISNUMBER(SEARCH("|"&amp;INDEX(INDIRECT(F_Custom2_resolved_column),1951)&amp;"|",F_Custom2_wrapped)),1,0),0))</f>
        <v>1</v>
      </c>
      <c r="F1952">
        <f>D1952*E1952*1</f>
        <v>1</v>
      </c>
      <c r="G1952">
        <f>1</f>
        <v>1</v>
      </c>
      <c r="H19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1951)&amp;"|",All_Questions_Q_STREAM_F_wrapped)),1,0),0))*1</f>
        <v>1</v>
      </c>
    </row>
    <row r="1953">
      <c r="A1953" t="n">
        <v>1952</v>
      </c>
      <c r="B1953" t="inlineStr">
        <is>
          <t>B</t>
        </is>
      </c>
      <c r="C1953">
        <f>1</f>
        <v>1</v>
      </c>
      <c r="D1953">
        <f>IF(OR(F_Custom1_Q="(None)",F_Custom1_Q="",ISBLANK(F_Custom1_Q),F_Custom1_V="(All)",F_Custom1_V="",ISBLANK(F_Custom1_V)),1,IFERROR(IF(ISNUMBER(SEARCH("|"&amp;INDEX(INDIRECT(F_Custom1_resolved_column),1952)&amp;"|",F_Custom1_wrapped)),1,0),0))</f>
        <v>1</v>
      </c>
      <c r="E1953">
        <f>IF(OR(F_Custom2_Q="(None)",F_Custom2_Q="",ISBLANK(F_Custom2_Q),F_Custom2_V="(All)",F_Custom2_V="",ISBLANK(F_Custom2_V)),1,IFERROR(IF(ISNUMBER(SEARCH("|"&amp;INDEX(INDIRECT(F_Custom2_resolved_column),1952)&amp;"|",F_Custom2_wrapped)),1,0),0))</f>
        <v>1</v>
      </c>
      <c r="F1953">
        <f>D1953*E1953*1</f>
        <v>1</v>
      </c>
      <c r="G1953">
        <f>1</f>
        <v>1</v>
      </c>
      <c r="H19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1952)&amp;"|",All_Questions_Q_STREAM_F_wrapped)),1,0),0))*1</f>
        <v>1</v>
      </c>
    </row>
    <row r="1954">
      <c r="A1954" t="n">
        <v>1953</v>
      </c>
      <c r="B1954" t="inlineStr">
        <is>
          <t>A</t>
        </is>
      </c>
      <c r="C1954">
        <f>1</f>
        <v>1</v>
      </c>
      <c r="D1954">
        <f>IF(OR(F_Custom1_Q="(None)",F_Custom1_Q="",ISBLANK(F_Custom1_Q),F_Custom1_V="(All)",F_Custom1_V="",ISBLANK(F_Custom1_V)),1,IFERROR(IF(ISNUMBER(SEARCH("|"&amp;INDEX(INDIRECT(F_Custom1_resolved_column),1953)&amp;"|",F_Custom1_wrapped)),1,0),0))</f>
        <v>1</v>
      </c>
      <c r="E1954">
        <f>IF(OR(F_Custom2_Q="(None)",F_Custom2_Q="",ISBLANK(F_Custom2_Q),F_Custom2_V="(All)",F_Custom2_V="",ISBLANK(F_Custom2_V)),1,IFERROR(IF(ISNUMBER(SEARCH("|"&amp;INDEX(INDIRECT(F_Custom2_resolved_column),1953)&amp;"|",F_Custom2_wrapped)),1,0),0))</f>
        <v>1</v>
      </c>
      <c r="F1954">
        <f>D1954*E1954*1</f>
        <v>1</v>
      </c>
      <c r="G1954">
        <f>1</f>
        <v>1</v>
      </c>
      <c r="H19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1953)&amp;"|",All_Questions_Q_STREAM_F_wrapped)),1,0),0))*1</f>
        <v>1</v>
      </c>
    </row>
    <row r="1955">
      <c r="A1955" t="n">
        <v>1954</v>
      </c>
      <c r="B1955" t="inlineStr">
        <is>
          <t>B</t>
        </is>
      </c>
      <c r="C1955">
        <f>1</f>
        <v>1</v>
      </c>
      <c r="D1955">
        <f>IF(OR(F_Custom1_Q="(None)",F_Custom1_Q="",ISBLANK(F_Custom1_Q),F_Custom1_V="(All)",F_Custom1_V="",ISBLANK(F_Custom1_V)),1,IFERROR(IF(ISNUMBER(SEARCH("|"&amp;INDEX(INDIRECT(F_Custom1_resolved_column),1954)&amp;"|",F_Custom1_wrapped)),1,0),0))</f>
        <v>1</v>
      </c>
      <c r="E1955">
        <f>IF(OR(F_Custom2_Q="(None)",F_Custom2_Q="",ISBLANK(F_Custom2_Q),F_Custom2_V="(All)",F_Custom2_V="",ISBLANK(F_Custom2_V)),1,IFERROR(IF(ISNUMBER(SEARCH("|"&amp;INDEX(INDIRECT(F_Custom2_resolved_column),1954)&amp;"|",F_Custom2_wrapped)),1,0),0))</f>
        <v>1</v>
      </c>
      <c r="F1955">
        <f>D1955*E1955*1</f>
        <v>1</v>
      </c>
      <c r="G1955">
        <f>1</f>
        <v>1</v>
      </c>
      <c r="H19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1954)&amp;"|",All_Questions_Q_STREAM_F_wrapped)),1,0),0))*1</f>
        <v>1</v>
      </c>
    </row>
    <row r="1956">
      <c r="A1956" t="n">
        <v>1955</v>
      </c>
      <c r="B1956" t="inlineStr">
        <is>
          <t>A</t>
        </is>
      </c>
      <c r="C1956">
        <f>1</f>
        <v>1</v>
      </c>
      <c r="D1956">
        <f>IF(OR(F_Custom1_Q="(None)",F_Custom1_Q="",ISBLANK(F_Custom1_Q),F_Custom1_V="(All)",F_Custom1_V="",ISBLANK(F_Custom1_V)),1,IFERROR(IF(ISNUMBER(SEARCH("|"&amp;INDEX(INDIRECT(F_Custom1_resolved_column),1955)&amp;"|",F_Custom1_wrapped)),1,0),0))</f>
        <v>1</v>
      </c>
      <c r="E1956">
        <f>IF(OR(F_Custom2_Q="(None)",F_Custom2_Q="",ISBLANK(F_Custom2_Q),F_Custom2_V="(All)",F_Custom2_V="",ISBLANK(F_Custom2_V)),1,IFERROR(IF(ISNUMBER(SEARCH("|"&amp;INDEX(INDIRECT(F_Custom2_resolved_column),1955)&amp;"|",F_Custom2_wrapped)),1,0),0))</f>
        <v>1</v>
      </c>
      <c r="F1956">
        <f>D1956*E1956*1</f>
        <v>1</v>
      </c>
      <c r="G1956">
        <f>1</f>
        <v>1</v>
      </c>
      <c r="H19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1955)&amp;"|",All_Questions_Q_STREAM_F_wrapped)),1,0),0))*1</f>
        <v>1</v>
      </c>
    </row>
    <row r="1957">
      <c r="A1957" t="n">
        <v>1956</v>
      </c>
      <c r="B1957" t="inlineStr">
        <is>
          <t>B</t>
        </is>
      </c>
      <c r="C1957">
        <f>1</f>
        <v>1</v>
      </c>
      <c r="D1957">
        <f>IF(OR(F_Custom1_Q="(None)",F_Custom1_Q="",ISBLANK(F_Custom1_Q),F_Custom1_V="(All)",F_Custom1_V="",ISBLANK(F_Custom1_V)),1,IFERROR(IF(ISNUMBER(SEARCH("|"&amp;INDEX(INDIRECT(F_Custom1_resolved_column),1956)&amp;"|",F_Custom1_wrapped)),1,0),0))</f>
        <v>1</v>
      </c>
      <c r="E1957">
        <f>IF(OR(F_Custom2_Q="(None)",F_Custom2_Q="",ISBLANK(F_Custom2_Q),F_Custom2_V="(All)",F_Custom2_V="",ISBLANK(F_Custom2_V)),1,IFERROR(IF(ISNUMBER(SEARCH("|"&amp;INDEX(INDIRECT(F_Custom2_resolved_column),1956)&amp;"|",F_Custom2_wrapped)),1,0),0))</f>
        <v>1</v>
      </c>
      <c r="F1957">
        <f>D1957*E1957*1</f>
        <v>1</v>
      </c>
      <c r="G1957">
        <f>1</f>
        <v>1</v>
      </c>
      <c r="H19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1956)&amp;"|",All_Questions_Q_STREAM_F_wrapped)),1,0),0))*1</f>
        <v>1</v>
      </c>
    </row>
    <row r="1958">
      <c r="A1958" t="n">
        <v>1957</v>
      </c>
      <c r="B1958" t="inlineStr">
        <is>
          <t>A</t>
        </is>
      </c>
      <c r="C1958">
        <f>1</f>
        <v>1</v>
      </c>
      <c r="D1958">
        <f>IF(OR(F_Custom1_Q="(None)",F_Custom1_Q="",ISBLANK(F_Custom1_Q),F_Custom1_V="(All)",F_Custom1_V="",ISBLANK(F_Custom1_V)),1,IFERROR(IF(ISNUMBER(SEARCH("|"&amp;INDEX(INDIRECT(F_Custom1_resolved_column),1957)&amp;"|",F_Custom1_wrapped)),1,0),0))</f>
        <v>1</v>
      </c>
      <c r="E1958">
        <f>IF(OR(F_Custom2_Q="(None)",F_Custom2_Q="",ISBLANK(F_Custom2_Q),F_Custom2_V="(All)",F_Custom2_V="",ISBLANK(F_Custom2_V)),1,IFERROR(IF(ISNUMBER(SEARCH("|"&amp;INDEX(INDIRECT(F_Custom2_resolved_column),1957)&amp;"|",F_Custom2_wrapped)),1,0),0))</f>
        <v>1</v>
      </c>
      <c r="F1958">
        <f>D1958*E1958*1</f>
        <v>1</v>
      </c>
      <c r="G1958">
        <f>1</f>
        <v>1</v>
      </c>
      <c r="H19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1957)&amp;"|",All_Questions_Q_STREAM_F_wrapped)),1,0),0))*1</f>
        <v>1</v>
      </c>
    </row>
    <row r="1959">
      <c r="A1959" t="n">
        <v>1958</v>
      </c>
      <c r="B1959" t="inlineStr">
        <is>
          <t>B</t>
        </is>
      </c>
      <c r="C1959">
        <f>1</f>
        <v>1</v>
      </c>
      <c r="D1959">
        <f>IF(OR(F_Custom1_Q="(None)",F_Custom1_Q="",ISBLANK(F_Custom1_Q),F_Custom1_V="(All)",F_Custom1_V="",ISBLANK(F_Custom1_V)),1,IFERROR(IF(ISNUMBER(SEARCH("|"&amp;INDEX(INDIRECT(F_Custom1_resolved_column),1958)&amp;"|",F_Custom1_wrapped)),1,0),0))</f>
        <v>1</v>
      </c>
      <c r="E1959">
        <f>IF(OR(F_Custom2_Q="(None)",F_Custom2_Q="",ISBLANK(F_Custom2_Q),F_Custom2_V="(All)",F_Custom2_V="",ISBLANK(F_Custom2_V)),1,IFERROR(IF(ISNUMBER(SEARCH("|"&amp;INDEX(INDIRECT(F_Custom2_resolved_column),1958)&amp;"|",F_Custom2_wrapped)),1,0),0))</f>
        <v>1</v>
      </c>
      <c r="F1959">
        <f>D1959*E1959*1</f>
        <v>1</v>
      </c>
      <c r="G1959">
        <f>1</f>
        <v>1</v>
      </c>
      <c r="H19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1958)&amp;"|",All_Questions_Q_STREAM_F_wrapped)),1,0),0))*1</f>
        <v>1</v>
      </c>
    </row>
    <row r="1960">
      <c r="A1960" t="n">
        <v>1959</v>
      </c>
      <c r="B1960" t="inlineStr">
        <is>
          <t>A</t>
        </is>
      </c>
      <c r="C1960">
        <f>1</f>
        <v>1</v>
      </c>
      <c r="D1960">
        <f>IF(OR(F_Custom1_Q="(None)",F_Custom1_Q="",ISBLANK(F_Custom1_Q),F_Custom1_V="(All)",F_Custom1_V="",ISBLANK(F_Custom1_V)),1,IFERROR(IF(ISNUMBER(SEARCH("|"&amp;INDEX(INDIRECT(F_Custom1_resolved_column),1959)&amp;"|",F_Custom1_wrapped)),1,0),0))</f>
        <v>1</v>
      </c>
      <c r="E1960">
        <f>IF(OR(F_Custom2_Q="(None)",F_Custom2_Q="",ISBLANK(F_Custom2_Q),F_Custom2_V="(All)",F_Custom2_V="",ISBLANK(F_Custom2_V)),1,IFERROR(IF(ISNUMBER(SEARCH("|"&amp;INDEX(INDIRECT(F_Custom2_resolved_column),1959)&amp;"|",F_Custom2_wrapped)),1,0),0))</f>
        <v>1</v>
      </c>
      <c r="F1960">
        <f>D1960*E1960*1</f>
        <v>1</v>
      </c>
      <c r="G1960">
        <f>1</f>
        <v>1</v>
      </c>
      <c r="H19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1959)&amp;"|",All_Questions_Q_STREAM_F_wrapped)),1,0),0))*1</f>
        <v>1</v>
      </c>
    </row>
    <row r="1961">
      <c r="A1961" t="n">
        <v>1960</v>
      </c>
      <c r="B1961" t="inlineStr">
        <is>
          <t>B</t>
        </is>
      </c>
      <c r="C1961">
        <f>1</f>
        <v>1</v>
      </c>
      <c r="D1961">
        <f>IF(OR(F_Custom1_Q="(None)",F_Custom1_Q="",ISBLANK(F_Custom1_Q),F_Custom1_V="(All)",F_Custom1_V="",ISBLANK(F_Custom1_V)),1,IFERROR(IF(ISNUMBER(SEARCH("|"&amp;INDEX(INDIRECT(F_Custom1_resolved_column),1960)&amp;"|",F_Custom1_wrapped)),1,0),0))</f>
        <v>1</v>
      </c>
      <c r="E1961">
        <f>IF(OR(F_Custom2_Q="(None)",F_Custom2_Q="",ISBLANK(F_Custom2_Q),F_Custom2_V="(All)",F_Custom2_V="",ISBLANK(F_Custom2_V)),1,IFERROR(IF(ISNUMBER(SEARCH("|"&amp;INDEX(INDIRECT(F_Custom2_resolved_column),1960)&amp;"|",F_Custom2_wrapped)),1,0),0))</f>
        <v>1</v>
      </c>
      <c r="F1961">
        <f>D1961*E1961*1</f>
        <v>1</v>
      </c>
      <c r="G1961">
        <f>1</f>
        <v>1</v>
      </c>
      <c r="H19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1960)&amp;"|",All_Questions_Q_STREAM_F_wrapped)),1,0),0))*1</f>
        <v>1</v>
      </c>
    </row>
    <row r="1962">
      <c r="A1962" t="n">
        <v>1961</v>
      </c>
      <c r="B1962" t="inlineStr">
        <is>
          <t>A</t>
        </is>
      </c>
      <c r="C1962">
        <f>1</f>
        <v>1</v>
      </c>
      <c r="D1962">
        <f>IF(OR(F_Custom1_Q="(None)",F_Custom1_Q="",ISBLANK(F_Custom1_Q),F_Custom1_V="(All)",F_Custom1_V="",ISBLANK(F_Custom1_V)),1,IFERROR(IF(ISNUMBER(SEARCH("|"&amp;INDEX(INDIRECT(F_Custom1_resolved_column),1961)&amp;"|",F_Custom1_wrapped)),1,0),0))</f>
        <v>1</v>
      </c>
      <c r="E1962">
        <f>IF(OR(F_Custom2_Q="(None)",F_Custom2_Q="",ISBLANK(F_Custom2_Q),F_Custom2_V="(All)",F_Custom2_V="",ISBLANK(F_Custom2_V)),1,IFERROR(IF(ISNUMBER(SEARCH("|"&amp;INDEX(INDIRECT(F_Custom2_resolved_column),1961)&amp;"|",F_Custom2_wrapped)),1,0),0))</f>
        <v>1</v>
      </c>
      <c r="F1962">
        <f>D1962*E1962*1</f>
        <v>1</v>
      </c>
      <c r="G1962">
        <f>1</f>
        <v>1</v>
      </c>
      <c r="H19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1961)&amp;"|",All_Questions_Q_STREAM_F_wrapped)),1,0),0))*1</f>
        <v>1</v>
      </c>
    </row>
    <row r="1963">
      <c r="A1963" t="n">
        <v>1962</v>
      </c>
      <c r="B1963" t="inlineStr">
        <is>
          <t>B</t>
        </is>
      </c>
      <c r="C1963">
        <f>1</f>
        <v>1</v>
      </c>
      <c r="D1963">
        <f>IF(OR(F_Custom1_Q="(None)",F_Custom1_Q="",ISBLANK(F_Custom1_Q),F_Custom1_V="(All)",F_Custom1_V="",ISBLANK(F_Custom1_V)),1,IFERROR(IF(ISNUMBER(SEARCH("|"&amp;INDEX(INDIRECT(F_Custom1_resolved_column),1962)&amp;"|",F_Custom1_wrapped)),1,0),0))</f>
        <v>1</v>
      </c>
      <c r="E1963">
        <f>IF(OR(F_Custom2_Q="(None)",F_Custom2_Q="",ISBLANK(F_Custom2_Q),F_Custom2_V="(All)",F_Custom2_V="",ISBLANK(F_Custom2_V)),1,IFERROR(IF(ISNUMBER(SEARCH("|"&amp;INDEX(INDIRECT(F_Custom2_resolved_column),1962)&amp;"|",F_Custom2_wrapped)),1,0),0))</f>
        <v>1</v>
      </c>
      <c r="F1963">
        <f>D1963*E1963*1</f>
        <v>1</v>
      </c>
      <c r="G1963">
        <f>1</f>
        <v>1</v>
      </c>
      <c r="H19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1962)&amp;"|",All_Questions_Q_STREAM_F_wrapped)),1,0),0))*1</f>
        <v>1</v>
      </c>
    </row>
    <row r="1964">
      <c r="A1964" t="n">
        <v>1963</v>
      </c>
      <c r="B1964" t="inlineStr">
        <is>
          <t>A</t>
        </is>
      </c>
      <c r="C1964">
        <f>1</f>
        <v>1</v>
      </c>
      <c r="D1964">
        <f>IF(OR(F_Custom1_Q="(None)",F_Custom1_Q="",ISBLANK(F_Custom1_Q),F_Custom1_V="(All)",F_Custom1_V="",ISBLANK(F_Custom1_V)),1,IFERROR(IF(ISNUMBER(SEARCH("|"&amp;INDEX(INDIRECT(F_Custom1_resolved_column),1963)&amp;"|",F_Custom1_wrapped)),1,0),0))</f>
        <v>1</v>
      </c>
      <c r="E1964">
        <f>IF(OR(F_Custom2_Q="(None)",F_Custom2_Q="",ISBLANK(F_Custom2_Q),F_Custom2_V="(All)",F_Custom2_V="",ISBLANK(F_Custom2_V)),1,IFERROR(IF(ISNUMBER(SEARCH("|"&amp;INDEX(INDIRECT(F_Custom2_resolved_column),1963)&amp;"|",F_Custom2_wrapped)),1,0),0))</f>
        <v>1</v>
      </c>
      <c r="F1964">
        <f>D1964*E1964*1</f>
        <v>1</v>
      </c>
      <c r="G1964">
        <f>1</f>
        <v>1</v>
      </c>
      <c r="H19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1963)&amp;"|",All_Questions_Q_STREAM_F_wrapped)),1,0),0))*1</f>
        <v>1</v>
      </c>
    </row>
    <row r="1965">
      <c r="A1965" t="n">
        <v>1964</v>
      </c>
      <c r="B1965" t="inlineStr">
        <is>
          <t>B</t>
        </is>
      </c>
      <c r="C1965">
        <f>1</f>
        <v>1</v>
      </c>
      <c r="D1965">
        <f>IF(OR(F_Custom1_Q="(None)",F_Custom1_Q="",ISBLANK(F_Custom1_Q),F_Custom1_V="(All)",F_Custom1_V="",ISBLANK(F_Custom1_V)),1,IFERROR(IF(ISNUMBER(SEARCH("|"&amp;INDEX(INDIRECT(F_Custom1_resolved_column),1964)&amp;"|",F_Custom1_wrapped)),1,0),0))</f>
        <v>1</v>
      </c>
      <c r="E1965">
        <f>IF(OR(F_Custom2_Q="(None)",F_Custom2_Q="",ISBLANK(F_Custom2_Q),F_Custom2_V="(All)",F_Custom2_V="",ISBLANK(F_Custom2_V)),1,IFERROR(IF(ISNUMBER(SEARCH("|"&amp;INDEX(INDIRECT(F_Custom2_resolved_column),1964)&amp;"|",F_Custom2_wrapped)),1,0),0))</f>
        <v>1</v>
      </c>
      <c r="F1965">
        <f>D1965*E1965*1</f>
        <v>1</v>
      </c>
      <c r="G1965">
        <f>1</f>
        <v>1</v>
      </c>
      <c r="H19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1964)&amp;"|",All_Questions_Q_STREAM_F_wrapped)),1,0),0))*1</f>
        <v>1</v>
      </c>
    </row>
    <row r="1966">
      <c r="A1966" t="n">
        <v>1965</v>
      </c>
      <c r="B1966" t="inlineStr">
        <is>
          <t>A</t>
        </is>
      </c>
      <c r="C1966">
        <f>1</f>
        <v>1</v>
      </c>
      <c r="D1966">
        <f>IF(OR(F_Custom1_Q="(None)",F_Custom1_Q="",ISBLANK(F_Custom1_Q),F_Custom1_V="(All)",F_Custom1_V="",ISBLANK(F_Custom1_V)),1,IFERROR(IF(ISNUMBER(SEARCH("|"&amp;INDEX(INDIRECT(F_Custom1_resolved_column),1965)&amp;"|",F_Custom1_wrapped)),1,0),0))</f>
        <v>1</v>
      </c>
      <c r="E1966">
        <f>IF(OR(F_Custom2_Q="(None)",F_Custom2_Q="",ISBLANK(F_Custom2_Q),F_Custom2_V="(All)",F_Custom2_V="",ISBLANK(F_Custom2_V)),1,IFERROR(IF(ISNUMBER(SEARCH("|"&amp;INDEX(INDIRECT(F_Custom2_resolved_column),1965)&amp;"|",F_Custom2_wrapped)),1,0),0))</f>
        <v>1</v>
      </c>
      <c r="F1966">
        <f>D1966*E1966*1</f>
        <v>1</v>
      </c>
      <c r="G1966">
        <f>1</f>
        <v>1</v>
      </c>
      <c r="H19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1965)&amp;"|",All_Questions_Q_STREAM_F_wrapped)),1,0),0))*1</f>
        <v>1</v>
      </c>
    </row>
    <row r="1967">
      <c r="A1967" t="n">
        <v>1966</v>
      </c>
      <c r="B1967" t="inlineStr">
        <is>
          <t>B</t>
        </is>
      </c>
      <c r="C1967">
        <f>1</f>
        <v>1</v>
      </c>
      <c r="D1967">
        <f>IF(OR(F_Custom1_Q="(None)",F_Custom1_Q="",ISBLANK(F_Custom1_Q),F_Custom1_V="(All)",F_Custom1_V="",ISBLANK(F_Custom1_V)),1,IFERROR(IF(ISNUMBER(SEARCH("|"&amp;INDEX(INDIRECT(F_Custom1_resolved_column),1966)&amp;"|",F_Custom1_wrapped)),1,0),0))</f>
        <v>1</v>
      </c>
      <c r="E1967">
        <f>IF(OR(F_Custom2_Q="(None)",F_Custom2_Q="",ISBLANK(F_Custom2_Q),F_Custom2_V="(All)",F_Custom2_V="",ISBLANK(F_Custom2_V)),1,IFERROR(IF(ISNUMBER(SEARCH("|"&amp;INDEX(INDIRECT(F_Custom2_resolved_column),1966)&amp;"|",F_Custom2_wrapped)),1,0),0))</f>
        <v>1</v>
      </c>
      <c r="F1967">
        <f>D1967*E1967*1</f>
        <v>1</v>
      </c>
      <c r="G1967">
        <f>1</f>
        <v>1</v>
      </c>
      <c r="H19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1966)&amp;"|",All_Questions_Q_STREAM_F_wrapped)),1,0),0))*1</f>
        <v>1</v>
      </c>
    </row>
    <row r="1968">
      <c r="A1968" t="n">
        <v>1967</v>
      </c>
      <c r="B1968" t="inlineStr">
        <is>
          <t>A</t>
        </is>
      </c>
      <c r="C1968">
        <f>1</f>
        <v>1</v>
      </c>
      <c r="D1968">
        <f>IF(OR(F_Custom1_Q="(None)",F_Custom1_Q="",ISBLANK(F_Custom1_Q),F_Custom1_V="(All)",F_Custom1_V="",ISBLANK(F_Custom1_V)),1,IFERROR(IF(ISNUMBER(SEARCH("|"&amp;INDEX(INDIRECT(F_Custom1_resolved_column),1967)&amp;"|",F_Custom1_wrapped)),1,0),0))</f>
        <v>1</v>
      </c>
      <c r="E1968">
        <f>IF(OR(F_Custom2_Q="(None)",F_Custom2_Q="",ISBLANK(F_Custom2_Q),F_Custom2_V="(All)",F_Custom2_V="",ISBLANK(F_Custom2_V)),1,IFERROR(IF(ISNUMBER(SEARCH("|"&amp;INDEX(INDIRECT(F_Custom2_resolved_column),1967)&amp;"|",F_Custom2_wrapped)),1,0),0))</f>
        <v>1</v>
      </c>
      <c r="F1968">
        <f>D1968*E1968*1</f>
        <v>1</v>
      </c>
      <c r="G1968">
        <f>1</f>
        <v>1</v>
      </c>
      <c r="H19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1967)&amp;"|",All_Questions_Q_STREAM_F_wrapped)),1,0),0))*1</f>
        <v>1</v>
      </c>
    </row>
    <row r="1969">
      <c r="A1969" t="n">
        <v>1968</v>
      </c>
      <c r="B1969" t="inlineStr">
        <is>
          <t>B</t>
        </is>
      </c>
      <c r="C1969">
        <f>1</f>
        <v>1</v>
      </c>
      <c r="D1969">
        <f>IF(OR(F_Custom1_Q="(None)",F_Custom1_Q="",ISBLANK(F_Custom1_Q),F_Custom1_V="(All)",F_Custom1_V="",ISBLANK(F_Custom1_V)),1,IFERROR(IF(ISNUMBER(SEARCH("|"&amp;INDEX(INDIRECT(F_Custom1_resolved_column),1968)&amp;"|",F_Custom1_wrapped)),1,0),0))</f>
        <v>1</v>
      </c>
      <c r="E1969">
        <f>IF(OR(F_Custom2_Q="(None)",F_Custom2_Q="",ISBLANK(F_Custom2_Q),F_Custom2_V="(All)",F_Custom2_V="",ISBLANK(F_Custom2_V)),1,IFERROR(IF(ISNUMBER(SEARCH("|"&amp;INDEX(INDIRECT(F_Custom2_resolved_column),1968)&amp;"|",F_Custom2_wrapped)),1,0),0))</f>
        <v>1</v>
      </c>
      <c r="F1969">
        <f>D1969*E1969*1</f>
        <v>1</v>
      </c>
      <c r="G1969">
        <f>1</f>
        <v>1</v>
      </c>
      <c r="H19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1968)&amp;"|",All_Questions_Q_STREAM_F_wrapped)),1,0),0))*1</f>
        <v>1</v>
      </c>
    </row>
    <row r="1970">
      <c r="A1970" t="n">
        <v>1969</v>
      </c>
      <c r="B1970" t="inlineStr">
        <is>
          <t>A</t>
        </is>
      </c>
      <c r="C1970">
        <f>1</f>
        <v>1</v>
      </c>
      <c r="D1970">
        <f>IF(OR(F_Custom1_Q="(None)",F_Custom1_Q="",ISBLANK(F_Custom1_Q),F_Custom1_V="(All)",F_Custom1_V="",ISBLANK(F_Custom1_V)),1,IFERROR(IF(ISNUMBER(SEARCH("|"&amp;INDEX(INDIRECT(F_Custom1_resolved_column),1969)&amp;"|",F_Custom1_wrapped)),1,0),0))</f>
        <v>1</v>
      </c>
      <c r="E1970">
        <f>IF(OR(F_Custom2_Q="(None)",F_Custom2_Q="",ISBLANK(F_Custom2_Q),F_Custom2_V="(All)",F_Custom2_V="",ISBLANK(F_Custom2_V)),1,IFERROR(IF(ISNUMBER(SEARCH("|"&amp;INDEX(INDIRECT(F_Custom2_resolved_column),1969)&amp;"|",F_Custom2_wrapped)),1,0),0))</f>
        <v>1</v>
      </c>
      <c r="F1970">
        <f>D1970*E1970*1</f>
        <v>1</v>
      </c>
      <c r="G1970">
        <f>1</f>
        <v>1</v>
      </c>
      <c r="H19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1969)&amp;"|",All_Questions_Q_STREAM_F_wrapped)),1,0),0))*1</f>
        <v>1</v>
      </c>
    </row>
    <row r="1971">
      <c r="A1971" t="n">
        <v>1970</v>
      </c>
      <c r="B1971" t="inlineStr">
        <is>
          <t>B</t>
        </is>
      </c>
      <c r="C1971">
        <f>1</f>
        <v>1</v>
      </c>
      <c r="D1971">
        <f>IF(OR(F_Custom1_Q="(None)",F_Custom1_Q="",ISBLANK(F_Custom1_Q),F_Custom1_V="(All)",F_Custom1_V="",ISBLANK(F_Custom1_V)),1,IFERROR(IF(ISNUMBER(SEARCH("|"&amp;INDEX(INDIRECT(F_Custom1_resolved_column),1970)&amp;"|",F_Custom1_wrapped)),1,0),0))</f>
        <v>1</v>
      </c>
      <c r="E1971">
        <f>IF(OR(F_Custom2_Q="(None)",F_Custom2_Q="",ISBLANK(F_Custom2_Q),F_Custom2_V="(All)",F_Custom2_V="",ISBLANK(F_Custom2_V)),1,IFERROR(IF(ISNUMBER(SEARCH("|"&amp;INDEX(INDIRECT(F_Custom2_resolved_column),1970)&amp;"|",F_Custom2_wrapped)),1,0),0))</f>
        <v>1</v>
      </c>
      <c r="F1971">
        <f>D1971*E1971*1</f>
        <v>1</v>
      </c>
      <c r="G1971">
        <f>1</f>
        <v>1</v>
      </c>
      <c r="H19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1970)&amp;"|",All_Questions_Q_STREAM_F_wrapped)),1,0),0))*1</f>
        <v>1</v>
      </c>
    </row>
    <row r="1972">
      <c r="A1972" t="n">
        <v>1971</v>
      </c>
      <c r="B1972" t="inlineStr">
        <is>
          <t>A</t>
        </is>
      </c>
      <c r="C1972">
        <f>1</f>
        <v>1</v>
      </c>
      <c r="D1972">
        <f>IF(OR(F_Custom1_Q="(None)",F_Custom1_Q="",ISBLANK(F_Custom1_Q),F_Custom1_V="(All)",F_Custom1_V="",ISBLANK(F_Custom1_V)),1,IFERROR(IF(ISNUMBER(SEARCH("|"&amp;INDEX(INDIRECT(F_Custom1_resolved_column),1971)&amp;"|",F_Custom1_wrapped)),1,0),0))</f>
        <v>1</v>
      </c>
      <c r="E1972">
        <f>IF(OR(F_Custom2_Q="(None)",F_Custom2_Q="",ISBLANK(F_Custom2_Q),F_Custom2_V="(All)",F_Custom2_V="",ISBLANK(F_Custom2_V)),1,IFERROR(IF(ISNUMBER(SEARCH("|"&amp;INDEX(INDIRECT(F_Custom2_resolved_column),1971)&amp;"|",F_Custom2_wrapped)),1,0),0))</f>
        <v>1</v>
      </c>
      <c r="F1972">
        <f>D1972*E1972*1</f>
        <v>1</v>
      </c>
      <c r="G1972">
        <f>1</f>
        <v>1</v>
      </c>
      <c r="H19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1971)&amp;"|",All_Questions_Q_STREAM_F_wrapped)),1,0),0))*1</f>
        <v>1</v>
      </c>
    </row>
    <row r="1973">
      <c r="A1973" t="n">
        <v>1972</v>
      </c>
      <c r="B1973" t="inlineStr">
        <is>
          <t>B</t>
        </is>
      </c>
      <c r="C1973">
        <f>1</f>
        <v>1</v>
      </c>
      <c r="D1973">
        <f>IF(OR(F_Custom1_Q="(None)",F_Custom1_Q="",ISBLANK(F_Custom1_Q),F_Custom1_V="(All)",F_Custom1_V="",ISBLANK(F_Custom1_V)),1,IFERROR(IF(ISNUMBER(SEARCH("|"&amp;INDEX(INDIRECT(F_Custom1_resolved_column),1972)&amp;"|",F_Custom1_wrapped)),1,0),0))</f>
        <v>1</v>
      </c>
      <c r="E1973">
        <f>IF(OR(F_Custom2_Q="(None)",F_Custom2_Q="",ISBLANK(F_Custom2_Q),F_Custom2_V="(All)",F_Custom2_V="",ISBLANK(F_Custom2_V)),1,IFERROR(IF(ISNUMBER(SEARCH("|"&amp;INDEX(INDIRECT(F_Custom2_resolved_column),1972)&amp;"|",F_Custom2_wrapped)),1,0),0))</f>
        <v>1</v>
      </c>
      <c r="F1973">
        <f>D1973*E1973*1</f>
        <v>1</v>
      </c>
      <c r="G1973">
        <f>1</f>
        <v>1</v>
      </c>
      <c r="H19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1972)&amp;"|",All_Questions_Q_STREAM_F_wrapped)),1,0),0))*1</f>
        <v>1</v>
      </c>
    </row>
    <row r="1974">
      <c r="A1974" t="n">
        <v>1973</v>
      </c>
      <c r="B1974" t="inlineStr">
        <is>
          <t>A</t>
        </is>
      </c>
      <c r="C1974">
        <f>1</f>
        <v>1</v>
      </c>
      <c r="D1974">
        <f>IF(OR(F_Custom1_Q="(None)",F_Custom1_Q="",ISBLANK(F_Custom1_Q),F_Custom1_V="(All)",F_Custom1_V="",ISBLANK(F_Custom1_V)),1,IFERROR(IF(ISNUMBER(SEARCH("|"&amp;INDEX(INDIRECT(F_Custom1_resolved_column),1973)&amp;"|",F_Custom1_wrapped)),1,0),0))</f>
        <v>1</v>
      </c>
      <c r="E1974">
        <f>IF(OR(F_Custom2_Q="(None)",F_Custom2_Q="",ISBLANK(F_Custom2_Q),F_Custom2_V="(All)",F_Custom2_V="",ISBLANK(F_Custom2_V)),1,IFERROR(IF(ISNUMBER(SEARCH("|"&amp;INDEX(INDIRECT(F_Custom2_resolved_column),1973)&amp;"|",F_Custom2_wrapped)),1,0),0))</f>
        <v>1</v>
      </c>
      <c r="F1974">
        <f>D1974*E1974*1</f>
        <v>1</v>
      </c>
      <c r="G1974">
        <f>1</f>
        <v>1</v>
      </c>
      <c r="H19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1973)&amp;"|",All_Questions_Q_STREAM_F_wrapped)),1,0),0))*1</f>
        <v>1</v>
      </c>
    </row>
    <row r="1975">
      <c r="A1975" t="n">
        <v>1974</v>
      </c>
      <c r="B1975" t="inlineStr">
        <is>
          <t>B</t>
        </is>
      </c>
      <c r="C1975">
        <f>1</f>
        <v>1</v>
      </c>
      <c r="D1975">
        <f>IF(OR(F_Custom1_Q="(None)",F_Custom1_Q="",ISBLANK(F_Custom1_Q),F_Custom1_V="(All)",F_Custom1_V="",ISBLANK(F_Custom1_V)),1,IFERROR(IF(ISNUMBER(SEARCH("|"&amp;INDEX(INDIRECT(F_Custom1_resolved_column),1974)&amp;"|",F_Custom1_wrapped)),1,0),0))</f>
        <v>1</v>
      </c>
      <c r="E1975">
        <f>IF(OR(F_Custom2_Q="(None)",F_Custom2_Q="",ISBLANK(F_Custom2_Q),F_Custom2_V="(All)",F_Custom2_V="",ISBLANK(F_Custom2_V)),1,IFERROR(IF(ISNUMBER(SEARCH("|"&amp;INDEX(INDIRECT(F_Custom2_resolved_column),1974)&amp;"|",F_Custom2_wrapped)),1,0),0))</f>
        <v>1</v>
      </c>
      <c r="F1975">
        <f>D1975*E1975*1</f>
        <v>1</v>
      </c>
      <c r="G1975">
        <f>1</f>
        <v>1</v>
      </c>
      <c r="H19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1974)&amp;"|",All_Questions_Q_STREAM_F_wrapped)),1,0),0))*1</f>
        <v>1</v>
      </c>
    </row>
    <row r="1976">
      <c r="A1976" t="n">
        <v>1975</v>
      </c>
      <c r="B1976" t="inlineStr">
        <is>
          <t>A</t>
        </is>
      </c>
      <c r="C1976">
        <f>1</f>
        <v>1</v>
      </c>
      <c r="D1976">
        <f>IF(OR(F_Custom1_Q="(None)",F_Custom1_Q="",ISBLANK(F_Custom1_Q),F_Custom1_V="(All)",F_Custom1_V="",ISBLANK(F_Custom1_V)),1,IFERROR(IF(ISNUMBER(SEARCH("|"&amp;INDEX(INDIRECT(F_Custom1_resolved_column),1975)&amp;"|",F_Custom1_wrapped)),1,0),0))</f>
        <v>1</v>
      </c>
      <c r="E1976">
        <f>IF(OR(F_Custom2_Q="(None)",F_Custom2_Q="",ISBLANK(F_Custom2_Q),F_Custom2_V="(All)",F_Custom2_V="",ISBLANK(F_Custom2_V)),1,IFERROR(IF(ISNUMBER(SEARCH("|"&amp;INDEX(INDIRECT(F_Custom2_resolved_column),1975)&amp;"|",F_Custom2_wrapped)),1,0),0))</f>
        <v>1</v>
      </c>
      <c r="F1976">
        <f>D1976*E1976*1</f>
        <v>1</v>
      </c>
      <c r="G1976">
        <f>1</f>
        <v>1</v>
      </c>
      <c r="H19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1975)&amp;"|",All_Questions_Q_STREAM_F_wrapped)),1,0),0))*1</f>
        <v>1</v>
      </c>
    </row>
    <row r="1977">
      <c r="A1977" t="n">
        <v>1976</v>
      </c>
      <c r="B1977" t="inlineStr">
        <is>
          <t>B</t>
        </is>
      </c>
      <c r="C1977">
        <f>1</f>
        <v>1</v>
      </c>
      <c r="D1977">
        <f>IF(OR(F_Custom1_Q="(None)",F_Custom1_Q="",ISBLANK(F_Custom1_Q),F_Custom1_V="(All)",F_Custom1_V="",ISBLANK(F_Custom1_V)),1,IFERROR(IF(ISNUMBER(SEARCH("|"&amp;INDEX(INDIRECT(F_Custom1_resolved_column),1976)&amp;"|",F_Custom1_wrapped)),1,0),0))</f>
        <v>1</v>
      </c>
      <c r="E1977">
        <f>IF(OR(F_Custom2_Q="(None)",F_Custom2_Q="",ISBLANK(F_Custom2_Q),F_Custom2_V="(All)",F_Custom2_V="",ISBLANK(F_Custom2_V)),1,IFERROR(IF(ISNUMBER(SEARCH("|"&amp;INDEX(INDIRECT(F_Custom2_resolved_column),1976)&amp;"|",F_Custom2_wrapped)),1,0),0))</f>
        <v>1</v>
      </c>
      <c r="F1977">
        <f>D1977*E1977*1</f>
        <v>1</v>
      </c>
      <c r="G1977">
        <f>1</f>
        <v>1</v>
      </c>
      <c r="H19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1976)&amp;"|",All_Questions_Q_STREAM_F_wrapped)),1,0),0))*1</f>
        <v>1</v>
      </c>
    </row>
    <row r="1978">
      <c r="A1978" t="n">
        <v>1977</v>
      </c>
      <c r="B1978" t="inlineStr">
        <is>
          <t>A</t>
        </is>
      </c>
      <c r="C1978">
        <f>1</f>
        <v>1</v>
      </c>
      <c r="D1978">
        <f>IF(OR(F_Custom1_Q="(None)",F_Custom1_Q="",ISBLANK(F_Custom1_Q),F_Custom1_V="(All)",F_Custom1_V="",ISBLANK(F_Custom1_V)),1,IFERROR(IF(ISNUMBER(SEARCH("|"&amp;INDEX(INDIRECT(F_Custom1_resolved_column),1977)&amp;"|",F_Custom1_wrapped)),1,0),0))</f>
        <v>1</v>
      </c>
      <c r="E1978">
        <f>IF(OR(F_Custom2_Q="(None)",F_Custom2_Q="",ISBLANK(F_Custom2_Q),F_Custom2_V="(All)",F_Custom2_V="",ISBLANK(F_Custom2_V)),1,IFERROR(IF(ISNUMBER(SEARCH("|"&amp;INDEX(INDIRECT(F_Custom2_resolved_column),1977)&amp;"|",F_Custom2_wrapped)),1,0),0))</f>
        <v>1</v>
      </c>
      <c r="F1978">
        <f>D1978*E1978*1</f>
        <v>1</v>
      </c>
      <c r="G1978">
        <f>1</f>
        <v>1</v>
      </c>
      <c r="H19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1977)&amp;"|",All_Questions_Q_STREAM_F_wrapped)),1,0),0))*1</f>
        <v>1</v>
      </c>
    </row>
    <row r="1979">
      <c r="A1979" t="n">
        <v>1978</v>
      </c>
      <c r="B1979" t="inlineStr">
        <is>
          <t>B</t>
        </is>
      </c>
      <c r="C1979">
        <f>1</f>
        <v>1</v>
      </c>
      <c r="D1979">
        <f>IF(OR(F_Custom1_Q="(None)",F_Custom1_Q="",ISBLANK(F_Custom1_Q),F_Custom1_V="(All)",F_Custom1_V="",ISBLANK(F_Custom1_V)),1,IFERROR(IF(ISNUMBER(SEARCH("|"&amp;INDEX(INDIRECT(F_Custom1_resolved_column),1978)&amp;"|",F_Custom1_wrapped)),1,0),0))</f>
        <v>1</v>
      </c>
      <c r="E1979">
        <f>IF(OR(F_Custom2_Q="(None)",F_Custom2_Q="",ISBLANK(F_Custom2_Q),F_Custom2_V="(All)",F_Custom2_V="",ISBLANK(F_Custom2_V)),1,IFERROR(IF(ISNUMBER(SEARCH("|"&amp;INDEX(INDIRECT(F_Custom2_resolved_column),1978)&amp;"|",F_Custom2_wrapped)),1,0),0))</f>
        <v>1</v>
      </c>
      <c r="F1979">
        <f>D1979*E1979*1</f>
        <v>1</v>
      </c>
      <c r="G1979">
        <f>1</f>
        <v>1</v>
      </c>
      <c r="H19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1978)&amp;"|",All_Questions_Q_STREAM_F_wrapped)),1,0),0))*1</f>
        <v>1</v>
      </c>
    </row>
    <row r="1980">
      <c r="A1980" t="n">
        <v>1979</v>
      </c>
      <c r="B1980" t="inlineStr">
        <is>
          <t>A</t>
        </is>
      </c>
      <c r="C1980">
        <f>1</f>
        <v>1</v>
      </c>
      <c r="D1980">
        <f>IF(OR(F_Custom1_Q="(None)",F_Custom1_Q="",ISBLANK(F_Custom1_Q),F_Custom1_V="(All)",F_Custom1_V="",ISBLANK(F_Custom1_V)),1,IFERROR(IF(ISNUMBER(SEARCH("|"&amp;INDEX(INDIRECT(F_Custom1_resolved_column),1979)&amp;"|",F_Custom1_wrapped)),1,0),0))</f>
        <v>1</v>
      </c>
      <c r="E1980">
        <f>IF(OR(F_Custom2_Q="(None)",F_Custom2_Q="",ISBLANK(F_Custom2_Q),F_Custom2_V="(All)",F_Custom2_V="",ISBLANK(F_Custom2_V)),1,IFERROR(IF(ISNUMBER(SEARCH("|"&amp;INDEX(INDIRECT(F_Custom2_resolved_column),1979)&amp;"|",F_Custom2_wrapped)),1,0),0))</f>
        <v>1</v>
      </c>
      <c r="F1980">
        <f>D1980*E1980*1</f>
        <v>1</v>
      </c>
      <c r="G1980">
        <f>1</f>
        <v>1</v>
      </c>
      <c r="H19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1979)&amp;"|",All_Questions_Q_STREAM_F_wrapped)),1,0),0))*1</f>
        <v>1</v>
      </c>
    </row>
    <row r="1981">
      <c r="A1981" t="n">
        <v>1980</v>
      </c>
      <c r="B1981" t="inlineStr">
        <is>
          <t>B</t>
        </is>
      </c>
      <c r="C1981">
        <f>1</f>
        <v>1</v>
      </c>
      <c r="D1981">
        <f>IF(OR(F_Custom1_Q="(None)",F_Custom1_Q="",ISBLANK(F_Custom1_Q),F_Custom1_V="(All)",F_Custom1_V="",ISBLANK(F_Custom1_V)),1,IFERROR(IF(ISNUMBER(SEARCH("|"&amp;INDEX(INDIRECT(F_Custom1_resolved_column),1980)&amp;"|",F_Custom1_wrapped)),1,0),0))</f>
        <v>1</v>
      </c>
      <c r="E1981">
        <f>IF(OR(F_Custom2_Q="(None)",F_Custom2_Q="",ISBLANK(F_Custom2_Q),F_Custom2_V="(All)",F_Custom2_V="",ISBLANK(F_Custom2_V)),1,IFERROR(IF(ISNUMBER(SEARCH("|"&amp;INDEX(INDIRECT(F_Custom2_resolved_column),1980)&amp;"|",F_Custom2_wrapped)),1,0),0))</f>
        <v>1</v>
      </c>
      <c r="F1981">
        <f>D1981*E1981*1</f>
        <v>1</v>
      </c>
      <c r="G1981">
        <f>1</f>
        <v>1</v>
      </c>
      <c r="H19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1980)&amp;"|",All_Questions_Q_STREAM_F_wrapped)),1,0),0))*1</f>
        <v>1</v>
      </c>
    </row>
    <row r="1982">
      <c r="A1982" t="n">
        <v>1981</v>
      </c>
      <c r="B1982" t="inlineStr">
        <is>
          <t>A</t>
        </is>
      </c>
      <c r="C1982">
        <f>1</f>
        <v>1</v>
      </c>
      <c r="D1982">
        <f>IF(OR(F_Custom1_Q="(None)",F_Custom1_Q="",ISBLANK(F_Custom1_Q),F_Custom1_V="(All)",F_Custom1_V="",ISBLANK(F_Custom1_V)),1,IFERROR(IF(ISNUMBER(SEARCH("|"&amp;INDEX(INDIRECT(F_Custom1_resolved_column),1981)&amp;"|",F_Custom1_wrapped)),1,0),0))</f>
        <v>1</v>
      </c>
      <c r="E1982">
        <f>IF(OR(F_Custom2_Q="(None)",F_Custom2_Q="",ISBLANK(F_Custom2_Q),F_Custom2_V="(All)",F_Custom2_V="",ISBLANK(F_Custom2_V)),1,IFERROR(IF(ISNUMBER(SEARCH("|"&amp;INDEX(INDIRECT(F_Custom2_resolved_column),1981)&amp;"|",F_Custom2_wrapped)),1,0),0))</f>
        <v>1</v>
      </c>
      <c r="F1982">
        <f>D1982*E1982*1</f>
        <v>1</v>
      </c>
      <c r="G1982">
        <f>1</f>
        <v>1</v>
      </c>
      <c r="H19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1981)&amp;"|",All_Questions_Q_STREAM_F_wrapped)),1,0),0))*1</f>
        <v>1</v>
      </c>
    </row>
    <row r="1983">
      <c r="A1983" t="n">
        <v>1982</v>
      </c>
      <c r="B1983" t="inlineStr">
        <is>
          <t>B</t>
        </is>
      </c>
      <c r="C1983">
        <f>1</f>
        <v>1</v>
      </c>
      <c r="D1983">
        <f>IF(OR(F_Custom1_Q="(None)",F_Custom1_Q="",ISBLANK(F_Custom1_Q),F_Custom1_V="(All)",F_Custom1_V="",ISBLANK(F_Custom1_V)),1,IFERROR(IF(ISNUMBER(SEARCH("|"&amp;INDEX(INDIRECT(F_Custom1_resolved_column),1982)&amp;"|",F_Custom1_wrapped)),1,0),0))</f>
        <v>1</v>
      </c>
      <c r="E1983">
        <f>IF(OR(F_Custom2_Q="(None)",F_Custom2_Q="",ISBLANK(F_Custom2_Q),F_Custom2_V="(All)",F_Custom2_V="",ISBLANK(F_Custom2_V)),1,IFERROR(IF(ISNUMBER(SEARCH("|"&amp;INDEX(INDIRECT(F_Custom2_resolved_column),1982)&amp;"|",F_Custom2_wrapped)),1,0),0))</f>
        <v>1</v>
      </c>
      <c r="F1983">
        <f>D1983*E1983*1</f>
        <v>1</v>
      </c>
      <c r="G1983">
        <f>1</f>
        <v>1</v>
      </c>
      <c r="H19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1982)&amp;"|",All_Questions_Q_STREAM_F_wrapped)),1,0),0))*1</f>
        <v>1</v>
      </c>
    </row>
    <row r="1984">
      <c r="A1984" t="n">
        <v>1983</v>
      </c>
      <c r="B1984" t="inlineStr">
        <is>
          <t>A</t>
        </is>
      </c>
      <c r="C1984">
        <f>1</f>
        <v>1</v>
      </c>
      <c r="D1984">
        <f>IF(OR(F_Custom1_Q="(None)",F_Custom1_Q="",ISBLANK(F_Custom1_Q),F_Custom1_V="(All)",F_Custom1_V="",ISBLANK(F_Custom1_V)),1,IFERROR(IF(ISNUMBER(SEARCH("|"&amp;INDEX(INDIRECT(F_Custom1_resolved_column),1983)&amp;"|",F_Custom1_wrapped)),1,0),0))</f>
        <v>1</v>
      </c>
      <c r="E1984">
        <f>IF(OR(F_Custom2_Q="(None)",F_Custom2_Q="",ISBLANK(F_Custom2_Q),F_Custom2_V="(All)",F_Custom2_V="",ISBLANK(F_Custom2_V)),1,IFERROR(IF(ISNUMBER(SEARCH("|"&amp;INDEX(INDIRECT(F_Custom2_resolved_column),1983)&amp;"|",F_Custom2_wrapped)),1,0),0))</f>
        <v>1</v>
      </c>
      <c r="F1984">
        <f>D1984*E1984*1</f>
        <v>1</v>
      </c>
      <c r="G1984">
        <f>1</f>
        <v>1</v>
      </c>
      <c r="H19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1983)&amp;"|",All_Questions_Q_STREAM_F_wrapped)),1,0),0))*1</f>
        <v>1</v>
      </c>
    </row>
    <row r="1985">
      <c r="A1985" t="n">
        <v>1984</v>
      </c>
      <c r="B1985" t="inlineStr">
        <is>
          <t>B</t>
        </is>
      </c>
      <c r="C1985">
        <f>1</f>
        <v>1</v>
      </c>
      <c r="D1985">
        <f>IF(OR(F_Custom1_Q="(None)",F_Custom1_Q="",ISBLANK(F_Custom1_Q),F_Custom1_V="(All)",F_Custom1_V="",ISBLANK(F_Custom1_V)),1,IFERROR(IF(ISNUMBER(SEARCH("|"&amp;INDEX(INDIRECT(F_Custom1_resolved_column),1984)&amp;"|",F_Custom1_wrapped)),1,0),0))</f>
        <v>1</v>
      </c>
      <c r="E1985">
        <f>IF(OR(F_Custom2_Q="(None)",F_Custom2_Q="",ISBLANK(F_Custom2_Q),F_Custom2_V="(All)",F_Custom2_V="",ISBLANK(F_Custom2_V)),1,IFERROR(IF(ISNUMBER(SEARCH("|"&amp;INDEX(INDIRECT(F_Custom2_resolved_column),1984)&amp;"|",F_Custom2_wrapped)),1,0),0))</f>
        <v>1</v>
      </c>
      <c r="F1985">
        <f>D1985*E1985*1</f>
        <v>1</v>
      </c>
      <c r="G1985">
        <f>1</f>
        <v>1</v>
      </c>
      <c r="H19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1984)&amp;"|",All_Questions_Q_STREAM_F_wrapped)),1,0),0))*1</f>
        <v>1</v>
      </c>
    </row>
    <row r="1986">
      <c r="A1986" t="n">
        <v>1985</v>
      </c>
      <c r="B1986" t="inlineStr">
        <is>
          <t>A</t>
        </is>
      </c>
      <c r="C1986">
        <f>1</f>
        <v>1</v>
      </c>
      <c r="D1986">
        <f>IF(OR(F_Custom1_Q="(None)",F_Custom1_Q="",ISBLANK(F_Custom1_Q),F_Custom1_V="(All)",F_Custom1_V="",ISBLANK(F_Custom1_V)),1,IFERROR(IF(ISNUMBER(SEARCH("|"&amp;INDEX(INDIRECT(F_Custom1_resolved_column),1985)&amp;"|",F_Custom1_wrapped)),1,0),0))</f>
        <v>1</v>
      </c>
      <c r="E1986">
        <f>IF(OR(F_Custom2_Q="(None)",F_Custom2_Q="",ISBLANK(F_Custom2_Q),F_Custom2_V="(All)",F_Custom2_V="",ISBLANK(F_Custom2_V)),1,IFERROR(IF(ISNUMBER(SEARCH("|"&amp;INDEX(INDIRECT(F_Custom2_resolved_column),1985)&amp;"|",F_Custom2_wrapped)),1,0),0))</f>
        <v>1</v>
      </c>
      <c r="F1986">
        <f>D1986*E1986*1</f>
        <v>1</v>
      </c>
      <c r="G1986">
        <f>1</f>
        <v>1</v>
      </c>
      <c r="H19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1985)&amp;"|",All_Questions_Q_STREAM_F_wrapped)),1,0),0))*1</f>
        <v>1</v>
      </c>
    </row>
    <row r="1987">
      <c r="A1987" t="n">
        <v>1986</v>
      </c>
      <c r="B1987" t="inlineStr">
        <is>
          <t>B</t>
        </is>
      </c>
      <c r="C1987">
        <f>1</f>
        <v>1</v>
      </c>
      <c r="D1987">
        <f>IF(OR(F_Custom1_Q="(None)",F_Custom1_Q="",ISBLANK(F_Custom1_Q),F_Custom1_V="(All)",F_Custom1_V="",ISBLANK(F_Custom1_V)),1,IFERROR(IF(ISNUMBER(SEARCH("|"&amp;INDEX(INDIRECT(F_Custom1_resolved_column),1986)&amp;"|",F_Custom1_wrapped)),1,0),0))</f>
        <v>1</v>
      </c>
      <c r="E1987">
        <f>IF(OR(F_Custom2_Q="(None)",F_Custom2_Q="",ISBLANK(F_Custom2_Q),F_Custom2_V="(All)",F_Custom2_V="",ISBLANK(F_Custom2_V)),1,IFERROR(IF(ISNUMBER(SEARCH("|"&amp;INDEX(INDIRECT(F_Custom2_resolved_column),1986)&amp;"|",F_Custom2_wrapped)),1,0),0))</f>
        <v>1</v>
      </c>
      <c r="F1987">
        <f>D1987*E1987*1</f>
        <v>1</v>
      </c>
      <c r="G1987">
        <f>1</f>
        <v>1</v>
      </c>
      <c r="H19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1986)&amp;"|",All_Questions_Q_STREAM_F_wrapped)),1,0),0))*1</f>
        <v>1</v>
      </c>
    </row>
    <row r="1988">
      <c r="A1988" t="n">
        <v>1987</v>
      </c>
      <c r="B1988" t="inlineStr">
        <is>
          <t>A</t>
        </is>
      </c>
      <c r="C1988">
        <f>1</f>
        <v>1</v>
      </c>
      <c r="D1988">
        <f>IF(OR(F_Custom1_Q="(None)",F_Custom1_Q="",ISBLANK(F_Custom1_Q),F_Custom1_V="(All)",F_Custom1_V="",ISBLANK(F_Custom1_V)),1,IFERROR(IF(ISNUMBER(SEARCH("|"&amp;INDEX(INDIRECT(F_Custom1_resolved_column),1987)&amp;"|",F_Custom1_wrapped)),1,0),0))</f>
        <v>1</v>
      </c>
      <c r="E1988">
        <f>IF(OR(F_Custom2_Q="(None)",F_Custom2_Q="",ISBLANK(F_Custom2_Q),F_Custom2_V="(All)",F_Custom2_V="",ISBLANK(F_Custom2_V)),1,IFERROR(IF(ISNUMBER(SEARCH("|"&amp;INDEX(INDIRECT(F_Custom2_resolved_column),1987)&amp;"|",F_Custom2_wrapped)),1,0),0))</f>
        <v>1</v>
      </c>
      <c r="F1988">
        <f>D1988*E1988*1</f>
        <v>1</v>
      </c>
      <c r="G1988">
        <f>1</f>
        <v>1</v>
      </c>
      <c r="H19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1987)&amp;"|",All_Questions_Q_STREAM_F_wrapped)),1,0),0))*1</f>
        <v>1</v>
      </c>
    </row>
    <row r="1989">
      <c r="A1989" t="n">
        <v>1988</v>
      </c>
      <c r="B1989" t="inlineStr">
        <is>
          <t>B</t>
        </is>
      </c>
      <c r="C1989">
        <f>1</f>
        <v>1</v>
      </c>
      <c r="D1989">
        <f>IF(OR(F_Custom1_Q="(None)",F_Custom1_Q="",ISBLANK(F_Custom1_Q),F_Custom1_V="(All)",F_Custom1_V="",ISBLANK(F_Custom1_V)),1,IFERROR(IF(ISNUMBER(SEARCH("|"&amp;INDEX(INDIRECT(F_Custom1_resolved_column),1988)&amp;"|",F_Custom1_wrapped)),1,0),0))</f>
        <v>1</v>
      </c>
      <c r="E1989">
        <f>IF(OR(F_Custom2_Q="(None)",F_Custom2_Q="",ISBLANK(F_Custom2_Q),F_Custom2_V="(All)",F_Custom2_V="",ISBLANK(F_Custom2_V)),1,IFERROR(IF(ISNUMBER(SEARCH("|"&amp;INDEX(INDIRECT(F_Custom2_resolved_column),1988)&amp;"|",F_Custom2_wrapped)),1,0),0))</f>
        <v>1</v>
      </c>
      <c r="F1989">
        <f>D1989*E1989*1</f>
        <v>1</v>
      </c>
      <c r="G1989">
        <f>1</f>
        <v>1</v>
      </c>
      <c r="H19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1988)&amp;"|",All_Questions_Q_STREAM_F_wrapped)),1,0),0))*1</f>
        <v>1</v>
      </c>
    </row>
    <row r="1990">
      <c r="A1990" t="n">
        <v>1989</v>
      </c>
      <c r="B1990" t="inlineStr">
        <is>
          <t>A</t>
        </is>
      </c>
      <c r="C1990">
        <f>1</f>
        <v>1</v>
      </c>
      <c r="D1990">
        <f>IF(OR(F_Custom1_Q="(None)",F_Custom1_Q="",ISBLANK(F_Custom1_Q),F_Custom1_V="(All)",F_Custom1_V="",ISBLANK(F_Custom1_V)),1,IFERROR(IF(ISNUMBER(SEARCH("|"&amp;INDEX(INDIRECT(F_Custom1_resolved_column),1989)&amp;"|",F_Custom1_wrapped)),1,0),0))</f>
        <v>1</v>
      </c>
      <c r="E1990">
        <f>IF(OR(F_Custom2_Q="(None)",F_Custom2_Q="",ISBLANK(F_Custom2_Q),F_Custom2_V="(All)",F_Custom2_V="",ISBLANK(F_Custom2_V)),1,IFERROR(IF(ISNUMBER(SEARCH("|"&amp;INDEX(INDIRECT(F_Custom2_resolved_column),1989)&amp;"|",F_Custom2_wrapped)),1,0),0))</f>
        <v>1</v>
      </c>
      <c r="F1990">
        <f>D1990*E1990*1</f>
        <v>1</v>
      </c>
      <c r="G1990">
        <f>1</f>
        <v>1</v>
      </c>
      <c r="H19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1989)&amp;"|",All_Questions_Q_STREAM_F_wrapped)),1,0),0))*1</f>
        <v>1</v>
      </c>
    </row>
    <row r="1991">
      <c r="A1991" t="n">
        <v>1990</v>
      </c>
      <c r="B1991" t="inlineStr">
        <is>
          <t>B</t>
        </is>
      </c>
      <c r="C1991">
        <f>1</f>
        <v>1</v>
      </c>
      <c r="D1991">
        <f>IF(OR(F_Custom1_Q="(None)",F_Custom1_Q="",ISBLANK(F_Custom1_Q),F_Custom1_V="(All)",F_Custom1_V="",ISBLANK(F_Custom1_V)),1,IFERROR(IF(ISNUMBER(SEARCH("|"&amp;INDEX(INDIRECT(F_Custom1_resolved_column),1990)&amp;"|",F_Custom1_wrapped)),1,0),0))</f>
        <v>1</v>
      </c>
      <c r="E1991">
        <f>IF(OR(F_Custom2_Q="(None)",F_Custom2_Q="",ISBLANK(F_Custom2_Q),F_Custom2_V="(All)",F_Custom2_V="",ISBLANK(F_Custom2_V)),1,IFERROR(IF(ISNUMBER(SEARCH("|"&amp;INDEX(INDIRECT(F_Custom2_resolved_column),1990)&amp;"|",F_Custom2_wrapped)),1,0),0))</f>
        <v>1</v>
      </c>
      <c r="F1991">
        <f>D1991*E1991*1</f>
        <v>1</v>
      </c>
      <c r="G1991">
        <f>1</f>
        <v>1</v>
      </c>
      <c r="H19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1990)&amp;"|",All_Questions_Q_STREAM_F_wrapped)),1,0),0))*1</f>
        <v>1</v>
      </c>
    </row>
    <row r="1992">
      <c r="A1992" t="n">
        <v>1991</v>
      </c>
      <c r="B1992" t="inlineStr">
        <is>
          <t>A</t>
        </is>
      </c>
      <c r="C1992">
        <f>1</f>
        <v>1</v>
      </c>
      <c r="D1992">
        <f>IF(OR(F_Custom1_Q="(None)",F_Custom1_Q="",ISBLANK(F_Custom1_Q),F_Custom1_V="(All)",F_Custom1_V="",ISBLANK(F_Custom1_V)),1,IFERROR(IF(ISNUMBER(SEARCH("|"&amp;INDEX(INDIRECT(F_Custom1_resolved_column),1991)&amp;"|",F_Custom1_wrapped)),1,0),0))</f>
        <v>1</v>
      </c>
      <c r="E1992">
        <f>IF(OR(F_Custom2_Q="(None)",F_Custom2_Q="",ISBLANK(F_Custom2_Q),F_Custom2_V="(All)",F_Custom2_V="",ISBLANK(F_Custom2_V)),1,IFERROR(IF(ISNUMBER(SEARCH("|"&amp;INDEX(INDIRECT(F_Custom2_resolved_column),1991)&amp;"|",F_Custom2_wrapped)),1,0),0))</f>
        <v>1</v>
      </c>
      <c r="F1992">
        <f>D1992*E1992*1</f>
        <v>1</v>
      </c>
      <c r="G1992">
        <f>1</f>
        <v>1</v>
      </c>
      <c r="H19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1991)&amp;"|",All_Questions_Q_STREAM_F_wrapped)),1,0),0))*1</f>
        <v>1</v>
      </c>
    </row>
    <row r="1993">
      <c r="A1993" t="n">
        <v>1992</v>
      </c>
      <c r="B1993" t="inlineStr">
        <is>
          <t>B</t>
        </is>
      </c>
      <c r="C1993">
        <f>1</f>
        <v>1</v>
      </c>
      <c r="D1993">
        <f>IF(OR(F_Custom1_Q="(None)",F_Custom1_Q="",ISBLANK(F_Custom1_Q),F_Custom1_V="(All)",F_Custom1_V="",ISBLANK(F_Custom1_V)),1,IFERROR(IF(ISNUMBER(SEARCH("|"&amp;INDEX(INDIRECT(F_Custom1_resolved_column),1992)&amp;"|",F_Custom1_wrapped)),1,0),0))</f>
        <v>1</v>
      </c>
      <c r="E1993">
        <f>IF(OR(F_Custom2_Q="(None)",F_Custom2_Q="",ISBLANK(F_Custom2_Q),F_Custom2_V="(All)",F_Custom2_V="",ISBLANK(F_Custom2_V)),1,IFERROR(IF(ISNUMBER(SEARCH("|"&amp;INDEX(INDIRECT(F_Custom2_resolved_column),1992)&amp;"|",F_Custom2_wrapped)),1,0),0))</f>
        <v>1</v>
      </c>
      <c r="F1993">
        <f>D1993*E1993*1</f>
        <v>1</v>
      </c>
      <c r="G1993">
        <f>1</f>
        <v>1</v>
      </c>
      <c r="H19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1992)&amp;"|",All_Questions_Q_STREAM_F_wrapped)),1,0),0))*1</f>
        <v>1</v>
      </c>
    </row>
    <row r="1994">
      <c r="A1994" t="n">
        <v>1993</v>
      </c>
      <c r="B1994" t="inlineStr">
        <is>
          <t>A</t>
        </is>
      </c>
      <c r="C1994">
        <f>1</f>
        <v>1</v>
      </c>
      <c r="D1994">
        <f>IF(OR(F_Custom1_Q="(None)",F_Custom1_Q="",ISBLANK(F_Custom1_Q),F_Custom1_V="(All)",F_Custom1_V="",ISBLANK(F_Custom1_V)),1,IFERROR(IF(ISNUMBER(SEARCH("|"&amp;INDEX(INDIRECT(F_Custom1_resolved_column),1993)&amp;"|",F_Custom1_wrapped)),1,0),0))</f>
        <v>1</v>
      </c>
      <c r="E1994">
        <f>IF(OR(F_Custom2_Q="(None)",F_Custom2_Q="",ISBLANK(F_Custom2_Q),F_Custom2_V="(All)",F_Custom2_V="",ISBLANK(F_Custom2_V)),1,IFERROR(IF(ISNUMBER(SEARCH("|"&amp;INDEX(INDIRECT(F_Custom2_resolved_column),1993)&amp;"|",F_Custom2_wrapped)),1,0),0))</f>
        <v>1</v>
      </c>
      <c r="F1994">
        <f>D1994*E1994*1</f>
        <v>1</v>
      </c>
      <c r="G1994">
        <f>1</f>
        <v>1</v>
      </c>
      <c r="H19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1993)&amp;"|",All_Questions_Q_STREAM_F_wrapped)),1,0),0))*1</f>
        <v>1</v>
      </c>
    </row>
    <row r="1995">
      <c r="A1995" t="n">
        <v>1994</v>
      </c>
      <c r="B1995" t="inlineStr">
        <is>
          <t>B</t>
        </is>
      </c>
      <c r="C1995">
        <f>1</f>
        <v>1</v>
      </c>
      <c r="D1995">
        <f>IF(OR(F_Custom1_Q="(None)",F_Custom1_Q="",ISBLANK(F_Custom1_Q),F_Custom1_V="(All)",F_Custom1_V="",ISBLANK(F_Custom1_V)),1,IFERROR(IF(ISNUMBER(SEARCH("|"&amp;INDEX(INDIRECT(F_Custom1_resolved_column),1994)&amp;"|",F_Custom1_wrapped)),1,0),0))</f>
        <v>1</v>
      </c>
      <c r="E1995">
        <f>IF(OR(F_Custom2_Q="(None)",F_Custom2_Q="",ISBLANK(F_Custom2_Q),F_Custom2_V="(All)",F_Custom2_V="",ISBLANK(F_Custom2_V)),1,IFERROR(IF(ISNUMBER(SEARCH("|"&amp;INDEX(INDIRECT(F_Custom2_resolved_column),1994)&amp;"|",F_Custom2_wrapped)),1,0),0))</f>
        <v>1</v>
      </c>
      <c r="F1995">
        <f>D1995*E1995*1</f>
        <v>1</v>
      </c>
      <c r="G1995">
        <f>1</f>
        <v>1</v>
      </c>
      <c r="H19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1994)&amp;"|",All_Questions_Q_STREAM_F_wrapped)),1,0),0))*1</f>
        <v>1</v>
      </c>
    </row>
    <row r="1996">
      <c r="A1996" t="n">
        <v>1995</v>
      </c>
      <c r="B1996" t="inlineStr">
        <is>
          <t>A</t>
        </is>
      </c>
      <c r="C1996">
        <f>1</f>
        <v>1</v>
      </c>
      <c r="D1996">
        <f>IF(OR(F_Custom1_Q="(None)",F_Custom1_Q="",ISBLANK(F_Custom1_Q),F_Custom1_V="(All)",F_Custom1_V="",ISBLANK(F_Custom1_V)),1,IFERROR(IF(ISNUMBER(SEARCH("|"&amp;INDEX(INDIRECT(F_Custom1_resolved_column),1995)&amp;"|",F_Custom1_wrapped)),1,0),0))</f>
        <v>1</v>
      </c>
      <c r="E1996">
        <f>IF(OR(F_Custom2_Q="(None)",F_Custom2_Q="",ISBLANK(F_Custom2_Q),F_Custom2_V="(All)",F_Custom2_V="",ISBLANK(F_Custom2_V)),1,IFERROR(IF(ISNUMBER(SEARCH("|"&amp;INDEX(INDIRECT(F_Custom2_resolved_column),1995)&amp;"|",F_Custom2_wrapped)),1,0),0))</f>
        <v>1</v>
      </c>
      <c r="F1996">
        <f>D1996*E1996*1</f>
        <v>1</v>
      </c>
      <c r="G1996">
        <f>1</f>
        <v>1</v>
      </c>
      <c r="H19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1995)&amp;"|",All_Questions_Q_STREAM_F_wrapped)),1,0),0))*1</f>
        <v>1</v>
      </c>
    </row>
    <row r="1997">
      <c r="A1997" t="n">
        <v>1996</v>
      </c>
      <c r="B1997" t="inlineStr">
        <is>
          <t>B</t>
        </is>
      </c>
      <c r="C1997">
        <f>1</f>
        <v>1</v>
      </c>
      <c r="D1997">
        <f>IF(OR(F_Custom1_Q="(None)",F_Custom1_Q="",ISBLANK(F_Custom1_Q),F_Custom1_V="(All)",F_Custom1_V="",ISBLANK(F_Custom1_V)),1,IFERROR(IF(ISNUMBER(SEARCH("|"&amp;INDEX(INDIRECT(F_Custom1_resolved_column),1996)&amp;"|",F_Custom1_wrapped)),1,0),0))</f>
        <v>1</v>
      </c>
      <c r="E1997">
        <f>IF(OR(F_Custom2_Q="(None)",F_Custom2_Q="",ISBLANK(F_Custom2_Q),F_Custom2_V="(All)",F_Custom2_V="",ISBLANK(F_Custom2_V)),1,IFERROR(IF(ISNUMBER(SEARCH("|"&amp;INDEX(INDIRECT(F_Custom2_resolved_column),1996)&amp;"|",F_Custom2_wrapped)),1,0),0))</f>
        <v>1</v>
      </c>
      <c r="F1997">
        <f>D1997*E1997*1</f>
        <v>1</v>
      </c>
      <c r="G1997">
        <f>1</f>
        <v>1</v>
      </c>
      <c r="H19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1996)&amp;"|",All_Questions_Q_STREAM_F_wrapped)),1,0),0))*1</f>
        <v>1</v>
      </c>
    </row>
    <row r="1998">
      <c r="A1998" t="n">
        <v>1997</v>
      </c>
      <c r="B1998" t="inlineStr">
        <is>
          <t>A</t>
        </is>
      </c>
      <c r="C1998">
        <f>1</f>
        <v>1</v>
      </c>
      <c r="D1998">
        <f>IF(OR(F_Custom1_Q="(None)",F_Custom1_Q="",ISBLANK(F_Custom1_Q),F_Custom1_V="(All)",F_Custom1_V="",ISBLANK(F_Custom1_V)),1,IFERROR(IF(ISNUMBER(SEARCH("|"&amp;INDEX(INDIRECT(F_Custom1_resolved_column),1997)&amp;"|",F_Custom1_wrapped)),1,0),0))</f>
        <v>1</v>
      </c>
      <c r="E1998">
        <f>IF(OR(F_Custom2_Q="(None)",F_Custom2_Q="",ISBLANK(F_Custom2_Q),F_Custom2_V="(All)",F_Custom2_V="",ISBLANK(F_Custom2_V)),1,IFERROR(IF(ISNUMBER(SEARCH("|"&amp;INDEX(INDIRECT(F_Custom2_resolved_column),1997)&amp;"|",F_Custom2_wrapped)),1,0),0))</f>
        <v>1</v>
      </c>
      <c r="F1998">
        <f>D1998*E1998*1</f>
        <v>1</v>
      </c>
      <c r="G1998">
        <f>1</f>
        <v>1</v>
      </c>
      <c r="H19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1997)&amp;"|",All_Questions_Q_STREAM_F_wrapped)),1,0),0))*1</f>
        <v>1</v>
      </c>
    </row>
    <row r="1999">
      <c r="A1999" t="n">
        <v>1998</v>
      </c>
      <c r="B1999" t="inlineStr">
        <is>
          <t>B</t>
        </is>
      </c>
      <c r="C1999">
        <f>1</f>
        <v>1</v>
      </c>
      <c r="D1999">
        <f>IF(OR(F_Custom1_Q="(None)",F_Custom1_Q="",ISBLANK(F_Custom1_Q),F_Custom1_V="(All)",F_Custom1_V="",ISBLANK(F_Custom1_V)),1,IFERROR(IF(ISNUMBER(SEARCH("|"&amp;INDEX(INDIRECT(F_Custom1_resolved_column),1998)&amp;"|",F_Custom1_wrapped)),1,0),0))</f>
        <v>1</v>
      </c>
      <c r="E1999">
        <f>IF(OR(F_Custom2_Q="(None)",F_Custom2_Q="",ISBLANK(F_Custom2_Q),F_Custom2_V="(All)",F_Custom2_V="",ISBLANK(F_Custom2_V)),1,IFERROR(IF(ISNUMBER(SEARCH("|"&amp;INDEX(INDIRECT(F_Custom2_resolved_column),1998)&amp;"|",F_Custom2_wrapped)),1,0),0))</f>
        <v>1</v>
      </c>
      <c r="F1999">
        <f>D1999*E1999*1</f>
        <v>1</v>
      </c>
      <c r="G1999">
        <f>1</f>
        <v>1</v>
      </c>
      <c r="H19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1998)&amp;"|",All_Questions_Q_STREAM_F_wrapped)),1,0),0))*1</f>
        <v>1</v>
      </c>
    </row>
    <row r="2000">
      <c r="A2000" t="n">
        <v>1999</v>
      </c>
      <c r="B2000" t="inlineStr">
        <is>
          <t>A</t>
        </is>
      </c>
      <c r="C2000">
        <f>1</f>
        <v>1</v>
      </c>
      <c r="D2000">
        <f>IF(OR(F_Custom1_Q="(None)",F_Custom1_Q="",ISBLANK(F_Custom1_Q),F_Custom1_V="(All)",F_Custom1_V="",ISBLANK(F_Custom1_V)),1,IFERROR(IF(ISNUMBER(SEARCH("|"&amp;INDEX(INDIRECT(F_Custom1_resolved_column),1999)&amp;"|",F_Custom1_wrapped)),1,0),0))</f>
        <v>1</v>
      </c>
      <c r="E2000">
        <f>IF(OR(F_Custom2_Q="(None)",F_Custom2_Q="",ISBLANK(F_Custom2_Q),F_Custom2_V="(All)",F_Custom2_V="",ISBLANK(F_Custom2_V)),1,IFERROR(IF(ISNUMBER(SEARCH("|"&amp;INDEX(INDIRECT(F_Custom2_resolved_column),1999)&amp;"|",F_Custom2_wrapped)),1,0),0))</f>
        <v>1</v>
      </c>
      <c r="F2000">
        <f>D2000*E2000*1</f>
        <v>1</v>
      </c>
      <c r="G2000">
        <f>1</f>
        <v>1</v>
      </c>
      <c r="H20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1999)&amp;"|",All_Questions_Q_STREAM_F_wrapped)),1,0),0))*1</f>
        <v>1</v>
      </c>
    </row>
    <row r="2001">
      <c r="A2001" t="n">
        <v>2000</v>
      </c>
      <c r="B2001" t="inlineStr">
        <is>
          <t>B</t>
        </is>
      </c>
      <c r="C2001">
        <f>1</f>
        <v>1</v>
      </c>
      <c r="D2001">
        <f>IF(OR(F_Custom1_Q="(None)",F_Custom1_Q="",ISBLANK(F_Custom1_Q),F_Custom1_V="(All)",F_Custom1_V="",ISBLANK(F_Custom1_V)),1,IFERROR(IF(ISNUMBER(SEARCH("|"&amp;INDEX(INDIRECT(F_Custom1_resolved_column),2000)&amp;"|",F_Custom1_wrapped)),1,0),0))</f>
        <v>1</v>
      </c>
      <c r="E2001">
        <f>IF(OR(F_Custom2_Q="(None)",F_Custom2_Q="",ISBLANK(F_Custom2_Q),F_Custom2_V="(All)",F_Custom2_V="",ISBLANK(F_Custom2_V)),1,IFERROR(IF(ISNUMBER(SEARCH("|"&amp;INDEX(INDIRECT(F_Custom2_resolved_column),2000)&amp;"|",F_Custom2_wrapped)),1,0),0))</f>
        <v>1</v>
      </c>
      <c r="F2001">
        <f>D2001*E2001*1</f>
        <v>1</v>
      </c>
      <c r="G2001">
        <f>1</f>
        <v>1</v>
      </c>
      <c r="H20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2000)&amp;"|",All_Questions_Q_STREAM_F_wrapped)),1,0),0))*1</f>
        <v>1</v>
      </c>
    </row>
    <row r="2002">
      <c r="A2002" t="n">
        <v>2001</v>
      </c>
      <c r="B2002" t="inlineStr">
        <is>
          <t>A</t>
        </is>
      </c>
      <c r="C2002">
        <f>1</f>
        <v>1</v>
      </c>
      <c r="D2002">
        <f>IF(OR(F_Custom1_Q="(None)",F_Custom1_Q="",ISBLANK(F_Custom1_Q),F_Custom1_V="(All)",F_Custom1_V="",ISBLANK(F_Custom1_V)),1,IFERROR(IF(ISNUMBER(SEARCH("|"&amp;INDEX(INDIRECT(F_Custom1_resolved_column),2001)&amp;"|",F_Custom1_wrapped)),1,0),0))</f>
        <v>1</v>
      </c>
      <c r="E2002">
        <f>IF(OR(F_Custom2_Q="(None)",F_Custom2_Q="",ISBLANK(F_Custom2_Q),F_Custom2_V="(All)",F_Custom2_V="",ISBLANK(F_Custom2_V)),1,IFERROR(IF(ISNUMBER(SEARCH("|"&amp;INDEX(INDIRECT(F_Custom2_resolved_column),2001)&amp;"|",F_Custom2_wrapped)),1,0),0))</f>
        <v>1</v>
      </c>
      <c r="F2002">
        <f>D2002*E2002*1</f>
        <v>1</v>
      </c>
      <c r="G2002">
        <f>1</f>
        <v>1</v>
      </c>
      <c r="H20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2001)&amp;"|",All_Questions_Q_STREAM_F_wrapped)),1,0),0))*1</f>
        <v>1</v>
      </c>
    </row>
    <row r="2003">
      <c r="A2003" t="n">
        <v>2002</v>
      </c>
      <c r="B2003" t="inlineStr">
        <is>
          <t>B</t>
        </is>
      </c>
      <c r="C2003">
        <f>1</f>
        <v>1</v>
      </c>
      <c r="D2003">
        <f>IF(OR(F_Custom1_Q="(None)",F_Custom1_Q="",ISBLANK(F_Custom1_Q),F_Custom1_V="(All)",F_Custom1_V="",ISBLANK(F_Custom1_V)),1,IFERROR(IF(ISNUMBER(SEARCH("|"&amp;INDEX(INDIRECT(F_Custom1_resolved_column),2002)&amp;"|",F_Custom1_wrapped)),1,0),0))</f>
        <v>1</v>
      </c>
      <c r="E2003">
        <f>IF(OR(F_Custom2_Q="(None)",F_Custom2_Q="",ISBLANK(F_Custom2_Q),F_Custom2_V="(All)",F_Custom2_V="",ISBLANK(F_Custom2_V)),1,IFERROR(IF(ISNUMBER(SEARCH("|"&amp;INDEX(INDIRECT(F_Custom2_resolved_column),2002)&amp;"|",F_Custom2_wrapped)),1,0),0))</f>
        <v>1</v>
      </c>
      <c r="F2003">
        <f>D2003*E2003*1</f>
        <v>1</v>
      </c>
      <c r="G2003">
        <f>1</f>
        <v>1</v>
      </c>
      <c r="H20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2002)&amp;"|",All_Questions_Q_STREAM_F_wrapped)),1,0),0))*1</f>
        <v>1</v>
      </c>
    </row>
    <row r="2004">
      <c r="A2004" t="n">
        <v>2003</v>
      </c>
      <c r="B2004" t="inlineStr">
        <is>
          <t>A</t>
        </is>
      </c>
      <c r="C2004">
        <f>1</f>
        <v>1</v>
      </c>
      <c r="D2004">
        <f>IF(OR(F_Custom1_Q="(None)",F_Custom1_Q="",ISBLANK(F_Custom1_Q),F_Custom1_V="(All)",F_Custom1_V="",ISBLANK(F_Custom1_V)),1,IFERROR(IF(ISNUMBER(SEARCH("|"&amp;INDEX(INDIRECT(F_Custom1_resolved_column),2003)&amp;"|",F_Custom1_wrapped)),1,0),0))</f>
        <v>1</v>
      </c>
      <c r="E2004">
        <f>IF(OR(F_Custom2_Q="(None)",F_Custom2_Q="",ISBLANK(F_Custom2_Q),F_Custom2_V="(All)",F_Custom2_V="",ISBLANK(F_Custom2_V)),1,IFERROR(IF(ISNUMBER(SEARCH("|"&amp;INDEX(INDIRECT(F_Custom2_resolved_column),2003)&amp;"|",F_Custom2_wrapped)),1,0),0))</f>
        <v>1</v>
      </c>
      <c r="F2004">
        <f>D2004*E2004*1</f>
        <v>1</v>
      </c>
      <c r="G2004">
        <f>1</f>
        <v>1</v>
      </c>
      <c r="H20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2003)&amp;"|",All_Questions_Q_STREAM_F_wrapped)),1,0),0))*1</f>
        <v>1</v>
      </c>
    </row>
    <row r="2005">
      <c r="A2005" t="n">
        <v>2004</v>
      </c>
      <c r="B2005" t="inlineStr">
        <is>
          <t>B</t>
        </is>
      </c>
      <c r="C2005">
        <f>1</f>
        <v>1</v>
      </c>
      <c r="D2005">
        <f>IF(OR(F_Custom1_Q="(None)",F_Custom1_Q="",ISBLANK(F_Custom1_Q),F_Custom1_V="(All)",F_Custom1_V="",ISBLANK(F_Custom1_V)),1,IFERROR(IF(ISNUMBER(SEARCH("|"&amp;INDEX(INDIRECT(F_Custom1_resolved_column),2004)&amp;"|",F_Custom1_wrapped)),1,0),0))</f>
        <v>1</v>
      </c>
      <c r="E2005">
        <f>IF(OR(F_Custom2_Q="(None)",F_Custom2_Q="",ISBLANK(F_Custom2_Q),F_Custom2_V="(All)",F_Custom2_V="",ISBLANK(F_Custom2_V)),1,IFERROR(IF(ISNUMBER(SEARCH("|"&amp;INDEX(INDIRECT(F_Custom2_resolved_column),2004)&amp;"|",F_Custom2_wrapped)),1,0),0))</f>
        <v>1</v>
      </c>
      <c r="F2005">
        <f>D2005*E2005*1</f>
        <v>1</v>
      </c>
      <c r="G2005">
        <f>1</f>
        <v>1</v>
      </c>
      <c r="H20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2004)&amp;"|",All_Questions_Q_STREAM_F_wrapped)),1,0),0))*1</f>
        <v>1</v>
      </c>
    </row>
    <row r="2006">
      <c r="A2006" t="n">
        <v>2005</v>
      </c>
      <c r="B2006" t="inlineStr">
        <is>
          <t>A</t>
        </is>
      </c>
      <c r="C2006">
        <f>1</f>
        <v>1</v>
      </c>
      <c r="D2006">
        <f>IF(OR(F_Custom1_Q="(None)",F_Custom1_Q="",ISBLANK(F_Custom1_Q),F_Custom1_V="(All)",F_Custom1_V="",ISBLANK(F_Custom1_V)),1,IFERROR(IF(ISNUMBER(SEARCH("|"&amp;INDEX(INDIRECT(F_Custom1_resolved_column),2005)&amp;"|",F_Custom1_wrapped)),1,0),0))</f>
        <v>1</v>
      </c>
      <c r="E2006">
        <f>IF(OR(F_Custom2_Q="(None)",F_Custom2_Q="",ISBLANK(F_Custom2_Q),F_Custom2_V="(All)",F_Custom2_V="",ISBLANK(F_Custom2_V)),1,IFERROR(IF(ISNUMBER(SEARCH("|"&amp;INDEX(INDIRECT(F_Custom2_resolved_column),2005)&amp;"|",F_Custom2_wrapped)),1,0),0))</f>
        <v>1</v>
      </c>
      <c r="F2006">
        <f>D2006*E2006*1</f>
        <v>1</v>
      </c>
      <c r="G2006">
        <f>1</f>
        <v>1</v>
      </c>
      <c r="H20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2005)&amp;"|",All_Questions_Q_STREAM_F_wrapped)),1,0),0))*1</f>
        <v>1</v>
      </c>
    </row>
    <row r="2007">
      <c r="A2007" t="n">
        <v>2006</v>
      </c>
      <c r="B2007" t="inlineStr">
        <is>
          <t>B</t>
        </is>
      </c>
      <c r="C2007">
        <f>1</f>
        <v>1</v>
      </c>
      <c r="D2007">
        <f>IF(OR(F_Custom1_Q="(None)",F_Custom1_Q="",ISBLANK(F_Custom1_Q),F_Custom1_V="(All)",F_Custom1_V="",ISBLANK(F_Custom1_V)),1,IFERROR(IF(ISNUMBER(SEARCH("|"&amp;INDEX(INDIRECT(F_Custom1_resolved_column),2006)&amp;"|",F_Custom1_wrapped)),1,0),0))</f>
        <v>1</v>
      </c>
      <c r="E2007">
        <f>IF(OR(F_Custom2_Q="(None)",F_Custom2_Q="",ISBLANK(F_Custom2_Q),F_Custom2_V="(All)",F_Custom2_V="",ISBLANK(F_Custom2_V)),1,IFERROR(IF(ISNUMBER(SEARCH("|"&amp;INDEX(INDIRECT(F_Custom2_resolved_column),2006)&amp;"|",F_Custom2_wrapped)),1,0),0))</f>
        <v>1</v>
      </c>
      <c r="F2007">
        <f>D2007*E2007*1</f>
        <v>1</v>
      </c>
      <c r="G2007">
        <f>1</f>
        <v>1</v>
      </c>
      <c r="H20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2006)&amp;"|",All_Questions_Q_STREAM_F_wrapped)),1,0),0))*1</f>
        <v>1</v>
      </c>
    </row>
    <row r="2008">
      <c r="A2008" t="n">
        <v>2007</v>
      </c>
      <c r="B2008" t="inlineStr">
        <is>
          <t>A</t>
        </is>
      </c>
      <c r="C2008">
        <f>1</f>
        <v>1</v>
      </c>
      <c r="D2008">
        <f>IF(OR(F_Custom1_Q="(None)",F_Custom1_Q="",ISBLANK(F_Custom1_Q),F_Custom1_V="(All)",F_Custom1_V="",ISBLANK(F_Custom1_V)),1,IFERROR(IF(ISNUMBER(SEARCH("|"&amp;INDEX(INDIRECT(F_Custom1_resolved_column),2007)&amp;"|",F_Custom1_wrapped)),1,0),0))</f>
        <v>1</v>
      </c>
      <c r="E2008">
        <f>IF(OR(F_Custom2_Q="(None)",F_Custom2_Q="",ISBLANK(F_Custom2_Q),F_Custom2_V="(All)",F_Custom2_V="",ISBLANK(F_Custom2_V)),1,IFERROR(IF(ISNUMBER(SEARCH("|"&amp;INDEX(INDIRECT(F_Custom2_resolved_column),2007)&amp;"|",F_Custom2_wrapped)),1,0),0))</f>
        <v>1</v>
      </c>
      <c r="F2008">
        <f>D2008*E2008*1</f>
        <v>1</v>
      </c>
      <c r="G2008">
        <f>1</f>
        <v>1</v>
      </c>
      <c r="H20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2007)&amp;"|",All_Questions_Q_STREAM_F_wrapped)),1,0),0))*1</f>
        <v>1</v>
      </c>
    </row>
    <row r="2009">
      <c r="A2009" t="n">
        <v>2008</v>
      </c>
      <c r="B2009" t="inlineStr">
        <is>
          <t>B</t>
        </is>
      </c>
      <c r="C2009">
        <f>1</f>
        <v>1</v>
      </c>
      <c r="D2009">
        <f>IF(OR(F_Custom1_Q="(None)",F_Custom1_Q="",ISBLANK(F_Custom1_Q),F_Custom1_V="(All)",F_Custom1_V="",ISBLANK(F_Custom1_V)),1,IFERROR(IF(ISNUMBER(SEARCH("|"&amp;INDEX(INDIRECT(F_Custom1_resolved_column),2008)&amp;"|",F_Custom1_wrapped)),1,0),0))</f>
        <v>1</v>
      </c>
      <c r="E2009">
        <f>IF(OR(F_Custom2_Q="(None)",F_Custom2_Q="",ISBLANK(F_Custom2_Q),F_Custom2_V="(All)",F_Custom2_V="",ISBLANK(F_Custom2_V)),1,IFERROR(IF(ISNUMBER(SEARCH("|"&amp;INDEX(INDIRECT(F_Custom2_resolved_column),2008)&amp;"|",F_Custom2_wrapped)),1,0),0))</f>
        <v>1</v>
      </c>
      <c r="F2009">
        <f>D2009*E2009*1</f>
        <v>1</v>
      </c>
      <c r="G2009">
        <f>1</f>
        <v>1</v>
      </c>
      <c r="H20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2008)&amp;"|",All_Questions_Q_STREAM_F_wrapped)),1,0),0))*1</f>
        <v>1</v>
      </c>
    </row>
    <row r="2010">
      <c r="A2010" t="n">
        <v>2009</v>
      </c>
      <c r="B2010" t="inlineStr">
        <is>
          <t>A</t>
        </is>
      </c>
      <c r="C2010">
        <f>1</f>
        <v>1</v>
      </c>
      <c r="D2010">
        <f>IF(OR(F_Custom1_Q="(None)",F_Custom1_Q="",ISBLANK(F_Custom1_Q),F_Custom1_V="(All)",F_Custom1_V="",ISBLANK(F_Custom1_V)),1,IFERROR(IF(ISNUMBER(SEARCH("|"&amp;INDEX(INDIRECT(F_Custom1_resolved_column),2009)&amp;"|",F_Custom1_wrapped)),1,0),0))</f>
        <v>1</v>
      </c>
      <c r="E2010">
        <f>IF(OR(F_Custom2_Q="(None)",F_Custom2_Q="",ISBLANK(F_Custom2_Q),F_Custom2_V="(All)",F_Custom2_V="",ISBLANK(F_Custom2_V)),1,IFERROR(IF(ISNUMBER(SEARCH("|"&amp;INDEX(INDIRECT(F_Custom2_resolved_column),2009)&amp;"|",F_Custom2_wrapped)),1,0),0))</f>
        <v>1</v>
      </c>
      <c r="F2010">
        <f>D2010*E2010*1</f>
        <v>1</v>
      </c>
      <c r="G2010">
        <f>1</f>
        <v>1</v>
      </c>
      <c r="H20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2009)&amp;"|",All_Questions_Q_STREAM_F_wrapped)),1,0),0))*1</f>
        <v>1</v>
      </c>
    </row>
    <row r="2011">
      <c r="A2011" t="n">
        <v>2010</v>
      </c>
      <c r="B2011" t="inlineStr">
        <is>
          <t>B</t>
        </is>
      </c>
      <c r="C2011">
        <f>1</f>
        <v>1</v>
      </c>
      <c r="D2011">
        <f>IF(OR(F_Custom1_Q="(None)",F_Custom1_Q="",ISBLANK(F_Custom1_Q),F_Custom1_V="(All)",F_Custom1_V="",ISBLANK(F_Custom1_V)),1,IFERROR(IF(ISNUMBER(SEARCH("|"&amp;INDEX(INDIRECT(F_Custom1_resolved_column),2010)&amp;"|",F_Custom1_wrapped)),1,0),0))</f>
        <v>1</v>
      </c>
      <c r="E2011">
        <f>IF(OR(F_Custom2_Q="(None)",F_Custom2_Q="",ISBLANK(F_Custom2_Q),F_Custom2_V="(All)",F_Custom2_V="",ISBLANK(F_Custom2_V)),1,IFERROR(IF(ISNUMBER(SEARCH("|"&amp;INDEX(INDIRECT(F_Custom2_resolved_column),2010)&amp;"|",F_Custom2_wrapped)),1,0),0))</f>
        <v>1</v>
      </c>
      <c r="F2011">
        <f>D2011*E2011*1</f>
        <v>1</v>
      </c>
      <c r="G2011">
        <f>1</f>
        <v>1</v>
      </c>
      <c r="H20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2010)&amp;"|",All_Questions_Q_STREAM_F_wrapped)),1,0),0))*1</f>
        <v>1</v>
      </c>
    </row>
    <row r="2012">
      <c r="A2012" t="n">
        <v>2011</v>
      </c>
      <c r="B2012" t="inlineStr">
        <is>
          <t>A</t>
        </is>
      </c>
      <c r="C2012">
        <f>1</f>
        <v>1</v>
      </c>
      <c r="D2012">
        <f>IF(OR(F_Custom1_Q="(None)",F_Custom1_Q="",ISBLANK(F_Custom1_Q),F_Custom1_V="(All)",F_Custom1_V="",ISBLANK(F_Custom1_V)),1,IFERROR(IF(ISNUMBER(SEARCH("|"&amp;INDEX(INDIRECT(F_Custom1_resolved_column),2011)&amp;"|",F_Custom1_wrapped)),1,0),0))</f>
        <v>1</v>
      </c>
      <c r="E2012">
        <f>IF(OR(F_Custom2_Q="(None)",F_Custom2_Q="",ISBLANK(F_Custom2_Q),F_Custom2_V="(All)",F_Custom2_V="",ISBLANK(F_Custom2_V)),1,IFERROR(IF(ISNUMBER(SEARCH("|"&amp;INDEX(INDIRECT(F_Custom2_resolved_column),2011)&amp;"|",F_Custom2_wrapped)),1,0),0))</f>
        <v>1</v>
      </c>
      <c r="F2012">
        <f>D2012*E2012*1</f>
        <v>1</v>
      </c>
      <c r="G2012">
        <f>1</f>
        <v>1</v>
      </c>
      <c r="H20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2011)&amp;"|",All_Questions_Q_STREAM_F_wrapped)),1,0),0))*1</f>
        <v>1</v>
      </c>
    </row>
    <row r="2013">
      <c r="A2013" t="n">
        <v>2012</v>
      </c>
      <c r="B2013" t="inlineStr">
        <is>
          <t>B</t>
        </is>
      </c>
      <c r="C2013">
        <f>1</f>
        <v>1</v>
      </c>
      <c r="D2013">
        <f>IF(OR(F_Custom1_Q="(None)",F_Custom1_Q="",ISBLANK(F_Custom1_Q),F_Custom1_V="(All)",F_Custom1_V="",ISBLANK(F_Custom1_V)),1,IFERROR(IF(ISNUMBER(SEARCH("|"&amp;INDEX(INDIRECT(F_Custom1_resolved_column),2012)&amp;"|",F_Custom1_wrapped)),1,0),0))</f>
        <v>1</v>
      </c>
      <c r="E2013">
        <f>IF(OR(F_Custom2_Q="(None)",F_Custom2_Q="",ISBLANK(F_Custom2_Q),F_Custom2_V="(All)",F_Custom2_V="",ISBLANK(F_Custom2_V)),1,IFERROR(IF(ISNUMBER(SEARCH("|"&amp;INDEX(INDIRECT(F_Custom2_resolved_column),2012)&amp;"|",F_Custom2_wrapped)),1,0),0))</f>
        <v>1</v>
      </c>
      <c r="F2013">
        <f>D2013*E2013*1</f>
        <v>1</v>
      </c>
      <c r="G2013">
        <f>1</f>
        <v>1</v>
      </c>
      <c r="H20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2012)&amp;"|",All_Questions_Q_STREAM_F_wrapped)),1,0),0))*1</f>
        <v>1</v>
      </c>
    </row>
    <row r="2014">
      <c r="A2014" t="n">
        <v>2013</v>
      </c>
      <c r="B2014" t="inlineStr">
        <is>
          <t>A</t>
        </is>
      </c>
      <c r="C2014">
        <f>1</f>
        <v>1</v>
      </c>
      <c r="D2014">
        <f>IF(OR(F_Custom1_Q="(None)",F_Custom1_Q="",ISBLANK(F_Custom1_Q),F_Custom1_V="(All)",F_Custom1_V="",ISBLANK(F_Custom1_V)),1,IFERROR(IF(ISNUMBER(SEARCH("|"&amp;INDEX(INDIRECT(F_Custom1_resolved_column),2013)&amp;"|",F_Custom1_wrapped)),1,0),0))</f>
        <v>1</v>
      </c>
      <c r="E2014">
        <f>IF(OR(F_Custom2_Q="(None)",F_Custom2_Q="",ISBLANK(F_Custom2_Q),F_Custom2_V="(All)",F_Custom2_V="",ISBLANK(F_Custom2_V)),1,IFERROR(IF(ISNUMBER(SEARCH("|"&amp;INDEX(INDIRECT(F_Custom2_resolved_column),2013)&amp;"|",F_Custom2_wrapped)),1,0),0))</f>
        <v>1</v>
      </c>
      <c r="F2014">
        <f>D2014*E2014*1</f>
        <v>1</v>
      </c>
      <c r="G2014">
        <f>1</f>
        <v>1</v>
      </c>
      <c r="H20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2013)&amp;"|",All_Questions_Q_STREAM_F_wrapped)),1,0),0))*1</f>
        <v>1</v>
      </c>
    </row>
    <row r="2015">
      <c r="A2015" t="n">
        <v>2014</v>
      </c>
      <c r="B2015" t="inlineStr">
        <is>
          <t>B</t>
        </is>
      </c>
      <c r="C2015">
        <f>1</f>
        <v>1</v>
      </c>
      <c r="D2015">
        <f>IF(OR(F_Custom1_Q="(None)",F_Custom1_Q="",ISBLANK(F_Custom1_Q),F_Custom1_V="(All)",F_Custom1_V="",ISBLANK(F_Custom1_V)),1,IFERROR(IF(ISNUMBER(SEARCH("|"&amp;INDEX(INDIRECT(F_Custom1_resolved_column),2014)&amp;"|",F_Custom1_wrapped)),1,0),0))</f>
        <v>1</v>
      </c>
      <c r="E2015">
        <f>IF(OR(F_Custom2_Q="(None)",F_Custom2_Q="",ISBLANK(F_Custom2_Q),F_Custom2_V="(All)",F_Custom2_V="",ISBLANK(F_Custom2_V)),1,IFERROR(IF(ISNUMBER(SEARCH("|"&amp;INDEX(INDIRECT(F_Custom2_resolved_column),2014)&amp;"|",F_Custom2_wrapped)),1,0),0))</f>
        <v>1</v>
      </c>
      <c r="F2015">
        <f>D2015*E2015*1</f>
        <v>1</v>
      </c>
      <c r="G2015">
        <f>1</f>
        <v>1</v>
      </c>
      <c r="H20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2014)&amp;"|",All_Questions_Q_STREAM_F_wrapped)),1,0),0))*1</f>
        <v>1</v>
      </c>
    </row>
    <row r="2016">
      <c r="A2016" t="n">
        <v>2015</v>
      </c>
      <c r="B2016" t="inlineStr">
        <is>
          <t>A</t>
        </is>
      </c>
      <c r="C2016">
        <f>1</f>
        <v>1</v>
      </c>
      <c r="D2016">
        <f>IF(OR(F_Custom1_Q="(None)",F_Custom1_Q="",ISBLANK(F_Custom1_Q),F_Custom1_V="(All)",F_Custom1_V="",ISBLANK(F_Custom1_V)),1,IFERROR(IF(ISNUMBER(SEARCH("|"&amp;INDEX(INDIRECT(F_Custom1_resolved_column),2015)&amp;"|",F_Custom1_wrapped)),1,0),0))</f>
        <v>1</v>
      </c>
      <c r="E2016">
        <f>IF(OR(F_Custom2_Q="(None)",F_Custom2_Q="",ISBLANK(F_Custom2_Q),F_Custom2_V="(All)",F_Custom2_V="",ISBLANK(F_Custom2_V)),1,IFERROR(IF(ISNUMBER(SEARCH("|"&amp;INDEX(INDIRECT(F_Custom2_resolved_column),2015)&amp;"|",F_Custom2_wrapped)),1,0),0))</f>
        <v>1</v>
      </c>
      <c r="F2016">
        <f>D2016*E2016*1</f>
        <v>1</v>
      </c>
      <c r="G2016">
        <f>1</f>
        <v>1</v>
      </c>
      <c r="H20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2015)&amp;"|",All_Questions_Q_STREAM_F_wrapped)),1,0),0))*1</f>
        <v>1</v>
      </c>
    </row>
    <row r="2017">
      <c r="A2017" t="n">
        <v>2016</v>
      </c>
      <c r="B2017" t="inlineStr">
        <is>
          <t>B</t>
        </is>
      </c>
      <c r="C2017">
        <f>1</f>
        <v>1</v>
      </c>
      <c r="D2017">
        <f>IF(OR(F_Custom1_Q="(None)",F_Custom1_Q="",ISBLANK(F_Custom1_Q),F_Custom1_V="(All)",F_Custom1_V="",ISBLANK(F_Custom1_V)),1,IFERROR(IF(ISNUMBER(SEARCH("|"&amp;INDEX(INDIRECT(F_Custom1_resolved_column),2016)&amp;"|",F_Custom1_wrapped)),1,0),0))</f>
        <v>1</v>
      </c>
      <c r="E2017">
        <f>IF(OR(F_Custom2_Q="(None)",F_Custom2_Q="",ISBLANK(F_Custom2_Q),F_Custom2_V="(All)",F_Custom2_V="",ISBLANK(F_Custom2_V)),1,IFERROR(IF(ISNUMBER(SEARCH("|"&amp;INDEX(INDIRECT(F_Custom2_resolved_column),2016)&amp;"|",F_Custom2_wrapped)),1,0),0))</f>
        <v>1</v>
      </c>
      <c r="F2017">
        <f>D2017*E2017*1</f>
        <v>1</v>
      </c>
      <c r="G2017">
        <f>1</f>
        <v>1</v>
      </c>
      <c r="H20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2016)&amp;"|",All_Questions_Q_STREAM_F_wrapped)),1,0),0))*1</f>
        <v>1</v>
      </c>
    </row>
    <row r="2018">
      <c r="A2018" t="n">
        <v>2017</v>
      </c>
      <c r="B2018" t="inlineStr">
        <is>
          <t>A</t>
        </is>
      </c>
      <c r="C2018">
        <f>1</f>
        <v>1</v>
      </c>
      <c r="D2018">
        <f>IF(OR(F_Custom1_Q="(None)",F_Custom1_Q="",ISBLANK(F_Custom1_Q),F_Custom1_V="(All)",F_Custom1_V="",ISBLANK(F_Custom1_V)),1,IFERROR(IF(ISNUMBER(SEARCH("|"&amp;INDEX(INDIRECT(F_Custom1_resolved_column),2017)&amp;"|",F_Custom1_wrapped)),1,0),0))</f>
        <v>1</v>
      </c>
      <c r="E2018">
        <f>IF(OR(F_Custom2_Q="(None)",F_Custom2_Q="",ISBLANK(F_Custom2_Q),F_Custom2_V="(All)",F_Custom2_V="",ISBLANK(F_Custom2_V)),1,IFERROR(IF(ISNUMBER(SEARCH("|"&amp;INDEX(INDIRECT(F_Custom2_resolved_column),2017)&amp;"|",F_Custom2_wrapped)),1,0),0))</f>
        <v>1</v>
      </c>
      <c r="F2018">
        <f>D2018*E2018*1</f>
        <v>1</v>
      </c>
      <c r="G2018">
        <f>1</f>
        <v>1</v>
      </c>
      <c r="H20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2017)&amp;"|",All_Questions_Q_STREAM_F_wrapped)),1,0),0))*1</f>
        <v>1</v>
      </c>
    </row>
    <row r="2019">
      <c r="A2019" t="n">
        <v>2018</v>
      </c>
      <c r="B2019" t="inlineStr">
        <is>
          <t>B</t>
        </is>
      </c>
      <c r="C2019">
        <f>1</f>
        <v>1</v>
      </c>
      <c r="D2019">
        <f>IF(OR(F_Custom1_Q="(None)",F_Custom1_Q="",ISBLANK(F_Custom1_Q),F_Custom1_V="(All)",F_Custom1_V="",ISBLANK(F_Custom1_V)),1,IFERROR(IF(ISNUMBER(SEARCH("|"&amp;INDEX(INDIRECT(F_Custom1_resolved_column),2018)&amp;"|",F_Custom1_wrapped)),1,0),0))</f>
        <v>1</v>
      </c>
      <c r="E2019">
        <f>IF(OR(F_Custom2_Q="(None)",F_Custom2_Q="",ISBLANK(F_Custom2_Q),F_Custom2_V="(All)",F_Custom2_V="",ISBLANK(F_Custom2_V)),1,IFERROR(IF(ISNUMBER(SEARCH("|"&amp;INDEX(INDIRECT(F_Custom2_resolved_column),2018)&amp;"|",F_Custom2_wrapped)),1,0),0))</f>
        <v>1</v>
      </c>
      <c r="F2019">
        <f>D2019*E2019*1</f>
        <v>1</v>
      </c>
      <c r="G2019">
        <f>1</f>
        <v>1</v>
      </c>
      <c r="H20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2018)&amp;"|",All_Questions_Q_STREAM_F_wrapped)),1,0),0))*1</f>
        <v>1</v>
      </c>
    </row>
    <row r="2020">
      <c r="A2020" t="n">
        <v>2019</v>
      </c>
      <c r="B2020" t="inlineStr">
        <is>
          <t>A</t>
        </is>
      </c>
      <c r="C2020">
        <f>1</f>
        <v>1</v>
      </c>
      <c r="D2020">
        <f>IF(OR(F_Custom1_Q="(None)",F_Custom1_Q="",ISBLANK(F_Custom1_Q),F_Custom1_V="(All)",F_Custom1_V="",ISBLANK(F_Custom1_V)),1,IFERROR(IF(ISNUMBER(SEARCH("|"&amp;INDEX(INDIRECT(F_Custom1_resolved_column),2019)&amp;"|",F_Custom1_wrapped)),1,0),0))</f>
        <v>1</v>
      </c>
      <c r="E2020">
        <f>IF(OR(F_Custom2_Q="(None)",F_Custom2_Q="",ISBLANK(F_Custom2_Q),F_Custom2_V="(All)",F_Custom2_V="",ISBLANK(F_Custom2_V)),1,IFERROR(IF(ISNUMBER(SEARCH("|"&amp;INDEX(INDIRECT(F_Custom2_resolved_column),2019)&amp;"|",F_Custom2_wrapped)),1,0),0))</f>
        <v>1</v>
      </c>
      <c r="F2020">
        <f>D2020*E2020*1</f>
        <v>1</v>
      </c>
      <c r="G2020">
        <f>1</f>
        <v>1</v>
      </c>
      <c r="H20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2019)&amp;"|",All_Questions_Q_STREAM_F_wrapped)),1,0),0))*1</f>
        <v>1</v>
      </c>
    </row>
    <row r="2021">
      <c r="A2021" t="n">
        <v>2020</v>
      </c>
      <c r="B2021" t="inlineStr">
        <is>
          <t>B</t>
        </is>
      </c>
      <c r="C2021">
        <f>1</f>
        <v>1</v>
      </c>
      <c r="D2021">
        <f>IF(OR(F_Custom1_Q="(None)",F_Custom1_Q="",ISBLANK(F_Custom1_Q),F_Custom1_V="(All)",F_Custom1_V="",ISBLANK(F_Custom1_V)),1,IFERROR(IF(ISNUMBER(SEARCH("|"&amp;INDEX(INDIRECT(F_Custom1_resolved_column),2020)&amp;"|",F_Custom1_wrapped)),1,0),0))</f>
        <v>1</v>
      </c>
      <c r="E2021">
        <f>IF(OR(F_Custom2_Q="(None)",F_Custom2_Q="",ISBLANK(F_Custom2_Q),F_Custom2_V="(All)",F_Custom2_V="",ISBLANK(F_Custom2_V)),1,IFERROR(IF(ISNUMBER(SEARCH("|"&amp;INDEX(INDIRECT(F_Custom2_resolved_column),2020)&amp;"|",F_Custom2_wrapped)),1,0),0))</f>
        <v>1</v>
      </c>
      <c r="F2021">
        <f>D2021*E2021*1</f>
        <v>1</v>
      </c>
      <c r="G2021">
        <f>1</f>
        <v>1</v>
      </c>
      <c r="H20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2020)&amp;"|",All_Questions_Q_STREAM_F_wrapped)),1,0),0))*1</f>
        <v>1</v>
      </c>
    </row>
    <row r="2022">
      <c r="A2022" t="n">
        <v>2021</v>
      </c>
      <c r="B2022" t="inlineStr">
        <is>
          <t>A</t>
        </is>
      </c>
      <c r="C2022">
        <f>1</f>
        <v>1</v>
      </c>
      <c r="D2022">
        <f>IF(OR(F_Custom1_Q="(None)",F_Custom1_Q="",ISBLANK(F_Custom1_Q),F_Custom1_V="(All)",F_Custom1_V="",ISBLANK(F_Custom1_V)),1,IFERROR(IF(ISNUMBER(SEARCH("|"&amp;INDEX(INDIRECT(F_Custom1_resolved_column),2021)&amp;"|",F_Custom1_wrapped)),1,0),0))</f>
        <v>1</v>
      </c>
      <c r="E2022">
        <f>IF(OR(F_Custom2_Q="(None)",F_Custom2_Q="",ISBLANK(F_Custom2_Q),F_Custom2_V="(All)",F_Custom2_V="",ISBLANK(F_Custom2_V)),1,IFERROR(IF(ISNUMBER(SEARCH("|"&amp;INDEX(INDIRECT(F_Custom2_resolved_column),2021)&amp;"|",F_Custom2_wrapped)),1,0),0))</f>
        <v>1</v>
      </c>
      <c r="F2022">
        <f>D2022*E2022*1</f>
        <v>1</v>
      </c>
      <c r="G2022">
        <f>1</f>
        <v>1</v>
      </c>
      <c r="H20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2021)&amp;"|",All_Questions_Q_STREAM_F_wrapped)),1,0),0))*1</f>
        <v>1</v>
      </c>
    </row>
    <row r="2023">
      <c r="A2023" t="n">
        <v>2022</v>
      </c>
      <c r="B2023" t="inlineStr">
        <is>
          <t>B</t>
        </is>
      </c>
      <c r="C2023">
        <f>1</f>
        <v>1</v>
      </c>
      <c r="D2023">
        <f>IF(OR(F_Custom1_Q="(None)",F_Custom1_Q="",ISBLANK(F_Custom1_Q),F_Custom1_V="(All)",F_Custom1_V="",ISBLANK(F_Custom1_V)),1,IFERROR(IF(ISNUMBER(SEARCH("|"&amp;INDEX(INDIRECT(F_Custom1_resolved_column),2022)&amp;"|",F_Custom1_wrapped)),1,0),0))</f>
        <v>1</v>
      </c>
      <c r="E2023">
        <f>IF(OR(F_Custom2_Q="(None)",F_Custom2_Q="",ISBLANK(F_Custom2_Q),F_Custom2_V="(All)",F_Custom2_V="",ISBLANK(F_Custom2_V)),1,IFERROR(IF(ISNUMBER(SEARCH("|"&amp;INDEX(INDIRECT(F_Custom2_resolved_column),2022)&amp;"|",F_Custom2_wrapped)),1,0),0))</f>
        <v>1</v>
      </c>
      <c r="F2023">
        <f>D2023*E2023*1</f>
        <v>1</v>
      </c>
      <c r="G2023">
        <f>1</f>
        <v>1</v>
      </c>
      <c r="H20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2022)&amp;"|",All_Questions_Q_STREAM_F_wrapped)),1,0),0))*1</f>
        <v>1</v>
      </c>
    </row>
    <row r="2024">
      <c r="A2024" t="n">
        <v>2023</v>
      </c>
      <c r="B2024" t="inlineStr">
        <is>
          <t>A</t>
        </is>
      </c>
      <c r="C2024">
        <f>1</f>
        <v>1</v>
      </c>
      <c r="D2024">
        <f>IF(OR(F_Custom1_Q="(None)",F_Custom1_Q="",ISBLANK(F_Custom1_Q),F_Custom1_V="(All)",F_Custom1_V="",ISBLANK(F_Custom1_V)),1,IFERROR(IF(ISNUMBER(SEARCH("|"&amp;INDEX(INDIRECT(F_Custom1_resolved_column),2023)&amp;"|",F_Custom1_wrapped)),1,0),0))</f>
        <v>1</v>
      </c>
      <c r="E2024">
        <f>IF(OR(F_Custom2_Q="(None)",F_Custom2_Q="",ISBLANK(F_Custom2_Q),F_Custom2_V="(All)",F_Custom2_V="",ISBLANK(F_Custom2_V)),1,IFERROR(IF(ISNUMBER(SEARCH("|"&amp;INDEX(INDIRECT(F_Custom2_resolved_column),2023)&amp;"|",F_Custom2_wrapped)),1,0),0))</f>
        <v>1</v>
      </c>
      <c r="F2024">
        <f>D2024*E2024*1</f>
        <v>1</v>
      </c>
      <c r="G2024">
        <f>1</f>
        <v>1</v>
      </c>
      <c r="H20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2023)&amp;"|",All_Questions_Q_STREAM_F_wrapped)),1,0),0))*1</f>
        <v>1</v>
      </c>
    </row>
    <row r="2025">
      <c r="A2025" t="n">
        <v>2024</v>
      </c>
      <c r="B2025" t="inlineStr">
        <is>
          <t>B</t>
        </is>
      </c>
      <c r="C2025">
        <f>1</f>
        <v>1</v>
      </c>
      <c r="D2025">
        <f>IF(OR(F_Custom1_Q="(None)",F_Custom1_Q="",ISBLANK(F_Custom1_Q),F_Custom1_V="(All)",F_Custom1_V="",ISBLANK(F_Custom1_V)),1,IFERROR(IF(ISNUMBER(SEARCH("|"&amp;INDEX(INDIRECT(F_Custom1_resolved_column),2024)&amp;"|",F_Custom1_wrapped)),1,0),0))</f>
        <v>1</v>
      </c>
      <c r="E2025">
        <f>IF(OR(F_Custom2_Q="(None)",F_Custom2_Q="",ISBLANK(F_Custom2_Q),F_Custom2_V="(All)",F_Custom2_V="",ISBLANK(F_Custom2_V)),1,IFERROR(IF(ISNUMBER(SEARCH("|"&amp;INDEX(INDIRECT(F_Custom2_resolved_column),2024)&amp;"|",F_Custom2_wrapped)),1,0),0))</f>
        <v>1</v>
      </c>
      <c r="F2025">
        <f>D2025*E2025*1</f>
        <v>1</v>
      </c>
      <c r="G2025">
        <f>1</f>
        <v>1</v>
      </c>
      <c r="H20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2024)&amp;"|",All_Questions_Q_STREAM_F_wrapped)),1,0),0))*1</f>
        <v>1</v>
      </c>
    </row>
    <row r="2026">
      <c r="A2026" t="n">
        <v>2025</v>
      </c>
      <c r="B2026" t="inlineStr">
        <is>
          <t>A</t>
        </is>
      </c>
      <c r="C2026">
        <f>1</f>
        <v>1</v>
      </c>
      <c r="D2026">
        <f>IF(OR(F_Custom1_Q="(None)",F_Custom1_Q="",ISBLANK(F_Custom1_Q),F_Custom1_V="(All)",F_Custom1_V="",ISBLANK(F_Custom1_V)),1,IFERROR(IF(ISNUMBER(SEARCH("|"&amp;INDEX(INDIRECT(F_Custom1_resolved_column),2025)&amp;"|",F_Custom1_wrapped)),1,0),0))</f>
        <v>1</v>
      </c>
      <c r="E2026">
        <f>IF(OR(F_Custom2_Q="(None)",F_Custom2_Q="",ISBLANK(F_Custom2_Q),F_Custom2_V="(All)",F_Custom2_V="",ISBLANK(F_Custom2_V)),1,IFERROR(IF(ISNUMBER(SEARCH("|"&amp;INDEX(INDIRECT(F_Custom2_resolved_column),2025)&amp;"|",F_Custom2_wrapped)),1,0),0))</f>
        <v>1</v>
      </c>
      <c r="F2026">
        <f>D2026*E2026*1</f>
        <v>1</v>
      </c>
      <c r="G2026">
        <f>1</f>
        <v>1</v>
      </c>
      <c r="H20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2025)&amp;"|",All_Questions_Q_STREAM_F_wrapped)),1,0),0))*1</f>
        <v>1</v>
      </c>
    </row>
    <row r="2027">
      <c r="A2027" t="n">
        <v>2026</v>
      </c>
      <c r="B2027" t="inlineStr">
        <is>
          <t>B</t>
        </is>
      </c>
      <c r="C2027">
        <f>1</f>
        <v>1</v>
      </c>
      <c r="D2027">
        <f>IF(OR(F_Custom1_Q="(None)",F_Custom1_Q="",ISBLANK(F_Custom1_Q),F_Custom1_V="(All)",F_Custom1_V="",ISBLANK(F_Custom1_V)),1,IFERROR(IF(ISNUMBER(SEARCH("|"&amp;INDEX(INDIRECT(F_Custom1_resolved_column),2026)&amp;"|",F_Custom1_wrapped)),1,0),0))</f>
        <v>1</v>
      </c>
      <c r="E2027">
        <f>IF(OR(F_Custom2_Q="(None)",F_Custom2_Q="",ISBLANK(F_Custom2_Q),F_Custom2_V="(All)",F_Custom2_V="",ISBLANK(F_Custom2_V)),1,IFERROR(IF(ISNUMBER(SEARCH("|"&amp;INDEX(INDIRECT(F_Custom2_resolved_column),2026)&amp;"|",F_Custom2_wrapped)),1,0),0))</f>
        <v>1</v>
      </c>
      <c r="F2027">
        <f>D2027*E2027*1</f>
        <v>1</v>
      </c>
      <c r="G2027">
        <f>1</f>
        <v>1</v>
      </c>
      <c r="H20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2026)&amp;"|",All_Questions_Q_STREAM_F_wrapped)),1,0),0))*1</f>
        <v>1</v>
      </c>
    </row>
    <row r="2028">
      <c r="A2028" t="n">
        <v>2027</v>
      </c>
      <c r="B2028" t="inlineStr">
        <is>
          <t>A</t>
        </is>
      </c>
      <c r="C2028">
        <f>1</f>
        <v>1</v>
      </c>
      <c r="D2028">
        <f>IF(OR(F_Custom1_Q="(None)",F_Custom1_Q="",ISBLANK(F_Custom1_Q),F_Custom1_V="(All)",F_Custom1_V="",ISBLANK(F_Custom1_V)),1,IFERROR(IF(ISNUMBER(SEARCH("|"&amp;INDEX(INDIRECT(F_Custom1_resolved_column),2027)&amp;"|",F_Custom1_wrapped)),1,0),0))</f>
        <v>1</v>
      </c>
      <c r="E2028">
        <f>IF(OR(F_Custom2_Q="(None)",F_Custom2_Q="",ISBLANK(F_Custom2_Q),F_Custom2_V="(All)",F_Custom2_V="",ISBLANK(F_Custom2_V)),1,IFERROR(IF(ISNUMBER(SEARCH("|"&amp;INDEX(INDIRECT(F_Custom2_resolved_column),2027)&amp;"|",F_Custom2_wrapped)),1,0),0))</f>
        <v>1</v>
      </c>
      <c r="F2028">
        <f>D2028*E2028*1</f>
        <v>1</v>
      </c>
      <c r="G2028">
        <f>1</f>
        <v>1</v>
      </c>
      <c r="H20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2027)&amp;"|",All_Questions_Q_STREAM_F_wrapped)),1,0),0))*1</f>
        <v>1</v>
      </c>
    </row>
    <row r="2029">
      <c r="A2029" t="n">
        <v>2028</v>
      </c>
      <c r="B2029" t="inlineStr">
        <is>
          <t>B</t>
        </is>
      </c>
      <c r="C2029">
        <f>1</f>
        <v>1</v>
      </c>
      <c r="D2029">
        <f>IF(OR(F_Custom1_Q="(None)",F_Custom1_Q="",ISBLANK(F_Custom1_Q),F_Custom1_V="(All)",F_Custom1_V="",ISBLANK(F_Custom1_V)),1,IFERROR(IF(ISNUMBER(SEARCH("|"&amp;INDEX(INDIRECT(F_Custom1_resolved_column),2028)&amp;"|",F_Custom1_wrapped)),1,0),0))</f>
        <v>1</v>
      </c>
      <c r="E2029">
        <f>IF(OR(F_Custom2_Q="(None)",F_Custom2_Q="",ISBLANK(F_Custom2_Q),F_Custom2_V="(All)",F_Custom2_V="",ISBLANK(F_Custom2_V)),1,IFERROR(IF(ISNUMBER(SEARCH("|"&amp;INDEX(INDIRECT(F_Custom2_resolved_column),2028)&amp;"|",F_Custom2_wrapped)),1,0),0))</f>
        <v>1</v>
      </c>
      <c r="F2029">
        <f>D2029*E2029*1</f>
        <v>1</v>
      </c>
      <c r="G2029">
        <f>1</f>
        <v>1</v>
      </c>
      <c r="H20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2028)&amp;"|",All_Questions_Q_STREAM_F_wrapped)),1,0),0))*1</f>
        <v>1</v>
      </c>
    </row>
    <row r="2030">
      <c r="A2030" t="n">
        <v>2029</v>
      </c>
      <c r="B2030" t="inlineStr">
        <is>
          <t>A</t>
        </is>
      </c>
      <c r="C2030">
        <f>1</f>
        <v>1</v>
      </c>
      <c r="D2030">
        <f>IF(OR(F_Custom1_Q="(None)",F_Custom1_Q="",ISBLANK(F_Custom1_Q),F_Custom1_V="(All)",F_Custom1_V="",ISBLANK(F_Custom1_V)),1,IFERROR(IF(ISNUMBER(SEARCH("|"&amp;INDEX(INDIRECT(F_Custom1_resolved_column),2029)&amp;"|",F_Custom1_wrapped)),1,0),0))</f>
        <v>1</v>
      </c>
      <c r="E2030">
        <f>IF(OR(F_Custom2_Q="(None)",F_Custom2_Q="",ISBLANK(F_Custom2_Q),F_Custom2_V="(All)",F_Custom2_V="",ISBLANK(F_Custom2_V)),1,IFERROR(IF(ISNUMBER(SEARCH("|"&amp;INDEX(INDIRECT(F_Custom2_resolved_column),2029)&amp;"|",F_Custom2_wrapped)),1,0),0))</f>
        <v>1</v>
      </c>
      <c r="F2030">
        <f>D2030*E2030*1</f>
        <v>1</v>
      </c>
      <c r="G2030">
        <f>1</f>
        <v>1</v>
      </c>
      <c r="H20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2029)&amp;"|",All_Questions_Q_STREAM_F_wrapped)),1,0),0))*1</f>
        <v>1</v>
      </c>
    </row>
    <row r="2031">
      <c r="A2031" t="n">
        <v>2030</v>
      </c>
      <c r="B2031" t="inlineStr">
        <is>
          <t>B</t>
        </is>
      </c>
      <c r="C2031">
        <f>1</f>
        <v>1</v>
      </c>
      <c r="D2031">
        <f>IF(OR(F_Custom1_Q="(None)",F_Custom1_Q="",ISBLANK(F_Custom1_Q),F_Custom1_V="(All)",F_Custom1_V="",ISBLANK(F_Custom1_V)),1,IFERROR(IF(ISNUMBER(SEARCH("|"&amp;INDEX(INDIRECT(F_Custom1_resolved_column),2030)&amp;"|",F_Custom1_wrapped)),1,0),0))</f>
        <v>1</v>
      </c>
      <c r="E2031">
        <f>IF(OR(F_Custom2_Q="(None)",F_Custom2_Q="",ISBLANK(F_Custom2_Q),F_Custom2_V="(All)",F_Custom2_V="",ISBLANK(F_Custom2_V)),1,IFERROR(IF(ISNUMBER(SEARCH("|"&amp;INDEX(INDIRECT(F_Custom2_resolved_column),2030)&amp;"|",F_Custom2_wrapped)),1,0),0))</f>
        <v>1</v>
      </c>
      <c r="F2031">
        <f>D2031*E2031*1</f>
        <v>1</v>
      </c>
      <c r="G2031">
        <f>1</f>
        <v>1</v>
      </c>
      <c r="H20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2030)&amp;"|",All_Questions_Q_STREAM_F_wrapped)),1,0),0))*1</f>
        <v>1</v>
      </c>
    </row>
    <row r="2032">
      <c r="A2032" t="n">
        <v>2031</v>
      </c>
      <c r="B2032" t="inlineStr">
        <is>
          <t>A</t>
        </is>
      </c>
      <c r="C2032">
        <f>1</f>
        <v>1</v>
      </c>
      <c r="D2032">
        <f>IF(OR(F_Custom1_Q="(None)",F_Custom1_Q="",ISBLANK(F_Custom1_Q),F_Custom1_V="(All)",F_Custom1_V="",ISBLANK(F_Custom1_V)),1,IFERROR(IF(ISNUMBER(SEARCH("|"&amp;INDEX(INDIRECT(F_Custom1_resolved_column),2031)&amp;"|",F_Custom1_wrapped)),1,0),0))</f>
        <v>1</v>
      </c>
      <c r="E2032">
        <f>IF(OR(F_Custom2_Q="(None)",F_Custom2_Q="",ISBLANK(F_Custom2_Q),F_Custom2_V="(All)",F_Custom2_V="",ISBLANK(F_Custom2_V)),1,IFERROR(IF(ISNUMBER(SEARCH("|"&amp;INDEX(INDIRECT(F_Custom2_resolved_column),2031)&amp;"|",F_Custom2_wrapped)),1,0),0))</f>
        <v>1</v>
      </c>
      <c r="F2032">
        <f>D2032*E2032*1</f>
        <v>1</v>
      </c>
      <c r="G2032">
        <f>1</f>
        <v>1</v>
      </c>
      <c r="H20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2031)&amp;"|",All_Questions_Q_STREAM_F_wrapped)),1,0),0))*1</f>
        <v>1</v>
      </c>
    </row>
    <row r="2033">
      <c r="A2033" t="n">
        <v>2032</v>
      </c>
      <c r="B2033" t="inlineStr">
        <is>
          <t>B</t>
        </is>
      </c>
      <c r="C2033">
        <f>1</f>
        <v>1</v>
      </c>
      <c r="D2033">
        <f>IF(OR(F_Custom1_Q="(None)",F_Custom1_Q="",ISBLANK(F_Custom1_Q),F_Custom1_V="(All)",F_Custom1_V="",ISBLANK(F_Custom1_V)),1,IFERROR(IF(ISNUMBER(SEARCH("|"&amp;INDEX(INDIRECT(F_Custom1_resolved_column),2032)&amp;"|",F_Custom1_wrapped)),1,0),0))</f>
        <v>1</v>
      </c>
      <c r="E2033">
        <f>IF(OR(F_Custom2_Q="(None)",F_Custom2_Q="",ISBLANK(F_Custom2_Q),F_Custom2_V="(All)",F_Custom2_V="",ISBLANK(F_Custom2_V)),1,IFERROR(IF(ISNUMBER(SEARCH("|"&amp;INDEX(INDIRECT(F_Custom2_resolved_column),2032)&amp;"|",F_Custom2_wrapped)),1,0),0))</f>
        <v>1</v>
      </c>
      <c r="F2033">
        <f>D2033*E2033*1</f>
        <v>1</v>
      </c>
      <c r="G2033">
        <f>1</f>
        <v>1</v>
      </c>
      <c r="H20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2032)&amp;"|",All_Questions_Q_STREAM_F_wrapped)),1,0),0))*1</f>
        <v>1</v>
      </c>
    </row>
    <row r="2034">
      <c r="A2034" t="n">
        <v>2033</v>
      </c>
      <c r="B2034" t="inlineStr">
        <is>
          <t>A</t>
        </is>
      </c>
      <c r="C2034">
        <f>1</f>
        <v>1</v>
      </c>
      <c r="D2034">
        <f>IF(OR(F_Custom1_Q="(None)",F_Custom1_Q="",ISBLANK(F_Custom1_Q),F_Custom1_V="(All)",F_Custom1_V="",ISBLANK(F_Custom1_V)),1,IFERROR(IF(ISNUMBER(SEARCH("|"&amp;INDEX(INDIRECT(F_Custom1_resolved_column),2033)&amp;"|",F_Custom1_wrapped)),1,0),0))</f>
        <v>1</v>
      </c>
      <c r="E2034">
        <f>IF(OR(F_Custom2_Q="(None)",F_Custom2_Q="",ISBLANK(F_Custom2_Q),F_Custom2_V="(All)",F_Custom2_V="",ISBLANK(F_Custom2_V)),1,IFERROR(IF(ISNUMBER(SEARCH("|"&amp;INDEX(INDIRECT(F_Custom2_resolved_column),2033)&amp;"|",F_Custom2_wrapped)),1,0),0))</f>
        <v>1</v>
      </c>
      <c r="F2034">
        <f>D2034*E2034*1</f>
        <v>1</v>
      </c>
      <c r="G2034">
        <f>1</f>
        <v>1</v>
      </c>
      <c r="H20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2033)&amp;"|",All_Questions_Q_STREAM_F_wrapped)),1,0),0))*1</f>
        <v>1</v>
      </c>
    </row>
    <row r="2035">
      <c r="A2035" t="n">
        <v>2034</v>
      </c>
      <c r="B2035" t="inlineStr">
        <is>
          <t>B</t>
        </is>
      </c>
      <c r="C2035">
        <f>1</f>
        <v>1</v>
      </c>
      <c r="D2035">
        <f>IF(OR(F_Custom1_Q="(None)",F_Custom1_Q="",ISBLANK(F_Custom1_Q),F_Custom1_V="(All)",F_Custom1_V="",ISBLANK(F_Custom1_V)),1,IFERROR(IF(ISNUMBER(SEARCH("|"&amp;INDEX(INDIRECT(F_Custom1_resolved_column),2034)&amp;"|",F_Custom1_wrapped)),1,0),0))</f>
        <v>1</v>
      </c>
      <c r="E2035">
        <f>IF(OR(F_Custom2_Q="(None)",F_Custom2_Q="",ISBLANK(F_Custom2_Q),F_Custom2_V="(All)",F_Custom2_V="",ISBLANK(F_Custom2_V)),1,IFERROR(IF(ISNUMBER(SEARCH("|"&amp;INDEX(INDIRECT(F_Custom2_resolved_column),2034)&amp;"|",F_Custom2_wrapped)),1,0),0))</f>
        <v>1</v>
      </c>
      <c r="F2035">
        <f>D2035*E2035*1</f>
        <v>1</v>
      </c>
      <c r="G2035">
        <f>1</f>
        <v>1</v>
      </c>
      <c r="H20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2034)&amp;"|",All_Questions_Q_STREAM_F_wrapped)),1,0),0))*1</f>
        <v>1</v>
      </c>
    </row>
    <row r="2036">
      <c r="A2036" t="n">
        <v>2035</v>
      </c>
      <c r="B2036" t="inlineStr">
        <is>
          <t>A</t>
        </is>
      </c>
      <c r="C2036">
        <f>1</f>
        <v>1</v>
      </c>
      <c r="D2036">
        <f>IF(OR(F_Custom1_Q="(None)",F_Custom1_Q="",ISBLANK(F_Custom1_Q),F_Custom1_V="(All)",F_Custom1_V="",ISBLANK(F_Custom1_V)),1,IFERROR(IF(ISNUMBER(SEARCH("|"&amp;INDEX(INDIRECT(F_Custom1_resolved_column),2035)&amp;"|",F_Custom1_wrapped)),1,0),0))</f>
        <v>1</v>
      </c>
      <c r="E2036">
        <f>IF(OR(F_Custom2_Q="(None)",F_Custom2_Q="",ISBLANK(F_Custom2_Q),F_Custom2_V="(All)",F_Custom2_V="",ISBLANK(F_Custom2_V)),1,IFERROR(IF(ISNUMBER(SEARCH("|"&amp;INDEX(INDIRECT(F_Custom2_resolved_column),2035)&amp;"|",F_Custom2_wrapped)),1,0),0))</f>
        <v>1</v>
      </c>
      <c r="F2036">
        <f>D2036*E2036*1</f>
        <v>1</v>
      </c>
      <c r="G2036">
        <f>1</f>
        <v>1</v>
      </c>
      <c r="H20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2035)&amp;"|",All_Questions_Q_STREAM_F_wrapped)),1,0),0))*1</f>
        <v>1</v>
      </c>
    </row>
    <row r="2037">
      <c r="A2037" t="n">
        <v>2036</v>
      </c>
      <c r="B2037" t="inlineStr">
        <is>
          <t>B</t>
        </is>
      </c>
      <c r="C2037">
        <f>1</f>
        <v>1</v>
      </c>
      <c r="D2037">
        <f>IF(OR(F_Custom1_Q="(None)",F_Custom1_Q="",ISBLANK(F_Custom1_Q),F_Custom1_V="(All)",F_Custom1_V="",ISBLANK(F_Custom1_V)),1,IFERROR(IF(ISNUMBER(SEARCH("|"&amp;INDEX(INDIRECT(F_Custom1_resolved_column),2036)&amp;"|",F_Custom1_wrapped)),1,0),0))</f>
        <v>1</v>
      </c>
      <c r="E2037">
        <f>IF(OR(F_Custom2_Q="(None)",F_Custom2_Q="",ISBLANK(F_Custom2_Q),F_Custom2_V="(All)",F_Custom2_V="",ISBLANK(F_Custom2_V)),1,IFERROR(IF(ISNUMBER(SEARCH("|"&amp;INDEX(INDIRECT(F_Custom2_resolved_column),2036)&amp;"|",F_Custom2_wrapped)),1,0),0))</f>
        <v>1</v>
      </c>
      <c r="F2037">
        <f>D2037*E2037*1</f>
        <v>1</v>
      </c>
      <c r="G2037">
        <f>1</f>
        <v>1</v>
      </c>
      <c r="H20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2036)&amp;"|",All_Questions_Q_STREAM_F_wrapped)),1,0),0))*1</f>
        <v>1</v>
      </c>
    </row>
    <row r="2038">
      <c r="A2038" t="n">
        <v>2037</v>
      </c>
      <c r="B2038" t="inlineStr">
        <is>
          <t>A</t>
        </is>
      </c>
      <c r="C2038">
        <f>1</f>
        <v>1</v>
      </c>
      <c r="D2038">
        <f>IF(OR(F_Custom1_Q="(None)",F_Custom1_Q="",ISBLANK(F_Custom1_Q),F_Custom1_V="(All)",F_Custom1_V="",ISBLANK(F_Custom1_V)),1,IFERROR(IF(ISNUMBER(SEARCH("|"&amp;INDEX(INDIRECT(F_Custom1_resolved_column),2037)&amp;"|",F_Custom1_wrapped)),1,0),0))</f>
        <v>1</v>
      </c>
      <c r="E2038">
        <f>IF(OR(F_Custom2_Q="(None)",F_Custom2_Q="",ISBLANK(F_Custom2_Q),F_Custom2_V="(All)",F_Custom2_V="",ISBLANK(F_Custom2_V)),1,IFERROR(IF(ISNUMBER(SEARCH("|"&amp;INDEX(INDIRECT(F_Custom2_resolved_column),2037)&amp;"|",F_Custom2_wrapped)),1,0),0))</f>
        <v>1</v>
      </c>
      <c r="F2038">
        <f>D2038*E2038*1</f>
        <v>1</v>
      </c>
      <c r="G2038">
        <f>1</f>
        <v>1</v>
      </c>
      <c r="H20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2037)&amp;"|",All_Questions_Q_STREAM_F_wrapped)),1,0),0))*1</f>
        <v>1</v>
      </c>
    </row>
    <row r="2039">
      <c r="A2039" t="n">
        <v>2038</v>
      </c>
      <c r="B2039" t="inlineStr">
        <is>
          <t>B</t>
        </is>
      </c>
      <c r="C2039">
        <f>1</f>
        <v>1</v>
      </c>
      <c r="D2039">
        <f>IF(OR(F_Custom1_Q="(None)",F_Custom1_Q="",ISBLANK(F_Custom1_Q),F_Custom1_V="(All)",F_Custom1_V="",ISBLANK(F_Custom1_V)),1,IFERROR(IF(ISNUMBER(SEARCH("|"&amp;INDEX(INDIRECT(F_Custom1_resolved_column),2038)&amp;"|",F_Custom1_wrapped)),1,0),0))</f>
        <v>1</v>
      </c>
      <c r="E2039">
        <f>IF(OR(F_Custom2_Q="(None)",F_Custom2_Q="",ISBLANK(F_Custom2_Q),F_Custom2_V="(All)",F_Custom2_V="",ISBLANK(F_Custom2_V)),1,IFERROR(IF(ISNUMBER(SEARCH("|"&amp;INDEX(INDIRECT(F_Custom2_resolved_column),2038)&amp;"|",F_Custom2_wrapped)),1,0),0))</f>
        <v>1</v>
      </c>
      <c r="F2039">
        <f>D2039*E2039*1</f>
        <v>1</v>
      </c>
      <c r="G2039">
        <f>1</f>
        <v>1</v>
      </c>
      <c r="H20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2038)&amp;"|",All_Questions_Q_STREAM_F_wrapped)),1,0),0))*1</f>
        <v>1</v>
      </c>
    </row>
    <row r="2040">
      <c r="A2040" t="n">
        <v>2039</v>
      </c>
      <c r="B2040" t="inlineStr">
        <is>
          <t>A</t>
        </is>
      </c>
      <c r="C2040">
        <f>1</f>
        <v>1</v>
      </c>
      <c r="D2040">
        <f>IF(OR(F_Custom1_Q="(None)",F_Custom1_Q="",ISBLANK(F_Custom1_Q),F_Custom1_V="(All)",F_Custom1_V="",ISBLANK(F_Custom1_V)),1,IFERROR(IF(ISNUMBER(SEARCH("|"&amp;INDEX(INDIRECT(F_Custom1_resolved_column),2039)&amp;"|",F_Custom1_wrapped)),1,0),0))</f>
        <v>1</v>
      </c>
      <c r="E2040">
        <f>IF(OR(F_Custom2_Q="(None)",F_Custom2_Q="",ISBLANK(F_Custom2_Q),F_Custom2_V="(All)",F_Custom2_V="",ISBLANK(F_Custom2_V)),1,IFERROR(IF(ISNUMBER(SEARCH("|"&amp;INDEX(INDIRECT(F_Custom2_resolved_column),2039)&amp;"|",F_Custom2_wrapped)),1,0),0))</f>
        <v>1</v>
      </c>
      <c r="F2040">
        <f>D2040*E2040*1</f>
        <v>1</v>
      </c>
      <c r="G2040">
        <f>1</f>
        <v>1</v>
      </c>
      <c r="H20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2039)&amp;"|",All_Questions_Q_STREAM_F_wrapped)),1,0),0))*1</f>
        <v>1</v>
      </c>
    </row>
    <row r="2041">
      <c r="A2041" t="n">
        <v>2040</v>
      </c>
      <c r="B2041" t="inlineStr">
        <is>
          <t>B</t>
        </is>
      </c>
      <c r="C2041">
        <f>1</f>
        <v>1</v>
      </c>
      <c r="D2041">
        <f>IF(OR(F_Custom1_Q="(None)",F_Custom1_Q="",ISBLANK(F_Custom1_Q),F_Custom1_V="(All)",F_Custom1_V="",ISBLANK(F_Custom1_V)),1,IFERROR(IF(ISNUMBER(SEARCH("|"&amp;INDEX(INDIRECT(F_Custom1_resolved_column),2040)&amp;"|",F_Custom1_wrapped)),1,0),0))</f>
        <v>1</v>
      </c>
      <c r="E2041">
        <f>IF(OR(F_Custom2_Q="(None)",F_Custom2_Q="",ISBLANK(F_Custom2_Q),F_Custom2_V="(All)",F_Custom2_V="",ISBLANK(F_Custom2_V)),1,IFERROR(IF(ISNUMBER(SEARCH("|"&amp;INDEX(INDIRECT(F_Custom2_resolved_column),2040)&amp;"|",F_Custom2_wrapped)),1,0),0))</f>
        <v>1</v>
      </c>
      <c r="F2041">
        <f>D2041*E2041*1</f>
        <v>1</v>
      </c>
      <c r="G2041">
        <f>1</f>
        <v>1</v>
      </c>
      <c r="H20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2040)&amp;"|",All_Questions_Q_STREAM_F_wrapped)),1,0),0))*1</f>
        <v>1</v>
      </c>
    </row>
    <row r="2042">
      <c r="A2042" t="n">
        <v>2041</v>
      </c>
      <c r="B2042" t="inlineStr">
        <is>
          <t>A</t>
        </is>
      </c>
      <c r="C2042">
        <f>1</f>
        <v>1</v>
      </c>
      <c r="D2042">
        <f>IF(OR(F_Custom1_Q="(None)",F_Custom1_Q="",ISBLANK(F_Custom1_Q),F_Custom1_V="(All)",F_Custom1_V="",ISBLANK(F_Custom1_V)),1,IFERROR(IF(ISNUMBER(SEARCH("|"&amp;INDEX(INDIRECT(F_Custom1_resolved_column),2041)&amp;"|",F_Custom1_wrapped)),1,0),0))</f>
        <v>1</v>
      </c>
      <c r="E2042">
        <f>IF(OR(F_Custom2_Q="(None)",F_Custom2_Q="",ISBLANK(F_Custom2_Q),F_Custom2_V="(All)",F_Custom2_V="",ISBLANK(F_Custom2_V)),1,IFERROR(IF(ISNUMBER(SEARCH("|"&amp;INDEX(INDIRECT(F_Custom2_resolved_column),2041)&amp;"|",F_Custom2_wrapped)),1,0),0))</f>
        <v>1</v>
      </c>
      <c r="F2042">
        <f>D2042*E2042*1</f>
        <v>1</v>
      </c>
      <c r="G2042">
        <f>1</f>
        <v>1</v>
      </c>
      <c r="H20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2041)&amp;"|",All_Questions_Q_STREAM_F_wrapped)),1,0),0))*1</f>
        <v>1</v>
      </c>
    </row>
    <row r="2043">
      <c r="A2043" t="n">
        <v>2042</v>
      </c>
      <c r="B2043" t="inlineStr">
        <is>
          <t>B</t>
        </is>
      </c>
      <c r="C2043">
        <f>1</f>
        <v>1</v>
      </c>
      <c r="D2043">
        <f>IF(OR(F_Custom1_Q="(None)",F_Custom1_Q="",ISBLANK(F_Custom1_Q),F_Custom1_V="(All)",F_Custom1_V="",ISBLANK(F_Custom1_V)),1,IFERROR(IF(ISNUMBER(SEARCH("|"&amp;INDEX(INDIRECT(F_Custom1_resolved_column),2042)&amp;"|",F_Custom1_wrapped)),1,0),0))</f>
        <v>1</v>
      </c>
      <c r="E2043">
        <f>IF(OR(F_Custom2_Q="(None)",F_Custom2_Q="",ISBLANK(F_Custom2_Q),F_Custom2_V="(All)",F_Custom2_V="",ISBLANK(F_Custom2_V)),1,IFERROR(IF(ISNUMBER(SEARCH("|"&amp;INDEX(INDIRECT(F_Custom2_resolved_column),2042)&amp;"|",F_Custom2_wrapped)),1,0),0))</f>
        <v>1</v>
      </c>
      <c r="F2043">
        <f>D2043*E2043*1</f>
        <v>1</v>
      </c>
      <c r="G2043">
        <f>1</f>
        <v>1</v>
      </c>
      <c r="H20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2042)&amp;"|",All_Questions_Q_STREAM_F_wrapped)),1,0),0))*1</f>
        <v>1</v>
      </c>
    </row>
    <row r="2044">
      <c r="A2044" t="n">
        <v>2043</v>
      </c>
      <c r="B2044" t="inlineStr">
        <is>
          <t>A</t>
        </is>
      </c>
      <c r="C2044">
        <f>1</f>
        <v>1</v>
      </c>
      <c r="D2044">
        <f>IF(OR(F_Custom1_Q="(None)",F_Custom1_Q="",ISBLANK(F_Custom1_Q),F_Custom1_V="(All)",F_Custom1_V="",ISBLANK(F_Custom1_V)),1,IFERROR(IF(ISNUMBER(SEARCH("|"&amp;INDEX(INDIRECT(F_Custom1_resolved_column),2043)&amp;"|",F_Custom1_wrapped)),1,0),0))</f>
        <v>1</v>
      </c>
      <c r="E2044">
        <f>IF(OR(F_Custom2_Q="(None)",F_Custom2_Q="",ISBLANK(F_Custom2_Q),F_Custom2_V="(All)",F_Custom2_V="",ISBLANK(F_Custom2_V)),1,IFERROR(IF(ISNUMBER(SEARCH("|"&amp;INDEX(INDIRECT(F_Custom2_resolved_column),2043)&amp;"|",F_Custom2_wrapped)),1,0),0))</f>
        <v>1</v>
      </c>
      <c r="F2044">
        <f>D2044*E2044*1</f>
        <v>1</v>
      </c>
      <c r="G2044">
        <f>1</f>
        <v>1</v>
      </c>
      <c r="H20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2043)&amp;"|",All_Questions_Q_STREAM_F_wrapped)),1,0),0))*1</f>
        <v>1</v>
      </c>
    </row>
    <row r="2045">
      <c r="A2045" t="n">
        <v>2044</v>
      </c>
      <c r="B2045" t="inlineStr">
        <is>
          <t>B</t>
        </is>
      </c>
      <c r="C2045">
        <f>1</f>
        <v>1</v>
      </c>
      <c r="D2045">
        <f>IF(OR(F_Custom1_Q="(None)",F_Custom1_Q="",ISBLANK(F_Custom1_Q),F_Custom1_V="(All)",F_Custom1_V="",ISBLANK(F_Custom1_V)),1,IFERROR(IF(ISNUMBER(SEARCH("|"&amp;INDEX(INDIRECT(F_Custom1_resolved_column),2044)&amp;"|",F_Custom1_wrapped)),1,0),0))</f>
        <v>1</v>
      </c>
      <c r="E2045">
        <f>IF(OR(F_Custom2_Q="(None)",F_Custom2_Q="",ISBLANK(F_Custom2_Q),F_Custom2_V="(All)",F_Custom2_V="",ISBLANK(F_Custom2_V)),1,IFERROR(IF(ISNUMBER(SEARCH("|"&amp;INDEX(INDIRECT(F_Custom2_resolved_column),2044)&amp;"|",F_Custom2_wrapped)),1,0),0))</f>
        <v>1</v>
      </c>
      <c r="F2045">
        <f>D2045*E2045*1</f>
        <v>1</v>
      </c>
      <c r="G2045">
        <f>1</f>
        <v>1</v>
      </c>
      <c r="H20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2044)&amp;"|",All_Questions_Q_STREAM_F_wrapped)),1,0),0))*1</f>
        <v>1</v>
      </c>
    </row>
    <row r="2046">
      <c r="A2046" t="n">
        <v>2045</v>
      </c>
      <c r="B2046" t="inlineStr">
        <is>
          <t>A</t>
        </is>
      </c>
      <c r="C2046">
        <f>1</f>
        <v>1</v>
      </c>
      <c r="D2046">
        <f>IF(OR(F_Custom1_Q="(None)",F_Custom1_Q="",ISBLANK(F_Custom1_Q),F_Custom1_V="(All)",F_Custom1_V="",ISBLANK(F_Custom1_V)),1,IFERROR(IF(ISNUMBER(SEARCH("|"&amp;INDEX(INDIRECT(F_Custom1_resolved_column),2045)&amp;"|",F_Custom1_wrapped)),1,0),0))</f>
        <v>1</v>
      </c>
      <c r="E2046">
        <f>IF(OR(F_Custom2_Q="(None)",F_Custom2_Q="",ISBLANK(F_Custom2_Q),F_Custom2_V="(All)",F_Custom2_V="",ISBLANK(F_Custom2_V)),1,IFERROR(IF(ISNUMBER(SEARCH("|"&amp;INDEX(INDIRECT(F_Custom2_resolved_column),2045)&amp;"|",F_Custom2_wrapped)),1,0),0))</f>
        <v>1</v>
      </c>
      <c r="F2046">
        <f>D2046*E2046*1</f>
        <v>1</v>
      </c>
      <c r="G2046">
        <f>1</f>
        <v>1</v>
      </c>
      <c r="H20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2045)&amp;"|",All_Questions_Q_STREAM_F_wrapped)),1,0),0))*1</f>
        <v>1</v>
      </c>
    </row>
    <row r="2047">
      <c r="A2047" t="n">
        <v>2046</v>
      </c>
      <c r="B2047" t="inlineStr">
        <is>
          <t>B</t>
        </is>
      </c>
      <c r="C2047">
        <f>1</f>
        <v>1</v>
      </c>
      <c r="D2047">
        <f>IF(OR(F_Custom1_Q="(None)",F_Custom1_Q="",ISBLANK(F_Custom1_Q),F_Custom1_V="(All)",F_Custom1_V="",ISBLANK(F_Custom1_V)),1,IFERROR(IF(ISNUMBER(SEARCH("|"&amp;INDEX(INDIRECT(F_Custom1_resolved_column),2046)&amp;"|",F_Custom1_wrapped)),1,0),0))</f>
        <v>1</v>
      </c>
      <c r="E2047">
        <f>IF(OR(F_Custom2_Q="(None)",F_Custom2_Q="",ISBLANK(F_Custom2_Q),F_Custom2_V="(All)",F_Custom2_V="",ISBLANK(F_Custom2_V)),1,IFERROR(IF(ISNUMBER(SEARCH("|"&amp;INDEX(INDIRECT(F_Custom2_resolved_column),2046)&amp;"|",F_Custom2_wrapped)),1,0),0))</f>
        <v>1</v>
      </c>
      <c r="F2047">
        <f>D2047*E2047*1</f>
        <v>1</v>
      </c>
      <c r="G2047">
        <f>1</f>
        <v>1</v>
      </c>
      <c r="H20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2046)&amp;"|",All_Questions_Q_STREAM_F_wrapped)),1,0),0))*1</f>
        <v>1</v>
      </c>
    </row>
    <row r="2048">
      <c r="A2048" t="n">
        <v>2047</v>
      </c>
      <c r="B2048" t="inlineStr">
        <is>
          <t>A</t>
        </is>
      </c>
      <c r="C2048">
        <f>1</f>
        <v>1</v>
      </c>
      <c r="D2048">
        <f>IF(OR(F_Custom1_Q="(None)",F_Custom1_Q="",ISBLANK(F_Custom1_Q),F_Custom1_V="(All)",F_Custom1_V="",ISBLANK(F_Custom1_V)),1,IFERROR(IF(ISNUMBER(SEARCH("|"&amp;INDEX(INDIRECT(F_Custom1_resolved_column),2047)&amp;"|",F_Custom1_wrapped)),1,0),0))</f>
        <v>1</v>
      </c>
      <c r="E2048">
        <f>IF(OR(F_Custom2_Q="(None)",F_Custom2_Q="",ISBLANK(F_Custom2_Q),F_Custom2_V="(All)",F_Custom2_V="",ISBLANK(F_Custom2_V)),1,IFERROR(IF(ISNUMBER(SEARCH("|"&amp;INDEX(INDIRECT(F_Custom2_resolved_column),2047)&amp;"|",F_Custom2_wrapped)),1,0),0))</f>
        <v>1</v>
      </c>
      <c r="F2048">
        <f>D2048*E2048*1</f>
        <v>1</v>
      </c>
      <c r="G2048">
        <f>1</f>
        <v>1</v>
      </c>
      <c r="H20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2047)&amp;"|",All_Questions_Q_STREAM_F_wrapped)),1,0),0))*1</f>
        <v>1</v>
      </c>
    </row>
    <row r="2049">
      <c r="A2049" t="n">
        <v>2048</v>
      </c>
      <c r="B2049" t="inlineStr">
        <is>
          <t>B</t>
        </is>
      </c>
      <c r="C2049">
        <f>1</f>
        <v>1</v>
      </c>
      <c r="D2049">
        <f>IF(OR(F_Custom1_Q="(None)",F_Custom1_Q="",ISBLANK(F_Custom1_Q),F_Custom1_V="(All)",F_Custom1_V="",ISBLANK(F_Custom1_V)),1,IFERROR(IF(ISNUMBER(SEARCH("|"&amp;INDEX(INDIRECT(F_Custom1_resolved_column),2048)&amp;"|",F_Custom1_wrapped)),1,0),0))</f>
        <v>1</v>
      </c>
      <c r="E2049">
        <f>IF(OR(F_Custom2_Q="(None)",F_Custom2_Q="",ISBLANK(F_Custom2_Q),F_Custom2_V="(All)",F_Custom2_V="",ISBLANK(F_Custom2_V)),1,IFERROR(IF(ISNUMBER(SEARCH("|"&amp;INDEX(INDIRECT(F_Custom2_resolved_column),2048)&amp;"|",F_Custom2_wrapped)),1,0),0))</f>
        <v>1</v>
      </c>
      <c r="F2049">
        <f>D2049*E2049*1</f>
        <v>1</v>
      </c>
      <c r="G2049">
        <f>1</f>
        <v>1</v>
      </c>
      <c r="H20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2048)&amp;"|",All_Questions_Q_STREAM_F_wrapped)),1,0),0))*1</f>
        <v>1</v>
      </c>
    </row>
    <row r="2050">
      <c r="A2050" t="n">
        <v>2049</v>
      </c>
      <c r="B2050" t="inlineStr">
        <is>
          <t>A</t>
        </is>
      </c>
      <c r="C2050">
        <f>1</f>
        <v>1</v>
      </c>
      <c r="D2050">
        <f>IF(OR(F_Custom1_Q="(None)",F_Custom1_Q="",ISBLANK(F_Custom1_Q),F_Custom1_V="(All)",F_Custom1_V="",ISBLANK(F_Custom1_V)),1,IFERROR(IF(ISNUMBER(SEARCH("|"&amp;INDEX(INDIRECT(F_Custom1_resolved_column),2049)&amp;"|",F_Custom1_wrapped)),1,0),0))</f>
        <v>1</v>
      </c>
      <c r="E2050">
        <f>IF(OR(F_Custom2_Q="(None)",F_Custom2_Q="",ISBLANK(F_Custom2_Q),F_Custom2_V="(All)",F_Custom2_V="",ISBLANK(F_Custom2_V)),1,IFERROR(IF(ISNUMBER(SEARCH("|"&amp;INDEX(INDIRECT(F_Custom2_resolved_column),2049)&amp;"|",F_Custom2_wrapped)),1,0),0))</f>
        <v>1</v>
      </c>
      <c r="F2050">
        <f>D2050*E2050*1</f>
        <v>1</v>
      </c>
      <c r="G2050">
        <f>1</f>
        <v>1</v>
      </c>
      <c r="H20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2049)&amp;"|",All_Questions_Q_STREAM_F_wrapped)),1,0),0))*1</f>
        <v>1</v>
      </c>
    </row>
    <row r="2051">
      <c r="A2051" t="n">
        <v>2050</v>
      </c>
      <c r="B2051" t="inlineStr">
        <is>
          <t>B</t>
        </is>
      </c>
      <c r="C2051">
        <f>1</f>
        <v>1</v>
      </c>
      <c r="D2051">
        <f>IF(OR(F_Custom1_Q="(None)",F_Custom1_Q="",ISBLANK(F_Custom1_Q),F_Custom1_V="(All)",F_Custom1_V="",ISBLANK(F_Custom1_V)),1,IFERROR(IF(ISNUMBER(SEARCH("|"&amp;INDEX(INDIRECT(F_Custom1_resolved_column),2050)&amp;"|",F_Custom1_wrapped)),1,0),0))</f>
        <v>1</v>
      </c>
      <c r="E2051">
        <f>IF(OR(F_Custom2_Q="(None)",F_Custom2_Q="",ISBLANK(F_Custom2_Q),F_Custom2_V="(All)",F_Custom2_V="",ISBLANK(F_Custom2_V)),1,IFERROR(IF(ISNUMBER(SEARCH("|"&amp;INDEX(INDIRECT(F_Custom2_resolved_column),2050)&amp;"|",F_Custom2_wrapped)),1,0),0))</f>
        <v>1</v>
      </c>
      <c r="F2051">
        <f>D2051*E2051*1</f>
        <v>1</v>
      </c>
      <c r="G2051">
        <f>1</f>
        <v>1</v>
      </c>
      <c r="H20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2050)&amp;"|",All_Questions_Q_STREAM_F_wrapped)),1,0),0))*1</f>
        <v>1</v>
      </c>
    </row>
    <row r="2052">
      <c r="A2052" t="n">
        <v>2051</v>
      </c>
      <c r="B2052" t="inlineStr">
        <is>
          <t>A</t>
        </is>
      </c>
      <c r="C2052">
        <f>1</f>
        <v>1</v>
      </c>
      <c r="D2052">
        <f>IF(OR(F_Custom1_Q="(None)",F_Custom1_Q="",ISBLANK(F_Custom1_Q),F_Custom1_V="(All)",F_Custom1_V="",ISBLANK(F_Custom1_V)),1,IFERROR(IF(ISNUMBER(SEARCH("|"&amp;INDEX(INDIRECT(F_Custom1_resolved_column),2051)&amp;"|",F_Custom1_wrapped)),1,0),0))</f>
        <v>1</v>
      </c>
      <c r="E2052">
        <f>IF(OR(F_Custom2_Q="(None)",F_Custom2_Q="",ISBLANK(F_Custom2_Q),F_Custom2_V="(All)",F_Custom2_V="",ISBLANK(F_Custom2_V)),1,IFERROR(IF(ISNUMBER(SEARCH("|"&amp;INDEX(INDIRECT(F_Custom2_resolved_column),2051)&amp;"|",F_Custom2_wrapped)),1,0),0))</f>
        <v>1</v>
      </c>
      <c r="F2052">
        <f>D2052*E2052*1</f>
        <v>1</v>
      </c>
      <c r="G2052">
        <f>1</f>
        <v>1</v>
      </c>
      <c r="H20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2051)&amp;"|",All_Questions_Q_STREAM_F_wrapped)),1,0),0))*1</f>
        <v>1</v>
      </c>
    </row>
    <row r="2053">
      <c r="A2053" t="n">
        <v>2052</v>
      </c>
      <c r="B2053" t="inlineStr">
        <is>
          <t>B</t>
        </is>
      </c>
      <c r="C2053">
        <f>1</f>
        <v>1</v>
      </c>
      <c r="D2053">
        <f>IF(OR(F_Custom1_Q="(None)",F_Custom1_Q="",ISBLANK(F_Custom1_Q),F_Custom1_V="(All)",F_Custom1_V="",ISBLANK(F_Custom1_V)),1,IFERROR(IF(ISNUMBER(SEARCH("|"&amp;INDEX(INDIRECT(F_Custom1_resolved_column),2052)&amp;"|",F_Custom1_wrapped)),1,0),0))</f>
        <v>1</v>
      </c>
      <c r="E2053">
        <f>IF(OR(F_Custom2_Q="(None)",F_Custom2_Q="",ISBLANK(F_Custom2_Q),F_Custom2_V="(All)",F_Custom2_V="",ISBLANK(F_Custom2_V)),1,IFERROR(IF(ISNUMBER(SEARCH("|"&amp;INDEX(INDIRECT(F_Custom2_resolved_column),2052)&amp;"|",F_Custom2_wrapped)),1,0),0))</f>
        <v>1</v>
      </c>
      <c r="F2053">
        <f>D2053*E2053*1</f>
        <v>1</v>
      </c>
      <c r="G2053">
        <f>1</f>
        <v>1</v>
      </c>
      <c r="H20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2052)&amp;"|",All_Questions_Q_STREAM_F_wrapped)),1,0),0))*1</f>
        <v>1</v>
      </c>
    </row>
    <row r="2054">
      <c r="A2054" t="n">
        <v>2053</v>
      </c>
      <c r="B2054" t="inlineStr">
        <is>
          <t>A</t>
        </is>
      </c>
      <c r="C2054">
        <f>1</f>
        <v>1</v>
      </c>
      <c r="D2054">
        <f>IF(OR(F_Custom1_Q="(None)",F_Custom1_Q="",ISBLANK(F_Custom1_Q),F_Custom1_V="(All)",F_Custom1_V="",ISBLANK(F_Custom1_V)),1,IFERROR(IF(ISNUMBER(SEARCH("|"&amp;INDEX(INDIRECT(F_Custom1_resolved_column),2053)&amp;"|",F_Custom1_wrapped)),1,0),0))</f>
        <v>1</v>
      </c>
      <c r="E2054">
        <f>IF(OR(F_Custom2_Q="(None)",F_Custom2_Q="",ISBLANK(F_Custom2_Q),F_Custom2_V="(All)",F_Custom2_V="",ISBLANK(F_Custom2_V)),1,IFERROR(IF(ISNUMBER(SEARCH("|"&amp;INDEX(INDIRECT(F_Custom2_resolved_column),2053)&amp;"|",F_Custom2_wrapped)),1,0),0))</f>
        <v>1</v>
      </c>
      <c r="F2054">
        <f>D2054*E2054*1</f>
        <v>1</v>
      </c>
      <c r="G2054">
        <f>1</f>
        <v>1</v>
      </c>
      <c r="H20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2053)&amp;"|",All_Questions_Q_STREAM_F_wrapped)),1,0),0))*1</f>
        <v>1</v>
      </c>
    </row>
    <row r="2055">
      <c r="A2055" t="n">
        <v>2054</v>
      </c>
      <c r="B2055" t="inlineStr">
        <is>
          <t>B</t>
        </is>
      </c>
      <c r="C2055">
        <f>1</f>
        <v>1</v>
      </c>
      <c r="D2055">
        <f>IF(OR(F_Custom1_Q="(None)",F_Custom1_Q="",ISBLANK(F_Custom1_Q),F_Custom1_V="(All)",F_Custom1_V="",ISBLANK(F_Custom1_V)),1,IFERROR(IF(ISNUMBER(SEARCH("|"&amp;INDEX(INDIRECT(F_Custom1_resolved_column),2054)&amp;"|",F_Custom1_wrapped)),1,0),0))</f>
        <v>1</v>
      </c>
      <c r="E2055">
        <f>IF(OR(F_Custom2_Q="(None)",F_Custom2_Q="",ISBLANK(F_Custom2_Q),F_Custom2_V="(All)",F_Custom2_V="",ISBLANK(F_Custom2_V)),1,IFERROR(IF(ISNUMBER(SEARCH("|"&amp;INDEX(INDIRECT(F_Custom2_resolved_column),2054)&amp;"|",F_Custom2_wrapped)),1,0),0))</f>
        <v>1</v>
      </c>
      <c r="F2055">
        <f>D2055*E2055*1</f>
        <v>1</v>
      </c>
      <c r="G2055">
        <f>1</f>
        <v>1</v>
      </c>
      <c r="H20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2054)&amp;"|",All_Questions_Q_STREAM_F_wrapped)),1,0),0))*1</f>
        <v>1</v>
      </c>
    </row>
    <row r="2056">
      <c r="A2056" t="n">
        <v>2055</v>
      </c>
      <c r="B2056" t="inlineStr">
        <is>
          <t>A</t>
        </is>
      </c>
      <c r="C2056">
        <f>1</f>
        <v>1</v>
      </c>
      <c r="D2056">
        <f>IF(OR(F_Custom1_Q="(None)",F_Custom1_Q="",ISBLANK(F_Custom1_Q),F_Custom1_V="(All)",F_Custom1_V="",ISBLANK(F_Custom1_V)),1,IFERROR(IF(ISNUMBER(SEARCH("|"&amp;INDEX(INDIRECT(F_Custom1_resolved_column),2055)&amp;"|",F_Custom1_wrapped)),1,0),0))</f>
        <v>1</v>
      </c>
      <c r="E2056">
        <f>IF(OR(F_Custom2_Q="(None)",F_Custom2_Q="",ISBLANK(F_Custom2_Q),F_Custom2_V="(All)",F_Custom2_V="",ISBLANK(F_Custom2_V)),1,IFERROR(IF(ISNUMBER(SEARCH("|"&amp;INDEX(INDIRECT(F_Custom2_resolved_column),2055)&amp;"|",F_Custom2_wrapped)),1,0),0))</f>
        <v>1</v>
      </c>
      <c r="F2056">
        <f>D2056*E2056*1</f>
        <v>1</v>
      </c>
      <c r="G2056">
        <f>1</f>
        <v>1</v>
      </c>
      <c r="H20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2055)&amp;"|",All_Questions_Q_STREAM_F_wrapped)),1,0),0))*1</f>
        <v>1</v>
      </c>
    </row>
    <row r="2057">
      <c r="A2057" t="n">
        <v>2056</v>
      </c>
      <c r="B2057" t="inlineStr">
        <is>
          <t>B</t>
        </is>
      </c>
      <c r="C2057">
        <f>1</f>
        <v>1</v>
      </c>
      <c r="D2057">
        <f>IF(OR(F_Custom1_Q="(None)",F_Custom1_Q="",ISBLANK(F_Custom1_Q),F_Custom1_V="(All)",F_Custom1_V="",ISBLANK(F_Custom1_V)),1,IFERROR(IF(ISNUMBER(SEARCH("|"&amp;INDEX(INDIRECT(F_Custom1_resolved_column),2056)&amp;"|",F_Custom1_wrapped)),1,0),0))</f>
        <v>1</v>
      </c>
      <c r="E2057">
        <f>IF(OR(F_Custom2_Q="(None)",F_Custom2_Q="",ISBLANK(F_Custom2_Q),F_Custom2_V="(All)",F_Custom2_V="",ISBLANK(F_Custom2_V)),1,IFERROR(IF(ISNUMBER(SEARCH("|"&amp;INDEX(INDIRECT(F_Custom2_resolved_column),2056)&amp;"|",F_Custom2_wrapped)),1,0),0))</f>
        <v>1</v>
      </c>
      <c r="F2057">
        <f>D2057*E2057*1</f>
        <v>1</v>
      </c>
      <c r="G2057">
        <f>1</f>
        <v>1</v>
      </c>
      <c r="H20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2056)&amp;"|",All_Questions_Q_STREAM_F_wrapped)),1,0),0))*1</f>
        <v>1</v>
      </c>
    </row>
    <row r="2058">
      <c r="A2058" t="n">
        <v>2057</v>
      </c>
      <c r="B2058" t="inlineStr">
        <is>
          <t>A</t>
        </is>
      </c>
      <c r="C2058">
        <f>1</f>
        <v>1</v>
      </c>
      <c r="D2058">
        <f>IF(OR(F_Custom1_Q="(None)",F_Custom1_Q="",ISBLANK(F_Custom1_Q),F_Custom1_V="(All)",F_Custom1_V="",ISBLANK(F_Custom1_V)),1,IFERROR(IF(ISNUMBER(SEARCH("|"&amp;INDEX(INDIRECT(F_Custom1_resolved_column),2057)&amp;"|",F_Custom1_wrapped)),1,0),0))</f>
        <v>1</v>
      </c>
      <c r="E2058">
        <f>IF(OR(F_Custom2_Q="(None)",F_Custom2_Q="",ISBLANK(F_Custom2_Q),F_Custom2_V="(All)",F_Custom2_V="",ISBLANK(F_Custom2_V)),1,IFERROR(IF(ISNUMBER(SEARCH("|"&amp;INDEX(INDIRECT(F_Custom2_resolved_column),2057)&amp;"|",F_Custom2_wrapped)),1,0),0))</f>
        <v>1</v>
      </c>
      <c r="F2058">
        <f>D2058*E2058*1</f>
        <v>1</v>
      </c>
      <c r="G2058">
        <f>1</f>
        <v>1</v>
      </c>
      <c r="H20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2057)&amp;"|",All_Questions_Q_STREAM_F_wrapped)),1,0),0))*1</f>
        <v>1</v>
      </c>
    </row>
    <row r="2059">
      <c r="A2059" t="n">
        <v>2058</v>
      </c>
      <c r="B2059" t="inlineStr">
        <is>
          <t>B</t>
        </is>
      </c>
      <c r="C2059">
        <f>1</f>
        <v>1</v>
      </c>
      <c r="D2059">
        <f>IF(OR(F_Custom1_Q="(None)",F_Custom1_Q="",ISBLANK(F_Custom1_Q),F_Custom1_V="(All)",F_Custom1_V="",ISBLANK(F_Custom1_V)),1,IFERROR(IF(ISNUMBER(SEARCH("|"&amp;INDEX(INDIRECT(F_Custom1_resolved_column),2058)&amp;"|",F_Custom1_wrapped)),1,0),0))</f>
        <v>1</v>
      </c>
      <c r="E2059">
        <f>IF(OR(F_Custom2_Q="(None)",F_Custom2_Q="",ISBLANK(F_Custom2_Q),F_Custom2_V="(All)",F_Custom2_V="",ISBLANK(F_Custom2_V)),1,IFERROR(IF(ISNUMBER(SEARCH("|"&amp;INDEX(INDIRECT(F_Custom2_resolved_column),2058)&amp;"|",F_Custom2_wrapped)),1,0),0))</f>
        <v>1</v>
      </c>
      <c r="F2059">
        <f>D2059*E2059*1</f>
        <v>1</v>
      </c>
      <c r="G2059">
        <f>1</f>
        <v>1</v>
      </c>
      <c r="H20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2058)&amp;"|",All_Questions_Q_STREAM_F_wrapped)),1,0),0))*1</f>
        <v>1</v>
      </c>
    </row>
    <row r="2060">
      <c r="A2060" t="n">
        <v>2059</v>
      </c>
      <c r="B2060" t="inlineStr">
        <is>
          <t>A</t>
        </is>
      </c>
      <c r="C2060">
        <f>1</f>
        <v>1</v>
      </c>
      <c r="D2060">
        <f>IF(OR(F_Custom1_Q="(None)",F_Custom1_Q="",ISBLANK(F_Custom1_Q),F_Custom1_V="(All)",F_Custom1_V="",ISBLANK(F_Custom1_V)),1,IFERROR(IF(ISNUMBER(SEARCH("|"&amp;INDEX(INDIRECT(F_Custom1_resolved_column),2059)&amp;"|",F_Custom1_wrapped)),1,0),0))</f>
        <v>1</v>
      </c>
      <c r="E2060">
        <f>IF(OR(F_Custom2_Q="(None)",F_Custom2_Q="",ISBLANK(F_Custom2_Q),F_Custom2_V="(All)",F_Custom2_V="",ISBLANK(F_Custom2_V)),1,IFERROR(IF(ISNUMBER(SEARCH("|"&amp;INDEX(INDIRECT(F_Custom2_resolved_column),2059)&amp;"|",F_Custom2_wrapped)),1,0),0))</f>
        <v>1</v>
      </c>
      <c r="F2060">
        <f>D2060*E2060*1</f>
        <v>1</v>
      </c>
      <c r="G2060">
        <f>1</f>
        <v>1</v>
      </c>
      <c r="H20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2059)&amp;"|",All_Questions_Q_STREAM_F_wrapped)),1,0),0))*1</f>
        <v>1</v>
      </c>
    </row>
    <row r="2061">
      <c r="A2061" t="n">
        <v>2060</v>
      </c>
      <c r="B2061" t="inlineStr">
        <is>
          <t>B</t>
        </is>
      </c>
      <c r="C2061">
        <f>1</f>
        <v>1</v>
      </c>
      <c r="D2061">
        <f>IF(OR(F_Custom1_Q="(None)",F_Custom1_Q="",ISBLANK(F_Custom1_Q),F_Custom1_V="(All)",F_Custom1_V="",ISBLANK(F_Custom1_V)),1,IFERROR(IF(ISNUMBER(SEARCH("|"&amp;INDEX(INDIRECT(F_Custom1_resolved_column),2060)&amp;"|",F_Custom1_wrapped)),1,0),0))</f>
        <v>1</v>
      </c>
      <c r="E2061">
        <f>IF(OR(F_Custom2_Q="(None)",F_Custom2_Q="",ISBLANK(F_Custom2_Q),F_Custom2_V="(All)",F_Custom2_V="",ISBLANK(F_Custom2_V)),1,IFERROR(IF(ISNUMBER(SEARCH("|"&amp;INDEX(INDIRECT(F_Custom2_resolved_column),2060)&amp;"|",F_Custom2_wrapped)),1,0),0))</f>
        <v>1</v>
      </c>
      <c r="F2061">
        <f>D2061*E2061*1</f>
        <v>1</v>
      </c>
      <c r="G2061">
        <f>1</f>
        <v>1</v>
      </c>
      <c r="H20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2060)&amp;"|",All_Questions_Q_STREAM_F_wrapped)),1,0),0))*1</f>
        <v>1</v>
      </c>
    </row>
    <row r="2062">
      <c r="A2062" t="n">
        <v>2061</v>
      </c>
      <c r="B2062" t="inlineStr">
        <is>
          <t>A</t>
        </is>
      </c>
      <c r="C2062">
        <f>1</f>
        <v>1</v>
      </c>
      <c r="D2062">
        <f>IF(OR(F_Custom1_Q="(None)",F_Custom1_Q="",ISBLANK(F_Custom1_Q),F_Custom1_V="(All)",F_Custom1_V="",ISBLANK(F_Custom1_V)),1,IFERROR(IF(ISNUMBER(SEARCH("|"&amp;INDEX(INDIRECT(F_Custom1_resolved_column),2061)&amp;"|",F_Custom1_wrapped)),1,0),0))</f>
        <v>1</v>
      </c>
      <c r="E2062">
        <f>IF(OR(F_Custom2_Q="(None)",F_Custom2_Q="",ISBLANK(F_Custom2_Q),F_Custom2_V="(All)",F_Custom2_V="",ISBLANK(F_Custom2_V)),1,IFERROR(IF(ISNUMBER(SEARCH("|"&amp;INDEX(INDIRECT(F_Custom2_resolved_column),2061)&amp;"|",F_Custom2_wrapped)),1,0),0))</f>
        <v>1</v>
      </c>
      <c r="F2062">
        <f>D2062*E2062*1</f>
        <v>1</v>
      </c>
      <c r="G2062">
        <f>1</f>
        <v>1</v>
      </c>
      <c r="H20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2061)&amp;"|",All_Questions_Q_STREAM_F_wrapped)),1,0),0))*1</f>
        <v>1</v>
      </c>
    </row>
    <row r="2063">
      <c r="A2063" t="n">
        <v>2062</v>
      </c>
      <c r="B2063" t="inlineStr">
        <is>
          <t>B</t>
        </is>
      </c>
      <c r="C2063">
        <f>1</f>
        <v>1</v>
      </c>
      <c r="D2063">
        <f>IF(OR(F_Custom1_Q="(None)",F_Custom1_Q="",ISBLANK(F_Custom1_Q),F_Custom1_V="(All)",F_Custom1_V="",ISBLANK(F_Custom1_V)),1,IFERROR(IF(ISNUMBER(SEARCH("|"&amp;INDEX(INDIRECT(F_Custom1_resolved_column),2062)&amp;"|",F_Custom1_wrapped)),1,0),0))</f>
        <v>1</v>
      </c>
      <c r="E2063">
        <f>IF(OR(F_Custom2_Q="(None)",F_Custom2_Q="",ISBLANK(F_Custom2_Q),F_Custom2_V="(All)",F_Custom2_V="",ISBLANK(F_Custom2_V)),1,IFERROR(IF(ISNUMBER(SEARCH("|"&amp;INDEX(INDIRECT(F_Custom2_resolved_column),2062)&amp;"|",F_Custom2_wrapped)),1,0),0))</f>
        <v>1</v>
      </c>
      <c r="F2063">
        <f>D2063*E2063*1</f>
        <v>1</v>
      </c>
      <c r="G2063">
        <f>1</f>
        <v>1</v>
      </c>
      <c r="H20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2062)&amp;"|",All_Questions_Q_STREAM_F_wrapped)),1,0),0))*1</f>
        <v>1</v>
      </c>
    </row>
    <row r="2064">
      <c r="A2064" t="n">
        <v>2063</v>
      </c>
      <c r="B2064" t="inlineStr">
        <is>
          <t>A</t>
        </is>
      </c>
      <c r="C2064">
        <f>1</f>
        <v>1</v>
      </c>
      <c r="D2064">
        <f>IF(OR(F_Custom1_Q="(None)",F_Custom1_Q="",ISBLANK(F_Custom1_Q),F_Custom1_V="(All)",F_Custom1_V="",ISBLANK(F_Custom1_V)),1,IFERROR(IF(ISNUMBER(SEARCH("|"&amp;INDEX(INDIRECT(F_Custom1_resolved_column),2063)&amp;"|",F_Custom1_wrapped)),1,0),0))</f>
        <v>1</v>
      </c>
      <c r="E2064">
        <f>IF(OR(F_Custom2_Q="(None)",F_Custom2_Q="",ISBLANK(F_Custom2_Q),F_Custom2_V="(All)",F_Custom2_V="",ISBLANK(F_Custom2_V)),1,IFERROR(IF(ISNUMBER(SEARCH("|"&amp;INDEX(INDIRECT(F_Custom2_resolved_column),2063)&amp;"|",F_Custom2_wrapped)),1,0),0))</f>
        <v>1</v>
      </c>
      <c r="F2064">
        <f>D2064*E2064*1</f>
        <v>1</v>
      </c>
      <c r="G2064">
        <f>1</f>
        <v>1</v>
      </c>
      <c r="H20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2063)&amp;"|",All_Questions_Q_STREAM_F_wrapped)),1,0),0))*1</f>
        <v>1</v>
      </c>
    </row>
    <row r="2065">
      <c r="A2065" t="n">
        <v>2064</v>
      </c>
      <c r="B2065" t="inlineStr">
        <is>
          <t>B</t>
        </is>
      </c>
      <c r="C2065">
        <f>1</f>
        <v>1</v>
      </c>
      <c r="D2065">
        <f>IF(OR(F_Custom1_Q="(None)",F_Custom1_Q="",ISBLANK(F_Custom1_Q),F_Custom1_V="(All)",F_Custom1_V="",ISBLANK(F_Custom1_V)),1,IFERROR(IF(ISNUMBER(SEARCH("|"&amp;INDEX(INDIRECT(F_Custom1_resolved_column),2064)&amp;"|",F_Custom1_wrapped)),1,0),0))</f>
        <v>1</v>
      </c>
      <c r="E2065">
        <f>IF(OR(F_Custom2_Q="(None)",F_Custom2_Q="",ISBLANK(F_Custom2_Q),F_Custom2_V="(All)",F_Custom2_V="",ISBLANK(F_Custom2_V)),1,IFERROR(IF(ISNUMBER(SEARCH("|"&amp;INDEX(INDIRECT(F_Custom2_resolved_column),2064)&amp;"|",F_Custom2_wrapped)),1,0),0))</f>
        <v>1</v>
      </c>
      <c r="F2065">
        <f>D2065*E2065*1</f>
        <v>1</v>
      </c>
      <c r="G2065">
        <f>1</f>
        <v>1</v>
      </c>
      <c r="H20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2064)&amp;"|",All_Questions_Q_STREAM_F_wrapped)),1,0),0))*1</f>
        <v>1</v>
      </c>
    </row>
    <row r="2066">
      <c r="A2066" t="n">
        <v>2065</v>
      </c>
      <c r="B2066" t="inlineStr">
        <is>
          <t>A</t>
        </is>
      </c>
      <c r="C2066">
        <f>1</f>
        <v>1</v>
      </c>
      <c r="D2066">
        <f>IF(OR(F_Custom1_Q="(None)",F_Custom1_Q="",ISBLANK(F_Custom1_Q),F_Custom1_V="(All)",F_Custom1_V="",ISBLANK(F_Custom1_V)),1,IFERROR(IF(ISNUMBER(SEARCH("|"&amp;INDEX(INDIRECT(F_Custom1_resolved_column),2065)&amp;"|",F_Custom1_wrapped)),1,0),0))</f>
        <v>1</v>
      </c>
      <c r="E2066">
        <f>IF(OR(F_Custom2_Q="(None)",F_Custom2_Q="",ISBLANK(F_Custom2_Q),F_Custom2_V="(All)",F_Custom2_V="",ISBLANK(F_Custom2_V)),1,IFERROR(IF(ISNUMBER(SEARCH("|"&amp;INDEX(INDIRECT(F_Custom2_resolved_column),2065)&amp;"|",F_Custom2_wrapped)),1,0),0))</f>
        <v>1</v>
      </c>
      <c r="F2066">
        <f>D2066*E2066*1</f>
        <v>1</v>
      </c>
      <c r="G2066">
        <f>1</f>
        <v>1</v>
      </c>
      <c r="H20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2065)&amp;"|",All_Questions_Q_STREAM_F_wrapped)),1,0),0))*1</f>
        <v>1</v>
      </c>
    </row>
    <row r="2067">
      <c r="A2067" t="n">
        <v>2066</v>
      </c>
      <c r="B2067" t="inlineStr">
        <is>
          <t>B</t>
        </is>
      </c>
      <c r="C2067">
        <f>1</f>
        <v>1</v>
      </c>
      <c r="D2067">
        <f>IF(OR(F_Custom1_Q="(None)",F_Custom1_Q="",ISBLANK(F_Custom1_Q),F_Custom1_V="(All)",F_Custom1_V="",ISBLANK(F_Custom1_V)),1,IFERROR(IF(ISNUMBER(SEARCH("|"&amp;INDEX(INDIRECT(F_Custom1_resolved_column),2066)&amp;"|",F_Custom1_wrapped)),1,0),0))</f>
        <v>1</v>
      </c>
      <c r="E2067">
        <f>IF(OR(F_Custom2_Q="(None)",F_Custom2_Q="",ISBLANK(F_Custom2_Q),F_Custom2_V="(All)",F_Custom2_V="",ISBLANK(F_Custom2_V)),1,IFERROR(IF(ISNUMBER(SEARCH("|"&amp;INDEX(INDIRECT(F_Custom2_resolved_column),2066)&amp;"|",F_Custom2_wrapped)),1,0),0))</f>
        <v>1</v>
      </c>
      <c r="F2067">
        <f>D2067*E2067*1</f>
        <v>1</v>
      </c>
      <c r="G2067">
        <f>1</f>
        <v>1</v>
      </c>
      <c r="H20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2066)&amp;"|",All_Questions_Q_STREAM_F_wrapped)),1,0),0))*1</f>
        <v>1</v>
      </c>
    </row>
    <row r="2068">
      <c r="A2068" t="n">
        <v>2067</v>
      </c>
      <c r="B2068" t="inlineStr">
        <is>
          <t>A</t>
        </is>
      </c>
      <c r="C2068">
        <f>1</f>
        <v>1</v>
      </c>
      <c r="D2068">
        <f>IF(OR(F_Custom1_Q="(None)",F_Custom1_Q="",ISBLANK(F_Custom1_Q),F_Custom1_V="(All)",F_Custom1_V="",ISBLANK(F_Custom1_V)),1,IFERROR(IF(ISNUMBER(SEARCH("|"&amp;INDEX(INDIRECT(F_Custom1_resolved_column),2067)&amp;"|",F_Custom1_wrapped)),1,0),0))</f>
        <v>1</v>
      </c>
      <c r="E2068">
        <f>IF(OR(F_Custom2_Q="(None)",F_Custom2_Q="",ISBLANK(F_Custom2_Q),F_Custom2_V="(All)",F_Custom2_V="",ISBLANK(F_Custom2_V)),1,IFERROR(IF(ISNUMBER(SEARCH("|"&amp;INDEX(INDIRECT(F_Custom2_resolved_column),2067)&amp;"|",F_Custom2_wrapped)),1,0),0))</f>
        <v>1</v>
      </c>
      <c r="F2068">
        <f>D2068*E2068*1</f>
        <v>1</v>
      </c>
      <c r="G2068">
        <f>1</f>
        <v>1</v>
      </c>
      <c r="H20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2067)&amp;"|",All_Questions_Q_STREAM_F_wrapped)),1,0),0))*1</f>
        <v>1</v>
      </c>
    </row>
    <row r="2069">
      <c r="A2069" t="n">
        <v>2068</v>
      </c>
      <c r="B2069" t="inlineStr">
        <is>
          <t>B</t>
        </is>
      </c>
      <c r="C2069">
        <f>1</f>
        <v>1</v>
      </c>
      <c r="D2069">
        <f>IF(OR(F_Custom1_Q="(None)",F_Custom1_Q="",ISBLANK(F_Custom1_Q),F_Custom1_V="(All)",F_Custom1_V="",ISBLANK(F_Custom1_V)),1,IFERROR(IF(ISNUMBER(SEARCH("|"&amp;INDEX(INDIRECT(F_Custom1_resolved_column),2068)&amp;"|",F_Custom1_wrapped)),1,0),0))</f>
        <v>1</v>
      </c>
      <c r="E2069">
        <f>IF(OR(F_Custom2_Q="(None)",F_Custom2_Q="",ISBLANK(F_Custom2_Q),F_Custom2_V="(All)",F_Custom2_V="",ISBLANK(F_Custom2_V)),1,IFERROR(IF(ISNUMBER(SEARCH("|"&amp;INDEX(INDIRECT(F_Custom2_resolved_column),2068)&amp;"|",F_Custom2_wrapped)),1,0),0))</f>
        <v>1</v>
      </c>
      <c r="F2069">
        <f>D2069*E2069*1</f>
        <v>1</v>
      </c>
      <c r="G2069">
        <f>1</f>
        <v>1</v>
      </c>
      <c r="H20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2068)&amp;"|",All_Questions_Q_STREAM_F_wrapped)),1,0),0))*1</f>
        <v>1</v>
      </c>
    </row>
    <row r="2070">
      <c r="A2070" t="n">
        <v>2069</v>
      </c>
      <c r="B2070" t="inlineStr">
        <is>
          <t>A</t>
        </is>
      </c>
      <c r="C2070">
        <f>1</f>
        <v>1</v>
      </c>
      <c r="D2070">
        <f>IF(OR(F_Custom1_Q="(None)",F_Custom1_Q="",ISBLANK(F_Custom1_Q),F_Custom1_V="(All)",F_Custom1_V="",ISBLANK(F_Custom1_V)),1,IFERROR(IF(ISNUMBER(SEARCH("|"&amp;INDEX(INDIRECT(F_Custom1_resolved_column),2069)&amp;"|",F_Custom1_wrapped)),1,0),0))</f>
        <v>1</v>
      </c>
      <c r="E2070">
        <f>IF(OR(F_Custom2_Q="(None)",F_Custom2_Q="",ISBLANK(F_Custom2_Q),F_Custom2_V="(All)",F_Custom2_V="",ISBLANK(F_Custom2_V)),1,IFERROR(IF(ISNUMBER(SEARCH("|"&amp;INDEX(INDIRECT(F_Custom2_resolved_column),2069)&amp;"|",F_Custom2_wrapped)),1,0),0))</f>
        <v>1</v>
      </c>
      <c r="F2070">
        <f>D2070*E2070*1</f>
        <v>1</v>
      </c>
      <c r="G2070">
        <f>1</f>
        <v>1</v>
      </c>
      <c r="H20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2069)&amp;"|",All_Questions_Q_STREAM_F_wrapped)),1,0),0))*1</f>
        <v>1</v>
      </c>
    </row>
    <row r="2071">
      <c r="A2071" t="n">
        <v>2070</v>
      </c>
      <c r="B2071" t="inlineStr">
        <is>
          <t>B</t>
        </is>
      </c>
      <c r="C2071">
        <f>1</f>
        <v>1</v>
      </c>
      <c r="D2071">
        <f>IF(OR(F_Custom1_Q="(None)",F_Custom1_Q="",ISBLANK(F_Custom1_Q),F_Custom1_V="(All)",F_Custom1_V="",ISBLANK(F_Custom1_V)),1,IFERROR(IF(ISNUMBER(SEARCH("|"&amp;INDEX(INDIRECT(F_Custom1_resolved_column),2070)&amp;"|",F_Custom1_wrapped)),1,0),0))</f>
        <v>1</v>
      </c>
      <c r="E2071">
        <f>IF(OR(F_Custom2_Q="(None)",F_Custom2_Q="",ISBLANK(F_Custom2_Q),F_Custom2_V="(All)",F_Custom2_V="",ISBLANK(F_Custom2_V)),1,IFERROR(IF(ISNUMBER(SEARCH("|"&amp;INDEX(INDIRECT(F_Custom2_resolved_column),2070)&amp;"|",F_Custom2_wrapped)),1,0),0))</f>
        <v>1</v>
      </c>
      <c r="F2071">
        <f>D2071*E2071*1</f>
        <v>1</v>
      </c>
      <c r="G2071">
        <f>1</f>
        <v>1</v>
      </c>
      <c r="H20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2070)&amp;"|",All_Questions_Q_STREAM_F_wrapped)),1,0),0))*1</f>
        <v>1</v>
      </c>
    </row>
    <row r="2072">
      <c r="A2072" t="n">
        <v>2071</v>
      </c>
      <c r="B2072" t="inlineStr">
        <is>
          <t>A</t>
        </is>
      </c>
      <c r="C2072">
        <f>1</f>
        <v>1</v>
      </c>
      <c r="D2072">
        <f>IF(OR(F_Custom1_Q="(None)",F_Custom1_Q="",ISBLANK(F_Custom1_Q),F_Custom1_V="(All)",F_Custom1_V="",ISBLANK(F_Custom1_V)),1,IFERROR(IF(ISNUMBER(SEARCH("|"&amp;INDEX(INDIRECT(F_Custom1_resolved_column),2071)&amp;"|",F_Custom1_wrapped)),1,0),0))</f>
        <v>1</v>
      </c>
      <c r="E2072">
        <f>IF(OR(F_Custom2_Q="(None)",F_Custom2_Q="",ISBLANK(F_Custom2_Q),F_Custom2_V="(All)",F_Custom2_V="",ISBLANK(F_Custom2_V)),1,IFERROR(IF(ISNUMBER(SEARCH("|"&amp;INDEX(INDIRECT(F_Custom2_resolved_column),2071)&amp;"|",F_Custom2_wrapped)),1,0),0))</f>
        <v>1</v>
      </c>
      <c r="F2072">
        <f>D2072*E2072*1</f>
        <v>1</v>
      </c>
      <c r="G2072">
        <f>1</f>
        <v>1</v>
      </c>
      <c r="H20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2071)&amp;"|",All_Questions_Q_STREAM_F_wrapped)),1,0),0))*1</f>
        <v>1</v>
      </c>
    </row>
    <row r="2073">
      <c r="A2073" t="n">
        <v>2072</v>
      </c>
      <c r="B2073" t="inlineStr">
        <is>
          <t>B</t>
        </is>
      </c>
      <c r="C2073">
        <f>1</f>
        <v>1</v>
      </c>
      <c r="D2073">
        <f>IF(OR(F_Custom1_Q="(None)",F_Custom1_Q="",ISBLANK(F_Custom1_Q),F_Custom1_V="(All)",F_Custom1_V="",ISBLANK(F_Custom1_V)),1,IFERROR(IF(ISNUMBER(SEARCH("|"&amp;INDEX(INDIRECT(F_Custom1_resolved_column),2072)&amp;"|",F_Custom1_wrapped)),1,0),0))</f>
        <v>1</v>
      </c>
      <c r="E2073">
        <f>IF(OR(F_Custom2_Q="(None)",F_Custom2_Q="",ISBLANK(F_Custom2_Q),F_Custom2_V="(All)",F_Custom2_V="",ISBLANK(F_Custom2_V)),1,IFERROR(IF(ISNUMBER(SEARCH("|"&amp;INDEX(INDIRECT(F_Custom2_resolved_column),2072)&amp;"|",F_Custom2_wrapped)),1,0),0))</f>
        <v>1</v>
      </c>
      <c r="F2073">
        <f>D2073*E2073*1</f>
        <v>1</v>
      </c>
      <c r="G2073">
        <f>1</f>
        <v>1</v>
      </c>
      <c r="H20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2072)&amp;"|",All_Questions_Q_STREAM_F_wrapped)),1,0),0))*1</f>
        <v>1</v>
      </c>
    </row>
    <row r="2074">
      <c r="A2074" t="n">
        <v>2073</v>
      </c>
      <c r="B2074" t="inlineStr">
        <is>
          <t>A</t>
        </is>
      </c>
      <c r="C2074">
        <f>1</f>
        <v>1</v>
      </c>
      <c r="D2074">
        <f>IF(OR(F_Custom1_Q="(None)",F_Custom1_Q="",ISBLANK(F_Custom1_Q),F_Custom1_V="(All)",F_Custom1_V="",ISBLANK(F_Custom1_V)),1,IFERROR(IF(ISNUMBER(SEARCH("|"&amp;INDEX(INDIRECT(F_Custom1_resolved_column),2073)&amp;"|",F_Custom1_wrapped)),1,0),0))</f>
        <v>1</v>
      </c>
      <c r="E2074">
        <f>IF(OR(F_Custom2_Q="(None)",F_Custom2_Q="",ISBLANK(F_Custom2_Q),F_Custom2_V="(All)",F_Custom2_V="",ISBLANK(F_Custom2_V)),1,IFERROR(IF(ISNUMBER(SEARCH("|"&amp;INDEX(INDIRECT(F_Custom2_resolved_column),2073)&amp;"|",F_Custom2_wrapped)),1,0),0))</f>
        <v>1</v>
      </c>
      <c r="F2074">
        <f>D2074*E2074*1</f>
        <v>1</v>
      </c>
      <c r="G2074">
        <f>1</f>
        <v>1</v>
      </c>
      <c r="H20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2073)&amp;"|",All_Questions_Q_STREAM_F_wrapped)),1,0),0))*1</f>
        <v>1</v>
      </c>
    </row>
    <row r="2075">
      <c r="A2075" t="n">
        <v>2074</v>
      </c>
      <c r="B2075" t="inlineStr">
        <is>
          <t>B</t>
        </is>
      </c>
      <c r="C2075">
        <f>1</f>
        <v>1</v>
      </c>
      <c r="D2075">
        <f>IF(OR(F_Custom1_Q="(None)",F_Custom1_Q="",ISBLANK(F_Custom1_Q),F_Custom1_V="(All)",F_Custom1_V="",ISBLANK(F_Custom1_V)),1,IFERROR(IF(ISNUMBER(SEARCH("|"&amp;INDEX(INDIRECT(F_Custom1_resolved_column),2074)&amp;"|",F_Custom1_wrapped)),1,0),0))</f>
        <v>1</v>
      </c>
      <c r="E2075">
        <f>IF(OR(F_Custom2_Q="(None)",F_Custom2_Q="",ISBLANK(F_Custom2_Q),F_Custom2_V="(All)",F_Custom2_V="",ISBLANK(F_Custom2_V)),1,IFERROR(IF(ISNUMBER(SEARCH("|"&amp;INDEX(INDIRECT(F_Custom2_resolved_column),2074)&amp;"|",F_Custom2_wrapped)),1,0),0))</f>
        <v>1</v>
      </c>
      <c r="F2075">
        <f>D2075*E2075*1</f>
        <v>1</v>
      </c>
      <c r="G2075">
        <f>1</f>
        <v>1</v>
      </c>
      <c r="H20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2074)&amp;"|",All_Questions_Q_STREAM_F_wrapped)),1,0),0))*1</f>
        <v>1</v>
      </c>
    </row>
    <row r="2076">
      <c r="A2076" t="n">
        <v>2075</v>
      </c>
      <c r="B2076" t="inlineStr">
        <is>
          <t>A</t>
        </is>
      </c>
      <c r="C2076">
        <f>1</f>
        <v>1</v>
      </c>
      <c r="D2076">
        <f>IF(OR(F_Custom1_Q="(None)",F_Custom1_Q="",ISBLANK(F_Custom1_Q),F_Custom1_V="(All)",F_Custom1_V="",ISBLANK(F_Custom1_V)),1,IFERROR(IF(ISNUMBER(SEARCH("|"&amp;INDEX(INDIRECT(F_Custom1_resolved_column),2075)&amp;"|",F_Custom1_wrapped)),1,0),0))</f>
        <v>1</v>
      </c>
      <c r="E2076">
        <f>IF(OR(F_Custom2_Q="(None)",F_Custom2_Q="",ISBLANK(F_Custom2_Q),F_Custom2_V="(All)",F_Custom2_V="",ISBLANK(F_Custom2_V)),1,IFERROR(IF(ISNUMBER(SEARCH("|"&amp;INDEX(INDIRECT(F_Custom2_resolved_column),2075)&amp;"|",F_Custom2_wrapped)),1,0),0))</f>
        <v>1</v>
      </c>
      <c r="F2076">
        <f>D2076*E2076*1</f>
        <v>1</v>
      </c>
      <c r="G2076">
        <f>1</f>
        <v>1</v>
      </c>
      <c r="H20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2075)&amp;"|",All_Questions_Q_STREAM_F_wrapped)),1,0),0))*1</f>
        <v>1</v>
      </c>
    </row>
    <row r="2077">
      <c r="A2077" t="n">
        <v>2076</v>
      </c>
      <c r="B2077" t="inlineStr">
        <is>
          <t>B</t>
        </is>
      </c>
      <c r="C2077">
        <f>1</f>
        <v>1</v>
      </c>
      <c r="D2077">
        <f>IF(OR(F_Custom1_Q="(None)",F_Custom1_Q="",ISBLANK(F_Custom1_Q),F_Custom1_V="(All)",F_Custom1_V="",ISBLANK(F_Custom1_V)),1,IFERROR(IF(ISNUMBER(SEARCH("|"&amp;INDEX(INDIRECT(F_Custom1_resolved_column),2076)&amp;"|",F_Custom1_wrapped)),1,0),0))</f>
        <v>1</v>
      </c>
      <c r="E2077">
        <f>IF(OR(F_Custom2_Q="(None)",F_Custom2_Q="",ISBLANK(F_Custom2_Q),F_Custom2_V="(All)",F_Custom2_V="",ISBLANK(F_Custom2_V)),1,IFERROR(IF(ISNUMBER(SEARCH("|"&amp;INDEX(INDIRECT(F_Custom2_resolved_column),2076)&amp;"|",F_Custom2_wrapped)),1,0),0))</f>
        <v>1</v>
      </c>
      <c r="F2077">
        <f>D2077*E2077*1</f>
        <v>1</v>
      </c>
      <c r="G2077">
        <f>1</f>
        <v>1</v>
      </c>
      <c r="H20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2076)&amp;"|",All_Questions_Q_STREAM_F_wrapped)),1,0),0))*1</f>
        <v>1</v>
      </c>
    </row>
    <row r="2078">
      <c r="A2078" t="n">
        <v>2077</v>
      </c>
      <c r="B2078" t="inlineStr">
        <is>
          <t>A</t>
        </is>
      </c>
      <c r="C2078">
        <f>1</f>
        <v>1</v>
      </c>
      <c r="D2078">
        <f>IF(OR(F_Custom1_Q="(None)",F_Custom1_Q="",ISBLANK(F_Custom1_Q),F_Custom1_V="(All)",F_Custom1_V="",ISBLANK(F_Custom1_V)),1,IFERROR(IF(ISNUMBER(SEARCH("|"&amp;INDEX(INDIRECT(F_Custom1_resolved_column),2077)&amp;"|",F_Custom1_wrapped)),1,0),0))</f>
        <v>1</v>
      </c>
      <c r="E2078">
        <f>IF(OR(F_Custom2_Q="(None)",F_Custom2_Q="",ISBLANK(F_Custom2_Q),F_Custom2_V="(All)",F_Custom2_V="",ISBLANK(F_Custom2_V)),1,IFERROR(IF(ISNUMBER(SEARCH("|"&amp;INDEX(INDIRECT(F_Custom2_resolved_column),2077)&amp;"|",F_Custom2_wrapped)),1,0),0))</f>
        <v>1</v>
      </c>
      <c r="F2078">
        <f>D2078*E2078*1</f>
        <v>1</v>
      </c>
      <c r="G2078">
        <f>1</f>
        <v>1</v>
      </c>
      <c r="H20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2077)&amp;"|",All_Questions_Q_STREAM_F_wrapped)),1,0),0))*1</f>
        <v>1</v>
      </c>
    </row>
    <row r="2079">
      <c r="A2079" t="n">
        <v>2078</v>
      </c>
      <c r="B2079" t="inlineStr">
        <is>
          <t>B</t>
        </is>
      </c>
      <c r="C2079">
        <f>1</f>
        <v>1</v>
      </c>
      <c r="D2079">
        <f>IF(OR(F_Custom1_Q="(None)",F_Custom1_Q="",ISBLANK(F_Custom1_Q),F_Custom1_V="(All)",F_Custom1_V="",ISBLANK(F_Custom1_V)),1,IFERROR(IF(ISNUMBER(SEARCH("|"&amp;INDEX(INDIRECT(F_Custom1_resolved_column),2078)&amp;"|",F_Custom1_wrapped)),1,0),0))</f>
        <v>1</v>
      </c>
      <c r="E2079">
        <f>IF(OR(F_Custom2_Q="(None)",F_Custom2_Q="",ISBLANK(F_Custom2_Q),F_Custom2_V="(All)",F_Custom2_V="",ISBLANK(F_Custom2_V)),1,IFERROR(IF(ISNUMBER(SEARCH("|"&amp;INDEX(INDIRECT(F_Custom2_resolved_column),2078)&amp;"|",F_Custom2_wrapped)),1,0),0))</f>
        <v>1</v>
      </c>
      <c r="F2079">
        <f>D2079*E2079*1</f>
        <v>1</v>
      </c>
      <c r="G2079">
        <f>1</f>
        <v>1</v>
      </c>
      <c r="H20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2078)&amp;"|",All_Questions_Q_STREAM_F_wrapped)),1,0),0))*1</f>
        <v>1</v>
      </c>
    </row>
    <row r="2080">
      <c r="A2080" t="n">
        <v>2079</v>
      </c>
      <c r="B2080" t="inlineStr">
        <is>
          <t>A</t>
        </is>
      </c>
      <c r="C2080">
        <f>1</f>
        <v>1</v>
      </c>
      <c r="D2080">
        <f>IF(OR(F_Custom1_Q="(None)",F_Custom1_Q="",ISBLANK(F_Custom1_Q),F_Custom1_V="(All)",F_Custom1_V="",ISBLANK(F_Custom1_V)),1,IFERROR(IF(ISNUMBER(SEARCH("|"&amp;INDEX(INDIRECT(F_Custom1_resolved_column),2079)&amp;"|",F_Custom1_wrapped)),1,0),0))</f>
        <v>1</v>
      </c>
      <c r="E2080">
        <f>IF(OR(F_Custom2_Q="(None)",F_Custom2_Q="",ISBLANK(F_Custom2_Q),F_Custom2_V="(All)",F_Custom2_V="",ISBLANK(F_Custom2_V)),1,IFERROR(IF(ISNUMBER(SEARCH("|"&amp;INDEX(INDIRECT(F_Custom2_resolved_column),2079)&amp;"|",F_Custom2_wrapped)),1,0),0))</f>
        <v>1</v>
      </c>
      <c r="F2080">
        <f>D2080*E2080*1</f>
        <v>1</v>
      </c>
      <c r="G2080">
        <f>1</f>
        <v>1</v>
      </c>
      <c r="H20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2079)&amp;"|",All_Questions_Q_STREAM_F_wrapped)),1,0),0))*1</f>
        <v>1</v>
      </c>
    </row>
    <row r="2081">
      <c r="A2081" t="n">
        <v>2080</v>
      </c>
      <c r="B2081" t="inlineStr">
        <is>
          <t>B</t>
        </is>
      </c>
      <c r="C2081">
        <f>1</f>
        <v>1</v>
      </c>
      <c r="D2081">
        <f>IF(OR(F_Custom1_Q="(None)",F_Custom1_Q="",ISBLANK(F_Custom1_Q),F_Custom1_V="(All)",F_Custom1_V="",ISBLANK(F_Custom1_V)),1,IFERROR(IF(ISNUMBER(SEARCH("|"&amp;INDEX(INDIRECT(F_Custom1_resolved_column),2080)&amp;"|",F_Custom1_wrapped)),1,0),0))</f>
        <v>1</v>
      </c>
      <c r="E2081">
        <f>IF(OR(F_Custom2_Q="(None)",F_Custom2_Q="",ISBLANK(F_Custom2_Q),F_Custom2_V="(All)",F_Custom2_V="",ISBLANK(F_Custom2_V)),1,IFERROR(IF(ISNUMBER(SEARCH("|"&amp;INDEX(INDIRECT(F_Custom2_resolved_column),2080)&amp;"|",F_Custom2_wrapped)),1,0),0))</f>
        <v>1</v>
      </c>
      <c r="F2081">
        <f>D2081*E2081*1</f>
        <v>1</v>
      </c>
      <c r="G2081">
        <f>1</f>
        <v>1</v>
      </c>
      <c r="H20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2080)&amp;"|",All_Questions_Q_STREAM_F_wrapped)),1,0),0))*1</f>
        <v>1</v>
      </c>
    </row>
    <row r="2082">
      <c r="A2082" t="n">
        <v>2081</v>
      </c>
      <c r="B2082" t="inlineStr">
        <is>
          <t>A</t>
        </is>
      </c>
      <c r="C2082">
        <f>1</f>
        <v>1</v>
      </c>
      <c r="D2082">
        <f>IF(OR(F_Custom1_Q="(None)",F_Custom1_Q="",ISBLANK(F_Custom1_Q),F_Custom1_V="(All)",F_Custom1_V="",ISBLANK(F_Custom1_V)),1,IFERROR(IF(ISNUMBER(SEARCH("|"&amp;INDEX(INDIRECT(F_Custom1_resolved_column),2081)&amp;"|",F_Custom1_wrapped)),1,0),0))</f>
        <v>1</v>
      </c>
      <c r="E2082">
        <f>IF(OR(F_Custom2_Q="(None)",F_Custom2_Q="",ISBLANK(F_Custom2_Q),F_Custom2_V="(All)",F_Custom2_V="",ISBLANK(F_Custom2_V)),1,IFERROR(IF(ISNUMBER(SEARCH("|"&amp;INDEX(INDIRECT(F_Custom2_resolved_column),2081)&amp;"|",F_Custom2_wrapped)),1,0),0))</f>
        <v>1</v>
      </c>
      <c r="F2082">
        <f>D2082*E2082*1</f>
        <v>1</v>
      </c>
      <c r="G2082">
        <f>1</f>
        <v>1</v>
      </c>
      <c r="H20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2081)&amp;"|",All_Questions_Q_STREAM_F_wrapped)),1,0),0))*1</f>
        <v>1</v>
      </c>
    </row>
    <row r="2083">
      <c r="A2083" t="n">
        <v>2082</v>
      </c>
      <c r="B2083" t="inlineStr">
        <is>
          <t>B</t>
        </is>
      </c>
      <c r="C2083">
        <f>1</f>
        <v>1</v>
      </c>
      <c r="D2083">
        <f>IF(OR(F_Custom1_Q="(None)",F_Custom1_Q="",ISBLANK(F_Custom1_Q),F_Custom1_V="(All)",F_Custom1_V="",ISBLANK(F_Custom1_V)),1,IFERROR(IF(ISNUMBER(SEARCH("|"&amp;INDEX(INDIRECT(F_Custom1_resolved_column),2082)&amp;"|",F_Custom1_wrapped)),1,0),0))</f>
        <v>1</v>
      </c>
      <c r="E2083">
        <f>IF(OR(F_Custom2_Q="(None)",F_Custom2_Q="",ISBLANK(F_Custom2_Q),F_Custom2_V="(All)",F_Custom2_V="",ISBLANK(F_Custom2_V)),1,IFERROR(IF(ISNUMBER(SEARCH("|"&amp;INDEX(INDIRECT(F_Custom2_resolved_column),2082)&amp;"|",F_Custom2_wrapped)),1,0),0))</f>
        <v>1</v>
      </c>
      <c r="F2083">
        <f>D2083*E2083*1</f>
        <v>1</v>
      </c>
      <c r="G2083">
        <f>1</f>
        <v>1</v>
      </c>
      <c r="H20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2082)&amp;"|",All_Questions_Q_STREAM_F_wrapped)),1,0),0))*1</f>
        <v>1</v>
      </c>
    </row>
    <row r="2084">
      <c r="A2084" t="n">
        <v>2083</v>
      </c>
      <c r="B2084" t="inlineStr">
        <is>
          <t>A</t>
        </is>
      </c>
      <c r="C2084">
        <f>1</f>
        <v>1</v>
      </c>
      <c r="D2084">
        <f>IF(OR(F_Custom1_Q="(None)",F_Custom1_Q="",ISBLANK(F_Custom1_Q),F_Custom1_V="(All)",F_Custom1_V="",ISBLANK(F_Custom1_V)),1,IFERROR(IF(ISNUMBER(SEARCH("|"&amp;INDEX(INDIRECT(F_Custom1_resolved_column),2083)&amp;"|",F_Custom1_wrapped)),1,0),0))</f>
        <v>1</v>
      </c>
      <c r="E2084">
        <f>IF(OR(F_Custom2_Q="(None)",F_Custom2_Q="",ISBLANK(F_Custom2_Q),F_Custom2_V="(All)",F_Custom2_V="",ISBLANK(F_Custom2_V)),1,IFERROR(IF(ISNUMBER(SEARCH("|"&amp;INDEX(INDIRECT(F_Custom2_resolved_column),2083)&amp;"|",F_Custom2_wrapped)),1,0),0))</f>
        <v>1</v>
      </c>
      <c r="F2084">
        <f>D2084*E2084*1</f>
        <v>1</v>
      </c>
      <c r="G2084">
        <f>1</f>
        <v>1</v>
      </c>
      <c r="H20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2083)&amp;"|",All_Questions_Q_STREAM_F_wrapped)),1,0),0))*1</f>
        <v>1</v>
      </c>
    </row>
    <row r="2085">
      <c r="A2085" t="n">
        <v>2084</v>
      </c>
      <c r="B2085" t="inlineStr">
        <is>
          <t>B</t>
        </is>
      </c>
      <c r="C2085">
        <f>1</f>
        <v>1</v>
      </c>
      <c r="D2085">
        <f>IF(OR(F_Custom1_Q="(None)",F_Custom1_Q="",ISBLANK(F_Custom1_Q),F_Custom1_V="(All)",F_Custom1_V="",ISBLANK(F_Custom1_V)),1,IFERROR(IF(ISNUMBER(SEARCH("|"&amp;INDEX(INDIRECT(F_Custom1_resolved_column),2084)&amp;"|",F_Custom1_wrapped)),1,0),0))</f>
        <v>1</v>
      </c>
      <c r="E2085">
        <f>IF(OR(F_Custom2_Q="(None)",F_Custom2_Q="",ISBLANK(F_Custom2_Q),F_Custom2_V="(All)",F_Custom2_V="",ISBLANK(F_Custom2_V)),1,IFERROR(IF(ISNUMBER(SEARCH("|"&amp;INDEX(INDIRECT(F_Custom2_resolved_column),2084)&amp;"|",F_Custom2_wrapped)),1,0),0))</f>
        <v>1</v>
      </c>
      <c r="F2085">
        <f>D2085*E2085*1</f>
        <v>1</v>
      </c>
      <c r="G2085">
        <f>1</f>
        <v>1</v>
      </c>
      <c r="H20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2084)&amp;"|",All_Questions_Q_STREAM_F_wrapped)),1,0),0))*1</f>
        <v>1</v>
      </c>
    </row>
    <row r="2086">
      <c r="A2086" t="n">
        <v>2085</v>
      </c>
      <c r="B2086" t="inlineStr">
        <is>
          <t>A</t>
        </is>
      </c>
      <c r="C2086">
        <f>1</f>
        <v>1</v>
      </c>
      <c r="D2086">
        <f>IF(OR(F_Custom1_Q="(None)",F_Custom1_Q="",ISBLANK(F_Custom1_Q),F_Custom1_V="(All)",F_Custom1_V="",ISBLANK(F_Custom1_V)),1,IFERROR(IF(ISNUMBER(SEARCH("|"&amp;INDEX(INDIRECT(F_Custom1_resolved_column),2085)&amp;"|",F_Custom1_wrapped)),1,0),0))</f>
        <v>1</v>
      </c>
      <c r="E2086">
        <f>IF(OR(F_Custom2_Q="(None)",F_Custom2_Q="",ISBLANK(F_Custom2_Q),F_Custom2_V="(All)",F_Custom2_V="",ISBLANK(F_Custom2_V)),1,IFERROR(IF(ISNUMBER(SEARCH("|"&amp;INDEX(INDIRECT(F_Custom2_resolved_column),2085)&amp;"|",F_Custom2_wrapped)),1,0),0))</f>
        <v>1</v>
      </c>
      <c r="F2086">
        <f>D2086*E2086*1</f>
        <v>1</v>
      </c>
      <c r="G2086">
        <f>1</f>
        <v>1</v>
      </c>
      <c r="H20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2085)&amp;"|",All_Questions_Q_STREAM_F_wrapped)),1,0),0))*1</f>
        <v>1</v>
      </c>
    </row>
    <row r="2087">
      <c r="A2087" t="n">
        <v>2086</v>
      </c>
      <c r="B2087" t="inlineStr">
        <is>
          <t>B</t>
        </is>
      </c>
      <c r="C2087">
        <f>1</f>
        <v>1</v>
      </c>
      <c r="D2087">
        <f>IF(OR(F_Custom1_Q="(None)",F_Custom1_Q="",ISBLANK(F_Custom1_Q),F_Custom1_V="(All)",F_Custom1_V="",ISBLANK(F_Custom1_V)),1,IFERROR(IF(ISNUMBER(SEARCH("|"&amp;INDEX(INDIRECT(F_Custom1_resolved_column),2086)&amp;"|",F_Custom1_wrapped)),1,0),0))</f>
        <v>1</v>
      </c>
      <c r="E2087">
        <f>IF(OR(F_Custom2_Q="(None)",F_Custom2_Q="",ISBLANK(F_Custom2_Q),F_Custom2_V="(All)",F_Custom2_V="",ISBLANK(F_Custom2_V)),1,IFERROR(IF(ISNUMBER(SEARCH("|"&amp;INDEX(INDIRECT(F_Custom2_resolved_column),2086)&amp;"|",F_Custom2_wrapped)),1,0),0))</f>
        <v>1</v>
      </c>
      <c r="F2087">
        <f>D2087*E2087*1</f>
        <v>1</v>
      </c>
      <c r="G2087">
        <f>1</f>
        <v>1</v>
      </c>
      <c r="H20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2086)&amp;"|",All_Questions_Q_STREAM_F_wrapped)),1,0),0))*1</f>
        <v>1</v>
      </c>
    </row>
    <row r="2088">
      <c r="A2088" t="n">
        <v>2087</v>
      </c>
      <c r="B2088" t="inlineStr">
        <is>
          <t>A</t>
        </is>
      </c>
      <c r="C2088">
        <f>1</f>
        <v>1</v>
      </c>
      <c r="D2088">
        <f>IF(OR(F_Custom1_Q="(None)",F_Custom1_Q="",ISBLANK(F_Custom1_Q),F_Custom1_V="(All)",F_Custom1_V="",ISBLANK(F_Custom1_V)),1,IFERROR(IF(ISNUMBER(SEARCH("|"&amp;INDEX(INDIRECT(F_Custom1_resolved_column),2087)&amp;"|",F_Custom1_wrapped)),1,0),0))</f>
        <v>1</v>
      </c>
      <c r="E2088">
        <f>IF(OR(F_Custom2_Q="(None)",F_Custom2_Q="",ISBLANK(F_Custom2_Q),F_Custom2_V="(All)",F_Custom2_V="",ISBLANK(F_Custom2_V)),1,IFERROR(IF(ISNUMBER(SEARCH("|"&amp;INDEX(INDIRECT(F_Custom2_resolved_column),2087)&amp;"|",F_Custom2_wrapped)),1,0),0))</f>
        <v>1</v>
      </c>
      <c r="F2088">
        <f>D2088*E2088*1</f>
        <v>1</v>
      </c>
      <c r="G2088">
        <f>1</f>
        <v>1</v>
      </c>
      <c r="H20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2087)&amp;"|",All_Questions_Q_STREAM_F_wrapped)),1,0),0))*1</f>
        <v>1</v>
      </c>
    </row>
    <row r="2089">
      <c r="A2089" t="n">
        <v>2088</v>
      </c>
      <c r="B2089" t="inlineStr">
        <is>
          <t>B</t>
        </is>
      </c>
      <c r="C2089">
        <f>1</f>
        <v>1</v>
      </c>
      <c r="D2089">
        <f>IF(OR(F_Custom1_Q="(None)",F_Custom1_Q="",ISBLANK(F_Custom1_Q),F_Custom1_V="(All)",F_Custom1_V="",ISBLANK(F_Custom1_V)),1,IFERROR(IF(ISNUMBER(SEARCH("|"&amp;INDEX(INDIRECT(F_Custom1_resolved_column),2088)&amp;"|",F_Custom1_wrapped)),1,0),0))</f>
        <v>1</v>
      </c>
      <c r="E2089">
        <f>IF(OR(F_Custom2_Q="(None)",F_Custom2_Q="",ISBLANK(F_Custom2_Q),F_Custom2_V="(All)",F_Custom2_V="",ISBLANK(F_Custom2_V)),1,IFERROR(IF(ISNUMBER(SEARCH("|"&amp;INDEX(INDIRECT(F_Custom2_resolved_column),2088)&amp;"|",F_Custom2_wrapped)),1,0),0))</f>
        <v>1</v>
      </c>
      <c r="F2089">
        <f>D2089*E2089*1</f>
        <v>1</v>
      </c>
      <c r="G2089">
        <f>1</f>
        <v>1</v>
      </c>
      <c r="H20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2088)&amp;"|",All_Questions_Q_STREAM_F_wrapped)),1,0),0))*1</f>
        <v>1</v>
      </c>
    </row>
    <row r="2090">
      <c r="A2090" t="n">
        <v>2089</v>
      </c>
      <c r="B2090" t="inlineStr">
        <is>
          <t>A</t>
        </is>
      </c>
      <c r="C2090">
        <f>1</f>
        <v>1</v>
      </c>
      <c r="D2090">
        <f>IF(OR(F_Custom1_Q="(None)",F_Custom1_Q="",ISBLANK(F_Custom1_Q),F_Custom1_V="(All)",F_Custom1_V="",ISBLANK(F_Custom1_V)),1,IFERROR(IF(ISNUMBER(SEARCH("|"&amp;INDEX(INDIRECT(F_Custom1_resolved_column),2089)&amp;"|",F_Custom1_wrapped)),1,0),0))</f>
        <v>1</v>
      </c>
      <c r="E2090">
        <f>IF(OR(F_Custom2_Q="(None)",F_Custom2_Q="",ISBLANK(F_Custom2_Q),F_Custom2_V="(All)",F_Custom2_V="",ISBLANK(F_Custom2_V)),1,IFERROR(IF(ISNUMBER(SEARCH("|"&amp;INDEX(INDIRECT(F_Custom2_resolved_column),2089)&amp;"|",F_Custom2_wrapped)),1,0),0))</f>
        <v>1</v>
      </c>
      <c r="F2090">
        <f>D2090*E2090*1</f>
        <v>1</v>
      </c>
      <c r="G2090">
        <f>1</f>
        <v>1</v>
      </c>
      <c r="H20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2089)&amp;"|",All_Questions_Q_STREAM_F_wrapped)),1,0),0))*1</f>
        <v>1</v>
      </c>
    </row>
    <row r="2091">
      <c r="A2091" t="n">
        <v>2090</v>
      </c>
      <c r="B2091" t="inlineStr">
        <is>
          <t>B</t>
        </is>
      </c>
      <c r="C2091">
        <f>1</f>
        <v>1</v>
      </c>
      <c r="D2091">
        <f>IF(OR(F_Custom1_Q="(None)",F_Custom1_Q="",ISBLANK(F_Custom1_Q),F_Custom1_V="(All)",F_Custom1_V="",ISBLANK(F_Custom1_V)),1,IFERROR(IF(ISNUMBER(SEARCH("|"&amp;INDEX(INDIRECT(F_Custom1_resolved_column),2090)&amp;"|",F_Custom1_wrapped)),1,0),0))</f>
        <v>1</v>
      </c>
      <c r="E2091">
        <f>IF(OR(F_Custom2_Q="(None)",F_Custom2_Q="",ISBLANK(F_Custom2_Q),F_Custom2_V="(All)",F_Custom2_V="",ISBLANK(F_Custom2_V)),1,IFERROR(IF(ISNUMBER(SEARCH("|"&amp;INDEX(INDIRECT(F_Custom2_resolved_column),2090)&amp;"|",F_Custom2_wrapped)),1,0),0))</f>
        <v>1</v>
      </c>
      <c r="F2091">
        <f>D2091*E2091*1</f>
        <v>1</v>
      </c>
      <c r="G2091">
        <f>1</f>
        <v>1</v>
      </c>
      <c r="H20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2090)&amp;"|",All_Questions_Q_STREAM_F_wrapped)),1,0),0))*1</f>
        <v>1</v>
      </c>
    </row>
    <row r="2092">
      <c r="A2092" t="n">
        <v>2091</v>
      </c>
      <c r="B2092" t="inlineStr">
        <is>
          <t>A</t>
        </is>
      </c>
      <c r="C2092">
        <f>1</f>
        <v>1</v>
      </c>
      <c r="D2092">
        <f>IF(OR(F_Custom1_Q="(None)",F_Custom1_Q="",ISBLANK(F_Custom1_Q),F_Custom1_V="(All)",F_Custom1_V="",ISBLANK(F_Custom1_V)),1,IFERROR(IF(ISNUMBER(SEARCH("|"&amp;INDEX(INDIRECT(F_Custom1_resolved_column),2091)&amp;"|",F_Custom1_wrapped)),1,0),0))</f>
        <v>1</v>
      </c>
      <c r="E2092">
        <f>IF(OR(F_Custom2_Q="(None)",F_Custom2_Q="",ISBLANK(F_Custom2_Q),F_Custom2_V="(All)",F_Custom2_V="",ISBLANK(F_Custom2_V)),1,IFERROR(IF(ISNUMBER(SEARCH("|"&amp;INDEX(INDIRECT(F_Custom2_resolved_column),2091)&amp;"|",F_Custom2_wrapped)),1,0),0))</f>
        <v>1</v>
      </c>
      <c r="F2092">
        <f>D2092*E2092*1</f>
        <v>1</v>
      </c>
      <c r="G2092">
        <f>1</f>
        <v>1</v>
      </c>
      <c r="H20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2091)&amp;"|",All_Questions_Q_STREAM_F_wrapped)),1,0),0))*1</f>
        <v>1</v>
      </c>
    </row>
    <row r="2093">
      <c r="A2093" t="n">
        <v>2092</v>
      </c>
      <c r="B2093" t="inlineStr">
        <is>
          <t>B</t>
        </is>
      </c>
      <c r="C2093">
        <f>1</f>
        <v>1</v>
      </c>
      <c r="D2093">
        <f>IF(OR(F_Custom1_Q="(None)",F_Custom1_Q="",ISBLANK(F_Custom1_Q),F_Custom1_V="(All)",F_Custom1_V="",ISBLANK(F_Custom1_V)),1,IFERROR(IF(ISNUMBER(SEARCH("|"&amp;INDEX(INDIRECT(F_Custom1_resolved_column),2092)&amp;"|",F_Custom1_wrapped)),1,0),0))</f>
        <v>1</v>
      </c>
      <c r="E2093">
        <f>IF(OR(F_Custom2_Q="(None)",F_Custom2_Q="",ISBLANK(F_Custom2_Q),F_Custom2_V="(All)",F_Custom2_V="",ISBLANK(F_Custom2_V)),1,IFERROR(IF(ISNUMBER(SEARCH("|"&amp;INDEX(INDIRECT(F_Custom2_resolved_column),2092)&amp;"|",F_Custom2_wrapped)),1,0),0))</f>
        <v>1</v>
      </c>
      <c r="F2093">
        <f>D2093*E2093*1</f>
        <v>1</v>
      </c>
      <c r="G2093">
        <f>1</f>
        <v>1</v>
      </c>
      <c r="H20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2092)&amp;"|",All_Questions_Q_STREAM_F_wrapped)),1,0),0))*1</f>
        <v>1</v>
      </c>
    </row>
    <row r="2094">
      <c r="A2094" t="n">
        <v>2093</v>
      </c>
      <c r="B2094" t="inlineStr">
        <is>
          <t>A</t>
        </is>
      </c>
      <c r="C2094">
        <f>1</f>
        <v>1</v>
      </c>
      <c r="D2094">
        <f>IF(OR(F_Custom1_Q="(None)",F_Custom1_Q="",ISBLANK(F_Custom1_Q),F_Custom1_V="(All)",F_Custom1_V="",ISBLANK(F_Custom1_V)),1,IFERROR(IF(ISNUMBER(SEARCH("|"&amp;INDEX(INDIRECT(F_Custom1_resolved_column),2093)&amp;"|",F_Custom1_wrapped)),1,0),0))</f>
        <v>1</v>
      </c>
      <c r="E2094">
        <f>IF(OR(F_Custom2_Q="(None)",F_Custom2_Q="",ISBLANK(F_Custom2_Q),F_Custom2_V="(All)",F_Custom2_V="",ISBLANK(F_Custom2_V)),1,IFERROR(IF(ISNUMBER(SEARCH("|"&amp;INDEX(INDIRECT(F_Custom2_resolved_column),2093)&amp;"|",F_Custom2_wrapped)),1,0),0))</f>
        <v>1</v>
      </c>
      <c r="F2094">
        <f>D2094*E2094*1</f>
        <v>1</v>
      </c>
      <c r="G2094">
        <f>1</f>
        <v>1</v>
      </c>
      <c r="H20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2093)&amp;"|",All_Questions_Q_STREAM_F_wrapped)),1,0),0))*1</f>
        <v>1</v>
      </c>
    </row>
    <row r="2095">
      <c r="A2095" t="n">
        <v>2094</v>
      </c>
      <c r="B2095" t="inlineStr">
        <is>
          <t>B</t>
        </is>
      </c>
      <c r="C2095">
        <f>1</f>
        <v>1</v>
      </c>
      <c r="D2095">
        <f>IF(OR(F_Custom1_Q="(None)",F_Custom1_Q="",ISBLANK(F_Custom1_Q),F_Custom1_V="(All)",F_Custom1_V="",ISBLANK(F_Custom1_V)),1,IFERROR(IF(ISNUMBER(SEARCH("|"&amp;INDEX(INDIRECT(F_Custom1_resolved_column),2094)&amp;"|",F_Custom1_wrapped)),1,0),0))</f>
        <v>1</v>
      </c>
      <c r="E2095">
        <f>IF(OR(F_Custom2_Q="(None)",F_Custom2_Q="",ISBLANK(F_Custom2_Q),F_Custom2_V="(All)",F_Custom2_V="",ISBLANK(F_Custom2_V)),1,IFERROR(IF(ISNUMBER(SEARCH("|"&amp;INDEX(INDIRECT(F_Custom2_resolved_column),2094)&amp;"|",F_Custom2_wrapped)),1,0),0))</f>
        <v>1</v>
      </c>
      <c r="F2095">
        <f>D2095*E2095*1</f>
        <v>1</v>
      </c>
      <c r="G2095">
        <f>1</f>
        <v>1</v>
      </c>
      <c r="H20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2094)&amp;"|",All_Questions_Q_STREAM_F_wrapped)),1,0),0))*1</f>
        <v>1</v>
      </c>
    </row>
    <row r="2096">
      <c r="A2096" t="n">
        <v>2095</v>
      </c>
      <c r="B2096" t="inlineStr">
        <is>
          <t>A</t>
        </is>
      </c>
      <c r="C2096">
        <f>1</f>
        <v>1</v>
      </c>
      <c r="D2096">
        <f>IF(OR(F_Custom1_Q="(None)",F_Custom1_Q="",ISBLANK(F_Custom1_Q),F_Custom1_V="(All)",F_Custom1_V="",ISBLANK(F_Custom1_V)),1,IFERROR(IF(ISNUMBER(SEARCH("|"&amp;INDEX(INDIRECT(F_Custom1_resolved_column),2095)&amp;"|",F_Custom1_wrapped)),1,0),0))</f>
        <v>1</v>
      </c>
      <c r="E2096">
        <f>IF(OR(F_Custom2_Q="(None)",F_Custom2_Q="",ISBLANK(F_Custom2_Q),F_Custom2_V="(All)",F_Custom2_V="",ISBLANK(F_Custom2_V)),1,IFERROR(IF(ISNUMBER(SEARCH("|"&amp;INDEX(INDIRECT(F_Custom2_resolved_column),2095)&amp;"|",F_Custom2_wrapped)),1,0),0))</f>
        <v>1</v>
      </c>
      <c r="F2096">
        <f>D2096*E2096*1</f>
        <v>1</v>
      </c>
      <c r="G2096">
        <f>1</f>
        <v>1</v>
      </c>
      <c r="H20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2095)&amp;"|",All_Questions_Q_STREAM_F_wrapped)),1,0),0))*1</f>
        <v>1</v>
      </c>
    </row>
    <row r="2097">
      <c r="A2097" t="n">
        <v>2096</v>
      </c>
      <c r="B2097" t="inlineStr">
        <is>
          <t>B</t>
        </is>
      </c>
      <c r="C2097">
        <f>1</f>
        <v>1</v>
      </c>
      <c r="D2097">
        <f>IF(OR(F_Custom1_Q="(None)",F_Custom1_Q="",ISBLANK(F_Custom1_Q),F_Custom1_V="(All)",F_Custom1_V="",ISBLANK(F_Custom1_V)),1,IFERROR(IF(ISNUMBER(SEARCH("|"&amp;INDEX(INDIRECT(F_Custom1_resolved_column),2096)&amp;"|",F_Custom1_wrapped)),1,0),0))</f>
        <v>1</v>
      </c>
      <c r="E2097">
        <f>IF(OR(F_Custom2_Q="(None)",F_Custom2_Q="",ISBLANK(F_Custom2_Q),F_Custom2_V="(All)",F_Custom2_V="",ISBLANK(F_Custom2_V)),1,IFERROR(IF(ISNUMBER(SEARCH("|"&amp;INDEX(INDIRECT(F_Custom2_resolved_column),2096)&amp;"|",F_Custom2_wrapped)),1,0),0))</f>
        <v>1</v>
      </c>
      <c r="F2097">
        <f>D2097*E2097*1</f>
        <v>1</v>
      </c>
      <c r="G2097">
        <f>1</f>
        <v>1</v>
      </c>
      <c r="H20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2096)&amp;"|",All_Questions_Q_STREAM_F_wrapped)),1,0),0))*1</f>
        <v>1</v>
      </c>
    </row>
    <row r="2098">
      <c r="A2098" t="n">
        <v>2097</v>
      </c>
      <c r="B2098" t="inlineStr">
        <is>
          <t>A</t>
        </is>
      </c>
      <c r="C2098">
        <f>1</f>
        <v>1</v>
      </c>
      <c r="D2098">
        <f>IF(OR(F_Custom1_Q="(None)",F_Custom1_Q="",ISBLANK(F_Custom1_Q),F_Custom1_V="(All)",F_Custom1_V="",ISBLANK(F_Custom1_V)),1,IFERROR(IF(ISNUMBER(SEARCH("|"&amp;INDEX(INDIRECT(F_Custom1_resolved_column),2097)&amp;"|",F_Custom1_wrapped)),1,0),0))</f>
        <v>1</v>
      </c>
      <c r="E2098">
        <f>IF(OR(F_Custom2_Q="(None)",F_Custom2_Q="",ISBLANK(F_Custom2_Q),F_Custom2_V="(All)",F_Custom2_V="",ISBLANK(F_Custom2_V)),1,IFERROR(IF(ISNUMBER(SEARCH("|"&amp;INDEX(INDIRECT(F_Custom2_resolved_column),2097)&amp;"|",F_Custom2_wrapped)),1,0),0))</f>
        <v>1</v>
      </c>
      <c r="F2098">
        <f>D2098*E2098*1</f>
        <v>1</v>
      </c>
      <c r="G2098">
        <f>1</f>
        <v>1</v>
      </c>
      <c r="H20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2097)&amp;"|",All_Questions_Q_STREAM_F_wrapped)),1,0),0))*1</f>
        <v>1</v>
      </c>
    </row>
    <row r="2099">
      <c r="A2099" t="n">
        <v>2098</v>
      </c>
      <c r="B2099" t="inlineStr">
        <is>
          <t>B</t>
        </is>
      </c>
      <c r="C2099">
        <f>1</f>
        <v>1</v>
      </c>
      <c r="D2099">
        <f>IF(OR(F_Custom1_Q="(None)",F_Custom1_Q="",ISBLANK(F_Custom1_Q),F_Custom1_V="(All)",F_Custom1_V="",ISBLANK(F_Custom1_V)),1,IFERROR(IF(ISNUMBER(SEARCH("|"&amp;INDEX(INDIRECT(F_Custom1_resolved_column),2098)&amp;"|",F_Custom1_wrapped)),1,0),0))</f>
        <v>1</v>
      </c>
      <c r="E2099">
        <f>IF(OR(F_Custom2_Q="(None)",F_Custom2_Q="",ISBLANK(F_Custom2_Q),F_Custom2_V="(All)",F_Custom2_V="",ISBLANK(F_Custom2_V)),1,IFERROR(IF(ISNUMBER(SEARCH("|"&amp;INDEX(INDIRECT(F_Custom2_resolved_column),2098)&amp;"|",F_Custom2_wrapped)),1,0),0))</f>
        <v>1</v>
      </c>
      <c r="F2099">
        <f>D2099*E2099*1</f>
        <v>1</v>
      </c>
      <c r="G2099">
        <f>1</f>
        <v>1</v>
      </c>
      <c r="H20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2098)&amp;"|",All_Questions_Q_STREAM_F_wrapped)),1,0),0))*1</f>
        <v>1</v>
      </c>
    </row>
    <row r="2100">
      <c r="A2100" t="n">
        <v>2099</v>
      </c>
      <c r="B2100" t="inlineStr">
        <is>
          <t>A</t>
        </is>
      </c>
      <c r="C2100">
        <f>1</f>
        <v>1</v>
      </c>
      <c r="D2100">
        <f>IF(OR(F_Custom1_Q="(None)",F_Custom1_Q="",ISBLANK(F_Custom1_Q),F_Custom1_V="(All)",F_Custom1_V="",ISBLANK(F_Custom1_V)),1,IFERROR(IF(ISNUMBER(SEARCH("|"&amp;INDEX(INDIRECT(F_Custom1_resolved_column),2099)&amp;"|",F_Custom1_wrapped)),1,0),0))</f>
        <v>1</v>
      </c>
      <c r="E2100">
        <f>IF(OR(F_Custom2_Q="(None)",F_Custom2_Q="",ISBLANK(F_Custom2_Q),F_Custom2_V="(All)",F_Custom2_V="",ISBLANK(F_Custom2_V)),1,IFERROR(IF(ISNUMBER(SEARCH("|"&amp;INDEX(INDIRECT(F_Custom2_resolved_column),2099)&amp;"|",F_Custom2_wrapped)),1,0),0))</f>
        <v>1</v>
      </c>
      <c r="F2100">
        <f>D2100*E2100*1</f>
        <v>1</v>
      </c>
      <c r="G2100">
        <f>1</f>
        <v>1</v>
      </c>
      <c r="H21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2099)&amp;"|",All_Questions_Q_STREAM_F_wrapped)),1,0),0))*1</f>
        <v>1</v>
      </c>
    </row>
    <row r="2101">
      <c r="A2101" t="n">
        <v>2100</v>
      </c>
      <c r="B2101" t="inlineStr">
        <is>
          <t>B</t>
        </is>
      </c>
      <c r="C2101">
        <f>1</f>
        <v>1</v>
      </c>
      <c r="D2101">
        <f>IF(OR(F_Custom1_Q="(None)",F_Custom1_Q="",ISBLANK(F_Custom1_Q),F_Custom1_V="(All)",F_Custom1_V="",ISBLANK(F_Custom1_V)),1,IFERROR(IF(ISNUMBER(SEARCH("|"&amp;INDEX(INDIRECT(F_Custom1_resolved_column),2100)&amp;"|",F_Custom1_wrapped)),1,0),0))</f>
        <v>1</v>
      </c>
      <c r="E2101">
        <f>IF(OR(F_Custom2_Q="(None)",F_Custom2_Q="",ISBLANK(F_Custom2_Q),F_Custom2_V="(All)",F_Custom2_V="",ISBLANK(F_Custom2_V)),1,IFERROR(IF(ISNUMBER(SEARCH("|"&amp;INDEX(INDIRECT(F_Custom2_resolved_column),2100)&amp;"|",F_Custom2_wrapped)),1,0),0))</f>
        <v>1</v>
      </c>
      <c r="F2101">
        <f>D2101*E2101*1</f>
        <v>1</v>
      </c>
      <c r="G2101">
        <f>1</f>
        <v>1</v>
      </c>
      <c r="H21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2100)&amp;"|",All_Questions_Q_STREAM_F_wrapped)),1,0),0))*1</f>
        <v>1</v>
      </c>
    </row>
    <row r="2102">
      <c r="A2102" t="n">
        <v>2101</v>
      </c>
      <c r="B2102" t="inlineStr">
        <is>
          <t>A</t>
        </is>
      </c>
      <c r="C2102">
        <f>1</f>
        <v>1</v>
      </c>
      <c r="D2102">
        <f>IF(OR(F_Custom1_Q="(None)",F_Custom1_Q="",ISBLANK(F_Custom1_Q),F_Custom1_V="(All)",F_Custom1_V="",ISBLANK(F_Custom1_V)),1,IFERROR(IF(ISNUMBER(SEARCH("|"&amp;INDEX(INDIRECT(F_Custom1_resolved_column),2101)&amp;"|",F_Custom1_wrapped)),1,0),0))</f>
        <v>1</v>
      </c>
      <c r="E2102">
        <f>IF(OR(F_Custom2_Q="(None)",F_Custom2_Q="",ISBLANK(F_Custom2_Q),F_Custom2_V="(All)",F_Custom2_V="",ISBLANK(F_Custom2_V)),1,IFERROR(IF(ISNUMBER(SEARCH("|"&amp;INDEX(INDIRECT(F_Custom2_resolved_column),2101)&amp;"|",F_Custom2_wrapped)),1,0),0))</f>
        <v>1</v>
      </c>
      <c r="F2102">
        <f>D2102*E2102*1</f>
        <v>1</v>
      </c>
      <c r="G2102">
        <f>1</f>
        <v>1</v>
      </c>
      <c r="H21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2101)&amp;"|",All_Questions_Q_STREAM_F_wrapped)),1,0),0))*1</f>
        <v>1</v>
      </c>
    </row>
    <row r="2103">
      <c r="A2103" t="n">
        <v>2102</v>
      </c>
      <c r="B2103" t="inlineStr">
        <is>
          <t>B</t>
        </is>
      </c>
      <c r="C2103">
        <f>1</f>
        <v>1</v>
      </c>
      <c r="D2103">
        <f>IF(OR(F_Custom1_Q="(None)",F_Custom1_Q="",ISBLANK(F_Custom1_Q),F_Custom1_V="(All)",F_Custom1_V="",ISBLANK(F_Custom1_V)),1,IFERROR(IF(ISNUMBER(SEARCH("|"&amp;INDEX(INDIRECT(F_Custom1_resolved_column),2102)&amp;"|",F_Custom1_wrapped)),1,0),0))</f>
        <v>1</v>
      </c>
      <c r="E2103">
        <f>IF(OR(F_Custom2_Q="(None)",F_Custom2_Q="",ISBLANK(F_Custom2_Q),F_Custom2_V="(All)",F_Custom2_V="",ISBLANK(F_Custom2_V)),1,IFERROR(IF(ISNUMBER(SEARCH("|"&amp;INDEX(INDIRECT(F_Custom2_resolved_column),2102)&amp;"|",F_Custom2_wrapped)),1,0),0))</f>
        <v>1</v>
      </c>
      <c r="F2103">
        <f>D2103*E2103*1</f>
        <v>1</v>
      </c>
      <c r="G2103">
        <f>1</f>
        <v>1</v>
      </c>
      <c r="H21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2102)&amp;"|",All_Questions_Q_STREAM_F_wrapped)),1,0),0))*1</f>
        <v>1</v>
      </c>
    </row>
    <row r="2104">
      <c r="A2104" t="n">
        <v>2103</v>
      </c>
      <c r="B2104" t="inlineStr">
        <is>
          <t>A</t>
        </is>
      </c>
      <c r="C2104">
        <f>1</f>
        <v>1</v>
      </c>
      <c r="D2104">
        <f>IF(OR(F_Custom1_Q="(None)",F_Custom1_Q="",ISBLANK(F_Custom1_Q),F_Custom1_V="(All)",F_Custom1_V="",ISBLANK(F_Custom1_V)),1,IFERROR(IF(ISNUMBER(SEARCH("|"&amp;INDEX(INDIRECT(F_Custom1_resolved_column),2103)&amp;"|",F_Custom1_wrapped)),1,0),0))</f>
        <v>1</v>
      </c>
      <c r="E2104">
        <f>IF(OR(F_Custom2_Q="(None)",F_Custom2_Q="",ISBLANK(F_Custom2_Q),F_Custom2_V="(All)",F_Custom2_V="",ISBLANK(F_Custom2_V)),1,IFERROR(IF(ISNUMBER(SEARCH("|"&amp;INDEX(INDIRECT(F_Custom2_resolved_column),2103)&amp;"|",F_Custom2_wrapped)),1,0),0))</f>
        <v>1</v>
      </c>
      <c r="F2104">
        <f>D2104*E2104*1</f>
        <v>1</v>
      </c>
      <c r="G2104">
        <f>1</f>
        <v>1</v>
      </c>
      <c r="H21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2103)&amp;"|",All_Questions_Q_STREAM_F_wrapped)),1,0),0))*1</f>
        <v>1</v>
      </c>
    </row>
    <row r="2105">
      <c r="A2105" t="n">
        <v>2104</v>
      </c>
      <c r="B2105" t="inlineStr">
        <is>
          <t>B</t>
        </is>
      </c>
      <c r="C2105">
        <f>1</f>
        <v>1</v>
      </c>
      <c r="D2105">
        <f>IF(OR(F_Custom1_Q="(None)",F_Custom1_Q="",ISBLANK(F_Custom1_Q),F_Custom1_V="(All)",F_Custom1_V="",ISBLANK(F_Custom1_V)),1,IFERROR(IF(ISNUMBER(SEARCH("|"&amp;INDEX(INDIRECT(F_Custom1_resolved_column),2104)&amp;"|",F_Custom1_wrapped)),1,0),0))</f>
        <v>1</v>
      </c>
      <c r="E2105">
        <f>IF(OR(F_Custom2_Q="(None)",F_Custom2_Q="",ISBLANK(F_Custom2_Q),F_Custom2_V="(All)",F_Custom2_V="",ISBLANK(F_Custom2_V)),1,IFERROR(IF(ISNUMBER(SEARCH("|"&amp;INDEX(INDIRECT(F_Custom2_resolved_column),2104)&amp;"|",F_Custom2_wrapped)),1,0),0))</f>
        <v>1</v>
      </c>
      <c r="F2105">
        <f>D2105*E2105*1</f>
        <v>1</v>
      </c>
      <c r="G2105">
        <f>1</f>
        <v>1</v>
      </c>
      <c r="H21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2104)&amp;"|",All_Questions_Q_STREAM_F_wrapped)),1,0),0))*1</f>
        <v>1</v>
      </c>
    </row>
    <row r="2106">
      <c r="A2106" t="n">
        <v>2105</v>
      </c>
      <c r="B2106" t="inlineStr">
        <is>
          <t>A</t>
        </is>
      </c>
      <c r="C2106">
        <f>1</f>
        <v>1</v>
      </c>
      <c r="D2106">
        <f>IF(OR(F_Custom1_Q="(None)",F_Custom1_Q="",ISBLANK(F_Custom1_Q),F_Custom1_V="(All)",F_Custom1_V="",ISBLANK(F_Custom1_V)),1,IFERROR(IF(ISNUMBER(SEARCH("|"&amp;INDEX(INDIRECT(F_Custom1_resolved_column),2105)&amp;"|",F_Custom1_wrapped)),1,0),0))</f>
        <v>1</v>
      </c>
      <c r="E2106">
        <f>IF(OR(F_Custom2_Q="(None)",F_Custom2_Q="",ISBLANK(F_Custom2_Q),F_Custom2_V="(All)",F_Custom2_V="",ISBLANK(F_Custom2_V)),1,IFERROR(IF(ISNUMBER(SEARCH("|"&amp;INDEX(INDIRECT(F_Custom2_resolved_column),2105)&amp;"|",F_Custom2_wrapped)),1,0),0))</f>
        <v>1</v>
      </c>
      <c r="F2106">
        <f>D2106*E2106*1</f>
        <v>1</v>
      </c>
      <c r="G2106">
        <f>1</f>
        <v>1</v>
      </c>
      <c r="H21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2105)&amp;"|",All_Questions_Q_STREAM_F_wrapped)),1,0),0))*1</f>
        <v>1</v>
      </c>
    </row>
    <row r="2107">
      <c r="A2107" t="n">
        <v>2106</v>
      </c>
      <c r="B2107" t="inlineStr">
        <is>
          <t>B</t>
        </is>
      </c>
      <c r="C2107">
        <f>1</f>
        <v>1</v>
      </c>
      <c r="D2107">
        <f>IF(OR(F_Custom1_Q="(None)",F_Custom1_Q="",ISBLANK(F_Custom1_Q),F_Custom1_V="(All)",F_Custom1_V="",ISBLANK(F_Custom1_V)),1,IFERROR(IF(ISNUMBER(SEARCH("|"&amp;INDEX(INDIRECT(F_Custom1_resolved_column),2106)&amp;"|",F_Custom1_wrapped)),1,0),0))</f>
        <v>1</v>
      </c>
      <c r="E2107">
        <f>IF(OR(F_Custom2_Q="(None)",F_Custom2_Q="",ISBLANK(F_Custom2_Q),F_Custom2_V="(All)",F_Custom2_V="",ISBLANK(F_Custom2_V)),1,IFERROR(IF(ISNUMBER(SEARCH("|"&amp;INDEX(INDIRECT(F_Custom2_resolved_column),2106)&amp;"|",F_Custom2_wrapped)),1,0),0))</f>
        <v>1</v>
      </c>
      <c r="F2107">
        <f>D2107*E2107*1</f>
        <v>1</v>
      </c>
      <c r="G2107">
        <f>1</f>
        <v>1</v>
      </c>
      <c r="H21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2106)&amp;"|",All_Questions_Q_STREAM_F_wrapped)),1,0),0))*1</f>
        <v>1</v>
      </c>
    </row>
    <row r="2108">
      <c r="A2108" t="n">
        <v>2107</v>
      </c>
      <c r="B2108" t="inlineStr">
        <is>
          <t>A</t>
        </is>
      </c>
      <c r="C2108">
        <f>1</f>
        <v>1</v>
      </c>
      <c r="D2108">
        <f>IF(OR(F_Custom1_Q="(None)",F_Custom1_Q="",ISBLANK(F_Custom1_Q),F_Custom1_V="(All)",F_Custom1_V="",ISBLANK(F_Custom1_V)),1,IFERROR(IF(ISNUMBER(SEARCH("|"&amp;INDEX(INDIRECT(F_Custom1_resolved_column),2107)&amp;"|",F_Custom1_wrapped)),1,0),0))</f>
        <v>1</v>
      </c>
      <c r="E2108">
        <f>IF(OR(F_Custom2_Q="(None)",F_Custom2_Q="",ISBLANK(F_Custom2_Q),F_Custom2_V="(All)",F_Custom2_V="",ISBLANK(F_Custom2_V)),1,IFERROR(IF(ISNUMBER(SEARCH("|"&amp;INDEX(INDIRECT(F_Custom2_resolved_column),2107)&amp;"|",F_Custom2_wrapped)),1,0),0))</f>
        <v>1</v>
      </c>
      <c r="F2108">
        <f>D2108*E2108*1</f>
        <v>1</v>
      </c>
      <c r="G2108">
        <f>1</f>
        <v>1</v>
      </c>
      <c r="H21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2107)&amp;"|",All_Questions_Q_STREAM_F_wrapped)),1,0),0))*1</f>
        <v>1</v>
      </c>
    </row>
    <row r="2109">
      <c r="A2109" t="n">
        <v>2108</v>
      </c>
      <c r="B2109" t="inlineStr">
        <is>
          <t>B</t>
        </is>
      </c>
      <c r="C2109">
        <f>1</f>
        <v>1</v>
      </c>
      <c r="D2109">
        <f>IF(OR(F_Custom1_Q="(None)",F_Custom1_Q="",ISBLANK(F_Custom1_Q),F_Custom1_V="(All)",F_Custom1_V="",ISBLANK(F_Custom1_V)),1,IFERROR(IF(ISNUMBER(SEARCH("|"&amp;INDEX(INDIRECT(F_Custom1_resolved_column),2108)&amp;"|",F_Custom1_wrapped)),1,0),0))</f>
        <v>1</v>
      </c>
      <c r="E2109">
        <f>IF(OR(F_Custom2_Q="(None)",F_Custom2_Q="",ISBLANK(F_Custom2_Q),F_Custom2_V="(All)",F_Custom2_V="",ISBLANK(F_Custom2_V)),1,IFERROR(IF(ISNUMBER(SEARCH("|"&amp;INDEX(INDIRECT(F_Custom2_resolved_column),2108)&amp;"|",F_Custom2_wrapped)),1,0),0))</f>
        <v>1</v>
      </c>
      <c r="F2109">
        <f>D2109*E2109*1</f>
        <v>1</v>
      </c>
      <c r="G2109">
        <f>1</f>
        <v>1</v>
      </c>
      <c r="H21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2108)&amp;"|",All_Questions_Q_STREAM_F_wrapped)),1,0),0))*1</f>
        <v>1</v>
      </c>
    </row>
    <row r="2110">
      <c r="A2110" t="n">
        <v>2109</v>
      </c>
      <c r="B2110" t="inlineStr">
        <is>
          <t>A</t>
        </is>
      </c>
      <c r="C2110">
        <f>1</f>
        <v>1</v>
      </c>
      <c r="D2110">
        <f>IF(OR(F_Custom1_Q="(None)",F_Custom1_Q="",ISBLANK(F_Custom1_Q),F_Custom1_V="(All)",F_Custom1_V="",ISBLANK(F_Custom1_V)),1,IFERROR(IF(ISNUMBER(SEARCH("|"&amp;INDEX(INDIRECT(F_Custom1_resolved_column),2109)&amp;"|",F_Custom1_wrapped)),1,0),0))</f>
        <v>1</v>
      </c>
      <c r="E2110">
        <f>IF(OR(F_Custom2_Q="(None)",F_Custom2_Q="",ISBLANK(F_Custom2_Q),F_Custom2_V="(All)",F_Custom2_V="",ISBLANK(F_Custom2_V)),1,IFERROR(IF(ISNUMBER(SEARCH("|"&amp;INDEX(INDIRECT(F_Custom2_resolved_column),2109)&amp;"|",F_Custom2_wrapped)),1,0),0))</f>
        <v>1</v>
      </c>
      <c r="F2110">
        <f>D2110*E2110*1</f>
        <v>1</v>
      </c>
      <c r="G2110">
        <f>1</f>
        <v>1</v>
      </c>
      <c r="H21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2109)&amp;"|",All_Questions_Q_STREAM_F_wrapped)),1,0),0))*1</f>
        <v>1</v>
      </c>
    </row>
    <row r="2111">
      <c r="A2111" t="n">
        <v>2110</v>
      </c>
      <c r="B2111" t="inlineStr">
        <is>
          <t>B</t>
        </is>
      </c>
      <c r="C2111">
        <f>1</f>
        <v>1</v>
      </c>
      <c r="D2111">
        <f>IF(OR(F_Custom1_Q="(None)",F_Custom1_Q="",ISBLANK(F_Custom1_Q),F_Custom1_V="(All)",F_Custom1_V="",ISBLANK(F_Custom1_V)),1,IFERROR(IF(ISNUMBER(SEARCH("|"&amp;INDEX(INDIRECT(F_Custom1_resolved_column),2110)&amp;"|",F_Custom1_wrapped)),1,0),0))</f>
        <v>1</v>
      </c>
      <c r="E2111">
        <f>IF(OR(F_Custom2_Q="(None)",F_Custom2_Q="",ISBLANK(F_Custom2_Q),F_Custom2_V="(All)",F_Custom2_V="",ISBLANK(F_Custom2_V)),1,IFERROR(IF(ISNUMBER(SEARCH("|"&amp;INDEX(INDIRECT(F_Custom2_resolved_column),2110)&amp;"|",F_Custom2_wrapped)),1,0),0))</f>
        <v>1</v>
      </c>
      <c r="F2111">
        <f>D2111*E2111*1</f>
        <v>1</v>
      </c>
      <c r="G2111">
        <f>1</f>
        <v>1</v>
      </c>
      <c r="H21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2110)&amp;"|",All_Questions_Q_STREAM_F_wrapped)),1,0),0))*1</f>
        <v>1</v>
      </c>
    </row>
    <row r="2112">
      <c r="A2112" t="n">
        <v>2111</v>
      </c>
      <c r="B2112" t="inlineStr">
        <is>
          <t>A</t>
        </is>
      </c>
      <c r="C2112">
        <f>1</f>
        <v>1</v>
      </c>
      <c r="D2112">
        <f>IF(OR(F_Custom1_Q="(None)",F_Custom1_Q="",ISBLANK(F_Custom1_Q),F_Custom1_V="(All)",F_Custom1_V="",ISBLANK(F_Custom1_V)),1,IFERROR(IF(ISNUMBER(SEARCH("|"&amp;INDEX(INDIRECT(F_Custom1_resolved_column),2111)&amp;"|",F_Custom1_wrapped)),1,0),0))</f>
        <v>1</v>
      </c>
      <c r="E2112">
        <f>IF(OR(F_Custom2_Q="(None)",F_Custom2_Q="",ISBLANK(F_Custom2_Q),F_Custom2_V="(All)",F_Custom2_V="",ISBLANK(F_Custom2_V)),1,IFERROR(IF(ISNUMBER(SEARCH("|"&amp;INDEX(INDIRECT(F_Custom2_resolved_column),2111)&amp;"|",F_Custom2_wrapped)),1,0),0))</f>
        <v>1</v>
      </c>
      <c r="F2112">
        <f>D2112*E2112*1</f>
        <v>1</v>
      </c>
      <c r="G2112">
        <f>1</f>
        <v>1</v>
      </c>
      <c r="H21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2111)&amp;"|",All_Questions_Q_STREAM_F_wrapped)),1,0),0))*1</f>
        <v>1</v>
      </c>
    </row>
    <row r="2113">
      <c r="A2113" t="n">
        <v>2112</v>
      </c>
      <c r="B2113" t="inlineStr">
        <is>
          <t>B</t>
        </is>
      </c>
      <c r="C2113">
        <f>1</f>
        <v>1</v>
      </c>
      <c r="D2113">
        <f>IF(OR(F_Custom1_Q="(None)",F_Custom1_Q="",ISBLANK(F_Custom1_Q),F_Custom1_V="(All)",F_Custom1_V="",ISBLANK(F_Custom1_V)),1,IFERROR(IF(ISNUMBER(SEARCH("|"&amp;INDEX(INDIRECT(F_Custom1_resolved_column),2112)&amp;"|",F_Custom1_wrapped)),1,0),0))</f>
        <v>1</v>
      </c>
      <c r="E2113">
        <f>IF(OR(F_Custom2_Q="(None)",F_Custom2_Q="",ISBLANK(F_Custom2_Q),F_Custom2_V="(All)",F_Custom2_V="",ISBLANK(F_Custom2_V)),1,IFERROR(IF(ISNUMBER(SEARCH("|"&amp;INDEX(INDIRECT(F_Custom2_resolved_column),2112)&amp;"|",F_Custom2_wrapped)),1,0),0))</f>
        <v>1</v>
      </c>
      <c r="F2113">
        <f>D2113*E2113*1</f>
        <v>1</v>
      </c>
      <c r="G2113">
        <f>1</f>
        <v>1</v>
      </c>
      <c r="H21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2112)&amp;"|",All_Questions_Q_STREAM_F_wrapped)),1,0),0))*1</f>
        <v>1</v>
      </c>
    </row>
    <row r="2114">
      <c r="A2114" t="n">
        <v>2113</v>
      </c>
      <c r="B2114" t="inlineStr">
        <is>
          <t>A</t>
        </is>
      </c>
      <c r="C2114">
        <f>1</f>
        <v>1</v>
      </c>
      <c r="D2114">
        <f>IF(OR(F_Custom1_Q="(None)",F_Custom1_Q="",ISBLANK(F_Custom1_Q),F_Custom1_V="(All)",F_Custom1_V="",ISBLANK(F_Custom1_V)),1,IFERROR(IF(ISNUMBER(SEARCH("|"&amp;INDEX(INDIRECT(F_Custom1_resolved_column),2113)&amp;"|",F_Custom1_wrapped)),1,0),0))</f>
        <v>1</v>
      </c>
      <c r="E2114">
        <f>IF(OR(F_Custom2_Q="(None)",F_Custom2_Q="",ISBLANK(F_Custom2_Q),F_Custom2_V="(All)",F_Custom2_V="",ISBLANK(F_Custom2_V)),1,IFERROR(IF(ISNUMBER(SEARCH("|"&amp;INDEX(INDIRECT(F_Custom2_resolved_column),2113)&amp;"|",F_Custom2_wrapped)),1,0),0))</f>
        <v>1</v>
      </c>
      <c r="F2114">
        <f>D2114*E2114*1</f>
        <v>1</v>
      </c>
      <c r="G2114">
        <f>1</f>
        <v>1</v>
      </c>
      <c r="H21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2113)&amp;"|",All_Questions_Q_STREAM_F_wrapped)),1,0),0))*1</f>
        <v>1</v>
      </c>
    </row>
    <row r="2115">
      <c r="A2115" t="n">
        <v>2114</v>
      </c>
      <c r="B2115" t="inlineStr">
        <is>
          <t>B</t>
        </is>
      </c>
      <c r="C2115">
        <f>1</f>
        <v>1</v>
      </c>
      <c r="D2115">
        <f>IF(OR(F_Custom1_Q="(None)",F_Custom1_Q="",ISBLANK(F_Custom1_Q),F_Custom1_V="(All)",F_Custom1_V="",ISBLANK(F_Custom1_V)),1,IFERROR(IF(ISNUMBER(SEARCH("|"&amp;INDEX(INDIRECT(F_Custom1_resolved_column),2114)&amp;"|",F_Custom1_wrapped)),1,0),0))</f>
        <v>1</v>
      </c>
      <c r="E2115">
        <f>IF(OR(F_Custom2_Q="(None)",F_Custom2_Q="",ISBLANK(F_Custom2_Q),F_Custom2_V="(All)",F_Custom2_V="",ISBLANK(F_Custom2_V)),1,IFERROR(IF(ISNUMBER(SEARCH("|"&amp;INDEX(INDIRECT(F_Custom2_resolved_column),2114)&amp;"|",F_Custom2_wrapped)),1,0),0))</f>
        <v>1</v>
      </c>
      <c r="F2115">
        <f>D2115*E2115*1</f>
        <v>1</v>
      </c>
      <c r="G2115">
        <f>1</f>
        <v>1</v>
      </c>
      <c r="H21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2114)&amp;"|",All_Questions_Q_STREAM_F_wrapped)),1,0),0))*1</f>
        <v>1</v>
      </c>
    </row>
    <row r="2116">
      <c r="A2116" t="n">
        <v>2115</v>
      </c>
      <c r="B2116" t="inlineStr">
        <is>
          <t>A</t>
        </is>
      </c>
      <c r="C2116">
        <f>1</f>
        <v>1</v>
      </c>
      <c r="D2116">
        <f>IF(OR(F_Custom1_Q="(None)",F_Custom1_Q="",ISBLANK(F_Custom1_Q),F_Custom1_V="(All)",F_Custom1_V="",ISBLANK(F_Custom1_V)),1,IFERROR(IF(ISNUMBER(SEARCH("|"&amp;INDEX(INDIRECT(F_Custom1_resolved_column),2115)&amp;"|",F_Custom1_wrapped)),1,0),0))</f>
        <v>1</v>
      </c>
      <c r="E2116">
        <f>IF(OR(F_Custom2_Q="(None)",F_Custom2_Q="",ISBLANK(F_Custom2_Q),F_Custom2_V="(All)",F_Custom2_V="",ISBLANK(F_Custom2_V)),1,IFERROR(IF(ISNUMBER(SEARCH("|"&amp;INDEX(INDIRECT(F_Custom2_resolved_column),2115)&amp;"|",F_Custom2_wrapped)),1,0),0))</f>
        <v>1</v>
      </c>
      <c r="F2116">
        <f>D2116*E2116*1</f>
        <v>1</v>
      </c>
      <c r="G2116">
        <f>1</f>
        <v>1</v>
      </c>
      <c r="H21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2115)&amp;"|",All_Questions_Q_STREAM_F_wrapped)),1,0),0))*1</f>
        <v>1</v>
      </c>
    </row>
    <row r="2117">
      <c r="A2117" t="n">
        <v>2116</v>
      </c>
      <c r="B2117" t="inlineStr">
        <is>
          <t>B</t>
        </is>
      </c>
      <c r="C2117">
        <f>1</f>
        <v>1</v>
      </c>
      <c r="D2117">
        <f>IF(OR(F_Custom1_Q="(None)",F_Custom1_Q="",ISBLANK(F_Custom1_Q),F_Custom1_V="(All)",F_Custom1_V="",ISBLANK(F_Custom1_V)),1,IFERROR(IF(ISNUMBER(SEARCH("|"&amp;INDEX(INDIRECT(F_Custom1_resolved_column),2116)&amp;"|",F_Custom1_wrapped)),1,0),0))</f>
        <v>1</v>
      </c>
      <c r="E2117">
        <f>IF(OR(F_Custom2_Q="(None)",F_Custom2_Q="",ISBLANK(F_Custom2_Q),F_Custom2_V="(All)",F_Custom2_V="",ISBLANK(F_Custom2_V)),1,IFERROR(IF(ISNUMBER(SEARCH("|"&amp;INDEX(INDIRECT(F_Custom2_resolved_column),2116)&amp;"|",F_Custom2_wrapped)),1,0),0))</f>
        <v>1</v>
      </c>
      <c r="F2117">
        <f>D2117*E2117*1</f>
        <v>1</v>
      </c>
      <c r="G2117">
        <f>1</f>
        <v>1</v>
      </c>
      <c r="H21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2116)&amp;"|",All_Questions_Q_STREAM_F_wrapped)),1,0),0))*1</f>
        <v>1</v>
      </c>
    </row>
    <row r="2118">
      <c r="A2118" t="n">
        <v>2117</v>
      </c>
      <c r="B2118" t="inlineStr">
        <is>
          <t>A</t>
        </is>
      </c>
      <c r="C2118">
        <f>1</f>
        <v>1</v>
      </c>
      <c r="D2118">
        <f>IF(OR(F_Custom1_Q="(None)",F_Custom1_Q="",ISBLANK(F_Custom1_Q),F_Custom1_V="(All)",F_Custom1_V="",ISBLANK(F_Custom1_V)),1,IFERROR(IF(ISNUMBER(SEARCH("|"&amp;INDEX(INDIRECT(F_Custom1_resolved_column),2117)&amp;"|",F_Custom1_wrapped)),1,0),0))</f>
        <v>1</v>
      </c>
      <c r="E2118">
        <f>IF(OR(F_Custom2_Q="(None)",F_Custom2_Q="",ISBLANK(F_Custom2_Q),F_Custom2_V="(All)",F_Custom2_V="",ISBLANK(F_Custom2_V)),1,IFERROR(IF(ISNUMBER(SEARCH("|"&amp;INDEX(INDIRECT(F_Custom2_resolved_column),2117)&amp;"|",F_Custom2_wrapped)),1,0),0))</f>
        <v>1</v>
      </c>
      <c r="F2118">
        <f>D2118*E2118*1</f>
        <v>1</v>
      </c>
      <c r="G2118">
        <f>1</f>
        <v>1</v>
      </c>
      <c r="H21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2117)&amp;"|",All_Questions_Q_STREAM_F_wrapped)),1,0),0))*1</f>
        <v>1</v>
      </c>
    </row>
    <row r="2119">
      <c r="A2119" t="n">
        <v>2118</v>
      </c>
      <c r="B2119" t="inlineStr">
        <is>
          <t>B</t>
        </is>
      </c>
      <c r="C2119">
        <f>1</f>
        <v>1</v>
      </c>
      <c r="D2119">
        <f>IF(OR(F_Custom1_Q="(None)",F_Custom1_Q="",ISBLANK(F_Custom1_Q),F_Custom1_V="(All)",F_Custom1_V="",ISBLANK(F_Custom1_V)),1,IFERROR(IF(ISNUMBER(SEARCH("|"&amp;INDEX(INDIRECT(F_Custom1_resolved_column),2118)&amp;"|",F_Custom1_wrapped)),1,0),0))</f>
        <v>1</v>
      </c>
      <c r="E2119">
        <f>IF(OR(F_Custom2_Q="(None)",F_Custom2_Q="",ISBLANK(F_Custom2_Q),F_Custom2_V="(All)",F_Custom2_V="",ISBLANK(F_Custom2_V)),1,IFERROR(IF(ISNUMBER(SEARCH("|"&amp;INDEX(INDIRECT(F_Custom2_resolved_column),2118)&amp;"|",F_Custom2_wrapped)),1,0),0))</f>
        <v>1</v>
      </c>
      <c r="F2119">
        <f>D2119*E2119*1</f>
        <v>1</v>
      </c>
      <c r="G2119">
        <f>1</f>
        <v>1</v>
      </c>
      <c r="H21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2118)&amp;"|",All_Questions_Q_STREAM_F_wrapped)),1,0),0))*1</f>
        <v>1</v>
      </c>
    </row>
    <row r="2120">
      <c r="A2120" t="n">
        <v>2119</v>
      </c>
      <c r="B2120" t="inlineStr">
        <is>
          <t>A</t>
        </is>
      </c>
      <c r="C2120">
        <f>1</f>
        <v>1</v>
      </c>
      <c r="D2120">
        <f>IF(OR(F_Custom1_Q="(None)",F_Custom1_Q="",ISBLANK(F_Custom1_Q),F_Custom1_V="(All)",F_Custom1_V="",ISBLANK(F_Custom1_V)),1,IFERROR(IF(ISNUMBER(SEARCH("|"&amp;INDEX(INDIRECT(F_Custom1_resolved_column),2119)&amp;"|",F_Custom1_wrapped)),1,0),0))</f>
        <v>1</v>
      </c>
      <c r="E2120">
        <f>IF(OR(F_Custom2_Q="(None)",F_Custom2_Q="",ISBLANK(F_Custom2_Q),F_Custom2_V="(All)",F_Custom2_V="",ISBLANK(F_Custom2_V)),1,IFERROR(IF(ISNUMBER(SEARCH("|"&amp;INDEX(INDIRECT(F_Custom2_resolved_column),2119)&amp;"|",F_Custom2_wrapped)),1,0),0))</f>
        <v>1</v>
      </c>
      <c r="F2120">
        <f>D2120*E2120*1</f>
        <v>1</v>
      </c>
      <c r="G2120">
        <f>1</f>
        <v>1</v>
      </c>
      <c r="H21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2119)&amp;"|",All_Questions_Q_STREAM_F_wrapped)),1,0),0))*1</f>
        <v>1</v>
      </c>
    </row>
    <row r="2121">
      <c r="A2121" t="n">
        <v>2120</v>
      </c>
      <c r="B2121" t="inlineStr">
        <is>
          <t>B</t>
        </is>
      </c>
      <c r="C2121">
        <f>1</f>
        <v>1</v>
      </c>
      <c r="D2121">
        <f>IF(OR(F_Custom1_Q="(None)",F_Custom1_Q="",ISBLANK(F_Custom1_Q),F_Custom1_V="(All)",F_Custom1_V="",ISBLANK(F_Custom1_V)),1,IFERROR(IF(ISNUMBER(SEARCH("|"&amp;INDEX(INDIRECT(F_Custom1_resolved_column),2120)&amp;"|",F_Custom1_wrapped)),1,0),0))</f>
        <v>1</v>
      </c>
      <c r="E2121">
        <f>IF(OR(F_Custom2_Q="(None)",F_Custom2_Q="",ISBLANK(F_Custom2_Q),F_Custom2_V="(All)",F_Custom2_V="",ISBLANK(F_Custom2_V)),1,IFERROR(IF(ISNUMBER(SEARCH("|"&amp;INDEX(INDIRECT(F_Custom2_resolved_column),2120)&amp;"|",F_Custom2_wrapped)),1,0),0))</f>
        <v>1</v>
      </c>
      <c r="F2121">
        <f>D2121*E2121*1</f>
        <v>1</v>
      </c>
      <c r="G2121">
        <f>1</f>
        <v>1</v>
      </c>
      <c r="H21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2120)&amp;"|",All_Questions_Q_STREAM_F_wrapped)),1,0),0))*1</f>
        <v>1</v>
      </c>
    </row>
    <row r="2122">
      <c r="A2122" t="n">
        <v>2121</v>
      </c>
      <c r="B2122" t="inlineStr">
        <is>
          <t>A</t>
        </is>
      </c>
      <c r="C2122">
        <f>1</f>
        <v>1</v>
      </c>
      <c r="D2122">
        <f>IF(OR(F_Custom1_Q="(None)",F_Custom1_Q="",ISBLANK(F_Custom1_Q),F_Custom1_V="(All)",F_Custom1_V="",ISBLANK(F_Custom1_V)),1,IFERROR(IF(ISNUMBER(SEARCH("|"&amp;INDEX(INDIRECT(F_Custom1_resolved_column),2121)&amp;"|",F_Custom1_wrapped)),1,0),0))</f>
        <v>1</v>
      </c>
      <c r="E2122">
        <f>IF(OR(F_Custom2_Q="(None)",F_Custom2_Q="",ISBLANK(F_Custom2_Q),F_Custom2_V="(All)",F_Custom2_V="",ISBLANK(F_Custom2_V)),1,IFERROR(IF(ISNUMBER(SEARCH("|"&amp;INDEX(INDIRECT(F_Custom2_resolved_column),2121)&amp;"|",F_Custom2_wrapped)),1,0),0))</f>
        <v>1</v>
      </c>
      <c r="F2122">
        <f>D2122*E2122*1</f>
        <v>1</v>
      </c>
      <c r="G2122">
        <f>1</f>
        <v>1</v>
      </c>
      <c r="H21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2121)&amp;"|",All_Questions_Q_STREAM_F_wrapped)),1,0),0))*1</f>
        <v>1</v>
      </c>
    </row>
    <row r="2123">
      <c r="A2123" t="n">
        <v>2122</v>
      </c>
      <c r="B2123" t="inlineStr">
        <is>
          <t>B</t>
        </is>
      </c>
      <c r="C2123">
        <f>1</f>
        <v>1</v>
      </c>
      <c r="D2123">
        <f>IF(OR(F_Custom1_Q="(None)",F_Custom1_Q="",ISBLANK(F_Custom1_Q),F_Custom1_V="(All)",F_Custom1_V="",ISBLANK(F_Custom1_V)),1,IFERROR(IF(ISNUMBER(SEARCH("|"&amp;INDEX(INDIRECT(F_Custom1_resolved_column),2122)&amp;"|",F_Custom1_wrapped)),1,0),0))</f>
        <v>1</v>
      </c>
      <c r="E2123">
        <f>IF(OR(F_Custom2_Q="(None)",F_Custom2_Q="",ISBLANK(F_Custom2_Q),F_Custom2_V="(All)",F_Custom2_V="",ISBLANK(F_Custom2_V)),1,IFERROR(IF(ISNUMBER(SEARCH("|"&amp;INDEX(INDIRECT(F_Custom2_resolved_column),2122)&amp;"|",F_Custom2_wrapped)),1,0),0))</f>
        <v>1</v>
      </c>
      <c r="F2123">
        <f>D2123*E2123*1</f>
        <v>1</v>
      </c>
      <c r="G2123">
        <f>1</f>
        <v>1</v>
      </c>
      <c r="H21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2122)&amp;"|",All_Questions_Q_STREAM_F_wrapped)),1,0),0))*1</f>
        <v>1</v>
      </c>
    </row>
    <row r="2124">
      <c r="A2124" t="n">
        <v>2123</v>
      </c>
      <c r="B2124" t="inlineStr">
        <is>
          <t>A</t>
        </is>
      </c>
      <c r="C2124">
        <f>1</f>
        <v>1</v>
      </c>
      <c r="D2124">
        <f>IF(OR(F_Custom1_Q="(None)",F_Custom1_Q="",ISBLANK(F_Custom1_Q),F_Custom1_V="(All)",F_Custom1_V="",ISBLANK(F_Custom1_V)),1,IFERROR(IF(ISNUMBER(SEARCH("|"&amp;INDEX(INDIRECT(F_Custom1_resolved_column),2123)&amp;"|",F_Custom1_wrapped)),1,0),0))</f>
        <v>1</v>
      </c>
      <c r="E2124">
        <f>IF(OR(F_Custom2_Q="(None)",F_Custom2_Q="",ISBLANK(F_Custom2_Q),F_Custom2_V="(All)",F_Custom2_V="",ISBLANK(F_Custom2_V)),1,IFERROR(IF(ISNUMBER(SEARCH("|"&amp;INDEX(INDIRECT(F_Custom2_resolved_column),2123)&amp;"|",F_Custom2_wrapped)),1,0),0))</f>
        <v>1</v>
      </c>
      <c r="F2124">
        <f>D2124*E2124*1</f>
        <v>1</v>
      </c>
      <c r="G2124">
        <f>1</f>
        <v>1</v>
      </c>
      <c r="H21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2123)&amp;"|",All_Questions_Q_STREAM_F_wrapped)),1,0),0))*1</f>
        <v>1</v>
      </c>
    </row>
    <row r="2125">
      <c r="A2125" t="n">
        <v>2124</v>
      </c>
      <c r="B2125" t="inlineStr">
        <is>
          <t>B</t>
        </is>
      </c>
      <c r="C2125">
        <f>1</f>
        <v>1</v>
      </c>
      <c r="D2125">
        <f>IF(OR(F_Custom1_Q="(None)",F_Custom1_Q="",ISBLANK(F_Custom1_Q),F_Custom1_V="(All)",F_Custom1_V="",ISBLANK(F_Custom1_V)),1,IFERROR(IF(ISNUMBER(SEARCH("|"&amp;INDEX(INDIRECT(F_Custom1_resolved_column),2124)&amp;"|",F_Custom1_wrapped)),1,0),0))</f>
        <v>1</v>
      </c>
      <c r="E2125">
        <f>IF(OR(F_Custom2_Q="(None)",F_Custom2_Q="",ISBLANK(F_Custom2_Q),F_Custom2_V="(All)",F_Custom2_V="",ISBLANK(F_Custom2_V)),1,IFERROR(IF(ISNUMBER(SEARCH("|"&amp;INDEX(INDIRECT(F_Custom2_resolved_column),2124)&amp;"|",F_Custom2_wrapped)),1,0),0))</f>
        <v>1</v>
      </c>
      <c r="F2125">
        <f>D2125*E2125*1</f>
        <v>1</v>
      </c>
      <c r="G2125">
        <f>1</f>
        <v>1</v>
      </c>
      <c r="H21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2124)&amp;"|",All_Questions_Q_STREAM_F_wrapped)),1,0),0))*1</f>
        <v>1</v>
      </c>
    </row>
    <row r="2126">
      <c r="A2126" t="n">
        <v>2125</v>
      </c>
      <c r="B2126" t="inlineStr">
        <is>
          <t>A</t>
        </is>
      </c>
      <c r="C2126">
        <f>1</f>
        <v>1</v>
      </c>
      <c r="D2126">
        <f>IF(OR(F_Custom1_Q="(None)",F_Custom1_Q="",ISBLANK(F_Custom1_Q),F_Custom1_V="(All)",F_Custom1_V="",ISBLANK(F_Custom1_V)),1,IFERROR(IF(ISNUMBER(SEARCH("|"&amp;INDEX(INDIRECT(F_Custom1_resolved_column),2125)&amp;"|",F_Custom1_wrapped)),1,0),0))</f>
        <v>1</v>
      </c>
      <c r="E2126">
        <f>IF(OR(F_Custom2_Q="(None)",F_Custom2_Q="",ISBLANK(F_Custom2_Q),F_Custom2_V="(All)",F_Custom2_V="",ISBLANK(F_Custom2_V)),1,IFERROR(IF(ISNUMBER(SEARCH("|"&amp;INDEX(INDIRECT(F_Custom2_resolved_column),2125)&amp;"|",F_Custom2_wrapped)),1,0),0))</f>
        <v>1</v>
      </c>
      <c r="F2126">
        <f>D2126*E2126*1</f>
        <v>1</v>
      </c>
      <c r="G2126">
        <f>1</f>
        <v>1</v>
      </c>
      <c r="H21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2125)&amp;"|",All_Questions_Q_STREAM_F_wrapped)),1,0),0))*1</f>
        <v>1</v>
      </c>
    </row>
    <row r="2127">
      <c r="A2127" t="n">
        <v>2126</v>
      </c>
      <c r="B2127" t="inlineStr">
        <is>
          <t>B</t>
        </is>
      </c>
      <c r="C2127">
        <f>1</f>
        <v>1</v>
      </c>
      <c r="D2127">
        <f>IF(OR(F_Custom1_Q="(None)",F_Custom1_Q="",ISBLANK(F_Custom1_Q),F_Custom1_V="(All)",F_Custom1_V="",ISBLANK(F_Custom1_V)),1,IFERROR(IF(ISNUMBER(SEARCH("|"&amp;INDEX(INDIRECT(F_Custom1_resolved_column),2126)&amp;"|",F_Custom1_wrapped)),1,0),0))</f>
        <v>1</v>
      </c>
      <c r="E2127">
        <f>IF(OR(F_Custom2_Q="(None)",F_Custom2_Q="",ISBLANK(F_Custom2_Q),F_Custom2_V="(All)",F_Custom2_V="",ISBLANK(F_Custom2_V)),1,IFERROR(IF(ISNUMBER(SEARCH("|"&amp;INDEX(INDIRECT(F_Custom2_resolved_column),2126)&amp;"|",F_Custom2_wrapped)),1,0),0))</f>
        <v>1</v>
      </c>
      <c r="F2127">
        <f>D2127*E2127*1</f>
        <v>1</v>
      </c>
      <c r="G2127">
        <f>1</f>
        <v>1</v>
      </c>
      <c r="H21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2126)&amp;"|",All_Questions_Q_STREAM_F_wrapped)),1,0),0))*1</f>
        <v>1</v>
      </c>
    </row>
    <row r="2128">
      <c r="A2128" t="n">
        <v>2127</v>
      </c>
      <c r="B2128" t="inlineStr">
        <is>
          <t>A</t>
        </is>
      </c>
      <c r="C2128">
        <f>1</f>
        <v>1</v>
      </c>
      <c r="D2128">
        <f>IF(OR(F_Custom1_Q="(None)",F_Custom1_Q="",ISBLANK(F_Custom1_Q),F_Custom1_V="(All)",F_Custom1_V="",ISBLANK(F_Custom1_V)),1,IFERROR(IF(ISNUMBER(SEARCH("|"&amp;INDEX(INDIRECT(F_Custom1_resolved_column),2127)&amp;"|",F_Custom1_wrapped)),1,0),0))</f>
        <v>1</v>
      </c>
      <c r="E2128">
        <f>IF(OR(F_Custom2_Q="(None)",F_Custom2_Q="",ISBLANK(F_Custom2_Q),F_Custom2_V="(All)",F_Custom2_V="",ISBLANK(F_Custom2_V)),1,IFERROR(IF(ISNUMBER(SEARCH("|"&amp;INDEX(INDIRECT(F_Custom2_resolved_column),2127)&amp;"|",F_Custom2_wrapped)),1,0),0))</f>
        <v>1</v>
      </c>
      <c r="F2128">
        <f>D2128*E2128*1</f>
        <v>1</v>
      </c>
      <c r="G2128">
        <f>1</f>
        <v>1</v>
      </c>
      <c r="H21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2127)&amp;"|",All_Questions_Q_STREAM_F_wrapped)),1,0),0))*1</f>
        <v>1</v>
      </c>
    </row>
    <row r="2129">
      <c r="A2129" t="n">
        <v>2128</v>
      </c>
      <c r="B2129" t="inlineStr">
        <is>
          <t>B</t>
        </is>
      </c>
      <c r="C2129">
        <f>1</f>
        <v>1</v>
      </c>
      <c r="D2129">
        <f>IF(OR(F_Custom1_Q="(None)",F_Custom1_Q="",ISBLANK(F_Custom1_Q),F_Custom1_V="(All)",F_Custom1_V="",ISBLANK(F_Custom1_V)),1,IFERROR(IF(ISNUMBER(SEARCH("|"&amp;INDEX(INDIRECT(F_Custom1_resolved_column),2128)&amp;"|",F_Custom1_wrapped)),1,0),0))</f>
        <v>1</v>
      </c>
      <c r="E2129">
        <f>IF(OR(F_Custom2_Q="(None)",F_Custom2_Q="",ISBLANK(F_Custom2_Q),F_Custom2_V="(All)",F_Custom2_V="",ISBLANK(F_Custom2_V)),1,IFERROR(IF(ISNUMBER(SEARCH("|"&amp;INDEX(INDIRECT(F_Custom2_resolved_column),2128)&amp;"|",F_Custom2_wrapped)),1,0),0))</f>
        <v>1</v>
      </c>
      <c r="F2129">
        <f>D2129*E2129*1</f>
        <v>1</v>
      </c>
      <c r="G2129">
        <f>1</f>
        <v>1</v>
      </c>
      <c r="H21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2128)&amp;"|",All_Questions_Q_STREAM_F_wrapped)),1,0),0))*1</f>
        <v>1</v>
      </c>
    </row>
    <row r="2130">
      <c r="A2130" t="n">
        <v>2129</v>
      </c>
      <c r="B2130" t="inlineStr">
        <is>
          <t>A</t>
        </is>
      </c>
      <c r="C2130">
        <f>1</f>
        <v>1</v>
      </c>
      <c r="D2130">
        <f>IF(OR(F_Custom1_Q="(None)",F_Custom1_Q="",ISBLANK(F_Custom1_Q),F_Custom1_V="(All)",F_Custom1_V="",ISBLANK(F_Custom1_V)),1,IFERROR(IF(ISNUMBER(SEARCH("|"&amp;INDEX(INDIRECT(F_Custom1_resolved_column),2129)&amp;"|",F_Custom1_wrapped)),1,0),0))</f>
        <v>1</v>
      </c>
      <c r="E2130">
        <f>IF(OR(F_Custom2_Q="(None)",F_Custom2_Q="",ISBLANK(F_Custom2_Q),F_Custom2_V="(All)",F_Custom2_V="",ISBLANK(F_Custom2_V)),1,IFERROR(IF(ISNUMBER(SEARCH("|"&amp;INDEX(INDIRECT(F_Custom2_resolved_column),2129)&amp;"|",F_Custom2_wrapped)),1,0),0))</f>
        <v>1</v>
      </c>
      <c r="F2130">
        <f>D2130*E2130*1</f>
        <v>1</v>
      </c>
      <c r="G2130">
        <f>1</f>
        <v>1</v>
      </c>
      <c r="H21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2129)&amp;"|",All_Questions_Q_STREAM_F_wrapped)),1,0),0))*1</f>
        <v>1</v>
      </c>
    </row>
    <row r="2131">
      <c r="A2131" t="n">
        <v>2130</v>
      </c>
      <c r="B2131" t="inlineStr">
        <is>
          <t>B</t>
        </is>
      </c>
      <c r="C2131">
        <f>1</f>
        <v>1</v>
      </c>
      <c r="D2131">
        <f>IF(OR(F_Custom1_Q="(None)",F_Custom1_Q="",ISBLANK(F_Custom1_Q),F_Custom1_V="(All)",F_Custom1_V="",ISBLANK(F_Custom1_V)),1,IFERROR(IF(ISNUMBER(SEARCH("|"&amp;INDEX(INDIRECT(F_Custom1_resolved_column),2130)&amp;"|",F_Custom1_wrapped)),1,0),0))</f>
        <v>1</v>
      </c>
      <c r="E2131">
        <f>IF(OR(F_Custom2_Q="(None)",F_Custom2_Q="",ISBLANK(F_Custom2_Q),F_Custom2_V="(All)",F_Custom2_V="",ISBLANK(F_Custom2_V)),1,IFERROR(IF(ISNUMBER(SEARCH("|"&amp;INDEX(INDIRECT(F_Custom2_resolved_column),2130)&amp;"|",F_Custom2_wrapped)),1,0),0))</f>
        <v>1</v>
      </c>
      <c r="F2131">
        <f>D2131*E2131*1</f>
        <v>1</v>
      </c>
      <c r="G2131">
        <f>1</f>
        <v>1</v>
      </c>
      <c r="H21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2130)&amp;"|",All_Questions_Q_STREAM_F_wrapped)),1,0),0))*1</f>
        <v>1</v>
      </c>
    </row>
    <row r="2132">
      <c r="A2132" t="n">
        <v>2131</v>
      </c>
      <c r="B2132" t="inlineStr">
        <is>
          <t>A</t>
        </is>
      </c>
      <c r="C2132">
        <f>1</f>
        <v>1</v>
      </c>
      <c r="D2132">
        <f>IF(OR(F_Custom1_Q="(None)",F_Custom1_Q="",ISBLANK(F_Custom1_Q),F_Custom1_V="(All)",F_Custom1_V="",ISBLANK(F_Custom1_V)),1,IFERROR(IF(ISNUMBER(SEARCH("|"&amp;INDEX(INDIRECT(F_Custom1_resolved_column),2131)&amp;"|",F_Custom1_wrapped)),1,0),0))</f>
        <v>1</v>
      </c>
      <c r="E2132">
        <f>IF(OR(F_Custom2_Q="(None)",F_Custom2_Q="",ISBLANK(F_Custom2_Q),F_Custom2_V="(All)",F_Custom2_V="",ISBLANK(F_Custom2_V)),1,IFERROR(IF(ISNUMBER(SEARCH("|"&amp;INDEX(INDIRECT(F_Custom2_resolved_column),2131)&amp;"|",F_Custom2_wrapped)),1,0),0))</f>
        <v>1</v>
      </c>
      <c r="F2132">
        <f>D2132*E2132*1</f>
        <v>1</v>
      </c>
      <c r="G2132">
        <f>1</f>
        <v>1</v>
      </c>
      <c r="H21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2131)&amp;"|",All_Questions_Q_STREAM_F_wrapped)),1,0),0))*1</f>
        <v>1</v>
      </c>
    </row>
    <row r="2133">
      <c r="A2133" t="n">
        <v>2132</v>
      </c>
      <c r="B2133" t="inlineStr">
        <is>
          <t>B</t>
        </is>
      </c>
      <c r="C2133">
        <f>1</f>
        <v>1</v>
      </c>
      <c r="D2133">
        <f>IF(OR(F_Custom1_Q="(None)",F_Custom1_Q="",ISBLANK(F_Custom1_Q),F_Custom1_V="(All)",F_Custom1_V="",ISBLANK(F_Custom1_V)),1,IFERROR(IF(ISNUMBER(SEARCH("|"&amp;INDEX(INDIRECT(F_Custom1_resolved_column),2132)&amp;"|",F_Custom1_wrapped)),1,0),0))</f>
        <v>1</v>
      </c>
      <c r="E2133">
        <f>IF(OR(F_Custom2_Q="(None)",F_Custom2_Q="",ISBLANK(F_Custom2_Q),F_Custom2_V="(All)",F_Custom2_V="",ISBLANK(F_Custom2_V)),1,IFERROR(IF(ISNUMBER(SEARCH("|"&amp;INDEX(INDIRECT(F_Custom2_resolved_column),2132)&amp;"|",F_Custom2_wrapped)),1,0),0))</f>
        <v>1</v>
      </c>
      <c r="F2133">
        <f>D2133*E2133*1</f>
        <v>1</v>
      </c>
      <c r="G2133">
        <f>1</f>
        <v>1</v>
      </c>
      <c r="H21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2132)&amp;"|",All_Questions_Q_STREAM_F_wrapped)),1,0),0))*1</f>
        <v>1</v>
      </c>
    </row>
    <row r="2134">
      <c r="A2134" t="n">
        <v>2133</v>
      </c>
      <c r="B2134" t="inlineStr">
        <is>
          <t>A</t>
        </is>
      </c>
      <c r="C2134">
        <f>1</f>
        <v>1</v>
      </c>
      <c r="D2134">
        <f>IF(OR(F_Custom1_Q="(None)",F_Custom1_Q="",ISBLANK(F_Custom1_Q),F_Custom1_V="(All)",F_Custom1_V="",ISBLANK(F_Custom1_V)),1,IFERROR(IF(ISNUMBER(SEARCH("|"&amp;INDEX(INDIRECT(F_Custom1_resolved_column),2133)&amp;"|",F_Custom1_wrapped)),1,0),0))</f>
        <v>1</v>
      </c>
      <c r="E2134">
        <f>IF(OR(F_Custom2_Q="(None)",F_Custom2_Q="",ISBLANK(F_Custom2_Q),F_Custom2_V="(All)",F_Custom2_V="",ISBLANK(F_Custom2_V)),1,IFERROR(IF(ISNUMBER(SEARCH("|"&amp;INDEX(INDIRECT(F_Custom2_resolved_column),2133)&amp;"|",F_Custom2_wrapped)),1,0),0))</f>
        <v>1</v>
      </c>
      <c r="F2134">
        <f>D2134*E2134*1</f>
        <v>1</v>
      </c>
      <c r="G2134">
        <f>1</f>
        <v>1</v>
      </c>
      <c r="H21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2133)&amp;"|",All_Questions_Q_STREAM_F_wrapped)),1,0),0))*1</f>
        <v>1</v>
      </c>
    </row>
    <row r="2135">
      <c r="A2135" t="n">
        <v>2134</v>
      </c>
      <c r="B2135" t="inlineStr">
        <is>
          <t>B</t>
        </is>
      </c>
      <c r="C2135">
        <f>1</f>
        <v>1</v>
      </c>
      <c r="D2135">
        <f>IF(OR(F_Custom1_Q="(None)",F_Custom1_Q="",ISBLANK(F_Custom1_Q),F_Custom1_V="(All)",F_Custom1_V="",ISBLANK(F_Custom1_V)),1,IFERROR(IF(ISNUMBER(SEARCH("|"&amp;INDEX(INDIRECT(F_Custom1_resolved_column),2134)&amp;"|",F_Custom1_wrapped)),1,0),0))</f>
        <v>1</v>
      </c>
      <c r="E2135">
        <f>IF(OR(F_Custom2_Q="(None)",F_Custom2_Q="",ISBLANK(F_Custom2_Q),F_Custom2_V="(All)",F_Custom2_V="",ISBLANK(F_Custom2_V)),1,IFERROR(IF(ISNUMBER(SEARCH("|"&amp;INDEX(INDIRECT(F_Custom2_resolved_column),2134)&amp;"|",F_Custom2_wrapped)),1,0),0))</f>
        <v>1</v>
      </c>
      <c r="F2135">
        <f>D2135*E2135*1</f>
        <v>1</v>
      </c>
      <c r="G2135">
        <f>1</f>
        <v>1</v>
      </c>
      <c r="H21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2134)&amp;"|",All_Questions_Q_STREAM_F_wrapped)),1,0),0))*1</f>
        <v>1</v>
      </c>
    </row>
    <row r="2136">
      <c r="A2136" t="n">
        <v>2135</v>
      </c>
      <c r="B2136" t="inlineStr">
        <is>
          <t>A</t>
        </is>
      </c>
      <c r="C2136">
        <f>1</f>
        <v>1</v>
      </c>
      <c r="D2136">
        <f>IF(OR(F_Custom1_Q="(None)",F_Custom1_Q="",ISBLANK(F_Custom1_Q),F_Custom1_V="(All)",F_Custom1_V="",ISBLANK(F_Custom1_V)),1,IFERROR(IF(ISNUMBER(SEARCH("|"&amp;INDEX(INDIRECT(F_Custom1_resolved_column),2135)&amp;"|",F_Custom1_wrapped)),1,0),0))</f>
        <v>1</v>
      </c>
      <c r="E2136">
        <f>IF(OR(F_Custom2_Q="(None)",F_Custom2_Q="",ISBLANK(F_Custom2_Q),F_Custom2_V="(All)",F_Custom2_V="",ISBLANK(F_Custom2_V)),1,IFERROR(IF(ISNUMBER(SEARCH("|"&amp;INDEX(INDIRECT(F_Custom2_resolved_column),2135)&amp;"|",F_Custom2_wrapped)),1,0),0))</f>
        <v>1</v>
      </c>
      <c r="F2136">
        <f>D2136*E2136*1</f>
        <v>1</v>
      </c>
      <c r="G2136">
        <f>1</f>
        <v>1</v>
      </c>
      <c r="H21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2135)&amp;"|",All_Questions_Q_STREAM_F_wrapped)),1,0),0))*1</f>
        <v>1</v>
      </c>
    </row>
    <row r="2137">
      <c r="A2137" t="n">
        <v>2136</v>
      </c>
      <c r="B2137" t="inlineStr">
        <is>
          <t>B</t>
        </is>
      </c>
      <c r="C2137">
        <f>1</f>
        <v>1</v>
      </c>
      <c r="D2137">
        <f>IF(OR(F_Custom1_Q="(None)",F_Custom1_Q="",ISBLANK(F_Custom1_Q),F_Custom1_V="(All)",F_Custom1_V="",ISBLANK(F_Custom1_V)),1,IFERROR(IF(ISNUMBER(SEARCH("|"&amp;INDEX(INDIRECT(F_Custom1_resolved_column),2136)&amp;"|",F_Custom1_wrapped)),1,0),0))</f>
        <v>1</v>
      </c>
      <c r="E2137">
        <f>IF(OR(F_Custom2_Q="(None)",F_Custom2_Q="",ISBLANK(F_Custom2_Q),F_Custom2_V="(All)",F_Custom2_V="",ISBLANK(F_Custom2_V)),1,IFERROR(IF(ISNUMBER(SEARCH("|"&amp;INDEX(INDIRECT(F_Custom2_resolved_column),2136)&amp;"|",F_Custom2_wrapped)),1,0),0))</f>
        <v>1</v>
      </c>
      <c r="F2137">
        <f>D2137*E2137*1</f>
        <v>1</v>
      </c>
      <c r="G2137">
        <f>1</f>
        <v>1</v>
      </c>
      <c r="H21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2136)&amp;"|",All_Questions_Q_STREAM_F_wrapped)),1,0),0))*1</f>
        <v>1</v>
      </c>
    </row>
    <row r="2138">
      <c r="A2138" t="n">
        <v>2137</v>
      </c>
      <c r="B2138" t="inlineStr">
        <is>
          <t>A</t>
        </is>
      </c>
      <c r="C2138">
        <f>1</f>
        <v>1</v>
      </c>
      <c r="D2138">
        <f>IF(OR(F_Custom1_Q="(None)",F_Custom1_Q="",ISBLANK(F_Custom1_Q),F_Custom1_V="(All)",F_Custom1_V="",ISBLANK(F_Custom1_V)),1,IFERROR(IF(ISNUMBER(SEARCH("|"&amp;INDEX(INDIRECT(F_Custom1_resolved_column),2137)&amp;"|",F_Custom1_wrapped)),1,0),0))</f>
        <v>1</v>
      </c>
      <c r="E2138">
        <f>IF(OR(F_Custom2_Q="(None)",F_Custom2_Q="",ISBLANK(F_Custom2_Q),F_Custom2_V="(All)",F_Custom2_V="",ISBLANK(F_Custom2_V)),1,IFERROR(IF(ISNUMBER(SEARCH("|"&amp;INDEX(INDIRECT(F_Custom2_resolved_column),2137)&amp;"|",F_Custom2_wrapped)),1,0),0))</f>
        <v>1</v>
      </c>
      <c r="F2138">
        <f>D2138*E2138*1</f>
        <v>1</v>
      </c>
      <c r="G2138">
        <f>1</f>
        <v>1</v>
      </c>
      <c r="H21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2137)&amp;"|",All_Questions_Q_STREAM_F_wrapped)),1,0),0))*1</f>
        <v>1</v>
      </c>
    </row>
    <row r="2139">
      <c r="A2139" t="n">
        <v>2138</v>
      </c>
      <c r="B2139" t="inlineStr">
        <is>
          <t>B</t>
        </is>
      </c>
      <c r="C2139">
        <f>1</f>
        <v>1</v>
      </c>
      <c r="D2139">
        <f>IF(OR(F_Custom1_Q="(None)",F_Custom1_Q="",ISBLANK(F_Custom1_Q),F_Custom1_V="(All)",F_Custom1_V="",ISBLANK(F_Custom1_V)),1,IFERROR(IF(ISNUMBER(SEARCH("|"&amp;INDEX(INDIRECT(F_Custom1_resolved_column),2138)&amp;"|",F_Custom1_wrapped)),1,0),0))</f>
        <v>1</v>
      </c>
      <c r="E2139">
        <f>IF(OR(F_Custom2_Q="(None)",F_Custom2_Q="",ISBLANK(F_Custom2_Q),F_Custom2_V="(All)",F_Custom2_V="",ISBLANK(F_Custom2_V)),1,IFERROR(IF(ISNUMBER(SEARCH("|"&amp;INDEX(INDIRECT(F_Custom2_resolved_column),2138)&amp;"|",F_Custom2_wrapped)),1,0),0))</f>
        <v>1</v>
      </c>
      <c r="F2139">
        <f>D2139*E2139*1</f>
        <v>1</v>
      </c>
      <c r="G2139">
        <f>1</f>
        <v>1</v>
      </c>
      <c r="H21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2138)&amp;"|",All_Questions_Q_STREAM_F_wrapped)),1,0),0))*1</f>
        <v>1</v>
      </c>
    </row>
    <row r="2140">
      <c r="A2140" t="n">
        <v>2139</v>
      </c>
      <c r="B2140" t="inlineStr">
        <is>
          <t>A</t>
        </is>
      </c>
      <c r="C2140">
        <f>1</f>
        <v>1</v>
      </c>
      <c r="D2140">
        <f>IF(OR(F_Custom1_Q="(None)",F_Custom1_Q="",ISBLANK(F_Custom1_Q),F_Custom1_V="(All)",F_Custom1_V="",ISBLANK(F_Custom1_V)),1,IFERROR(IF(ISNUMBER(SEARCH("|"&amp;INDEX(INDIRECT(F_Custom1_resolved_column),2139)&amp;"|",F_Custom1_wrapped)),1,0),0))</f>
        <v>1</v>
      </c>
      <c r="E2140">
        <f>IF(OR(F_Custom2_Q="(None)",F_Custom2_Q="",ISBLANK(F_Custom2_Q),F_Custom2_V="(All)",F_Custom2_V="",ISBLANK(F_Custom2_V)),1,IFERROR(IF(ISNUMBER(SEARCH("|"&amp;INDEX(INDIRECT(F_Custom2_resolved_column),2139)&amp;"|",F_Custom2_wrapped)),1,0),0))</f>
        <v>1</v>
      </c>
      <c r="F2140">
        <f>D2140*E2140*1</f>
        <v>1</v>
      </c>
      <c r="G2140">
        <f>1</f>
        <v>1</v>
      </c>
      <c r="H21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2139)&amp;"|",All_Questions_Q_STREAM_F_wrapped)),1,0),0))*1</f>
        <v>1</v>
      </c>
    </row>
    <row r="2141">
      <c r="A2141" t="n">
        <v>2140</v>
      </c>
      <c r="B2141" t="inlineStr">
        <is>
          <t>B</t>
        </is>
      </c>
      <c r="C2141">
        <f>1</f>
        <v>1</v>
      </c>
      <c r="D2141">
        <f>IF(OR(F_Custom1_Q="(None)",F_Custom1_Q="",ISBLANK(F_Custom1_Q),F_Custom1_V="(All)",F_Custom1_V="",ISBLANK(F_Custom1_V)),1,IFERROR(IF(ISNUMBER(SEARCH("|"&amp;INDEX(INDIRECT(F_Custom1_resolved_column),2140)&amp;"|",F_Custom1_wrapped)),1,0),0))</f>
        <v>1</v>
      </c>
      <c r="E2141">
        <f>IF(OR(F_Custom2_Q="(None)",F_Custom2_Q="",ISBLANK(F_Custom2_Q),F_Custom2_V="(All)",F_Custom2_V="",ISBLANK(F_Custom2_V)),1,IFERROR(IF(ISNUMBER(SEARCH("|"&amp;INDEX(INDIRECT(F_Custom2_resolved_column),2140)&amp;"|",F_Custom2_wrapped)),1,0),0))</f>
        <v>1</v>
      </c>
      <c r="F2141">
        <f>D2141*E2141*1</f>
        <v>1</v>
      </c>
      <c r="G2141">
        <f>1</f>
        <v>1</v>
      </c>
      <c r="H21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2140)&amp;"|",All_Questions_Q_STREAM_F_wrapped)),1,0),0))*1</f>
        <v>1</v>
      </c>
    </row>
    <row r="2142">
      <c r="A2142" t="n">
        <v>2141</v>
      </c>
      <c r="B2142" t="inlineStr">
        <is>
          <t>A</t>
        </is>
      </c>
      <c r="C2142">
        <f>1</f>
        <v>1</v>
      </c>
      <c r="D2142">
        <f>IF(OR(F_Custom1_Q="(None)",F_Custom1_Q="",ISBLANK(F_Custom1_Q),F_Custom1_V="(All)",F_Custom1_V="",ISBLANK(F_Custom1_V)),1,IFERROR(IF(ISNUMBER(SEARCH("|"&amp;INDEX(INDIRECT(F_Custom1_resolved_column),2141)&amp;"|",F_Custom1_wrapped)),1,0),0))</f>
        <v>1</v>
      </c>
      <c r="E2142">
        <f>IF(OR(F_Custom2_Q="(None)",F_Custom2_Q="",ISBLANK(F_Custom2_Q),F_Custom2_V="(All)",F_Custom2_V="",ISBLANK(F_Custom2_V)),1,IFERROR(IF(ISNUMBER(SEARCH("|"&amp;INDEX(INDIRECT(F_Custom2_resolved_column),2141)&amp;"|",F_Custom2_wrapped)),1,0),0))</f>
        <v>1</v>
      </c>
      <c r="F2142">
        <f>D2142*E2142*1</f>
        <v>1</v>
      </c>
      <c r="G2142">
        <f>1</f>
        <v>1</v>
      </c>
      <c r="H21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2141)&amp;"|",All_Questions_Q_STREAM_F_wrapped)),1,0),0))*1</f>
        <v>1</v>
      </c>
    </row>
    <row r="2143">
      <c r="A2143" t="n">
        <v>2142</v>
      </c>
      <c r="B2143" t="inlineStr">
        <is>
          <t>B</t>
        </is>
      </c>
      <c r="C2143">
        <f>1</f>
        <v>1</v>
      </c>
      <c r="D2143">
        <f>IF(OR(F_Custom1_Q="(None)",F_Custom1_Q="",ISBLANK(F_Custom1_Q),F_Custom1_V="(All)",F_Custom1_V="",ISBLANK(F_Custom1_V)),1,IFERROR(IF(ISNUMBER(SEARCH("|"&amp;INDEX(INDIRECT(F_Custom1_resolved_column),2142)&amp;"|",F_Custom1_wrapped)),1,0),0))</f>
        <v>1</v>
      </c>
      <c r="E2143">
        <f>IF(OR(F_Custom2_Q="(None)",F_Custom2_Q="",ISBLANK(F_Custom2_Q),F_Custom2_V="(All)",F_Custom2_V="",ISBLANK(F_Custom2_V)),1,IFERROR(IF(ISNUMBER(SEARCH("|"&amp;INDEX(INDIRECT(F_Custom2_resolved_column),2142)&amp;"|",F_Custom2_wrapped)),1,0),0))</f>
        <v>1</v>
      </c>
      <c r="F2143">
        <f>D2143*E2143*1</f>
        <v>1</v>
      </c>
      <c r="G2143">
        <f>1</f>
        <v>1</v>
      </c>
      <c r="H21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2142)&amp;"|",All_Questions_Q_STREAM_F_wrapped)),1,0),0))*1</f>
        <v>1</v>
      </c>
    </row>
    <row r="2144">
      <c r="A2144" t="n">
        <v>2143</v>
      </c>
      <c r="B2144" t="inlineStr">
        <is>
          <t>A</t>
        </is>
      </c>
      <c r="C2144">
        <f>1</f>
        <v>1</v>
      </c>
      <c r="D2144">
        <f>IF(OR(F_Custom1_Q="(None)",F_Custom1_Q="",ISBLANK(F_Custom1_Q),F_Custom1_V="(All)",F_Custom1_V="",ISBLANK(F_Custom1_V)),1,IFERROR(IF(ISNUMBER(SEARCH("|"&amp;INDEX(INDIRECT(F_Custom1_resolved_column),2143)&amp;"|",F_Custom1_wrapped)),1,0),0))</f>
        <v>1</v>
      </c>
      <c r="E2144">
        <f>IF(OR(F_Custom2_Q="(None)",F_Custom2_Q="",ISBLANK(F_Custom2_Q),F_Custom2_V="(All)",F_Custom2_V="",ISBLANK(F_Custom2_V)),1,IFERROR(IF(ISNUMBER(SEARCH("|"&amp;INDEX(INDIRECT(F_Custom2_resolved_column),2143)&amp;"|",F_Custom2_wrapped)),1,0),0))</f>
        <v>1</v>
      </c>
      <c r="F2144">
        <f>D2144*E2144*1</f>
        <v>1</v>
      </c>
      <c r="G2144">
        <f>1</f>
        <v>1</v>
      </c>
      <c r="H21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2143)&amp;"|",All_Questions_Q_STREAM_F_wrapped)),1,0),0))*1</f>
        <v>1</v>
      </c>
    </row>
    <row r="2145">
      <c r="A2145" t="n">
        <v>2144</v>
      </c>
      <c r="B2145" t="inlineStr">
        <is>
          <t>B</t>
        </is>
      </c>
      <c r="C2145">
        <f>1</f>
        <v>1</v>
      </c>
      <c r="D2145">
        <f>IF(OR(F_Custom1_Q="(None)",F_Custom1_Q="",ISBLANK(F_Custom1_Q),F_Custom1_V="(All)",F_Custom1_V="",ISBLANK(F_Custom1_V)),1,IFERROR(IF(ISNUMBER(SEARCH("|"&amp;INDEX(INDIRECT(F_Custom1_resolved_column),2144)&amp;"|",F_Custom1_wrapped)),1,0),0))</f>
        <v>1</v>
      </c>
      <c r="E2145">
        <f>IF(OR(F_Custom2_Q="(None)",F_Custom2_Q="",ISBLANK(F_Custom2_Q),F_Custom2_V="(All)",F_Custom2_V="",ISBLANK(F_Custom2_V)),1,IFERROR(IF(ISNUMBER(SEARCH("|"&amp;INDEX(INDIRECT(F_Custom2_resolved_column),2144)&amp;"|",F_Custom2_wrapped)),1,0),0))</f>
        <v>1</v>
      </c>
      <c r="F2145">
        <f>D2145*E2145*1</f>
        <v>1</v>
      </c>
      <c r="G2145">
        <f>1</f>
        <v>1</v>
      </c>
      <c r="H21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2144)&amp;"|",All_Questions_Q_STREAM_F_wrapped)),1,0),0))*1</f>
        <v>1</v>
      </c>
    </row>
    <row r="2146">
      <c r="A2146" t="n">
        <v>2145</v>
      </c>
      <c r="B2146" t="inlineStr">
        <is>
          <t>A</t>
        </is>
      </c>
      <c r="C2146">
        <f>1</f>
        <v>1</v>
      </c>
      <c r="D2146">
        <f>IF(OR(F_Custom1_Q="(None)",F_Custom1_Q="",ISBLANK(F_Custom1_Q),F_Custom1_V="(All)",F_Custom1_V="",ISBLANK(F_Custom1_V)),1,IFERROR(IF(ISNUMBER(SEARCH("|"&amp;INDEX(INDIRECT(F_Custom1_resolved_column),2145)&amp;"|",F_Custom1_wrapped)),1,0),0))</f>
        <v>1</v>
      </c>
      <c r="E2146">
        <f>IF(OR(F_Custom2_Q="(None)",F_Custom2_Q="",ISBLANK(F_Custom2_Q),F_Custom2_V="(All)",F_Custom2_V="",ISBLANK(F_Custom2_V)),1,IFERROR(IF(ISNUMBER(SEARCH("|"&amp;INDEX(INDIRECT(F_Custom2_resolved_column),2145)&amp;"|",F_Custom2_wrapped)),1,0),0))</f>
        <v>1</v>
      </c>
      <c r="F2146">
        <f>D2146*E2146*1</f>
        <v>1</v>
      </c>
      <c r="G2146">
        <f>1</f>
        <v>1</v>
      </c>
      <c r="H21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2145)&amp;"|",All_Questions_Q_STREAM_F_wrapped)),1,0),0))*1</f>
        <v>1</v>
      </c>
    </row>
    <row r="2147">
      <c r="A2147" t="n">
        <v>2146</v>
      </c>
      <c r="B2147" t="inlineStr">
        <is>
          <t>B</t>
        </is>
      </c>
      <c r="C2147">
        <f>1</f>
        <v>1</v>
      </c>
      <c r="D2147">
        <f>IF(OR(F_Custom1_Q="(None)",F_Custom1_Q="",ISBLANK(F_Custom1_Q),F_Custom1_V="(All)",F_Custom1_V="",ISBLANK(F_Custom1_V)),1,IFERROR(IF(ISNUMBER(SEARCH("|"&amp;INDEX(INDIRECT(F_Custom1_resolved_column),2146)&amp;"|",F_Custom1_wrapped)),1,0),0))</f>
        <v>1</v>
      </c>
      <c r="E2147">
        <f>IF(OR(F_Custom2_Q="(None)",F_Custom2_Q="",ISBLANK(F_Custom2_Q),F_Custom2_V="(All)",F_Custom2_V="",ISBLANK(F_Custom2_V)),1,IFERROR(IF(ISNUMBER(SEARCH("|"&amp;INDEX(INDIRECT(F_Custom2_resolved_column),2146)&amp;"|",F_Custom2_wrapped)),1,0),0))</f>
        <v>1</v>
      </c>
      <c r="F2147">
        <f>D2147*E2147*1</f>
        <v>1</v>
      </c>
      <c r="G2147">
        <f>1</f>
        <v>1</v>
      </c>
      <c r="H21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2146)&amp;"|",All_Questions_Q_STREAM_F_wrapped)),1,0),0))*1</f>
        <v>1</v>
      </c>
    </row>
    <row r="2148">
      <c r="A2148" t="n">
        <v>2147</v>
      </c>
      <c r="B2148" t="inlineStr">
        <is>
          <t>A</t>
        </is>
      </c>
      <c r="C2148">
        <f>1</f>
        <v>1</v>
      </c>
      <c r="D2148">
        <f>IF(OR(F_Custom1_Q="(None)",F_Custom1_Q="",ISBLANK(F_Custom1_Q),F_Custom1_V="(All)",F_Custom1_V="",ISBLANK(F_Custom1_V)),1,IFERROR(IF(ISNUMBER(SEARCH("|"&amp;INDEX(INDIRECT(F_Custom1_resolved_column),2147)&amp;"|",F_Custom1_wrapped)),1,0),0))</f>
        <v>1</v>
      </c>
      <c r="E2148">
        <f>IF(OR(F_Custom2_Q="(None)",F_Custom2_Q="",ISBLANK(F_Custom2_Q),F_Custom2_V="(All)",F_Custom2_V="",ISBLANK(F_Custom2_V)),1,IFERROR(IF(ISNUMBER(SEARCH("|"&amp;INDEX(INDIRECT(F_Custom2_resolved_column),2147)&amp;"|",F_Custom2_wrapped)),1,0),0))</f>
        <v>1</v>
      </c>
      <c r="F2148">
        <f>D2148*E2148*1</f>
        <v>1</v>
      </c>
      <c r="G2148">
        <f>1</f>
        <v>1</v>
      </c>
      <c r="H21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2147)&amp;"|",All_Questions_Q_STREAM_F_wrapped)),1,0),0))*1</f>
        <v>1</v>
      </c>
    </row>
    <row r="2149">
      <c r="A2149" t="n">
        <v>2148</v>
      </c>
      <c r="B2149" t="inlineStr">
        <is>
          <t>B</t>
        </is>
      </c>
      <c r="C2149">
        <f>1</f>
        <v>1</v>
      </c>
      <c r="D2149">
        <f>IF(OR(F_Custom1_Q="(None)",F_Custom1_Q="",ISBLANK(F_Custom1_Q),F_Custom1_V="(All)",F_Custom1_V="",ISBLANK(F_Custom1_V)),1,IFERROR(IF(ISNUMBER(SEARCH("|"&amp;INDEX(INDIRECT(F_Custom1_resolved_column),2148)&amp;"|",F_Custom1_wrapped)),1,0),0))</f>
        <v>1</v>
      </c>
      <c r="E2149">
        <f>IF(OR(F_Custom2_Q="(None)",F_Custom2_Q="",ISBLANK(F_Custom2_Q),F_Custom2_V="(All)",F_Custom2_V="",ISBLANK(F_Custom2_V)),1,IFERROR(IF(ISNUMBER(SEARCH("|"&amp;INDEX(INDIRECT(F_Custom2_resolved_column),2148)&amp;"|",F_Custom2_wrapped)),1,0),0))</f>
        <v>1</v>
      </c>
      <c r="F2149">
        <f>D2149*E2149*1</f>
        <v>1</v>
      </c>
      <c r="G2149">
        <f>1</f>
        <v>1</v>
      </c>
      <c r="H21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2148)&amp;"|",All_Questions_Q_STREAM_F_wrapped)),1,0),0))*1</f>
        <v>1</v>
      </c>
    </row>
    <row r="2150">
      <c r="A2150" t="n">
        <v>2149</v>
      </c>
      <c r="B2150" t="inlineStr">
        <is>
          <t>A</t>
        </is>
      </c>
      <c r="C2150">
        <f>1</f>
        <v>1</v>
      </c>
      <c r="D2150">
        <f>IF(OR(F_Custom1_Q="(None)",F_Custom1_Q="",ISBLANK(F_Custom1_Q),F_Custom1_V="(All)",F_Custom1_V="",ISBLANK(F_Custom1_V)),1,IFERROR(IF(ISNUMBER(SEARCH("|"&amp;INDEX(INDIRECT(F_Custom1_resolved_column),2149)&amp;"|",F_Custom1_wrapped)),1,0),0))</f>
        <v>1</v>
      </c>
      <c r="E2150">
        <f>IF(OR(F_Custom2_Q="(None)",F_Custom2_Q="",ISBLANK(F_Custom2_Q),F_Custom2_V="(All)",F_Custom2_V="",ISBLANK(F_Custom2_V)),1,IFERROR(IF(ISNUMBER(SEARCH("|"&amp;INDEX(INDIRECT(F_Custom2_resolved_column),2149)&amp;"|",F_Custom2_wrapped)),1,0),0))</f>
        <v>1</v>
      </c>
      <c r="F2150">
        <f>D2150*E2150*1</f>
        <v>1</v>
      </c>
      <c r="G2150">
        <f>1</f>
        <v>1</v>
      </c>
      <c r="H21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2149)&amp;"|",All_Questions_Q_STREAM_F_wrapped)),1,0),0))*1</f>
        <v>1</v>
      </c>
    </row>
    <row r="2151">
      <c r="A2151" t="n">
        <v>2150</v>
      </c>
      <c r="B2151" t="inlineStr">
        <is>
          <t>B</t>
        </is>
      </c>
      <c r="C2151">
        <f>1</f>
        <v>1</v>
      </c>
      <c r="D2151">
        <f>IF(OR(F_Custom1_Q="(None)",F_Custom1_Q="",ISBLANK(F_Custom1_Q),F_Custom1_V="(All)",F_Custom1_V="",ISBLANK(F_Custom1_V)),1,IFERROR(IF(ISNUMBER(SEARCH("|"&amp;INDEX(INDIRECT(F_Custom1_resolved_column),2150)&amp;"|",F_Custom1_wrapped)),1,0),0))</f>
        <v>1</v>
      </c>
      <c r="E2151">
        <f>IF(OR(F_Custom2_Q="(None)",F_Custom2_Q="",ISBLANK(F_Custom2_Q),F_Custom2_V="(All)",F_Custom2_V="",ISBLANK(F_Custom2_V)),1,IFERROR(IF(ISNUMBER(SEARCH("|"&amp;INDEX(INDIRECT(F_Custom2_resolved_column),2150)&amp;"|",F_Custom2_wrapped)),1,0),0))</f>
        <v>1</v>
      </c>
      <c r="F2151">
        <f>D2151*E2151*1</f>
        <v>1</v>
      </c>
      <c r="G2151">
        <f>1</f>
        <v>1</v>
      </c>
      <c r="H21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2150)&amp;"|",All_Questions_Q_STREAM_F_wrapped)),1,0),0))*1</f>
        <v>1</v>
      </c>
    </row>
    <row r="2152">
      <c r="A2152" t="n">
        <v>2151</v>
      </c>
      <c r="B2152" t="inlineStr">
        <is>
          <t>A</t>
        </is>
      </c>
      <c r="C2152">
        <f>1</f>
        <v>1</v>
      </c>
      <c r="D2152">
        <f>IF(OR(F_Custom1_Q="(None)",F_Custom1_Q="",ISBLANK(F_Custom1_Q),F_Custom1_V="(All)",F_Custom1_V="",ISBLANK(F_Custom1_V)),1,IFERROR(IF(ISNUMBER(SEARCH("|"&amp;INDEX(INDIRECT(F_Custom1_resolved_column),2151)&amp;"|",F_Custom1_wrapped)),1,0),0))</f>
        <v>1</v>
      </c>
      <c r="E2152">
        <f>IF(OR(F_Custom2_Q="(None)",F_Custom2_Q="",ISBLANK(F_Custom2_Q),F_Custom2_V="(All)",F_Custom2_V="",ISBLANK(F_Custom2_V)),1,IFERROR(IF(ISNUMBER(SEARCH("|"&amp;INDEX(INDIRECT(F_Custom2_resolved_column),2151)&amp;"|",F_Custom2_wrapped)),1,0),0))</f>
        <v>1</v>
      </c>
      <c r="F2152">
        <f>D2152*E2152*1</f>
        <v>1</v>
      </c>
      <c r="G2152">
        <f>1</f>
        <v>1</v>
      </c>
      <c r="H21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2151)&amp;"|",All_Questions_Q_STREAM_F_wrapped)),1,0),0))*1</f>
        <v>1</v>
      </c>
    </row>
    <row r="2153">
      <c r="A2153" t="n">
        <v>2152</v>
      </c>
      <c r="B2153" t="inlineStr">
        <is>
          <t>B</t>
        </is>
      </c>
      <c r="C2153">
        <f>1</f>
        <v>1</v>
      </c>
      <c r="D2153">
        <f>IF(OR(F_Custom1_Q="(None)",F_Custom1_Q="",ISBLANK(F_Custom1_Q),F_Custom1_V="(All)",F_Custom1_V="",ISBLANK(F_Custom1_V)),1,IFERROR(IF(ISNUMBER(SEARCH("|"&amp;INDEX(INDIRECT(F_Custom1_resolved_column),2152)&amp;"|",F_Custom1_wrapped)),1,0),0))</f>
        <v>1</v>
      </c>
      <c r="E2153">
        <f>IF(OR(F_Custom2_Q="(None)",F_Custom2_Q="",ISBLANK(F_Custom2_Q),F_Custom2_V="(All)",F_Custom2_V="",ISBLANK(F_Custom2_V)),1,IFERROR(IF(ISNUMBER(SEARCH("|"&amp;INDEX(INDIRECT(F_Custom2_resolved_column),2152)&amp;"|",F_Custom2_wrapped)),1,0),0))</f>
        <v>1</v>
      </c>
      <c r="F2153">
        <f>D2153*E2153*1</f>
        <v>1</v>
      </c>
      <c r="G2153">
        <f>1</f>
        <v>1</v>
      </c>
      <c r="H21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2152)&amp;"|",All_Questions_Q_STREAM_F_wrapped)),1,0),0))*1</f>
        <v>1</v>
      </c>
    </row>
    <row r="2154">
      <c r="A2154" t="n">
        <v>2153</v>
      </c>
      <c r="B2154" t="inlineStr">
        <is>
          <t>A</t>
        </is>
      </c>
      <c r="C2154">
        <f>1</f>
        <v>1</v>
      </c>
      <c r="D2154">
        <f>IF(OR(F_Custom1_Q="(None)",F_Custom1_Q="",ISBLANK(F_Custom1_Q),F_Custom1_V="(All)",F_Custom1_V="",ISBLANK(F_Custom1_V)),1,IFERROR(IF(ISNUMBER(SEARCH("|"&amp;INDEX(INDIRECT(F_Custom1_resolved_column),2153)&amp;"|",F_Custom1_wrapped)),1,0),0))</f>
        <v>1</v>
      </c>
      <c r="E2154">
        <f>IF(OR(F_Custom2_Q="(None)",F_Custom2_Q="",ISBLANK(F_Custom2_Q),F_Custom2_V="(All)",F_Custom2_V="",ISBLANK(F_Custom2_V)),1,IFERROR(IF(ISNUMBER(SEARCH("|"&amp;INDEX(INDIRECT(F_Custom2_resolved_column),2153)&amp;"|",F_Custom2_wrapped)),1,0),0))</f>
        <v>1</v>
      </c>
      <c r="F2154">
        <f>D2154*E2154*1</f>
        <v>1</v>
      </c>
      <c r="G2154">
        <f>1</f>
        <v>1</v>
      </c>
      <c r="H21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2153)&amp;"|",All_Questions_Q_STREAM_F_wrapped)),1,0),0))*1</f>
        <v>1</v>
      </c>
    </row>
    <row r="2155">
      <c r="A2155" t="n">
        <v>2154</v>
      </c>
      <c r="B2155" t="inlineStr">
        <is>
          <t>B</t>
        </is>
      </c>
      <c r="C2155">
        <f>1</f>
        <v>1</v>
      </c>
      <c r="D2155">
        <f>IF(OR(F_Custom1_Q="(None)",F_Custom1_Q="",ISBLANK(F_Custom1_Q),F_Custom1_V="(All)",F_Custom1_V="",ISBLANK(F_Custom1_V)),1,IFERROR(IF(ISNUMBER(SEARCH("|"&amp;INDEX(INDIRECT(F_Custom1_resolved_column),2154)&amp;"|",F_Custom1_wrapped)),1,0),0))</f>
        <v>1</v>
      </c>
      <c r="E2155">
        <f>IF(OR(F_Custom2_Q="(None)",F_Custom2_Q="",ISBLANK(F_Custom2_Q),F_Custom2_V="(All)",F_Custom2_V="",ISBLANK(F_Custom2_V)),1,IFERROR(IF(ISNUMBER(SEARCH("|"&amp;INDEX(INDIRECT(F_Custom2_resolved_column),2154)&amp;"|",F_Custom2_wrapped)),1,0),0))</f>
        <v>1</v>
      </c>
      <c r="F2155">
        <f>D2155*E2155*1</f>
        <v>1</v>
      </c>
      <c r="G2155">
        <f>1</f>
        <v>1</v>
      </c>
      <c r="H21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2154)&amp;"|",All_Questions_Q_STREAM_F_wrapped)),1,0),0))*1</f>
        <v>1</v>
      </c>
    </row>
    <row r="2156">
      <c r="A2156" t="n">
        <v>2155</v>
      </c>
      <c r="B2156" t="inlineStr">
        <is>
          <t>A</t>
        </is>
      </c>
      <c r="C2156">
        <f>1</f>
        <v>1</v>
      </c>
      <c r="D2156">
        <f>IF(OR(F_Custom1_Q="(None)",F_Custom1_Q="",ISBLANK(F_Custom1_Q),F_Custom1_V="(All)",F_Custom1_V="",ISBLANK(F_Custom1_V)),1,IFERROR(IF(ISNUMBER(SEARCH("|"&amp;INDEX(INDIRECT(F_Custom1_resolved_column),2155)&amp;"|",F_Custom1_wrapped)),1,0),0))</f>
        <v>1</v>
      </c>
      <c r="E2156">
        <f>IF(OR(F_Custom2_Q="(None)",F_Custom2_Q="",ISBLANK(F_Custom2_Q),F_Custom2_V="(All)",F_Custom2_V="",ISBLANK(F_Custom2_V)),1,IFERROR(IF(ISNUMBER(SEARCH("|"&amp;INDEX(INDIRECT(F_Custom2_resolved_column),2155)&amp;"|",F_Custom2_wrapped)),1,0),0))</f>
        <v>1</v>
      </c>
      <c r="F2156">
        <f>D2156*E2156*1</f>
        <v>1</v>
      </c>
      <c r="G2156">
        <f>1</f>
        <v>1</v>
      </c>
      <c r="H21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2155)&amp;"|",All_Questions_Q_STREAM_F_wrapped)),1,0),0))*1</f>
        <v>1</v>
      </c>
    </row>
    <row r="2157">
      <c r="A2157" t="n">
        <v>2156</v>
      </c>
      <c r="B2157" t="inlineStr">
        <is>
          <t>B</t>
        </is>
      </c>
      <c r="C2157">
        <f>1</f>
        <v>1</v>
      </c>
      <c r="D2157">
        <f>IF(OR(F_Custom1_Q="(None)",F_Custom1_Q="",ISBLANK(F_Custom1_Q),F_Custom1_V="(All)",F_Custom1_V="",ISBLANK(F_Custom1_V)),1,IFERROR(IF(ISNUMBER(SEARCH("|"&amp;INDEX(INDIRECT(F_Custom1_resolved_column),2156)&amp;"|",F_Custom1_wrapped)),1,0),0))</f>
        <v>1</v>
      </c>
      <c r="E2157">
        <f>IF(OR(F_Custom2_Q="(None)",F_Custom2_Q="",ISBLANK(F_Custom2_Q),F_Custom2_V="(All)",F_Custom2_V="",ISBLANK(F_Custom2_V)),1,IFERROR(IF(ISNUMBER(SEARCH("|"&amp;INDEX(INDIRECT(F_Custom2_resolved_column),2156)&amp;"|",F_Custom2_wrapped)),1,0),0))</f>
        <v>1</v>
      </c>
      <c r="F2157">
        <f>D2157*E2157*1</f>
        <v>1</v>
      </c>
      <c r="G2157">
        <f>1</f>
        <v>1</v>
      </c>
      <c r="H21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2156)&amp;"|",All_Questions_Q_STREAM_F_wrapped)),1,0),0))*1</f>
        <v>1</v>
      </c>
    </row>
    <row r="2158">
      <c r="A2158" t="n">
        <v>2157</v>
      </c>
      <c r="B2158" t="inlineStr">
        <is>
          <t>A</t>
        </is>
      </c>
      <c r="C2158">
        <f>1</f>
        <v>1</v>
      </c>
      <c r="D2158">
        <f>IF(OR(F_Custom1_Q="(None)",F_Custom1_Q="",ISBLANK(F_Custom1_Q),F_Custom1_V="(All)",F_Custom1_V="",ISBLANK(F_Custom1_V)),1,IFERROR(IF(ISNUMBER(SEARCH("|"&amp;INDEX(INDIRECT(F_Custom1_resolved_column),2157)&amp;"|",F_Custom1_wrapped)),1,0),0))</f>
        <v>1</v>
      </c>
      <c r="E2158">
        <f>IF(OR(F_Custom2_Q="(None)",F_Custom2_Q="",ISBLANK(F_Custom2_Q),F_Custom2_V="(All)",F_Custom2_V="",ISBLANK(F_Custom2_V)),1,IFERROR(IF(ISNUMBER(SEARCH("|"&amp;INDEX(INDIRECT(F_Custom2_resolved_column),2157)&amp;"|",F_Custom2_wrapped)),1,0),0))</f>
        <v>1</v>
      </c>
      <c r="F2158">
        <f>D2158*E2158*1</f>
        <v>1</v>
      </c>
      <c r="G2158">
        <f>1</f>
        <v>1</v>
      </c>
      <c r="H21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2157)&amp;"|",All_Questions_Q_STREAM_F_wrapped)),1,0),0))*1</f>
        <v>1</v>
      </c>
    </row>
    <row r="2159">
      <c r="A2159" t="n">
        <v>2158</v>
      </c>
      <c r="B2159" t="inlineStr">
        <is>
          <t>B</t>
        </is>
      </c>
      <c r="C2159">
        <f>1</f>
        <v>1</v>
      </c>
      <c r="D2159">
        <f>IF(OR(F_Custom1_Q="(None)",F_Custom1_Q="",ISBLANK(F_Custom1_Q),F_Custom1_V="(All)",F_Custom1_V="",ISBLANK(F_Custom1_V)),1,IFERROR(IF(ISNUMBER(SEARCH("|"&amp;INDEX(INDIRECT(F_Custom1_resolved_column),2158)&amp;"|",F_Custom1_wrapped)),1,0),0))</f>
        <v>1</v>
      </c>
      <c r="E2159">
        <f>IF(OR(F_Custom2_Q="(None)",F_Custom2_Q="",ISBLANK(F_Custom2_Q),F_Custom2_V="(All)",F_Custom2_V="",ISBLANK(F_Custom2_V)),1,IFERROR(IF(ISNUMBER(SEARCH("|"&amp;INDEX(INDIRECT(F_Custom2_resolved_column),2158)&amp;"|",F_Custom2_wrapped)),1,0),0))</f>
        <v>1</v>
      </c>
      <c r="F2159">
        <f>D2159*E2159*1</f>
        <v>1</v>
      </c>
      <c r="G2159">
        <f>1</f>
        <v>1</v>
      </c>
      <c r="H21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2158)&amp;"|",All_Questions_Q_STREAM_F_wrapped)),1,0),0))*1</f>
        <v>1</v>
      </c>
    </row>
    <row r="2160">
      <c r="A2160" t="n">
        <v>2159</v>
      </c>
      <c r="B2160" t="inlineStr">
        <is>
          <t>A</t>
        </is>
      </c>
      <c r="C2160">
        <f>1</f>
        <v>1</v>
      </c>
      <c r="D2160">
        <f>IF(OR(F_Custom1_Q="(None)",F_Custom1_Q="",ISBLANK(F_Custom1_Q),F_Custom1_V="(All)",F_Custom1_V="",ISBLANK(F_Custom1_V)),1,IFERROR(IF(ISNUMBER(SEARCH("|"&amp;INDEX(INDIRECT(F_Custom1_resolved_column),2159)&amp;"|",F_Custom1_wrapped)),1,0),0))</f>
        <v>1</v>
      </c>
      <c r="E2160">
        <f>IF(OR(F_Custom2_Q="(None)",F_Custom2_Q="",ISBLANK(F_Custom2_Q),F_Custom2_V="(All)",F_Custom2_V="",ISBLANK(F_Custom2_V)),1,IFERROR(IF(ISNUMBER(SEARCH("|"&amp;INDEX(INDIRECT(F_Custom2_resolved_column),2159)&amp;"|",F_Custom2_wrapped)),1,0),0))</f>
        <v>1</v>
      </c>
      <c r="F2160">
        <f>D2160*E2160*1</f>
        <v>1</v>
      </c>
      <c r="G2160">
        <f>1</f>
        <v>1</v>
      </c>
      <c r="H21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2159)&amp;"|",All_Questions_Q_STREAM_F_wrapped)),1,0),0))*1</f>
        <v>1</v>
      </c>
    </row>
    <row r="2161">
      <c r="A2161" t="n">
        <v>2160</v>
      </c>
      <c r="B2161" t="inlineStr">
        <is>
          <t>B</t>
        </is>
      </c>
      <c r="C2161">
        <f>1</f>
        <v>1</v>
      </c>
      <c r="D2161">
        <f>IF(OR(F_Custom1_Q="(None)",F_Custom1_Q="",ISBLANK(F_Custom1_Q),F_Custom1_V="(All)",F_Custom1_V="",ISBLANK(F_Custom1_V)),1,IFERROR(IF(ISNUMBER(SEARCH("|"&amp;INDEX(INDIRECT(F_Custom1_resolved_column),2160)&amp;"|",F_Custom1_wrapped)),1,0),0))</f>
        <v>1</v>
      </c>
      <c r="E2161">
        <f>IF(OR(F_Custom2_Q="(None)",F_Custom2_Q="",ISBLANK(F_Custom2_Q),F_Custom2_V="(All)",F_Custom2_V="",ISBLANK(F_Custom2_V)),1,IFERROR(IF(ISNUMBER(SEARCH("|"&amp;INDEX(INDIRECT(F_Custom2_resolved_column),2160)&amp;"|",F_Custom2_wrapped)),1,0),0))</f>
        <v>1</v>
      </c>
      <c r="F2161">
        <f>D2161*E2161*1</f>
        <v>1</v>
      </c>
      <c r="G2161">
        <f>1</f>
        <v>1</v>
      </c>
      <c r="H21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2160)&amp;"|",All_Questions_Q_STREAM_F_wrapped)),1,0),0))*1</f>
        <v>1</v>
      </c>
    </row>
    <row r="2162">
      <c r="A2162" t="n">
        <v>2161</v>
      </c>
      <c r="B2162" t="inlineStr">
        <is>
          <t>A</t>
        </is>
      </c>
      <c r="C2162">
        <f>1</f>
        <v>1</v>
      </c>
      <c r="D2162">
        <f>IF(OR(F_Custom1_Q="(None)",F_Custom1_Q="",ISBLANK(F_Custom1_Q),F_Custom1_V="(All)",F_Custom1_V="",ISBLANK(F_Custom1_V)),1,IFERROR(IF(ISNUMBER(SEARCH("|"&amp;INDEX(INDIRECT(F_Custom1_resolved_column),2161)&amp;"|",F_Custom1_wrapped)),1,0),0))</f>
        <v>1</v>
      </c>
      <c r="E2162">
        <f>IF(OR(F_Custom2_Q="(None)",F_Custom2_Q="",ISBLANK(F_Custom2_Q),F_Custom2_V="(All)",F_Custom2_V="",ISBLANK(F_Custom2_V)),1,IFERROR(IF(ISNUMBER(SEARCH("|"&amp;INDEX(INDIRECT(F_Custom2_resolved_column),2161)&amp;"|",F_Custom2_wrapped)),1,0),0))</f>
        <v>1</v>
      </c>
      <c r="F2162">
        <f>D2162*E2162*1</f>
        <v>1</v>
      </c>
      <c r="G2162">
        <f>1</f>
        <v>1</v>
      </c>
      <c r="H21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2161)&amp;"|",All_Questions_Q_STREAM_F_wrapped)),1,0),0))*1</f>
        <v>1</v>
      </c>
    </row>
    <row r="2163">
      <c r="A2163" t="n">
        <v>2162</v>
      </c>
      <c r="B2163" t="inlineStr">
        <is>
          <t>B</t>
        </is>
      </c>
      <c r="C2163">
        <f>1</f>
        <v>1</v>
      </c>
      <c r="D2163">
        <f>IF(OR(F_Custom1_Q="(None)",F_Custom1_Q="",ISBLANK(F_Custom1_Q),F_Custom1_V="(All)",F_Custom1_V="",ISBLANK(F_Custom1_V)),1,IFERROR(IF(ISNUMBER(SEARCH("|"&amp;INDEX(INDIRECT(F_Custom1_resolved_column),2162)&amp;"|",F_Custom1_wrapped)),1,0),0))</f>
        <v>1</v>
      </c>
      <c r="E2163">
        <f>IF(OR(F_Custom2_Q="(None)",F_Custom2_Q="",ISBLANK(F_Custom2_Q),F_Custom2_V="(All)",F_Custom2_V="",ISBLANK(F_Custom2_V)),1,IFERROR(IF(ISNUMBER(SEARCH("|"&amp;INDEX(INDIRECT(F_Custom2_resolved_column),2162)&amp;"|",F_Custom2_wrapped)),1,0),0))</f>
        <v>1</v>
      </c>
      <c r="F2163">
        <f>D2163*E2163*1</f>
        <v>1</v>
      </c>
      <c r="G2163">
        <f>1</f>
        <v>1</v>
      </c>
      <c r="H21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2162)&amp;"|",All_Questions_Q_STREAM_F_wrapped)),1,0),0))*1</f>
        <v>1</v>
      </c>
    </row>
    <row r="2164">
      <c r="A2164" t="n">
        <v>2163</v>
      </c>
      <c r="B2164" t="inlineStr">
        <is>
          <t>A</t>
        </is>
      </c>
      <c r="C2164">
        <f>1</f>
        <v>1</v>
      </c>
      <c r="D2164">
        <f>IF(OR(F_Custom1_Q="(None)",F_Custom1_Q="",ISBLANK(F_Custom1_Q),F_Custom1_V="(All)",F_Custom1_V="",ISBLANK(F_Custom1_V)),1,IFERROR(IF(ISNUMBER(SEARCH("|"&amp;INDEX(INDIRECT(F_Custom1_resolved_column),2163)&amp;"|",F_Custom1_wrapped)),1,0),0))</f>
        <v>1</v>
      </c>
      <c r="E2164">
        <f>IF(OR(F_Custom2_Q="(None)",F_Custom2_Q="",ISBLANK(F_Custom2_Q),F_Custom2_V="(All)",F_Custom2_V="",ISBLANK(F_Custom2_V)),1,IFERROR(IF(ISNUMBER(SEARCH("|"&amp;INDEX(INDIRECT(F_Custom2_resolved_column),2163)&amp;"|",F_Custom2_wrapped)),1,0),0))</f>
        <v>1</v>
      </c>
      <c r="F2164">
        <f>D2164*E2164*1</f>
        <v>1</v>
      </c>
      <c r="G2164">
        <f>1</f>
        <v>1</v>
      </c>
      <c r="H21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2163)&amp;"|",All_Questions_Q_STREAM_F_wrapped)),1,0),0))*1</f>
        <v>1</v>
      </c>
    </row>
    <row r="2165">
      <c r="A2165" t="n">
        <v>2164</v>
      </c>
      <c r="B2165" t="inlineStr">
        <is>
          <t>B</t>
        </is>
      </c>
      <c r="C2165">
        <f>1</f>
        <v>1</v>
      </c>
      <c r="D2165">
        <f>IF(OR(F_Custom1_Q="(None)",F_Custom1_Q="",ISBLANK(F_Custom1_Q),F_Custom1_V="(All)",F_Custom1_V="",ISBLANK(F_Custom1_V)),1,IFERROR(IF(ISNUMBER(SEARCH("|"&amp;INDEX(INDIRECT(F_Custom1_resolved_column),2164)&amp;"|",F_Custom1_wrapped)),1,0),0))</f>
        <v>1</v>
      </c>
      <c r="E2165">
        <f>IF(OR(F_Custom2_Q="(None)",F_Custom2_Q="",ISBLANK(F_Custom2_Q),F_Custom2_V="(All)",F_Custom2_V="",ISBLANK(F_Custom2_V)),1,IFERROR(IF(ISNUMBER(SEARCH("|"&amp;INDEX(INDIRECT(F_Custom2_resolved_column),2164)&amp;"|",F_Custom2_wrapped)),1,0),0))</f>
        <v>1</v>
      </c>
      <c r="F2165">
        <f>D2165*E2165*1</f>
        <v>1</v>
      </c>
      <c r="G2165">
        <f>1</f>
        <v>1</v>
      </c>
      <c r="H21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2164)&amp;"|",All_Questions_Q_STREAM_F_wrapped)),1,0),0))*1</f>
        <v>1</v>
      </c>
    </row>
    <row r="2166">
      <c r="A2166" t="n">
        <v>2165</v>
      </c>
      <c r="B2166" t="inlineStr">
        <is>
          <t>A</t>
        </is>
      </c>
      <c r="C2166">
        <f>1</f>
        <v>1</v>
      </c>
      <c r="D2166">
        <f>IF(OR(F_Custom1_Q="(None)",F_Custom1_Q="",ISBLANK(F_Custom1_Q),F_Custom1_V="(All)",F_Custom1_V="",ISBLANK(F_Custom1_V)),1,IFERROR(IF(ISNUMBER(SEARCH("|"&amp;INDEX(INDIRECT(F_Custom1_resolved_column),2165)&amp;"|",F_Custom1_wrapped)),1,0),0))</f>
        <v>1</v>
      </c>
      <c r="E2166">
        <f>IF(OR(F_Custom2_Q="(None)",F_Custom2_Q="",ISBLANK(F_Custom2_Q),F_Custom2_V="(All)",F_Custom2_V="",ISBLANK(F_Custom2_V)),1,IFERROR(IF(ISNUMBER(SEARCH("|"&amp;INDEX(INDIRECT(F_Custom2_resolved_column),2165)&amp;"|",F_Custom2_wrapped)),1,0),0))</f>
        <v>1</v>
      </c>
      <c r="F2166">
        <f>D2166*E2166*1</f>
        <v>1</v>
      </c>
      <c r="G2166">
        <f>1</f>
        <v>1</v>
      </c>
      <c r="H21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2165)&amp;"|",All_Questions_Q_STREAM_F_wrapped)),1,0),0))*1</f>
        <v>1</v>
      </c>
    </row>
    <row r="2167">
      <c r="A2167" t="n">
        <v>2166</v>
      </c>
      <c r="B2167" t="inlineStr">
        <is>
          <t>B</t>
        </is>
      </c>
      <c r="C2167">
        <f>1</f>
        <v>1</v>
      </c>
      <c r="D2167">
        <f>IF(OR(F_Custom1_Q="(None)",F_Custom1_Q="",ISBLANK(F_Custom1_Q),F_Custom1_V="(All)",F_Custom1_V="",ISBLANK(F_Custom1_V)),1,IFERROR(IF(ISNUMBER(SEARCH("|"&amp;INDEX(INDIRECT(F_Custom1_resolved_column),2166)&amp;"|",F_Custom1_wrapped)),1,0),0))</f>
        <v>1</v>
      </c>
      <c r="E2167">
        <f>IF(OR(F_Custom2_Q="(None)",F_Custom2_Q="",ISBLANK(F_Custom2_Q),F_Custom2_V="(All)",F_Custom2_V="",ISBLANK(F_Custom2_V)),1,IFERROR(IF(ISNUMBER(SEARCH("|"&amp;INDEX(INDIRECT(F_Custom2_resolved_column),2166)&amp;"|",F_Custom2_wrapped)),1,0),0))</f>
        <v>1</v>
      </c>
      <c r="F2167">
        <f>D2167*E2167*1</f>
        <v>1</v>
      </c>
      <c r="G2167">
        <f>1</f>
        <v>1</v>
      </c>
      <c r="H21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2166)&amp;"|",All_Questions_Q_STREAM_F_wrapped)),1,0),0))*1</f>
        <v>1</v>
      </c>
    </row>
    <row r="2168">
      <c r="A2168" t="n">
        <v>2167</v>
      </c>
      <c r="B2168" t="inlineStr">
        <is>
          <t>A</t>
        </is>
      </c>
      <c r="C2168">
        <f>1</f>
        <v>1</v>
      </c>
      <c r="D2168">
        <f>IF(OR(F_Custom1_Q="(None)",F_Custom1_Q="",ISBLANK(F_Custom1_Q),F_Custom1_V="(All)",F_Custom1_V="",ISBLANK(F_Custom1_V)),1,IFERROR(IF(ISNUMBER(SEARCH("|"&amp;INDEX(INDIRECT(F_Custom1_resolved_column),2167)&amp;"|",F_Custom1_wrapped)),1,0),0))</f>
        <v>1</v>
      </c>
      <c r="E2168">
        <f>IF(OR(F_Custom2_Q="(None)",F_Custom2_Q="",ISBLANK(F_Custom2_Q),F_Custom2_V="(All)",F_Custom2_V="",ISBLANK(F_Custom2_V)),1,IFERROR(IF(ISNUMBER(SEARCH("|"&amp;INDEX(INDIRECT(F_Custom2_resolved_column),2167)&amp;"|",F_Custom2_wrapped)),1,0),0))</f>
        <v>1</v>
      </c>
      <c r="F2168">
        <f>D2168*E2168*1</f>
        <v>1</v>
      </c>
      <c r="G2168">
        <f>1</f>
        <v>1</v>
      </c>
      <c r="H21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2167)&amp;"|",All_Questions_Q_STREAM_F_wrapped)),1,0),0))*1</f>
        <v>1</v>
      </c>
    </row>
    <row r="2169">
      <c r="A2169" t="n">
        <v>2168</v>
      </c>
      <c r="B2169" t="inlineStr">
        <is>
          <t>B</t>
        </is>
      </c>
      <c r="C2169">
        <f>1</f>
        <v>1</v>
      </c>
      <c r="D2169">
        <f>IF(OR(F_Custom1_Q="(None)",F_Custom1_Q="",ISBLANK(F_Custom1_Q),F_Custom1_V="(All)",F_Custom1_V="",ISBLANK(F_Custom1_V)),1,IFERROR(IF(ISNUMBER(SEARCH("|"&amp;INDEX(INDIRECT(F_Custom1_resolved_column),2168)&amp;"|",F_Custom1_wrapped)),1,0),0))</f>
        <v>1</v>
      </c>
      <c r="E2169">
        <f>IF(OR(F_Custom2_Q="(None)",F_Custom2_Q="",ISBLANK(F_Custom2_Q),F_Custom2_V="(All)",F_Custom2_V="",ISBLANK(F_Custom2_V)),1,IFERROR(IF(ISNUMBER(SEARCH("|"&amp;INDEX(INDIRECT(F_Custom2_resolved_column),2168)&amp;"|",F_Custom2_wrapped)),1,0),0))</f>
        <v>1</v>
      </c>
      <c r="F2169">
        <f>D2169*E2169*1</f>
        <v>1</v>
      </c>
      <c r="G2169">
        <f>1</f>
        <v>1</v>
      </c>
      <c r="H21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2168)&amp;"|",All_Questions_Q_STREAM_F_wrapped)),1,0),0))*1</f>
        <v>1</v>
      </c>
    </row>
    <row r="2170">
      <c r="A2170" t="n">
        <v>2169</v>
      </c>
      <c r="B2170" t="inlineStr">
        <is>
          <t>A</t>
        </is>
      </c>
      <c r="C2170">
        <f>1</f>
        <v>1</v>
      </c>
      <c r="D2170">
        <f>IF(OR(F_Custom1_Q="(None)",F_Custom1_Q="",ISBLANK(F_Custom1_Q),F_Custom1_V="(All)",F_Custom1_V="",ISBLANK(F_Custom1_V)),1,IFERROR(IF(ISNUMBER(SEARCH("|"&amp;INDEX(INDIRECT(F_Custom1_resolved_column),2169)&amp;"|",F_Custom1_wrapped)),1,0),0))</f>
        <v>1</v>
      </c>
      <c r="E2170">
        <f>IF(OR(F_Custom2_Q="(None)",F_Custom2_Q="",ISBLANK(F_Custom2_Q),F_Custom2_V="(All)",F_Custom2_V="",ISBLANK(F_Custom2_V)),1,IFERROR(IF(ISNUMBER(SEARCH("|"&amp;INDEX(INDIRECT(F_Custom2_resolved_column),2169)&amp;"|",F_Custom2_wrapped)),1,0),0))</f>
        <v>1</v>
      </c>
      <c r="F2170">
        <f>D2170*E2170*1</f>
        <v>1</v>
      </c>
      <c r="G2170">
        <f>1</f>
        <v>1</v>
      </c>
      <c r="H21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2169)&amp;"|",All_Questions_Q_STREAM_F_wrapped)),1,0),0))*1</f>
        <v>1</v>
      </c>
    </row>
    <row r="2171">
      <c r="A2171" t="n">
        <v>2170</v>
      </c>
      <c r="B2171" t="inlineStr">
        <is>
          <t>B</t>
        </is>
      </c>
      <c r="C2171">
        <f>1</f>
        <v>1</v>
      </c>
      <c r="D2171">
        <f>IF(OR(F_Custom1_Q="(None)",F_Custom1_Q="",ISBLANK(F_Custom1_Q),F_Custom1_V="(All)",F_Custom1_V="",ISBLANK(F_Custom1_V)),1,IFERROR(IF(ISNUMBER(SEARCH("|"&amp;INDEX(INDIRECT(F_Custom1_resolved_column),2170)&amp;"|",F_Custom1_wrapped)),1,0),0))</f>
        <v>1</v>
      </c>
      <c r="E2171">
        <f>IF(OR(F_Custom2_Q="(None)",F_Custom2_Q="",ISBLANK(F_Custom2_Q),F_Custom2_V="(All)",F_Custom2_V="",ISBLANK(F_Custom2_V)),1,IFERROR(IF(ISNUMBER(SEARCH("|"&amp;INDEX(INDIRECT(F_Custom2_resolved_column),2170)&amp;"|",F_Custom2_wrapped)),1,0),0))</f>
        <v>1</v>
      </c>
      <c r="F2171">
        <f>D2171*E2171*1</f>
        <v>1</v>
      </c>
      <c r="G2171">
        <f>1</f>
        <v>1</v>
      </c>
      <c r="H21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2170)&amp;"|",All_Questions_Q_STREAM_F_wrapped)),1,0),0))*1</f>
        <v>1</v>
      </c>
    </row>
    <row r="2172">
      <c r="A2172" t="n">
        <v>2171</v>
      </c>
      <c r="B2172" t="inlineStr">
        <is>
          <t>A</t>
        </is>
      </c>
      <c r="C2172">
        <f>1</f>
        <v>1</v>
      </c>
      <c r="D2172">
        <f>IF(OR(F_Custom1_Q="(None)",F_Custom1_Q="",ISBLANK(F_Custom1_Q),F_Custom1_V="(All)",F_Custom1_V="",ISBLANK(F_Custom1_V)),1,IFERROR(IF(ISNUMBER(SEARCH("|"&amp;INDEX(INDIRECT(F_Custom1_resolved_column),2171)&amp;"|",F_Custom1_wrapped)),1,0),0))</f>
        <v>1</v>
      </c>
      <c r="E2172">
        <f>IF(OR(F_Custom2_Q="(None)",F_Custom2_Q="",ISBLANK(F_Custom2_Q),F_Custom2_V="(All)",F_Custom2_V="",ISBLANK(F_Custom2_V)),1,IFERROR(IF(ISNUMBER(SEARCH("|"&amp;INDEX(INDIRECT(F_Custom2_resolved_column),2171)&amp;"|",F_Custom2_wrapped)),1,0),0))</f>
        <v>1</v>
      </c>
      <c r="F2172">
        <f>D2172*E2172*1</f>
        <v>1</v>
      </c>
      <c r="G2172">
        <f>1</f>
        <v>1</v>
      </c>
      <c r="H21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2171)&amp;"|",All_Questions_Q_STREAM_F_wrapped)),1,0),0))*1</f>
        <v>1</v>
      </c>
    </row>
    <row r="2173">
      <c r="A2173" t="n">
        <v>2172</v>
      </c>
      <c r="B2173" t="inlineStr">
        <is>
          <t>B</t>
        </is>
      </c>
      <c r="C2173">
        <f>1</f>
        <v>1</v>
      </c>
      <c r="D2173">
        <f>IF(OR(F_Custom1_Q="(None)",F_Custom1_Q="",ISBLANK(F_Custom1_Q),F_Custom1_V="(All)",F_Custom1_V="",ISBLANK(F_Custom1_V)),1,IFERROR(IF(ISNUMBER(SEARCH("|"&amp;INDEX(INDIRECT(F_Custom1_resolved_column),2172)&amp;"|",F_Custom1_wrapped)),1,0),0))</f>
        <v>1</v>
      </c>
      <c r="E2173">
        <f>IF(OR(F_Custom2_Q="(None)",F_Custom2_Q="",ISBLANK(F_Custom2_Q),F_Custom2_V="(All)",F_Custom2_V="",ISBLANK(F_Custom2_V)),1,IFERROR(IF(ISNUMBER(SEARCH("|"&amp;INDEX(INDIRECT(F_Custom2_resolved_column),2172)&amp;"|",F_Custom2_wrapped)),1,0),0))</f>
        <v>1</v>
      </c>
      <c r="F2173">
        <f>D2173*E2173*1</f>
        <v>1</v>
      </c>
      <c r="G2173">
        <f>1</f>
        <v>1</v>
      </c>
      <c r="H21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2172)&amp;"|",All_Questions_Q_STREAM_F_wrapped)),1,0),0))*1</f>
        <v>1</v>
      </c>
    </row>
    <row r="2174">
      <c r="A2174" t="n">
        <v>2173</v>
      </c>
      <c r="B2174" t="inlineStr">
        <is>
          <t>A</t>
        </is>
      </c>
      <c r="C2174">
        <f>1</f>
        <v>1</v>
      </c>
      <c r="D2174">
        <f>IF(OR(F_Custom1_Q="(None)",F_Custom1_Q="",ISBLANK(F_Custom1_Q),F_Custom1_V="(All)",F_Custom1_V="",ISBLANK(F_Custom1_V)),1,IFERROR(IF(ISNUMBER(SEARCH("|"&amp;INDEX(INDIRECT(F_Custom1_resolved_column),2173)&amp;"|",F_Custom1_wrapped)),1,0),0))</f>
        <v>1</v>
      </c>
      <c r="E2174">
        <f>IF(OR(F_Custom2_Q="(None)",F_Custom2_Q="",ISBLANK(F_Custom2_Q),F_Custom2_V="(All)",F_Custom2_V="",ISBLANK(F_Custom2_V)),1,IFERROR(IF(ISNUMBER(SEARCH("|"&amp;INDEX(INDIRECT(F_Custom2_resolved_column),2173)&amp;"|",F_Custom2_wrapped)),1,0),0))</f>
        <v>1</v>
      </c>
      <c r="F2174">
        <f>D2174*E2174*1</f>
        <v>1</v>
      </c>
      <c r="G2174">
        <f>1</f>
        <v>1</v>
      </c>
      <c r="H21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2173)&amp;"|",All_Questions_Q_STREAM_F_wrapped)),1,0),0))*1</f>
        <v>1</v>
      </c>
    </row>
    <row r="2175">
      <c r="A2175" t="n">
        <v>2174</v>
      </c>
      <c r="B2175" t="inlineStr">
        <is>
          <t>B</t>
        </is>
      </c>
      <c r="C2175">
        <f>1</f>
        <v>1</v>
      </c>
      <c r="D2175">
        <f>IF(OR(F_Custom1_Q="(None)",F_Custom1_Q="",ISBLANK(F_Custom1_Q),F_Custom1_V="(All)",F_Custom1_V="",ISBLANK(F_Custom1_V)),1,IFERROR(IF(ISNUMBER(SEARCH("|"&amp;INDEX(INDIRECT(F_Custom1_resolved_column),2174)&amp;"|",F_Custom1_wrapped)),1,0),0))</f>
        <v>1</v>
      </c>
      <c r="E2175">
        <f>IF(OR(F_Custom2_Q="(None)",F_Custom2_Q="",ISBLANK(F_Custom2_Q),F_Custom2_V="(All)",F_Custom2_V="",ISBLANK(F_Custom2_V)),1,IFERROR(IF(ISNUMBER(SEARCH("|"&amp;INDEX(INDIRECT(F_Custom2_resolved_column),2174)&amp;"|",F_Custom2_wrapped)),1,0),0))</f>
        <v>1</v>
      </c>
      <c r="F2175">
        <f>D2175*E2175*1</f>
        <v>1</v>
      </c>
      <c r="G2175">
        <f>1</f>
        <v>1</v>
      </c>
      <c r="H21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2174)&amp;"|",All_Questions_Q_STREAM_F_wrapped)),1,0),0))*1</f>
        <v>1</v>
      </c>
    </row>
    <row r="2176">
      <c r="A2176" t="n">
        <v>2175</v>
      </c>
      <c r="B2176" t="inlineStr">
        <is>
          <t>A</t>
        </is>
      </c>
      <c r="C2176">
        <f>1</f>
        <v>1</v>
      </c>
      <c r="D2176">
        <f>IF(OR(F_Custom1_Q="(None)",F_Custom1_Q="",ISBLANK(F_Custom1_Q),F_Custom1_V="(All)",F_Custom1_V="",ISBLANK(F_Custom1_V)),1,IFERROR(IF(ISNUMBER(SEARCH("|"&amp;INDEX(INDIRECT(F_Custom1_resolved_column),2175)&amp;"|",F_Custom1_wrapped)),1,0),0))</f>
        <v>1</v>
      </c>
      <c r="E2176">
        <f>IF(OR(F_Custom2_Q="(None)",F_Custom2_Q="",ISBLANK(F_Custom2_Q),F_Custom2_V="(All)",F_Custom2_V="",ISBLANK(F_Custom2_V)),1,IFERROR(IF(ISNUMBER(SEARCH("|"&amp;INDEX(INDIRECT(F_Custom2_resolved_column),2175)&amp;"|",F_Custom2_wrapped)),1,0),0))</f>
        <v>1</v>
      </c>
      <c r="F2176">
        <f>D2176*E2176*1</f>
        <v>1</v>
      </c>
      <c r="G2176">
        <f>1</f>
        <v>1</v>
      </c>
      <c r="H21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2175)&amp;"|",All_Questions_Q_STREAM_F_wrapped)),1,0),0))*1</f>
        <v>1</v>
      </c>
    </row>
    <row r="2177">
      <c r="A2177" t="n">
        <v>2176</v>
      </c>
      <c r="B2177" t="inlineStr">
        <is>
          <t>B</t>
        </is>
      </c>
      <c r="C2177">
        <f>1</f>
        <v>1</v>
      </c>
      <c r="D2177">
        <f>IF(OR(F_Custom1_Q="(None)",F_Custom1_Q="",ISBLANK(F_Custom1_Q),F_Custom1_V="(All)",F_Custom1_V="",ISBLANK(F_Custom1_V)),1,IFERROR(IF(ISNUMBER(SEARCH("|"&amp;INDEX(INDIRECT(F_Custom1_resolved_column),2176)&amp;"|",F_Custom1_wrapped)),1,0),0))</f>
        <v>1</v>
      </c>
      <c r="E2177">
        <f>IF(OR(F_Custom2_Q="(None)",F_Custom2_Q="",ISBLANK(F_Custom2_Q),F_Custom2_V="(All)",F_Custom2_V="",ISBLANK(F_Custom2_V)),1,IFERROR(IF(ISNUMBER(SEARCH("|"&amp;INDEX(INDIRECT(F_Custom2_resolved_column),2176)&amp;"|",F_Custom2_wrapped)),1,0),0))</f>
        <v>1</v>
      </c>
      <c r="F2177">
        <f>D2177*E2177*1</f>
        <v>1</v>
      </c>
      <c r="G2177">
        <f>1</f>
        <v>1</v>
      </c>
      <c r="H21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2176)&amp;"|",All_Questions_Q_STREAM_F_wrapped)),1,0),0))*1</f>
        <v>1</v>
      </c>
    </row>
    <row r="2178">
      <c r="A2178" t="n">
        <v>2177</v>
      </c>
      <c r="B2178" t="inlineStr">
        <is>
          <t>A</t>
        </is>
      </c>
      <c r="C2178">
        <f>1</f>
        <v>1</v>
      </c>
      <c r="D2178">
        <f>IF(OR(F_Custom1_Q="(None)",F_Custom1_Q="",ISBLANK(F_Custom1_Q),F_Custom1_V="(All)",F_Custom1_V="",ISBLANK(F_Custom1_V)),1,IFERROR(IF(ISNUMBER(SEARCH("|"&amp;INDEX(INDIRECT(F_Custom1_resolved_column),2177)&amp;"|",F_Custom1_wrapped)),1,0),0))</f>
        <v>1</v>
      </c>
      <c r="E2178">
        <f>IF(OR(F_Custom2_Q="(None)",F_Custom2_Q="",ISBLANK(F_Custom2_Q),F_Custom2_V="(All)",F_Custom2_V="",ISBLANK(F_Custom2_V)),1,IFERROR(IF(ISNUMBER(SEARCH("|"&amp;INDEX(INDIRECT(F_Custom2_resolved_column),2177)&amp;"|",F_Custom2_wrapped)),1,0),0))</f>
        <v>1</v>
      </c>
      <c r="F2178">
        <f>D2178*E2178*1</f>
        <v>1</v>
      </c>
      <c r="G2178">
        <f>1</f>
        <v>1</v>
      </c>
      <c r="H21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2177)&amp;"|",All_Questions_Q_STREAM_F_wrapped)),1,0),0))*1</f>
        <v>1</v>
      </c>
    </row>
    <row r="2179">
      <c r="A2179" t="n">
        <v>2178</v>
      </c>
      <c r="B2179" t="inlineStr">
        <is>
          <t>B</t>
        </is>
      </c>
      <c r="C2179">
        <f>1</f>
        <v>1</v>
      </c>
      <c r="D2179">
        <f>IF(OR(F_Custom1_Q="(None)",F_Custom1_Q="",ISBLANK(F_Custom1_Q),F_Custom1_V="(All)",F_Custom1_V="",ISBLANK(F_Custom1_V)),1,IFERROR(IF(ISNUMBER(SEARCH("|"&amp;INDEX(INDIRECT(F_Custom1_resolved_column),2178)&amp;"|",F_Custom1_wrapped)),1,0),0))</f>
        <v>1</v>
      </c>
      <c r="E2179">
        <f>IF(OR(F_Custom2_Q="(None)",F_Custom2_Q="",ISBLANK(F_Custom2_Q),F_Custom2_V="(All)",F_Custom2_V="",ISBLANK(F_Custom2_V)),1,IFERROR(IF(ISNUMBER(SEARCH("|"&amp;INDEX(INDIRECT(F_Custom2_resolved_column),2178)&amp;"|",F_Custom2_wrapped)),1,0),0))</f>
        <v>1</v>
      </c>
      <c r="F2179">
        <f>D2179*E2179*1</f>
        <v>1</v>
      </c>
      <c r="G2179">
        <f>1</f>
        <v>1</v>
      </c>
      <c r="H21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2178)&amp;"|",All_Questions_Q_STREAM_F_wrapped)),1,0),0))*1</f>
        <v>1</v>
      </c>
    </row>
    <row r="2180">
      <c r="A2180" t="n">
        <v>2179</v>
      </c>
      <c r="B2180" t="inlineStr">
        <is>
          <t>A</t>
        </is>
      </c>
      <c r="C2180">
        <f>1</f>
        <v>1</v>
      </c>
      <c r="D2180">
        <f>IF(OR(F_Custom1_Q="(None)",F_Custom1_Q="",ISBLANK(F_Custom1_Q),F_Custom1_V="(All)",F_Custom1_V="",ISBLANK(F_Custom1_V)),1,IFERROR(IF(ISNUMBER(SEARCH("|"&amp;INDEX(INDIRECT(F_Custom1_resolved_column),2179)&amp;"|",F_Custom1_wrapped)),1,0),0))</f>
        <v>1</v>
      </c>
      <c r="E2180">
        <f>IF(OR(F_Custom2_Q="(None)",F_Custom2_Q="",ISBLANK(F_Custom2_Q),F_Custom2_V="(All)",F_Custom2_V="",ISBLANK(F_Custom2_V)),1,IFERROR(IF(ISNUMBER(SEARCH("|"&amp;INDEX(INDIRECT(F_Custom2_resolved_column),2179)&amp;"|",F_Custom2_wrapped)),1,0),0))</f>
        <v>1</v>
      </c>
      <c r="F2180">
        <f>D2180*E2180*1</f>
        <v>1</v>
      </c>
      <c r="G2180">
        <f>1</f>
        <v>1</v>
      </c>
      <c r="H21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2179)&amp;"|",All_Questions_Q_STREAM_F_wrapped)),1,0),0))*1</f>
        <v>1</v>
      </c>
    </row>
    <row r="2181">
      <c r="A2181" t="n">
        <v>2180</v>
      </c>
      <c r="B2181" t="inlineStr">
        <is>
          <t>B</t>
        </is>
      </c>
      <c r="C2181">
        <f>1</f>
        <v>1</v>
      </c>
      <c r="D2181">
        <f>IF(OR(F_Custom1_Q="(None)",F_Custom1_Q="",ISBLANK(F_Custom1_Q),F_Custom1_V="(All)",F_Custom1_V="",ISBLANK(F_Custom1_V)),1,IFERROR(IF(ISNUMBER(SEARCH("|"&amp;INDEX(INDIRECT(F_Custom1_resolved_column),2180)&amp;"|",F_Custom1_wrapped)),1,0),0))</f>
        <v>1</v>
      </c>
      <c r="E2181">
        <f>IF(OR(F_Custom2_Q="(None)",F_Custom2_Q="",ISBLANK(F_Custom2_Q),F_Custom2_V="(All)",F_Custom2_V="",ISBLANK(F_Custom2_V)),1,IFERROR(IF(ISNUMBER(SEARCH("|"&amp;INDEX(INDIRECT(F_Custom2_resolved_column),2180)&amp;"|",F_Custom2_wrapped)),1,0),0))</f>
        <v>1</v>
      </c>
      <c r="F2181">
        <f>D2181*E2181*1</f>
        <v>1</v>
      </c>
      <c r="G2181">
        <f>1</f>
        <v>1</v>
      </c>
      <c r="H21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2180)&amp;"|",All_Questions_Q_STREAM_F_wrapped)),1,0),0))*1</f>
        <v>1</v>
      </c>
    </row>
    <row r="2182">
      <c r="A2182" t="n">
        <v>2181</v>
      </c>
      <c r="B2182" t="inlineStr">
        <is>
          <t>A</t>
        </is>
      </c>
      <c r="C2182">
        <f>1</f>
        <v>1</v>
      </c>
      <c r="D2182">
        <f>IF(OR(F_Custom1_Q="(None)",F_Custom1_Q="",ISBLANK(F_Custom1_Q),F_Custom1_V="(All)",F_Custom1_V="",ISBLANK(F_Custom1_V)),1,IFERROR(IF(ISNUMBER(SEARCH("|"&amp;INDEX(INDIRECT(F_Custom1_resolved_column),2181)&amp;"|",F_Custom1_wrapped)),1,0),0))</f>
        <v>1</v>
      </c>
      <c r="E2182">
        <f>IF(OR(F_Custom2_Q="(None)",F_Custom2_Q="",ISBLANK(F_Custom2_Q),F_Custom2_V="(All)",F_Custom2_V="",ISBLANK(F_Custom2_V)),1,IFERROR(IF(ISNUMBER(SEARCH("|"&amp;INDEX(INDIRECT(F_Custom2_resolved_column),2181)&amp;"|",F_Custom2_wrapped)),1,0),0))</f>
        <v>1</v>
      </c>
      <c r="F2182">
        <f>D2182*E2182*1</f>
        <v>1</v>
      </c>
      <c r="G2182">
        <f>1</f>
        <v>1</v>
      </c>
      <c r="H21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2181)&amp;"|",All_Questions_Q_STREAM_F_wrapped)),1,0),0))*1</f>
        <v>1</v>
      </c>
    </row>
    <row r="2183">
      <c r="A2183" t="n">
        <v>2182</v>
      </c>
      <c r="B2183" t="inlineStr">
        <is>
          <t>B</t>
        </is>
      </c>
      <c r="C2183">
        <f>1</f>
        <v>1</v>
      </c>
      <c r="D2183">
        <f>IF(OR(F_Custom1_Q="(None)",F_Custom1_Q="",ISBLANK(F_Custom1_Q),F_Custom1_V="(All)",F_Custom1_V="",ISBLANK(F_Custom1_V)),1,IFERROR(IF(ISNUMBER(SEARCH("|"&amp;INDEX(INDIRECT(F_Custom1_resolved_column),2182)&amp;"|",F_Custom1_wrapped)),1,0),0))</f>
        <v>1</v>
      </c>
      <c r="E2183">
        <f>IF(OR(F_Custom2_Q="(None)",F_Custom2_Q="",ISBLANK(F_Custom2_Q),F_Custom2_V="(All)",F_Custom2_V="",ISBLANK(F_Custom2_V)),1,IFERROR(IF(ISNUMBER(SEARCH("|"&amp;INDEX(INDIRECT(F_Custom2_resolved_column),2182)&amp;"|",F_Custom2_wrapped)),1,0),0))</f>
        <v>1</v>
      </c>
      <c r="F2183">
        <f>D2183*E2183*1</f>
        <v>1</v>
      </c>
      <c r="G2183">
        <f>1</f>
        <v>1</v>
      </c>
      <c r="H21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2182)&amp;"|",All_Questions_Q_STREAM_F_wrapped)),1,0),0))*1</f>
        <v>1</v>
      </c>
    </row>
    <row r="2184">
      <c r="A2184" t="n">
        <v>2183</v>
      </c>
      <c r="B2184" t="inlineStr">
        <is>
          <t>A</t>
        </is>
      </c>
      <c r="C2184">
        <f>1</f>
        <v>1</v>
      </c>
      <c r="D2184">
        <f>IF(OR(F_Custom1_Q="(None)",F_Custom1_Q="",ISBLANK(F_Custom1_Q),F_Custom1_V="(All)",F_Custom1_V="",ISBLANK(F_Custom1_V)),1,IFERROR(IF(ISNUMBER(SEARCH("|"&amp;INDEX(INDIRECT(F_Custom1_resolved_column),2183)&amp;"|",F_Custom1_wrapped)),1,0),0))</f>
        <v>1</v>
      </c>
      <c r="E2184">
        <f>IF(OR(F_Custom2_Q="(None)",F_Custom2_Q="",ISBLANK(F_Custom2_Q),F_Custom2_V="(All)",F_Custom2_V="",ISBLANK(F_Custom2_V)),1,IFERROR(IF(ISNUMBER(SEARCH("|"&amp;INDEX(INDIRECT(F_Custom2_resolved_column),2183)&amp;"|",F_Custom2_wrapped)),1,0),0))</f>
        <v>1</v>
      </c>
      <c r="F2184">
        <f>D2184*E2184*1</f>
        <v>1</v>
      </c>
      <c r="G2184">
        <f>1</f>
        <v>1</v>
      </c>
      <c r="H21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2183)&amp;"|",All_Questions_Q_STREAM_F_wrapped)),1,0),0))*1</f>
        <v>1</v>
      </c>
    </row>
    <row r="2185">
      <c r="A2185" t="n">
        <v>2184</v>
      </c>
      <c r="B2185" t="inlineStr">
        <is>
          <t>B</t>
        </is>
      </c>
      <c r="C2185">
        <f>1</f>
        <v>1</v>
      </c>
      <c r="D2185">
        <f>IF(OR(F_Custom1_Q="(None)",F_Custom1_Q="",ISBLANK(F_Custom1_Q),F_Custom1_V="(All)",F_Custom1_V="",ISBLANK(F_Custom1_V)),1,IFERROR(IF(ISNUMBER(SEARCH("|"&amp;INDEX(INDIRECT(F_Custom1_resolved_column),2184)&amp;"|",F_Custom1_wrapped)),1,0),0))</f>
        <v>1</v>
      </c>
      <c r="E2185">
        <f>IF(OR(F_Custom2_Q="(None)",F_Custom2_Q="",ISBLANK(F_Custom2_Q),F_Custom2_V="(All)",F_Custom2_V="",ISBLANK(F_Custom2_V)),1,IFERROR(IF(ISNUMBER(SEARCH("|"&amp;INDEX(INDIRECT(F_Custom2_resolved_column),2184)&amp;"|",F_Custom2_wrapped)),1,0),0))</f>
        <v>1</v>
      </c>
      <c r="F2185">
        <f>D2185*E2185*1</f>
        <v>1</v>
      </c>
      <c r="G2185">
        <f>1</f>
        <v>1</v>
      </c>
      <c r="H21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2184)&amp;"|",All_Questions_Q_STREAM_F_wrapped)),1,0),0))*1</f>
        <v>1</v>
      </c>
    </row>
    <row r="2186">
      <c r="A2186" t="n">
        <v>2185</v>
      </c>
      <c r="B2186" t="inlineStr">
        <is>
          <t>A</t>
        </is>
      </c>
      <c r="C2186">
        <f>1</f>
        <v>1</v>
      </c>
      <c r="D2186">
        <f>IF(OR(F_Custom1_Q="(None)",F_Custom1_Q="",ISBLANK(F_Custom1_Q),F_Custom1_V="(All)",F_Custom1_V="",ISBLANK(F_Custom1_V)),1,IFERROR(IF(ISNUMBER(SEARCH("|"&amp;INDEX(INDIRECT(F_Custom1_resolved_column),2185)&amp;"|",F_Custom1_wrapped)),1,0),0))</f>
        <v>1</v>
      </c>
      <c r="E2186">
        <f>IF(OR(F_Custom2_Q="(None)",F_Custom2_Q="",ISBLANK(F_Custom2_Q),F_Custom2_V="(All)",F_Custom2_V="",ISBLANK(F_Custom2_V)),1,IFERROR(IF(ISNUMBER(SEARCH("|"&amp;INDEX(INDIRECT(F_Custom2_resolved_column),2185)&amp;"|",F_Custom2_wrapped)),1,0),0))</f>
        <v>1</v>
      </c>
      <c r="F2186">
        <f>D2186*E2186*1</f>
        <v>1</v>
      </c>
      <c r="G2186">
        <f>1</f>
        <v>1</v>
      </c>
      <c r="H21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2185)&amp;"|",All_Questions_Q_STREAM_F_wrapped)),1,0),0))*1</f>
        <v>1</v>
      </c>
    </row>
    <row r="2187">
      <c r="A2187" t="n">
        <v>2186</v>
      </c>
      <c r="B2187" t="inlineStr">
        <is>
          <t>B</t>
        </is>
      </c>
      <c r="C2187">
        <f>1</f>
        <v>1</v>
      </c>
      <c r="D2187">
        <f>IF(OR(F_Custom1_Q="(None)",F_Custom1_Q="",ISBLANK(F_Custom1_Q),F_Custom1_V="(All)",F_Custom1_V="",ISBLANK(F_Custom1_V)),1,IFERROR(IF(ISNUMBER(SEARCH("|"&amp;INDEX(INDIRECT(F_Custom1_resolved_column),2186)&amp;"|",F_Custom1_wrapped)),1,0),0))</f>
        <v>1</v>
      </c>
      <c r="E2187">
        <f>IF(OR(F_Custom2_Q="(None)",F_Custom2_Q="",ISBLANK(F_Custom2_Q),F_Custom2_V="(All)",F_Custom2_V="",ISBLANK(F_Custom2_V)),1,IFERROR(IF(ISNUMBER(SEARCH("|"&amp;INDEX(INDIRECT(F_Custom2_resolved_column),2186)&amp;"|",F_Custom2_wrapped)),1,0),0))</f>
        <v>1</v>
      </c>
      <c r="F2187">
        <f>D2187*E2187*1</f>
        <v>1</v>
      </c>
      <c r="G2187">
        <f>1</f>
        <v>1</v>
      </c>
      <c r="H21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2186)&amp;"|",All_Questions_Q_STREAM_F_wrapped)),1,0),0))*1</f>
        <v>1</v>
      </c>
    </row>
    <row r="2188">
      <c r="A2188" t="n">
        <v>2187</v>
      </c>
      <c r="B2188" t="inlineStr">
        <is>
          <t>A</t>
        </is>
      </c>
      <c r="C2188">
        <f>1</f>
        <v>1</v>
      </c>
      <c r="D2188">
        <f>IF(OR(F_Custom1_Q="(None)",F_Custom1_Q="",ISBLANK(F_Custom1_Q),F_Custom1_V="(All)",F_Custom1_V="",ISBLANK(F_Custom1_V)),1,IFERROR(IF(ISNUMBER(SEARCH("|"&amp;INDEX(INDIRECT(F_Custom1_resolved_column),2187)&amp;"|",F_Custom1_wrapped)),1,0),0))</f>
        <v>1</v>
      </c>
      <c r="E2188">
        <f>IF(OR(F_Custom2_Q="(None)",F_Custom2_Q="",ISBLANK(F_Custom2_Q),F_Custom2_V="(All)",F_Custom2_V="",ISBLANK(F_Custom2_V)),1,IFERROR(IF(ISNUMBER(SEARCH("|"&amp;INDEX(INDIRECT(F_Custom2_resolved_column),2187)&amp;"|",F_Custom2_wrapped)),1,0),0))</f>
        <v>1</v>
      </c>
      <c r="F2188">
        <f>D2188*E2188*1</f>
        <v>1</v>
      </c>
      <c r="G2188">
        <f>1</f>
        <v>1</v>
      </c>
      <c r="H21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2187)&amp;"|",All_Questions_Q_STREAM_F_wrapped)),1,0),0))*1</f>
        <v>1</v>
      </c>
    </row>
    <row r="2189">
      <c r="A2189" t="n">
        <v>2188</v>
      </c>
      <c r="B2189" t="inlineStr">
        <is>
          <t>B</t>
        </is>
      </c>
      <c r="C2189">
        <f>1</f>
        <v>1</v>
      </c>
      <c r="D2189">
        <f>IF(OR(F_Custom1_Q="(None)",F_Custom1_Q="",ISBLANK(F_Custom1_Q),F_Custom1_V="(All)",F_Custom1_V="",ISBLANK(F_Custom1_V)),1,IFERROR(IF(ISNUMBER(SEARCH("|"&amp;INDEX(INDIRECT(F_Custom1_resolved_column),2188)&amp;"|",F_Custom1_wrapped)),1,0),0))</f>
        <v>1</v>
      </c>
      <c r="E2189">
        <f>IF(OR(F_Custom2_Q="(None)",F_Custom2_Q="",ISBLANK(F_Custom2_Q),F_Custom2_V="(All)",F_Custom2_V="",ISBLANK(F_Custom2_V)),1,IFERROR(IF(ISNUMBER(SEARCH("|"&amp;INDEX(INDIRECT(F_Custom2_resolved_column),2188)&amp;"|",F_Custom2_wrapped)),1,0),0))</f>
        <v>1</v>
      </c>
      <c r="F2189">
        <f>D2189*E2189*1</f>
        <v>1</v>
      </c>
      <c r="G2189">
        <f>1</f>
        <v>1</v>
      </c>
      <c r="H21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2188)&amp;"|",All_Questions_Q_STREAM_F_wrapped)),1,0),0))*1</f>
        <v>1</v>
      </c>
    </row>
    <row r="2190">
      <c r="A2190" t="n">
        <v>2189</v>
      </c>
      <c r="B2190" t="inlineStr">
        <is>
          <t>A</t>
        </is>
      </c>
      <c r="C2190">
        <f>1</f>
        <v>1</v>
      </c>
      <c r="D2190">
        <f>IF(OR(F_Custom1_Q="(None)",F_Custom1_Q="",ISBLANK(F_Custom1_Q),F_Custom1_V="(All)",F_Custom1_V="",ISBLANK(F_Custom1_V)),1,IFERROR(IF(ISNUMBER(SEARCH("|"&amp;INDEX(INDIRECT(F_Custom1_resolved_column),2189)&amp;"|",F_Custom1_wrapped)),1,0),0))</f>
        <v>1</v>
      </c>
      <c r="E2190">
        <f>IF(OR(F_Custom2_Q="(None)",F_Custom2_Q="",ISBLANK(F_Custom2_Q),F_Custom2_V="(All)",F_Custom2_V="",ISBLANK(F_Custom2_V)),1,IFERROR(IF(ISNUMBER(SEARCH("|"&amp;INDEX(INDIRECT(F_Custom2_resolved_column),2189)&amp;"|",F_Custom2_wrapped)),1,0),0))</f>
        <v>1</v>
      </c>
      <c r="F2190">
        <f>D2190*E2190*1</f>
        <v>1</v>
      </c>
      <c r="G2190">
        <f>1</f>
        <v>1</v>
      </c>
      <c r="H21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2189)&amp;"|",All_Questions_Q_STREAM_F_wrapped)),1,0),0))*1</f>
        <v>1</v>
      </c>
    </row>
    <row r="2191">
      <c r="A2191" t="n">
        <v>2190</v>
      </c>
      <c r="B2191" t="inlineStr">
        <is>
          <t>B</t>
        </is>
      </c>
      <c r="C2191">
        <f>1</f>
        <v>1</v>
      </c>
      <c r="D2191">
        <f>IF(OR(F_Custom1_Q="(None)",F_Custom1_Q="",ISBLANK(F_Custom1_Q),F_Custom1_V="(All)",F_Custom1_V="",ISBLANK(F_Custom1_V)),1,IFERROR(IF(ISNUMBER(SEARCH("|"&amp;INDEX(INDIRECT(F_Custom1_resolved_column),2190)&amp;"|",F_Custom1_wrapped)),1,0),0))</f>
        <v>1</v>
      </c>
      <c r="E2191">
        <f>IF(OR(F_Custom2_Q="(None)",F_Custom2_Q="",ISBLANK(F_Custom2_Q),F_Custom2_V="(All)",F_Custom2_V="",ISBLANK(F_Custom2_V)),1,IFERROR(IF(ISNUMBER(SEARCH("|"&amp;INDEX(INDIRECT(F_Custom2_resolved_column),2190)&amp;"|",F_Custom2_wrapped)),1,0),0))</f>
        <v>1</v>
      </c>
      <c r="F2191">
        <f>D2191*E2191*1</f>
        <v>1</v>
      </c>
      <c r="G2191">
        <f>1</f>
        <v>1</v>
      </c>
      <c r="H21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2190)&amp;"|",All_Questions_Q_STREAM_F_wrapped)),1,0),0))*1</f>
        <v>1</v>
      </c>
    </row>
    <row r="2192">
      <c r="A2192" t="n">
        <v>2191</v>
      </c>
      <c r="B2192" t="inlineStr">
        <is>
          <t>A</t>
        </is>
      </c>
      <c r="C2192">
        <f>1</f>
        <v>1</v>
      </c>
      <c r="D2192">
        <f>IF(OR(F_Custom1_Q="(None)",F_Custom1_Q="",ISBLANK(F_Custom1_Q),F_Custom1_V="(All)",F_Custom1_V="",ISBLANK(F_Custom1_V)),1,IFERROR(IF(ISNUMBER(SEARCH("|"&amp;INDEX(INDIRECT(F_Custom1_resolved_column),2191)&amp;"|",F_Custom1_wrapped)),1,0),0))</f>
        <v>1</v>
      </c>
      <c r="E2192">
        <f>IF(OR(F_Custom2_Q="(None)",F_Custom2_Q="",ISBLANK(F_Custom2_Q),F_Custom2_V="(All)",F_Custom2_V="",ISBLANK(F_Custom2_V)),1,IFERROR(IF(ISNUMBER(SEARCH("|"&amp;INDEX(INDIRECT(F_Custom2_resolved_column),2191)&amp;"|",F_Custom2_wrapped)),1,0),0))</f>
        <v>1</v>
      </c>
      <c r="F2192">
        <f>D2192*E2192*1</f>
        <v>1</v>
      </c>
      <c r="G2192">
        <f>1</f>
        <v>1</v>
      </c>
      <c r="H21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2191)&amp;"|",All_Questions_Q_STREAM_F_wrapped)),1,0),0))*1</f>
        <v>1</v>
      </c>
    </row>
    <row r="2193">
      <c r="A2193" t="n">
        <v>2192</v>
      </c>
      <c r="B2193" t="inlineStr">
        <is>
          <t>B</t>
        </is>
      </c>
      <c r="C2193">
        <f>1</f>
        <v>1</v>
      </c>
      <c r="D2193">
        <f>IF(OR(F_Custom1_Q="(None)",F_Custom1_Q="",ISBLANK(F_Custom1_Q),F_Custom1_V="(All)",F_Custom1_V="",ISBLANK(F_Custom1_V)),1,IFERROR(IF(ISNUMBER(SEARCH("|"&amp;INDEX(INDIRECT(F_Custom1_resolved_column),2192)&amp;"|",F_Custom1_wrapped)),1,0),0))</f>
        <v>1</v>
      </c>
      <c r="E2193">
        <f>IF(OR(F_Custom2_Q="(None)",F_Custom2_Q="",ISBLANK(F_Custom2_Q),F_Custom2_V="(All)",F_Custom2_V="",ISBLANK(F_Custom2_V)),1,IFERROR(IF(ISNUMBER(SEARCH("|"&amp;INDEX(INDIRECT(F_Custom2_resolved_column),2192)&amp;"|",F_Custom2_wrapped)),1,0),0))</f>
        <v>1</v>
      </c>
      <c r="F2193">
        <f>D2193*E2193*1</f>
        <v>1</v>
      </c>
      <c r="G2193">
        <f>1</f>
        <v>1</v>
      </c>
      <c r="H21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2192)&amp;"|",All_Questions_Q_STREAM_F_wrapped)),1,0),0))*1</f>
        <v>1</v>
      </c>
    </row>
    <row r="2194">
      <c r="A2194" t="n">
        <v>2193</v>
      </c>
      <c r="B2194" t="inlineStr">
        <is>
          <t>A</t>
        </is>
      </c>
      <c r="C2194">
        <f>1</f>
        <v>1</v>
      </c>
      <c r="D2194">
        <f>IF(OR(F_Custom1_Q="(None)",F_Custom1_Q="",ISBLANK(F_Custom1_Q),F_Custom1_V="(All)",F_Custom1_V="",ISBLANK(F_Custom1_V)),1,IFERROR(IF(ISNUMBER(SEARCH("|"&amp;INDEX(INDIRECT(F_Custom1_resolved_column),2193)&amp;"|",F_Custom1_wrapped)),1,0),0))</f>
        <v>1</v>
      </c>
      <c r="E2194">
        <f>IF(OR(F_Custom2_Q="(None)",F_Custom2_Q="",ISBLANK(F_Custom2_Q),F_Custom2_V="(All)",F_Custom2_V="",ISBLANK(F_Custom2_V)),1,IFERROR(IF(ISNUMBER(SEARCH("|"&amp;INDEX(INDIRECT(F_Custom2_resolved_column),2193)&amp;"|",F_Custom2_wrapped)),1,0),0))</f>
        <v>1</v>
      </c>
      <c r="F2194">
        <f>D2194*E2194*1</f>
        <v>1</v>
      </c>
      <c r="G2194">
        <f>1</f>
        <v>1</v>
      </c>
      <c r="H21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2193)&amp;"|",All_Questions_Q_STREAM_F_wrapped)),1,0),0))*1</f>
        <v>1</v>
      </c>
    </row>
    <row r="2195">
      <c r="A2195" t="n">
        <v>2194</v>
      </c>
      <c r="B2195" t="inlineStr">
        <is>
          <t>B</t>
        </is>
      </c>
      <c r="C2195">
        <f>1</f>
        <v>1</v>
      </c>
      <c r="D2195">
        <f>IF(OR(F_Custom1_Q="(None)",F_Custom1_Q="",ISBLANK(F_Custom1_Q),F_Custom1_V="(All)",F_Custom1_V="",ISBLANK(F_Custom1_V)),1,IFERROR(IF(ISNUMBER(SEARCH("|"&amp;INDEX(INDIRECT(F_Custom1_resolved_column),2194)&amp;"|",F_Custom1_wrapped)),1,0),0))</f>
        <v>1</v>
      </c>
      <c r="E2195">
        <f>IF(OR(F_Custom2_Q="(None)",F_Custom2_Q="",ISBLANK(F_Custom2_Q),F_Custom2_V="(All)",F_Custom2_V="",ISBLANK(F_Custom2_V)),1,IFERROR(IF(ISNUMBER(SEARCH("|"&amp;INDEX(INDIRECT(F_Custom2_resolved_column),2194)&amp;"|",F_Custom2_wrapped)),1,0),0))</f>
        <v>1</v>
      </c>
      <c r="F2195">
        <f>D2195*E2195*1</f>
        <v>1</v>
      </c>
      <c r="G2195">
        <f>1</f>
        <v>1</v>
      </c>
      <c r="H21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2194)&amp;"|",All_Questions_Q_STREAM_F_wrapped)),1,0),0))*1</f>
        <v>1</v>
      </c>
    </row>
    <row r="2196">
      <c r="A2196" t="n">
        <v>2195</v>
      </c>
      <c r="B2196" t="inlineStr">
        <is>
          <t>A</t>
        </is>
      </c>
      <c r="C2196">
        <f>1</f>
        <v>1</v>
      </c>
      <c r="D2196">
        <f>IF(OR(F_Custom1_Q="(None)",F_Custom1_Q="",ISBLANK(F_Custom1_Q),F_Custom1_V="(All)",F_Custom1_V="",ISBLANK(F_Custom1_V)),1,IFERROR(IF(ISNUMBER(SEARCH("|"&amp;INDEX(INDIRECT(F_Custom1_resolved_column),2195)&amp;"|",F_Custom1_wrapped)),1,0),0))</f>
        <v>1</v>
      </c>
      <c r="E2196">
        <f>IF(OR(F_Custom2_Q="(None)",F_Custom2_Q="",ISBLANK(F_Custom2_Q),F_Custom2_V="(All)",F_Custom2_V="",ISBLANK(F_Custom2_V)),1,IFERROR(IF(ISNUMBER(SEARCH("|"&amp;INDEX(INDIRECT(F_Custom2_resolved_column),2195)&amp;"|",F_Custom2_wrapped)),1,0),0))</f>
        <v>1</v>
      </c>
      <c r="F2196">
        <f>D2196*E2196*1</f>
        <v>1</v>
      </c>
      <c r="G2196">
        <f>1</f>
        <v>1</v>
      </c>
      <c r="H21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2195)&amp;"|",All_Questions_Q_STREAM_F_wrapped)),1,0),0))*1</f>
        <v>1</v>
      </c>
    </row>
    <row r="2197">
      <c r="A2197" t="n">
        <v>2196</v>
      </c>
      <c r="B2197" t="inlineStr">
        <is>
          <t>B</t>
        </is>
      </c>
      <c r="C2197">
        <f>1</f>
        <v>1</v>
      </c>
      <c r="D2197">
        <f>IF(OR(F_Custom1_Q="(None)",F_Custom1_Q="",ISBLANK(F_Custom1_Q),F_Custom1_V="(All)",F_Custom1_V="",ISBLANK(F_Custom1_V)),1,IFERROR(IF(ISNUMBER(SEARCH("|"&amp;INDEX(INDIRECT(F_Custom1_resolved_column),2196)&amp;"|",F_Custom1_wrapped)),1,0),0))</f>
        <v>1</v>
      </c>
      <c r="E2197">
        <f>IF(OR(F_Custom2_Q="(None)",F_Custom2_Q="",ISBLANK(F_Custom2_Q),F_Custom2_V="(All)",F_Custom2_V="",ISBLANK(F_Custom2_V)),1,IFERROR(IF(ISNUMBER(SEARCH("|"&amp;INDEX(INDIRECT(F_Custom2_resolved_column),2196)&amp;"|",F_Custom2_wrapped)),1,0),0))</f>
        <v>1</v>
      </c>
      <c r="F2197">
        <f>D2197*E2197*1</f>
        <v>1</v>
      </c>
      <c r="G2197">
        <f>1</f>
        <v>1</v>
      </c>
      <c r="H21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2196)&amp;"|",All_Questions_Q_STREAM_F_wrapped)),1,0),0))*1</f>
        <v>1</v>
      </c>
    </row>
    <row r="2198">
      <c r="A2198" t="n">
        <v>2197</v>
      </c>
      <c r="B2198" t="inlineStr">
        <is>
          <t>A</t>
        </is>
      </c>
      <c r="C2198">
        <f>1</f>
        <v>1</v>
      </c>
      <c r="D2198">
        <f>IF(OR(F_Custom1_Q="(None)",F_Custom1_Q="",ISBLANK(F_Custom1_Q),F_Custom1_V="(All)",F_Custom1_V="",ISBLANK(F_Custom1_V)),1,IFERROR(IF(ISNUMBER(SEARCH("|"&amp;INDEX(INDIRECT(F_Custom1_resolved_column),2197)&amp;"|",F_Custom1_wrapped)),1,0),0))</f>
        <v>1</v>
      </c>
      <c r="E2198">
        <f>IF(OR(F_Custom2_Q="(None)",F_Custom2_Q="",ISBLANK(F_Custom2_Q),F_Custom2_V="(All)",F_Custom2_V="",ISBLANK(F_Custom2_V)),1,IFERROR(IF(ISNUMBER(SEARCH("|"&amp;INDEX(INDIRECT(F_Custom2_resolved_column),2197)&amp;"|",F_Custom2_wrapped)),1,0),0))</f>
        <v>1</v>
      </c>
      <c r="F2198">
        <f>D2198*E2198*1</f>
        <v>1</v>
      </c>
      <c r="G2198">
        <f>1</f>
        <v>1</v>
      </c>
      <c r="H21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2197)&amp;"|",All_Questions_Q_STREAM_F_wrapped)),1,0),0))*1</f>
        <v>1</v>
      </c>
    </row>
    <row r="2199">
      <c r="A2199" t="n">
        <v>2198</v>
      </c>
      <c r="B2199" t="inlineStr">
        <is>
          <t>B</t>
        </is>
      </c>
      <c r="C2199">
        <f>1</f>
        <v>1</v>
      </c>
      <c r="D2199">
        <f>IF(OR(F_Custom1_Q="(None)",F_Custom1_Q="",ISBLANK(F_Custom1_Q),F_Custom1_V="(All)",F_Custom1_V="",ISBLANK(F_Custom1_V)),1,IFERROR(IF(ISNUMBER(SEARCH("|"&amp;INDEX(INDIRECT(F_Custom1_resolved_column),2198)&amp;"|",F_Custom1_wrapped)),1,0),0))</f>
        <v>1</v>
      </c>
      <c r="E2199">
        <f>IF(OR(F_Custom2_Q="(None)",F_Custom2_Q="",ISBLANK(F_Custom2_Q),F_Custom2_V="(All)",F_Custom2_V="",ISBLANK(F_Custom2_V)),1,IFERROR(IF(ISNUMBER(SEARCH("|"&amp;INDEX(INDIRECT(F_Custom2_resolved_column),2198)&amp;"|",F_Custom2_wrapped)),1,0),0))</f>
        <v>1</v>
      </c>
      <c r="F2199">
        <f>D2199*E2199*1</f>
        <v>1</v>
      </c>
      <c r="G2199">
        <f>1</f>
        <v>1</v>
      </c>
      <c r="H21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2198)&amp;"|",All_Questions_Q_STREAM_F_wrapped)),1,0),0))*1</f>
        <v>1</v>
      </c>
    </row>
    <row r="2200">
      <c r="A2200" t="n">
        <v>2199</v>
      </c>
      <c r="B2200" t="inlineStr">
        <is>
          <t>A</t>
        </is>
      </c>
      <c r="C2200">
        <f>1</f>
        <v>1</v>
      </c>
      <c r="D2200">
        <f>IF(OR(F_Custom1_Q="(None)",F_Custom1_Q="",ISBLANK(F_Custom1_Q),F_Custom1_V="(All)",F_Custom1_V="",ISBLANK(F_Custom1_V)),1,IFERROR(IF(ISNUMBER(SEARCH("|"&amp;INDEX(INDIRECT(F_Custom1_resolved_column),2199)&amp;"|",F_Custom1_wrapped)),1,0),0))</f>
        <v>1</v>
      </c>
      <c r="E2200">
        <f>IF(OR(F_Custom2_Q="(None)",F_Custom2_Q="",ISBLANK(F_Custom2_Q),F_Custom2_V="(All)",F_Custom2_V="",ISBLANK(F_Custom2_V)),1,IFERROR(IF(ISNUMBER(SEARCH("|"&amp;INDEX(INDIRECT(F_Custom2_resolved_column),2199)&amp;"|",F_Custom2_wrapped)),1,0),0))</f>
        <v>1</v>
      </c>
      <c r="F2200">
        <f>D2200*E2200*1</f>
        <v>1</v>
      </c>
      <c r="G2200">
        <f>1</f>
        <v>1</v>
      </c>
      <c r="H22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2199)&amp;"|",All_Questions_Q_STREAM_F_wrapped)),1,0),0))*1</f>
        <v>1</v>
      </c>
    </row>
    <row r="2201">
      <c r="A2201" t="n">
        <v>2200</v>
      </c>
      <c r="B2201" t="inlineStr">
        <is>
          <t>B</t>
        </is>
      </c>
      <c r="C2201">
        <f>1</f>
        <v>1</v>
      </c>
      <c r="D2201">
        <f>IF(OR(F_Custom1_Q="(None)",F_Custom1_Q="",ISBLANK(F_Custom1_Q),F_Custom1_V="(All)",F_Custom1_V="",ISBLANK(F_Custom1_V)),1,IFERROR(IF(ISNUMBER(SEARCH("|"&amp;INDEX(INDIRECT(F_Custom1_resolved_column),2200)&amp;"|",F_Custom1_wrapped)),1,0),0))</f>
        <v>1</v>
      </c>
      <c r="E2201">
        <f>IF(OR(F_Custom2_Q="(None)",F_Custom2_Q="",ISBLANK(F_Custom2_Q),F_Custom2_V="(All)",F_Custom2_V="",ISBLANK(F_Custom2_V)),1,IFERROR(IF(ISNUMBER(SEARCH("|"&amp;INDEX(INDIRECT(F_Custom2_resolved_column),2200)&amp;"|",F_Custom2_wrapped)),1,0),0))</f>
        <v>1</v>
      </c>
      <c r="F2201">
        <f>D2201*E2201*1</f>
        <v>1</v>
      </c>
      <c r="G2201">
        <f>1</f>
        <v>1</v>
      </c>
      <c r="H22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2200)&amp;"|",All_Questions_Q_STREAM_F_wrapped)),1,0),0))*1</f>
        <v>1</v>
      </c>
    </row>
    <row r="2202">
      <c r="A2202" t="n">
        <v>2201</v>
      </c>
      <c r="B2202" t="inlineStr">
        <is>
          <t>A</t>
        </is>
      </c>
      <c r="C2202">
        <f>1</f>
        <v>1</v>
      </c>
      <c r="D2202">
        <f>IF(OR(F_Custom1_Q="(None)",F_Custom1_Q="",ISBLANK(F_Custom1_Q),F_Custom1_V="(All)",F_Custom1_V="",ISBLANK(F_Custom1_V)),1,IFERROR(IF(ISNUMBER(SEARCH("|"&amp;INDEX(INDIRECT(F_Custom1_resolved_column),2201)&amp;"|",F_Custom1_wrapped)),1,0),0))</f>
        <v>1</v>
      </c>
      <c r="E2202">
        <f>IF(OR(F_Custom2_Q="(None)",F_Custom2_Q="",ISBLANK(F_Custom2_Q),F_Custom2_V="(All)",F_Custom2_V="",ISBLANK(F_Custom2_V)),1,IFERROR(IF(ISNUMBER(SEARCH("|"&amp;INDEX(INDIRECT(F_Custom2_resolved_column),2201)&amp;"|",F_Custom2_wrapped)),1,0),0))</f>
        <v>1</v>
      </c>
      <c r="F2202">
        <f>D2202*E2202*1</f>
        <v>1</v>
      </c>
      <c r="G2202">
        <f>1</f>
        <v>1</v>
      </c>
      <c r="H22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2201)&amp;"|",All_Questions_Q_STREAM_F_wrapped)),1,0),0))*1</f>
        <v>1</v>
      </c>
    </row>
    <row r="2203">
      <c r="A2203" t="n">
        <v>2202</v>
      </c>
      <c r="B2203" t="inlineStr">
        <is>
          <t>B</t>
        </is>
      </c>
      <c r="C2203">
        <f>1</f>
        <v>1</v>
      </c>
      <c r="D2203">
        <f>IF(OR(F_Custom1_Q="(None)",F_Custom1_Q="",ISBLANK(F_Custom1_Q),F_Custom1_V="(All)",F_Custom1_V="",ISBLANK(F_Custom1_V)),1,IFERROR(IF(ISNUMBER(SEARCH("|"&amp;INDEX(INDIRECT(F_Custom1_resolved_column),2202)&amp;"|",F_Custom1_wrapped)),1,0),0))</f>
        <v>1</v>
      </c>
      <c r="E2203">
        <f>IF(OR(F_Custom2_Q="(None)",F_Custom2_Q="",ISBLANK(F_Custom2_Q),F_Custom2_V="(All)",F_Custom2_V="",ISBLANK(F_Custom2_V)),1,IFERROR(IF(ISNUMBER(SEARCH("|"&amp;INDEX(INDIRECT(F_Custom2_resolved_column),2202)&amp;"|",F_Custom2_wrapped)),1,0),0))</f>
        <v>1</v>
      </c>
      <c r="F2203">
        <f>D2203*E2203*1</f>
        <v>1</v>
      </c>
      <c r="G2203">
        <f>1</f>
        <v>1</v>
      </c>
      <c r="H22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2202)&amp;"|",All_Questions_Q_STREAM_F_wrapped)),1,0),0))*1</f>
        <v>1</v>
      </c>
    </row>
    <row r="2204">
      <c r="A2204" t="n">
        <v>2203</v>
      </c>
      <c r="B2204" t="inlineStr">
        <is>
          <t>A</t>
        </is>
      </c>
      <c r="C2204">
        <f>1</f>
        <v>1</v>
      </c>
      <c r="D2204">
        <f>IF(OR(F_Custom1_Q="(None)",F_Custom1_Q="",ISBLANK(F_Custom1_Q),F_Custom1_V="(All)",F_Custom1_V="",ISBLANK(F_Custom1_V)),1,IFERROR(IF(ISNUMBER(SEARCH("|"&amp;INDEX(INDIRECT(F_Custom1_resolved_column),2203)&amp;"|",F_Custom1_wrapped)),1,0),0))</f>
        <v>1</v>
      </c>
      <c r="E2204">
        <f>IF(OR(F_Custom2_Q="(None)",F_Custom2_Q="",ISBLANK(F_Custom2_Q),F_Custom2_V="(All)",F_Custom2_V="",ISBLANK(F_Custom2_V)),1,IFERROR(IF(ISNUMBER(SEARCH("|"&amp;INDEX(INDIRECT(F_Custom2_resolved_column),2203)&amp;"|",F_Custom2_wrapped)),1,0),0))</f>
        <v>1</v>
      </c>
      <c r="F2204">
        <f>D2204*E2204*1</f>
        <v>1</v>
      </c>
      <c r="G2204">
        <f>1</f>
        <v>1</v>
      </c>
      <c r="H22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2203)&amp;"|",All_Questions_Q_STREAM_F_wrapped)),1,0),0))*1</f>
        <v>1</v>
      </c>
    </row>
    <row r="2205">
      <c r="A2205" t="n">
        <v>2204</v>
      </c>
      <c r="B2205" t="inlineStr">
        <is>
          <t>B</t>
        </is>
      </c>
      <c r="C2205">
        <f>1</f>
        <v>1</v>
      </c>
      <c r="D2205">
        <f>IF(OR(F_Custom1_Q="(None)",F_Custom1_Q="",ISBLANK(F_Custom1_Q),F_Custom1_V="(All)",F_Custom1_V="",ISBLANK(F_Custom1_V)),1,IFERROR(IF(ISNUMBER(SEARCH("|"&amp;INDEX(INDIRECT(F_Custom1_resolved_column),2204)&amp;"|",F_Custom1_wrapped)),1,0),0))</f>
        <v>1</v>
      </c>
      <c r="E2205">
        <f>IF(OR(F_Custom2_Q="(None)",F_Custom2_Q="",ISBLANK(F_Custom2_Q),F_Custom2_V="(All)",F_Custom2_V="",ISBLANK(F_Custom2_V)),1,IFERROR(IF(ISNUMBER(SEARCH("|"&amp;INDEX(INDIRECT(F_Custom2_resolved_column),2204)&amp;"|",F_Custom2_wrapped)),1,0),0))</f>
        <v>1</v>
      </c>
      <c r="F2205">
        <f>D2205*E2205*1</f>
        <v>1</v>
      </c>
      <c r="G2205">
        <f>1</f>
        <v>1</v>
      </c>
      <c r="H22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2204)&amp;"|",All_Questions_Q_STREAM_F_wrapped)),1,0),0))*1</f>
        <v>1</v>
      </c>
    </row>
    <row r="2206">
      <c r="A2206" t="n">
        <v>2205</v>
      </c>
      <c r="B2206" t="inlineStr">
        <is>
          <t>A</t>
        </is>
      </c>
      <c r="C2206">
        <f>1</f>
        <v>1</v>
      </c>
      <c r="D2206">
        <f>IF(OR(F_Custom1_Q="(None)",F_Custom1_Q="",ISBLANK(F_Custom1_Q),F_Custom1_V="(All)",F_Custom1_V="",ISBLANK(F_Custom1_V)),1,IFERROR(IF(ISNUMBER(SEARCH("|"&amp;INDEX(INDIRECT(F_Custom1_resolved_column),2205)&amp;"|",F_Custom1_wrapped)),1,0),0))</f>
        <v>1</v>
      </c>
      <c r="E2206">
        <f>IF(OR(F_Custom2_Q="(None)",F_Custom2_Q="",ISBLANK(F_Custom2_Q),F_Custom2_V="(All)",F_Custom2_V="",ISBLANK(F_Custom2_V)),1,IFERROR(IF(ISNUMBER(SEARCH("|"&amp;INDEX(INDIRECT(F_Custom2_resolved_column),2205)&amp;"|",F_Custom2_wrapped)),1,0),0))</f>
        <v>1</v>
      </c>
      <c r="F2206">
        <f>D2206*E2206*1</f>
        <v>1</v>
      </c>
      <c r="G2206">
        <f>1</f>
        <v>1</v>
      </c>
      <c r="H22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2205)&amp;"|",All_Questions_Q_STREAM_F_wrapped)),1,0),0))*1</f>
        <v>1</v>
      </c>
    </row>
    <row r="2207">
      <c r="A2207" t="n">
        <v>2206</v>
      </c>
      <c r="B2207" t="inlineStr">
        <is>
          <t>B</t>
        </is>
      </c>
      <c r="C2207">
        <f>1</f>
        <v>1</v>
      </c>
      <c r="D2207">
        <f>IF(OR(F_Custom1_Q="(None)",F_Custom1_Q="",ISBLANK(F_Custom1_Q),F_Custom1_V="(All)",F_Custom1_V="",ISBLANK(F_Custom1_V)),1,IFERROR(IF(ISNUMBER(SEARCH("|"&amp;INDEX(INDIRECT(F_Custom1_resolved_column),2206)&amp;"|",F_Custom1_wrapped)),1,0),0))</f>
        <v>1</v>
      </c>
      <c r="E2207">
        <f>IF(OR(F_Custom2_Q="(None)",F_Custom2_Q="",ISBLANK(F_Custom2_Q),F_Custom2_V="(All)",F_Custom2_V="",ISBLANK(F_Custom2_V)),1,IFERROR(IF(ISNUMBER(SEARCH("|"&amp;INDEX(INDIRECT(F_Custom2_resolved_column),2206)&amp;"|",F_Custom2_wrapped)),1,0),0))</f>
        <v>1</v>
      </c>
      <c r="F2207">
        <f>D2207*E2207*1</f>
        <v>1</v>
      </c>
      <c r="G2207">
        <f>1</f>
        <v>1</v>
      </c>
      <c r="H22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2206)&amp;"|",All_Questions_Q_STREAM_F_wrapped)),1,0),0))*1</f>
        <v>1</v>
      </c>
    </row>
    <row r="2208">
      <c r="A2208" t="n">
        <v>2207</v>
      </c>
      <c r="B2208" t="inlineStr">
        <is>
          <t>A</t>
        </is>
      </c>
      <c r="C2208">
        <f>1</f>
        <v>1</v>
      </c>
      <c r="D2208">
        <f>IF(OR(F_Custom1_Q="(None)",F_Custom1_Q="",ISBLANK(F_Custom1_Q),F_Custom1_V="(All)",F_Custom1_V="",ISBLANK(F_Custom1_V)),1,IFERROR(IF(ISNUMBER(SEARCH("|"&amp;INDEX(INDIRECT(F_Custom1_resolved_column),2207)&amp;"|",F_Custom1_wrapped)),1,0),0))</f>
        <v>1</v>
      </c>
      <c r="E2208">
        <f>IF(OR(F_Custom2_Q="(None)",F_Custom2_Q="",ISBLANK(F_Custom2_Q),F_Custom2_V="(All)",F_Custom2_V="",ISBLANK(F_Custom2_V)),1,IFERROR(IF(ISNUMBER(SEARCH("|"&amp;INDEX(INDIRECT(F_Custom2_resolved_column),2207)&amp;"|",F_Custom2_wrapped)),1,0),0))</f>
        <v>1</v>
      </c>
      <c r="F2208">
        <f>D2208*E2208*1</f>
        <v>1</v>
      </c>
      <c r="G2208">
        <f>1</f>
        <v>1</v>
      </c>
      <c r="H22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2207)&amp;"|",All_Questions_Q_STREAM_F_wrapped)),1,0),0))*1</f>
        <v>1</v>
      </c>
    </row>
    <row r="2209">
      <c r="A2209" t="n">
        <v>2208</v>
      </c>
      <c r="B2209" t="inlineStr">
        <is>
          <t>B</t>
        </is>
      </c>
      <c r="C2209">
        <f>1</f>
        <v>1</v>
      </c>
      <c r="D2209">
        <f>IF(OR(F_Custom1_Q="(None)",F_Custom1_Q="",ISBLANK(F_Custom1_Q),F_Custom1_V="(All)",F_Custom1_V="",ISBLANK(F_Custom1_V)),1,IFERROR(IF(ISNUMBER(SEARCH("|"&amp;INDEX(INDIRECT(F_Custom1_resolved_column),2208)&amp;"|",F_Custom1_wrapped)),1,0),0))</f>
        <v>1</v>
      </c>
      <c r="E2209">
        <f>IF(OR(F_Custom2_Q="(None)",F_Custom2_Q="",ISBLANK(F_Custom2_Q),F_Custom2_V="(All)",F_Custom2_V="",ISBLANK(F_Custom2_V)),1,IFERROR(IF(ISNUMBER(SEARCH("|"&amp;INDEX(INDIRECT(F_Custom2_resolved_column),2208)&amp;"|",F_Custom2_wrapped)),1,0),0))</f>
        <v>1</v>
      </c>
      <c r="F2209">
        <f>D2209*E2209*1</f>
        <v>1</v>
      </c>
      <c r="G2209">
        <f>1</f>
        <v>1</v>
      </c>
      <c r="H22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2208)&amp;"|",All_Questions_Q_STREAM_F_wrapped)),1,0),0))*1</f>
        <v>1</v>
      </c>
    </row>
    <row r="2210">
      <c r="A2210" t="n">
        <v>2209</v>
      </c>
      <c r="B2210" t="inlineStr">
        <is>
          <t>A</t>
        </is>
      </c>
      <c r="C2210">
        <f>1</f>
        <v>1</v>
      </c>
      <c r="D2210">
        <f>IF(OR(F_Custom1_Q="(None)",F_Custom1_Q="",ISBLANK(F_Custom1_Q),F_Custom1_V="(All)",F_Custom1_V="",ISBLANK(F_Custom1_V)),1,IFERROR(IF(ISNUMBER(SEARCH("|"&amp;INDEX(INDIRECT(F_Custom1_resolved_column),2209)&amp;"|",F_Custom1_wrapped)),1,0),0))</f>
        <v>1</v>
      </c>
      <c r="E2210">
        <f>IF(OR(F_Custom2_Q="(None)",F_Custom2_Q="",ISBLANK(F_Custom2_Q),F_Custom2_V="(All)",F_Custom2_V="",ISBLANK(F_Custom2_V)),1,IFERROR(IF(ISNUMBER(SEARCH("|"&amp;INDEX(INDIRECT(F_Custom2_resolved_column),2209)&amp;"|",F_Custom2_wrapped)),1,0),0))</f>
        <v>1</v>
      </c>
      <c r="F2210">
        <f>D2210*E2210*1</f>
        <v>1</v>
      </c>
      <c r="G2210">
        <f>1</f>
        <v>1</v>
      </c>
      <c r="H22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2209)&amp;"|",All_Questions_Q_STREAM_F_wrapped)),1,0),0))*1</f>
        <v>1</v>
      </c>
    </row>
    <row r="2211">
      <c r="A2211" t="n">
        <v>2210</v>
      </c>
      <c r="B2211" t="inlineStr">
        <is>
          <t>B</t>
        </is>
      </c>
      <c r="C2211">
        <f>1</f>
        <v>1</v>
      </c>
      <c r="D2211">
        <f>IF(OR(F_Custom1_Q="(None)",F_Custom1_Q="",ISBLANK(F_Custom1_Q),F_Custom1_V="(All)",F_Custom1_V="",ISBLANK(F_Custom1_V)),1,IFERROR(IF(ISNUMBER(SEARCH("|"&amp;INDEX(INDIRECT(F_Custom1_resolved_column),2210)&amp;"|",F_Custom1_wrapped)),1,0),0))</f>
        <v>1</v>
      </c>
      <c r="E2211">
        <f>IF(OR(F_Custom2_Q="(None)",F_Custom2_Q="",ISBLANK(F_Custom2_Q),F_Custom2_V="(All)",F_Custom2_V="",ISBLANK(F_Custom2_V)),1,IFERROR(IF(ISNUMBER(SEARCH("|"&amp;INDEX(INDIRECT(F_Custom2_resolved_column),2210)&amp;"|",F_Custom2_wrapped)),1,0),0))</f>
        <v>1</v>
      </c>
      <c r="F2211">
        <f>D2211*E2211*1</f>
        <v>1</v>
      </c>
      <c r="G2211">
        <f>1</f>
        <v>1</v>
      </c>
      <c r="H22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2210)&amp;"|",All_Questions_Q_STREAM_F_wrapped)),1,0),0))*1</f>
        <v>1</v>
      </c>
    </row>
    <row r="2212">
      <c r="A2212" t="n">
        <v>2211</v>
      </c>
      <c r="B2212" t="inlineStr">
        <is>
          <t>A</t>
        </is>
      </c>
      <c r="C2212">
        <f>1</f>
        <v>1</v>
      </c>
      <c r="D2212">
        <f>IF(OR(F_Custom1_Q="(None)",F_Custom1_Q="",ISBLANK(F_Custom1_Q),F_Custom1_V="(All)",F_Custom1_V="",ISBLANK(F_Custom1_V)),1,IFERROR(IF(ISNUMBER(SEARCH("|"&amp;INDEX(INDIRECT(F_Custom1_resolved_column),2211)&amp;"|",F_Custom1_wrapped)),1,0),0))</f>
        <v>1</v>
      </c>
      <c r="E2212">
        <f>IF(OR(F_Custom2_Q="(None)",F_Custom2_Q="",ISBLANK(F_Custom2_Q),F_Custom2_V="(All)",F_Custom2_V="",ISBLANK(F_Custom2_V)),1,IFERROR(IF(ISNUMBER(SEARCH("|"&amp;INDEX(INDIRECT(F_Custom2_resolved_column),2211)&amp;"|",F_Custom2_wrapped)),1,0),0))</f>
        <v>1</v>
      </c>
      <c r="F2212">
        <f>D2212*E2212*1</f>
        <v>1</v>
      </c>
      <c r="G2212">
        <f>1</f>
        <v>1</v>
      </c>
      <c r="H22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2211)&amp;"|",All_Questions_Q_STREAM_F_wrapped)),1,0),0))*1</f>
        <v>1</v>
      </c>
    </row>
    <row r="2213">
      <c r="A2213" t="n">
        <v>2212</v>
      </c>
      <c r="B2213" t="inlineStr">
        <is>
          <t>B</t>
        </is>
      </c>
      <c r="C2213">
        <f>1</f>
        <v>1</v>
      </c>
      <c r="D2213">
        <f>IF(OR(F_Custom1_Q="(None)",F_Custom1_Q="",ISBLANK(F_Custom1_Q),F_Custom1_V="(All)",F_Custom1_V="",ISBLANK(F_Custom1_V)),1,IFERROR(IF(ISNUMBER(SEARCH("|"&amp;INDEX(INDIRECT(F_Custom1_resolved_column),2212)&amp;"|",F_Custom1_wrapped)),1,0),0))</f>
        <v>1</v>
      </c>
      <c r="E2213">
        <f>IF(OR(F_Custom2_Q="(None)",F_Custom2_Q="",ISBLANK(F_Custom2_Q),F_Custom2_V="(All)",F_Custom2_V="",ISBLANK(F_Custom2_V)),1,IFERROR(IF(ISNUMBER(SEARCH("|"&amp;INDEX(INDIRECT(F_Custom2_resolved_column),2212)&amp;"|",F_Custom2_wrapped)),1,0),0))</f>
        <v>1</v>
      </c>
      <c r="F2213">
        <f>D2213*E2213*1</f>
        <v>1</v>
      </c>
      <c r="G2213">
        <f>1</f>
        <v>1</v>
      </c>
      <c r="H22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2212)&amp;"|",All_Questions_Q_STREAM_F_wrapped)),1,0),0))*1</f>
        <v>1</v>
      </c>
    </row>
    <row r="2214">
      <c r="A2214" t="n">
        <v>2213</v>
      </c>
      <c r="B2214" t="inlineStr">
        <is>
          <t>A</t>
        </is>
      </c>
      <c r="C2214">
        <f>1</f>
        <v>1</v>
      </c>
      <c r="D2214">
        <f>IF(OR(F_Custom1_Q="(None)",F_Custom1_Q="",ISBLANK(F_Custom1_Q),F_Custom1_V="(All)",F_Custom1_V="",ISBLANK(F_Custom1_V)),1,IFERROR(IF(ISNUMBER(SEARCH("|"&amp;INDEX(INDIRECT(F_Custom1_resolved_column),2213)&amp;"|",F_Custom1_wrapped)),1,0),0))</f>
        <v>1</v>
      </c>
      <c r="E2214">
        <f>IF(OR(F_Custom2_Q="(None)",F_Custom2_Q="",ISBLANK(F_Custom2_Q),F_Custom2_V="(All)",F_Custom2_V="",ISBLANK(F_Custom2_V)),1,IFERROR(IF(ISNUMBER(SEARCH("|"&amp;INDEX(INDIRECT(F_Custom2_resolved_column),2213)&amp;"|",F_Custom2_wrapped)),1,0),0))</f>
        <v>1</v>
      </c>
      <c r="F2214">
        <f>D2214*E2214*1</f>
        <v>1</v>
      </c>
      <c r="G2214">
        <f>1</f>
        <v>1</v>
      </c>
      <c r="H22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2213)&amp;"|",All_Questions_Q_STREAM_F_wrapped)),1,0),0))*1</f>
        <v>1</v>
      </c>
    </row>
    <row r="2215">
      <c r="A2215" t="n">
        <v>2214</v>
      </c>
      <c r="B2215" t="inlineStr">
        <is>
          <t>B</t>
        </is>
      </c>
      <c r="C2215">
        <f>1</f>
        <v>1</v>
      </c>
      <c r="D2215">
        <f>IF(OR(F_Custom1_Q="(None)",F_Custom1_Q="",ISBLANK(F_Custom1_Q),F_Custom1_V="(All)",F_Custom1_V="",ISBLANK(F_Custom1_V)),1,IFERROR(IF(ISNUMBER(SEARCH("|"&amp;INDEX(INDIRECT(F_Custom1_resolved_column),2214)&amp;"|",F_Custom1_wrapped)),1,0),0))</f>
        <v>1</v>
      </c>
      <c r="E2215">
        <f>IF(OR(F_Custom2_Q="(None)",F_Custom2_Q="",ISBLANK(F_Custom2_Q),F_Custom2_V="(All)",F_Custom2_V="",ISBLANK(F_Custom2_V)),1,IFERROR(IF(ISNUMBER(SEARCH("|"&amp;INDEX(INDIRECT(F_Custom2_resolved_column),2214)&amp;"|",F_Custom2_wrapped)),1,0),0))</f>
        <v>1</v>
      </c>
      <c r="F2215">
        <f>D2215*E2215*1</f>
        <v>1</v>
      </c>
      <c r="G2215">
        <f>1</f>
        <v>1</v>
      </c>
      <c r="H22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2214)&amp;"|",All_Questions_Q_STREAM_F_wrapped)),1,0),0))*1</f>
        <v>1</v>
      </c>
    </row>
    <row r="2216">
      <c r="A2216" t="n">
        <v>2215</v>
      </c>
      <c r="B2216" t="inlineStr">
        <is>
          <t>A</t>
        </is>
      </c>
      <c r="C2216">
        <f>1</f>
        <v>1</v>
      </c>
      <c r="D2216">
        <f>IF(OR(F_Custom1_Q="(None)",F_Custom1_Q="",ISBLANK(F_Custom1_Q),F_Custom1_V="(All)",F_Custom1_V="",ISBLANK(F_Custom1_V)),1,IFERROR(IF(ISNUMBER(SEARCH("|"&amp;INDEX(INDIRECT(F_Custom1_resolved_column),2215)&amp;"|",F_Custom1_wrapped)),1,0),0))</f>
        <v>1</v>
      </c>
      <c r="E2216">
        <f>IF(OR(F_Custom2_Q="(None)",F_Custom2_Q="",ISBLANK(F_Custom2_Q),F_Custom2_V="(All)",F_Custom2_V="",ISBLANK(F_Custom2_V)),1,IFERROR(IF(ISNUMBER(SEARCH("|"&amp;INDEX(INDIRECT(F_Custom2_resolved_column),2215)&amp;"|",F_Custom2_wrapped)),1,0),0))</f>
        <v>1</v>
      </c>
      <c r="F2216">
        <f>D2216*E2216*1</f>
        <v>1</v>
      </c>
      <c r="G2216">
        <f>1</f>
        <v>1</v>
      </c>
      <c r="H22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2215)&amp;"|",All_Questions_Q_STREAM_F_wrapped)),1,0),0))*1</f>
        <v>1</v>
      </c>
    </row>
    <row r="2217">
      <c r="A2217" t="n">
        <v>2216</v>
      </c>
      <c r="B2217" t="inlineStr">
        <is>
          <t>B</t>
        </is>
      </c>
      <c r="C2217">
        <f>1</f>
        <v>1</v>
      </c>
      <c r="D2217">
        <f>IF(OR(F_Custom1_Q="(None)",F_Custom1_Q="",ISBLANK(F_Custom1_Q),F_Custom1_V="(All)",F_Custom1_V="",ISBLANK(F_Custom1_V)),1,IFERROR(IF(ISNUMBER(SEARCH("|"&amp;INDEX(INDIRECT(F_Custom1_resolved_column),2216)&amp;"|",F_Custom1_wrapped)),1,0),0))</f>
        <v>1</v>
      </c>
      <c r="E2217">
        <f>IF(OR(F_Custom2_Q="(None)",F_Custom2_Q="",ISBLANK(F_Custom2_Q),F_Custom2_V="(All)",F_Custom2_V="",ISBLANK(F_Custom2_V)),1,IFERROR(IF(ISNUMBER(SEARCH("|"&amp;INDEX(INDIRECT(F_Custom2_resolved_column),2216)&amp;"|",F_Custom2_wrapped)),1,0),0))</f>
        <v>1</v>
      </c>
      <c r="F2217">
        <f>D2217*E2217*1</f>
        <v>1</v>
      </c>
      <c r="G2217">
        <f>1</f>
        <v>1</v>
      </c>
      <c r="H22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2216)&amp;"|",All_Questions_Q_STREAM_F_wrapped)),1,0),0))*1</f>
        <v>1</v>
      </c>
    </row>
    <row r="2218">
      <c r="A2218" t="n">
        <v>2217</v>
      </c>
      <c r="B2218" t="inlineStr">
        <is>
          <t>A</t>
        </is>
      </c>
      <c r="C2218">
        <f>1</f>
        <v>1</v>
      </c>
      <c r="D2218">
        <f>IF(OR(F_Custom1_Q="(None)",F_Custom1_Q="",ISBLANK(F_Custom1_Q),F_Custom1_V="(All)",F_Custom1_V="",ISBLANK(F_Custom1_V)),1,IFERROR(IF(ISNUMBER(SEARCH("|"&amp;INDEX(INDIRECT(F_Custom1_resolved_column),2217)&amp;"|",F_Custom1_wrapped)),1,0),0))</f>
        <v>1</v>
      </c>
      <c r="E2218">
        <f>IF(OR(F_Custom2_Q="(None)",F_Custom2_Q="",ISBLANK(F_Custom2_Q),F_Custom2_V="(All)",F_Custom2_V="",ISBLANK(F_Custom2_V)),1,IFERROR(IF(ISNUMBER(SEARCH("|"&amp;INDEX(INDIRECT(F_Custom2_resolved_column),2217)&amp;"|",F_Custom2_wrapped)),1,0),0))</f>
        <v>1</v>
      </c>
      <c r="F2218">
        <f>D2218*E2218*1</f>
        <v>1</v>
      </c>
      <c r="G2218">
        <f>1</f>
        <v>1</v>
      </c>
      <c r="H22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2217)&amp;"|",All_Questions_Q_STREAM_F_wrapped)),1,0),0))*1</f>
        <v>1</v>
      </c>
    </row>
    <row r="2219">
      <c r="A2219" t="n">
        <v>2218</v>
      </c>
      <c r="B2219" t="inlineStr">
        <is>
          <t>B</t>
        </is>
      </c>
      <c r="C2219">
        <f>1</f>
        <v>1</v>
      </c>
      <c r="D2219">
        <f>IF(OR(F_Custom1_Q="(None)",F_Custom1_Q="",ISBLANK(F_Custom1_Q),F_Custom1_V="(All)",F_Custom1_V="",ISBLANK(F_Custom1_V)),1,IFERROR(IF(ISNUMBER(SEARCH("|"&amp;INDEX(INDIRECT(F_Custom1_resolved_column),2218)&amp;"|",F_Custom1_wrapped)),1,0),0))</f>
        <v>1</v>
      </c>
      <c r="E2219">
        <f>IF(OR(F_Custom2_Q="(None)",F_Custom2_Q="",ISBLANK(F_Custom2_Q),F_Custom2_V="(All)",F_Custom2_V="",ISBLANK(F_Custom2_V)),1,IFERROR(IF(ISNUMBER(SEARCH("|"&amp;INDEX(INDIRECT(F_Custom2_resolved_column),2218)&amp;"|",F_Custom2_wrapped)),1,0),0))</f>
        <v>1</v>
      </c>
      <c r="F2219">
        <f>D2219*E2219*1</f>
        <v>1</v>
      </c>
      <c r="G2219">
        <f>1</f>
        <v>1</v>
      </c>
      <c r="H22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2218)&amp;"|",All_Questions_Q_STREAM_F_wrapped)),1,0),0))*1</f>
        <v>1</v>
      </c>
    </row>
    <row r="2220">
      <c r="A2220" t="n">
        <v>2219</v>
      </c>
      <c r="B2220" t="inlineStr">
        <is>
          <t>A</t>
        </is>
      </c>
      <c r="C2220">
        <f>1</f>
        <v>1</v>
      </c>
      <c r="D2220">
        <f>IF(OR(F_Custom1_Q="(None)",F_Custom1_Q="",ISBLANK(F_Custom1_Q),F_Custom1_V="(All)",F_Custom1_V="",ISBLANK(F_Custom1_V)),1,IFERROR(IF(ISNUMBER(SEARCH("|"&amp;INDEX(INDIRECT(F_Custom1_resolved_column),2219)&amp;"|",F_Custom1_wrapped)),1,0),0))</f>
        <v>1</v>
      </c>
      <c r="E2220">
        <f>IF(OR(F_Custom2_Q="(None)",F_Custom2_Q="",ISBLANK(F_Custom2_Q),F_Custom2_V="(All)",F_Custom2_V="",ISBLANK(F_Custom2_V)),1,IFERROR(IF(ISNUMBER(SEARCH("|"&amp;INDEX(INDIRECT(F_Custom2_resolved_column),2219)&amp;"|",F_Custom2_wrapped)),1,0),0))</f>
        <v>1</v>
      </c>
      <c r="F2220">
        <f>D2220*E2220*1</f>
        <v>1</v>
      </c>
      <c r="G2220">
        <f>1</f>
        <v>1</v>
      </c>
      <c r="H22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2219)&amp;"|",All_Questions_Q_STREAM_F_wrapped)),1,0),0))*1</f>
        <v>1</v>
      </c>
    </row>
    <row r="2221">
      <c r="A2221" t="n">
        <v>2220</v>
      </c>
      <c r="B2221" t="inlineStr">
        <is>
          <t>B</t>
        </is>
      </c>
      <c r="C2221">
        <f>1</f>
        <v>1</v>
      </c>
      <c r="D2221">
        <f>IF(OR(F_Custom1_Q="(None)",F_Custom1_Q="",ISBLANK(F_Custom1_Q),F_Custom1_V="(All)",F_Custom1_V="",ISBLANK(F_Custom1_V)),1,IFERROR(IF(ISNUMBER(SEARCH("|"&amp;INDEX(INDIRECT(F_Custom1_resolved_column),2220)&amp;"|",F_Custom1_wrapped)),1,0),0))</f>
        <v>1</v>
      </c>
      <c r="E2221">
        <f>IF(OR(F_Custom2_Q="(None)",F_Custom2_Q="",ISBLANK(F_Custom2_Q),F_Custom2_V="(All)",F_Custom2_V="",ISBLANK(F_Custom2_V)),1,IFERROR(IF(ISNUMBER(SEARCH("|"&amp;INDEX(INDIRECT(F_Custom2_resolved_column),2220)&amp;"|",F_Custom2_wrapped)),1,0),0))</f>
        <v>1</v>
      </c>
      <c r="F2221">
        <f>D2221*E2221*1</f>
        <v>1</v>
      </c>
      <c r="G2221">
        <f>1</f>
        <v>1</v>
      </c>
      <c r="H22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2220)&amp;"|",All_Questions_Q_STREAM_F_wrapped)),1,0),0))*1</f>
        <v>1</v>
      </c>
    </row>
    <row r="2222">
      <c r="A2222" t="n">
        <v>2221</v>
      </c>
      <c r="B2222" t="inlineStr">
        <is>
          <t>A</t>
        </is>
      </c>
      <c r="C2222">
        <f>1</f>
        <v>1</v>
      </c>
      <c r="D2222">
        <f>IF(OR(F_Custom1_Q="(None)",F_Custom1_Q="",ISBLANK(F_Custom1_Q),F_Custom1_V="(All)",F_Custom1_V="",ISBLANK(F_Custom1_V)),1,IFERROR(IF(ISNUMBER(SEARCH("|"&amp;INDEX(INDIRECT(F_Custom1_resolved_column),2221)&amp;"|",F_Custom1_wrapped)),1,0),0))</f>
        <v>1</v>
      </c>
      <c r="E2222">
        <f>IF(OR(F_Custom2_Q="(None)",F_Custom2_Q="",ISBLANK(F_Custom2_Q),F_Custom2_V="(All)",F_Custom2_V="",ISBLANK(F_Custom2_V)),1,IFERROR(IF(ISNUMBER(SEARCH("|"&amp;INDEX(INDIRECT(F_Custom2_resolved_column),2221)&amp;"|",F_Custom2_wrapped)),1,0),0))</f>
        <v>1</v>
      </c>
      <c r="F2222">
        <f>D2222*E2222*1</f>
        <v>1</v>
      </c>
      <c r="G2222">
        <f>1</f>
        <v>1</v>
      </c>
      <c r="H22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2221)&amp;"|",All_Questions_Q_STREAM_F_wrapped)),1,0),0))*1</f>
        <v>1</v>
      </c>
    </row>
    <row r="2223">
      <c r="A2223" t="n">
        <v>2222</v>
      </c>
      <c r="B2223" t="inlineStr">
        <is>
          <t>B</t>
        </is>
      </c>
      <c r="C2223">
        <f>1</f>
        <v>1</v>
      </c>
      <c r="D2223">
        <f>IF(OR(F_Custom1_Q="(None)",F_Custom1_Q="",ISBLANK(F_Custom1_Q),F_Custom1_V="(All)",F_Custom1_V="",ISBLANK(F_Custom1_V)),1,IFERROR(IF(ISNUMBER(SEARCH("|"&amp;INDEX(INDIRECT(F_Custom1_resolved_column),2222)&amp;"|",F_Custom1_wrapped)),1,0),0))</f>
        <v>1</v>
      </c>
      <c r="E2223">
        <f>IF(OR(F_Custom2_Q="(None)",F_Custom2_Q="",ISBLANK(F_Custom2_Q),F_Custom2_V="(All)",F_Custom2_V="",ISBLANK(F_Custom2_V)),1,IFERROR(IF(ISNUMBER(SEARCH("|"&amp;INDEX(INDIRECT(F_Custom2_resolved_column),2222)&amp;"|",F_Custom2_wrapped)),1,0),0))</f>
        <v>1</v>
      </c>
      <c r="F2223">
        <f>D2223*E2223*1</f>
        <v>1</v>
      </c>
      <c r="G2223">
        <f>1</f>
        <v>1</v>
      </c>
      <c r="H22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2222)&amp;"|",All_Questions_Q_STREAM_F_wrapped)),1,0),0))*1</f>
        <v>1</v>
      </c>
    </row>
    <row r="2224">
      <c r="A2224" t="n">
        <v>2223</v>
      </c>
      <c r="B2224" t="inlineStr">
        <is>
          <t>A</t>
        </is>
      </c>
      <c r="C2224">
        <f>1</f>
        <v>1</v>
      </c>
      <c r="D2224">
        <f>IF(OR(F_Custom1_Q="(None)",F_Custom1_Q="",ISBLANK(F_Custom1_Q),F_Custom1_V="(All)",F_Custom1_V="",ISBLANK(F_Custom1_V)),1,IFERROR(IF(ISNUMBER(SEARCH("|"&amp;INDEX(INDIRECT(F_Custom1_resolved_column),2223)&amp;"|",F_Custom1_wrapped)),1,0),0))</f>
        <v>1</v>
      </c>
      <c r="E2224">
        <f>IF(OR(F_Custom2_Q="(None)",F_Custom2_Q="",ISBLANK(F_Custom2_Q),F_Custom2_V="(All)",F_Custom2_V="",ISBLANK(F_Custom2_V)),1,IFERROR(IF(ISNUMBER(SEARCH("|"&amp;INDEX(INDIRECT(F_Custom2_resolved_column),2223)&amp;"|",F_Custom2_wrapped)),1,0),0))</f>
        <v>1</v>
      </c>
      <c r="F2224">
        <f>D2224*E2224*1</f>
        <v>1</v>
      </c>
      <c r="G2224">
        <f>1</f>
        <v>1</v>
      </c>
      <c r="H22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2223)&amp;"|",All_Questions_Q_STREAM_F_wrapped)),1,0),0))*1</f>
        <v>1</v>
      </c>
    </row>
    <row r="2225">
      <c r="A2225" t="n">
        <v>2224</v>
      </c>
      <c r="B2225" t="inlineStr">
        <is>
          <t>B</t>
        </is>
      </c>
      <c r="C2225">
        <f>1</f>
        <v>1</v>
      </c>
      <c r="D2225">
        <f>IF(OR(F_Custom1_Q="(None)",F_Custom1_Q="",ISBLANK(F_Custom1_Q),F_Custom1_V="(All)",F_Custom1_V="",ISBLANK(F_Custom1_V)),1,IFERROR(IF(ISNUMBER(SEARCH("|"&amp;INDEX(INDIRECT(F_Custom1_resolved_column),2224)&amp;"|",F_Custom1_wrapped)),1,0),0))</f>
        <v>1</v>
      </c>
      <c r="E2225">
        <f>IF(OR(F_Custom2_Q="(None)",F_Custom2_Q="",ISBLANK(F_Custom2_Q),F_Custom2_V="(All)",F_Custom2_V="",ISBLANK(F_Custom2_V)),1,IFERROR(IF(ISNUMBER(SEARCH("|"&amp;INDEX(INDIRECT(F_Custom2_resolved_column),2224)&amp;"|",F_Custom2_wrapped)),1,0),0))</f>
        <v>1</v>
      </c>
      <c r="F2225">
        <f>D2225*E2225*1</f>
        <v>1</v>
      </c>
      <c r="G2225">
        <f>1</f>
        <v>1</v>
      </c>
      <c r="H22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2224)&amp;"|",All_Questions_Q_STREAM_F_wrapped)),1,0),0))*1</f>
        <v>1</v>
      </c>
    </row>
    <row r="2226">
      <c r="A2226" t="n">
        <v>2225</v>
      </c>
      <c r="B2226" t="inlineStr">
        <is>
          <t>A</t>
        </is>
      </c>
      <c r="C2226">
        <f>1</f>
        <v>1</v>
      </c>
      <c r="D2226">
        <f>IF(OR(F_Custom1_Q="(None)",F_Custom1_Q="",ISBLANK(F_Custom1_Q),F_Custom1_V="(All)",F_Custom1_V="",ISBLANK(F_Custom1_V)),1,IFERROR(IF(ISNUMBER(SEARCH("|"&amp;INDEX(INDIRECT(F_Custom1_resolved_column),2225)&amp;"|",F_Custom1_wrapped)),1,0),0))</f>
        <v>1</v>
      </c>
      <c r="E2226">
        <f>IF(OR(F_Custom2_Q="(None)",F_Custom2_Q="",ISBLANK(F_Custom2_Q),F_Custom2_V="(All)",F_Custom2_V="",ISBLANK(F_Custom2_V)),1,IFERROR(IF(ISNUMBER(SEARCH("|"&amp;INDEX(INDIRECT(F_Custom2_resolved_column),2225)&amp;"|",F_Custom2_wrapped)),1,0),0))</f>
        <v>1</v>
      </c>
      <c r="F2226">
        <f>D2226*E2226*1</f>
        <v>1</v>
      </c>
      <c r="G2226">
        <f>1</f>
        <v>1</v>
      </c>
      <c r="H22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2225)&amp;"|",All_Questions_Q_STREAM_F_wrapped)),1,0),0))*1</f>
        <v>1</v>
      </c>
    </row>
    <row r="2227">
      <c r="A2227" t="n">
        <v>2226</v>
      </c>
      <c r="B2227" t="inlineStr">
        <is>
          <t>B</t>
        </is>
      </c>
      <c r="C2227">
        <f>1</f>
        <v>1</v>
      </c>
      <c r="D2227">
        <f>IF(OR(F_Custom1_Q="(None)",F_Custom1_Q="",ISBLANK(F_Custom1_Q),F_Custom1_V="(All)",F_Custom1_V="",ISBLANK(F_Custom1_V)),1,IFERROR(IF(ISNUMBER(SEARCH("|"&amp;INDEX(INDIRECT(F_Custom1_resolved_column),2226)&amp;"|",F_Custom1_wrapped)),1,0),0))</f>
        <v>1</v>
      </c>
      <c r="E2227">
        <f>IF(OR(F_Custom2_Q="(None)",F_Custom2_Q="",ISBLANK(F_Custom2_Q),F_Custom2_V="(All)",F_Custom2_V="",ISBLANK(F_Custom2_V)),1,IFERROR(IF(ISNUMBER(SEARCH("|"&amp;INDEX(INDIRECT(F_Custom2_resolved_column),2226)&amp;"|",F_Custom2_wrapped)),1,0),0))</f>
        <v>1</v>
      </c>
      <c r="F2227">
        <f>D2227*E2227*1</f>
        <v>1</v>
      </c>
      <c r="G2227">
        <f>1</f>
        <v>1</v>
      </c>
      <c r="H22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2226)&amp;"|",All_Questions_Q_STREAM_F_wrapped)),1,0),0))*1</f>
        <v>1</v>
      </c>
    </row>
    <row r="2228">
      <c r="A2228" t="n">
        <v>2227</v>
      </c>
      <c r="B2228" t="inlineStr">
        <is>
          <t>A</t>
        </is>
      </c>
      <c r="C2228">
        <f>1</f>
        <v>1</v>
      </c>
      <c r="D2228">
        <f>IF(OR(F_Custom1_Q="(None)",F_Custom1_Q="",ISBLANK(F_Custom1_Q),F_Custom1_V="(All)",F_Custom1_V="",ISBLANK(F_Custom1_V)),1,IFERROR(IF(ISNUMBER(SEARCH("|"&amp;INDEX(INDIRECT(F_Custom1_resolved_column),2227)&amp;"|",F_Custom1_wrapped)),1,0),0))</f>
        <v>1</v>
      </c>
      <c r="E2228">
        <f>IF(OR(F_Custom2_Q="(None)",F_Custom2_Q="",ISBLANK(F_Custom2_Q),F_Custom2_V="(All)",F_Custom2_V="",ISBLANK(F_Custom2_V)),1,IFERROR(IF(ISNUMBER(SEARCH("|"&amp;INDEX(INDIRECT(F_Custom2_resolved_column),2227)&amp;"|",F_Custom2_wrapped)),1,0),0))</f>
        <v>1</v>
      </c>
      <c r="F2228">
        <f>D2228*E2228*1</f>
        <v>1</v>
      </c>
      <c r="G2228">
        <f>1</f>
        <v>1</v>
      </c>
      <c r="H22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2227)&amp;"|",All_Questions_Q_STREAM_F_wrapped)),1,0),0))*1</f>
        <v>1</v>
      </c>
    </row>
    <row r="2229">
      <c r="A2229" t="n">
        <v>2228</v>
      </c>
      <c r="B2229" t="inlineStr">
        <is>
          <t>B</t>
        </is>
      </c>
      <c r="C2229">
        <f>1</f>
        <v>1</v>
      </c>
      <c r="D2229">
        <f>IF(OR(F_Custom1_Q="(None)",F_Custom1_Q="",ISBLANK(F_Custom1_Q),F_Custom1_V="(All)",F_Custom1_V="",ISBLANK(F_Custom1_V)),1,IFERROR(IF(ISNUMBER(SEARCH("|"&amp;INDEX(INDIRECT(F_Custom1_resolved_column),2228)&amp;"|",F_Custom1_wrapped)),1,0),0))</f>
        <v>1</v>
      </c>
      <c r="E2229">
        <f>IF(OR(F_Custom2_Q="(None)",F_Custom2_Q="",ISBLANK(F_Custom2_Q),F_Custom2_V="(All)",F_Custom2_V="",ISBLANK(F_Custom2_V)),1,IFERROR(IF(ISNUMBER(SEARCH("|"&amp;INDEX(INDIRECT(F_Custom2_resolved_column),2228)&amp;"|",F_Custom2_wrapped)),1,0),0))</f>
        <v>1</v>
      </c>
      <c r="F2229">
        <f>D2229*E2229*1</f>
        <v>1</v>
      </c>
      <c r="G2229">
        <f>1</f>
        <v>1</v>
      </c>
      <c r="H22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2228)&amp;"|",All_Questions_Q_STREAM_F_wrapped)),1,0),0))*1</f>
        <v>1</v>
      </c>
    </row>
    <row r="2230">
      <c r="A2230" t="n">
        <v>2229</v>
      </c>
      <c r="B2230" t="inlineStr">
        <is>
          <t>A</t>
        </is>
      </c>
      <c r="C2230">
        <f>1</f>
        <v>1</v>
      </c>
      <c r="D2230">
        <f>IF(OR(F_Custom1_Q="(None)",F_Custom1_Q="",ISBLANK(F_Custom1_Q),F_Custom1_V="(All)",F_Custom1_V="",ISBLANK(F_Custom1_V)),1,IFERROR(IF(ISNUMBER(SEARCH("|"&amp;INDEX(INDIRECT(F_Custom1_resolved_column),2229)&amp;"|",F_Custom1_wrapped)),1,0),0))</f>
        <v>1</v>
      </c>
      <c r="E2230">
        <f>IF(OR(F_Custom2_Q="(None)",F_Custom2_Q="",ISBLANK(F_Custom2_Q),F_Custom2_V="(All)",F_Custom2_V="",ISBLANK(F_Custom2_V)),1,IFERROR(IF(ISNUMBER(SEARCH("|"&amp;INDEX(INDIRECT(F_Custom2_resolved_column),2229)&amp;"|",F_Custom2_wrapped)),1,0),0))</f>
        <v>1</v>
      </c>
      <c r="F2230">
        <f>D2230*E2230*1</f>
        <v>1</v>
      </c>
      <c r="G2230">
        <f>1</f>
        <v>1</v>
      </c>
      <c r="H22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2229)&amp;"|",All_Questions_Q_STREAM_F_wrapped)),1,0),0))*1</f>
        <v>1</v>
      </c>
    </row>
    <row r="2231">
      <c r="A2231" t="n">
        <v>2230</v>
      </c>
      <c r="B2231" t="inlineStr">
        <is>
          <t>B</t>
        </is>
      </c>
      <c r="C2231">
        <f>1</f>
        <v>1</v>
      </c>
      <c r="D2231">
        <f>IF(OR(F_Custom1_Q="(None)",F_Custom1_Q="",ISBLANK(F_Custom1_Q),F_Custom1_V="(All)",F_Custom1_V="",ISBLANK(F_Custom1_V)),1,IFERROR(IF(ISNUMBER(SEARCH("|"&amp;INDEX(INDIRECT(F_Custom1_resolved_column),2230)&amp;"|",F_Custom1_wrapped)),1,0),0))</f>
        <v>1</v>
      </c>
      <c r="E2231">
        <f>IF(OR(F_Custom2_Q="(None)",F_Custom2_Q="",ISBLANK(F_Custom2_Q),F_Custom2_V="(All)",F_Custom2_V="",ISBLANK(F_Custom2_V)),1,IFERROR(IF(ISNUMBER(SEARCH("|"&amp;INDEX(INDIRECT(F_Custom2_resolved_column),2230)&amp;"|",F_Custom2_wrapped)),1,0),0))</f>
        <v>1</v>
      </c>
      <c r="F2231">
        <f>D2231*E2231*1</f>
        <v>1</v>
      </c>
      <c r="G2231">
        <f>1</f>
        <v>1</v>
      </c>
      <c r="H22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2230)&amp;"|",All_Questions_Q_STREAM_F_wrapped)),1,0),0))*1</f>
        <v>1</v>
      </c>
    </row>
    <row r="2232">
      <c r="A2232" t="n">
        <v>2231</v>
      </c>
      <c r="B2232" t="inlineStr">
        <is>
          <t>A</t>
        </is>
      </c>
      <c r="C2232">
        <f>1</f>
        <v>1</v>
      </c>
      <c r="D2232">
        <f>IF(OR(F_Custom1_Q="(None)",F_Custom1_Q="",ISBLANK(F_Custom1_Q),F_Custom1_V="(All)",F_Custom1_V="",ISBLANK(F_Custom1_V)),1,IFERROR(IF(ISNUMBER(SEARCH("|"&amp;INDEX(INDIRECT(F_Custom1_resolved_column),2231)&amp;"|",F_Custom1_wrapped)),1,0),0))</f>
        <v>1</v>
      </c>
      <c r="E2232">
        <f>IF(OR(F_Custom2_Q="(None)",F_Custom2_Q="",ISBLANK(F_Custom2_Q),F_Custom2_V="(All)",F_Custom2_V="",ISBLANK(F_Custom2_V)),1,IFERROR(IF(ISNUMBER(SEARCH("|"&amp;INDEX(INDIRECT(F_Custom2_resolved_column),2231)&amp;"|",F_Custom2_wrapped)),1,0),0))</f>
        <v>1</v>
      </c>
      <c r="F2232">
        <f>D2232*E2232*1</f>
        <v>1</v>
      </c>
      <c r="G2232">
        <f>1</f>
        <v>1</v>
      </c>
      <c r="H22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2231)&amp;"|",All_Questions_Q_STREAM_F_wrapped)),1,0),0))*1</f>
        <v>1</v>
      </c>
    </row>
    <row r="2233">
      <c r="A2233" t="n">
        <v>2232</v>
      </c>
      <c r="B2233" t="inlineStr">
        <is>
          <t>B</t>
        </is>
      </c>
      <c r="C2233">
        <f>1</f>
        <v>1</v>
      </c>
      <c r="D2233">
        <f>IF(OR(F_Custom1_Q="(None)",F_Custom1_Q="",ISBLANK(F_Custom1_Q),F_Custom1_V="(All)",F_Custom1_V="",ISBLANK(F_Custom1_V)),1,IFERROR(IF(ISNUMBER(SEARCH("|"&amp;INDEX(INDIRECT(F_Custom1_resolved_column),2232)&amp;"|",F_Custom1_wrapped)),1,0),0))</f>
        <v>1</v>
      </c>
      <c r="E2233">
        <f>IF(OR(F_Custom2_Q="(None)",F_Custom2_Q="",ISBLANK(F_Custom2_Q),F_Custom2_V="(All)",F_Custom2_V="",ISBLANK(F_Custom2_V)),1,IFERROR(IF(ISNUMBER(SEARCH("|"&amp;INDEX(INDIRECT(F_Custom2_resolved_column),2232)&amp;"|",F_Custom2_wrapped)),1,0),0))</f>
        <v>1</v>
      </c>
      <c r="F2233">
        <f>D2233*E2233*1</f>
        <v>1</v>
      </c>
      <c r="G2233">
        <f>1</f>
        <v>1</v>
      </c>
      <c r="H22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2232)&amp;"|",All_Questions_Q_STREAM_F_wrapped)),1,0),0))*1</f>
        <v>1</v>
      </c>
    </row>
    <row r="2234">
      <c r="A2234" t="n">
        <v>2233</v>
      </c>
      <c r="B2234" t="inlineStr">
        <is>
          <t>A</t>
        </is>
      </c>
      <c r="C2234">
        <f>1</f>
        <v>1</v>
      </c>
      <c r="D2234">
        <f>IF(OR(F_Custom1_Q="(None)",F_Custom1_Q="",ISBLANK(F_Custom1_Q),F_Custom1_V="(All)",F_Custom1_V="",ISBLANK(F_Custom1_V)),1,IFERROR(IF(ISNUMBER(SEARCH("|"&amp;INDEX(INDIRECT(F_Custom1_resolved_column),2233)&amp;"|",F_Custom1_wrapped)),1,0),0))</f>
        <v>1</v>
      </c>
      <c r="E2234">
        <f>IF(OR(F_Custom2_Q="(None)",F_Custom2_Q="",ISBLANK(F_Custom2_Q),F_Custom2_V="(All)",F_Custom2_V="",ISBLANK(F_Custom2_V)),1,IFERROR(IF(ISNUMBER(SEARCH("|"&amp;INDEX(INDIRECT(F_Custom2_resolved_column),2233)&amp;"|",F_Custom2_wrapped)),1,0),0))</f>
        <v>1</v>
      </c>
      <c r="F2234">
        <f>D2234*E2234*1</f>
        <v>1</v>
      </c>
      <c r="G2234">
        <f>1</f>
        <v>1</v>
      </c>
      <c r="H22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2233)&amp;"|",All_Questions_Q_STREAM_F_wrapped)),1,0),0))*1</f>
        <v>1</v>
      </c>
    </row>
    <row r="2235">
      <c r="A2235" t="n">
        <v>2234</v>
      </c>
      <c r="B2235" t="inlineStr">
        <is>
          <t>B</t>
        </is>
      </c>
      <c r="C2235">
        <f>1</f>
        <v>1</v>
      </c>
      <c r="D2235">
        <f>IF(OR(F_Custom1_Q="(None)",F_Custom1_Q="",ISBLANK(F_Custom1_Q),F_Custom1_V="(All)",F_Custom1_V="",ISBLANK(F_Custom1_V)),1,IFERROR(IF(ISNUMBER(SEARCH("|"&amp;INDEX(INDIRECT(F_Custom1_resolved_column),2234)&amp;"|",F_Custom1_wrapped)),1,0),0))</f>
        <v>1</v>
      </c>
      <c r="E2235">
        <f>IF(OR(F_Custom2_Q="(None)",F_Custom2_Q="",ISBLANK(F_Custom2_Q),F_Custom2_V="(All)",F_Custom2_V="",ISBLANK(F_Custom2_V)),1,IFERROR(IF(ISNUMBER(SEARCH("|"&amp;INDEX(INDIRECT(F_Custom2_resolved_column),2234)&amp;"|",F_Custom2_wrapped)),1,0),0))</f>
        <v>1</v>
      </c>
      <c r="F2235">
        <f>D2235*E2235*1</f>
        <v>1</v>
      </c>
      <c r="G2235">
        <f>1</f>
        <v>1</v>
      </c>
      <c r="H22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2234)&amp;"|",All_Questions_Q_STREAM_F_wrapped)),1,0),0))*1</f>
        <v>1</v>
      </c>
    </row>
    <row r="2236">
      <c r="A2236" t="n">
        <v>2235</v>
      </c>
      <c r="B2236" t="inlineStr">
        <is>
          <t>A</t>
        </is>
      </c>
      <c r="C2236">
        <f>1</f>
        <v>1</v>
      </c>
      <c r="D2236">
        <f>IF(OR(F_Custom1_Q="(None)",F_Custom1_Q="",ISBLANK(F_Custom1_Q),F_Custom1_V="(All)",F_Custom1_V="",ISBLANK(F_Custom1_V)),1,IFERROR(IF(ISNUMBER(SEARCH("|"&amp;INDEX(INDIRECT(F_Custom1_resolved_column),2235)&amp;"|",F_Custom1_wrapped)),1,0),0))</f>
        <v>1</v>
      </c>
      <c r="E2236">
        <f>IF(OR(F_Custom2_Q="(None)",F_Custom2_Q="",ISBLANK(F_Custom2_Q),F_Custom2_V="(All)",F_Custom2_V="",ISBLANK(F_Custom2_V)),1,IFERROR(IF(ISNUMBER(SEARCH("|"&amp;INDEX(INDIRECT(F_Custom2_resolved_column),2235)&amp;"|",F_Custom2_wrapped)),1,0),0))</f>
        <v>1</v>
      </c>
      <c r="F2236">
        <f>D2236*E2236*1</f>
        <v>1</v>
      </c>
      <c r="G2236">
        <f>1</f>
        <v>1</v>
      </c>
      <c r="H22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2235)&amp;"|",All_Questions_Q_STREAM_F_wrapped)),1,0),0))*1</f>
        <v>1</v>
      </c>
    </row>
    <row r="2237">
      <c r="A2237" t="n">
        <v>2236</v>
      </c>
      <c r="B2237" t="inlineStr">
        <is>
          <t>B</t>
        </is>
      </c>
      <c r="C2237">
        <f>1</f>
        <v>1</v>
      </c>
      <c r="D2237">
        <f>IF(OR(F_Custom1_Q="(None)",F_Custom1_Q="",ISBLANK(F_Custom1_Q),F_Custom1_V="(All)",F_Custom1_V="",ISBLANK(F_Custom1_V)),1,IFERROR(IF(ISNUMBER(SEARCH("|"&amp;INDEX(INDIRECT(F_Custom1_resolved_column),2236)&amp;"|",F_Custom1_wrapped)),1,0),0))</f>
        <v>1</v>
      </c>
      <c r="E2237">
        <f>IF(OR(F_Custom2_Q="(None)",F_Custom2_Q="",ISBLANK(F_Custom2_Q),F_Custom2_V="(All)",F_Custom2_V="",ISBLANK(F_Custom2_V)),1,IFERROR(IF(ISNUMBER(SEARCH("|"&amp;INDEX(INDIRECT(F_Custom2_resolved_column),2236)&amp;"|",F_Custom2_wrapped)),1,0),0))</f>
        <v>1</v>
      </c>
      <c r="F2237">
        <f>D2237*E2237*1</f>
        <v>1</v>
      </c>
      <c r="G2237">
        <f>1</f>
        <v>1</v>
      </c>
      <c r="H22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2236)&amp;"|",All_Questions_Q_STREAM_F_wrapped)),1,0),0))*1</f>
        <v>1</v>
      </c>
    </row>
    <row r="2238">
      <c r="A2238" t="n">
        <v>2237</v>
      </c>
      <c r="B2238" t="inlineStr">
        <is>
          <t>A</t>
        </is>
      </c>
      <c r="C2238">
        <f>1</f>
        <v>1</v>
      </c>
      <c r="D2238">
        <f>IF(OR(F_Custom1_Q="(None)",F_Custom1_Q="",ISBLANK(F_Custom1_Q),F_Custom1_V="(All)",F_Custom1_V="",ISBLANK(F_Custom1_V)),1,IFERROR(IF(ISNUMBER(SEARCH("|"&amp;INDEX(INDIRECT(F_Custom1_resolved_column),2237)&amp;"|",F_Custom1_wrapped)),1,0),0))</f>
        <v>1</v>
      </c>
      <c r="E2238">
        <f>IF(OR(F_Custom2_Q="(None)",F_Custom2_Q="",ISBLANK(F_Custom2_Q),F_Custom2_V="(All)",F_Custom2_V="",ISBLANK(F_Custom2_V)),1,IFERROR(IF(ISNUMBER(SEARCH("|"&amp;INDEX(INDIRECT(F_Custom2_resolved_column),2237)&amp;"|",F_Custom2_wrapped)),1,0),0))</f>
        <v>1</v>
      </c>
      <c r="F2238">
        <f>D2238*E2238*1</f>
        <v>1</v>
      </c>
      <c r="G2238">
        <f>1</f>
        <v>1</v>
      </c>
      <c r="H22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2237)&amp;"|",All_Questions_Q_STREAM_F_wrapped)),1,0),0))*1</f>
        <v>1</v>
      </c>
    </row>
    <row r="2239">
      <c r="A2239" t="n">
        <v>2238</v>
      </c>
      <c r="B2239" t="inlineStr">
        <is>
          <t>B</t>
        </is>
      </c>
      <c r="C2239">
        <f>1</f>
        <v>1</v>
      </c>
      <c r="D2239">
        <f>IF(OR(F_Custom1_Q="(None)",F_Custom1_Q="",ISBLANK(F_Custom1_Q),F_Custom1_V="(All)",F_Custom1_V="",ISBLANK(F_Custom1_V)),1,IFERROR(IF(ISNUMBER(SEARCH("|"&amp;INDEX(INDIRECT(F_Custom1_resolved_column),2238)&amp;"|",F_Custom1_wrapped)),1,0),0))</f>
        <v>1</v>
      </c>
      <c r="E2239">
        <f>IF(OR(F_Custom2_Q="(None)",F_Custom2_Q="",ISBLANK(F_Custom2_Q),F_Custom2_V="(All)",F_Custom2_V="",ISBLANK(F_Custom2_V)),1,IFERROR(IF(ISNUMBER(SEARCH("|"&amp;INDEX(INDIRECT(F_Custom2_resolved_column),2238)&amp;"|",F_Custom2_wrapped)),1,0),0))</f>
        <v>1</v>
      </c>
      <c r="F2239">
        <f>D2239*E2239*1</f>
        <v>1</v>
      </c>
      <c r="G2239">
        <f>1</f>
        <v>1</v>
      </c>
      <c r="H22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2238)&amp;"|",All_Questions_Q_STREAM_F_wrapped)),1,0),0))*1</f>
        <v>1</v>
      </c>
    </row>
    <row r="2240">
      <c r="A2240" t="n">
        <v>2239</v>
      </c>
      <c r="B2240" t="inlineStr">
        <is>
          <t>A</t>
        </is>
      </c>
      <c r="C2240">
        <f>1</f>
        <v>1</v>
      </c>
      <c r="D2240">
        <f>IF(OR(F_Custom1_Q="(None)",F_Custom1_Q="",ISBLANK(F_Custom1_Q),F_Custom1_V="(All)",F_Custom1_V="",ISBLANK(F_Custom1_V)),1,IFERROR(IF(ISNUMBER(SEARCH("|"&amp;INDEX(INDIRECT(F_Custom1_resolved_column),2239)&amp;"|",F_Custom1_wrapped)),1,0),0))</f>
        <v>1</v>
      </c>
      <c r="E2240">
        <f>IF(OR(F_Custom2_Q="(None)",F_Custom2_Q="",ISBLANK(F_Custom2_Q),F_Custom2_V="(All)",F_Custom2_V="",ISBLANK(F_Custom2_V)),1,IFERROR(IF(ISNUMBER(SEARCH("|"&amp;INDEX(INDIRECT(F_Custom2_resolved_column),2239)&amp;"|",F_Custom2_wrapped)),1,0),0))</f>
        <v>1</v>
      </c>
      <c r="F2240">
        <f>D2240*E2240*1</f>
        <v>1</v>
      </c>
      <c r="G2240">
        <f>1</f>
        <v>1</v>
      </c>
      <c r="H22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2239)&amp;"|",All_Questions_Q_STREAM_F_wrapped)),1,0),0))*1</f>
        <v>1</v>
      </c>
    </row>
    <row r="2241">
      <c r="A2241" t="n">
        <v>2240</v>
      </c>
      <c r="B2241" t="inlineStr">
        <is>
          <t>B</t>
        </is>
      </c>
      <c r="C2241">
        <f>1</f>
        <v>1</v>
      </c>
      <c r="D2241">
        <f>IF(OR(F_Custom1_Q="(None)",F_Custom1_Q="",ISBLANK(F_Custom1_Q),F_Custom1_V="(All)",F_Custom1_V="",ISBLANK(F_Custom1_V)),1,IFERROR(IF(ISNUMBER(SEARCH("|"&amp;INDEX(INDIRECT(F_Custom1_resolved_column),2240)&amp;"|",F_Custom1_wrapped)),1,0),0))</f>
        <v>1</v>
      </c>
      <c r="E2241">
        <f>IF(OR(F_Custom2_Q="(None)",F_Custom2_Q="",ISBLANK(F_Custom2_Q),F_Custom2_V="(All)",F_Custom2_V="",ISBLANK(F_Custom2_V)),1,IFERROR(IF(ISNUMBER(SEARCH("|"&amp;INDEX(INDIRECT(F_Custom2_resolved_column),2240)&amp;"|",F_Custom2_wrapped)),1,0),0))</f>
        <v>1</v>
      </c>
      <c r="F2241">
        <f>D2241*E2241*1</f>
        <v>1</v>
      </c>
      <c r="G2241">
        <f>1</f>
        <v>1</v>
      </c>
      <c r="H22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2240)&amp;"|",All_Questions_Q_STREAM_F_wrapped)),1,0),0))*1</f>
        <v>1</v>
      </c>
    </row>
    <row r="2242">
      <c r="A2242" t="n">
        <v>2241</v>
      </c>
      <c r="B2242" t="inlineStr">
        <is>
          <t>A</t>
        </is>
      </c>
      <c r="C2242">
        <f>1</f>
        <v>1</v>
      </c>
      <c r="D2242">
        <f>IF(OR(F_Custom1_Q="(None)",F_Custom1_Q="",ISBLANK(F_Custom1_Q),F_Custom1_V="(All)",F_Custom1_V="",ISBLANK(F_Custom1_V)),1,IFERROR(IF(ISNUMBER(SEARCH("|"&amp;INDEX(INDIRECT(F_Custom1_resolved_column),2241)&amp;"|",F_Custom1_wrapped)),1,0),0))</f>
        <v>1</v>
      </c>
      <c r="E2242">
        <f>IF(OR(F_Custom2_Q="(None)",F_Custom2_Q="",ISBLANK(F_Custom2_Q),F_Custom2_V="(All)",F_Custom2_V="",ISBLANK(F_Custom2_V)),1,IFERROR(IF(ISNUMBER(SEARCH("|"&amp;INDEX(INDIRECT(F_Custom2_resolved_column),2241)&amp;"|",F_Custom2_wrapped)),1,0),0))</f>
        <v>1</v>
      </c>
      <c r="F2242">
        <f>D2242*E2242*1</f>
        <v>1</v>
      </c>
      <c r="G2242">
        <f>1</f>
        <v>1</v>
      </c>
      <c r="H22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2241)&amp;"|",All_Questions_Q_STREAM_F_wrapped)),1,0),0))*1</f>
        <v>1</v>
      </c>
    </row>
    <row r="2243">
      <c r="A2243" t="n">
        <v>2242</v>
      </c>
      <c r="B2243" t="inlineStr">
        <is>
          <t>B</t>
        </is>
      </c>
      <c r="C2243">
        <f>1</f>
        <v>1</v>
      </c>
      <c r="D2243">
        <f>IF(OR(F_Custom1_Q="(None)",F_Custom1_Q="",ISBLANK(F_Custom1_Q),F_Custom1_V="(All)",F_Custom1_V="",ISBLANK(F_Custom1_V)),1,IFERROR(IF(ISNUMBER(SEARCH("|"&amp;INDEX(INDIRECT(F_Custom1_resolved_column),2242)&amp;"|",F_Custom1_wrapped)),1,0),0))</f>
        <v>1</v>
      </c>
      <c r="E2243">
        <f>IF(OR(F_Custom2_Q="(None)",F_Custom2_Q="",ISBLANK(F_Custom2_Q),F_Custom2_V="(All)",F_Custom2_V="",ISBLANK(F_Custom2_V)),1,IFERROR(IF(ISNUMBER(SEARCH("|"&amp;INDEX(INDIRECT(F_Custom2_resolved_column),2242)&amp;"|",F_Custom2_wrapped)),1,0),0))</f>
        <v>1</v>
      </c>
      <c r="F2243">
        <f>D2243*E2243*1</f>
        <v>1</v>
      </c>
      <c r="G2243">
        <f>1</f>
        <v>1</v>
      </c>
      <c r="H22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2242)&amp;"|",All_Questions_Q_STREAM_F_wrapped)),1,0),0))*1</f>
        <v>1</v>
      </c>
    </row>
    <row r="2244">
      <c r="A2244" t="n">
        <v>2243</v>
      </c>
      <c r="B2244" t="inlineStr">
        <is>
          <t>A</t>
        </is>
      </c>
      <c r="C2244">
        <f>1</f>
        <v>1</v>
      </c>
      <c r="D2244">
        <f>IF(OR(F_Custom1_Q="(None)",F_Custom1_Q="",ISBLANK(F_Custom1_Q),F_Custom1_V="(All)",F_Custom1_V="",ISBLANK(F_Custom1_V)),1,IFERROR(IF(ISNUMBER(SEARCH("|"&amp;INDEX(INDIRECT(F_Custom1_resolved_column),2243)&amp;"|",F_Custom1_wrapped)),1,0),0))</f>
        <v>1</v>
      </c>
      <c r="E2244">
        <f>IF(OR(F_Custom2_Q="(None)",F_Custom2_Q="",ISBLANK(F_Custom2_Q),F_Custom2_V="(All)",F_Custom2_V="",ISBLANK(F_Custom2_V)),1,IFERROR(IF(ISNUMBER(SEARCH("|"&amp;INDEX(INDIRECT(F_Custom2_resolved_column),2243)&amp;"|",F_Custom2_wrapped)),1,0),0))</f>
        <v>1</v>
      </c>
      <c r="F2244">
        <f>D2244*E2244*1</f>
        <v>1</v>
      </c>
      <c r="G2244">
        <f>1</f>
        <v>1</v>
      </c>
      <c r="H22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2243)&amp;"|",All_Questions_Q_STREAM_F_wrapped)),1,0),0))*1</f>
        <v>1</v>
      </c>
    </row>
    <row r="2245">
      <c r="A2245" t="n">
        <v>2244</v>
      </c>
      <c r="B2245" t="inlineStr">
        <is>
          <t>B</t>
        </is>
      </c>
      <c r="C2245">
        <f>1</f>
        <v>1</v>
      </c>
      <c r="D2245">
        <f>IF(OR(F_Custom1_Q="(None)",F_Custom1_Q="",ISBLANK(F_Custom1_Q),F_Custom1_V="(All)",F_Custom1_V="",ISBLANK(F_Custom1_V)),1,IFERROR(IF(ISNUMBER(SEARCH("|"&amp;INDEX(INDIRECT(F_Custom1_resolved_column),2244)&amp;"|",F_Custom1_wrapped)),1,0),0))</f>
        <v>1</v>
      </c>
      <c r="E2245">
        <f>IF(OR(F_Custom2_Q="(None)",F_Custom2_Q="",ISBLANK(F_Custom2_Q),F_Custom2_V="(All)",F_Custom2_V="",ISBLANK(F_Custom2_V)),1,IFERROR(IF(ISNUMBER(SEARCH("|"&amp;INDEX(INDIRECT(F_Custom2_resolved_column),2244)&amp;"|",F_Custom2_wrapped)),1,0),0))</f>
        <v>1</v>
      </c>
      <c r="F2245">
        <f>D2245*E2245*1</f>
        <v>1</v>
      </c>
      <c r="G2245">
        <f>1</f>
        <v>1</v>
      </c>
      <c r="H22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2244)&amp;"|",All_Questions_Q_STREAM_F_wrapped)),1,0),0))*1</f>
        <v>1</v>
      </c>
    </row>
    <row r="2246">
      <c r="A2246" t="n">
        <v>2245</v>
      </c>
      <c r="B2246" t="inlineStr">
        <is>
          <t>A</t>
        </is>
      </c>
      <c r="C2246">
        <f>1</f>
        <v>1</v>
      </c>
      <c r="D2246">
        <f>IF(OR(F_Custom1_Q="(None)",F_Custom1_Q="",ISBLANK(F_Custom1_Q),F_Custom1_V="(All)",F_Custom1_V="",ISBLANK(F_Custom1_V)),1,IFERROR(IF(ISNUMBER(SEARCH("|"&amp;INDEX(INDIRECT(F_Custom1_resolved_column),2245)&amp;"|",F_Custom1_wrapped)),1,0),0))</f>
        <v>1</v>
      </c>
      <c r="E2246">
        <f>IF(OR(F_Custom2_Q="(None)",F_Custom2_Q="",ISBLANK(F_Custom2_Q),F_Custom2_V="(All)",F_Custom2_V="",ISBLANK(F_Custom2_V)),1,IFERROR(IF(ISNUMBER(SEARCH("|"&amp;INDEX(INDIRECT(F_Custom2_resolved_column),2245)&amp;"|",F_Custom2_wrapped)),1,0),0))</f>
        <v>1</v>
      </c>
      <c r="F2246">
        <f>D2246*E2246*1</f>
        <v>1</v>
      </c>
      <c r="G2246">
        <f>1</f>
        <v>1</v>
      </c>
      <c r="H22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2245)&amp;"|",All_Questions_Q_STREAM_F_wrapped)),1,0),0))*1</f>
        <v>1</v>
      </c>
    </row>
    <row r="2247">
      <c r="A2247" t="n">
        <v>2246</v>
      </c>
      <c r="B2247" t="inlineStr">
        <is>
          <t>B</t>
        </is>
      </c>
      <c r="C2247">
        <f>1</f>
        <v>1</v>
      </c>
      <c r="D2247">
        <f>IF(OR(F_Custom1_Q="(None)",F_Custom1_Q="",ISBLANK(F_Custom1_Q),F_Custom1_V="(All)",F_Custom1_V="",ISBLANK(F_Custom1_V)),1,IFERROR(IF(ISNUMBER(SEARCH("|"&amp;INDEX(INDIRECT(F_Custom1_resolved_column),2246)&amp;"|",F_Custom1_wrapped)),1,0),0))</f>
        <v>1</v>
      </c>
      <c r="E2247">
        <f>IF(OR(F_Custom2_Q="(None)",F_Custom2_Q="",ISBLANK(F_Custom2_Q),F_Custom2_V="(All)",F_Custom2_V="",ISBLANK(F_Custom2_V)),1,IFERROR(IF(ISNUMBER(SEARCH("|"&amp;INDEX(INDIRECT(F_Custom2_resolved_column),2246)&amp;"|",F_Custom2_wrapped)),1,0),0))</f>
        <v>1</v>
      </c>
      <c r="F2247">
        <f>D2247*E2247*1</f>
        <v>1</v>
      </c>
      <c r="G2247">
        <f>1</f>
        <v>1</v>
      </c>
      <c r="H22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2246)&amp;"|",All_Questions_Q_STREAM_F_wrapped)),1,0),0))*1</f>
        <v>1</v>
      </c>
    </row>
    <row r="2248">
      <c r="A2248" t="n">
        <v>2247</v>
      </c>
      <c r="B2248" t="inlineStr">
        <is>
          <t>A</t>
        </is>
      </c>
      <c r="C2248">
        <f>1</f>
        <v>1</v>
      </c>
      <c r="D2248">
        <f>IF(OR(F_Custom1_Q="(None)",F_Custom1_Q="",ISBLANK(F_Custom1_Q),F_Custom1_V="(All)",F_Custom1_V="",ISBLANK(F_Custom1_V)),1,IFERROR(IF(ISNUMBER(SEARCH("|"&amp;INDEX(INDIRECT(F_Custom1_resolved_column),2247)&amp;"|",F_Custom1_wrapped)),1,0),0))</f>
        <v>1</v>
      </c>
      <c r="E2248">
        <f>IF(OR(F_Custom2_Q="(None)",F_Custom2_Q="",ISBLANK(F_Custom2_Q),F_Custom2_V="(All)",F_Custom2_V="",ISBLANK(F_Custom2_V)),1,IFERROR(IF(ISNUMBER(SEARCH("|"&amp;INDEX(INDIRECT(F_Custom2_resolved_column),2247)&amp;"|",F_Custom2_wrapped)),1,0),0))</f>
        <v>1</v>
      </c>
      <c r="F2248">
        <f>D2248*E2248*1</f>
        <v>1</v>
      </c>
      <c r="G2248">
        <f>1</f>
        <v>1</v>
      </c>
      <c r="H22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2247)&amp;"|",All_Questions_Q_STREAM_F_wrapped)),1,0),0))*1</f>
        <v>1</v>
      </c>
    </row>
    <row r="2249">
      <c r="A2249" t="n">
        <v>2248</v>
      </c>
      <c r="B2249" t="inlineStr">
        <is>
          <t>B</t>
        </is>
      </c>
      <c r="C2249">
        <f>1</f>
        <v>1</v>
      </c>
      <c r="D2249">
        <f>IF(OR(F_Custom1_Q="(None)",F_Custom1_Q="",ISBLANK(F_Custom1_Q),F_Custom1_V="(All)",F_Custom1_V="",ISBLANK(F_Custom1_V)),1,IFERROR(IF(ISNUMBER(SEARCH("|"&amp;INDEX(INDIRECT(F_Custom1_resolved_column),2248)&amp;"|",F_Custom1_wrapped)),1,0),0))</f>
        <v>1</v>
      </c>
      <c r="E2249">
        <f>IF(OR(F_Custom2_Q="(None)",F_Custom2_Q="",ISBLANK(F_Custom2_Q),F_Custom2_V="(All)",F_Custom2_V="",ISBLANK(F_Custom2_V)),1,IFERROR(IF(ISNUMBER(SEARCH("|"&amp;INDEX(INDIRECT(F_Custom2_resolved_column),2248)&amp;"|",F_Custom2_wrapped)),1,0),0))</f>
        <v>1</v>
      </c>
      <c r="F2249">
        <f>D2249*E2249*1</f>
        <v>1</v>
      </c>
      <c r="G2249">
        <f>1</f>
        <v>1</v>
      </c>
      <c r="H22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2248)&amp;"|",All_Questions_Q_STREAM_F_wrapped)),1,0),0))*1</f>
        <v>1</v>
      </c>
    </row>
    <row r="2250">
      <c r="A2250" t="n">
        <v>2249</v>
      </c>
      <c r="B2250" t="inlineStr">
        <is>
          <t>A</t>
        </is>
      </c>
      <c r="C2250">
        <f>1</f>
        <v>1</v>
      </c>
      <c r="D2250">
        <f>IF(OR(F_Custom1_Q="(None)",F_Custom1_Q="",ISBLANK(F_Custom1_Q),F_Custom1_V="(All)",F_Custom1_V="",ISBLANK(F_Custom1_V)),1,IFERROR(IF(ISNUMBER(SEARCH("|"&amp;INDEX(INDIRECT(F_Custom1_resolved_column),2249)&amp;"|",F_Custom1_wrapped)),1,0),0))</f>
        <v>1</v>
      </c>
      <c r="E2250">
        <f>IF(OR(F_Custom2_Q="(None)",F_Custom2_Q="",ISBLANK(F_Custom2_Q),F_Custom2_V="(All)",F_Custom2_V="",ISBLANK(F_Custom2_V)),1,IFERROR(IF(ISNUMBER(SEARCH("|"&amp;INDEX(INDIRECT(F_Custom2_resolved_column),2249)&amp;"|",F_Custom2_wrapped)),1,0),0))</f>
        <v>1</v>
      </c>
      <c r="F2250">
        <f>D2250*E2250*1</f>
        <v>1</v>
      </c>
      <c r="G2250">
        <f>1</f>
        <v>1</v>
      </c>
      <c r="H22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2249)&amp;"|",All_Questions_Q_STREAM_F_wrapped)),1,0),0))*1</f>
        <v>1</v>
      </c>
    </row>
    <row r="2251">
      <c r="A2251" t="n">
        <v>2250</v>
      </c>
      <c r="B2251" t="inlineStr">
        <is>
          <t>B</t>
        </is>
      </c>
      <c r="C2251">
        <f>1</f>
        <v>1</v>
      </c>
      <c r="D2251">
        <f>IF(OR(F_Custom1_Q="(None)",F_Custom1_Q="",ISBLANK(F_Custom1_Q),F_Custom1_V="(All)",F_Custom1_V="",ISBLANK(F_Custom1_V)),1,IFERROR(IF(ISNUMBER(SEARCH("|"&amp;INDEX(INDIRECT(F_Custom1_resolved_column),2250)&amp;"|",F_Custom1_wrapped)),1,0),0))</f>
        <v>1</v>
      </c>
      <c r="E2251">
        <f>IF(OR(F_Custom2_Q="(None)",F_Custom2_Q="",ISBLANK(F_Custom2_Q),F_Custom2_V="(All)",F_Custom2_V="",ISBLANK(F_Custom2_V)),1,IFERROR(IF(ISNUMBER(SEARCH("|"&amp;INDEX(INDIRECT(F_Custom2_resolved_column),2250)&amp;"|",F_Custom2_wrapped)),1,0),0))</f>
        <v>1</v>
      </c>
      <c r="F2251">
        <f>D2251*E2251*1</f>
        <v>1</v>
      </c>
      <c r="G2251">
        <f>1</f>
        <v>1</v>
      </c>
      <c r="H22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2250)&amp;"|",All_Questions_Q_STREAM_F_wrapped)),1,0),0))*1</f>
        <v>1</v>
      </c>
    </row>
    <row r="2252">
      <c r="A2252" t="n">
        <v>2251</v>
      </c>
      <c r="B2252" t="inlineStr">
        <is>
          <t>A</t>
        </is>
      </c>
      <c r="C2252">
        <f>1</f>
        <v>1</v>
      </c>
      <c r="D2252">
        <f>IF(OR(F_Custom1_Q="(None)",F_Custom1_Q="",ISBLANK(F_Custom1_Q),F_Custom1_V="(All)",F_Custom1_V="",ISBLANK(F_Custom1_V)),1,IFERROR(IF(ISNUMBER(SEARCH("|"&amp;INDEX(INDIRECT(F_Custom1_resolved_column),2251)&amp;"|",F_Custom1_wrapped)),1,0),0))</f>
        <v>1</v>
      </c>
      <c r="E2252">
        <f>IF(OR(F_Custom2_Q="(None)",F_Custom2_Q="",ISBLANK(F_Custom2_Q),F_Custom2_V="(All)",F_Custom2_V="",ISBLANK(F_Custom2_V)),1,IFERROR(IF(ISNUMBER(SEARCH("|"&amp;INDEX(INDIRECT(F_Custom2_resolved_column),2251)&amp;"|",F_Custom2_wrapped)),1,0),0))</f>
        <v>1</v>
      </c>
      <c r="F2252">
        <f>D2252*E2252*1</f>
        <v>1</v>
      </c>
      <c r="G2252">
        <f>1</f>
        <v>1</v>
      </c>
      <c r="H22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2251)&amp;"|",All_Questions_Q_STREAM_F_wrapped)),1,0),0))*1</f>
        <v>1</v>
      </c>
    </row>
    <row r="2253">
      <c r="A2253" t="n">
        <v>2252</v>
      </c>
      <c r="B2253" t="inlineStr">
        <is>
          <t>B</t>
        </is>
      </c>
      <c r="C2253">
        <f>1</f>
        <v>1</v>
      </c>
      <c r="D2253">
        <f>IF(OR(F_Custom1_Q="(None)",F_Custom1_Q="",ISBLANK(F_Custom1_Q),F_Custom1_V="(All)",F_Custom1_V="",ISBLANK(F_Custom1_V)),1,IFERROR(IF(ISNUMBER(SEARCH("|"&amp;INDEX(INDIRECT(F_Custom1_resolved_column),2252)&amp;"|",F_Custom1_wrapped)),1,0),0))</f>
        <v>1</v>
      </c>
      <c r="E2253">
        <f>IF(OR(F_Custom2_Q="(None)",F_Custom2_Q="",ISBLANK(F_Custom2_Q),F_Custom2_V="(All)",F_Custom2_V="",ISBLANK(F_Custom2_V)),1,IFERROR(IF(ISNUMBER(SEARCH("|"&amp;INDEX(INDIRECT(F_Custom2_resolved_column),2252)&amp;"|",F_Custom2_wrapped)),1,0),0))</f>
        <v>1</v>
      </c>
      <c r="F2253">
        <f>D2253*E2253*1</f>
        <v>1</v>
      </c>
      <c r="G2253">
        <f>1</f>
        <v>1</v>
      </c>
      <c r="H22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2252)&amp;"|",All_Questions_Q_STREAM_F_wrapped)),1,0),0))*1</f>
        <v>1</v>
      </c>
    </row>
    <row r="2254">
      <c r="A2254" t="n">
        <v>2253</v>
      </c>
      <c r="B2254" t="inlineStr">
        <is>
          <t>A</t>
        </is>
      </c>
      <c r="C2254">
        <f>1</f>
        <v>1</v>
      </c>
      <c r="D2254">
        <f>IF(OR(F_Custom1_Q="(None)",F_Custom1_Q="",ISBLANK(F_Custom1_Q),F_Custom1_V="(All)",F_Custom1_V="",ISBLANK(F_Custom1_V)),1,IFERROR(IF(ISNUMBER(SEARCH("|"&amp;INDEX(INDIRECT(F_Custom1_resolved_column),2253)&amp;"|",F_Custom1_wrapped)),1,0),0))</f>
        <v>1</v>
      </c>
      <c r="E2254">
        <f>IF(OR(F_Custom2_Q="(None)",F_Custom2_Q="",ISBLANK(F_Custom2_Q),F_Custom2_V="(All)",F_Custom2_V="",ISBLANK(F_Custom2_V)),1,IFERROR(IF(ISNUMBER(SEARCH("|"&amp;INDEX(INDIRECT(F_Custom2_resolved_column),2253)&amp;"|",F_Custom2_wrapped)),1,0),0))</f>
        <v>1</v>
      </c>
      <c r="F2254">
        <f>D2254*E2254*1</f>
        <v>1</v>
      </c>
      <c r="G2254">
        <f>1</f>
        <v>1</v>
      </c>
      <c r="H22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2253)&amp;"|",All_Questions_Q_STREAM_F_wrapped)),1,0),0))*1</f>
        <v>1</v>
      </c>
    </row>
    <row r="2255">
      <c r="A2255" t="n">
        <v>2254</v>
      </c>
      <c r="B2255" t="inlineStr">
        <is>
          <t>B</t>
        </is>
      </c>
      <c r="C2255">
        <f>1</f>
        <v>1</v>
      </c>
      <c r="D2255">
        <f>IF(OR(F_Custom1_Q="(None)",F_Custom1_Q="",ISBLANK(F_Custom1_Q),F_Custom1_V="(All)",F_Custom1_V="",ISBLANK(F_Custom1_V)),1,IFERROR(IF(ISNUMBER(SEARCH("|"&amp;INDEX(INDIRECT(F_Custom1_resolved_column),2254)&amp;"|",F_Custom1_wrapped)),1,0),0))</f>
        <v>1</v>
      </c>
      <c r="E2255">
        <f>IF(OR(F_Custom2_Q="(None)",F_Custom2_Q="",ISBLANK(F_Custom2_Q),F_Custom2_V="(All)",F_Custom2_V="",ISBLANK(F_Custom2_V)),1,IFERROR(IF(ISNUMBER(SEARCH("|"&amp;INDEX(INDIRECT(F_Custom2_resolved_column),2254)&amp;"|",F_Custom2_wrapped)),1,0),0))</f>
        <v>1</v>
      </c>
      <c r="F2255">
        <f>D2255*E2255*1</f>
        <v>1</v>
      </c>
      <c r="G2255">
        <f>1</f>
        <v>1</v>
      </c>
      <c r="H22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2254)&amp;"|",All_Questions_Q_STREAM_F_wrapped)),1,0),0))*1</f>
        <v>1</v>
      </c>
    </row>
    <row r="2256">
      <c r="A2256" t="n">
        <v>2255</v>
      </c>
      <c r="B2256" t="inlineStr">
        <is>
          <t>A</t>
        </is>
      </c>
      <c r="C2256">
        <f>1</f>
        <v>1</v>
      </c>
      <c r="D2256">
        <f>IF(OR(F_Custom1_Q="(None)",F_Custom1_Q="",ISBLANK(F_Custom1_Q),F_Custom1_V="(All)",F_Custom1_V="",ISBLANK(F_Custom1_V)),1,IFERROR(IF(ISNUMBER(SEARCH("|"&amp;INDEX(INDIRECT(F_Custom1_resolved_column),2255)&amp;"|",F_Custom1_wrapped)),1,0),0))</f>
        <v>1</v>
      </c>
      <c r="E2256">
        <f>IF(OR(F_Custom2_Q="(None)",F_Custom2_Q="",ISBLANK(F_Custom2_Q),F_Custom2_V="(All)",F_Custom2_V="",ISBLANK(F_Custom2_V)),1,IFERROR(IF(ISNUMBER(SEARCH("|"&amp;INDEX(INDIRECT(F_Custom2_resolved_column),2255)&amp;"|",F_Custom2_wrapped)),1,0),0))</f>
        <v>1</v>
      </c>
      <c r="F2256">
        <f>D2256*E2256*1</f>
        <v>1</v>
      </c>
      <c r="G2256">
        <f>1</f>
        <v>1</v>
      </c>
      <c r="H22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2255)&amp;"|",All_Questions_Q_STREAM_F_wrapped)),1,0),0))*1</f>
        <v>1</v>
      </c>
    </row>
    <row r="2257">
      <c r="A2257" t="n">
        <v>2256</v>
      </c>
      <c r="B2257" t="inlineStr">
        <is>
          <t>B</t>
        </is>
      </c>
      <c r="C2257">
        <f>1</f>
        <v>1</v>
      </c>
      <c r="D2257">
        <f>IF(OR(F_Custom1_Q="(None)",F_Custom1_Q="",ISBLANK(F_Custom1_Q),F_Custom1_V="(All)",F_Custom1_V="",ISBLANK(F_Custom1_V)),1,IFERROR(IF(ISNUMBER(SEARCH("|"&amp;INDEX(INDIRECT(F_Custom1_resolved_column),2256)&amp;"|",F_Custom1_wrapped)),1,0),0))</f>
        <v>1</v>
      </c>
      <c r="E2257">
        <f>IF(OR(F_Custom2_Q="(None)",F_Custom2_Q="",ISBLANK(F_Custom2_Q),F_Custom2_V="(All)",F_Custom2_V="",ISBLANK(F_Custom2_V)),1,IFERROR(IF(ISNUMBER(SEARCH("|"&amp;INDEX(INDIRECT(F_Custom2_resolved_column),2256)&amp;"|",F_Custom2_wrapped)),1,0),0))</f>
        <v>1</v>
      </c>
      <c r="F2257">
        <f>D2257*E2257*1</f>
        <v>1</v>
      </c>
      <c r="G2257">
        <f>1</f>
        <v>1</v>
      </c>
      <c r="H22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2256)&amp;"|",All_Questions_Q_STREAM_F_wrapped)),1,0),0))*1</f>
        <v>1</v>
      </c>
    </row>
    <row r="2258">
      <c r="A2258" t="n">
        <v>2257</v>
      </c>
      <c r="B2258" t="inlineStr">
        <is>
          <t>A</t>
        </is>
      </c>
      <c r="C2258">
        <f>1</f>
        <v>1</v>
      </c>
      <c r="D2258">
        <f>IF(OR(F_Custom1_Q="(None)",F_Custom1_Q="",ISBLANK(F_Custom1_Q),F_Custom1_V="(All)",F_Custom1_V="",ISBLANK(F_Custom1_V)),1,IFERROR(IF(ISNUMBER(SEARCH("|"&amp;INDEX(INDIRECT(F_Custom1_resolved_column),2257)&amp;"|",F_Custom1_wrapped)),1,0),0))</f>
        <v>1</v>
      </c>
      <c r="E2258">
        <f>IF(OR(F_Custom2_Q="(None)",F_Custom2_Q="",ISBLANK(F_Custom2_Q),F_Custom2_V="(All)",F_Custom2_V="",ISBLANK(F_Custom2_V)),1,IFERROR(IF(ISNUMBER(SEARCH("|"&amp;INDEX(INDIRECT(F_Custom2_resolved_column),2257)&amp;"|",F_Custom2_wrapped)),1,0),0))</f>
        <v>1</v>
      </c>
      <c r="F2258">
        <f>D2258*E2258*1</f>
        <v>1</v>
      </c>
      <c r="G2258">
        <f>1</f>
        <v>1</v>
      </c>
      <c r="H22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2257)&amp;"|",All_Questions_Q_STREAM_F_wrapped)),1,0),0))*1</f>
        <v>1</v>
      </c>
    </row>
    <row r="2259">
      <c r="A2259" t="n">
        <v>2258</v>
      </c>
      <c r="B2259" t="inlineStr">
        <is>
          <t>B</t>
        </is>
      </c>
      <c r="C2259">
        <f>1</f>
        <v>1</v>
      </c>
      <c r="D2259">
        <f>IF(OR(F_Custom1_Q="(None)",F_Custom1_Q="",ISBLANK(F_Custom1_Q),F_Custom1_V="(All)",F_Custom1_V="",ISBLANK(F_Custom1_V)),1,IFERROR(IF(ISNUMBER(SEARCH("|"&amp;INDEX(INDIRECT(F_Custom1_resolved_column),2258)&amp;"|",F_Custom1_wrapped)),1,0),0))</f>
        <v>1</v>
      </c>
      <c r="E2259">
        <f>IF(OR(F_Custom2_Q="(None)",F_Custom2_Q="",ISBLANK(F_Custom2_Q),F_Custom2_V="(All)",F_Custom2_V="",ISBLANK(F_Custom2_V)),1,IFERROR(IF(ISNUMBER(SEARCH("|"&amp;INDEX(INDIRECT(F_Custom2_resolved_column),2258)&amp;"|",F_Custom2_wrapped)),1,0),0))</f>
        <v>1</v>
      </c>
      <c r="F2259">
        <f>D2259*E2259*1</f>
        <v>1</v>
      </c>
      <c r="G2259">
        <f>1</f>
        <v>1</v>
      </c>
      <c r="H22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2258)&amp;"|",All_Questions_Q_STREAM_F_wrapped)),1,0),0))*1</f>
        <v>1</v>
      </c>
    </row>
    <row r="2260">
      <c r="A2260" t="n">
        <v>2259</v>
      </c>
      <c r="B2260" t="inlineStr">
        <is>
          <t>A</t>
        </is>
      </c>
      <c r="C2260">
        <f>1</f>
        <v>1</v>
      </c>
      <c r="D2260">
        <f>IF(OR(F_Custom1_Q="(None)",F_Custom1_Q="",ISBLANK(F_Custom1_Q),F_Custom1_V="(All)",F_Custom1_V="",ISBLANK(F_Custom1_V)),1,IFERROR(IF(ISNUMBER(SEARCH("|"&amp;INDEX(INDIRECT(F_Custom1_resolved_column),2259)&amp;"|",F_Custom1_wrapped)),1,0),0))</f>
        <v>1</v>
      </c>
      <c r="E2260">
        <f>IF(OR(F_Custom2_Q="(None)",F_Custom2_Q="",ISBLANK(F_Custom2_Q),F_Custom2_V="(All)",F_Custom2_V="",ISBLANK(F_Custom2_V)),1,IFERROR(IF(ISNUMBER(SEARCH("|"&amp;INDEX(INDIRECT(F_Custom2_resolved_column),2259)&amp;"|",F_Custom2_wrapped)),1,0),0))</f>
        <v>1</v>
      </c>
      <c r="F2260">
        <f>D2260*E2260*1</f>
        <v>1</v>
      </c>
      <c r="G2260">
        <f>1</f>
        <v>1</v>
      </c>
      <c r="H22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2259)&amp;"|",All_Questions_Q_STREAM_F_wrapped)),1,0),0))*1</f>
        <v>1</v>
      </c>
    </row>
    <row r="2261">
      <c r="A2261" t="n">
        <v>2260</v>
      </c>
      <c r="B2261" t="inlineStr">
        <is>
          <t>B</t>
        </is>
      </c>
      <c r="C2261">
        <f>1</f>
        <v>1</v>
      </c>
      <c r="D2261">
        <f>IF(OR(F_Custom1_Q="(None)",F_Custom1_Q="",ISBLANK(F_Custom1_Q),F_Custom1_V="(All)",F_Custom1_V="",ISBLANK(F_Custom1_V)),1,IFERROR(IF(ISNUMBER(SEARCH("|"&amp;INDEX(INDIRECT(F_Custom1_resolved_column),2260)&amp;"|",F_Custom1_wrapped)),1,0),0))</f>
        <v>1</v>
      </c>
      <c r="E2261">
        <f>IF(OR(F_Custom2_Q="(None)",F_Custom2_Q="",ISBLANK(F_Custom2_Q),F_Custom2_V="(All)",F_Custom2_V="",ISBLANK(F_Custom2_V)),1,IFERROR(IF(ISNUMBER(SEARCH("|"&amp;INDEX(INDIRECT(F_Custom2_resolved_column),2260)&amp;"|",F_Custom2_wrapped)),1,0),0))</f>
        <v>1</v>
      </c>
      <c r="F2261">
        <f>D2261*E2261*1</f>
        <v>1</v>
      </c>
      <c r="G2261">
        <f>1</f>
        <v>1</v>
      </c>
      <c r="H22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2260)&amp;"|",All_Questions_Q_STREAM_F_wrapped)),1,0),0))*1</f>
        <v>1</v>
      </c>
    </row>
    <row r="2262">
      <c r="A2262" t="n">
        <v>2261</v>
      </c>
      <c r="B2262" t="inlineStr">
        <is>
          <t>A</t>
        </is>
      </c>
      <c r="C2262">
        <f>1</f>
        <v>1</v>
      </c>
      <c r="D2262">
        <f>IF(OR(F_Custom1_Q="(None)",F_Custom1_Q="",ISBLANK(F_Custom1_Q),F_Custom1_V="(All)",F_Custom1_V="",ISBLANK(F_Custom1_V)),1,IFERROR(IF(ISNUMBER(SEARCH("|"&amp;INDEX(INDIRECT(F_Custom1_resolved_column),2261)&amp;"|",F_Custom1_wrapped)),1,0),0))</f>
        <v>1</v>
      </c>
      <c r="E2262">
        <f>IF(OR(F_Custom2_Q="(None)",F_Custom2_Q="",ISBLANK(F_Custom2_Q),F_Custom2_V="(All)",F_Custom2_V="",ISBLANK(F_Custom2_V)),1,IFERROR(IF(ISNUMBER(SEARCH("|"&amp;INDEX(INDIRECT(F_Custom2_resolved_column),2261)&amp;"|",F_Custom2_wrapped)),1,0),0))</f>
        <v>1</v>
      </c>
      <c r="F2262">
        <f>D2262*E2262*1</f>
        <v>1</v>
      </c>
      <c r="G2262">
        <f>1</f>
        <v>1</v>
      </c>
      <c r="H22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2261)&amp;"|",All_Questions_Q_STREAM_F_wrapped)),1,0),0))*1</f>
        <v>1</v>
      </c>
    </row>
    <row r="2263">
      <c r="A2263" t="n">
        <v>2262</v>
      </c>
      <c r="B2263" t="inlineStr">
        <is>
          <t>B</t>
        </is>
      </c>
      <c r="C2263">
        <f>1</f>
        <v>1</v>
      </c>
      <c r="D2263">
        <f>IF(OR(F_Custom1_Q="(None)",F_Custom1_Q="",ISBLANK(F_Custom1_Q),F_Custom1_V="(All)",F_Custom1_V="",ISBLANK(F_Custom1_V)),1,IFERROR(IF(ISNUMBER(SEARCH("|"&amp;INDEX(INDIRECT(F_Custom1_resolved_column),2262)&amp;"|",F_Custom1_wrapped)),1,0),0))</f>
        <v>1</v>
      </c>
      <c r="E2263">
        <f>IF(OR(F_Custom2_Q="(None)",F_Custom2_Q="",ISBLANK(F_Custom2_Q),F_Custom2_V="(All)",F_Custom2_V="",ISBLANK(F_Custom2_V)),1,IFERROR(IF(ISNUMBER(SEARCH("|"&amp;INDEX(INDIRECT(F_Custom2_resolved_column),2262)&amp;"|",F_Custom2_wrapped)),1,0),0))</f>
        <v>1</v>
      </c>
      <c r="F2263">
        <f>D2263*E2263*1</f>
        <v>1</v>
      </c>
      <c r="G2263">
        <f>1</f>
        <v>1</v>
      </c>
      <c r="H22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2262)&amp;"|",All_Questions_Q_STREAM_F_wrapped)),1,0),0))*1</f>
        <v>1</v>
      </c>
    </row>
    <row r="2264">
      <c r="A2264" t="n">
        <v>2263</v>
      </c>
      <c r="B2264" t="inlineStr">
        <is>
          <t>A</t>
        </is>
      </c>
      <c r="C2264">
        <f>1</f>
        <v>1</v>
      </c>
      <c r="D2264">
        <f>IF(OR(F_Custom1_Q="(None)",F_Custom1_Q="",ISBLANK(F_Custom1_Q),F_Custom1_V="(All)",F_Custom1_V="",ISBLANK(F_Custom1_V)),1,IFERROR(IF(ISNUMBER(SEARCH("|"&amp;INDEX(INDIRECT(F_Custom1_resolved_column),2263)&amp;"|",F_Custom1_wrapped)),1,0),0))</f>
        <v>1</v>
      </c>
      <c r="E2264">
        <f>IF(OR(F_Custom2_Q="(None)",F_Custom2_Q="",ISBLANK(F_Custom2_Q),F_Custom2_V="(All)",F_Custom2_V="",ISBLANK(F_Custom2_V)),1,IFERROR(IF(ISNUMBER(SEARCH("|"&amp;INDEX(INDIRECT(F_Custom2_resolved_column),2263)&amp;"|",F_Custom2_wrapped)),1,0),0))</f>
        <v>1</v>
      </c>
      <c r="F2264">
        <f>D2264*E2264*1</f>
        <v>1</v>
      </c>
      <c r="G2264">
        <f>1</f>
        <v>1</v>
      </c>
      <c r="H22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2263)&amp;"|",All_Questions_Q_STREAM_F_wrapped)),1,0),0))*1</f>
        <v>1</v>
      </c>
    </row>
    <row r="2265">
      <c r="A2265" t="n">
        <v>2264</v>
      </c>
      <c r="B2265" t="inlineStr">
        <is>
          <t>B</t>
        </is>
      </c>
      <c r="C2265">
        <f>1</f>
        <v>1</v>
      </c>
      <c r="D2265">
        <f>IF(OR(F_Custom1_Q="(None)",F_Custom1_Q="",ISBLANK(F_Custom1_Q),F_Custom1_V="(All)",F_Custom1_V="",ISBLANK(F_Custom1_V)),1,IFERROR(IF(ISNUMBER(SEARCH("|"&amp;INDEX(INDIRECT(F_Custom1_resolved_column),2264)&amp;"|",F_Custom1_wrapped)),1,0),0))</f>
        <v>1</v>
      </c>
      <c r="E2265">
        <f>IF(OR(F_Custom2_Q="(None)",F_Custom2_Q="",ISBLANK(F_Custom2_Q),F_Custom2_V="(All)",F_Custom2_V="",ISBLANK(F_Custom2_V)),1,IFERROR(IF(ISNUMBER(SEARCH("|"&amp;INDEX(INDIRECT(F_Custom2_resolved_column),2264)&amp;"|",F_Custom2_wrapped)),1,0),0))</f>
        <v>1</v>
      </c>
      <c r="F2265">
        <f>D2265*E2265*1</f>
        <v>1</v>
      </c>
      <c r="G2265">
        <f>1</f>
        <v>1</v>
      </c>
      <c r="H22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2264)&amp;"|",All_Questions_Q_STREAM_F_wrapped)),1,0),0))*1</f>
        <v>1</v>
      </c>
    </row>
    <row r="2266">
      <c r="A2266" t="n">
        <v>2265</v>
      </c>
      <c r="B2266" t="inlineStr">
        <is>
          <t>A</t>
        </is>
      </c>
      <c r="C2266">
        <f>1</f>
        <v>1</v>
      </c>
      <c r="D2266">
        <f>IF(OR(F_Custom1_Q="(None)",F_Custom1_Q="",ISBLANK(F_Custom1_Q),F_Custom1_V="(All)",F_Custom1_V="",ISBLANK(F_Custom1_V)),1,IFERROR(IF(ISNUMBER(SEARCH("|"&amp;INDEX(INDIRECT(F_Custom1_resolved_column),2265)&amp;"|",F_Custom1_wrapped)),1,0),0))</f>
        <v>1</v>
      </c>
      <c r="E2266">
        <f>IF(OR(F_Custom2_Q="(None)",F_Custom2_Q="",ISBLANK(F_Custom2_Q),F_Custom2_V="(All)",F_Custom2_V="",ISBLANK(F_Custom2_V)),1,IFERROR(IF(ISNUMBER(SEARCH("|"&amp;INDEX(INDIRECT(F_Custom2_resolved_column),2265)&amp;"|",F_Custom2_wrapped)),1,0),0))</f>
        <v>1</v>
      </c>
      <c r="F2266">
        <f>D2266*E2266*1</f>
        <v>1</v>
      </c>
      <c r="G2266">
        <f>1</f>
        <v>1</v>
      </c>
      <c r="H22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2265)&amp;"|",All_Questions_Q_STREAM_F_wrapped)),1,0),0))*1</f>
        <v>1</v>
      </c>
    </row>
    <row r="2267">
      <c r="A2267" t="n">
        <v>2266</v>
      </c>
      <c r="B2267" t="inlineStr">
        <is>
          <t>B</t>
        </is>
      </c>
      <c r="C2267">
        <f>1</f>
        <v>1</v>
      </c>
      <c r="D2267">
        <f>IF(OR(F_Custom1_Q="(None)",F_Custom1_Q="",ISBLANK(F_Custom1_Q),F_Custom1_V="(All)",F_Custom1_V="",ISBLANK(F_Custom1_V)),1,IFERROR(IF(ISNUMBER(SEARCH("|"&amp;INDEX(INDIRECT(F_Custom1_resolved_column),2266)&amp;"|",F_Custom1_wrapped)),1,0),0))</f>
        <v>1</v>
      </c>
      <c r="E2267">
        <f>IF(OR(F_Custom2_Q="(None)",F_Custom2_Q="",ISBLANK(F_Custom2_Q),F_Custom2_V="(All)",F_Custom2_V="",ISBLANK(F_Custom2_V)),1,IFERROR(IF(ISNUMBER(SEARCH("|"&amp;INDEX(INDIRECT(F_Custom2_resolved_column),2266)&amp;"|",F_Custom2_wrapped)),1,0),0))</f>
        <v>1</v>
      </c>
      <c r="F2267">
        <f>D2267*E2267*1</f>
        <v>1</v>
      </c>
      <c r="G2267">
        <f>1</f>
        <v>1</v>
      </c>
      <c r="H22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2266)&amp;"|",All_Questions_Q_STREAM_F_wrapped)),1,0),0))*1</f>
        <v>1</v>
      </c>
    </row>
    <row r="2268">
      <c r="A2268" t="n">
        <v>2267</v>
      </c>
      <c r="B2268" t="inlineStr">
        <is>
          <t>A</t>
        </is>
      </c>
      <c r="C2268">
        <f>1</f>
        <v>1</v>
      </c>
      <c r="D2268">
        <f>IF(OR(F_Custom1_Q="(None)",F_Custom1_Q="",ISBLANK(F_Custom1_Q),F_Custom1_V="(All)",F_Custom1_V="",ISBLANK(F_Custom1_V)),1,IFERROR(IF(ISNUMBER(SEARCH("|"&amp;INDEX(INDIRECT(F_Custom1_resolved_column),2267)&amp;"|",F_Custom1_wrapped)),1,0),0))</f>
        <v>1</v>
      </c>
      <c r="E2268">
        <f>IF(OR(F_Custom2_Q="(None)",F_Custom2_Q="",ISBLANK(F_Custom2_Q),F_Custom2_V="(All)",F_Custom2_V="",ISBLANK(F_Custom2_V)),1,IFERROR(IF(ISNUMBER(SEARCH("|"&amp;INDEX(INDIRECT(F_Custom2_resolved_column),2267)&amp;"|",F_Custom2_wrapped)),1,0),0))</f>
        <v>1</v>
      </c>
      <c r="F2268">
        <f>D2268*E2268*1</f>
        <v>1</v>
      </c>
      <c r="G2268">
        <f>1</f>
        <v>1</v>
      </c>
      <c r="H22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2267)&amp;"|",All_Questions_Q_STREAM_F_wrapped)),1,0),0))*1</f>
        <v>1</v>
      </c>
    </row>
    <row r="2269">
      <c r="A2269" t="n">
        <v>2268</v>
      </c>
      <c r="B2269" t="inlineStr">
        <is>
          <t>B</t>
        </is>
      </c>
      <c r="C2269">
        <f>1</f>
        <v>1</v>
      </c>
      <c r="D2269">
        <f>IF(OR(F_Custom1_Q="(None)",F_Custom1_Q="",ISBLANK(F_Custom1_Q),F_Custom1_V="(All)",F_Custom1_V="",ISBLANK(F_Custom1_V)),1,IFERROR(IF(ISNUMBER(SEARCH("|"&amp;INDEX(INDIRECT(F_Custom1_resolved_column),2268)&amp;"|",F_Custom1_wrapped)),1,0),0))</f>
        <v>1</v>
      </c>
      <c r="E2269">
        <f>IF(OR(F_Custom2_Q="(None)",F_Custom2_Q="",ISBLANK(F_Custom2_Q),F_Custom2_V="(All)",F_Custom2_V="",ISBLANK(F_Custom2_V)),1,IFERROR(IF(ISNUMBER(SEARCH("|"&amp;INDEX(INDIRECT(F_Custom2_resolved_column),2268)&amp;"|",F_Custom2_wrapped)),1,0),0))</f>
        <v>1</v>
      </c>
      <c r="F2269">
        <f>D2269*E2269*1</f>
        <v>1</v>
      </c>
      <c r="G2269">
        <f>1</f>
        <v>1</v>
      </c>
      <c r="H22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2268)&amp;"|",All_Questions_Q_STREAM_F_wrapped)),1,0),0))*1</f>
        <v>1</v>
      </c>
    </row>
    <row r="2270">
      <c r="A2270" t="n">
        <v>2269</v>
      </c>
      <c r="B2270" t="inlineStr">
        <is>
          <t>A</t>
        </is>
      </c>
      <c r="C2270">
        <f>1</f>
        <v>1</v>
      </c>
      <c r="D2270">
        <f>IF(OR(F_Custom1_Q="(None)",F_Custom1_Q="",ISBLANK(F_Custom1_Q),F_Custom1_V="(All)",F_Custom1_V="",ISBLANK(F_Custom1_V)),1,IFERROR(IF(ISNUMBER(SEARCH("|"&amp;INDEX(INDIRECT(F_Custom1_resolved_column),2269)&amp;"|",F_Custom1_wrapped)),1,0),0))</f>
        <v>1</v>
      </c>
      <c r="E2270">
        <f>IF(OR(F_Custom2_Q="(None)",F_Custom2_Q="",ISBLANK(F_Custom2_Q),F_Custom2_V="(All)",F_Custom2_V="",ISBLANK(F_Custom2_V)),1,IFERROR(IF(ISNUMBER(SEARCH("|"&amp;INDEX(INDIRECT(F_Custom2_resolved_column),2269)&amp;"|",F_Custom2_wrapped)),1,0),0))</f>
        <v>1</v>
      </c>
      <c r="F2270">
        <f>D2270*E2270*1</f>
        <v>1</v>
      </c>
      <c r="G2270">
        <f>1</f>
        <v>1</v>
      </c>
      <c r="H22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2269)&amp;"|",All_Questions_Q_STREAM_F_wrapped)),1,0),0))*1</f>
        <v>1</v>
      </c>
    </row>
    <row r="2271">
      <c r="A2271" t="n">
        <v>2270</v>
      </c>
      <c r="B2271" t="inlineStr">
        <is>
          <t>B</t>
        </is>
      </c>
      <c r="C2271">
        <f>1</f>
        <v>1</v>
      </c>
      <c r="D2271">
        <f>IF(OR(F_Custom1_Q="(None)",F_Custom1_Q="",ISBLANK(F_Custom1_Q),F_Custom1_V="(All)",F_Custom1_V="",ISBLANK(F_Custom1_V)),1,IFERROR(IF(ISNUMBER(SEARCH("|"&amp;INDEX(INDIRECT(F_Custom1_resolved_column),2270)&amp;"|",F_Custom1_wrapped)),1,0),0))</f>
        <v>1</v>
      </c>
      <c r="E2271">
        <f>IF(OR(F_Custom2_Q="(None)",F_Custom2_Q="",ISBLANK(F_Custom2_Q),F_Custom2_V="(All)",F_Custom2_V="",ISBLANK(F_Custom2_V)),1,IFERROR(IF(ISNUMBER(SEARCH("|"&amp;INDEX(INDIRECT(F_Custom2_resolved_column),2270)&amp;"|",F_Custom2_wrapped)),1,0),0))</f>
        <v>1</v>
      </c>
      <c r="F2271">
        <f>D2271*E2271*1</f>
        <v>1</v>
      </c>
      <c r="G2271">
        <f>1</f>
        <v>1</v>
      </c>
      <c r="H22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2270)&amp;"|",All_Questions_Q_STREAM_F_wrapped)),1,0),0))*1</f>
        <v>1</v>
      </c>
    </row>
    <row r="2272">
      <c r="A2272" t="n">
        <v>2271</v>
      </c>
      <c r="B2272" t="inlineStr">
        <is>
          <t>A</t>
        </is>
      </c>
      <c r="C2272">
        <f>1</f>
        <v>1</v>
      </c>
      <c r="D2272">
        <f>IF(OR(F_Custom1_Q="(None)",F_Custom1_Q="",ISBLANK(F_Custom1_Q),F_Custom1_V="(All)",F_Custom1_V="",ISBLANK(F_Custom1_V)),1,IFERROR(IF(ISNUMBER(SEARCH("|"&amp;INDEX(INDIRECT(F_Custom1_resolved_column),2271)&amp;"|",F_Custom1_wrapped)),1,0),0))</f>
        <v>1</v>
      </c>
      <c r="E2272">
        <f>IF(OR(F_Custom2_Q="(None)",F_Custom2_Q="",ISBLANK(F_Custom2_Q),F_Custom2_V="(All)",F_Custom2_V="",ISBLANK(F_Custom2_V)),1,IFERROR(IF(ISNUMBER(SEARCH("|"&amp;INDEX(INDIRECT(F_Custom2_resolved_column),2271)&amp;"|",F_Custom2_wrapped)),1,0),0))</f>
        <v>1</v>
      </c>
      <c r="F2272">
        <f>D2272*E2272*1</f>
        <v>1</v>
      </c>
      <c r="G2272">
        <f>1</f>
        <v>1</v>
      </c>
      <c r="H22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2271)&amp;"|",All_Questions_Q_STREAM_F_wrapped)),1,0),0))*1</f>
        <v>1</v>
      </c>
    </row>
    <row r="2273">
      <c r="A2273" t="n">
        <v>2272</v>
      </c>
      <c r="B2273" t="inlineStr">
        <is>
          <t>B</t>
        </is>
      </c>
      <c r="C2273">
        <f>1</f>
        <v>1</v>
      </c>
      <c r="D2273">
        <f>IF(OR(F_Custom1_Q="(None)",F_Custom1_Q="",ISBLANK(F_Custom1_Q),F_Custom1_V="(All)",F_Custom1_V="",ISBLANK(F_Custom1_V)),1,IFERROR(IF(ISNUMBER(SEARCH("|"&amp;INDEX(INDIRECT(F_Custom1_resolved_column),2272)&amp;"|",F_Custom1_wrapped)),1,0),0))</f>
        <v>1</v>
      </c>
      <c r="E2273">
        <f>IF(OR(F_Custom2_Q="(None)",F_Custom2_Q="",ISBLANK(F_Custom2_Q),F_Custom2_V="(All)",F_Custom2_V="",ISBLANK(F_Custom2_V)),1,IFERROR(IF(ISNUMBER(SEARCH("|"&amp;INDEX(INDIRECT(F_Custom2_resolved_column),2272)&amp;"|",F_Custom2_wrapped)),1,0),0))</f>
        <v>1</v>
      </c>
      <c r="F2273">
        <f>D2273*E2273*1</f>
        <v>1</v>
      </c>
      <c r="G2273">
        <f>1</f>
        <v>1</v>
      </c>
      <c r="H22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2272)&amp;"|",All_Questions_Q_STREAM_F_wrapped)),1,0),0))*1</f>
        <v>1</v>
      </c>
    </row>
    <row r="2274">
      <c r="A2274" t="n">
        <v>2273</v>
      </c>
      <c r="B2274" t="inlineStr">
        <is>
          <t>A</t>
        </is>
      </c>
      <c r="C2274">
        <f>1</f>
        <v>1</v>
      </c>
      <c r="D2274">
        <f>IF(OR(F_Custom1_Q="(None)",F_Custom1_Q="",ISBLANK(F_Custom1_Q),F_Custom1_V="(All)",F_Custom1_V="",ISBLANK(F_Custom1_V)),1,IFERROR(IF(ISNUMBER(SEARCH("|"&amp;INDEX(INDIRECT(F_Custom1_resolved_column),2273)&amp;"|",F_Custom1_wrapped)),1,0),0))</f>
        <v>1</v>
      </c>
      <c r="E2274">
        <f>IF(OR(F_Custom2_Q="(None)",F_Custom2_Q="",ISBLANK(F_Custom2_Q),F_Custom2_V="(All)",F_Custom2_V="",ISBLANK(F_Custom2_V)),1,IFERROR(IF(ISNUMBER(SEARCH("|"&amp;INDEX(INDIRECT(F_Custom2_resolved_column),2273)&amp;"|",F_Custom2_wrapped)),1,0),0))</f>
        <v>1</v>
      </c>
      <c r="F2274">
        <f>D2274*E2274*1</f>
        <v>1</v>
      </c>
      <c r="G2274">
        <f>1</f>
        <v>1</v>
      </c>
      <c r="H22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2273)&amp;"|",All_Questions_Q_STREAM_F_wrapped)),1,0),0))*1</f>
        <v>1</v>
      </c>
    </row>
    <row r="2275">
      <c r="A2275" t="n">
        <v>2274</v>
      </c>
      <c r="B2275" t="inlineStr">
        <is>
          <t>B</t>
        </is>
      </c>
      <c r="C2275">
        <f>1</f>
        <v>1</v>
      </c>
      <c r="D2275">
        <f>IF(OR(F_Custom1_Q="(None)",F_Custom1_Q="",ISBLANK(F_Custom1_Q),F_Custom1_V="(All)",F_Custom1_V="",ISBLANK(F_Custom1_V)),1,IFERROR(IF(ISNUMBER(SEARCH("|"&amp;INDEX(INDIRECT(F_Custom1_resolved_column),2274)&amp;"|",F_Custom1_wrapped)),1,0),0))</f>
        <v>1</v>
      </c>
      <c r="E2275">
        <f>IF(OR(F_Custom2_Q="(None)",F_Custom2_Q="",ISBLANK(F_Custom2_Q),F_Custom2_V="(All)",F_Custom2_V="",ISBLANK(F_Custom2_V)),1,IFERROR(IF(ISNUMBER(SEARCH("|"&amp;INDEX(INDIRECT(F_Custom2_resolved_column),2274)&amp;"|",F_Custom2_wrapped)),1,0),0))</f>
        <v>1</v>
      </c>
      <c r="F2275">
        <f>D2275*E2275*1</f>
        <v>1</v>
      </c>
      <c r="G2275">
        <f>1</f>
        <v>1</v>
      </c>
      <c r="H22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2274)&amp;"|",All_Questions_Q_STREAM_F_wrapped)),1,0),0))*1</f>
        <v>1</v>
      </c>
    </row>
    <row r="2276">
      <c r="A2276" t="n">
        <v>2275</v>
      </c>
      <c r="B2276" t="inlineStr">
        <is>
          <t>A</t>
        </is>
      </c>
      <c r="C2276">
        <f>1</f>
        <v>1</v>
      </c>
      <c r="D2276">
        <f>IF(OR(F_Custom1_Q="(None)",F_Custom1_Q="",ISBLANK(F_Custom1_Q),F_Custom1_V="(All)",F_Custom1_V="",ISBLANK(F_Custom1_V)),1,IFERROR(IF(ISNUMBER(SEARCH("|"&amp;INDEX(INDIRECT(F_Custom1_resolved_column),2275)&amp;"|",F_Custom1_wrapped)),1,0),0))</f>
        <v>1</v>
      </c>
      <c r="E2276">
        <f>IF(OR(F_Custom2_Q="(None)",F_Custom2_Q="",ISBLANK(F_Custom2_Q),F_Custom2_V="(All)",F_Custom2_V="",ISBLANK(F_Custom2_V)),1,IFERROR(IF(ISNUMBER(SEARCH("|"&amp;INDEX(INDIRECT(F_Custom2_resolved_column),2275)&amp;"|",F_Custom2_wrapped)),1,0),0))</f>
        <v>1</v>
      </c>
      <c r="F2276">
        <f>D2276*E2276*1</f>
        <v>1</v>
      </c>
      <c r="G2276">
        <f>1</f>
        <v>1</v>
      </c>
      <c r="H22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2275)&amp;"|",All_Questions_Q_STREAM_F_wrapped)),1,0),0))*1</f>
        <v>1</v>
      </c>
    </row>
    <row r="2277">
      <c r="A2277" t="n">
        <v>2276</v>
      </c>
      <c r="B2277" t="inlineStr">
        <is>
          <t>B</t>
        </is>
      </c>
      <c r="C2277">
        <f>1</f>
        <v>1</v>
      </c>
      <c r="D2277">
        <f>IF(OR(F_Custom1_Q="(None)",F_Custom1_Q="",ISBLANK(F_Custom1_Q),F_Custom1_V="(All)",F_Custom1_V="",ISBLANK(F_Custom1_V)),1,IFERROR(IF(ISNUMBER(SEARCH("|"&amp;INDEX(INDIRECT(F_Custom1_resolved_column),2276)&amp;"|",F_Custom1_wrapped)),1,0),0))</f>
        <v>1</v>
      </c>
      <c r="E2277">
        <f>IF(OR(F_Custom2_Q="(None)",F_Custom2_Q="",ISBLANK(F_Custom2_Q),F_Custom2_V="(All)",F_Custom2_V="",ISBLANK(F_Custom2_V)),1,IFERROR(IF(ISNUMBER(SEARCH("|"&amp;INDEX(INDIRECT(F_Custom2_resolved_column),2276)&amp;"|",F_Custom2_wrapped)),1,0),0))</f>
        <v>1</v>
      </c>
      <c r="F2277">
        <f>D2277*E2277*1</f>
        <v>1</v>
      </c>
      <c r="G2277">
        <f>1</f>
        <v>1</v>
      </c>
      <c r="H22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2276)&amp;"|",All_Questions_Q_STREAM_F_wrapped)),1,0),0))*1</f>
        <v>1</v>
      </c>
    </row>
    <row r="2278">
      <c r="A2278" t="n">
        <v>2277</v>
      </c>
      <c r="B2278" t="inlineStr">
        <is>
          <t>A</t>
        </is>
      </c>
      <c r="C2278">
        <f>1</f>
        <v>1</v>
      </c>
      <c r="D2278">
        <f>IF(OR(F_Custom1_Q="(None)",F_Custom1_Q="",ISBLANK(F_Custom1_Q),F_Custom1_V="(All)",F_Custom1_V="",ISBLANK(F_Custom1_V)),1,IFERROR(IF(ISNUMBER(SEARCH("|"&amp;INDEX(INDIRECT(F_Custom1_resolved_column),2277)&amp;"|",F_Custom1_wrapped)),1,0),0))</f>
        <v>1</v>
      </c>
      <c r="E2278">
        <f>IF(OR(F_Custom2_Q="(None)",F_Custom2_Q="",ISBLANK(F_Custom2_Q),F_Custom2_V="(All)",F_Custom2_V="",ISBLANK(F_Custom2_V)),1,IFERROR(IF(ISNUMBER(SEARCH("|"&amp;INDEX(INDIRECT(F_Custom2_resolved_column),2277)&amp;"|",F_Custom2_wrapped)),1,0),0))</f>
        <v>1</v>
      </c>
      <c r="F2278">
        <f>D2278*E2278*1</f>
        <v>1</v>
      </c>
      <c r="G2278">
        <f>1</f>
        <v>1</v>
      </c>
      <c r="H22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2277)&amp;"|",All_Questions_Q_STREAM_F_wrapped)),1,0),0))*1</f>
        <v>1</v>
      </c>
    </row>
    <row r="2279">
      <c r="A2279" t="n">
        <v>2278</v>
      </c>
      <c r="B2279" t="inlineStr">
        <is>
          <t>B</t>
        </is>
      </c>
      <c r="C2279">
        <f>1</f>
        <v>1</v>
      </c>
      <c r="D2279">
        <f>IF(OR(F_Custom1_Q="(None)",F_Custom1_Q="",ISBLANK(F_Custom1_Q),F_Custom1_V="(All)",F_Custom1_V="",ISBLANK(F_Custom1_V)),1,IFERROR(IF(ISNUMBER(SEARCH("|"&amp;INDEX(INDIRECT(F_Custom1_resolved_column),2278)&amp;"|",F_Custom1_wrapped)),1,0),0))</f>
        <v>1</v>
      </c>
      <c r="E2279">
        <f>IF(OR(F_Custom2_Q="(None)",F_Custom2_Q="",ISBLANK(F_Custom2_Q),F_Custom2_V="(All)",F_Custom2_V="",ISBLANK(F_Custom2_V)),1,IFERROR(IF(ISNUMBER(SEARCH("|"&amp;INDEX(INDIRECT(F_Custom2_resolved_column),2278)&amp;"|",F_Custom2_wrapped)),1,0),0))</f>
        <v>1</v>
      </c>
      <c r="F2279">
        <f>D2279*E2279*1</f>
        <v>1</v>
      </c>
      <c r="G2279">
        <f>1</f>
        <v>1</v>
      </c>
      <c r="H22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2278)&amp;"|",All_Questions_Q_STREAM_F_wrapped)),1,0),0))*1</f>
        <v>1</v>
      </c>
    </row>
    <row r="2280">
      <c r="A2280" t="n">
        <v>2279</v>
      </c>
      <c r="B2280" t="inlineStr">
        <is>
          <t>A</t>
        </is>
      </c>
      <c r="C2280">
        <f>1</f>
        <v>1</v>
      </c>
      <c r="D2280">
        <f>IF(OR(F_Custom1_Q="(None)",F_Custom1_Q="",ISBLANK(F_Custom1_Q),F_Custom1_V="(All)",F_Custom1_V="",ISBLANK(F_Custom1_V)),1,IFERROR(IF(ISNUMBER(SEARCH("|"&amp;INDEX(INDIRECT(F_Custom1_resolved_column),2279)&amp;"|",F_Custom1_wrapped)),1,0),0))</f>
        <v>1</v>
      </c>
      <c r="E2280">
        <f>IF(OR(F_Custom2_Q="(None)",F_Custom2_Q="",ISBLANK(F_Custom2_Q),F_Custom2_V="(All)",F_Custom2_V="",ISBLANK(F_Custom2_V)),1,IFERROR(IF(ISNUMBER(SEARCH("|"&amp;INDEX(INDIRECT(F_Custom2_resolved_column),2279)&amp;"|",F_Custom2_wrapped)),1,0),0))</f>
        <v>1</v>
      </c>
      <c r="F2280">
        <f>D2280*E2280*1</f>
        <v>1</v>
      </c>
      <c r="G2280">
        <f>1</f>
        <v>1</v>
      </c>
      <c r="H22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2279)&amp;"|",All_Questions_Q_STREAM_F_wrapped)),1,0),0))*1</f>
        <v>1</v>
      </c>
    </row>
    <row r="2281">
      <c r="A2281" t="n">
        <v>2280</v>
      </c>
      <c r="B2281" t="inlineStr">
        <is>
          <t>B</t>
        </is>
      </c>
      <c r="C2281">
        <f>1</f>
        <v>1</v>
      </c>
      <c r="D2281">
        <f>IF(OR(F_Custom1_Q="(None)",F_Custom1_Q="",ISBLANK(F_Custom1_Q),F_Custom1_V="(All)",F_Custom1_V="",ISBLANK(F_Custom1_V)),1,IFERROR(IF(ISNUMBER(SEARCH("|"&amp;INDEX(INDIRECT(F_Custom1_resolved_column),2280)&amp;"|",F_Custom1_wrapped)),1,0),0))</f>
        <v>1</v>
      </c>
      <c r="E2281">
        <f>IF(OR(F_Custom2_Q="(None)",F_Custom2_Q="",ISBLANK(F_Custom2_Q),F_Custom2_V="(All)",F_Custom2_V="",ISBLANK(F_Custom2_V)),1,IFERROR(IF(ISNUMBER(SEARCH("|"&amp;INDEX(INDIRECT(F_Custom2_resolved_column),2280)&amp;"|",F_Custom2_wrapped)),1,0),0))</f>
        <v>1</v>
      </c>
      <c r="F2281">
        <f>D2281*E2281*1</f>
        <v>1</v>
      </c>
      <c r="G2281">
        <f>1</f>
        <v>1</v>
      </c>
      <c r="H22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2280)&amp;"|",All_Questions_Q_STREAM_F_wrapped)),1,0),0))*1</f>
        <v>1</v>
      </c>
    </row>
    <row r="2282">
      <c r="A2282" t="n">
        <v>2281</v>
      </c>
      <c r="B2282" t="inlineStr">
        <is>
          <t>A</t>
        </is>
      </c>
      <c r="C2282">
        <f>1</f>
        <v>1</v>
      </c>
      <c r="D2282">
        <f>IF(OR(F_Custom1_Q="(None)",F_Custom1_Q="",ISBLANK(F_Custom1_Q),F_Custom1_V="(All)",F_Custom1_V="",ISBLANK(F_Custom1_V)),1,IFERROR(IF(ISNUMBER(SEARCH("|"&amp;INDEX(INDIRECT(F_Custom1_resolved_column),2281)&amp;"|",F_Custom1_wrapped)),1,0),0))</f>
        <v>1</v>
      </c>
      <c r="E2282">
        <f>IF(OR(F_Custom2_Q="(None)",F_Custom2_Q="",ISBLANK(F_Custom2_Q),F_Custom2_V="(All)",F_Custom2_V="",ISBLANK(F_Custom2_V)),1,IFERROR(IF(ISNUMBER(SEARCH("|"&amp;INDEX(INDIRECT(F_Custom2_resolved_column),2281)&amp;"|",F_Custom2_wrapped)),1,0),0))</f>
        <v>1</v>
      </c>
      <c r="F2282">
        <f>D2282*E2282*1</f>
        <v>1</v>
      </c>
      <c r="G2282">
        <f>1</f>
        <v>1</v>
      </c>
      <c r="H22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2281)&amp;"|",All_Questions_Q_STREAM_F_wrapped)),1,0),0))*1</f>
        <v>1</v>
      </c>
    </row>
    <row r="2283">
      <c r="A2283" t="n">
        <v>2282</v>
      </c>
      <c r="B2283" t="inlineStr">
        <is>
          <t>B</t>
        </is>
      </c>
      <c r="C2283">
        <f>1</f>
        <v>1</v>
      </c>
      <c r="D2283">
        <f>IF(OR(F_Custom1_Q="(None)",F_Custom1_Q="",ISBLANK(F_Custom1_Q),F_Custom1_V="(All)",F_Custom1_V="",ISBLANK(F_Custom1_V)),1,IFERROR(IF(ISNUMBER(SEARCH("|"&amp;INDEX(INDIRECT(F_Custom1_resolved_column),2282)&amp;"|",F_Custom1_wrapped)),1,0),0))</f>
        <v>1</v>
      </c>
      <c r="E2283">
        <f>IF(OR(F_Custom2_Q="(None)",F_Custom2_Q="",ISBLANK(F_Custom2_Q),F_Custom2_V="(All)",F_Custom2_V="",ISBLANK(F_Custom2_V)),1,IFERROR(IF(ISNUMBER(SEARCH("|"&amp;INDEX(INDIRECT(F_Custom2_resolved_column),2282)&amp;"|",F_Custom2_wrapped)),1,0),0))</f>
        <v>1</v>
      </c>
      <c r="F2283">
        <f>D2283*E2283*1</f>
        <v>1</v>
      </c>
      <c r="G2283">
        <f>1</f>
        <v>1</v>
      </c>
      <c r="H22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2282)&amp;"|",All_Questions_Q_STREAM_F_wrapped)),1,0),0))*1</f>
        <v>1</v>
      </c>
    </row>
    <row r="2284">
      <c r="A2284" t="n">
        <v>2283</v>
      </c>
      <c r="B2284" t="inlineStr">
        <is>
          <t>A</t>
        </is>
      </c>
      <c r="C2284">
        <f>1</f>
        <v>1</v>
      </c>
      <c r="D2284">
        <f>IF(OR(F_Custom1_Q="(None)",F_Custom1_Q="",ISBLANK(F_Custom1_Q),F_Custom1_V="(All)",F_Custom1_V="",ISBLANK(F_Custom1_V)),1,IFERROR(IF(ISNUMBER(SEARCH("|"&amp;INDEX(INDIRECT(F_Custom1_resolved_column),2283)&amp;"|",F_Custom1_wrapped)),1,0),0))</f>
        <v>1</v>
      </c>
      <c r="E2284">
        <f>IF(OR(F_Custom2_Q="(None)",F_Custom2_Q="",ISBLANK(F_Custom2_Q),F_Custom2_V="(All)",F_Custom2_V="",ISBLANK(F_Custom2_V)),1,IFERROR(IF(ISNUMBER(SEARCH("|"&amp;INDEX(INDIRECT(F_Custom2_resolved_column),2283)&amp;"|",F_Custom2_wrapped)),1,0),0))</f>
        <v>1</v>
      </c>
      <c r="F2284">
        <f>D2284*E2284*1</f>
        <v>1</v>
      </c>
      <c r="G2284">
        <f>1</f>
        <v>1</v>
      </c>
      <c r="H22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2283)&amp;"|",All_Questions_Q_STREAM_F_wrapped)),1,0),0))*1</f>
        <v>1</v>
      </c>
    </row>
    <row r="2285">
      <c r="A2285" t="n">
        <v>2284</v>
      </c>
      <c r="B2285" t="inlineStr">
        <is>
          <t>B</t>
        </is>
      </c>
      <c r="C2285">
        <f>1</f>
        <v>1</v>
      </c>
      <c r="D2285">
        <f>IF(OR(F_Custom1_Q="(None)",F_Custom1_Q="",ISBLANK(F_Custom1_Q),F_Custom1_V="(All)",F_Custom1_V="",ISBLANK(F_Custom1_V)),1,IFERROR(IF(ISNUMBER(SEARCH("|"&amp;INDEX(INDIRECT(F_Custom1_resolved_column),2284)&amp;"|",F_Custom1_wrapped)),1,0),0))</f>
        <v>1</v>
      </c>
      <c r="E2285">
        <f>IF(OR(F_Custom2_Q="(None)",F_Custom2_Q="",ISBLANK(F_Custom2_Q),F_Custom2_V="(All)",F_Custom2_V="",ISBLANK(F_Custom2_V)),1,IFERROR(IF(ISNUMBER(SEARCH("|"&amp;INDEX(INDIRECT(F_Custom2_resolved_column),2284)&amp;"|",F_Custom2_wrapped)),1,0),0))</f>
        <v>1</v>
      </c>
      <c r="F2285">
        <f>D2285*E2285*1</f>
        <v>1</v>
      </c>
      <c r="G2285">
        <f>1</f>
        <v>1</v>
      </c>
      <c r="H22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2284)&amp;"|",All_Questions_Q_STREAM_F_wrapped)),1,0),0))*1</f>
        <v>1</v>
      </c>
    </row>
    <row r="2286">
      <c r="A2286" t="n">
        <v>2285</v>
      </c>
      <c r="B2286" t="inlineStr">
        <is>
          <t>A</t>
        </is>
      </c>
      <c r="C2286">
        <f>1</f>
        <v>1</v>
      </c>
      <c r="D2286">
        <f>IF(OR(F_Custom1_Q="(None)",F_Custom1_Q="",ISBLANK(F_Custom1_Q),F_Custom1_V="(All)",F_Custom1_V="",ISBLANK(F_Custom1_V)),1,IFERROR(IF(ISNUMBER(SEARCH("|"&amp;INDEX(INDIRECT(F_Custom1_resolved_column),2285)&amp;"|",F_Custom1_wrapped)),1,0),0))</f>
        <v>1</v>
      </c>
      <c r="E2286">
        <f>IF(OR(F_Custom2_Q="(None)",F_Custom2_Q="",ISBLANK(F_Custom2_Q),F_Custom2_V="(All)",F_Custom2_V="",ISBLANK(F_Custom2_V)),1,IFERROR(IF(ISNUMBER(SEARCH("|"&amp;INDEX(INDIRECT(F_Custom2_resolved_column),2285)&amp;"|",F_Custom2_wrapped)),1,0),0))</f>
        <v>1</v>
      </c>
      <c r="F2286">
        <f>D2286*E2286*1</f>
        <v>1</v>
      </c>
      <c r="G2286">
        <f>1</f>
        <v>1</v>
      </c>
      <c r="H22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2285)&amp;"|",All_Questions_Q_STREAM_F_wrapped)),1,0),0))*1</f>
        <v>1</v>
      </c>
    </row>
    <row r="2287">
      <c r="A2287" t="n">
        <v>2286</v>
      </c>
      <c r="B2287" t="inlineStr">
        <is>
          <t>B</t>
        </is>
      </c>
      <c r="C2287">
        <f>1</f>
        <v>1</v>
      </c>
      <c r="D2287">
        <f>IF(OR(F_Custom1_Q="(None)",F_Custom1_Q="",ISBLANK(F_Custom1_Q),F_Custom1_V="(All)",F_Custom1_V="",ISBLANK(F_Custom1_V)),1,IFERROR(IF(ISNUMBER(SEARCH("|"&amp;INDEX(INDIRECT(F_Custom1_resolved_column),2286)&amp;"|",F_Custom1_wrapped)),1,0),0))</f>
        <v>1</v>
      </c>
      <c r="E2287">
        <f>IF(OR(F_Custom2_Q="(None)",F_Custom2_Q="",ISBLANK(F_Custom2_Q),F_Custom2_V="(All)",F_Custom2_V="",ISBLANK(F_Custom2_V)),1,IFERROR(IF(ISNUMBER(SEARCH("|"&amp;INDEX(INDIRECT(F_Custom2_resolved_column),2286)&amp;"|",F_Custom2_wrapped)),1,0),0))</f>
        <v>1</v>
      </c>
      <c r="F2287">
        <f>D2287*E2287*1</f>
        <v>1</v>
      </c>
      <c r="G2287">
        <f>1</f>
        <v>1</v>
      </c>
      <c r="H22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2286)&amp;"|",All_Questions_Q_STREAM_F_wrapped)),1,0),0))*1</f>
        <v>1</v>
      </c>
    </row>
    <row r="2288">
      <c r="A2288" t="n">
        <v>2287</v>
      </c>
      <c r="B2288" t="inlineStr">
        <is>
          <t>A</t>
        </is>
      </c>
      <c r="C2288">
        <f>1</f>
        <v>1</v>
      </c>
      <c r="D2288">
        <f>IF(OR(F_Custom1_Q="(None)",F_Custom1_Q="",ISBLANK(F_Custom1_Q),F_Custom1_V="(All)",F_Custom1_V="",ISBLANK(F_Custom1_V)),1,IFERROR(IF(ISNUMBER(SEARCH("|"&amp;INDEX(INDIRECT(F_Custom1_resolved_column),2287)&amp;"|",F_Custom1_wrapped)),1,0),0))</f>
        <v>1</v>
      </c>
      <c r="E2288">
        <f>IF(OR(F_Custom2_Q="(None)",F_Custom2_Q="",ISBLANK(F_Custom2_Q),F_Custom2_V="(All)",F_Custom2_V="",ISBLANK(F_Custom2_V)),1,IFERROR(IF(ISNUMBER(SEARCH("|"&amp;INDEX(INDIRECT(F_Custom2_resolved_column),2287)&amp;"|",F_Custom2_wrapped)),1,0),0))</f>
        <v>1</v>
      </c>
      <c r="F2288">
        <f>D2288*E2288*1</f>
        <v>1</v>
      </c>
      <c r="G2288">
        <f>1</f>
        <v>1</v>
      </c>
      <c r="H22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2287)&amp;"|",All_Questions_Q_STREAM_F_wrapped)),1,0),0))*1</f>
        <v>1</v>
      </c>
    </row>
    <row r="2289">
      <c r="A2289" t="n">
        <v>2288</v>
      </c>
      <c r="B2289" t="inlineStr">
        <is>
          <t>B</t>
        </is>
      </c>
      <c r="C2289">
        <f>1</f>
        <v>1</v>
      </c>
      <c r="D2289">
        <f>IF(OR(F_Custom1_Q="(None)",F_Custom1_Q="",ISBLANK(F_Custom1_Q),F_Custom1_V="(All)",F_Custom1_V="",ISBLANK(F_Custom1_V)),1,IFERROR(IF(ISNUMBER(SEARCH("|"&amp;INDEX(INDIRECT(F_Custom1_resolved_column),2288)&amp;"|",F_Custom1_wrapped)),1,0),0))</f>
        <v>1</v>
      </c>
      <c r="E2289">
        <f>IF(OR(F_Custom2_Q="(None)",F_Custom2_Q="",ISBLANK(F_Custom2_Q),F_Custom2_V="(All)",F_Custom2_V="",ISBLANK(F_Custom2_V)),1,IFERROR(IF(ISNUMBER(SEARCH("|"&amp;INDEX(INDIRECT(F_Custom2_resolved_column),2288)&amp;"|",F_Custom2_wrapped)),1,0),0))</f>
        <v>1</v>
      </c>
      <c r="F2289">
        <f>D2289*E2289*1</f>
        <v>1</v>
      </c>
      <c r="G2289">
        <f>1</f>
        <v>1</v>
      </c>
      <c r="H22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2288)&amp;"|",All_Questions_Q_STREAM_F_wrapped)),1,0),0))*1</f>
        <v>1</v>
      </c>
    </row>
    <row r="2290">
      <c r="A2290" t="n">
        <v>2289</v>
      </c>
      <c r="B2290" t="inlineStr">
        <is>
          <t>A</t>
        </is>
      </c>
      <c r="C2290">
        <f>1</f>
        <v>1</v>
      </c>
      <c r="D2290">
        <f>IF(OR(F_Custom1_Q="(None)",F_Custom1_Q="",ISBLANK(F_Custom1_Q),F_Custom1_V="(All)",F_Custom1_V="",ISBLANK(F_Custom1_V)),1,IFERROR(IF(ISNUMBER(SEARCH("|"&amp;INDEX(INDIRECT(F_Custom1_resolved_column),2289)&amp;"|",F_Custom1_wrapped)),1,0),0))</f>
        <v>1</v>
      </c>
      <c r="E2290">
        <f>IF(OR(F_Custom2_Q="(None)",F_Custom2_Q="",ISBLANK(F_Custom2_Q),F_Custom2_V="(All)",F_Custom2_V="",ISBLANK(F_Custom2_V)),1,IFERROR(IF(ISNUMBER(SEARCH("|"&amp;INDEX(INDIRECT(F_Custom2_resolved_column),2289)&amp;"|",F_Custom2_wrapped)),1,0),0))</f>
        <v>1</v>
      </c>
      <c r="F2290">
        <f>D2290*E2290*1</f>
        <v>1</v>
      </c>
      <c r="G2290">
        <f>1</f>
        <v>1</v>
      </c>
      <c r="H22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2289)&amp;"|",All_Questions_Q_STREAM_F_wrapped)),1,0),0))*1</f>
        <v>1</v>
      </c>
    </row>
    <row r="2291">
      <c r="A2291" t="n">
        <v>2290</v>
      </c>
      <c r="B2291" t="inlineStr">
        <is>
          <t>B</t>
        </is>
      </c>
      <c r="C2291">
        <f>1</f>
        <v>1</v>
      </c>
      <c r="D2291">
        <f>IF(OR(F_Custom1_Q="(None)",F_Custom1_Q="",ISBLANK(F_Custom1_Q),F_Custom1_V="(All)",F_Custom1_V="",ISBLANK(F_Custom1_V)),1,IFERROR(IF(ISNUMBER(SEARCH("|"&amp;INDEX(INDIRECT(F_Custom1_resolved_column),2290)&amp;"|",F_Custom1_wrapped)),1,0),0))</f>
        <v>1</v>
      </c>
      <c r="E2291">
        <f>IF(OR(F_Custom2_Q="(None)",F_Custom2_Q="",ISBLANK(F_Custom2_Q),F_Custom2_V="(All)",F_Custom2_V="",ISBLANK(F_Custom2_V)),1,IFERROR(IF(ISNUMBER(SEARCH("|"&amp;INDEX(INDIRECT(F_Custom2_resolved_column),2290)&amp;"|",F_Custom2_wrapped)),1,0),0))</f>
        <v>1</v>
      </c>
      <c r="F2291">
        <f>D2291*E2291*1</f>
        <v>1</v>
      </c>
      <c r="G2291">
        <f>1</f>
        <v>1</v>
      </c>
      <c r="H22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2290)&amp;"|",All_Questions_Q_STREAM_F_wrapped)),1,0),0))*1</f>
        <v>1</v>
      </c>
    </row>
    <row r="2292">
      <c r="A2292" t="n">
        <v>2291</v>
      </c>
      <c r="B2292" t="inlineStr">
        <is>
          <t>A</t>
        </is>
      </c>
      <c r="C2292">
        <f>1</f>
        <v>1</v>
      </c>
      <c r="D2292">
        <f>IF(OR(F_Custom1_Q="(None)",F_Custom1_Q="",ISBLANK(F_Custom1_Q),F_Custom1_V="(All)",F_Custom1_V="",ISBLANK(F_Custom1_V)),1,IFERROR(IF(ISNUMBER(SEARCH("|"&amp;INDEX(INDIRECT(F_Custom1_resolved_column),2291)&amp;"|",F_Custom1_wrapped)),1,0),0))</f>
        <v>1</v>
      </c>
      <c r="E2292">
        <f>IF(OR(F_Custom2_Q="(None)",F_Custom2_Q="",ISBLANK(F_Custom2_Q),F_Custom2_V="(All)",F_Custom2_V="",ISBLANK(F_Custom2_V)),1,IFERROR(IF(ISNUMBER(SEARCH("|"&amp;INDEX(INDIRECT(F_Custom2_resolved_column),2291)&amp;"|",F_Custom2_wrapped)),1,0),0))</f>
        <v>1</v>
      </c>
      <c r="F2292">
        <f>D2292*E2292*1</f>
        <v>1</v>
      </c>
      <c r="G2292">
        <f>1</f>
        <v>1</v>
      </c>
      <c r="H22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2291)&amp;"|",All_Questions_Q_STREAM_F_wrapped)),1,0),0))*1</f>
        <v>1</v>
      </c>
    </row>
    <row r="2293">
      <c r="A2293" t="n">
        <v>2292</v>
      </c>
      <c r="B2293" t="inlineStr">
        <is>
          <t>B</t>
        </is>
      </c>
      <c r="C2293">
        <f>1</f>
        <v>1</v>
      </c>
      <c r="D2293">
        <f>IF(OR(F_Custom1_Q="(None)",F_Custom1_Q="",ISBLANK(F_Custom1_Q),F_Custom1_V="(All)",F_Custom1_V="",ISBLANK(F_Custom1_V)),1,IFERROR(IF(ISNUMBER(SEARCH("|"&amp;INDEX(INDIRECT(F_Custom1_resolved_column),2292)&amp;"|",F_Custom1_wrapped)),1,0),0))</f>
        <v>1</v>
      </c>
      <c r="E2293">
        <f>IF(OR(F_Custom2_Q="(None)",F_Custom2_Q="",ISBLANK(F_Custom2_Q),F_Custom2_V="(All)",F_Custom2_V="",ISBLANK(F_Custom2_V)),1,IFERROR(IF(ISNUMBER(SEARCH("|"&amp;INDEX(INDIRECT(F_Custom2_resolved_column),2292)&amp;"|",F_Custom2_wrapped)),1,0),0))</f>
        <v>1</v>
      </c>
      <c r="F2293">
        <f>D2293*E2293*1</f>
        <v>1</v>
      </c>
      <c r="G2293">
        <f>1</f>
        <v>1</v>
      </c>
      <c r="H22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2292)&amp;"|",All_Questions_Q_STREAM_F_wrapped)),1,0),0))*1</f>
        <v>1</v>
      </c>
    </row>
    <row r="2294">
      <c r="A2294" t="n">
        <v>2293</v>
      </c>
      <c r="B2294" t="inlineStr">
        <is>
          <t>A</t>
        </is>
      </c>
      <c r="C2294">
        <f>1</f>
        <v>1</v>
      </c>
      <c r="D2294">
        <f>IF(OR(F_Custom1_Q="(None)",F_Custom1_Q="",ISBLANK(F_Custom1_Q),F_Custom1_V="(All)",F_Custom1_V="",ISBLANK(F_Custom1_V)),1,IFERROR(IF(ISNUMBER(SEARCH("|"&amp;INDEX(INDIRECT(F_Custom1_resolved_column),2293)&amp;"|",F_Custom1_wrapped)),1,0),0))</f>
        <v>1</v>
      </c>
      <c r="E2294">
        <f>IF(OR(F_Custom2_Q="(None)",F_Custom2_Q="",ISBLANK(F_Custom2_Q),F_Custom2_V="(All)",F_Custom2_V="",ISBLANK(F_Custom2_V)),1,IFERROR(IF(ISNUMBER(SEARCH("|"&amp;INDEX(INDIRECT(F_Custom2_resolved_column),2293)&amp;"|",F_Custom2_wrapped)),1,0),0))</f>
        <v>1</v>
      </c>
      <c r="F2294">
        <f>D2294*E2294*1</f>
        <v>1</v>
      </c>
      <c r="G2294">
        <f>1</f>
        <v>1</v>
      </c>
      <c r="H22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2293)&amp;"|",All_Questions_Q_STREAM_F_wrapped)),1,0),0))*1</f>
        <v>1</v>
      </c>
    </row>
    <row r="2295">
      <c r="A2295" t="n">
        <v>2294</v>
      </c>
      <c r="B2295" t="inlineStr">
        <is>
          <t>B</t>
        </is>
      </c>
      <c r="C2295">
        <f>1</f>
        <v>1</v>
      </c>
      <c r="D2295">
        <f>IF(OR(F_Custom1_Q="(None)",F_Custom1_Q="",ISBLANK(F_Custom1_Q),F_Custom1_V="(All)",F_Custom1_V="",ISBLANK(F_Custom1_V)),1,IFERROR(IF(ISNUMBER(SEARCH("|"&amp;INDEX(INDIRECT(F_Custom1_resolved_column),2294)&amp;"|",F_Custom1_wrapped)),1,0),0))</f>
        <v>1</v>
      </c>
      <c r="E2295">
        <f>IF(OR(F_Custom2_Q="(None)",F_Custom2_Q="",ISBLANK(F_Custom2_Q),F_Custom2_V="(All)",F_Custom2_V="",ISBLANK(F_Custom2_V)),1,IFERROR(IF(ISNUMBER(SEARCH("|"&amp;INDEX(INDIRECT(F_Custom2_resolved_column),2294)&amp;"|",F_Custom2_wrapped)),1,0),0))</f>
        <v>1</v>
      </c>
      <c r="F2295">
        <f>D2295*E2295*1</f>
        <v>1</v>
      </c>
      <c r="G2295">
        <f>1</f>
        <v>1</v>
      </c>
      <c r="H22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2294)&amp;"|",All_Questions_Q_STREAM_F_wrapped)),1,0),0))*1</f>
        <v>1</v>
      </c>
    </row>
    <row r="2296">
      <c r="A2296" t="n">
        <v>2295</v>
      </c>
      <c r="B2296" t="inlineStr">
        <is>
          <t>A</t>
        </is>
      </c>
      <c r="C2296">
        <f>1</f>
        <v>1</v>
      </c>
      <c r="D2296">
        <f>IF(OR(F_Custom1_Q="(None)",F_Custom1_Q="",ISBLANK(F_Custom1_Q),F_Custom1_V="(All)",F_Custom1_V="",ISBLANK(F_Custom1_V)),1,IFERROR(IF(ISNUMBER(SEARCH("|"&amp;INDEX(INDIRECT(F_Custom1_resolved_column),2295)&amp;"|",F_Custom1_wrapped)),1,0),0))</f>
        <v>1</v>
      </c>
      <c r="E2296">
        <f>IF(OR(F_Custom2_Q="(None)",F_Custom2_Q="",ISBLANK(F_Custom2_Q),F_Custom2_V="(All)",F_Custom2_V="",ISBLANK(F_Custom2_V)),1,IFERROR(IF(ISNUMBER(SEARCH("|"&amp;INDEX(INDIRECT(F_Custom2_resolved_column),2295)&amp;"|",F_Custom2_wrapped)),1,0),0))</f>
        <v>1</v>
      </c>
      <c r="F2296">
        <f>D2296*E2296*1</f>
        <v>1</v>
      </c>
      <c r="G2296">
        <f>1</f>
        <v>1</v>
      </c>
      <c r="H22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2295)&amp;"|",All_Questions_Q_STREAM_F_wrapped)),1,0),0))*1</f>
        <v>1</v>
      </c>
    </row>
    <row r="2297">
      <c r="A2297" t="n">
        <v>2296</v>
      </c>
      <c r="B2297" t="inlineStr">
        <is>
          <t>B</t>
        </is>
      </c>
      <c r="C2297">
        <f>1</f>
        <v>1</v>
      </c>
      <c r="D2297">
        <f>IF(OR(F_Custom1_Q="(None)",F_Custom1_Q="",ISBLANK(F_Custom1_Q),F_Custom1_V="(All)",F_Custom1_V="",ISBLANK(F_Custom1_V)),1,IFERROR(IF(ISNUMBER(SEARCH("|"&amp;INDEX(INDIRECT(F_Custom1_resolved_column),2296)&amp;"|",F_Custom1_wrapped)),1,0),0))</f>
        <v>1</v>
      </c>
      <c r="E2297">
        <f>IF(OR(F_Custom2_Q="(None)",F_Custom2_Q="",ISBLANK(F_Custom2_Q),F_Custom2_V="(All)",F_Custom2_V="",ISBLANK(F_Custom2_V)),1,IFERROR(IF(ISNUMBER(SEARCH("|"&amp;INDEX(INDIRECT(F_Custom2_resolved_column),2296)&amp;"|",F_Custom2_wrapped)),1,0),0))</f>
        <v>1</v>
      </c>
      <c r="F2297">
        <f>D2297*E2297*1</f>
        <v>1</v>
      </c>
      <c r="G2297">
        <f>1</f>
        <v>1</v>
      </c>
      <c r="H22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2296)&amp;"|",All_Questions_Q_STREAM_F_wrapped)),1,0),0))*1</f>
        <v>1</v>
      </c>
    </row>
    <row r="2298">
      <c r="A2298" t="n">
        <v>2297</v>
      </c>
      <c r="B2298" t="inlineStr">
        <is>
          <t>A</t>
        </is>
      </c>
      <c r="C2298">
        <f>1</f>
        <v>1</v>
      </c>
      <c r="D2298">
        <f>IF(OR(F_Custom1_Q="(None)",F_Custom1_Q="",ISBLANK(F_Custom1_Q),F_Custom1_V="(All)",F_Custom1_V="",ISBLANK(F_Custom1_V)),1,IFERROR(IF(ISNUMBER(SEARCH("|"&amp;INDEX(INDIRECT(F_Custom1_resolved_column),2297)&amp;"|",F_Custom1_wrapped)),1,0),0))</f>
        <v>1</v>
      </c>
      <c r="E2298">
        <f>IF(OR(F_Custom2_Q="(None)",F_Custom2_Q="",ISBLANK(F_Custom2_Q),F_Custom2_V="(All)",F_Custom2_V="",ISBLANK(F_Custom2_V)),1,IFERROR(IF(ISNUMBER(SEARCH("|"&amp;INDEX(INDIRECT(F_Custom2_resolved_column),2297)&amp;"|",F_Custom2_wrapped)),1,0),0))</f>
        <v>1</v>
      </c>
      <c r="F2298">
        <f>D2298*E2298*1</f>
        <v>1</v>
      </c>
      <c r="G2298">
        <f>1</f>
        <v>1</v>
      </c>
      <c r="H22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2297)&amp;"|",All_Questions_Q_STREAM_F_wrapped)),1,0),0))*1</f>
        <v>1</v>
      </c>
    </row>
    <row r="2299">
      <c r="A2299" t="n">
        <v>2298</v>
      </c>
      <c r="B2299" t="inlineStr">
        <is>
          <t>B</t>
        </is>
      </c>
      <c r="C2299">
        <f>1</f>
        <v>1</v>
      </c>
      <c r="D2299">
        <f>IF(OR(F_Custom1_Q="(None)",F_Custom1_Q="",ISBLANK(F_Custom1_Q),F_Custom1_V="(All)",F_Custom1_V="",ISBLANK(F_Custom1_V)),1,IFERROR(IF(ISNUMBER(SEARCH("|"&amp;INDEX(INDIRECT(F_Custom1_resolved_column),2298)&amp;"|",F_Custom1_wrapped)),1,0),0))</f>
        <v>1</v>
      </c>
      <c r="E2299">
        <f>IF(OR(F_Custom2_Q="(None)",F_Custom2_Q="",ISBLANK(F_Custom2_Q),F_Custom2_V="(All)",F_Custom2_V="",ISBLANK(F_Custom2_V)),1,IFERROR(IF(ISNUMBER(SEARCH("|"&amp;INDEX(INDIRECT(F_Custom2_resolved_column),2298)&amp;"|",F_Custom2_wrapped)),1,0),0))</f>
        <v>1</v>
      </c>
      <c r="F2299">
        <f>D2299*E2299*1</f>
        <v>1</v>
      </c>
      <c r="G2299">
        <f>1</f>
        <v>1</v>
      </c>
      <c r="H22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2298)&amp;"|",All_Questions_Q_STREAM_F_wrapped)),1,0),0))*1</f>
        <v>1</v>
      </c>
    </row>
    <row r="2300">
      <c r="A2300" t="n">
        <v>2299</v>
      </c>
      <c r="B2300" t="inlineStr">
        <is>
          <t>A</t>
        </is>
      </c>
      <c r="C2300">
        <f>1</f>
        <v>1</v>
      </c>
      <c r="D2300">
        <f>IF(OR(F_Custom1_Q="(None)",F_Custom1_Q="",ISBLANK(F_Custom1_Q),F_Custom1_V="(All)",F_Custom1_V="",ISBLANK(F_Custom1_V)),1,IFERROR(IF(ISNUMBER(SEARCH("|"&amp;INDEX(INDIRECT(F_Custom1_resolved_column),2299)&amp;"|",F_Custom1_wrapped)),1,0),0))</f>
        <v>1</v>
      </c>
      <c r="E2300">
        <f>IF(OR(F_Custom2_Q="(None)",F_Custom2_Q="",ISBLANK(F_Custom2_Q),F_Custom2_V="(All)",F_Custom2_V="",ISBLANK(F_Custom2_V)),1,IFERROR(IF(ISNUMBER(SEARCH("|"&amp;INDEX(INDIRECT(F_Custom2_resolved_column),2299)&amp;"|",F_Custom2_wrapped)),1,0),0))</f>
        <v>1</v>
      </c>
      <c r="F2300">
        <f>D2300*E2300*1</f>
        <v>1</v>
      </c>
      <c r="G2300">
        <f>1</f>
        <v>1</v>
      </c>
      <c r="H23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2299)&amp;"|",All_Questions_Q_STREAM_F_wrapped)),1,0),0))*1</f>
        <v>1</v>
      </c>
    </row>
    <row r="2301">
      <c r="A2301" t="n">
        <v>2300</v>
      </c>
      <c r="B2301" t="inlineStr">
        <is>
          <t>B</t>
        </is>
      </c>
      <c r="C2301">
        <f>1</f>
        <v>1</v>
      </c>
      <c r="D2301">
        <f>IF(OR(F_Custom1_Q="(None)",F_Custom1_Q="",ISBLANK(F_Custom1_Q),F_Custom1_V="(All)",F_Custom1_V="",ISBLANK(F_Custom1_V)),1,IFERROR(IF(ISNUMBER(SEARCH("|"&amp;INDEX(INDIRECT(F_Custom1_resolved_column),2300)&amp;"|",F_Custom1_wrapped)),1,0),0))</f>
        <v>1</v>
      </c>
      <c r="E2301">
        <f>IF(OR(F_Custom2_Q="(None)",F_Custom2_Q="",ISBLANK(F_Custom2_Q),F_Custom2_V="(All)",F_Custom2_V="",ISBLANK(F_Custom2_V)),1,IFERROR(IF(ISNUMBER(SEARCH("|"&amp;INDEX(INDIRECT(F_Custom2_resolved_column),2300)&amp;"|",F_Custom2_wrapped)),1,0),0))</f>
        <v>1</v>
      </c>
      <c r="F2301">
        <f>D2301*E2301*1</f>
        <v>1</v>
      </c>
      <c r="G2301">
        <f>1</f>
        <v>1</v>
      </c>
      <c r="H23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2300)&amp;"|",All_Questions_Q_STREAM_F_wrapped)),1,0),0))*1</f>
        <v>1</v>
      </c>
    </row>
    <row r="2302">
      <c r="A2302" t="n">
        <v>2301</v>
      </c>
      <c r="B2302" t="inlineStr">
        <is>
          <t>A</t>
        </is>
      </c>
      <c r="C2302">
        <f>1</f>
        <v>1</v>
      </c>
      <c r="D2302">
        <f>IF(OR(F_Custom1_Q="(None)",F_Custom1_Q="",ISBLANK(F_Custom1_Q),F_Custom1_V="(All)",F_Custom1_V="",ISBLANK(F_Custom1_V)),1,IFERROR(IF(ISNUMBER(SEARCH("|"&amp;INDEX(INDIRECT(F_Custom1_resolved_column),2301)&amp;"|",F_Custom1_wrapped)),1,0),0))</f>
        <v>1</v>
      </c>
      <c r="E2302">
        <f>IF(OR(F_Custom2_Q="(None)",F_Custom2_Q="",ISBLANK(F_Custom2_Q),F_Custom2_V="(All)",F_Custom2_V="",ISBLANK(F_Custom2_V)),1,IFERROR(IF(ISNUMBER(SEARCH("|"&amp;INDEX(INDIRECT(F_Custom2_resolved_column),2301)&amp;"|",F_Custom2_wrapped)),1,0),0))</f>
        <v>1</v>
      </c>
      <c r="F2302">
        <f>D2302*E2302*1</f>
        <v>1</v>
      </c>
      <c r="G2302">
        <f>1</f>
        <v>1</v>
      </c>
      <c r="H23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2301)&amp;"|",All_Questions_Q_STREAM_F_wrapped)),1,0),0))*1</f>
        <v>1</v>
      </c>
    </row>
    <row r="2303">
      <c r="A2303" t="n">
        <v>2302</v>
      </c>
      <c r="B2303" t="inlineStr">
        <is>
          <t>B</t>
        </is>
      </c>
      <c r="C2303">
        <f>1</f>
        <v>1</v>
      </c>
      <c r="D2303">
        <f>IF(OR(F_Custom1_Q="(None)",F_Custom1_Q="",ISBLANK(F_Custom1_Q),F_Custom1_V="(All)",F_Custom1_V="",ISBLANK(F_Custom1_V)),1,IFERROR(IF(ISNUMBER(SEARCH("|"&amp;INDEX(INDIRECT(F_Custom1_resolved_column),2302)&amp;"|",F_Custom1_wrapped)),1,0),0))</f>
        <v>1</v>
      </c>
      <c r="E2303">
        <f>IF(OR(F_Custom2_Q="(None)",F_Custom2_Q="",ISBLANK(F_Custom2_Q),F_Custom2_V="(All)",F_Custom2_V="",ISBLANK(F_Custom2_V)),1,IFERROR(IF(ISNUMBER(SEARCH("|"&amp;INDEX(INDIRECT(F_Custom2_resolved_column),2302)&amp;"|",F_Custom2_wrapped)),1,0),0))</f>
        <v>1</v>
      </c>
      <c r="F2303">
        <f>D2303*E2303*1</f>
        <v>1</v>
      </c>
      <c r="G2303">
        <f>1</f>
        <v>1</v>
      </c>
      <c r="H23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2302)&amp;"|",All_Questions_Q_STREAM_F_wrapped)),1,0),0))*1</f>
        <v>1</v>
      </c>
    </row>
    <row r="2304">
      <c r="A2304" t="n">
        <v>2303</v>
      </c>
      <c r="B2304" t="inlineStr">
        <is>
          <t>A</t>
        </is>
      </c>
      <c r="C2304">
        <f>1</f>
        <v>1</v>
      </c>
      <c r="D2304">
        <f>IF(OR(F_Custom1_Q="(None)",F_Custom1_Q="",ISBLANK(F_Custom1_Q),F_Custom1_V="(All)",F_Custom1_V="",ISBLANK(F_Custom1_V)),1,IFERROR(IF(ISNUMBER(SEARCH("|"&amp;INDEX(INDIRECT(F_Custom1_resolved_column),2303)&amp;"|",F_Custom1_wrapped)),1,0),0))</f>
        <v>1</v>
      </c>
      <c r="E2304">
        <f>IF(OR(F_Custom2_Q="(None)",F_Custom2_Q="",ISBLANK(F_Custom2_Q),F_Custom2_V="(All)",F_Custom2_V="",ISBLANK(F_Custom2_V)),1,IFERROR(IF(ISNUMBER(SEARCH("|"&amp;INDEX(INDIRECT(F_Custom2_resolved_column),2303)&amp;"|",F_Custom2_wrapped)),1,0),0))</f>
        <v>1</v>
      </c>
      <c r="F2304">
        <f>D2304*E2304*1</f>
        <v>1</v>
      </c>
      <c r="G2304">
        <f>1</f>
        <v>1</v>
      </c>
      <c r="H23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2303)&amp;"|",All_Questions_Q_STREAM_F_wrapped)),1,0),0))*1</f>
        <v>1</v>
      </c>
    </row>
    <row r="2305">
      <c r="A2305" t="n">
        <v>2304</v>
      </c>
      <c r="B2305" t="inlineStr">
        <is>
          <t>B</t>
        </is>
      </c>
      <c r="C2305">
        <f>1</f>
        <v>1</v>
      </c>
      <c r="D2305">
        <f>IF(OR(F_Custom1_Q="(None)",F_Custom1_Q="",ISBLANK(F_Custom1_Q),F_Custom1_V="(All)",F_Custom1_V="",ISBLANK(F_Custom1_V)),1,IFERROR(IF(ISNUMBER(SEARCH("|"&amp;INDEX(INDIRECT(F_Custom1_resolved_column),2304)&amp;"|",F_Custom1_wrapped)),1,0),0))</f>
        <v>1</v>
      </c>
      <c r="E2305">
        <f>IF(OR(F_Custom2_Q="(None)",F_Custom2_Q="",ISBLANK(F_Custom2_Q),F_Custom2_V="(All)",F_Custom2_V="",ISBLANK(F_Custom2_V)),1,IFERROR(IF(ISNUMBER(SEARCH("|"&amp;INDEX(INDIRECT(F_Custom2_resolved_column),2304)&amp;"|",F_Custom2_wrapped)),1,0),0))</f>
        <v>1</v>
      </c>
      <c r="F2305">
        <f>D2305*E2305*1</f>
        <v>1</v>
      </c>
      <c r="G2305">
        <f>1</f>
        <v>1</v>
      </c>
      <c r="H23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2304)&amp;"|",All_Questions_Q_STREAM_F_wrapped)),1,0),0))*1</f>
        <v>1</v>
      </c>
    </row>
    <row r="2306">
      <c r="A2306" t="n">
        <v>2305</v>
      </c>
      <c r="B2306" t="inlineStr">
        <is>
          <t>A</t>
        </is>
      </c>
      <c r="C2306">
        <f>1</f>
        <v>1</v>
      </c>
      <c r="D2306">
        <f>IF(OR(F_Custom1_Q="(None)",F_Custom1_Q="",ISBLANK(F_Custom1_Q),F_Custom1_V="(All)",F_Custom1_V="",ISBLANK(F_Custom1_V)),1,IFERROR(IF(ISNUMBER(SEARCH("|"&amp;INDEX(INDIRECT(F_Custom1_resolved_column),2305)&amp;"|",F_Custom1_wrapped)),1,0),0))</f>
        <v>1</v>
      </c>
      <c r="E2306">
        <f>IF(OR(F_Custom2_Q="(None)",F_Custom2_Q="",ISBLANK(F_Custom2_Q),F_Custom2_V="(All)",F_Custom2_V="",ISBLANK(F_Custom2_V)),1,IFERROR(IF(ISNUMBER(SEARCH("|"&amp;INDEX(INDIRECT(F_Custom2_resolved_column),2305)&amp;"|",F_Custom2_wrapped)),1,0),0))</f>
        <v>1</v>
      </c>
      <c r="F2306">
        <f>D2306*E2306*1</f>
        <v>1</v>
      </c>
      <c r="G2306">
        <f>1</f>
        <v>1</v>
      </c>
      <c r="H23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2305)&amp;"|",All_Questions_Q_STREAM_F_wrapped)),1,0),0))*1</f>
        <v>1</v>
      </c>
    </row>
    <row r="2307">
      <c r="A2307" t="n">
        <v>2306</v>
      </c>
      <c r="B2307" t="inlineStr">
        <is>
          <t>B</t>
        </is>
      </c>
      <c r="C2307">
        <f>1</f>
        <v>1</v>
      </c>
      <c r="D2307">
        <f>IF(OR(F_Custom1_Q="(None)",F_Custom1_Q="",ISBLANK(F_Custom1_Q),F_Custom1_V="(All)",F_Custom1_V="",ISBLANK(F_Custom1_V)),1,IFERROR(IF(ISNUMBER(SEARCH("|"&amp;INDEX(INDIRECT(F_Custom1_resolved_column),2306)&amp;"|",F_Custom1_wrapped)),1,0),0))</f>
        <v>1</v>
      </c>
      <c r="E2307">
        <f>IF(OR(F_Custom2_Q="(None)",F_Custom2_Q="",ISBLANK(F_Custom2_Q),F_Custom2_V="(All)",F_Custom2_V="",ISBLANK(F_Custom2_V)),1,IFERROR(IF(ISNUMBER(SEARCH("|"&amp;INDEX(INDIRECT(F_Custom2_resolved_column),2306)&amp;"|",F_Custom2_wrapped)),1,0),0))</f>
        <v>1</v>
      </c>
      <c r="F2307">
        <f>D2307*E2307*1</f>
        <v>1</v>
      </c>
      <c r="G2307">
        <f>1</f>
        <v>1</v>
      </c>
      <c r="H23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2306)&amp;"|",All_Questions_Q_STREAM_F_wrapped)),1,0),0))*1</f>
        <v>1</v>
      </c>
    </row>
    <row r="2308">
      <c r="A2308" t="n">
        <v>2307</v>
      </c>
      <c r="B2308" t="inlineStr">
        <is>
          <t>A</t>
        </is>
      </c>
      <c r="C2308">
        <f>1</f>
        <v>1</v>
      </c>
      <c r="D2308">
        <f>IF(OR(F_Custom1_Q="(None)",F_Custom1_Q="",ISBLANK(F_Custom1_Q),F_Custom1_V="(All)",F_Custom1_V="",ISBLANK(F_Custom1_V)),1,IFERROR(IF(ISNUMBER(SEARCH("|"&amp;INDEX(INDIRECT(F_Custom1_resolved_column),2307)&amp;"|",F_Custom1_wrapped)),1,0),0))</f>
        <v>1</v>
      </c>
      <c r="E2308">
        <f>IF(OR(F_Custom2_Q="(None)",F_Custom2_Q="",ISBLANK(F_Custom2_Q),F_Custom2_V="(All)",F_Custom2_V="",ISBLANK(F_Custom2_V)),1,IFERROR(IF(ISNUMBER(SEARCH("|"&amp;INDEX(INDIRECT(F_Custom2_resolved_column),2307)&amp;"|",F_Custom2_wrapped)),1,0),0))</f>
        <v>1</v>
      </c>
      <c r="F2308">
        <f>D2308*E2308*1</f>
        <v>1</v>
      </c>
      <c r="G2308">
        <f>1</f>
        <v>1</v>
      </c>
      <c r="H23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2307)&amp;"|",All_Questions_Q_STREAM_F_wrapped)),1,0),0))*1</f>
        <v>1</v>
      </c>
    </row>
    <row r="2309">
      <c r="A2309" t="n">
        <v>2308</v>
      </c>
      <c r="B2309" t="inlineStr">
        <is>
          <t>B</t>
        </is>
      </c>
      <c r="C2309">
        <f>1</f>
        <v>1</v>
      </c>
      <c r="D2309">
        <f>IF(OR(F_Custom1_Q="(None)",F_Custom1_Q="",ISBLANK(F_Custom1_Q),F_Custom1_V="(All)",F_Custom1_V="",ISBLANK(F_Custom1_V)),1,IFERROR(IF(ISNUMBER(SEARCH("|"&amp;INDEX(INDIRECT(F_Custom1_resolved_column),2308)&amp;"|",F_Custom1_wrapped)),1,0),0))</f>
        <v>1</v>
      </c>
      <c r="E2309">
        <f>IF(OR(F_Custom2_Q="(None)",F_Custom2_Q="",ISBLANK(F_Custom2_Q),F_Custom2_V="(All)",F_Custom2_V="",ISBLANK(F_Custom2_V)),1,IFERROR(IF(ISNUMBER(SEARCH("|"&amp;INDEX(INDIRECT(F_Custom2_resolved_column),2308)&amp;"|",F_Custom2_wrapped)),1,0),0))</f>
        <v>1</v>
      </c>
      <c r="F2309">
        <f>D2309*E2309*1</f>
        <v>1</v>
      </c>
      <c r="G2309">
        <f>1</f>
        <v>1</v>
      </c>
      <c r="H23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2308)&amp;"|",All_Questions_Q_STREAM_F_wrapped)),1,0),0))*1</f>
        <v>1</v>
      </c>
    </row>
    <row r="2310">
      <c r="A2310" t="n">
        <v>2309</v>
      </c>
      <c r="B2310" t="inlineStr">
        <is>
          <t>A</t>
        </is>
      </c>
      <c r="C2310">
        <f>1</f>
        <v>1</v>
      </c>
      <c r="D2310">
        <f>IF(OR(F_Custom1_Q="(None)",F_Custom1_Q="",ISBLANK(F_Custom1_Q),F_Custom1_V="(All)",F_Custom1_V="",ISBLANK(F_Custom1_V)),1,IFERROR(IF(ISNUMBER(SEARCH("|"&amp;INDEX(INDIRECT(F_Custom1_resolved_column),2309)&amp;"|",F_Custom1_wrapped)),1,0),0))</f>
        <v>1</v>
      </c>
      <c r="E2310">
        <f>IF(OR(F_Custom2_Q="(None)",F_Custom2_Q="",ISBLANK(F_Custom2_Q),F_Custom2_V="(All)",F_Custom2_V="",ISBLANK(F_Custom2_V)),1,IFERROR(IF(ISNUMBER(SEARCH("|"&amp;INDEX(INDIRECT(F_Custom2_resolved_column),2309)&amp;"|",F_Custom2_wrapped)),1,0),0))</f>
        <v>1</v>
      </c>
      <c r="F2310">
        <f>D2310*E2310*1</f>
        <v>1</v>
      </c>
      <c r="G2310">
        <f>1</f>
        <v>1</v>
      </c>
      <c r="H23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2309)&amp;"|",All_Questions_Q_STREAM_F_wrapped)),1,0),0))*1</f>
        <v>1</v>
      </c>
    </row>
    <row r="2311">
      <c r="A2311" t="n">
        <v>2310</v>
      </c>
      <c r="B2311" t="inlineStr">
        <is>
          <t>B</t>
        </is>
      </c>
      <c r="C2311">
        <f>1</f>
        <v>1</v>
      </c>
      <c r="D2311">
        <f>IF(OR(F_Custom1_Q="(None)",F_Custom1_Q="",ISBLANK(F_Custom1_Q),F_Custom1_V="(All)",F_Custom1_V="",ISBLANK(F_Custom1_V)),1,IFERROR(IF(ISNUMBER(SEARCH("|"&amp;INDEX(INDIRECT(F_Custom1_resolved_column),2310)&amp;"|",F_Custom1_wrapped)),1,0),0))</f>
        <v>1</v>
      </c>
      <c r="E2311">
        <f>IF(OR(F_Custom2_Q="(None)",F_Custom2_Q="",ISBLANK(F_Custom2_Q),F_Custom2_V="(All)",F_Custom2_V="",ISBLANK(F_Custom2_V)),1,IFERROR(IF(ISNUMBER(SEARCH("|"&amp;INDEX(INDIRECT(F_Custom2_resolved_column),2310)&amp;"|",F_Custom2_wrapped)),1,0),0))</f>
        <v>1</v>
      </c>
      <c r="F2311">
        <f>D2311*E2311*1</f>
        <v>1</v>
      </c>
      <c r="G2311">
        <f>1</f>
        <v>1</v>
      </c>
      <c r="H23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2310)&amp;"|",All_Questions_Q_STREAM_F_wrapped)),1,0),0))*1</f>
        <v>1</v>
      </c>
    </row>
    <row r="2312">
      <c r="A2312" t="n">
        <v>2311</v>
      </c>
      <c r="B2312" t="inlineStr">
        <is>
          <t>A</t>
        </is>
      </c>
      <c r="C2312">
        <f>1</f>
        <v>1</v>
      </c>
      <c r="D2312">
        <f>IF(OR(F_Custom1_Q="(None)",F_Custom1_Q="",ISBLANK(F_Custom1_Q),F_Custom1_V="(All)",F_Custom1_V="",ISBLANK(F_Custom1_V)),1,IFERROR(IF(ISNUMBER(SEARCH("|"&amp;INDEX(INDIRECT(F_Custom1_resolved_column),2311)&amp;"|",F_Custom1_wrapped)),1,0),0))</f>
        <v>1</v>
      </c>
      <c r="E2312">
        <f>IF(OR(F_Custom2_Q="(None)",F_Custom2_Q="",ISBLANK(F_Custom2_Q),F_Custom2_V="(All)",F_Custom2_V="",ISBLANK(F_Custom2_V)),1,IFERROR(IF(ISNUMBER(SEARCH("|"&amp;INDEX(INDIRECT(F_Custom2_resolved_column),2311)&amp;"|",F_Custom2_wrapped)),1,0),0))</f>
        <v>1</v>
      </c>
      <c r="F2312">
        <f>D2312*E2312*1</f>
        <v>1</v>
      </c>
      <c r="G2312">
        <f>1</f>
        <v>1</v>
      </c>
      <c r="H23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2311)&amp;"|",All_Questions_Q_STREAM_F_wrapped)),1,0),0))*1</f>
        <v>1</v>
      </c>
    </row>
    <row r="2313">
      <c r="A2313" t="n">
        <v>2312</v>
      </c>
      <c r="B2313" t="inlineStr">
        <is>
          <t>B</t>
        </is>
      </c>
      <c r="C2313">
        <f>1</f>
        <v>1</v>
      </c>
      <c r="D2313">
        <f>IF(OR(F_Custom1_Q="(None)",F_Custom1_Q="",ISBLANK(F_Custom1_Q),F_Custom1_V="(All)",F_Custom1_V="",ISBLANK(F_Custom1_V)),1,IFERROR(IF(ISNUMBER(SEARCH("|"&amp;INDEX(INDIRECT(F_Custom1_resolved_column),2312)&amp;"|",F_Custom1_wrapped)),1,0),0))</f>
        <v>1</v>
      </c>
      <c r="E2313">
        <f>IF(OR(F_Custom2_Q="(None)",F_Custom2_Q="",ISBLANK(F_Custom2_Q),F_Custom2_V="(All)",F_Custom2_V="",ISBLANK(F_Custom2_V)),1,IFERROR(IF(ISNUMBER(SEARCH("|"&amp;INDEX(INDIRECT(F_Custom2_resolved_column),2312)&amp;"|",F_Custom2_wrapped)),1,0),0))</f>
        <v>1</v>
      </c>
      <c r="F2313">
        <f>D2313*E2313*1</f>
        <v>1</v>
      </c>
      <c r="G2313">
        <f>1</f>
        <v>1</v>
      </c>
      <c r="H23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2312)&amp;"|",All_Questions_Q_STREAM_F_wrapped)),1,0),0))*1</f>
        <v>1</v>
      </c>
    </row>
    <row r="2314">
      <c r="A2314" t="n">
        <v>2313</v>
      </c>
      <c r="B2314" t="inlineStr">
        <is>
          <t>A</t>
        </is>
      </c>
      <c r="C2314">
        <f>1</f>
        <v>1</v>
      </c>
      <c r="D2314">
        <f>IF(OR(F_Custom1_Q="(None)",F_Custom1_Q="",ISBLANK(F_Custom1_Q),F_Custom1_V="(All)",F_Custom1_V="",ISBLANK(F_Custom1_V)),1,IFERROR(IF(ISNUMBER(SEARCH("|"&amp;INDEX(INDIRECT(F_Custom1_resolved_column),2313)&amp;"|",F_Custom1_wrapped)),1,0),0))</f>
        <v>1</v>
      </c>
      <c r="E2314">
        <f>IF(OR(F_Custom2_Q="(None)",F_Custom2_Q="",ISBLANK(F_Custom2_Q),F_Custom2_V="(All)",F_Custom2_V="",ISBLANK(F_Custom2_V)),1,IFERROR(IF(ISNUMBER(SEARCH("|"&amp;INDEX(INDIRECT(F_Custom2_resolved_column),2313)&amp;"|",F_Custom2_wrapped)),1,0),0))</f>
        <v>1</v>
      </c>
      <c r="F2314">
        <f>D2314*E2314*1</f>
        <v>1</v>
      </c>
      <c r="G2314">
        <f>1</f>
        <v>1</v>
      </c>
      <c r="H23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2313)&amp;"|",All_Questions_Q_STREAM_F_wrapped)),1,0),0))*1</f>
        <v>1</v>
      </c>
    </row>
    <row r="2315">
      <c r="A2315" t="n">
        <v>2314</v>
      </c>
      <c r="B2315" t="inlineStr">
        <is>
          <t>B</t>
        </is>
      </c>
      <c r="C2315">
        <f>1</f>
        <v>1</v>
      </c>
      <c r="D2315">
        <f>IF(OR(F_Custom1_Q="(None)",F_Custom1_Q="",ISBLANK(F_Custom1_Q),F_Custom1_V="(All)",F_Custom1_V="",ISBLANK(F_Custom1_V)),1,IFERROR(IF(ISNUMBER(SEARCH("|"&amp;INDEX(INDIRECT(F_Custom1_resolved_column),2314)&amp;"|",F_Custom1_wrapped)),1,0),0))</f>
        <v>1</v>
      </c>
      <c r="E2315">
        <f>IF(OR(F_Custom2_Q="(None)",F_Custom2_Q="",ISBLANK(F_Custom2_Q),F_Custom2_V="(All)",F_Custom2_V="",ISBLANK(F_Custom2_V)),1,IFERROR(IF(ISNUMBER(SEARCH("|"&amp;INDEX(INDIRECT(F_Custom2_resolved_column),2314)&amp;"|",F_Custom2_wrapped)),1,0),0))</f>
        <v>1</v>
      </c>
      <c r="F2315">
        <f>D2315*E2315*1</f>
        <v>1</v>
      </c>
      <c r="G2315">
        <f>1</f>
        <v>1</v>
      </c>
      <c r="H23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2314)&amp;"|",All_Questions_Q_STREAM_F_wrapped)),1,0),0))*1</f>
        <v>1</v>
      </c>
    </row>
    <row r="2316">
      <c r="A2316" t="n">
        <v>2315</v>
      </c>
      <c r="B2316" t="inlineStr">
        <is>
          <t>A</t>
        </is>
      </c>
      <c r="C2316">
        <f>1</f>
        <v>1</v>
      </c>
      <c r="D2316">
        <f>IF(OR(F_Custom1_Q="(None)",F_Custom1_Q="",ISBLANK(F_Custom1_Q),F_Custom1_V="(All)",F_Custom1_V="",ISBLANK(F_Custom1_V)),1,IFERROR(IF(ISNUMBER(SEARCH("|"&amp;INDEX(INDIRECT(F_Custom1_resolved_column),2315)&amp;"|",F_Custom1_wrapped)),1,0),0))</f>
        <v>1</v>
      </c>
      <c r="E2316">
        <f>IF(OR(F_Custom2_Q="(None)",F_Custom2_Q="",ISBLANK(F_Custom2_Q),F_Custom2_V="(All)",F_Custom2_V="",ISBLANK(F_Custom2_V)),1,IFERROR(IF(ISNUMBER(SEARCH("|"&amp;INDEX(INDIRECT(F_Custom2_resolved_column),2315)&amp;"|",F_Custom2_wrapped)),1,0),0))</f>
        <v>1</v>
      </c>
      <c r="F2316">
        <f>D2316*E2316*1</f>
        <v>1</v>
      </c>
      <c r="G2316">
        <f>1</f>
        <v>1</v>
      </c>
      <c r="H23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2315)&amp;"|",All_Questions_Q_STREAM_F_wrapped)),1,0),0))*1</f>
        <v>1</v>
      </c>
    </row>
    <row r="2317">
      <c r="A2317" t="n">
        <v>2316</v>
      </c>
      <c r="B2317" t="inlineStr">
        <is>
          <t>B</t>
        </is>
      </c>
      <c r="C2317">
        <f>1</f>
        <v>1</v>
      </c>
      <c r="D2317">
        <f>IF(OR(F_Custom1_Q="(None)",F_Custom1_Q="",ISBLANK(F_Custom1_Q),F_Custom1_V="(All)",F_Custom1_V="",ISBLANK(F_Custom1_V)),1,IFERROR(IF(ISNUMBER(SEARCH("|"&amp;INDEX(INDIRECT(F_Custom1_resolved_column),2316)&amp;"|",F_Custom1_wrapped)),1,0),0))</f>
        <v>1</v>
      </c>
      <c r="E2317">
        <f>IF(OR(F_Custom2_Q="(None)",F_Custom2_Q="",ISBLANK(F_Custom2_Q),F_Custom2_V="(All)",F_Custom2_V="",ISBLANK(F_Custom2_V)),1,IFERROR(IF(ISNUMBER(SEARCH("|"&amp;INDEX(INDIRECT(F_Custom2_resolved_column),2316)&amp;"|",F_Custom2_wrapped)),1,0),0))</f>
        <v>1</v>
      </c>
      <c r="F2317">
        <f>D2317*E2317*1</f>
        <v>1</v>
      </c>
      <c r="G2317">
        <f>1</f>
        <v>1</v>
      </c>
      <c r="H23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2316)&amp;"|",All_Questions_Q_STREAM_F_wrapped)),1,0),0))*1</f>
        <v>1</v>
      </c>
    </row>
    <row r="2318">
      <c r="A2318" t="n">
        <v>2317</v>
      </c>
      <c r="B2318" t="inlineStr">
        <is>
          <t>A</t>
        </is>
      </c>
      <c r="C2318">
        <f>1</f>
        <v>1</v>
      </c>
      <c r="D2318">
        <f>IF(OR(F_Custom1_Q="(None)",F_Custom1_Q="",ISBLANK(F_Custom1_Q),F_Custom1_V="(All)",F_Custom1_V="",ISBLANK(F_Custom1_V)),1,IFERROR(IF(ISNUMBER(SEARCH("|"&amp;INDEX(INDIRECT(F_Custom1_resolved_column),2317)&amp;"|",F_Custom1_wrapped)),1,0),0))</f>
        <v>1</v>
      </c>
      <c r="E2318">
        <f>IF(OR(F_Custom2_Q="(None)",F_Custom2_Q="",ISBLANK(F_Custom2_Q),F_Custom2_V="(All)",F_Custom2_V="",ISBLANK(F_Custom2_V)),1,IFERROR(IF(ISNUMBER(SEARCH("|"&amp;INDEX(INDIRECT(F_Custom2_resolved_column),2317)&amp;"|",F_Custom2_wrapped)),1,0),0))</f>
        <v>1</v>
      </c>
      <c r="F2318">
        <f>D2318*E2318*1</f>
        <v>1</v>
      </c>
      <c r="G2318">
        <f>1</f>
        <v>1</v>
      </c>
      <c r="H23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2317)&amp;"|",All_Questions_Q_STREAM_F_wrapped)),1,0),0))*1</f>
        <v>1</v>
      </c>
    </row>
    <row r="2319">
      <c r="A2319" t="n">
        <v>2318</v>
      </c>
      <c r="B2319" t="inlineStr">
        <is>
          <t>B</t>
        </is>
      </c>
      <c r="C2319">
        <f>1</f>
        <v>1</v>
      </c>
      <c r="D2319">
        <f>IF(OR(F_Custom1_Q="(None)",F_Custom1_Q="",ISBLANK(F_Custom1_Q),F_Custom1_V="(All)",F_Custom1_V="",ISBLANK(F_Custom1_V)),1,IFERROR(IF(ISNUMBER(SEARCH("|"&amp;INDEX(INDIRECT(F_Custom1_resolved_column),2318)&amp;"|",F_Custom1_wrapped)),1,0),0))</f>
        <v>1</v>
      </c>
      <c r="E2319">
        <f>IF(OR(F_Custom2_Q="(None)",F_Custom2_Q="",ISBLANK(F_Custom2_Q),F_Custom2_V="(All)",F_Custom2_V="",ISBLANK(F_Custom2_V)),1,IFERROR(IF(ISNUMBER(SEARCH("|"&amp;INDEX(INDIRECT(F_Custom2_resolved_column),2318)&amp;"|",F_Custom2_wrapped)),1,0),0))</f>
        <v>1</v>
      </c>
      <c r="F2319">
        <f>D2319*E2319*1</f>
        <v>1</v>
      </c>
      <c r="G2319">
        <f>1</f>
        <v>1</v>
      </c>
      <c r="H23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2318)&amp;"|",All_Questions_Q_STREAM_F_wrapped)),1,0),0))*1</f>
        <v>1</v>
      </c>
    </row>
    <row r="2320">
      <c r="A2320" t="n">
        <v>2319</v>
      </c>
      <c r="B2320" t="inlineStr">
        <is>
          <t>A</t>
        </is>
      </c>
      <c r="C2320">
        <f>1</f>
        <v>1</v>
      </c>
      <c r="D2320">
        <f>IF(OR(F_Custom1_Q="(None)",F_Custom1_Q="",ISBLANK(F_Custom1_Q),F_Custom1_V="(All)",F_Custom1_V="",ISBLANK(F_Custom1_V)),1,IFERROR(IF(ISNUMBER(SEARCH("|"&amp;INDEX(INDIRECT(F_Custom1_resolved_column),2319)&amp;"|",F_Custom1_wrapped)),1,0),0))</f>
        <v>1</v>
      </c>
      <c r="E2320">
        <f>IF(OR(F_Custom2_Q="(None)",F_Custom2_Q="",ISBLANK(F_Custom2_Q),F_Custom2_V="(All)",F_Custom2_V="",ISBLANK(F_Custom2_V)),1,IFERROR(IF(ISNUMBER(SEARCH("|"&amp;INDEX(INDIRECT(F_Custom2_resolved_column),2319)&amp;"|",F_Custom2_wrapped)),1,0),0))</f>
        <v>1</v>
      </c>
      <c r="F2320">
        <f>D2320*E2320*1</f>
        <v>1</v>
      </c>
      <c r="G2320">
        <f>1</f>
        <v>1</v>
      </c>
      <c r="H23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2319)&amp;"|",All_Questions_Q_STREAM_F_wrapped)),1,0),0))*1</f>
        <v>1</v>
      </c>
    </row>
    <row r="2321">
      <c r="A2321" t="n">
        <v>2320</v>
      </c>
      <c r="B2321" t="inlineStr">
        <is>
          <t>B</t>
        </is>
      </c>
      <c r="C2321">
        <f>1</f>
        <v>1</v>
      </c>
      <c r="D2321">
        <f>IF(OR(F_Custom1_Q="(None)",F_Custom1_Q="",ISBLANK(F_Custom1_Q),F_Custom1_V="(All)",F_Custom1_V="",ISBLANK(F_Custom1_V)),1,IFERROR(IF(ISNUMBER(SEARCH("|"&amp;INDEX(INDIRECT(F_Custom1_resolved_column),2320)&amp;"|",F_Custom1_wrapped)),1,0),0))</f>
        <v>1</v>
      </c>
      <c r="E2321">
        <f>IF(OR(F_Custom2_Q="(None)",F_Custom2_Q="",ISBLANK(F_Custom2_Q),F_Custom2_V="(All)",F_Custom2_V="",ISBLANK(F_Custom2_V)),1,IFERROR(IF(ISNUMBER(SEARCH("|"&amp;INDEX(INDIRECT(F_Custom2_resolved_column),2320)&amp;"|",F_Custom2_wrapped)),1,0),0))</f>
        <v>1</v>
      </c>
      <c r="F2321">
        <f>D2321*E2321*1</f>
        <v>1</v>
      </c>
      <c r="G2321">
        <f>1</f>
        <v>1</v>
      </c>
      <c r="H23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2320)&amp;"|",All_Questions_Q_STREAM_F_wrapped)),1,0),0))*1</f>
        <v>1</v>
      </c>
    </row>
    <row r="2322">
      <c r="A2322" t="n">
        <v>2321</v>
      </c>
      <c r="B2322" t="inlineStr">
        <is>
          <t>A</t>
        </is>
      </c>
      <c r="C2322">
        <f>1</f>
        <v>1</v>
      </c>
      <c r="D2322">
        <f>IF(OR(F_Custom1_Q="(None)",F_Custom1_Q="",ISBLANK(F_Custom1_Q),F_Custom1_V="(All)",F_Custom1_V="",ISBLANK(F_Custom1_V)),1,IFERROR(IF(ISNUMBER(SEARCH("|"&amp;INDEX(INDIRECT(F_Custom1_resolved_column),2321)&amp;"|",F_Custom1_wrapped)),1,0),0))</f>
        <v>1</v>
      </c>
      <c r="E2322">
        <f>IF(OR(F_Custom2_Q="(None)",F_Custom2_Q="",ISBLANK(F_Custom2_Q),F_Custom2_V="(All)",F_Custom2_V="",ISBLANK(F_Custom2_V)),1,IFERROR(IF(ISNUMBER(SEARCH("|"&amp;INDEX(INDIRECT(F_Custom2_resolved_column),2321)&amp;"|",F_Custom2_wrapped)),1,0),0))</f>
        <v>1</v>
      </c>
      <c r="F2322">
        <f>D2322*E2322*1</f>
        <v>1</v>
      </c>
      <c r="G2322">
        <f>1</f>
        <v>1</v>
      </c>
      <c r="H23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2321)&amp;"|",All_Questions_Q_STREAM_F_wrapped)),1,0),0))*1</f>
        <v>1</v>
      </c>
    </row>
    <row r="2323">
      <c r="A2323" t="n">
        <v>2322</v>
      </c>
      <c r="B2323" t="inlineStr">
        <is>
          <t>B</t>
        </is>
      </c>
      <c r="C2323">
        <f>1</f>
        <v>1</v>
      </c>
      <c r="D2323">
        <f>IF(OR(F_Custom1_Q="(None)",F_Custom1_Q="",ISBLANK(F_Custom1_Q),F_Custom1_V="(All)",F_Custom1_V="",ISBLANK(F_Custom1_V)),1,IFERROR(IF(ISNUMBER(SEARCH("|"&amp;INDEX(INDIRECT(F_Custom1_resolved_column),2322)&amp;"|",F_Custom1_wrapped)),1,0),0))</f>
        <v>1</v>
      </c>
      <c r="E2323">
        <f>IF(OR(F_Custom2_Q="(None)",F_Custom2_Q="",ISBLANK(F_Custom2_Q),F_Custom2_V="(All)",F_Custom2_V="",ISBLANK(F_Custom2_V)),1,IFERROR(IF(ISNUMBER(SEARCH("|"&amp;INDEX(INDIRECT(F_Custom2_resolved_column),2322)&amp;"|",F_Custom2_wrapped)),1,0),0))</f>
        <v>1</v>
      </c>
      <c r="F2323">
        <f>D2323*E2323*1</f>
        <v>1</v>
      </c>
      <c r="G2323">
        <f>1</f>
        <v>1</v>
      </c>
      <c r="H23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2322)&amp;"|",All_Questions_Q_STREAM_F_wrapped)),1,0),0))*1</f>
        <v>1</v>
      </c>
    </row>
    <row r="2324">
      <c r="A2324" t="n">
        <v>2323</v>
      </c>
      <c r="B2324" t="inlineStr">
        <is>
          <t>A</t>
        </is>
      </c>
      <c r="C2324">
        <f>1</f>
        <v>1</v>
      </c>
      <c r="D2324">
        <f>IF(OR(F_Custom1_Q="(None)",F_Custom1_Q="",ISBLANK(F_Custom1_Q),F_Custom1_V="(All)",F_Custom1_V="",ISBLANK(F_Custom1_V)),1,IFERROR(IF(ISNUMBER(SEARCH("|"&amp;INDEX(INDIRECT(F_Custom1_resolved_column),2323)&amp;"|",F_Custom1_wrapped)),1,0),0))</f>
        <v>1</v>
      </c>
      <c r="E2324">
        <f>IF(OR(F_Custom2_Q="(None)",F_Custom2_Q="",ISBLANK(F_Custom2_Q),F_Custom2_V="(All)",F_Custom2_V="",ISBLANK(F_Custom2_V)),1,IFERROR(IF(ISNUMBER(SEARCH("|"&amp;INDEX(INDIRECT(F_Custom2_resolved_column),2323)&amp;"|",F_Custom2_wrapped)),1,0),0))</f>
        <v>1</v>
      </c>
      <c r="F2324">
        <f>D2324*E2324*1</f>
        <v>1</v>
      </c>
      <c r="G2324">
        <f>1</f>
        <v>1</v>
      </c>
      <c r="H23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2323)&amp;"|",All_Questions_Q_STREAM_F_wrapped)),1,0),0))*1</f>
        <v>1</v>
      </c>
    </row>
    <row r="2325">
      <c r="A2325" t="n">
        <v>2324</v>
      </c>
      <c r="B2325" t="inlineStr">
        <is>
          <t>B</t>
        </is>
      </c>
      <c r="C2325">
        <f>1</f>
        <v>1</v>
      </c>
      <c r="D2325">
        <f>IF(OR(F_Custom1_Q="(None)",F_Custom1_Q="",ISBLANK(F_Custom1_Q),F_Custom1_V="(All)",F_Custom1_V="",ISBLANK(F_Custom1_V)),1,IFERROR(IF(ISNUMBER(SEARCH("|"&amp;INDEX(INDIRECT(F_Custom1_resolved_column),2324)&amp;"|",F_Custom1_wrapped)),1,0),0))</f>
        <v>1</v>
      </c>
      <c r="E2325">
        <f>IF(OR(F_Custom2_Q="(None)",F_Custom2_Q="",ISBLANK(F_Custom2_Q),F_Custom2_V="(All)",F_Custom2_V="",ISBLANK(F_Custom2_V)),1,IFERROR(IF(ISNUMBER(SEARCH("|"&amp;INDEX(INDIRECT(F_Custom2_resolved_column),2324)&amp;"|",F_Custom2_wrapped)),1,0),0))</f>
        <v>1</v>
      </c>
      <c r="F2325">
        <f>D2325*E2325*1</f>
        <v>1</v>
      </c>
      <c r="G2325">
        <f>1</f>
        <v>1</v>
      </c>
      <c r="H23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2324)&amp;"|",All_Questions_Q_STREAM_F_wrapped)),1,0),0))*1</f>
        <v>1</v>
      </c>
    </row>
    <row r="2326">
      <c r="A2326" t="n">
        <v>2325</v>
      </c>
      <c r="B2326" t="inlineStr">
        <is>
          <t>A</t>
        </is>
      </c>
      <c r="C2326">
        <f>1</f>
        <v>1</v>
      </c>
      <c r="D2326">
        <f>IF(OR(F_Custom1_Q="(None)",F_Custom1_Q="",ISBLANK(F_Custom1_Q),F_Custom1_V="(All)",F_Custom1_V="",ISBLANK(F_Custom1_V)),1,IFERROR(IF(ISNUMBER(SEARCH("|"&amp;INDEX(INDIRECT(F_Custom1_resolved_column),2325)&amp;"|",F_Custom1_wrapped)),1,0),0))</f>
        <v>1</v>
      </c>
      <c r="E2326">
        <f>IF(OR(F_Custom2_Q="(None)",F_Custom2_Q="",ISBLANK(F_Custom2_Q),F_Custom2_V="(All)",F_Custom2_V="",ISBLANK(F_Custom2_V)),1,IFERROR(IF(ISNUMBER(SEARCH("|"&amp;INDEX(INDIRECT(F_Custom2_resolved_column),2325)&amp;"|",F_Custom2_wrapped)),1,0),0))</f>
        <v>1</v>
      </c>
      <c r="F2326">
        <f>D2326*E2326*1</f>
        <v>1</v>
      </c>
      <c r="G2326">
        <f>1</f>
        <v>1</v>
      </c>
      <c r="H23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2325)&amp;"|",All_Questions_Q_STREAM_F_wrapped)),1,0),0))*1</f>
        <v>1</v>
      </c>
    </row>
    <row r="2327">
      <c r="A2327" t="n">
        <v>2326</v>
      </c>
      <c r="B2327" t="inlineStr">
        <is>
          <t>B</t>
        </is>
      </c>
      <c r="C2327">
        <f>1</f>
        <v>1</v>
      </c>
      <c r="D2327">
        <f>IF(OR(F_Custom1_Q="(None)",F_Custom1_Q="",ISBLANK(F_Custom1_Q),F_Custom1_V="(All)",F_Custom1_V="",ISBLANK(F_Custom1_V)),1,IFERROR(IF(ISNUMBER(SEARCH("|"&amp;INDEX(INDIRECT(F_Custom1_resolved_column),2326)&amp;"|",F_Custom1_wrapped)),1,0),0))</f>
        <v>1</v>
      </c>
      <c r="E2327">
        <f>IF(OR(F_Custom2_Q="(None)",F_Custom2_Q="",ISBLANK(F_Custom2_Q),F_Custom2_V="(All)",F_Custom2_V="",ISBLANK(F_Custom2_V)),1,IFERROR(IF(ISNUMBER(SEARCH("|"&amp;INDEX(INDIRECT(F_Custom2_resolved_column),2326)&amp;"|",F_Custom2_wrapped)),1,0),0))</f>
        <v>1</v>
      </c>
      <c r="F2327">
        <f>D2327*E2327*1</f>
        <v>1</v>
      </c>
      <c r="G2327">
        <f>1</f>
        <v>1</v>
      </c>
      <c r="H23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2326)&amp;"|",All_Questions_Q_STREAM_F_wrapped)),1,0),0))*1</f>
        <v>1</v>
      </c>
    </row>
    <row r="2328">
      <c r="A2328" t="n">
        <v>2327</v>
      </c>
      <c r="B2328" t="inlineStr">
        <is>
          <t>A</t>
        </is>
      </c>
      <c r="C2328">
        <f>1</f>
        <v>1</v>
      </c>
      <c r="D2328">
        <f>IF(OR(F_Custom1_Q="(None)",F_Custom1_Q="",ISBLANK(F_Custom1_Q),F_Custom1_V="(All)",F_Custom1_V="",ISBLANK(F_Custom1_V)),1,IFERROR(IF(ISNUMBER(SEARCH("|"&amp;INDEX(INDIRECT(F_Custom1_resolved_column),2327)&amp;"|",F_Custom1_wrapped)),1,0),0))</f>
        <v>1</v>
      </c>
      <c r="E2328">
        <f>IF(OR(F_Custom2_Q="(None)",F_Custom2_Q="",ISBLANK(F_Custom2_Q),F_Custom2_V="(All)",F_Custom2_V="",ISBLANK(F_Custom2_V)),1,IFERROR(IF(ISNUMBER(SEARCH("|"&amp;INDEX(INDIRECT(F_Custom2_resolved_column),2327)&amp;"|",F_Custom2_wrapped)),1,0),0))</f>
        <v>1</v>
      </c>
      <c r="F2328">
        <f>D2328*E2328*1</f>
        <v>1</v>
      </c>
      <c r="G2328">
        <f>1</f>
        <v>1</v>
      </c>
      <c r="H23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2327)&amp;"|",All_Questions_Q_STREAM_F_wrapped)),1,0),0))*1</f>
        <v>1</v>
      </c>
    </row>
    <row r="2329">
      <c r="A2329" t="n">
        <v>2328</v>
      </c>
      <c r="B2329" t="inlineStr">
        <is>
          <t>B</t>
        </is>
      </c>
      <c r="C2329">
        <f>1</f>
        <v>1</v>
      </c>
      <c r="D2329">
        <f>IF(OR(F_Custom1_Q="(None)",F_Custom1_Q="",ISBLANK(F_Custom1_Q),F_Custom1_V="(All)",F_Custom1_V="",ISBLANK(F_Custom1_V)),1,IFERROR(IF(ISNUMBER(SEARCH("|"&amp;INDEX(INDIRECT(F_Custom1_resolved_column),2328)&amp;"|",F_Custom1_wrapped)),1,0),0))</f>
        <v>1</v>
      </c>
      <c r="E2329">
        <f>IF(OR(F_Custom2_Q="(None)",F_Custom2_Q="",ISBLANK(F_Custom2_Q),F_Custom2_V="(All)",F_Custom2_V="",ISBLANK(F_Custom2_V)),1,IFERROR(IF(ISNUMBER(SEARCH("|"&amp;INDEX(INDIRECT(F_Custom2_resolved_column),2328)&amp;"|",F_Custom2_wrapped)),1,0),0))</f>
        <v>1</v>
      </c>
      <c r="F2329">
        <f>D2329*E2329*1</f>
        <v>1</v>
      </c>
      <c r="G2329">
        <f>1</f>
        <v>1</v>
      </c>
      <c r="H23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2328)&amp;"|",All_Questions_Q_STREAM_F_wrapped)),1,0),0))*1</f>
        <v>1</v>
      </c>
    </row>
    <row r="2330">
      <c r="A2330" t="n">
        <v>2329</v>
      </c>
      <c r="B2330" t="inlineStr">
        <is>
          <t>A</t>
        </is>
      </c>
      <c r="C2330">
        <f>1</f>
        <v>1</v>
      </c>
      <c r="D2330">
        <f>IF(OR(F_Custom1_Q="(None)",F_Custom1_Q="",ISBLANK(F_Custom1_Q),F_Custom1_V="(All)",F_Custom1_V="",ISBLANK(F_Custom1_V)),1,IFERROR(IF(ISNUMBER(SEARCH("|"&amp;INDEX(INDIRECT(F_Custom1_resolved_column),2329)&amp;"|",F_Custom1_wrapped)),1,0),0))</f>
        <v>1</v>
      </c>
      <c r="E2330">
        <f>IF(OR(F_Custom2_Q="(None)",F_Custom2_Q="",ISBLANK(F_Custom2_Q),F_Custom2_V="(All)",F_Custom2_V="",ISBLANK(F_Custom2_V)),1,IFERROR(IF(ISNUMBER(SEARCH("|"&amp;INDEX(INDIRECT(F_Custom2_resolved_column),2329)&amp;"|",F_Custom2_wrapped)),1,0),0))</f>
        <v>1</v>
      </c>
      <c r="F2330">
        <f>D2330*E2330*1</f>
        <v>1</v>
      </c>
      <c r="G2330">
        <f>1</f>
        <v>1</v>
      </c>
      <c r="H23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2329)&amp;"|",All_Questions_Q_STREAM_F_wrapped)),1,0),0))*1</f>
        <v>1</v>
      </c>
    </row>
    <row r="2331">
      <c r="A2331" t="n">
        <v>2330</v>
      </c>
      <c r="B2331" t="inlineStr">
        <is>
          <t>B</t>
        </is>
      </c>
      <c r="C2331">
        <f>1</f>
        <v>1</v>
      </c>
      <c r="D2331">
        <f>IF(OR(F_Custom1_Q="(None)",F_Custom1_Q="",ISBLANK(F_Custom1_Q),F_Custom1_V="(All)",F_Custom1_V="",ISBLANK(F_Custom1_V)),1,IFERROR(IF(ISNUMBER(SEARCH("|"&amp;INDEX(INDIRECT(F_Custom1_resolved_column),2330)&amp;"|",F_Custom1_wrapped)),1,0),0))</f>
        <v>1</v>
      </c>
      <c r="E2331">
        <f>IF(OR(F_Custom2_Q="(None)",F_Custom2_Q="",ISBLANK(F_Custom2_Q),F_Custom2_V="(All)",F_Custom2_V="",ISBLANK(F_Custom2_V)),1,IFERROR(IF(ISNUMBER(SEARCH("|"&amp;INDEX(INDIRECT(F_Custom2_resolved_column),2330)&amp;"|",F_Custom2_wrapped)),1,0),0))</f>
        <v>1</v>
      </c>
      <c r="F2331">
        <f>D2331*E2331*1</f>
        <v>1</v>
      </c>
      <c r="G2331">
        <f>1</f>
        <v>1</v>
      </c>
      <c r="H23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2330)&amp;"|",All_Questions_Q_STREAM_F_wrapped)),1,0),0))*1</f>
        <v>1</v>
      </c>
    </row>
    <row r="2332">
      <c r="A2332" t="n">
        <v>2331</v>
      </c>
      <c r="B2332" t="inlineStr">
        <is>
          <t>A</t>
        </is>
      </c>
      <c r="C2332">
        <f>1</f>
        <v>1</v>
      </c>
      <c r="D2332">
        <f>IF(OR(F_Custom1_Q="(None)",F_Custom1_Q="",ISBLANK(F_Custom1_Q),F_Custom1_V="(All)",F_Custom1_V="",ISBLANK(F_Custom1_V)),1,IFERROR(IF(ISNUMBER(SEARCH("|"&amp;INDEX(INDIRECT(F_Custom1_resolved_column),2331)&amp;"|",F_Custom1_wrapped)),1,0),0))</f>
        <v>1</v>
      </c>
      <c r="E2332">
        <f>IF(OR(F_Custom2_Q="(None)",F_Custom2_Q="",ISBLANK(F_Custom2_Q),F_Custom2_V="(All)",F_Custom2_V="",ISBLANK(F_Custom2_V)),1,IFERROR(IF(ISNUMBER(SEARCH("|"&amp;INDEX(INDIRECT(F_Custom2_resolved_column),2331)&amp;"|",F_Custom2_wrapped)),1,0),0))</f>
        <v>1</v>
      </c>
      <c r="F2332">
        <f>D2332*E2332*1</f>
        <v>1</v>
      </c>
      <c r="G2332">
        <f>1</f>
        <v>1</v>
      </c>
      <c r="H23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2331)&amp;"|",All_Questions_Q_STREAM_F_wrapped)),1,0),0))*1</f>
        <v>1</v>
      </c>
    </row>
    <row r="2333">
      <c r="A2333" t="n">
        <v>2332</v>
      </c>
      <c r="B2333" t="inlineStr">
        <is>
          <t>B</t>
        </is>
      </c>
      <c r="C2333">
        <f>1</f>
        <v>1</v>
      </c>
      <c r="D2333">
        <f>IF(OR(F_Custom1_Q="(None)",F_Custom1_Q="",ISBLANK(F_Custom1_Q),F_Custom1_V="(All)",F_Custom1_V="",ISBLANK(F_Custom1_V)),1,IFERROR(IF(ISNUMBER(SEARCH("|"&amp;INDEX(INDIRECT(F_Custom1_resolved_column),2332)&amp;"|",F_Custom1_wrapped)),1,0),0))</f>
        <v>1</v>
      </c>
      <c r="E2333">
        <f>IF(OR(F_Custom2_Q="(None)",F_Custom2_Q="",ISBLANK(F_Custom2_Q),F_Custom2_V="(All)",F_Custom2_V="",ISBLANK(F_Custom2_V)),1,IFERROR(IF(ISNUMBER(SEARCH("|"&amp;INDEX(INDIRECT(F_Custom2_resolved_column),2332)&amp;"|",F_Custom2_wrapped)),1,0),0))</f>
        <v>1</v>
      </c>
      <c r="F2333">
        <f>D2333*E2333*1</f>
        <v>1</v>
      </c>
      <c r="G2333">
        <f>1</f>
        <v>1</v>
      </c>
      <c r="H23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2332)&amp;"|",All_Questions_Q_STREAM_F_wrapped)),1,0),0))*1</f>
        <v>1</v>
      </c>
    </row>
    <row r="2334">
      <c r="A2334" t="n">
        <v>2333</v>
      </c>
      <c r="B2334" t="inlineStr">
        <is>
          <t>A</t>
        </is>
      </c>
      <c r="C2334">
        <f>1</f>
        <v>1</v>
      </c>
      <c r="D2334">
        <f>IF(OR(F_Custom1_Q="(None)",F_Custom1_Q="",ISBLANK(F_Custom1_Q),F_Custom1_V="(All)",F_Custom1_V="",ISBLANK(F_Custom1_V)),1,IFERROR(IF(ISNUMBER(SEARCH("|"&amp;INDEX(INDIRECT(F_Custom1_resolved_column),2333)&amp;"|",F_Custom1_wrapped)),1,0),0))</f>
        <v>1</v>
      </c>
      <c r="E2334">
        <f>IF(OR(F_Custom2_Q="(None)",F_Custom2_Q="",ISBLANK(F_Custom2_Q),F_Custom2_V="(All)",F_Custom2_V="",ISBLANK(F_Custom2_V)),1,IFERROR(IF(ISNUMBER(SEARCH("|"&amp;INDEX(INDIRECT(F_Custom2_resolved_column),2333)&amp;"|",F_Custom2_wrapped)),1,0),0))</f>
        <v>1</v>
      </c>
      <c r="F2334">
        <f>D2334*E2334*1</f>
        <v>1</v>
      </c>
      <c r="G2334">
        <f>1</f>
        <v>1</v>
      </c>
      <c r="H23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2333)&amp;"|",All_Questions_Q_STREAM_F_wrapped)),1,0),0))*1</f>
        <v>1</v>
      </c>
    </row>
    <row r="2335">
      <c r="A2335" t="n">
        <v>2334</v>
      </c>
      <c r="B2335" t="inlineStr">
        <is>
          <t>B</t>
        </is>
      </c>
      <c r="C2335">
        <f>1</f>
        <v>1</v>
      </c>
      <c r="D2335">
        <f>IF(OR(F_Custom1_Q="(None)",F_Custom1_Q="",ISBLANK(F_Custom1_Q),F_Custom1_V="(All)",F_Custom1_V="",ISBLANK(F_Custom1_V)),1,IFERROR(IF(ISNUMBER(SEARCH("|"&amp;INDEX(INDIRECT(F_Custom1_resolved_column),2334)&amp;"|",F_Custom1_wrapped)),1,0),0))</f>
        <v>1</v>
      </c>
      <c r="E2335">
        <f>IF(OR(F_Custom2_Q="(None)",F_Custom2_Q="",ISBLANK(F_Custom2_Q),F_Custom2_V="(All)",F_Custom2_V="",ISBLANK(F_Custom2_V)),1,IFERROR(IF(ISNUMBER(SEARCH("|"&amp;INDEX(INDIRECT(F_Custom2_resolved_column),2334)&amp;"|",F_Custom2_wrapped)),1,0),0))</f>
        <v>1</v>
      </c>
      <c r="F2335">
        <f>D2335*E2335*1</f>
        <v>1</v>
      </c>
      <c r="G2335">
        <f>1</f>
        <v>1</v>
      </c>
      <c r="H23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2334)&amp;"|",All_Questions_Q_STREAM_F_wrapped)),1,0),0))*1</f>
        <v>1</v>
      </c>
    </row>
    <row r="2336">
      <c r="A2336" t="n">
        <v>2335</v>
      </c>
      <c r="B2336" t="inlineStr">
        <is>
          <t>A</t>
        </is>
      </c>
      <c r="C2336">
        <f>1</f>
        <v>1</v>
      </c>
      <c r="D2336">
        <f>IF(OR(F_Custom1_Q="(None)",F_Custom1_Q="",ISBLANK(F_Custom1_Q),F_Custom1_V="(All)",F_Custom1_V="",ISBLANK(F_Custom1_V)),1,IFERROR(IF(ISNUMBER(SEARCH("|"&amp;INDEX(INDIRECT(F_Custom1_resolved_column),2335)&amp;"|",F_Custom1_wrapped)),1,0),0))</f>
        <v>1</v>
      </c>
      <c r="E2336">
        <f>IF(OR(F_Custom2_Q="(None)",F_Custom2_Q="",ISBLANK(F_Custom2_Q),F_Custom2_V="(All)",F_Custom2_V="",ISBLANK(F_Custom2_V)),1,IFERROR(IF(ISNUMBER(SEARCH("|"&amp;INDEX(INDIRECT(F_Custom2_resolved_column),2335)&amp;"|",F_Custom2_wrapped)),1,0),0))</f>
        <v>1</v>
      </c>
      <c r="F2336">
        <f>D2336*E2336*1</f>
        <v>1</v>
      </c>
      <c r="G2336">
        <f>1</f>
        <v>1</v>
      </c>
      <c r="H23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2335)&amp;"|",All_Questions_Q_STREAM_F_wrapped)),1,0),0))*1</f>
        <v>1</v>
      </c>
    </row>
    <row r="2337">
      <c r="A2337" t="n">
        <v>2336</v>
      </c>
      <c r="B2337" t="inlineStr">
        <is>
          <t>B</t>
        </is>
      </c>
      <c r="C2337">
        <f>1</f>
        <v>1</v>
      </c>
      <c r="D2337">
        <f>IF(OR(F_Custom1_Q="(None)",F_Custom1_Q="",ISBLANK(F_Custom1_Q),F_Custom1_V="(All)",F_Custom1_V="",ISBLANK(F_Custom1_V)),1,IFERROR(IF(ISNUMBER(SEARCH("|"&amp;INDEX(INDIRECT(F_Custom1_resolved_column),2336)&amp;"|",F_Custom1_wrapped)),1,0),0))</f>
        <v>1</v>
      </c>
      <c r="E2337">
        <f>IF(OR(F_Custom2_Q="(None)",F_Custom2_Q="",ISBLANK(F_Custom2_Q),F_Custom2_V="(All)",F_Custom2_V="",ISBLANK(F_Custom2_V)),1,IFERROR(IF(ISNUMBER(SEARCH("|"&amp;INDEX(INDIRECT(F_Custom2_resolved_column),2336)&amp;"|",F_Custom2_wrapped)),1,0),0))</f>
        <v>1</v>
      </c>
      <c r="F2337">
        <f>D2337*E2337*1</f>
        <v>1</v>
      </c>
      <c r="G2337">
        <f>1</f>
        <v>1</v>
      </c>
      <c r="H23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2336)&amp;"|",All_Questions_Q_STREAM_F_wrapped)),1,0),0))*1</f>
        <v>1</v>
      </c>
    </row>
    <row r="2338">
      <c r="A2338" t="n">
        <v>2337</v>
      </c>
      <c r="B2338" t="inlineStr">
        <is>
          <t>A</t>
        </is>
      </c>
      <c r="C2338">
        <f>1</f>
        <v>1</v>
      </c>
      <c r="D2338">
        <f>IF(OR(F_Custom1_Q="(None)",F_Custom1_Q="",ISBLANK(F_Custom1_Q),F_Custom1_V="(All)",F_Custom1_V="",ISBLANK(F_Custom1_V)),1,IFERROR(IF(ISNUMBER(SEARCH("|"&amp;INDEX(INDIRECT(F_Custom1_resolved_column),2337)&amp;"|",F_Custom1_wrapped)),1,0),0))</f>
        <v>1</v>
      </c>
      <c r="E2338">
        <f>IF(OR(F_Custom2_Q="(None)",F_Custom2_Q="",ISBLANK(F_Custom2_Q),F_Custom2_V="(All)",F_Custom2_V="",ISBLANK(F_Custom2_V)),1,IFERROR(IF(ISNUMBER(SEARCH("|"&amp;INDEX(INDIRECT(F_Custom2_resolved_column),2337)&amp;"|",F_Custom2_wrapped)),1,0),0))</f>
        <v>1</v>
      </c>
      <c r="F2338">
        <f>D2338*E2338*1</f>
        <v>1</v>
      </c>
      <c r="G2338">
        <f>1</f>
        <v>1</v>
      </c>
      <c r="H23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2337)&amp;"|",All_Questions_Q_STREAM_F_wrapped)),1,0),0))*1</f>
        <v>1</v>
      </c>
    </row>
    <row r="2339">
      <c r="A2339" t="n">
        <v>2338</v>
      </c>
      <c r="B2339" t="inlineStr">
        <is>
          <t>B</t>
        </is>
      </c>
      <c r="C2339">
        <f>1</f>
        <v>1</v>
      </c>
      <c r="D2339">
        <f>IF(OR(F_Custom1_Q="(None)",F_Custom1_Q="",ISBLANK(F_Custom1_Q),F_Custom1_V="(All)",F_Custom1_V="",ISBLANK(F_Custom1_V)),1,IFERROR(IF(ISNUMBER(SEARCH("|"&amp;INDEX(INDIRECT(F_Custom1_resolved_column),2338)&amp;"|",F_Custom1_wrapped)),1,0),0))</f>
        <v>1</v>
      </c>
      <c r="E2339">
        <f>IF(OR(F_Custom2_Q="(None)",F_Custom2_Q="",ISBLANK(F_Custom2_Q),F_Custom2_V="(All)",F_Custom2_V="",ISBLANK(F_Custom2_V)),1,IFERROR(IF(ISNUMBER(SEARCH("|"&amp;INDEX(INDIRECT(F_Custom2_resolved_column),2338)&amp;"|",F_Custom2_wrapped)),1,0),0))</f>
        <v>1</v>
      </c>
      <c r="F2339">
        <f>D2339*E2339*1</f>
        <v>1</v>
      </c>
      <c r="G2339">
        <f>1</f>
        <v>1</v>
      </c>
      <c r="H23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2338)&amp;"|",All_Questions_Q_STREAM_F_wrapped)),1,0),0))*1</f>
        <v>1</v>
      </c>
    </row>
    <row r="2340">
      <c r="A2340" t="n">
        <v>2339</v>
      </c>
      <c r="B2340" t="inlineStr">
        <is>
          <t>A</t>
        </is>
      </c>
      <c r="C2340">
        <f>1</f>
        <v>1</v>
      </c>
      <c r="D2340">
        <f>IF(OR(F_Custom1_Q="(None)",F_Custom1_Q="",ISBLANK(F_Custom1_Q),F_Custom1_V="(All)",F_Custom1_V="",ISBLANK(F_Custom1_V)),1,IFERROR(IF(ISNUMBER(SEARCH("|"&amp;INDEX(INDIRECT(F_Custom1_resolved_column),2339)&amp;"|",F_Custom1_wrapped)),1,0),0))</f>
        <v>1</v>
      </c>
      <c r="E2340">
        <f>IF(OR(F_Custom2_Q="(None)",F_Custom2_Q="",ISBLANK(F_Custom2_Q),F_Custom2_V="(All)",F_Custom2_V="",ISBLANK(F_Custom2_V)),1,IFERROR(IF(ISNUMBER(SEARCH("|"&amp;INDEX(INDIRECT(F_Custom2_resolved_column),2339)&amp;"|",F_Custom2_wrapped)),1,0),0))</f>
        <v>1</v>
      </c>
      <c r="F2340">
        <f>D2340*E2340*1</f>
        <v>1</v>
      </c>
      <c r="G2340">
        <f>1</f>
        <v>1</v>
      </c>
      <c r="H23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2339)&amp;"|",All_Questions_Q_STREAM_F_wrapped)),1,0),0))*1</f>
        <v>1</v>
      </c>
    </row>
    <row r="2341">
      <c r="A2341" t="n">
        <v>2340</v>
      </c>
      <c r="B2341" t="inlineStr">
        <is>
          <t>B</t>
        </is>
      </c>
      <c r="C2341">
        <f>1</f>
        <v>1</v>
      </c>
      <c r="D2341">
        <f>IF(OR(F_Custom1_Q="(None)",F_Custom1_Q="",ISBLANK(F_Custom1_Q),F_Custom1_V="(All)",F_Custom1_V="",ISBLANK(F_Custom1_V)),1,IFERROR(IF(ISNUMBER(SEARCH("|"&amp;INDEX(INDIRECT(F_Custom1_resolved_column),2340)&amp;"|",F_Custom1_wrapped)),1,0),0))</f>
        <v>1</v>
      </c>
      <c r="E2341">
        <f>IF(OR(F_Custom2_Q="(None)",F_Custom2_Q="",ISBLANK(F_Custom2_Q),F_Custom2_V="(All)",F_Custom2_V="",ISBLANK(F_Custom2_V)),1,IFERROR(IF(ISNUMBER(SEARCH("|"&amp;INDEX(INDIRECT(F_Custom2_resolved_column),2340)&amp;"|",F_Custom2_wrapped)),1,0),0))</f>
        <v>1</v>
      </c>
      <c r="F2341">
        <f>D2341*E2341*1</f>
        <v>1</v>
      </c>
      <c r="G2341">
        <f>1</f>
        <v>1</v>
      </c>
      <c r="H23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2340)&amp;"|",All_Questions_Q_STREAM_F_wrapped)),1,0),0))*1</f>
        <v>1</v>
      </c>
    </row>
    <row r="2342">
      <c r="A2342" t="n">
        <v>2341</v>
      </c>
      <c r="B2342" t="inlineStr">
        <is>
          <t>A</t>
        </is>
      </c>
      <c r="C2342">
        <f>1</f>
        <v>1</v>
      </c>
      <c r="D2342">
        <f>IF(OR(F_Custom1_Q="(None)",F_Custom1_Q="",ISBLANK(F_Custom1_Q),F_Custom1_V="(All)",F_Custom1_V="",ISBLANK(F_Custom1_V)),1,IFERROR(IF(ISNUMBER(SEARCH("|"&amp;INDEX(INDIRECT(F_Custom1_resolved_column),2341)&amp;"|",F_Custom1_wrapped)),1,0),0))</f>
        <v>1</v>
      </c>
      <c r="E2342">
        <f>IF(OR(F_Custom2_Q="(None)",F_Custom2_Q="",ISBLANK(F_Custom2_Q),F_Custom2_V="(All)",F_Custom2_V="",ISBLANK(F_Custom2_V)),1,IFERROR(IF(ISNUMBER(SEARCH("|"&amp;INDEX(INDIRECT(F_Custom2_resolved_column),2341)&amp;"|",F_Custom2_wrapped)),1,0),0))</f>
        <v>1</v>
      </c>
      <c r="F2342">
        <f>D2342*E2342*1</f>
        <v>1</v>
      </c>
      <c r="G2342">
        <f>1</f>
        <v>1</v>
      </c>
      <c r="H23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2341)&amp;"|",All_Questions_Q_STREAM_F_wrapped)),1,0),0))*1</f>
        <v>1</v>
      </c>
    </row>
    <row r="2343">
      <c r="A2343" t="n">
        <v>2342</v>
      </c>
      <c r="B2343" t="inlineStr">
        <is>
          <t>B</t>
        </is>
      </c>
      <c r="C2343">
        <f>1</f>
        <v>1</v>
      </c>
      <c r="D2343">
        <f>IF(OR(F_Custom1_Q="(None)",F_Custom1_Q="",ISBLANK(F_Custom1_Q),F_Custom1_V="(All)",F_Custom1_V="",ISBLANK(F_Custom1_V)),1,IFERROR(IF(ISNUMBER(SEARCH("|"&amp;INDEX(INDIRECT(F_Custom1_resolved_column),2342)&amp;"|",F_Custom1_wrapped)),1,0),0))</f>
        <v>1</v>
      </c>
      <c r="E2343">
        <f>IF(OR(F_Custom2_Q="(None)",F_Custom2_Q="",ISBLANK(F_Custom2_Q),F_Custom2_V="(All)",F_Custom2_V="",ISBLANK(F_Custom2_V)),1,IFERROR(IF(ISNUMBER(SEARCH("|"&amp;INDEX(INDIRECT(F_Custom2_resolved_column),2342)&amp;"|",F_Custom2_wrapped)),1,0),0))</f>
        <v>1</v>
      </c>
      <c r="F2343">
        <f>D2343*E2343*1</f>
        <v>1</v>
      </c>
      <c r="G2343">
        <f>1</f>
        <v>1</v>
      </c>
      <c r="H23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2342)&amp;"|",All_Questions_Q_STREAM_F_wrapped)),1,0),0))*1</f>
        <v>1</v>
      </c>
    </row>
    <row r="2344">
      <c r="A2344" t="n">
        <v>2343</v>
      </c>
      <c r="B2344" t="inlineStr">
        <is>
          <t>A</t>
        </is>
      </c>
      <c r="C2344">
        <f>1</f>
        <v>1</v>
      </c>
      <c r="D2344">
        <f>IF(OR(F_Custom1_Q="(None)",F_Custom1_Q="",ISBLANK(F_Custom1_Q),F_Custom1_V="(All)",F_Custom1_V="",ISBLANK(F_Custom1_V)),1,IFERROR(IF(ISNUMBER(SEARCH("|"&amp;INDEX(INDIRECT(F_Custom1_resolved_column),2343)&amp;"|",F_Custom1_wrapped)),1,0),0))</f>
        <v>1</v>
      </c>
      <c r="E2344">
        <f>IF(OR(F_Custom2_Q="(None)",F_Custom2_Q="",ISBLANK(F_Custom2_Q),F_Custom2_V="(All)",F_Custom2_V="",ISBLANK(F_Custom2_V)),1,IFERROR(IF(ISNUMBER(SEARCH("|"&amp;INDEX(INDIRECT(F_Custom2_resolved_column),2343)&amp;"|",F_Custom2_wrapped)),1,0),0))</f>
        <v>1</v>
      </c>
      <c r="F2344">
        <f>D2344*E2344*1</f>
        <v>1</v>
      </c>
      <c r="G2344">
        <f>1</f>
        <v>1</v>
      </c>
      <c r="H23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2343)&amp;"|",All_Questions_Q_STREAM_F_wrapped)),1,0),0))*1</f>
        <v>1</v>
      </c>
    </row>
    <row r="2345">
      <c r="A2345" t="n">
        <v>2344</v>
      </c>
      <c r="B2345" t="inlineStr">
        <is>
          <t>B</t>
        </is>
      </c>
      <c r="C2345">
        <f>1</f>
        <v>1</v>
      </c>
      <c r="D2345">
        <f>IF(OR(F_Custom1_Q="(None)",F_Custom1_Q="",ISBLANK(F_Custom1_Q),F_Custom1_V="(All)",F_Custom1_V="",ISBLANK(F_Custom1_V)),1,IFERROR(IF(ISNUMBER(SEARCH("|"&amp;INDEX(INDIRECT(F_Custom1_resolved_column),2344)&amp;"|",F_Custom1_wrapped)),1,0),0))</f>
        <v>1</v>
      </c>
      <c r="E2345">
        <f>IF(OR(F_Custom2_Q="(None)",F_Custom2_Q="",ISBLANK(F_Custom2_Q),F_Custom2_V="(All)",F_Custom2_V="",ISBLANK(F_Custom2_V)),1,IFERROR(IF(ISNUMBER(SEARCH("|"&amp;INDEX(INDIRECT(F_Custom2_resolved_column),2344)&amp;"|",F_Custom2_wrapped)),1,0),0))</f>
        <v>1</v>
      </c>
      <c r="F2345">
        <f>D2345*E2345*1</f>
        <v>1</v>
      </c>
      <c r="G2345">
        <f>1</f>
        <v>1</v>
      </c>
      <c r="H23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2344)&amp;"|",All_Questions_Q_STREAM_F_wrapped)),1,0),0))*1</f>
        <v>1</v>
      </c>
    </row>
    <row r="2346">
      <c r="A2346" t="n">
        <v>2345</v>
      </c>
      <c r="B2346" t="inlineStr">
        <is>
          <t>A</t>
        </is>
      </c>
      <c r="C2346">
        <f>1</f>
        <v>1</v>
      </c>
      <c r="D2346">
        <f>IF(OR(F_Custom1_Q="(None)",F_Custom1_Q="",ISBLANK(F_Custom1_Q),F_Custom1_V="(All)",F_Custom1_V="",ISBLANK(F_Custom1_V)),1,IFERROR(IF(ISNUMBER(SEARCH("|"&amp;INDEX(INDIRECT(F_Custom1_resolved_column),2345)&amp;"|",F_Custom1_wrapped)),1,0),0))</f>
        <v>1</v>
      </c>
      <c r="E2346">
        <f>IF(OR(F_Custom2_Q="(None)",F_Custom2_Q="",ISBLANK(F_Custom2_Q),F_Custom2_V="(All)",F_Custom2_V="",ISBLANK(F_Custom2_V)),1,IFERROR(IF(ISNUMBER(SEARCH("|"&amp;INDEX(INDIRECT(F_Custom2_resolved_column),2345)&amp;"|",F_Custom2_wrapped)),1,0),0))</f>
        <v>1</v>
      </c>
      <c r="F2346">
        <f>D2346*E2346*1</f>
        <v>1</v>
      </c>
      <c r="G2346">
        <f>1</f>
        <v>1</v>
      </c>
      <c r="H23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2345)&amp;"|",All_Questions_Q_STREAM_F_wrapped)),1,0),0))*1</f>
        <v>1</v>
      </c>
    </row>
    <row r="2347">
      <c r="A2347" t="n">
        <v>2346</v>
      </c>
      <c r="B2347" t="inlineStr">
        <is>
          <t>B</t>
        </is>
      </c>
      <c r="C2347">
        <f>1</f>
        <v>1</v>
      </c>
      <c r="D2347">
        <f>IF(OR(F_Custom1_Q="(None)",F_Custom1_Q="",ISBLANK(F_Custom1_Q),F_Custom1_V="(All)",F_Custom1_V="",ISBLANK(F_Custom1_V)),1,IFERROR(IF(ISNUMBER(SEARCH("|"&amp;INDEX(INDIRECT(F_Custom1_resolved_column),2346)&amp;"|",F_Custom1_wrapped)),1,0),0))</f>
        <v>1</v>
      </c>
      <c r="E2347">
        <f>IF(OR(F_Custom2_Q="(None)",F_Custom2_Q="",ISBLANK(F_Custom2_Q),F_Custom2_V="(All)",F_Custom2_V="",ISBLANK(F_Custom2_V)),1,IFERROR(IF(ISNUMBER(SEARCH("|"&amp;INDEX(INDIRECT(F_Custom2_resolved_column),2346)&amp;"|",F_Custom2_wrapped)),1,0),0))</f>
        <v>1</v>
      </c>
      <c r="F2347">
        <f>D2347*E2347*1</f>
        <v>1</v>
      </c>
      <c r="G2347">
        <f>1</f>
        <v>1</v>
      </c>
      <c r="H23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2346)&amp;"|",All_Questions_Q_STREAM_F_wrapped)),1,0),0))*1</f>
        <v>1</v>
      </c>
    </row>
    <row r="2348">
      <c r="A2348" t="n">
        <v>2347</v>
      </c>
      <c r="B2348" t="inlineStr">
        <is>
          <t>A</t>
        </is>
      </c>
      <c r="C2348">
        <f>1</f>
        <v>1</v>
      </c>
      <c r="D2348">
        <f>IF(OR(F_Custom1_Q="(None)",F_Custom1_Q="",ISBLANK(F_Custom1_Q),F_Custom1_V="(All)",F_Custom1_V="",ISBLANK(F_Custom1_V)),1,IFERROR(IF(ISNUMBER(SEARCH("|"&amp;INDEX(INDIRECT(F_Custom1_resolved_column),2347)&amp;"|",F_Custom1_wrapped)),1,0),0))</f>
        <v>1</v>
      </c>
      <c r="E2348">
        <f>IF(OR(F_Custom2_Q="(None)",F_Custom2_Q="",ISBLANK(F_Custom2_Q),F_Custom2_V="(All)",F_Custom2_V="",ISBLANK(F_Custom2_V)),1,IFERROR(IF(ISNUMBER(SEARCH("|"&amp;INDEX(INDIRECT(F_Custom2_resolved_column),2347)&amp;"|",F_Custom2_wrapped)),1,0),0))</f>
        <v>1</v>
      </c>
      <c r="F2348">
        <f>D2348*E2348*1</f>
        <v>1</v>
      </c>
      <c r="G2348">
        <f>1</f>
        <v>1</v>
      </c>
      <c r="H23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2347)&amp;"|",All_Questions_Q_STREAM_F_wrapped)),1,0),0))*1</f>
        <v>1</v>
      </c>
    </row>
    <row r="2349">
      <c r="A2349" t="n">
        <v>2348</v>
      </c>
      <c r="B2349" t="inlineStr">
        <is>
          <t>B</t>
        </is>
      </c>
      <c r="C2349">
        <f>1</f>
        <v>1</v>
      </c>
      <c r="D2349">
        <f>IF(OR(F_Custom1_Q="(None)",F_Custom1_Q="",ISBLANK(F_Custom1_Q),F_Custom1_V="(All)",F_Custom1_V="",ISBLANK(F_Custom1_V)),1,IFERROR(IF(ISNUMBER(SEARCH("|"&amp;INDEX(INDIRECT(F_Custom1_resolved_column),2348)&amp;"|",F_Custom1_wrapped)),1,0),0))</f>
        <v>1</v>
      </c>
      <c r="E2349">
        <f>IF(OR(F_Custom2_Q="(None)",F_Custom2_Q="",ISBLANK(F_Custom2_Q),F_Custom2_V="(All)",F_Custom2_V="",ISBLANK(F_Custom2_V)),1,IFERROR(IF(ISNUMBER(SEARCH("|"&amp;INDEX(INDIRECT(F_Custom2_resolved_column),2348)&amp;"|",F_Custom2_wrapped)),1,0),0))</f>
        <v>1</v>
      </c>
      <c r="F2349">
        <f>D2349*E2349*1</f>
        <v>1</v>
      </c>
      <c r="G2349">
        <f>1</f>
        <v>1</v>
      </c>
      <c r="H23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2348)&amp;"|",All_Questions_Q_STREAM_F_wrapped)),1,0),0))*1</f>
        <v>1</v>
      </c>
    </row>
    <row r="2350">
      <c r="A2350" t="n">
        <v>2349</v>
      </c>
      <c r="B2350" t="inlineStr">
        <is>
          <t>A</t>
        </is>
      </c>
      <c r="C2350">
        <f>1</f>
        <v>1</v>
      </c>
      <c r="D2350">
        <f>IF(OR(F_Custom1_Q="(None)",F_Custom1_Q="",ISBLANK(F_Custom1_Q),F_Custom1_V="(All)",F_Custom1_V="",ISBLANK(F_Custom1_V)),1,IFERROR(IF(ISNUMBER(SEARCH("|"&amp;INDEX(INDIRECT(F_Custom1_resolved_column),2349)&amp;"|",F_Custom1_wrapped)),1,0),0))</f>
        <v>1</v>
      </c>
      <c r="E2350">
        <f>IF(OR(F_Custom2_Q="(None)",F_Custom2_Q="",ISBLANK(F_Custom2_Q),F_Custom2_V="(All)",F_Custom2_V="",ISBLANK(F_Custom2_V)),1,IFERROR(IF(ISNUMBER(SEARCH("|"&amp;INDEX(INDIRECT(F_Custom2_resolved_column),2349)&amp;"|",F_Custom2_wrapped)),1,0),0))</f>
        <v>1</v>
      </c>
      <c r="F2350">
        <f>D2350*E2350*1</f>
        <v>1</v>
      </c>
      <c r="G2350">
        <f>1</f>
        <v>1</v>
      </c>
      <c r="H23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2349)&amp;"|",All_Questions_Q_STREAM_F_wrapped)),1,0),0))*1</f>
        <v>1</v>
      </c>
    </row>
    <row r="2351">
      <c r="A2351" t="n">
        <v>2350</v>
      </c>
      <c r="B2351" t="inlineStr">
        <is>
          <t>B</t>
        </is>
      </c>
      <c r="C2351">
        <f>1</f>
        <v>1</v>
      </c>
      <c r="D2351">
        <f>IF(OR(F_Custom1_Q="(None)",F_Custom1_Q="",ISBLANK(F_Custom1_Q),F_Custom1_V="(All)",F_Custom1_V="",ISBLANK(F_Custom1_V)),1,IFERROR(IF(ISNUMBER(SEARCH("|"&amp;INDEX(INDIRECT(F_Custom1_resolved_column),2350)&amp;"|",F_Custom1_wrapped)),1,0),0))</f>
        <v>1</v>
      </c>
      <c r="E2351">
        <f>IF(OR(F_Custom2_Q="(None)",F_Custom2_Q="",ISBLANK(F_Custom2_Q),F_Custom2_V="(All)",F_Custom2_V="",ISBLANK(F_Custom2_V)),1,IFERROR(IF(ISNUMBER(SEARCH("|"&amp;INDEX(INDIRECT(F_Custom2_resolved_column),2350)&amp;"|",F_Custom2_wrapped)),1,0),0))</f>
        <v>1</v>
      </c>
      <c r="F2351">
        <f>D2351*E2351*1</f>
        <v>1</v>
      </c>
      <c r="G2351">
        <f>1</f>
        <v>1</v>
      </c>
      <c r="H23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2350)&amp;"|",All_Questions_Q_STREAM_F_wrapped)),1,0),0))*1</f>
        <v>1</v>
      </c>
    </row>
    <row r="2352">
      <c r="A2352" t="n">
        <v>2351</v>
      </c>
      <c r="B2352" t="inlineStr">
        <is>
          <t>A</t>
        </is>
      </c>
      <c r="C2352">
        <f>1</f>
        <v>1</v>
      </c>
      <c r="D2352">
        <f>IF(OR(F_Custom1_Q="(None)",F_Custom1_Q="",ISBLANK(F_Custom1_Q),F_Custom1_V="(All)",F_Custom1_V="",ISBLANK(F_Custom1_V)),1,IFERROR(IF(ISNUMBER(SEARCH("|"&amp;INDEX(INDIRECT(F_Custom1_resolved_column),2351)&amp;"|",F_Custom1_wrapped)),1,0),0))</f>
        <v>1</v>
      </c>
      <c r="E2352">
        <f>IF(OR(F_Custom2_Q="(None)",F_Custom2_Q="",ISBLANK(F_Custom2_Q),F_Custom2_V="(All)",F_Custom2_V="",ISBLANK(F_Custom2_V)),1,IFERROR(IF(ISNUMBER(SEARCH("|"&amp;INDEX(INDIRECT(F_Custom2_resolved_column),2351)&amp;"|",F_Custom2_wrapped)),1,0),0))</f>
        <v>1</v>
      </c>
      <c r="F2352">
        <f>D2352*E2352*1</f>
        <v>1</v>
      </c>
      <c r="G2352">
        <f>1</f>
        <v>1</v>
      </c>
      <c r="H23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2351)&amp;"|",All_Questions_Q_STREAM_F_wrapped)),1,0),0))*1</f>
        <v>1</v>
      </c>
    </row>
    <row r="2353">
      <c r="A2353" t="n">
        <v>2352</v>
      </c>
      <c r="B2353" t="inlineStr">
        <is>
          <t>B</t>
        </is>
      </c>
      <c r="C2353">
        <f>1</f>
        <v>1</v>
      </c>
      <c r="D2353">
        <f>IF(OR(F_Custom1_Q="(None)",F_Custom1_Q="",ISBLANK(F_Custom1_Q),F_Custom1_V="(All)",F_Custom1_V="",ISBLANK(F_Custom1_V)),1,IFERROR(IF(ISNUMBER(SEARCH("|"&amp;INDEX(INDIRECT(F_Custom1_resolved_column),2352)&amp;"|",F_Custom1_wrapped)),1,0),0))</f>
        <v>1</v>
      </c>
      <c r="E2353">
        <f>IF(OR(F_Custom2_Q="(None)",F_Custom2_Q="",ISBLANK(F_Custom2_Q),F_Custom2_V="(All)",F_Custom2_V="",ISBLANK(F_Custom2_V)),1,IFERROR(IF(ISNUMBER(SEARCH("|"&amp;INDEX(INDIRECT(F_Custom2_resolved_column),2352)&amp;"|",F_Custom2_wrapped)),1,0),0))</f>
        <v>1</v>
      </c>
      <c r="F2353">
        <f>D2353*E2353*1</f>
        <v>1</v>
      </c>
      <c r="G2353">
        <f>1</f>
        <v>1</v>
      </c>
      <c r="H23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2352)&amp;"|",All_Questions_Q_STREAM_F_wrapped)),1,0),0))*1</f>
        <v>1</v>
      </c>
    </row>
    <row r="2354">
      <c r="A2354" t="n">
        <v>2353</v>
      </c>
      <c r="B2354" t="inlineStr">
        <is>
          <t>A</t>
        </is>
      </c>
      <c r="C2354">
        <f>1</f>
        <v>1</v>
      </c>
      <c r="D2354">
        <f>IF(OR(F_Custom1_Q="(None)",F_Custom1_Q="",ISBLANK(F_Custom1_Q),F_Custom1_V="(All)",F_Custom1_V="",ISBLANK(F_Custom1_V)),1,IFERROR(IF(ISNUMBER(SEARCH("|"&amp;INDEX(INDIRECT(F_Custom1_resolved_column),2353)&amp;"|",F_Custom1_wrapped)),1,0),0))</f>
        <v>1</v>
      </c>
      <c r="E2354">
        <f>IF(OR(F_Custom2_Q="(None)",F_Custom2_Q="",ISBLANK(F_Custom2_Q),F_Custom2_V="(All)",F_Custom2_V="",ISBLANK(F_Custom2_V)),1,IFERROR(IF(ISNUMBER(SEARCH("|"&amp;INDEX(INDIRECT(F_Custom2_resolved_column),2353)&amp;"|",F_Custom2_wrapped)),1,0),0))</f>
        <v>1</v>
      </c>
      <c r="F2354">
        <f>D2354*E2354*1</f>
        <v>1</v>
      </c>
      <c r="G2354">
        <f>1</f>
        <v>1</v>
      </c>
      <c r="H23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2353)&amp;"|",All_Questions_Q_STREAM_F_wrapped)),1,0),0))*1</f>
        <v>1</v>
      </c>
    </row>
    <row r="2355">
      <c r="A2355" t="n">
        <v>2354</v>
      </c>
      <c r="B2355" t="inlineStr">
        <is>
          <t>B</t>
        </is>
      </c>
      <c r="C2355">
        <f>1</f>
        <v>1</v>
      </c>
      <c r="D2355">
        <f>IF(OR(F_Custom1_Q="(None)",F_Custom1_Q="",ISBLANK(F_Custom1_Q),F_Custom1_V="(All)",F_Custom1_V="",ISBLANK(F_Custom1_V)),1,IFERROR(IF(ISNUMBER(SEARCH("|"&amp;INDEX(INDIRECT(F_Custom1_resolved_column),2354)&amp;"|",F_Custom1_wrapped)),1,0),0))</f>
        <v>1</v>
      </c>
      <c r="E2355">
        <f>IF(OR(F_Custom2_Q="(None)",F_Custom2_Q="",ISBLANK(F_Custom2_Q),F_Custom2_V="(All)",F_Custom2_V="",ISBLANK(F_Custom2_V)),1,IFERROR(IF(ISNUMBER(SEARCH("|"&amp;INDEX(INDIRECT(F_Custom2_resolved_column),2354)&amp;"|",F_Custom2_wrapped)),1,0),0))</f>
        <v>1</v>
      </c>
      <c r="F2355">
        <f>D2355*E2355*1</f>
        <v>1</v>
      </c>
      <c r="G2355">
        <f>1</f>
        <v>1</v>
      </c>
      <c r="H23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2354)&amp;"|",All_Questions_Q_STREAM_F_wrapped)),1,0),0))*1</f>
        <v>1</v>
      </c>
    </row>
    <row r="2356">
      <c r="A2356" t="n">
        <v>2355</v>
      </c>
      <c r="B2356" t="inlineStr">
        <is>
          <t>A</t>
        </is>
      </c>
      <c r="C2356">
        <f>1</f>
        <v>1</v>
      </c>
      <c r="D2356">
        <f>IF(OR(F_Custom1_Q="(None)",F_Custom1_Q="",ISBLANK(F_Custom1_Q),F_Custom1_V="(All)",F_Custom1_V="",ISBLANK(F_Custom1_V)),1,IFERROR(IF(ISNUMBER(SEARCH("|"&amp;INDEX(INDIRECT(F_Custom1_resolved_column),2355)&amp;"|",F_Custom1_wrapped)),1,0),0))</f>
        <v>1</v>
      </c>
      <c r="E2356">
        <f>IF(OR(F_Custom2_Q="(None)",F_Custom2_Q="",ISBLANK(F_Custom2_Q),F_Custom2_V="(All)",F_Custom2_V="",ISBLANK(F_Custom2_V)),1,IFERROR(IF(ISNUMBER(SEARCH("|"&amp;INDEX(INDIRECT(F_Custom2_resolved_column),2355)&amp;"|",F_Custom2_wrapped)),1,0),0))</f>
        <v>1</v>
      </c>
      <c r="F2356">
        <f>D2356*E2356*1</f>
        <v>1</v>
      </c>
      <c r="G2356">
        <f>1</f>
        <v>1</v>
      </c>
      <c r="H23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2355)&amp;"|",All_Questions_Q_STREAM_F_wrapped)),1,0),0))*1</f>
        <v>1</v>
      </c>
    </row>
    <row r="2357">
      <c r="A2357" t="n">
        <v>2356</v>
      </c>
      <c r="B2357" t="inlineStr">
        <is>
          <t>B</t>
        </is>
      </c>
      <c r="C2357">
        <f>1</f>
        <v>1</v>
      </c>
      <c r="D2357">
        <f>IF(OR(F_Custom1_Q="(None)",F_Custom1_Q="",ISBLANK(F_Custom1_Q),F_Custom1_V="(All)",F_Custom1_V="",ISBLANK(F_Custom1_V)),1,IFERROR(IF(ISNUMBER(SEARCH("|"&amp;INDEX(INDIRECT(F_Custom1_resolved_column),2356)&amp;"|",F_Custom1_wrapped)),1,0),0))</f>
        <v>1</v>
      </c>
      <c r="E2357">
        <f>IF(OR(F_Custom2_Q="(None)",F_Custom2_Q="",ISBLANK(F_Custom2_Q),F_Custom2_V="(All)",F_Custom2_V="",ISBLANK(F_Custom2_V)),1,IFERROR(IF(ISNUMBER(SEARCH("|"&amp;INDEX(INDIRECT(F_Custom2_resolved_column),2356)&amp;"|",F_Custom2_wrapped)),1,0),0))</f>
        <v>1</v>
      </c>
      <c r="F2357">
        <f>D2357*E2357*1</f>
        <v>1</v>
      </c>
      <c r="G2357">
        <f>1</f>
        <v>1</v>
      </c>
      <c r="H23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2356)&amp;"|",All_Questions_Q_STREAM_F_wrapped)),1,0),0))*1</f>
        <v>1</v>
      </c>
    </row>
    <row r="2358">
      <c r="A2358" t="n">
        <v>2357</v>
      </c>
      <c r="B2358" t="inlineStr">
        <is>
          <t>A</t>
        </is>
      </c>
      <c r="C2358">
        <f>1</f>
        <v>1</v>
      </c>
      <c r="D2358">
        <f>IF(OR(F_Custom1_Q="(None)",F_Custom1_Q="",ISBLANK(F_Custom1_Q),F_Custom1_V="(All)",F_Custom1_V="",ISBLANK(F_Custom1_V)),1,IFERROR(IF(ISNUMBER(SEARCH("|"&amp;INDEX(INDIRECT(F_Custom1_resolved_column),2357)&amp;"|",F_Custom1_wrapped)),1,0),0))</f>
        <v>1</v>
      </c>
      <c r="E2358">
        <f>IF(OR(F_Custom2_Q="(None)",F_Custom2_Q="",ISBLANK(F_Custom2_Q),F_Custom2_V="(All)",F_Custom2_V="",ISBLANK(F_Custom2_V)),1,IFERROR(IF(ISNUMBER(SEARCH("|"&amp;INDEX(INDIRECT(F_Custom2_resolved_column),2357)&amp;"|",F_Custom2_wrapped)),1,0),0))</f>
        <v>1</v>
      </c>
      <c r="F2358">
        <f>D2358*E2358*1</f>
        <v>1</v>
      </c>
      <c r="G2358">
        <f>1</f>
        <v>1</v>
      </c>
      <c r="H23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2357)&amp;"|",All_Questions_Q_STREAM_F_wrapped)),1,0),0))*1</f>
        <v>1</v>
      </c>
    </row>
    <row r="2359">
      <c r="A2359" t="n">
        <v>2358</v>
      </c>
      <c r="B2359" t="inlineStr">
        <is>
          <t>B</t>
        </is>
      </c>
      <c r="C2359">
        <f>1</f>
        <v>1</v>
      </c>
      <c r="D2359">
        <f>IF(OR(F_Custom1_Q="(None)",F_Custom1_Q="",ISBLANK(F_Custom1_Q),F_Custom1_V="(All)",F_Custom1_V="",ISBLANK(F_Custom1_V)),1,IFERROR(IF(ISNUMBER(SEARCH("|"&amp;INDEX(INDIRECT(F_Custom1_resolved_column),2358)&amp;"|",F_Custom1_wrapped)),1,0),0))</f>
        <v>1</v>
      </c>
      <c r="E2359">
        <f>IF(OR(F_Custom2_Q="(None)",F_Custom2_Q="",ISBLANK(F_Custom2_Q),F_Custom2_V="(All)",F_Custom2_V="",ISBLANK(F_Custom2_V)),1,IFERROR(IF(ISNUMBER(SEARCH("|"&amp;INDEX(INDIRECT(F_Custom2_resolved_column),2358)&amp;"|",F_Custom2_wrapped)),1,0),0))</f>
        <v>1</v>
      </c>
      <c r="F2359">
        <f>D2359*E2359*1</f>
        <v>1</v>
      </c>
      <c r="G2359">
        <f>1</f>
        <v>1</v>
      </c>
      <c r="H23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2358)&amp;"|",All_Questions_Q_STREAM_F_wrapped)),1,0),0))*1</f>
        <v>1</v>
      </c>
    </row>
    <row r="2360">
      <c r="A2360" t="n">
        <v>2359</v>
      </c>
      <c r="B2360" t="inlineStr">
        <is>
          <t>A</t>
        </is>
      </c>
      <c r="C2360">
        <f>1</f>
        <v>1</v>
      </c>
      <c r="D2360">
        <f>IF(OR(F_Custom1_Q="(None)",F_Custom1_Q="",ISBLANK(F_Custom1_Q),F_Custom1_V="(All)",F_Custom1_V="",ISBLANK(F_Custom1_V)),1,IFERROR(IF(ISNUMBER(SEARCH("|"&amp;INDEX(INDIRECT(F_Custom1_resolved_column),2359)&amp;"|",F_Custom1_wrapped)),1,0),0))</f>
        <v>1</v>
      </c>
      <c r="E2360">
        <f>IF(OR(F_Custom2_Q="(None)",F_Custom2_Q="",ISBLANK(F_Custom2_Q),F_Custom2_V="(All)",F_Custom2_V="",ISBLANK(F_Custom2_V)),1,IFERROR(IF(ISNUMBER(SEARCH("|"&amp;INDEX(INDIRECT(F_Custom2_resolved_column),2359)&amp;"|",F_Custom2_wrapped)),1,0),0))</f>
        <v>1</v>
      </c>
      <c r="F2360">
        <f>D2360*E2360*1</f>
        <v>1</v>
      </c>
      <c r="G2360">
        <f>1</f>
        <v>1</v>
      </c>
      <c r="H23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2359)&amp;"|",All_Questions_Q_STREAM_F_wrapped)),1,0),0))*1</f>
        <v>1</v>
      </c>
    </row>
    <row r="2361">
      <c r="A2361" t="n">
        <v>2360</v>
      </c>
      <c r="B2361" t="inlineStr">
        <is>
          <t>B</t>
        </is>
      </c>
      <c r="C2361">
        <f>1</f>
        <v>1</v>
      </c>
      <c r="D2361">
        <f>IF(OR(F_Custom1_Q="(None)",F_Custom1_Q="",ISBLANK(F_Custom1_Q),F_Custom1_V="(All)",F_Custom1_V="",ISBLANK(F_Custom1_V)),1,IFERROR(IF(ISNUMBER(SEARCH("|"&amp;INDEX(INDIRECT(F_Custom1_resolved_column),2360)&amp;"|",F_Custom1_wrapped)),1,0),0))</f>
        <v>1</v>
      </c>
      <c r="E2361">
        <f>IF(OR(F_Custom2_Q="(None)",F_Custom2_Q="",ISBLANK(F_Custom2_Q),F_Custom2_V="(All)",F_Custom2_V="",ISBLANK(F_Custom2_V)),1,IFERROR(IF(ISNUMBER(SEARCH("|"&amp;INDEX(INDIRECT(F_Custom2_resolved_column),2360)&amp;"|",F_Custom2_wrapped)),1,0),0))</f>
        <v>1</v>
      </c>
      <c r="F2361">
        <f>D2361*E2361*1</f>
        <v>1</v>
      </c>
      <c r="G2361">
        <f>1</f>
        <v>1</v>
      </c>
      <c r="H23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2360)&amp;"|",All_Questions_Q_STREAM_F_wrapped)),1,0),0))*1</f>
        <v>1</v>
      </c>
    </row>
    <row r="2362">
      <c r="A2362" t="n">
        <v>2361</v>
      </c>
      <c r="B2362" t="inlineStr">
        <is>
          <t>A</t>
        </is>
      </c>
      <c r="C2362">
        <f>1</f>
        <v>1</v>
      </c>
      <c r="D2362">
        <f>IF(OR(F_Custom1_Q="(None)",F_Custom1_Q="",ISBLANK(F_Custom1_Q),F_Custom1_V="(All)",F_Custom1_V="",ISBLANK(F_Custom1_V)),1,IFERROR(IF(ISNUMBER(SEARCH("|"&amp;INDEX(INDIRECT(F_Custom1_resolved_column),2361)&amp;"|",F_Custom1_wrapped)),1,0),0))</f>
        <v>1</v>
      </c>
      <c r="E2362">
        <f>IF(OR(F_Custom2_Q="(None)",F_Custom2_Q="",ISBLANK(F_Custom2_Q),F_Custom2_V="(All)",F_Custom2_V="",ISBLANK(F_Custom2_V)),1,IFERROR(IF(ISNUMBER(SEARCH("|"&amp;INDEX(INDIRECT(F_Custom2_resolved_column),2361)&amp;"|",F_Custom2_wrapped)),1,0),0))</f>
        <v>1</v>
      </c>
      <c r="F2362">
        <f>D2362*E2362*1</f>
        <v>1</v>
      </c>
      <c r="G2362">
        <f>1</f>
        <v>1</v>
      </c>
      <c r="H23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2361)&amp;"|",All_Questions_Q_STREAM_F_wrapped)),1,0),0))*1</f>
        <v>1</v>
      </c>
    </row>
    <row r="2363">
      <c r="A2363" t="n">
        <v>2362</v>
      </c>
      <c r="B2363" t="inlineStr">
        <is>
          <t>B</t>
        </is>
      </c>
      <c r="C2363">
        <f>1</f>
        <v>1</v>
      </c>
      <c r="D2363">
        <f>IF(OR(F_Custom1_Q="(None)",F_Custom1_Q="",ISBLANK(F_Custom1_Q),F_Custom1_V="(All)",F_Custom1_V="",ISBLANK(F_Custom1_V)),1,IFERROR(IF(ISNUMBER(SEARCH("|"&amp;INDEX(INDIRECT(F_Custom1_resolved_column),2362)&amp;"|",F_Custom1_wrapped)),1,0),0))</f>
        <v>1</v>
      </c>
      <c r="E2363">
        <f>IF(OR(F_Custom2_Q="(None)",F_Custom2_Q="",ISBLANK(F_Custom2_Q),F_Custom2_V="(All)",F_Custom2_V="",ISBLANK(F_Custom2_V)),1,IFERROR(IF(ISNUMBER(SEARCH("|"&amp;INDEX(INDIRECT(F_Custom2_resolved_column),2362)&amp;"|",F_Custom2_wrapped)),1,0),0))</f>
        <v>1</v>
      </c>
      <c r="F2363">
        <f>D2363*E2363*1</f>
        <v>1</v>
      </c>
      <c r="G2363">
        <f>1</f>
        <v>1</v>
      </c>
      <c r="H23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2362)&amp;"|",All_Questions_Q_STREAM_F_wrapped)),1,0),0))*1</f>
        <v>1</v>
      </c>
    </row>
    <row r="2364">
      <c r="A2364" t="n">
        <v>2363</v>
      </c>
      <c r="B2364" t="inlineStr">
        <is>
          <t>A</t>
        </is>
      </c>
      <c r="C2364">
        <f>1</f>
        <v>1</v>
      </c>
      <c r="D2364">
        <f>IF(OR(F_Custom1_Q="(None)",F_Custom1_Q="",ISBLANK(F_Custom1_Q),F_Custom1_V="(All)",F_Custom1_V="",ISBLANK(F_Custom1_V)),1,IFERROR(IF(ISNUMBER(SEARCH("|"&amp;INDEX(INDIRECT(F_Custom1_resolved_column),2363)&amp;"|",F_Custom1_wrapped)),1,0),0))</f>
        <v>1</v>
      </c>
      <c r="E2364">
        <f>IF(OR(F_Custom2_Q="(None)",F_Custom2_Q="",ISBLANK(F_Custom2_Q),F_Custom2_V="(All)",F_Custom2_V="",ISBLANK(F_Custom2_V)),1,IFERROR(IF(ISNUMBER(SEARCH("|"&amp;INDEX(INDIRECT(F_Custom2_resolved_column),2363)&amp;"|",F_Custom2_wrapped)),1,0),0))</f>
        <v>1</v>
      </c>
      <c r="F2364">
        <f>D2364*E2364*1</f>
        <v>1</v>
      </c>
      <c r="G2364">
        <f>1</f>
        <v>1</v>
      </c>
      <c r="H23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2363)&amp;"|",All_Questions_Q_STREAM_F_wrapped)),1,0),0))*1</f>
        <v>1</v>
      </c>
    </row>
    <row r="2365">
      <c r="A2365" t="n">
        <v>2364</v>
      </c>
      <c r="B2365" t="inlineStr">
        <is>
          <t>B</t>
        </is>
      </c>
      <c r="C2365">
        <f>1</f>
        <v>1</v>
      </c>
      <c r="D2365">
        <f>IF(OR(F_Custom1_Q="(None)",F_Custom1_Q="",ISBLANK(F_Custom1_Q),F_Custom1_V="(All)",F_Custom1_V="",ISBLANK(F_Custom1_V)),1,IFERROR(IF(ISNUMBER(SEARCH("|"&amp;INDEX(INDIRECT(F_Custom1_resolved_column),2364)&amp;"|",F_Custom1_wrapped)),1,0),0))</f>
        <v>1</v>
      </c>
      <c r="E2365">
        <f>IF(OR(F_Custom2_Q="(None)",F_Custom2_Q="",ISBLANK(F_Custom2_Q),F_Custom2_V="(All)",F_Custom2_V="",ISBLANK(F_Custom2_V)),1,IFERROR(IF(ISNUMBER(SEARCH("|"&amp;INDEX(INDIRECT(F_Custom2_resolved_column),2364)&amp;"|",F_Custom2_wrapped)),1,0),0))</f>
        <v>1</v>
      </c>
      <c r="F2365">
        <f>D2365*E2365*1</f>
        <v>1</v>
      </c>
      <c r="G2365">
        <f>1</f>
        <v>1</v>
      </c>
      <c r="H23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2364)&amp;"|",All_Questions_Q_STREAM_F_wrapped)),1,0),0))*1</f>
        <v>1</v>
      </c>
    </row>
    <row r="2366">
      <c r="A2366" t="n">
        <v>2365</v>
      </c>
      <c r="B2366" t="inlineStr">
        <is>
          <t>A</t>
        </is>
      </c>
      <c r="C2366">
        <f>1</f>
        <v>1</v>
      </c>
      <c r="D2366">
        <f>IF(OR(F_Custom1_Q="(None)",F_Custom1_Q="",ISBLANK(F_Custom1_Q),F_Custom1_V="(All)",F_Custom1_V="",ISBLANK(F_Custom1_V)),1,IFERROR(IF(ISNUMBER(SEARCH("|"&amp;INDEX(INDIRECT(F_Custom1_resolved_column),2365)&amp;"|",F_Custom1_wrapped)),1,0),0))</f>
        <v>1</v>
      </c>
      <c r="E2366">
        <f>IF(OR(F_Custom2_Q="(None)",F_Custom2_Q="",ISBLANK(F_Custom2_Q),F_Custom2_V="(All)",F_Custom2_V="",ISBLANK(F_Custom2_V)),1,IFERROR(IF(ISNUMBER(SEARCH("|"&amp;INDEX(INDIRECT(F_Custom2_resolved_column),2365)&amp;"|",F_Custom2_wrapped)),1,0),0))</f>
        <v>1</v>
      </c>
      <c r="F2366">
        <f>D2366*E2366*1</f>
        <v>1</v>
      </c>
      <c r="G2366">
        <f>1</f>
        <v>1</v>
      </c>
      <c r="H23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2365)&amp;"|",All_Questions_Q_STREAM_F_wrapped)),1,0),0))*1</f>
        <v>1</v>
      </c>
    </row>
    <row r="2367">
      <c r="A2367" t="n">
        <v>2366</v>
      </c>
      <c r="B2367" t="inlineStr">
        <is>
          <t>B</t>
        </is>
      </c>
      <c r="C2367">
        <f>1</f>
        <v>1</v>
      </c>
      <c r="D2367">
        <f>IF(OR(F_Custom1_Q="(None)",F_Custom1_Q="",ISBLANK(F_Custom1_Q),F_Custom1_V="(All)",F_Custom1_V="",ISBLANK(F_Custom1_V)),1,IFERROR(IF(ISNUMBER(SEARCH("|"&amp;INDEX(INDIRECT(F_Custom1_resolved_column),2366)&amp;"|",F_Custom1_wrapped)),1,0),0))</f>
        <v>1</v>
      </c>
      <c r="E2367">
        <f>IF(OR(F_Custom2_Q="(None)",F_Custom2_Q="",ISBLANK(F_Custom2_Q),F_Custom2_V="(All)",F_Custom2_V="",ISBLANK(F_Custom2_V)),1,IFERROR(IF(ISNUMBER(SEARCH("|"&amp;INDEX(INDIRECT(F_Custom2_resolved_column),2366)&amp;"|",F_Custom2_wrapped)),1,0),0))</f>
        <v>1</v>
      </c>
      <c r="F2367">
        <f>D2367*E2367*1</f>
        <v>1</v>
      </c>
      <c r="G2367">
        <f>1</f>
        <v>1</v>
      </c>
      <c r="H23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2366)&amp;"|",All_Questions_Q_STREAM_F_wrapped)),1,0),0))*1</f>
        <v>1</v>
      </c>
    </row>
    <row r="2368">
      <c r="A2368" t="n">
        <v>2367</v>
      </c>
      <c r="B2368" t="inlineStr">
        <is>
          <t>A</t>
        </is>
      </c>
      <c r="C2368">
        <f>1</f>
        <v>1</v>
      </c>
      <c r="D2368">
        <f>IF(OR(F_Custom1_Q="(None)",F_Custom1_Q="",ISBLANK(F_Custom1_Q),F_Custom1_V="(All)",F_Custom1_V="",ISBLANK(F_Custom1_V)),1,IFERROR(IF(ISNUMBER(SEARCH("|"&amp;INDEX(INDIRECT(F_Custom1_resolved_column),2367)&amp;"|",F_Custom1_wrapped)),1,0),0))</f>
        <v>1</v>
      </c>
      <c r="E2368">
        <f>IF(OR(F_Custom2_Q="(None)",F_Custom2_Q="",ISBLANK(F_Custom2_Q),F_Custom2_V="(All)",F_Custom2_V="",ISBLANK(F_Custom2_V)),1,IFERROR(IF(ISNUMBER(SEARCH("|"&amp;INDEX(INDIRECT(F_Custom2_resolved_column),2367)&amp;"|",F_Custom2_wrapped)),1,0),0))</f>
        <v>1</v>
      </c>
      <c r="F2368">
        <f>D2368*E2368*1</f>
        <v>1</v>
      </c>
      <c r="G2368">
        <f>1</f>
        <v>1</v>
      </c>
      <c r="H23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2367)&amp;"|",All_Questions_Q_STREAM_F_wrapped)),1,0),0))*1</f>
        <v>1</v>
      </c>
    </row>
    <row r="2369">
      <c r="A2369" t="n">
        <v>2368</v>
      </c>
      <c r="B2369" t="inlineStr">
        <is>
          <t>B</t>
        </is>
      </c>
      <c r="C2369">
        <f>1</f>
        <v>1</v>
      </c>
      <c r="D2369">
        <f>IF(OR(F_Custom1_Q="(None)",F_Custom1_Q="",ISBLANK(F_Custom1_Q),F_Custom1_V="(All)",F_Custom1_V="",ISBLANK(F_Custom1_V)),1,IFERROR(IF(ISNUMBER(SEARCH("|"&amp;INDEX(INDIRECT(F_Custom1_resolved_column),2368)&amp;"|",F_Custom1_wrapped)),1,0),0))</f>
        <v>1</v>
      </c>
      <c r="E2369">
        <f>IF(OR(F_Custom2_Q="(None)",F_Custom2_Q="",ISBLANK(F_Custom2_Q),F_Custom2_V="(All)",F_Custom2_V="",ISBLANK(F_Custom2_V)),1,IFERROR(IF(ISNUMBER(SEARCH("|"&amp;INDEX(INDIRECT(F_Custom2_resolved_column),2368)&amp;"|",F_Custom2_wrapped)),1,0),0))</f>
        <v>1</v>
      </c>
      <c r="F2369">
        <f>D2369*E2369*1</f>
        <v>1</v>
      </c>
      <c r="G2369">
        <f>1</f>
        <v>1</v>
      </c>
      <c r="H23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2368)&amp;"|",All_Questions_Q_STREAM_F_wrapped)),1,0),0))*1</f>
        <v>1</v>
      </c>
    </row>
    <row r="2370">
      <c r="A2370" t="n">
        <v>2369</v>
      </c>
      <c r="B2370" t="inlineStr">
        <is>
          <t>A</t>
        </is>
      </c>
      <c r="C2370">
        <f>1</f>
        <v>1</v>
      </c>
      <c r="D2370">
        <f>IF(OR(F_Custom1_Q="(None)",F_Custom1_Q="",ISBLANK(F_Custom1_Q),F_Custom1_V="(All)",F_Custom1_V="",ISBLANK(F_Custom1_V)),1,IFERROR(IF(ISNUMBER(SEARCH("|"&amp;INDEX(INDIRECT(F_Custom1_resolved_column),2369)&amp;"|",F_Custom1_wrapped)),1,0),0))</f>
        <v>1</v>
      </c>
      <c r="E2370">
        <f>IF(OR(F_Custom2_Q="(None)",F_Custom2_Q="",ISBLANK(F_Custom2_Q),F_Custom2_V="(All)",F_Custom2_V="",ISBLANK(F_Custom2_V)),1,IFERROR(IF(ISNUMBER(SEARCH("|"&amp;INDEX(INDIRECT(F_Custom2_resolved_column),2369)&amp;"|",F_Custom2_wrapped)),1,0),0))</f>
        <v>1</v>
      </c>
      <c r="F2370">
        <f>D2370*E2370*1</f>
        <v>1</v>
      </c>
      <c r="G2370">
        <f>1</f>
        <v>1</v>
      </c>
      <c r="H23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2369)&amp;"|",All_Questions_Q_STREAM_F_wrapped)),1,0),0))*1</f>
        <v>1</v>
      </c>
    </row>
    <row r="2371">
      <c r="A2371" t="n">
        <v>2370</v>
      </c>
      <c r="B2371" t="inlineStr">
        <is>
          <t>B</t>
        </is>
      </c>
      <c r="C2371">
        <f>1</f>
        <v>1</v>
      </c>
      <c r="D2371">
        <f>IF(OR(F_Custom1_Q="(None)",F_Custom1_Q="",ISBLANK(F_Custom1_Q),F_Custom1_V="(All)",F_Custom1_V="",ISBLANK(F_Custom1_V)),1,IFERROR(IF(ISNUMBER(SEARCH("|"&amp;INDEX(INDIRECT(F_Custom1_resolved_column),2370)&amp;"|",F_Custom1_wrapped)),1,0),0))</f>
        <v>1</v>
      </c>
      <c r="E2371">
        <f>IF(OR(F_Custom2_Q="(None)",F_Custom2_Q="",ISBLANK(F_Custom2_Q),F_Custom2_V="(All)",F_Custom2_V="",ISBLANK(F_Custom2_V)),1,IFERROR(IF(ISNUMBER(SEARCH("|"&amp;INDEX(INDIRECT(F_Custom2_resolved_column),2370)&amp;"|",F_Custom2_wrapped)),1,0),0))</f>
        <v>1</v>
      </c>
      <c r="F2371">
        <f>D2371*E2371*1</f>
        <v>1</v>
      </c>
      <c r="G2371">
        <f>1</f>
        <v>1</v>
      </c>
      <c r="H23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2370)&amp;"|",All_Questions_Q_STREAM_F_wrapped)),1,0),0))*1</f>
        <v>1</v>
      </c>
    </row>
    <row r="2372">
      <c r="A2372" t="n">
        <v>2371</v>
      </c>
      <c r="B2372" t="inlineStr">
        <is>
          <t>A</t>
        </is>
      </c>
      <c r="C2372">
        <f>1</f>
        <v>1</v>
      </c>
      <c r="D2372">
        <f>IF(OR(F_Custom1_Q="(None)",F_Custom1_Q="",ISBLANK(F_Custom1_Q),F_Custom1_V="(All)",F_Custom1_V="",ISBLANK(F_Custom1_V)),1,IFERROR(IF(ISNUMBER(SEARCH("|"&amp;INDEX(INDIRECT(F_Custom1_resolved_column),2371)&amp;"|",F_Custom1_wrapped)),1,0),0))</f>
        <v>1</v>
      </c>
      <c r="E2372">
        <f>IF(OR(F_Custom2_Q="(None)",F_Custom2_Q="",ISBLANK(F_Custom2_Q),F_Custom2_V="(All)",F_Custom2_V="",ISBLANK(F_Custom2_V)),1,IFERROR(IF(ISNUMBER(SEARCH("|"&amp;INDEX(INDIRECT(F_Custom2_resolved_column),2371)&amp;"|",F_Custom2_wrapped)),1,0),0))</f>
        <v>1</v>
      </c>
      <c r="F2372">
        <f>D2372*E2372*1</f>
        <v>1</v>
      </c>
      <c r="G2372">
        <f>1</f>
        <v>1</v>
      </c>
      <c r="H23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2371)&amp;"|",All_Questions_Q_STREAM_F_wrapped)),1,0),0))*1</f>
        <v>1</v>
      </c>
    </row>
    <row r="2373">
      <c r="A2373" t="n">
        <v>2372</v>
      </c>
      <c r="B2373" t="inlineStr">
        <is>
          <t>B</t>
        </is>
      </c>
      <c r="C2373">
        <f>1</f>
        <v>1</v>
      </c>
      <c r="D2373">
        <f>IF(OR(F_Custom1_Q="(None)",F_Custom1_Q="",ISBLANK(F_Custom1_Q),F_Custom1_V="(All)",F_Custom1_V="",ISBLANK(F_Custom1_V)),1,IFERROR(IF(ISNUMBER(SEARCH("|"&amp;INDEX(INDIRECT(F_Custom1_resolved_column),2372)&amp;"|",F_Custom1_wrapped)),1,0),0))</f>
        <v>1</v>
      </c>
      <c r="E2373">
        <f>IF(OR(F_Custom2_Q="(None)",F_Custom2_Q="",ISBLANK(F_Custom2_Q),F_Custom2_V="(All)",F_Custom2_V="",ISBLANK(F_Custom2_V)),1,IFERROR(IF(ISNUMBER(SEARCH("|"&amp;INDEX(INDIRECT(F_Custom2_resolved_column),2372)&amp;"|",F_Custom2_wrapped)),1,0),0))</f>
        <v>1</v>
      </c>
      <c r="F2373">
        <f>D2373*E2373*1</f>
        <v>1</v>
      </c>
      <c r="G2373">
        <f>1</f>
        <v>1</v>
      </c>
      <c r="H23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2372)&amp;"|",All_Questions_Q_STREAM_F_wrapped)),1,0),0))*1</f>
        <v>1</v>
      </c>
    </row>
    <row r="2374">
      <c r="A2374" t="n">
        <v>2373</v>
      </c>
      <c r="B2374" t="inlineStr">
        <is>
          <t>A</t>
        </is>
      </c>
      <c r="C2374">
        <f>1</f>
        <v>1</v>
      </c>
      <c r="D2374">
        <f>IF(OR(F_Custom1_Q="(None)",F_Custom1_Q="",ISBLANK(F_Custom1_Q),F_Custom1_V="(All)",F_Custom1_V="",ISBLANK(F_Custom1_V)),1,IFERROR(IF(ISNUMBER(SEARCH("|"&amp;INDEX(INDIRECT(F_Custom1_resolved_column),2373)&amp;"|",F_Custom1_wrapped)),1,0),0))</f>
        <v>1</v>
      </c>
      <c r="E2374">
        <f>IF(OR(F_Custom2_Q="(None)",F_Custom2_Q="",ISBLANK(F_Custom2_Q),F_Custom2_V="(All)",F_Custom2_V="",ISBLANK(F_Custom2_V)),1,IFERROR(IF(ISNUMBER(SEARCH("|"&amp;INDEX(INDIRECT(F_Custom2_resolved_column),2373)&amp;"|",F_Custom2_wrapped)),1,0),0))</f>
        <v>1</v>
      </c>
      <c r="F2374">
        <f>D2374*E2374*1</f>
        <v>1</v>
      </c>
      <c r="G2374">
        <f>1</f>
        <v>1</v>
      </c>
      <c r="H23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2373)&amp;"|",All_Questions_Q_STREAM_F_wrapped)),1,0),0))*1</f>
        <v>1</v>
      </c>
    </row>
    <row r="2375">
      <c r="A2375" t="n">
        <v>2374</v>
      </c>
      <c r="B2375" t="inlineStr">
        <is>
          <t>B</t>
        </is>
      </c>
      <c r="C2375">
        <f>1</f>
        <v>1</v>
      </c>
      <c r="D2375">
        <f>IF(OR(F_Custom1_Q="(None)",F_Custom1_Q="",ISBLANK(F_Custom1_Q),F_Custom1_V="(All)",F_Custom1_V="",ISBLANK(F_Custom1_V)),1,IFERROR(IF(ISNUMBER(SEARCH("|"&amp;INDEX(INDIRECT(F_Custom1_resolved_column),2374)&amp;"|",F_Custom1_wrapped)),1,0),0))</f>
        <v>1</v>
      </c>
      <c r="E2375">
        <f>IF(OR(F_Custom2_Q="(None)",F_Custom2_Q="",ISBLANK(F_Custom2_Q),F_Custom2_V="(All)",F_Custom2_V="",ISBLANK(F_Custom2_V)),1,IFERROR(IF(ISNUMBER(SEARCH("|"&amp;INDEX(INDIRECT(F_Custom2_resolved_column),2374)&amp;"|",F_Custom2_wrapped)),1,0),0))</f>
        <v>1</v>
      </c>
      <c r="F2375">
        <f>D2375*E2375*1</f>
        <v>1</v>
      </c>
      <c r="G2375">
        <f>1</f>
        <v>1</v>
      </c>
      <c r="H23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2374)&amp;"|",All_Questions_Q_STREAM_F_wrapped)),1,0),0))*1</f>
        <v>1</v>
      </c>
    </row>
    <row r="2376">
      <c r="A2376" t="n">
        <v>2375</v>
      </c>
      <c r="B2376" t="inlineStr">
        <is>
          <t>A</t>
        </is>
      </c>
      <c r="C2376">
        <f>1</f>
        <v>1</v>
      </c>
      <c r="D2376">
        <f>IF(OR(F_Custom1_Q="(None)",F_Custom1_Q="",ISBLANK(F_Custom1_Q),F_Custom1_V="(All)",F_Custom1_V="",ISBLANK(F_Custom1_V)),1,IFERROR(IF(ISNUMBER(SEARCH("|"&amp;INDEX(INDIRECT(F_Custom1_resolved_column),2375)&amp;"|",F_Custom1_wrapped)),1,0),0))</f>
        <v>1</v>
      </c>
      <c r="E2376">
        <f>IF(OR(F_Custom2_Q="(None)",F_Custom2_Q="",ISBLANK(F_Custom2_Q),F_Custom2_V="(All)",F_Custom2_V="",ISBLANK(F_Custom2_V)),1,IFERROR(IF(ISNUMBER(SEARCH("|"&amp;INDEX(INDIRECT(F_Custom2_resolved_column),2375)&amp;"|",F_Custom2_wrapped)),1,0),0))</f>
        <v>1</v>
      </c>
      <c r="F2376">
        <f>D2376*E2376*1</f>
        <v>1</v>
      </c>
      <c r="G2376">
        <f>1</f>
        <v>1</v>
      </c>
      <c r="H23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2375)&amp;"|",All_Questions_Q_STREAM_F_wrapped)),1,0),0))*1</f>
        <v>1</v>
      </c>
    </row>
    <row r="2377">
      <c r="A2377" t="n">
        <v>2376</v>
      </c>
      <c r="B2377" t="inlineStr">
        <is>
          <t>B</t>
        </is>
      </c>
      <c r="C2377">
        <f>1</f>
        <v>1</v>
      </c>
      <c r="D2377">
        <f>IF(OR(F_Custom1_Q="(None)",F_Custom1_Q="",ISBLANK(F_Custom1_Q),F_Custom1_V="(All)",F_Custom1_V="",ISBLANK(F_Custom1_V)),1,IFERROR(IF(ISNUMBER(SEARCH("|"&amp;INDEX(INDIRECT(F_Custom1_resolved_column),2376)&amp;"|",F_Custom1_wrapped)),1,0),0))</f>
        <v>1</v>
      </c>
      <c r="E2377">
        <f>IF(OR(F_Custom2_Q="(None)",F_Custom2_Q="",ISBLANK(F_Custom2_Q),F_Custom2_V="(All)",F_Custom2_V="",ISBLANK(F_Custom2_V)),1,IFERROR(IF(ISNUMBER(SEARCH("|"&amp;INDEX(INDIRECT(F_Custom2_resolved_column),2376)&amp;"|",F_Custom2_wrapped)),1,0),0))</f>
        <v>1</v>
      </c>
      <c r="F2377">
        <f>D2377*E2377*1</f>
        <v>1</v>
      </c>
      <c r="G2377">
        <f>1</f>
        <v>1</v>
      </c>
      <c r="H23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2376)&amp;"|",All_Questions_Q_STREAM_F_wrapped)),1,0),0))*1</f>
        <v>1</v>
      </c>
    </row>
    <row r="2378">
      <c r="A2378" t="n">
        <v>2377</v>
      </c>
      <c r="B2378" t="inlineStr">
        <is>
          <t>A</t>
        </is>
      </c>
      <c r="C2378">
        <f>1</f>
        <v>1</v>
      </c>
      <c r="D2378">
        <f>IF(OR(F_Custom1_Q="(None)",F_Custom1_Q="",ISBLANK(F_Custom1_Q),F_Custom1_V="(All)",F_Custom1_V="",ISBLANK(F_Custom1_V)),1,IFERROR(IF(ISNUMBER(SEARCH("|"&amp;INDEX(INDIRECT(F_Custom1_resolved_column),2377)&amp;"|",F_Custom1_wrapped)),1,0),0))</f>
        <v>1</v>
      </c>
      <c r="E2378">
        <f>IF(OR(F_Custom2_Q="(None)",F_Custom2_Q="",ISBLANK(F_Custom2_Q),F_Custom2_V="(All)",F_Custom2_V="",ISBLANK(F_Custom2_V)),1,IFERROR(IF(ISNUMBER(SEARCH("|"&amp;INDEX(INDIRECT(F_Custom2_resolved_column),2377)&amp;"|",F_Custom2_wrapped)),1,0),0))</f>
        <v>1</v>
      </c>
      <c r="F2378">
        <f>D2378*E2378*1</f>
        <v>1</v>
      </c>
      <c r="G2378">
        <f>1</f>
        <v>1</v>
      </c>
      <c r="H23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2377)&amp;"|",All_Questions_Q_STREAM_F_wrapped)),1,0),0))*1</f>
        <v>1</v>
      </c>
    </row>
    <row r="2379">
      <c r="A2379" t="n">
        <v>2378</v>
      </c>
      <c r="B2379" t="inlineStr">
        <is>
          <t>B</t>
        </is>
      </c>
      <c r="C2379">
        <f>1</f>
        <v>1</v>
      </c>
      <c r="D2379">
        <f>IF(OR(F_Custom1_Q="(None)",F_Custom1_Q="",ISBLANK(F_Custom1_Q),F_Custom1_V="(All)",F_Custom1_V="",ISBLANK(F_Custom1_V)),1,IFERROR(IF(ISNUMBER(SEARCH("|"&amp;INDEX(INDIRECT(F_Custom1_resolved_column),2378)&amp;"|",F_Custom1_wrapped)),1,0),0))</f>
        <v>1</v>
      </c>
      <c r="E2379">
        <f>IF(OR(F_Custom2_Q="(None)",F_Custom2_Q="",ISBLANK(F_Custom2_Q),F_Custom2_V="(All)",F_Custom2_V="",ISBLANK(F_Custom2_V)),1,IFERROR(IF(ISNUMBER(SEARCH("|"&amp;INDEX(INDIRECT(F_Custom2_resolved_column),2378)&amp;"|",F_Custom2_wrapped)),1,0),0))</f>
        <v>1</v>
      </c>
      <c r="F2379">
        <f>D2379*E2379*1</f>
        <v>1</v>
      </c>
      <c r="G2379">
        <f>1</f>
        <v>1</v>
      </c>
      <c r="H23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2378)&amp;"|",All_Questions_Q_STREAM_F_wrapped)),1,0),0))*1</f>
        <v>1</v>
      </c>
    </row>
    <row r="2380">
      <c r="A2380" t="n">
        <v>2379</v>
      </c>
      <c r="B2380" t="inlineStr">
        <is>
          <t>A</t>
        </is>
      </c>
      <c r="C2380">
        <f>1</f>
        <v>1</v>
      </c>
      <c r="D2380">
        <f>IF(OR(F_Custom1_Q="(None)",F_Custom1_Q="",ISBLANK(F_Custom1_Q),F_Custom1_V="(All)",F_Custom1_V="",ISBLANK(F_Custom1_V)),1,IFERROR(IF(ISNUMBER(SEARCH("|"&amp;INDEX(INDIRECT(F_Custom1_resolved_column),2379)&amp;"|",F_Custom1_wrapped)),1,0),0))</f>
        <v>1</v>
      </c>
      <c r="E2380">
        <f>IF(OR(F_Custom2_Q="(None)",F_Custom2_Q="",ISBLANK(F_Custom2_Q),F_Custom2_V="(All)",F_Custom2_V="",ISBLANK(F_Custom2_V)),1,IFERROR(IF(ISNUMBER(SEARCH("|"&amp;INDEX(INDIRECT(F_Custom2_resolved_column),2379)&amp;"|",F_Custom2_wrapped)),1,0),0))</f>
        <v>1</v>
      </c>
      <c r="F2380">
        <f>D2380*E2380*1</f>
        <v>1</v>
      </c>
      <c r="G2380">
        <f>1</f>
        <v>1</v>
      </c>
      <c r="H23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2379)&amp;"|",All_Questions_Q_STREAM_F_wrapped)),1,0),0))*1</f>
        <v>1</v>
      </c>
    </row>
    <row r="2381">
      <c r="A2381" t="n">
        <v>2380</v>
      </c>
      <c r="B2381" t="inlineStr">
        <is>
          <t>B</t>
        </is>
      </c>
      <c r="C2381">
        <f>1</f>
        <v>1</v>
      </c>
      <c r="D2381">
        <f>IF(OR(F_Custom1_Q="(None)",F_Custom1_Q="",ISBLANK(F_Custom1_Q),F_Custom1_V="(All)",F_Custom1_V="",ISBLANK(F_Custom1_V)),1,IFERROR(IF(ISNUMBER(SEARCH("|"&amp;INDEX(INDIRECT(F_Custom1_resolved_column),2380)&amp;"|",F_Custom1_wrapped)),1,0),0))</f>
        <v>1</v>
      </c>
      <c r="E2381">
        <f>IF(OR(F_Custom2_Q="(None)",F_Custom2_Q="",ISBLANK(F_Custom2_Q),F_Custom2_V="(All)",F_Custom2_V="",ISBLANK(F_Custom2_V)),1,IFERROR(IF(ISNUMBER(SEARCH("|"&amp;INDEX(INDIRECT(F_Custom2_resolved_column),2380)&amp;"|",F_Custom2_wrapped)),1,0),0))</f>
        <v>1</v>
      </c>
      <c r="F2381">
        <f>D2381*E2381*1</f>
        <v>1</v>
      </c>
      <c r="G2381">
        <f>1</f>
        <v>1</v>
      </c>
      <c r="H23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2380)&amp;"|",All_Questions_Q_STREAM_F_wrapped)),1,0),0))*1</f>
        <v>1</v>
      </c>
    </row>
    <row r="2382">
      <c r="A2382" t="n">
        <v>2381</v>
      </c>
      <c r="B2382" t="inlineStr">
        <is>
          <t>A</t>
        </is>
      </c>
      <c r="C2382">
        <f>1</f>
        <v>1</v>
      </c>
      <c r="D2382">
        <f>IF(OR(F_Custom1_Q="(None)",F_Custom1_Q="",ISBLANK(F_Custom1_Q),F_Custom1_V="(All)",F_Custom1_V="",ISBLANK(F_Custom1_V)),1,IFERROR(IF(ISNUMBER(SEARCH("|"&amp;INDEX(INDIRECT(F_Custom1_resolved_column),2381)&amp;"|",F_Custom1_wrapped)),1,0),0))</f>
        <v>1</v>
      </c>
      <c r="E2382">
        <f>IF(OR(F_Custom2_Q="(None)",F_Custom2_Q="",ISBLANK(F_Custom2_Q),F_Custom2_V="(All)",F_Custom2_V="",ISBLANK(F_Custom2_V)),1,IFERROR(IF(ISNUMBER(SEARCH("|"&amp;INDEX(INDIRECT(F_Custom2_resolved_column),2381)&amp;"|",F_Custom2_wrapped)),1,0),0))</f>
        <v>1</v>
      </c>
      <c r="F2382">
        <f>D2382*E2382*1</f>
        <v>1</v>
      </c>
      <c r="G2382">
        <f>1</f>
        <v>1</v>
      </c>
      <c r="H23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2381)&amp;"|",All_Questions_Q_STREAM_F_wrapped)),1,0),0))*1</f>
        <v>1</v>
      </c>
    </row>
    <row r="2383">
      <c r="A2383" t="n">
        <v>2382</v>
      </c>
      <c r="B2383" t="inlineStr">
        <is>
          <t>B</t>
        </is>
      </c>
      <c r="C2383">
        <f>1</f>
        <v>1</v>
      </c>
      <c r="D2383">
        <f>IF(OR(F_Custom1_Q="(None)",F_Custom1_Q="",ISBLANK(F_Custom1_Q),F_Custom1_V="(All)",F_Custom1_V="",ISBLANK(F_Custom1_V)),1,IFERROR(IF(ISNUMBER(SEARCH("|"&amp;INDEX(INDIRECT(F_Custom1_resolved_column),2382)&amp;"|",F_Custom1_wrapped)),1,0),0))</f>
        <v>1</v>
      </c>
      <c r="E2383">
        <f>IF(OR(F_Custom2_Q="(None)",F_Custom2_Q="",ISBLANK(F_Custom2_Q),F_Custom2_V="(All)",F_Custom2_V="",ISBLANK(F_Custom2_V)),1,IFERROR(IF(ISNUMBER(SEARCH("|"&amp;INDEX(INDIRECT(F_Custom2_resolved_column),2382)&amp;"|",F_Custom2_wrapped)),1,0),0))</f>
        <v>1</v>
      </c>
      <c r="F2383">
        <f>D2383*E2383*1</f>
        <v>1</v>
      </c>
      <c r="G2383">
        <f>1</f>
        <v>1</v>
      </c>
      <c r="H23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2382)&amp;"|",All_Questions_Q_STREAM_F_wrapped)),1,0),0))*1</f>
        <v>1</v>
      </c>
    </row>
    <row r="2384">
      <c r="A2384" t="n">
        <v>2383</v>
      </c>
      <c r="B2384" t="inlineStr">
        <is>
          <t>A</t>
        </is>
      </c>
      <c r="C2384">
        <f>1</f>
        <v>1</v>
      </c>
      <c r="D2384">
        <f>IF(OR(F_Custom1_Q="(None)",F_Custom1_Q="",ISBLANK(F_Custom1_Q),F_Custom1_V="(All)",F_Custom1_V="",ISBLANK(F_Custom1_V)),1,IFERROR(IF(ISNUMBER(SEARCH("|"&amp;INDEX(INDIRECT(F_Custom1_resolved_column),2383)&amp;"|",F_Custom1_wrapped)),1,0),0))</f>
        <v>1</v>
      </c>
      <c r="E2384">
        <f>IF(OR(F_Custom2_Q="(None)",F_Custom2_Q="",ISBLANK(F_Custom2_Q),F_Custom2_V="(All)",F_Custom2_V="",ISBLANK(F_Custom2_V)),1,IFERROR(IF(ISNUMBER(SEARCH("|"&amp;INDEX(INDIRECT(F_Custom2_resolved_column),2383)&amp;"|",F_Custom2_wrapped)),1,0),0))</f>
        <v>1</v>
      </c>
      <c r="F2384">
        <f>D2384*E2384*1</f>
        <v>1</v>
      </c>
      <c r="G2384">
        <f>1</f>
        <v>1</v>
      </c>
      <c r="H23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2383)&amp;"|",All_Questions_Q_STREAM_F_wrapped)),1,0),0))*1</f>
        <v>1</v>
      </c>
    </row>
    <row r="2385">
      <c r="A2385" t="n">
        <v>2384</v>
      </c>
      <c r="B2385" t="inlineStr">
        <is>
          <t>B</t>
        </is>
      </c>
      <c r="C2385">
        <f>1</f>
        <v>1</v>
      </c>
      <c r="D2385">
        <f>IF(OR(F_Custom1_Q="(None)",F_Custom1_Q="",ISBLANK(F_Custom1_Q),F_Custom1_V="(All)",F_Custom1_V="",ISBLANK(F_Custom1_V)),1,IFERROR(IF(ISNUMBER(SEARCH("|"&amp;INDEX(INDIRECT(F_Custom1_resolved_column),2384)&amp;"|",F_Custom1_wrapped)),1,0),0))</f>
        <v>1</v>
      </c>
      <c r="E2385">
        <f>IF(OR(F_Custom2_Q="(None)",F_Custom2_Q="",ISBLANK(F_Custom2_Q),F_Custom2_V="(All)",F_Custom2_V="",ISBLANK(F_Custom2_V)),1,IFERROR(IF(ISNUMBER(SEARCH("|"&amp;INDEX(INDIRECT(F_Custom2_resolved_column),2384)&amp;"|",F_Custom2_wrapped)),1,0),0))</f>
        <v>1</v>
      </c>
      <c r="F2385">
        <f>D2385*E2385*1</f>
        <v>1</v>
      </c>
      <c r="G2385">
        <f>1</f>
        <v>1</v>
      </c>
      <c r="H23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2384)&amp;"|",All_Questions_Q_STREAM_F_wrapped)),1,0),0))*1</f>
        <v>1</v>
      </c>
    </row>
    <row r="2386">
      <c r="A2386" t="n">
        <v>2385</v>
      </c>
      <c r="B2386" t="inlineStr">
        <is>
          <t>A</t>
        </is>
      </c>
      <c r="C2386">
        <f>1</f>
        <v>1</v>
      </c>
      <c r="D2386">
        <f>IF(OR(F_Custom1_Q="(None)",F_Custom1_Q="",ISBLANK(F_Custom1_Q),F_Custom1_V="(All)",F_Custom1_V="",ISBLANK(F_Custom1_V)),1,IFERROR(IF(ISNUMBER(SEARCH("|"&amp;INDEX(INDIRECT(F_Custom1_resolved_column),2385)&amp;"|",F_Custom1_wrapped)),1,0),0))</f>
        <v>1</v>
      </c>
      <c r="E2386">
        <f>IF(OR(F_Custom2_Q="(None)",F_Custom2_Q="",ISBLANK(F_Custom2_Q),F_Custom2_V="(All)",F_Custom2_V="",ISBLANK(F_Custom2_V)),1,IFERROR(IF(ISNUMBER(SEARCH("|"&amp;INDEX(INDIRECT(F_Custom2_resolved_column),2385)&amp;"|",F_Custom2_wrapped)),1,0),0))</f>
        <v>1</v>
      </c>
      <c r="F2386">
        <f>D2386*E2386*1</f>
        <v>1</v>
      </c>
      <c r="G2386">
        <f>1</f>
        <v>1</v>
      </c>
      <c r="H23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2385)&amp;"|",All_Questions_Q_STREAM_F_wrapped)),1,0),0))*1</f>
        <v>1</v>
      </c>
    </row>
    <row r="2387">
      <c r="A2387" t="n">
        <v>2386</v>
      </c>
      <c r="B2387" t="inlineStr">
        <is>
          <t>B</t>
        </is>
      </c>
      <c r="C2387">
        <f>1</f>
        <v>1</v>
      </c>
      <c r="D2387">
        <f>IF(OR(F_Custom1_Q="(None)",F_Custom1_Q="",ISBLANK(F_Custom1_Q),F_Custom1_V="(All)",F_Custom1_V="",ISBLANK(F_Custom1_V)),1,IFERROR(IF(ISNUMBER(SEARCH("|"&amp;INDEX(INDIRECT(F_Custom1_resolved_column),2386)&amp;"|",F_Custom1_wrapped)),1,0),0))</f>
        <v>1</v>
      </c>
      <c r="E2387">
        <f>IF(OR(F_Custom2_Q="(None)",F_Custom2_Q="",ISBLANK(F_Custom2_Q),F_Custom2_V="(All)",F_Custom2_V="",ISBLANK(F_Custom2_V)),1,IFERROR(IF(ISNUMBER(SEARCH("|"&amp;INDEX(INDIRECT(F_Custom2_resolved_column),2386)&amp;"|",F_Custom2_wrapped)),1,0),0))</f>
        <v>1</v>
      </c>
      <c r="F2387">
        <f>D2387*E2387*1</f>
        <v>1</v>
      </c>
      <c r="G2387">
        <f>1</f>
        <v>1</v>
      </c>
      <c r="H23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2386)&amp;"|",All_Questions_Q_STREAM_F_wrapped)),1,0),0))*1</f>
        <v>1</v>
      </c>
    </row>
    <row r="2388">
      <c r="A2388" t="n">
        <v>2387</v>
      </c>
      <c r="B2388" t="inlineStr">
        <is>
          <t>A</t>
        </is>
      </c>
      <c r="C2388">
        <f>1</f>
        <v>1</v>
      </c>
      <c r="D2388">
        <f>IF(OR(F_Custom1_Q="(None)",F_Custom1_Q="",ISBLANK(F_Custom1_Q),F_Custom1_V="(All)",F_Custom1_V="",ISBLANK(F_Custom1_V)),1,IFERROR(IF(ISNUMBER(SEARCH("|"&amp;INDEX(INDIRECT(F_Custom1_resolved_column),2387)&amp;"|",F_Custom1_wrapped)),1,0),0))</f>
        <v>1</v>
      </c>
      <c r="E2388">
        <f>IF(OR(F_Custom2_Q="(None)",F_Custom2_Q="",ISBLANK(F_Custom2_Q),F_Custom2_V="(All)",F_Custom2_V="",ISBLANK(F_Custom2_V)),1,IFERROR(IF(ISNUMBER(SEARCH("|"&amp;INDEX(INDIRECT(F_Custom2_resolved_column),2387)&amp;"|",F_Custom2_wrapped)),1,0),0))</f>
        <v>1</v>
      </c>
      <c r="F2388">
        <f>D2388*E2388*1</f>
        <v>1</v>
      </c>
      <c r="G2388">
        <f>1</f>
        <v>1</v>
      </c>
      <c r="H23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2387)&amp;"|",All_Questions_Q_STREAM_F_wrapped)),1,0),0))*1</f>
        <v>1</v>
      </c>
    </row>
    <row r="2389">
      <c r="A2389" t="n">
        <v>2388</v>
      </c>
      <c r="B2389" t="inlineStr">
        <is>
          <t>B</t>
        </is>
      </c>
      <c r="C2389">
        <f>1</f>
        <v>1</v>
      </c>
      <c r="D2389">
        <f>IF(OR(F_Custom1_Q="(None)",F_Custom1_Q="",ISBLANK(F_Custom1_Q),F_Custom1_V="(All)",F_Custom1_V="",ISBLANK(F_Custom1_V)),1,IFERROR(IF(ISNUMBER(SEARCH("|"&amp;INDEX(INDIRECT(F_Custom1_resolved_column),2388)&amp;"|",F_Custom1_wrapped)),1,0),0))</f>
        <v>1</v>
      </c>
      <c r="E2389">
        <f>IF(OR(F_Custom2_Q="(None)",F_Custom2_Q="",ISBLANK(F_Custom2_Q),F_Custom2_V="(All)",F_Custom2_V="",ISBLANK(F_Custom2_V)),1,IFERROR(IF(ISNUMBER(SEARCH("|"&amp;INDEX(INDIRECT(F_Custom2_resolved_column),2388)&amp;"|",F_Custom2_wrapped)),1,0),0))</f>
        <v>1</v>
      </c>
      <c r="F2389">
        <f>D2389*E2389*1</f>
        <v>1</v>
      </c>
      <c r="G2389">
        <f>1</f>
        <v>1</v>
      </c>
      <c r="H23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2388)&amp;"|",All_Questions_Q_STREAM_F_wrapped)),1,0),0))*1</f>
        <v>1</v>
      </c>
    </row>
    <row r="2390">
      <c r="A2390" t="n">
        <v>2389</v>
      </c>
      <c r="B2390" t="inlineStr">
        <is>
          <t>A</t>
        </is>
      </c>
      <c r="C2390">
        <f>1</f>
        <v>1</v>
      </c>
      <c r="D2390">
        <f>IF(OR(F_Custom1_Q="(None)",F_Custom1_Q="",ISBLANK(F_Custom1_Q),F_Custom1_V="(All)",F_Custom1_V="",ISBLANK(F_Custom1_V)),1,IFERROR(IF(ISNUMBER(SEARCH("|"&amp;INDEX(INDIRECT(F_Custom1_resolved_column),2389)&amp;"|",F_Custom1_wrapped)),1,0),0))</f>
        <v>1</v>
      </c>
      <c r="E2390">
        <f>IF(OR(F_Custom2_Q="(None)",F_Custom2_Q="",ISBLANK(F_Custom2_Q),F_Custom2_V="(All)",F_Custom2_V="",ISBLANK(F_Custom2_V)),1,IFERROR(IF(ISNUMBER(SEARCH("|"&amp;INDEX(INDIRECT(F_Custom2_resolved_column),2389)&amp;"|",F_Custom2_wrapped)),1,0),0))</f>
        <v>1</v>
      </c>
      <c r="F2390">
        <f>D2390*E2390*1</f>
        <v>1</v>
      </c>
      <c r="G2390">
        <f>1</f>
        <v>1</v>
      </c>
      <c r="H23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2389)&amp;"|",All_Questions_Q_STREAM_F_wrapped)),1,0),0))*1</f>
        <v>1</v>
      </c>
    </row>
    <row r="2391">
      <c r="A2391" t="n">
        <v>2390</v>
      </c>
      <c r="B2391" t="inlineStr">
        <is>
          <t>B</t>
        </is>
      </c>
      <c r="C2391">
        <f>1</f>
        <v>1</v>
      </c>
      <c r="D2391">
        <f>IF(OR(F_Custom1_Q="(None)",F_Custom1_Q="",ISBLANK(F_Custom1_Q),F_Custom1_V="(All)",F_Custom1_V="",ISBLANK(F_Custom1_V)),1,IFERROR(IF(ISNUMBER(SEARCH("|"&amp;INDEX(INDIRECT(F_Custom1_resolved_column),2390)&amp;"|",F_Custom1_wrapped)),1,0),0))</f>
        <v>1</v>
      </c>
      <c r="E2391">
        <f>IF(OR(F_Custom2_Q="(None)",F_Custom2_Q="",ISBLANK(F_Custom2_Q),F_Custom2_V="(All)",F_Custom2_V="",ISBLANK(F_Custom2_V)),1,IFERROR(IF(ISNUMBER(SEARCH("|"&amp;INDEX(INDIRECT(F_Custom2_resolved_column),2390)&amp;"|",F_Custom2_wrapped)),1,0),0))</f>
        <v>1</v>
      </c>
      <c r="F2391">
        <f>D2391*E2391*1</f>
        <v>1</v>
      </c>
      <c r="G2391">
        <f>1</f>
        <v>1</v>
      </c>
      <c r="H23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2390)&amp;"|",All_Questions_Q_STREAM_F_wrapped)),1,0),0))*1</f>
        <v>1</v>
      </c>
    </row>
    <row r="2392">
      <c r="A2392" t="n">
        <v>2391</v>
      </c>
      <c r="B2392" t="inlineStr">
        <is>
          <t>A</t>
        </is>
      </c>
      <c r="C2392">
        <f>1</f>
        <v>1</v>
      </c>
      <c r="D2392">
        <f>IF(OR(F_Custom1_Q="(None)",F_Custom1_Q="",ISBLANK(F_Custom1_Q),F_Custom1_V="(All)",F_Custom1_V="",ISBLANK(F_Custom1_V)),1,IFERROR(IF(ISNUMBER(SEARCH("|"&amp;INDEX(INDIRECT(F_Custom1_resolved_column),2391)&amp;"|",F_Custom1_wrapped)),1,0),0))</f>
        <v>1</v>
      </c>
      <c r="E2392">
        <f>IF(OR(F_Custom2_Q="(None)",F_Custom2_Q="",ISBLANK(F_Custom2_Q),F_Custom2_V="(All)",F_Custom2_V="",ISBLANK(F_Custom2_V)),1,IFERROR(IF(ISNUMBER(SEARCH("|"&amp;INDEX(INDIRECT(F_Custom2_resolved_column),2391)&amp;"|",F_Custom2_wrapped)),1,0),0))</f>
        <v>1</v>
      </c>
      <c r="F2392">
        <f>D2392*E2392*1</f>
        <v>1</v>
      </c>
      <c r="G2392">
        <f>1</f>
        <v>1</v>
      </c>
      <c r="H23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2391)&amp;"|",All_Questions_Q_STREAM_F_wrapped)),1,0),0))*1</f>
        <v>1</v>
      </c>
    </row>
    <row r="2393">
      <c r="A2393" t="n">
        <v>2392</v>
      </c>
      <c r="B2393" t="inlineStr">
        <is>
          <t>B</t>
        </is>
      </c>
      <c r="C2393">
        <f>1</f>
        <v>1</v>
      </c>
      <c r="D2393">
        <f>IF(OR(F_Custom1_Q="(None)",F_Custom1_Q="",ISBLANK(F_Custom1_Q),F_Custom1_V="(All)",F_Custom1_V="",ISBLANK(F_Custom1_V)),1,IFERROR(IF(ISNUMBER(SEARCH("|"&amp;INDEX(INDIRECT(F_Custom1_resolved_column),2392)&amp;"|",F_Custom1_wrapped)),1,0),0))</f>
        <v>1</v>
      </c>
      <c r="E2393">
        <f>IF(OR(F_Custom2_Q="(None)",F_Custom2_Q="",ISBLANK(F_Custom2_Q),F_Custom2_V="(All)",F_Custom2_V="",ISBLANK(F_Custom2_V)),1,IFERROR(IF(ISNUMBER(SEARCH("|"&amp;INDEX(INDIRECT(F_Custom2_resolved_column),2392)&amp;"|",F_Custom2_wrapped)),1,0),0))</f>
        <v>1</v>
      </c>
      <c r="F2393">
        <f>D2393*E2393*1</f>
        <v>1</v>
      </c>
      <c r="G2393">
        <f>1</f>
        <v>1</v>
      </c>
      <c r="H23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2392)&amp;"|",All_Questions_Q_STREAM_F_wrapped)),1,0),0))*1</f>
        <v>1</v>
      </c>
    </row>
    <row r="2394">
      <c r="A2394" t="n">
        <v>2393</v>
      </c>
      <c r="B2394" t="inlineStr">
        <is>
          <t>A</t>
        </is>
      </c>
      <c r="C2394">
        <f>1</f>
        <v>1</v>
      </c>
      <c r="D2394">
        <f>IF(OR(F_Custom1_Q="(None)",F_Custom1_Q="",ISBLANK(F_Custom1_Q),F_Custom1_V="(All)",F_Custom1_V="",ISBLANK(F_Custom1_V)),1,IFERROR(IF(ISNUMBER(SEARCH("|"&amp;INDEX(INDIRECT(F_Custom1_resolved_column),2393)&amp;"|",F_Custom1_wrapped)),1,0),0))</f>
        <v>1</v>
      </c>
      <c r="E2394">
        <f>IF(OR(F_Custom2_Q="(None)",F_Custom2_Q="",ISBLANK(F_Custom2_Q),F_Custom2_V="(All)",F_Custom2_V="",ISBLANK(F_Custom2_V)),1,IFERROR(IF(ISNUMBER(SEARCH("|"&amp;INDEX(INDIRECT(F_Custom2_resolved_column),2393)&amp;"|",F_Custom2_wrapped)),1,0),0))</f>
        <v>1</v>
      </c>
      <c r="F2394">
        <f>D2394*E2394*1</f>
        <v>1</v>
      </c>
      <c r="G2394">
        <f>1</f>
        <v>1</v>
      </c>
      <c r="H23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2393)&amp;"|",All_Questions_Q_STREAM_F_wrapped)),1,0),0))*1</f>
        <v>1</v>
      </c>
    </row>
    <row r="2395">
      <c r="A2395" t="n">
        <v>2394</v>
      </c>
      <c r="B2395" t="inlineStr">
        <is>
          <t>B</t>
        </is>
      </c>
      <c r="C2395">
        <f>1</f>
        <v>1</v>
      </c>
      <c r="D2395">
        <f>IF(OR(F_Custom1_Q="(None)",F_Custom1_Q="",ISBLANK(F_Custom1_Q),F_Custom1_V="(All)",F_Custom1_V="",ISBLANK(F_Custom1_V)),1,IFERROR(IF(ISNUMBER(SEARCH("|"&amp;INDEX(INDIRECT(F_Custom1_resolved_column),2394)&amp;"|",F_Custom1_wrapped)),1,0),0))</f>
        <v>1</v>
      </c>
      <c r="E2395">
        <f>IF(OR(F_Custom2_Q="(None)",F_Custom2_Q="",ISBLANK(F_Custom2_Q),F_Custom2_V="(All)",F_Custom2_V="",ISBLANK(F_Custom2_V)),1,IFERROR(IF(ISNUMBER(SEARCH("|"&amp;INDEX(INDIRECT(F_Custom2_resolved_column),2394)&amp;"|",F_Custom2_wrapped)),1,0),0))</f>
        <v>1</v>
      </c>
      <c r="F2395">
        <f>D2395*E2395*1</f>
        <v>1</v>
      </c>
      <c r="G2395">
        <f>1</f>
        <v>1</v>
      </c>
      <c r="H23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2394)&amp;"|",All_Questions_Q_STREAM_F_wrapped)),1,0),0))*1</f>
        <v>1</v>
      </c>
    </row>
    <row r="2396">
      <c r="A2396" t="n">
        <v>2395</v>
      </c>
      <c r="B2396" t="inlineStr">
        <is>
          <t>A</t>
        </is>
      </c>
      <c r="C2396">
        <f>1</f>
        <v>1</v>
      </c>
      <c r="D2396">
        <f>IF(OR(F_Custom1_Q="(None)",F_Custom1_Q="",ISBLANK(F_Custom1_Q),F_Custom1_V="(All)",F_Custom1_V="",ISBLANK(F_Custom1_V)),1,IFERROR(IF(ISNUMBER(SEARCH("|"&amp;INDEX(INDIRECT(F_Custom1_resolved_column),2395)&amp;"|",F_Custom1_wrapped)),1,0),0))</f>
        <v>1</v>
      </c>
      <c r="E2396">
        <f>IF(OR(F_Custom2_Q="(None)",F_Custom2_Q="",ISBLANK(F_Custom2_Q),F_Custom2_V="(All)",F_Custom2_V="",ISBLANK(F_Custom2_V)),1,IFERROR(IF(ISNUMBER(SEARCH("|"&amp;INDEX(INDIRECT(F_Custom2_resolved_column),2395)&amp;"|",F_Custom2_wrapped)),1,0),0))</f>
        <v>1</v>
      </c>
      <c r="F2396">
        <f>D2396*E2396*1</f>
        <v>1</v>
      </c>
      <c r="G2396">
        <f>1</f>
        <v>1</v>
      </c>
      <c r="H23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2395)&amp;"|",All_Questions_Q_STREAM_F_wrapped)),1,0),0))*1</f>
        <v>1</v>
      </c>
    </row>
    <row r="2397">
      <c r="A2397" t="n">
        <v>2396</v>
      </c>
      <c r="B2397" t="inlineStr">
        <is>
          <t>B</t>
        </is>
      </c>
      <c r="C2397">
        <f>1</f>
        <v>1</v>
      </c>
      <c r="D2397">
        <f>IF(OR(F_Custom1_Q="(None)",F_Custom1_Q="",ISBLANK(F_Custom1_Q),F_Custom1_V="(All)",F_Custom1_V="",ISBLANK(F_Custom1_V)),1,IFERROR(IF(ISNUMBER(SEARCH("|"&amp;INDEX(INDIRECT(F_Custom1_resolved_column),2396)&amp;"|",F_Custom1_wrapped)),1,0),0))</f>
        <v>1</v>
      </c>
      <c r="E2397">
        <f>IF(OR(F_Custom2_Q="(None)",F_Custom2_Q="",ISBLANK(F_Custom2_Q),F_Custom2_V="(All)",F_Custom2_V="",ISBLANK(F_Custom2_V)),1,IFERROR(IF(ISNUMBER(SEARCH("|"&amp;INDEX(INDIRECT(F_Custom2_resolved_column),2396)&amp;"|",F_Custom2_wrapped)),1,0),0))</f>
        <v>1</v>
      </c>
      <c r="F2397">
        <f>D2397*E2397*1</f>
        <v>1</v>
      </c>
      <c r="G2397">
        <f>1</f>
        <v>1</v>
      </c>
      <c r="H23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2396)&amp;"|",All_Questions_Q_STREAM_F_wrapped)),1,0),0))*1</f>
        <v>1</v>
      </c>
    </row>
    <row r="2398">
      <c r="A2398" t="n">
        <v>2397</v>
      </c>
      <c r="B2398" t="inlineStr">
        <is>
          <t>A</t>
        </is>
      </c>
      <c r="C2398">
        <f>1</f>
        <v>1</v>
      </c>
      <c r="D2398">
        <f>IF(OR(F_Custom1_Q="(None)",F_Custom1_Q="",ISBLANK(F_Custom1_Q),F_Custom1_V="(All)",F_Custom1_V="",ISBLANK(F_Custom1_V)),1,IFERROR(IF(ISNUMBER(SEARCH("|"&amp;INDEX(INDIRECT(F_Custom1_resolved_column),2397)&amp;"|",F_Custom1_wrapped)),1,0),0))</f>
        <v>1</v>
      </c>
      <c r="E2398">
        <f>IF(OR(F_Custom2_Q="(None)",F_Custom2_Q="",ISBLANK(F_Custom2_Q),F_Custom2_V="(All)",F_Custom2_V="",ISBLANK(F_Custom2_V)),1,IFERROR(IF(ISNUMBER(SEARCH("|"&amp;INDEX(INDIRECT(F_Custom2_resolved_column),2397)&amp;"|",F_Custom2_wrapped)),1,0),0))</f>
        <v>1</v>
      </c>
      <c r="F2398">
        <f>D2398*E2398*1</f>
        <v>1</v>
      </c>
      <c r="G2398">
        <f>1</f>
        <v>1</v>
      </c>
      <c r="H23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2397)&amp;"|",All_Questions_Q_STREAM_F_wrapped)),1,0),0))*1</f>
        <v>1</v>
      </c>
    </row>
    <row r="2399">
      <c r="A2399" t="n">
        <v>2398</v>
      </c>
      <c r="B2399" t="inlineStr">
        <is>
          <t>B</t>
        </is>
      </c>
      <c r="C2399">
        <f>1</f>
        <v>1</v>
      </c>
      <c r="D2399">
        <f>IF(OR(F_Custom1_Q="(None)",F_Custom1_Q="",ISBLANK(F_Custom1_Q),F_Custom1_V="(All)",F_Custom1_V="",ISBLANK(F_Custom1_V)),1,IFERROR(IF(ISNUMBER(SEARCH("|"&amp;INDEX(INDIRECT(F_Custom1_resolved_column),2398)&amp;"|",F_Custom1_wrapped)),1,0),0))</f>
        <v>1</v>
      </c>
      <c r="E2399">
        <f>IF(OR(F_Custom2_Q="(None)",F_Custom2_Q="",ISBLANK(F_Custom2_Q),F_Custom2_V="(All)",F_Custom2_V="",ISBLANK(F_Custom2_V)),1,IFERROR(IF(ISNUMBER(SEARCH("|"&amp;INDEX(INDIRECT(F_Custom2_resolved_column),2398)&amp;"|",F_Custom2_wrapped)),1,0),0))</f>
        <v>1</v>
      </c>
      <c r="F2399">
        <f>D2399*E2399*1</f>
        <v>1</v>
      </c>
      <c r="G2399">
        <f>1</f>
        <v>1</v>
      </c>
      <c r="H23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2398)&amp;"|",All_Questions_Q_STREAM_F_wrapped)),1,0),0))*1</f>
        <v>1</v>
      </c>
    </row>
    <row r="2400">
      <c r="A2400" t="n">
        <v>2399</v>
      </c>
      <c r="B2400" t="inlineStr">
        <is>
          <t>A</t>
        </is>
      </c>
      <c r="C2400">
        <f>1</f>
        <v>1</v>
      </c>
      <c r="D2400">
        <f>IF(OR(F_Custom1_Q="(None)",F_Custom1_Q="",ISBLANK(F_Custom1_Q),F_Custom1_V="(All)",F_Custom1_V="",ISBLANK(F_Custom1_V)),1,IFERROR(IF(ISNUMBER(SEARCH("|"&amp;INDEX(INDIRECT(F_Custom1_resolved_column),2399)&amp;"|",F_Custom1_wrapped)),1,0),0))</f>
        <v>1</v>
      </c>
      <c r="E2400">
        <f>IF(OR(F_Custom2_Q="(None)",F_Custom2_Q="",ISBLANK(F_Custom2_Q),F_Custom2_V="(All)",F_Custom2_V="",ISBLANK(F_Custom2_V)),1,IFERROR(IF(ISNUMBER(SEARCH("|"&amp;INDEX(INDIRECT(F_Custom2_resolved_column),2399)&amp;"|",F_Custom2_wrapped)),1,0),0))</f>
        <v>1</v>
      </c>
      <c r="F2400">
        <f>D2400*E2400*1</f>
        <v>1</v>
      </c>
      <c r="G2400">
        <f>1</f>
        <v>1</v>
      </c>
      <c r="H24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2399)&amp;"|",All_Questions_Q_STREAM_F_wrapped)),1,0),0))*1</f>
        <v>1</v>
      </c>
    </row>
    <row r="2401">
      <c r="A2401" t="n">
        <v>2400</v>
      </c>
      <c r="B2401" t="inlineStr">
        <is>
          <t>B</t>
        </is>
      </c>
      <c r="C2401">
        <f>1</f>
        <v>1</v>
      </c>
      <c r="D2401">
        <f>IF(OR(F_Custom1_Q="(None)",F_Custom1_Q="",ISBLANK(F_Custom1_Q),F_Custom1_V="(All)",F_Custom1_V="",ISBLANK(F_Custom1_V)),1,IFERROR(IF(ISNUMBER(SEARCH("|"&amp;INDEX(INDIRECT(F_Custom1_resolved_column),2400)&amp;"|",F_Custom1_wrapped)),1,0),0))</f>
        <v>1</v>
      </c>
      <c r="E2401">
        <f>IF(OR(F_Custom2_Q="(None)",F_Custom2_Q="",ISBLANK(F_Custom2_Q),F_Custom2_V="(All)",F_Custom2_V="",ISBLANK(F_Custom2_V)),1,IFERROR(IF(ISNUMBER(SEARCH("|"&amp;INDEX(INDIRECT(F_Custom2_resolved_column),2400)&amp;"|",F_Custom2_wrapped)),1,0),0))</f>
        <v>1</v>
      </c>
      <c r="F2401">
        <f>D2401*E2401*1</f>
        <v>1</v>
      </c>
      <c r="G2401">
        <f>1</f>
        <v>1</v>
      </c>
      <c r="H24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2400)&amp;"|",All_Questions_Q_STREAM_F_wrapped)),1,0),0))*1</f>
        <v>1</v>
      </c>
    </row>
    <row r="2402">
      <c r="A2402" t="n">
        <v>2401</v>
      </c>
      <c r="B2402" t="inlineStr">
        <is>
          <t>A</t>
        </is>
      </c>
      <c r="C2402">
        <f>1</f>
        <v>1</v>
      </c>
      <c r="D2402">
        <f>IF(OR(F_Custom1_Q="(None)",F_Custom1_Q="",ISBLANK(F_Custom1_Q),F_Custom1_V="(All)",F_Custom1_V="",ISBLANK(F_Custom1_V)),1,IFERROR(IF(ISNUMBER(SEARCH("|"&amp;INDEX(INDIRECT(F_Custom1_resolved_column),2401)&amp;"|",F_Custom1_wrapped)),1,0),0))</f>
        <v>1</v>
      </c>
      <c r="E2402">
        <f>IF(OR(F_Custom2_Q="(None)",F_Custom2_Q="",ISBLANK(F_Custom2_Q),F_Custom2_V="(All)",F_Custom2_V="",ISBLANK(F_Custom2_V)),1,IFERROR(IF(ISNUMBER(SEARCH("|"&amp;INDEX(INDIRECT(F_Custom2_resolved_column),2401)&amp;"|",F_Custom2_wrapped)),1,0),0))</f>
        <v>1</v>
      </c>
      <c r="F2402">
        <f>D2402*E2402*1</f>
        <v>1</v>
      </c>
      <c r="G2402">
        <f>1</f>
        <v>1</v>
      </c>
      <c r="H24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2401)&amp;"|",All_Questions_Q_STREAM_F_wrapped)),1,0),0))*1</f>
        <v>1</v>
      </c>
    </row>
    <row r="2403">
      <c r="A2403" t="n">
        <v>2402</v>
      </c>
      <c r="B2403" t="inlineStr">
        <is>
          <t>B</t>
        </is>
      </c>
      <c r="C2403">
        <f>1</f>
        <v>1</v>
      </c>
      <c r="D2403">
        <f>IF(OR(F_Custom1_Q="(None)",F_Custom1_Q="",ISBLANK(F_Custom1_Q),F_Custom1_V="(All)",F_Custom1_V="",ISBLANK(F_Custom1_V)),1,IFERROR(IF(ISNUMBER(SEARCH("|"&amp;INDEX(INDIRECT(F_Custom1_resolved_column),2402)&amp;"|",F_Custom1_wrapped)),1,0),0))</f>
        <v>1</v>
      </c>
      <c r="E2403">
        <f>IF(OR(F_Custom2_Q="(None)",F_Custom2_Q="",ISBLANK(F_Custom2_Q),F_Custom2_V="(All)",F_Custom2_V="",ISBLANK(F_Custom2_V)),1,IFERROR(IF(ISNUMBER(SEARCH("|"&amp;INDEX(INDIRECT(F_Custom2_resolved_column),2402)&amp;"|",F_Custom2_wrapped)),1,0),0))</f>
        <v>1</v>
      </c>
      <c r="F2403">
        <f>D2403*E2403*1</f>
        <v>1</v>
      </c>
      <c r="G2403">
        <f>1</f>
        <v>1</v>
      </c>
      <c r="H24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2402)&amp;"|",All_Questions_Q_STREAM_F_wrapped)),1,0),0))*1</f>
        <v>1</v>
      </c>
    </row>
    <row r="2404">
      <c r="A2404" t="n">
        <v>2403</v>
      </c>
      <c r="B2404" t="inlineStr">
        <is>
          <t>A</t>
        </is>
      </c>
      <c r="C2404">
        <f>1</f>
        <v>1</v>
      </c>
      <c r="D2404">
        <f>IF(OR(F_Custom1_Q="(None)",F_Custom1_Q="",ISBLANK(F_Custom1_Q),F_Custom1_V="(All)",F_Custom1_V="",ISBLANK(F_Custom1_V)),1,IFERROR(IF(ISNUMBER(SEARCH("|"&amp;INDEX(INDIRECT(F_Custom1_resolved_column),2403)&amp;"|",F_Custom1_wrapped)),1,0),0))</f>
        <v>1</v>
      </c>
      <c r="E2404">
        <f>IF(OR(F_Custom2_Q="(None)",F_Custom2_Q="",ISBLANK(F_Custom2_Q),F_Custom2_V="(All)",F_Custom2_V="",ISBLANK(F_Custom2_V)),1,IFERROR(IF(ISNUMBER(SEARCH("|"&amp;INDEX(INDIRECT(F_Custom2_resolved_column),2403)&amp;"|",F_Custom2_wrapped)),1,0),0))</f>
        <v>1</v>
      </c>
      <c r="F2404">
        <f>D2404*E2404*1</f>
        <v>1</v>
      </c>
      <c r="G2404">
        <f>1</f>
        <v>1</v>
      </c>
      <c r="H24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2403)&amp;"|",All_Questions_Q_STREAM_F_wrapped)),1,0),0))*1</f>
        <v>1</v>
      </c>
    </row>
    <row r="2405">
      <c r="A2405" t="n">
        <v>2404</v>
      </c>
      <c r="B2405" t="inlineStr">
        <is>
          <t>B</t>
        </is>
      </c>
      <c r="C2405">
        <f>1</f>
        <v>1</v>
      </c>
      <c r="D2405">
        <f>IF(OR(F_Custom1_Q="(None)",F_Custom1_Q="",ISBLANK(F_Custom1_Q),F_Custom1_V="(All)",F_Custom1_V="",ISBLANK(F_Custom1_V)),1,IFERROR(IF(ISNUMBER(SEARCH("|"&amp;INDEX(INDIRECT(F_Custom1_resolved_column),2404)&amp;"|",F_Custom1_wrapped)),1,0),0))</f>
        <v>1</v>
      </c>
      <c r="E2405">
        <f>IF(OR(F_Custom2_Q="(None)",F_Custom2_Q="",ISBLANK(F_Custom2_Q),F_Custom2_V="(All)",F_Custom2_V="",ISBLANK(F_Custom2_V)),1,IFERROR(IF(ISNUMBER(SEARCH("|"&amp;INDEX(INDIRECT(F_Custom2_resolved_column),2404)&amp;"|",F_Custom2_wrapped)),1,0),0))</f>
        <v>1</v>
      </c>
      <c r="F2405">
        <f>D2405*E2405*1</f>
        <v>1</v>
      </c>
      <c r="G2405">
        <f>1</f>
        <v>1</v>
      </c>
      <c r="H24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2404)&amp;"|",All_Questions_Q_STREAM_F_wrapped)),1,0),0))*1</f>
        <v>1</v>
      </c>
    </row>
    <row r="2406">
      <c r="A2406" t="n">
        <v>2405</v>
      </c>
      <c r="B2406" t="inlineStr">
        <is>
          <t>A</t>
        </is>
      </c>
      <c r="C2406">
        <f>1</f>
        <v>1</v>
      </c>
      <c r="D2406">
        <f>IF(OR(F_Custom1_Q="(None)",F_Custom1_Q="",ISBLANK(F_Custom1_Q),F_Custom1_V="(All)",F_Custom1_V="",ISBLANK(F_Custom1_V)),1,IFERROR(IF(ISNUMBER(SEARCH("|"&amp;INDEX(INDIRECT(F_Custom1_resolved_column),2405)&amp;"|",F_Custom1_wrapped)),1,0),0))</f>
        <v>1</v>
      </c>
      <c r="E2406">
        <f>IF(OR(F_Custom2_Q="(None)",F_Custom2_Q="",ISBLANK(F_Custom2_Q),F_Custom2_V="(All)",F_Custom2_V="",ISBLANK(F_Custom2_V)),1,IFERROR(IF(ISNUMBER(SEARCH("|"&amp;INDEX(INDIRECT(F_Custom2_resolved_column),2405)&amp;"|",F_Custom2_wrapped)),1,0),0))</f>
        <v>1</v>
      </c>
      <c r="F2406">
        <f>D2406*E2406*1</f>
        <v>1</v>
      </c>
      <c r="G2406">
        <f>1</f>
        <v>1</v>
      </c>
      <c r="H24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2405)&amp;"|",All_Questions_Q_STREAM_F_wrapped)),1,0),0))*1</f>
        <v>1</v>
      </c>
    </row>
    <row r="2407">
      <c r="A2407" t="n">
        <v>2406</v>
      </c>
      <c r="B2407" t="inlineStr">
        <is>
          <t>B</t>
        </is>
      </c>
      <c r="C2407">
        <f>1</f>
        <v>1</v>
      </c>
      <c r="D2407">
        <f>IF(OR(F_Custom1_Q="(None)",F_Custom1_Q="",ISBLANK(F_Custom1_Q),F_Custom1_V="(All)",F_Custom1_V="",ISBLANK(F_Custom1_V)),1,IFERROR(IF(ISNUMBER(SEARCH("|"&amp;INDEX(INDIRECT(F_Custom1_resolved_column),2406)&amp;"|",F_Custom1_wrapped)),1,0),0))</f>
        <v>1</v>
      </c>
      <c r="E2407">
        <f>IF(OR(F_Custom2_Q="(None)",F_Custom2_Q="",ISBLANK(F_Custom2_Q),F_Custom2_V="(All)",F_Custom2_V="",ISBLANK(F_Custom2_V)),1,IFERROR(IF(ISNUMBER(SEARCH("|"&amp;INDEX(INDIRECT(F_Custom2_resolved_column),2406)&amp;"|",F_Custom2_wrapped)),1,0),0))</f>
        <v>1</v>
      </c>
      <c r="F2407">
        <f>D2407*E2407*1</f>
        <v>1</v>
      </c>
      <c r="G2407">
        <f>1</f>
        <v>1</v>
      </c>
      <c r="H24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2406)&amp;"|",All_Questions_Q_STREAM_F_wrapped)),1,0),0))*1</f>
        <v>1</v>
      </c>
    </row>
    <row r="2408">
      <c r="A2408" t="n">
        <v>2407</v>
      </c>
      <c r="B2408" t="inlineStr">
        <is>
          <t>A</t>
        </is>
      </c>
      <c r="C2408">
        <f>1</f>
        <v>1</v>
      </c>
      <c r="D2408">
        <f>IF(OR(F_Custom1_Q="(None)",F_Custom1_Q="",ISBLANK(F_Custom1_Q),F_Custom1_V="(All)",F_Custom1_V="",ISBLANK(F_Custom1_V)),1,IFERROR(IF(ISNUMBER(SEARCH("|"&amp;INDEX(INDIRECT(F_Custom1_resolved_column),2407)&amp;"|",F_Custom1_wrapped)),1,0),0))</f>
        <v>1</v>
      </c>
      <c r="E2408">
        <f>IF(OR(F_Custom2_Q="(None)",F_Custom2_Q="",ISBLANK(F_Custom2_Q),F_Custom2_V="(All)",F_Custom2_V="",ISBLANK(F_Custom2_V)),1,IFERROR(IF(ISNUMBER(SEARCH("|"&amp;INDEX(INDIRECT(F_Custom2_resolved_column),2407)&amp;"|",F_Custom2_wrapped)),1,0),0))</f>
        <v>1</v>
      </c>
      <c r="F2408">
        <f>D2408*E2408*1</f>
        <v>1</v>
      </c>
      <c r="G2408">
        <f>1</f>
        <v>1</v>
      </c>
      <c r="H24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2407)&amp;"|",All_Questions_Q_STREAM_F_wrapped)),1,0),0))*1</f>
        <v>1</v>
      </c>
    </row>
    <row r="2409">
      <c r="A2409" t="n">
        <v>2408</v>
      </c>
      <c r="B2409" t="inlineStr">
        <is>
          <t>B</t>
        </is>
      </c>
      <c r="C2409">
        <f>1</f>
        <v>1</v>
      </c>
      <c r="D2409">
        <f>IF(OR(F_Custom1_Q="(None)",F_Custom1_Q="",ISBLANK(F_Custom1_Q),F_Custom1_V="(All)",F_Custom1_V="",ISBLANK(F_Custom1_V)),1,IFERROR(IF(ISNUMBER(SEARCH("|"&amp;INDEX(INDIRECT(F_Custom1_resolved_column),2408)&amp;"|",F_Custom1_wrapped)),1,0),0))</f>
        <v>1</v>
      </c>
      <c r="E2409">
        <f>IF(OR(F_Custom2_Q="(None)",F_Custom2_Q="",ISBLANK(F_Custom2_Q),F_Custom2_V="(All)",F_Custom2_V="",ISBLANK(F_Custom2_V)),1,IFERROR(IF(ISNUMBER(SEARCH("|"&amp;INDEX(INDIRECT(F_Custom2_resolved_column),2408)&amp;"|",F_Custom2_wrapped)),1,0),0))</f>
        <v>1</v>
      </c>
      <c r="F2409">
        <f>D2409*E2409*1</f>
        <v>1</v>
      </c>
      <c r="G2409">
        <f>1</f>
        <v>1</v>
      </c>
      <c r="H24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2408)&amp;"|",All_Questions_Q_STREAM_F_wrapped)),1,0),0))*1</f>
        <v>1</v>
      </c>
    </row>
    <row r="2410">
      <c r="A2410" t="n">
        <v>2409</v>
      </c>
      <c r="B2410" t="inlineStr">
        <is>
          <t>A</t>
        </is>
      </c>
      <c r="C2410">
        <f>1</f>
        <v>1</v>
      </c>
      <c r="D2410">
        <f>IF(OR(F_Custom1_Q="(None)",F_Custom1_Q="",ISBLANK(F_Custom1_Q),F_Custom1_V="(All)",F_Custom1_V="",ISBLANK(F_Custom1_V)),1,IFERROR(IF(ISNUMBER(SEARCH("|"&amp;INDEX(INDIRECT(F_Custom1_resolved_column),2409)&amp;"|",F_Custom1_wrapped)),1,0),0))</f>
        <v>1</v>
      </c>
      <c r="E2410">
        <f>IF(OR(F_Custom2_Q="(None)",F_Custom2_Q="",ISBLANK(F_Custom2_Q),F_Custom2_V="(All)",F_Custom2_V="",ISBLANK(F_Custom2_V)),1,IFERROR(IF(ISNUMBER(SEARCH("|"&amp;INDEX(INDIRECT(F_Custom2_resolved_column),2409)&amp;"|",F_Custom2_wrapped)),1,0),0))</f>
        <v>1</v>
      </c>
      <c r="F2410">
        <f>D2410*E2410*1</f>
        <v>1</v>
      </c>
      <c r="G2410">
        <f>1</f>
        <v>1</v>
      </c>
      <c r="H24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2409)&amp;"|",All_Questions_Q_STREAM_F_wrapped)),1,0),0))*1</f>
        <v>1</v>
      </c>
    </row>
    <row r="2411">
      <c r="A2411" t="n">
        <v>2410</v>
      </c>
      <c r="B2411" t="inlineStr">
        <is>
          <t>B</t>
        </is>
      </c>
      <c r="C2411">
        <f>1</f>
        <v>1</v>
      </c>
      <c r="D2411">
        <f>IF(OR(F_Custom1_Q="(None)",F_Custom1_Q="",ISBLANK(F_Custom1_Q),F_Custom1_V="(All)",F_Custom1_V="",ISBLANK(F_Custom1_V)),1,IFERROR(IF(ISNUMBER(SEARCH("|"&amp;INDEX(INDIRECT(F_Custom1_resolved_column),2410)&amp;"|",F_Custom1_wrapped)),1,0),0))</f>
        <v>1</v>
      </c>
      <c r="E2411">
        <f>IF(OR(F_Custom2_Q="(None)",F_Custom2_Q="",ISBLANK(F_Custom2_Q),F_Custom2_V="(All)",F_Custom2_V="",ISBLANK(F_Custom2_V)),1,IFERROR(IF(ISNUMBER(SEARCH("|"&amp;INDEX(INDIRECT(F_Custom2_resolved_column),2410)&amp;"|",F_Custom2_wrapped)),1,0),0))</f>
        <v>1</v>
      </c>
      <c r="F2411">
        <f>D2411*E2411*1</f>
        <v>1</v>
      </c>
      <c r="G2411">
        <f>1</f>
        <v>1</v>
      </c>
      <c r="H24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2410)&amp;"|",All_Questions_Q_STREAM_F_wrapped)),1,0),0))*1</f>
        <v>1</v>
      </c>
    </row>
    <row r="2412">
      <c r="A2412" t="n">
        <v>2411</v>
      </c>
      <c r="B2412" t="inlineStr">
        <is>
          <t>A</t>
        </is>
      </c>
      <c r="C2412">
        <f>1</f>
        <v>1</v>
      </c>
      <c r="D2412">
        <f>IF(OR(F_Custom1_Q="(None)",F_Custom1_Q="",ISBLANK(F_Custom1_Q),F_Custom1_V="(All)",F_Custom1_V="",ISBLANK(F_Custom1_V)),1,IFERROR(IF(ISNUMBER(SEARCH("|"&amp;INDEX(INDIRECT(F_Custom1_resolved_column),2411)&amp;"|",F_Custom1_wrapped)),1,0),0))</f>
        <v>1</v>
      </c>
      <c r="E2412">
        <f>IF(OR(F_Custom2_Q="(None)",F_Custom2_Q="",ISBLANK(F_Custom2_Q),F_Custom2_V="(All)",F_Custom2_V="",ISBLANK(F_Custom2_V)),1,IFERROR(IF(ISNUMBER(SEARCH("|"&amp;INDEX(INDIRECT(F_Custom2_resolved_column),2411)&amp;"|",F_Custom2_wrapped)),1,0),0))</f>
        <v>1</v>
      </c>
      <c r="F2412">
        <f>D2412*E2412*1</f>
        <v>1</v>
      </c>
      <c r="G2412">
        <f>1</f>
        <v>1</v>
      </c>
      <c r="H24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2411)&amp;"|",All_Questions_Q_STREAM_F_wrapped)),1,0),0))*1</f>
        <v>1</v>
      </c>
    </row>
    <row r="2413">
      <c r="A2413" t="n">
        <v>2412</v>
      </c>
      <c r="B2413" t="inlineStr">
        <is>
          <t>B</t>
        </is>
      </c>
      <c r="C2413">
        <f>1</f>
        <v>1</v>
      </c>
      <c r="D2413">
        <f>IF(OR(F_Custom1_Q="(None)",F_Custom1_Q="",ISBLANK(F_Custom1_Q),F_Custom1_V="(All)",F_Custom1_V="",ISBLANK(F_Custom1_V)),1,IFERROR(IF(ISNUMBER(SEARCH("|"&amp;INDEX(INDIRECT(F_Custom1_resolved_column),2412)&amp;"|",F_Custom1_wrapped)),1,0),0))</f>
        <v>1</v>
      </c>
      <c r="E2413">
        <f>IF(OR(F_Custom2_Q="(None)",F_Custom2_Q="",ISBLANK(F_Custom2_Q),F_Custom2_V="(All)",F_Custom2_V="",ISBLANK(F_Custom2_V)),1,IFERROR(IF(ISNUMBER(SEARCH("|"&amp;INDEX(INDIRECT(F_Custom2_resolved_column),2412)&amp;"|",F_Custom2_wrapped)),1,0),0))</f>
        <v>1</v>
      </c>
      <c r="F2413">
        <f>D2413*E2413*1</f>
        <v>1</v>
      </c>
      <c r="G2413">
        <f>1</f>
        <v>1</v>
      </c>
      <c r="H24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2412)&amp;"|",All_Questions_Q_STREAM_F_wrapped)),1,0),0))*1</f>
        <v>1</v>
      </c>
    </row>
    <row r="2414">
      <c r="A2414" t="n">
        <v>2413</v>
      </c>
      <c r="B2414" t="inlineStr">
        <is>
          <t>A</t>
        </is>
      </c>
      <c r="C2414">
        <f>1</f>
        <v>1</v>
      </c>
      <c r="D2414">
        <f>IF(OR(F_Custom1_Q="(None)",F_Custom1_Q="",ISBLANK(F_Custom1_Q),F_Custom1_V="(All)",F_Custom1_V="",ISBLANK(F_Custom1_V)),1,IFERROR(IF(ISNUMBER(SEARCH("|"&amp;INDEX(INDIRECT(F_Custom1_resolved_column),2413)&amp;"|",F_Custom1_wrapped)),1,0),0))</f>
        <v>1</v>
      </c>
      <c r="E2414">
        <f>IF(OR(F_Custom2_Q="(None)",F_Custom2_Q="",ISBLANK(F_Custom2_Q),F_Custom2_V="(All)",F_Custom2_V="",ISBLANK(F_Custom2_V)),1,IFERROR(IF(ISNUMBER(SEARCH("|"&amp;INDEX(INDIRECT(F_Custom2_resolved_column),2413)&amp;"|",F_Custom2_wrapped)),1,0),0))</f>
        <v>1</v>
      </c>
      <c r="F2414">
        <f>D2414*E2414*1</f>
        <v>1</v>
      </c>
      <c r="G2414">
        <f>1</f>
        <v>1</v>
      </c>
      <c r="H24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2413)&amp;"|",All_Questions_Q_STREAM_F_wrapped)),1,0),0))*1</f>
        <v>1</v>
      </c>
    </row>
    <row r="2415">
      <c r="A2415" t="n">
        <v>2414</v>
      </c>
      <c r="B2415" t="inlineStr">
        <is>
          <t>B</t>
        </is>
      </c>
      <c r="C2415">
        <f>1</f>
        <v>1</v>
      </c>
      <c r="D2415">
        <f>IF(OR(F_Custom1_Q="(None)",F_Custom1_Q="",ISBLANK(F_Custom1_Q),F_Custom1_V="(All)",F_Custom1_V="",ISBLANK(F_Custom1_V)),1,IFERROR(IF(ISNUMBER(SEARCH("|"&amp;INDEX(INDIRECT(F_Custom1_resolved_column),2414)&amp;"|",F_Custom1_wrapped)),1,0),0))</f>
        <v>1</v>
      </c>
      <c r="E2415">
        <f>IF(OR(F_Custom2_Q="(None)",F_Custom2_Q="",ISBLANK(F_Custom2_Q),F_Custom2_V="(All)",F_Custom2_V="",ISBLANK(F_Custom2_V)),1,IFERROR(IF(ISNUMBER(SEARCH("|"&amp;INDEX(INDIRECT(F_Custom2_resolved_column),2414)&amp;"|",F_Custom2_wrapped)),1,0),0))</f>
        <v>1</v>
      </c>
      <c r="F2415">
        <f>D2415*E2415*1</f>
        <v>1</v>
      </c>
      <c r="G2415">
        <f>1</f>
        <v>1</v>
      </c>
      <c r="H24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2414)&amp;"|",All_Questions_Q_STREAM_F_wrapped)),1,0),0))*1</f>
        <v>1</v>
      </c>
    </row>
    <row r="2416">
      <c r="A2416" t="n">
        <v>2415</v>
      </c>
      <c r="B2416" t="inlineStr">
        <is>
          <t>A</t>
        </is>
      </c>
      <c r="C2416">
        <f>1</f>
        <v>1</v>
      </c>
      <c r="D2416">
        <f>IF(OR(F_Custom1_Q="(None)",F_Custom1_Q="",ISBLANK(F_Custom1_Q),F_Custom1_V="(All)",F_Custom1_V="",ISBLANK(F_Custom1_V)),1,IFERROR(IF(ISNUMBER(SEARCH("|"&amp;INDEX(INDIRECT(F_Custom1_resolved_column),2415)&amp;"|",F_Custom1_wrapped)),1,0),0))</f>
        <v>1</v>
      </c>
      <c r="E2416">
        <f>IF(OR(F_Custom2_Q="(None)",F_Custom2_Q="",ISBLANK(F_Custom2_Q),F_Custom2_V="(All)",F_Custom2_V="",ISBLANK(F_Custom2_V)),1,IFERROR(IF(ISNUMBER(SEARCH("|"&amp;INDEX(INDIRECT(F_Custom2_resolved_column),2415)&amp;"|",F_Custom2_wrapped)),1,0),0))</f>
        <v>1</v>
      </c>
      <c r="F2416">
        <f>D2416*E2416*1</f>
        <v>1</v>
      </c>
      <c r="G2416">
        <f>1</f>
        <v>1</v>
      </c>
      <c r="H24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2415)&amp;"|",All_Questions_Q_STREAM_F_wrapped)),1,0),0))*1</f>
        <v>1</v>
      </c>
    </row>
    <row r="2417">
      <c r="A2417" t="n">
        <v>2416</v>
      </c>
      <c r="B2417" t="inlineStr">
        <is>
          <t>B</t>
        </is>
      </c>
      <c r="C2417">
        <f>1</f>
        <v>1</v>
      </c>
      <c r="D2417">
        <f>IF(OR(F_Custom1_Q="(None)",F_Custom1_Q="",ISBLANK(F_Custom1_Q),F_Custom1_V="(All)",F_Custom1_V="",ISBLANK(F_Custom1_V)),1,IFERROR(IF(ISNUMBER(SEARCH("|"&amp;INDEX(INDIRECT(F_Custom1_resolved_column),2416)&amp;"|",F_Custom1_wrapped)),1,0),0))</f>
        <v>1</v>
      </c>
      <c r="E2417">
        <f>IF(OR(F_Custom2_Q="(None)",F_Custom2_Q="",ISBLANK(F_Custom2_Q),F_Custom2_V="(All)",F_Custom2_V="",ISBLANK(F_Custom2_V)),1,IFERROR(IF(ISNUMBER(SEARCH("|"&amp;INDEX(INDIRECT(F_Custom2_resolved_column),2416)&amp;"|",F_Custom2_wrapped)),1,0),0))</f>
        <v>1</v>
      </c>
      <c r="F2417">
        <f>D2417*E2417*1</f>
        <v>1</v>
      </c>
      <c r="G2417">
        <f>1</f>
        <v>1</v>
      </c>
      <c r="H24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2416)&amp;"|",All_Questions_Q_STREAM_F_wrapped)),1,0),0))*1</f>
        <v>1</v>
      </c>
    </row>
    <row r="2418">
      <c r="A2418" t="n">
        <v>2417</v>
      </c>
      <c r="B2418" t="inlineStr">
        <is>
          <t>A</t>
        </is>
      </c>
      <c r="C2418">
        <f>1</f>
        <v>1</v>
      </c>
      <c r="D2418">
        <f>IF(OR(F_Custom1_Q="(None)",F_Custom1_Q="",ISBLANK(F_Custom1_Q),F_Custom1_V="(All)",F_Custom1_V="",ISBLANK(F_Custom1_V)),1,IFERROR(IF(ISNUMBER(SEARCH("|"&amp;INDEX(INDIRECT(F_Custom1_resolved_column),2417)&amp;"|",F_Custom1_wrapped)),1,0),0))</f>
        <v>1</v>
      </c>
      <c r="E2418">
        <f>IF(OR(F_Custom2_Q="(None)",F_Custom2_Q="",ISBLANK(F_Custom2_Q),F_Custom2_V="(All)",F_Custom2_V="",ISBLANK(F_Custom2_V)),1,IFERROR(IF(ISNUMBER(SEARCH("|"&amp;INDEX(INDIRECT(F_Custom2_resolved_column),2417)&amp;"|",F_Custom2_wrapped)),1,0),0))</f>
        <v>1</v>
      </c>
      <c r="F2418">
        <f>D2418*E2418*1</f>
        <v>1</v>
      </c>
      <c r="G2418">
        <f>1</f>
        <v>1</v>
      </c>
      <c r="H24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2417)&amp;"|",All_Questions_Q_STREAM_F_wrapped)),1,0),0))*1</f>
        <v>1</v>
      </c>
    </row>
    <row r="2419">
      <c r="A2419" t="n">
        <v>2418</v>
      </c>
      <c r="B2419" t="inlineStr">
        <is>
          <t>B</t>
        </is>
      </c>
      <c r="C2419">
        <f>1</f>
        <v>1</v>
      </c>
      <c r="D2419">
        <f>IF(OR(F_Custom1_Q="(None)",F_Custom1_Q="",ISBLANK(F_Custom1_Q),F_Custom1_V="(All)",F_Custom1_V="",ISBLANK(F_Custom1_V)),1,IFERROR(IF(ISNUMBER(SEARCH("|"&amp;INDEX(INDIRECT(F_Custom1_resolved_column),2418)&amp;"|",F_Custom1_wrapped)),1,0),0))</f>
        <v>1</v>
      </c>
      <c r="E2419">
        <f>IF(OR(F_Custom2_Q="(None)",F_Custom2_Q="",ISBLANK(F_Custom2_Q),F_Custom2_V="(All)",F_Custom2_V="",ISBLANK(F_Custom2_V)),1,IFERROR(IF(ISNUMBER(SEARCH("|"&amp;INDEX(INDIRECT(F_Custom2_resolved_column),2418)&amp;"|",F_Custom2_wrapped)),1,0),0))</f>
        <v>1</v>
      </c>
      <c r="F2419">
        <f>D2419*E2419*1</f>
        <v>1</v>
      </c>
      <c r="G2419">
        <f>1</f>
        <v>1</v>
      </c>
      <c r="H24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2418)&amp;"|",All_Questions_Q_STREAM_F_wrapped)),1,0),0))*1</f>
        <v>1</v>
      </c>
    </row>
    <row r="2420">
      <c r="A2420" t="n">
        <v>2419</v>
      </c>
      <c r="B2420" t="inlineStr">
        <is>
          <t>A</t>
        </is>
      </c>
      <c r="C2420">
        <f>1</f>
        <v>1</v>
      </c>
      <c r="D2420">
        <f>IF(OR(F_Custom1_Q="(None)",F_Custom1_Q="",ISBLANK(F_Custom1_Q),F_Custom1_V="(All)",F_Custom1_V="",ISBLANK(F_Custom1_V)),1,IFERROR(IF(ISNUMBER(SEARCH("|"&amp;INDEX(INDIRECT(F_Custom1_resolved_column),2419)&amp;"|",F_Custom1_wrapped)),1,0),0))</f>
        <v>1</v>
      </c>
      <c r="E2420">
        <f>IF(OR(F_Custom2_Q="(None)",F_Custom2_Q="",ISBLANK(F_Custom2_Q),F_Custom2_V="(All)",F_Custom2_V="",ISBLANK(F_Custom2_V)),1,IFERROR(IF(ISNUMBER(SEARCH("|"&amp;INDEX(INDIRECT(F_Custom2_resolved_column),2419)&amp;"|",F_Custom2_wrapped)),1,0),0))</f>
        <v>1</v>
      </c>
      <c r="F2420">
        <f>D2420*E2420*1</f>
        <v>1</v>
      </c>
      <c r="G2420">
        <f>1</f>
        <v>1</v>
      </c>
      <c r="H24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2419)&amp;"|",All_Questions_Q_STREAM_F_wrapped)),1,0),0))*1</f>
        <v>1</v>
      </c>
    </row>
    <row r="2421">
      <c r="A2421" t="n">
        <v>2420</v>
      </c>
      <c r="B2421" t="inlineStr">
        <is>
          <t>B</t>
        </is>
      </c>
      <c r="C2421">
        <f>1</f>
        <v>1</v>
      </c>
      <c r="D2421">
        <f>IF(OR(F_Custom1_Q="(None)",F_Custom1_Q="",ISBLANK(F_Custom1_Q),F_Custom1_V="(All)",F_Custom1_V="",ISBLANK(F_Custom1_V)),1,IFERROR(IF(ISNUMBER(SEARCH("|"&amp;INDEX(INDIRECT(F_Custom1_resolved_column),2420)&amp;"|",F_Custom1_wrapped)),1,0),0))</f>
        <v>1</v>
      </c>
      <c r="E2421">
        <f>IF(OR(F_Custom2_Q="(None)",F_Custom2_Q="",ISBLANK(F_Custom2_Q),F_Custom2_V="(All)",F_Custom2_V="",ISBLANK(F_Custom2_V)),1,IFERROR(IF(ISNUMBER(SEARCH("|"&amp;INDEX(INDIRECT(F_Custom2_resolved_column),2420)&amp;"|",F_Custom2_wrapped)),1,0),0))</f>
        <v>1</v>
      </c>
      <c r="F2421">
        <f>D2421*E2421*1</f>
        <v>1</v>
      </c>
      <c r="G2421">
        <f>1</f>
        <v>1</v>
      </c>
      <c r="H24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2420)&amp;"|",All_Questions_Q_STREAM_F_wrapped)),1,0),0))*1</f>
        <v>1</v>
      </c>
    </row>
    <row r="2422">
      <c r="A2422" t="n">
        <v>2421</v>
      </c>
      <c r="B2422" t="inlineStr">
        <is>
          <t>A</t>
        </is>
      </c>
      <c r="C2422">
        <f>1</f>
        <v>1</v>
      </c>
      <c r="D2422">
        <f>IF(OR(F_Custom1_Q="(None)",F_Custom1_Q="",ISBLANK(F_Custom1_Q),F_Custom1_V="(All)",F_Custom1_V="",ISBLANK(F_Custom1_V)),1,IFERROR(IF(ISNUMBER(SEARCH("|"&amp;INDEX(INDIRECT(F_Custom1_resolved_column),2421)&amp;"|",F_Custom1_wrapped)),1,0),0))</f>
        <v>1</v>
      </c>
      <c r="E2422">
        <f>IF(OR(F_Custom2_Q="(None)",F_Custom2_Q="",ISBLANK(F_Custom2_Q),F_Custom2_V="(All)",F_Custom2_V="",ISBLANK(F_Custom2_V)),1,IFERROR(IF(ISNUMBER(SEARCH("|"&amp;INDEX(INDIRECT(F_Custom2_resolved_column),2421)&amp;"|",F_Custom2_wrapped)),1,0),0))</f>
        <v>1</v>
      </c>
      <c r="F2422">
        <f>D2422*E2422*1</f>
        <v>1</v>
      </c>
      <c r="G2422">
        <f>1</f>
        <v>1</v>
      </c>
      <c r="H24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2421)&amp;"|",All_Questions_Q_STREAM_F_wrapped)),1,0),0))*1</f>
        <v>1</v>
      </c>
    </row>
    <row r="2423">
      <c r="A2423" t="n">
        <v>2422</v>
      </c>
      <c r="B2423" t="inlineStr">
        <is>
          <t>B</t>
        </is>
      </c>
      <c r="C2423">
        <f>1</f>
        <v>1</v>
      </c>
      <c r="D2423">
        <f>IF(OR(F_Custom1_Q="(None)",F_Custom1_Q="",ISBLANK(F_Custom1_Q),F_Custom1_V="(All)",F_Custom1_V="",ISBLANK(F_Custom1_V)),1,IFERROR(IF(ISNUMBER(SEARCH("|"&amp;INDEX(INDIRECT(F_Custom1_resolved_column),2422)&amp;"|",F_Custom1_wrapped)),1,0),0))</f>
        <v>1</v>
      </c>
      <c r="E2423">
        <f>IF(OR(F_Custom2_Q="(None)",F_Custom2_Q="",ISBLANK(F_Custom2_Q),F_Custom2_V="(All)",F_Custom2_V="",ISBLANK(F_Custom2_V)),1,IFERROR(IF(ISNUMBER(SEARCH("|"&amp;INDEX(INDIRECT(F_Custom2_resolved_column),2422)&amp;"|",F_Custom2_wrapped)),1,0),0))</f>
        <v>1</v>
      </c>
      <c r="F2423">
        <f>D2423*E2423*1</f>
        <v>1</v>
      </c>
      <c r="G2423">
        <f>1</f>
        <v>1</v>
      </c>
      <c r="H24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2422)&amp;"|",All_Questions_Q_STREAM_F_wrapped)),1,0),0))*1</f>
        <v>1</v>
      </c>
    </row>
    <row r="2424">
      <c r="A2424" t="n">
        <v>2423</v>
      </c>
      <c r="B2424" t="inlineStr">
        <is>
          <t>A</t>
        </is>
      </c>
      <c r="C2424">
        <f>1</f>
        <v>1</v>
      </c>
      <c r="D2424">
        <f>IF(OR(F_Custom1_Q="(None)",F_Custom1_Q="",ISBLANK(F_Custom1_Q),F_Custom1_V="(All)",F_Custom1_V="",ISBLANK(F_Custom1_V)),1,IFERROR(IF(ISNUMBER(SEARCH("|"&amp;INDEX(INDIRECT(F_Custom1_resolved_column),2423)&amp;"|",F_Custom1_wrapped)),1,0),0))</f>
        <v>1</v>
      </c>
      <c r="E2424">
        <f>IF(OR(F_Custom2_Q="(None)",F_Custom2_Q="",ISBLANK(F_Custom2_Q),F_Custom2_V="(All)",F_Custom2_V="",ISBLANK(F_Custom2_V)),1,IFERROR(IF(ISNUMBER(SEARCH("|"&amp;INDEX(INDIRECT(F_Custom2_resolved_column),2423)&amp;"|",F_Custom2_wrapped)),1,0),0))</f>
        <v>1</v>
      </c>
      <c r="F2424">
        <f>D2424*E2424*1</f>
        <v>1</v>
      </c>
      <c r="G2424">
        <f>1</f>
        <v>1</v>
      </c>
      <c r="H24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2423)&amp;"|",All_Questions_Q_STREAM_F_wrapped)),1,0),0))*1</f>
        <v>1</v>
      </c>
    </row>
    <row r="2425">
      <c r="A2425" t="n">
        <v>2424</v>
      </c>
      <c r="B2425" t="inlineStr">
        <is>
          <t>B</t>
        </is>
      </c>
      <c r="C2425">
        <f>1</f>
        <v>1</v>
      </c>
      <c r="D2425">
        <f>IF(OR(F_Custom1_Q="(None)",F_Custom1_Q="",ISBLANK(F_Custom1_Q),F_Custom1_V="(All)",F_Custom1_V="",ISBLANK(F_Custom1_V)),1,IFERROR(IF(ISNUMBER(SEARCH("|"&amp;INDEX(INDIRECT(F_Custom1_resolved_column),2424)&amp;"|",F_Custom1_wrapped)),1,0),0))</f>
        <v>1</v>
      </c>
      <c r="E2425">
        <f>IF(OR(F_Custom2_Q="(None)",F_Custom2_Q="",ISBLANK(F_Custom2_Q),F_Custom2_V="(All)",F_Custom2_V="",ISBLANK(F_Custom2_V)),1,IFERROR(IF(ISNUMBER(SEARCH("|"&amp;INDEX(INDIRECT(F_Custom2_resolved_column),2424)&amp;"|",F_Custom2_wrapped)),1,0),0))</f>
        <v>1</v>
      </c>
      <c r="F2425">
        <f>D2425*E2425*1</f>
        <v>1</v>
      </c>
      <c r="G2425">
        <f>1</f>
        <v>1</v>
      </c>
      <c r="H24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2424)&amp;"|",All_Questions_Q_STREAM_F_wrapped)),1,0),0))*1</f>
        <v>1</v>
      </c>
    </row>
    <row r="2426">
      <c r="A2426" t="n">
        <v>2425</v>
      </c>
      <c r="B2426" t="inlineStr">
        <is>
          <t>A</t>
        </is>
      </c>
      <c r="C2426">
        <f>1</f>
        <v>1</v>
      </c>
      <c r="D2426">
        <f>IF(OR(F_Custom1_Q="(None)",F_Custom1_Q="",ISBLANK(F_Custom1_Q),F_Custom1_V="(All)",F_Custom1_V="",ISBLANK(F_Custom1_V)),1,IFERROR(IF(ISNUMBER(SEARCH("|"&amp;INDEX(INDIRECT(F_Custom1_resolved_column),2425)&amp;"|",F_Custom1_wrapped)),1,0),0))</f>
        <v>1</v>
      </c>
      <c r="E2426">
        <f>IF(OR(F_Custom2_Q="(None)",F_Custom2_Q="",ISBLANK(F_Custom2_Q),F_Custom2_V="(All)",F_Custom2_V="",ISBLANK(F_Custom2_V)),1,IFERROR(IF(ISNUMBER(SEARCH("|"&amp;INDEX(INDIRECT(F_Custom2_resolved_column),2425)&amp;"|",F_Custom2_wrapped)),1,0),0))</f>
        <v>1</v>
      </c>
      <c r="F2426">
        <f>D2426*E2426*1</f>
        <v>1</v>
      </c>
      <c r="G2426">
        <f>1</f>
        <v>1</v>
      </c>
      <c r="H24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2425)&amp;"|",All_Questions_Q_STREAM_F_wrapped)),1,0),0))*1</f>
        <v>1</v>
      </c>
    </row>
    <row r="2427">
      <c r="A2427" t="n">
        <v>2426</v>
      </c>
      <c r="B2427" t="inlineStr">
        <is>
          <t>B</t>
        </is>
      </c>
      <c r="C2427">
        <f>1</f>
        <v>1</v>
      </c>
      <c r="D2427">
        <f>IF(OR(F_Custom1_Q="(None)",F_Custom1_Q="",ISBLANK(F_Custom1_Q),F_Custom1_V="(All)",F_Custom1_V="",ISBLANK(F_Custom1_V)),1,IFERROR(IF(ISNUMBER(SEARCH("|"&amp;INDEX(INDIRECT(F_Custom1_resolved_column),2426)&amp;"|",F_Custom1_wrapped)),1,0),0))</f>
        <v>1</v>
      </c>
      <c r="E2427">
        <f>IF(OR(F_Custom2_Q="(None)",F_Custom2_Q="",ISBLANK(F_Custom2_Q),F_Custom2_V="(All)",F_Custom2_V="",ISBLANK(F_Custom2_V)),1,IFERROR(IF(ISNUMBER(SEARCH("|"&amp;INDEX(INDIRECT(F_Custom2_resolved_column),2426)&amp;"|",F_Custom2_wrapped)),1,0),0))</f>
        <v>1</v>
      </c>
      <c r="F2427">
        <f>D2427*E2427*1</f>
        <v>1</v>
      </c>
      <c r="G2427">
        <f>1</f>
        <v>1</v>
      </c>
      <c r="H24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2426)&amp;"|",All_Questions_Q_STREAM_F_wrapped)),1,0),0))*1</f>
        <v>1</v>
      </c>
    </row>
    <row r="2428">
      <c r="A2428" t="n">
        <v>2427</v>
      </c>
      <c r="B2428" t="inlineStr">
        <is>
          <t>A</t>
        </is>
      </c>
      <c r="C2428">
        <f>1</f>
        <v>1</v>
      </c>
      <c r="D2428">
        <f>IF(OR(F_Custom1_Q="(None)",F_Custom1_Q="",ISBLANK(F_Custom1_Q),F_Custom1_V="(All)",F_Custom1_V="",ISBLANK(F_Custom1_V)),1,IFERROR(IF(ISNUMBER(SEARCH("|"&amp;INDEX(INDIRECT(F_Custom1_resolved_column),2427)&amp;"|",F_Custom1_wrapped)),1,0),0))</f>
        <v>1</v>
      </c>
      <c r="E2428">
        <f>IF(OR(F_Custom2_Q="(None)",F_Custom2_Q="",ISBLANK(F_Custom2_Q),F_Custom2_V="(All)",F_Custom2_V="",ISBLANK(F_Custom2_V)),1,IFERROR(IF(ISNUMBER(SEARCH("|"&amp;INDEX(INDIRECT(F_Custom2_resolved_column),2427)&amp;"|",F_Custom2_wrapped)),1,0),0))</f>
        <v>1</v>
      </c>
      <c r="F2428">
        <f>D2428*E2428*1</f>
        <v>1</v>
      </c>
      <c r="G2428">
        <f>1</f>
        <v>1</v>
      </c>
      <c r="H24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2427)&amp;"|",All_Questions_Q_STREAM_F_wrapped)),1,0),0))*1</f>
        <v>1</v>
      </c>
    </row>
    <row r="2429">
      <c r="A2429" t="n">
        <v>2428</v>
      </c>
      <c r="B2429" t="inlineStr">
        <is>
          <t>B</t>
        </is>
      </c>
      <c r="C2429">
        <f>1</f>
        <v>1</v>
      </c>
      <c r="D2429">
        <f>IF(OR(F_Custom1_Q="(None)",F_Custom1_Q="",ISBLANK(F_Custom1_Q),F_Custom1_V="(All)",F_Custom1_V="",ISBLANK(F_Custom1_V)),1,IFERROR(IF(ISNUMBER(SEARCH("|"&amp;INDEX(INDIRECT(F_Custom1_resolved_column),2428)&amp;"|",F_Custom1_wrapped)),1,0),0))</f>
        <v>1</v>
      </c>
      <c r="E2429">
        <f>IF(OR(F_Custom2_Q="(None)",F_Custom2_Q="",ISBLANK(F_Custom2_Q),F_Custom2_V="(All)",F_Custom2_V="",ISBLANK(F_Custom2_V)),1,IFERROR(IF(ISNUMBER(SEARCH("|"&amp;INDEX(INDIRECT(F_Custom2_resolved_column),2428)&amp;"|",F_Custom2_wrapped)),1,0),0))</f>
        <v>1</v>
      </c>
      <c r="F2429">
        <f>D2429*E2429*1</f>
        <v>1</v>
      </c>
      <c r="G2429">
        <f>1</f>
        <v>1</v>
      </c>
      <c r="H24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2428)&amp;"|",All_Questions_Q_STREAM_F_wrapped)),1,0),0))*1</f>
        <v>1</v>
      </c>
    </row>
    <row r="2430">
      <c r="A2430" t="n">
        <v>2429</v>
      </c>
      <c r="B2430" t="inlineStr">
        <is>
          <t>A</t>
        </is>
      </c>
      <c r="C2430">
        <f>1</f>
        <v>1</v>
      </c>
      <c r="D2430">
        <f>IF(OR(F_Custom1_Q="(None)",F_Custom1_Q="",ISBLANK(F_Custom1_Q),F_Custom1_V="(All)",F_Custom1_V="",ISBLANK(F_Custom1_V)),1,IFERROR(IF(ISNUMBER(SEARCH("|"&amp;INDEX(INDIRECT(F_Custom1_resolved_column),2429)&amp;"|",F_Custom1_wrapped)),1,0),0))</f>
        <v>1</v>
      </c>
      <c r="E2430">
        <f>IF(OR(F_Custom2_Q="(None)",F_Custom2_Q="",ISBLANK(F_Custom2_Q),F_Custom2_V="(All)",F_Custom2_V="",ISBLANK(F_Custom2_V)),1,IFERROR(IF(ISNUMBER(SEARCH("|"&amp;INDEX(INDIRECT(F_Custom2_resolved_column),2429)&amp;"|",F_Custom2_wrapped)),1,0),0))</f>
        <v>1</v>
      </c>
      <c r="F2430">
        <f>D2430*E2430*1</f>
        <v>1</v>
      </c>
      <c r="G2430">
        <f>1</f>
        <v>1</v>
      </c>
      <c r="H24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2429)&amp;"|",All_Questions_Q_STREAM_F_wrapped)),1,0),0))*1</f>
        <v>1</v>
      </c>
    </row>
    <row r="2431">
      <c r="A2431" t="n">
        <v>2430</v>
      </c>
      <c r="B2431" t="inlineStr">
        <is>
          <t>B</t>
        </is>
      </c>
      <c r="C2431">
        <f>1</f>
        <v>1</v>
      </c>
      <c r="D2431">
        <f>IF(OR(F_Custom1_Q="(None)",F_Custom1_Q="",ISBLANK(F_Custom1_Q),F_Custom1_V="(All)",F_Custom1_V="",ISBLANK(F_Custom1_V)),1,IFERROR(IF(ISNUMBER(SEARCH("|"&amp;INDEX(INDIRECT(F_Custom1_resolved_column),2430)&amp;"|",F_Custom1_wrapped)),1,0),0))</f>
        <v>1</v>
      </c>
      <c r="E2431">
        <f>IF(OR(F_Custom2_Q="(None)",F_Custom2_Q="",ISBLANK(F_Custom2_Q),F_Custom2_V="(All)",F_Custom2_V="",ISBLANK(F_Custom2_V)),1,IFERROR(IF(ISNUMBER(SEARCH("|"&amp;INDEX(INDIRECT(F_Custom2_resolved_column),2430)&amp;"|",F_Custom2_wrapped)),1,0),0))</f>
        <v>1</v>
      </c>
      <c r="F2431">
        <f>D2431*E2431*1</f>
        <v>1</v>
      </c>
      <c r="G2431">
        <f>1</f>
        <v>1</v>
      </c>
      <c r="H24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2430)&amp;"|",All_Questions_Q_STREAM_F_wrapped)),1,0),0))*1</f>
        <v>1</v>
      </c>
    </row>
    <row r="2432">
      <c r="A2432" t="n">
        <v>2431</v>
      </c>
      <c r="B2432" t="inlineStr">
        <is>
          <t>A</t>
        </is>
      </c>
      <c r="C2432">
        <f>1</f>
        <v>1</v>
      </c>
      <c r="D2432">
        <f>IF(OR(F_Custom1_Q="(None)",F_Custom1_Q="",ISBLANK(F_Custom1_Q),F_Custom1_V="(All)",F_Custom1_V="",ISBLANK(F_Custom1_V)),1,IFERROR(IF(ISNUMBER(SEARCH("|"&amp;INDEX(INDIRECT(F_Custom1_resolved_column),2431)&amp;"|",F_Custom1_wrapped)),1,0),0))</f>
        <v>1</v>
      </c>
      <c r="E2432">
        <f>IF(OR(F_Custom2_Q="(None)",F_Custom2_Q="",ISBLANK(F_Custom2_Q),F_Custom2_V="(All)",F_Custom2_V="",ISBLANK(F_Custom2_V)),1,IFERROR(IF(ISNUMBER(SEARCH("|"&amp;INDEX(INDIRECT(F_Custom2_resolved_column),2431)&amp;"|",F_Custom2_wrapped)),1,0),0))</f>
        <v>1</v>
      </c>
      <c r="F2432">
        <f>D2432*E2432*1</f>
        <v>1</v>
      </c>
      <c r="G2432">
        <f>1</f>
        <v>1</v>
      </c>
      <c r="H24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2431)&amp;"|",All_Questions_Q_STREAM_F_wrapped)),1,0),0))*1</f>
        <v>1</v>
      </c>
    </row>
    <row r="2433">
      <c r="A2433" t="n">
        <v>2432</v>
      </c>
      <c r="B2433" t="inlineStr">
        <is>
          <t>B</t>
        </is>
      </c>
      <c r="C2433">
        <f>1</f>
        <v>1</v>
      </c>
      <c r="D2433">
        <f>IF(OR(F_Custom1_Q="(None)",F_Custom1_Q="",ISBLANK(F_Custom1_Q),F_Custom1_V="(All)",F_Custom1_V="",ISBLANK(F_Custom1_V)),1,IFERROR(IF(ISNUMBER(SEARCH("|"&amp;INDEX(INDIRECT(F_Custom1_resolved_column),2432)&amp;"|",F_Custom1_wrapped)),1,0),0))</f>
        <v>1</v>
      </c>
      <c r="E2433">
        <f>IF(OR(F_Custom2_Q="(None)",F_Custom2_Q="",ISBLANK(F_Custom2_Q),F_Custom2_V="(All)",F_Custom2_V="",ISBLANK(F_Custom2_V)),1,IFERROR(IF(ISNUMBER(SEARCH("|"&amp;INDEX(INDIRECT(F_Custom2_resolved_column),2432)&amp;"|",F_Custom2_wrapped)),1,0),0))</f>
        <v>1</v>
      </c>
      <c r="F2433">
        <f>D2433*E2433*1</f>
        <v>1</v>
      </c>
      <c r="G2433">
        <f>1</f>
        <v>1</v>
      </c>
      <c r="H24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2432)&amp;"|",All_Questions_Q_STREAM_F_wrapped)),1,0),0))*1</f>
        <v>1</v>
      </c>
    </row>
    <row r="2434">
      <c r="A2434" t="n">
        <v>2433</v>
      </c>
      <c r="B2434" t="inlineStr">
        <is>
          <t>A</t>
        </is>
      </c>
      <c r="C2434">
        <f>1</f>
        <v>1</v>
      </c>
      <c r="D2434">
        <f>IF(OR(F_Custom1_Q="(None)",F_Custom1_Q="",ISBLANK(F_Custom1_Q),F_Custom1_V="(All)",F_Custom1_V="",ISBLANK(F_Custom1_V)),1,IFERROR(IF(ISNUMBER(SEARCH("|"&amp;INDEX(INDIRECT(F_Custom1_resolved_column),2433)&amp;"|",F_Custom1_wrapped)),1,0),0))</f>
        <v>1</v>
      </c>
      <c r="E2434">
        <f>IF(OR(F_Custom2_Q="(None)",F_Custom2_Q="",ISBLANK(F_Custom2_Q),F_Custom2_V="(All)",F_Custom2_V="",ISBLANK(F_Custom2_V)),1,IFERROR(IF(ISNUMBER(SEARCH("|"&amp;INDEX(INDIRECT(F_Custom2_resolved_column),2433)&amp;"|",F_Custom2_wrapped)),1,0),0))</f>
        <v>1</v>
      </c>
      <c r="F2434">
        <f>D2434*E2434*1</f>
        <v>1</v>
      </c>
      <c r="G2434">
        <f>1</f>
        <v>1</v>
      </c>
      <c r="H24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2433)&amp;"|",All_Questions_Q_STREAM_F_wrapped)),1,0),0))*1</f>
        <v>1</v>
      </c>
    </row>
    <row r="2435">
      <c r="A2435" t="n">
        <v>2434</v>
      </c>
      <c r="B2435" t="inlineStr">
        <is>
          <t>B</t>
        </is>
      </c>
      <c r="C2435">
        <f>1</f>
        <v>1</v>
      </c>
      <c r="D2435">
        <f>IF(OR(F_Custom1_Q="(None)",F_Custom1_Q="",ISBLANK(F_Custom1_Q),F_Custom1_V="(All)",F_Custom1_V="",ISBLANK(F_Custom1_V)),1,IFERROR(IF(ISNUMBER(SEARCH("|"&amp;INDEX(INDIRECT(F_Custom1_resolved_column),2434)&amp;"|",F_Custom1_wrapped)),1,0),0))</f>
        <v>1</v>
      </c>
      <c r="E2435">
        <f>IF(OR(F_Custom2_Q="(None)",F_Custom2_Q="",ISBLANK(F_Custom2_Q),F_Custom2_V="(All)",F_Custom2_V="",ISBLANK(F_Custom2_V)),1,IFERROR(IF(ISNUMBER(SEARCH("|"&amp;INDEX(INDIRECT(F_Custom2_resolved_column),2434)&amp;"|",F_Custom2_wrapped)),1,0),0))</f>
        <v>1</v>
      </c>
      <c r="F2435">
        <f>D2435*E2435*1</f>
        <v>1</v>
      </c>
      <c r="G2435">
        <f>1</f>
        <v>1</v>
      </c>
      <c r="H24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2434)&amp;"|",All_Questions_Q_STREAM_F_wrapped)),1,0),0))*1</f>
        <v>1</v>
      </c>
    </row>
    <row r="2436">
      <c r="A2436" t="n">
        <v>2435</v>
      </c>
      <c r="B2436" t="inlineStr">
        <is>
          <t>A</t>
        </is>
      </c>
      <c r="C2436">
        <f>1</f>
        <v>1</v>
      </c>
      <c r="D2436">
        <f>IF(OR(F_Custom1_Q="(None)",F_Custom1_Q="",ISBLANK(F_Custom1_Q),F_Custom1_V="(All)",F_Custom1_V="",ISBLANK(F_Custom1_V)),1,IFERROR(IF(ISNUMBER(SEARCH("|"&amp;INDEX(INDIRECT(F_Custom1_resolved_column),2435)&amp;"|",F_Custom1_wrapped)),1,0),0))</f>
        <v>1</v>
      </c>
      <c r="E2436">
        <f>IF(OR(F_Custom2_Q="(None)",F_Custom2_Q="",ISBLANK(F_Custom2_Q),F_Custom2_V="(All)",F_Custom2_V="",ISBLANK(F_Custom2_V)),1,IFERROR(IF(ISNUMBER(SEARCH("|"&amp;INDEX(INDIRECT(F_Custom2_resolved_column),2435)&amp;"|",F_Custom2_wrapped)),1,0),0))</f>
        <v>1</v>
      </c>
      <c r="F2436">
        <f>D2436*E2436*1</f>
        <v>1</v>
      </c>
      <c r="G2436">
        <f>1</f>
        <v>1</v>
      </c>
      <c r="H24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2435)&amp;"|",All_Questions_Q_STREAM_F_wrapped)),1,0),0))*1</f>
        <v>1</v>
      </c>
    </row>
    <row r="2437">
      <c r="A2437" t="n">
        <v>2436</v>
      </c>
      <c r="B2437" t="inlineStr">
        <is>
          <t>B</t>
        </is>
      </c>
      <c r="C2437">
        <f>1</f>
        <v>1</v>
      </c>
      <c r="D2437">
        <f>IF(OR(F_Custom1_Q="(None)",F_Custom1_Q="",ISBLANK(F_Custom1_Q),F_Custom1_V="(All)",F_Custom1_V="",ISBLANK(F_Custom1_V)),1,IFERROR(IF(ISNUMBER(SEARCH("|"&amp;INDEX(INDIRECT(F_Custom1_resolved_column),2436)&amp;"|",F_Custom1_wrapped)),1,0),0))</f>
        <v>1</v>
      </c>
      <c r="E2437">
        <f>IF(OR(F_Custom2_Q="(None)",F_Custom2_Q="",ISBLANK(F_Custom2_Q),F_Custom2_V="(All)",F_Custom2_V="",ISBLANK(F_Custom2_V)),1,IFERROR(IF(ISNUMBER(SEARCH("|"&amp;INDEX(INDIRECT(F_Custom2_resolved_column),2436)&amp;"|",F_Custom2_wrapped)),1,0),0))</f>
        <v>1</v>
      </c>
      <c r="F2437">
        <f>D2437*E2437*1</f>
        <v>1</v>
      </c>
      <c r="G2437">
        <f>1</f>
        <v>1</v>
      </c>
      <c r="H24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2436)&amp;"|",All_Questions_Q_STREAM_F_wrapped)),1,0),0))*1</f>
        <v>1</v>
      </c>
    </row>
    <row r="2438">
      <c r="A2438" t="n">
        <v>2437</v>
      </c>
      <c r="B2438" t="inlineStr">
        <is>
          <t>A</t>
        </is>
      </c>
      <c r="C2438">
        <f>1</f>
        <v>1</v>
      </c>
      <c r="D2438">
        <f>IF(OR(F_Custom1_Q="(None)",F_Custom1_Q="",ISBLANK(F_Custom1_Q),F_Custom1_V="(All)",F_Custom1_V="",ISBLANK(F_Custom1_V)),1,IFERROR(IF(ISNUMBER(SEARCH("|"&amp;INDEX(INDIRECT(F_Custom1_resolved_column),2437)&amp;"|",F_Custom1_wrapped)),1,0),0))</f>
        <v>1</v>
      </c>
      <c r="E2438">
        <f>IF(OR(F_Custom2_Q="(None)",F_Custom2_Q="",ISBLANK(F_Custom2_Q),F_Custom2_V="(All)",F_Custom2_V="",ISBLANK(F_Custom2_V)),1,IFERROR(IF(ISNUMBER(SEARCH("|"&amp;INDEX(INDIRECT(F_Custom2_resolved_column),2437)&amp;"|",F_Custom2_wrapped)),1,0),0))</f>
        <v>1</v>
      </c>
      <c r="F2438">
        <f>D2438*E2438*1</f>
        <v>1</v>
      </c>
      <c r="G2438">
        <f>1</f>
        <v>1</v>
      </c>
      <c r="H24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2437)&amp;"|",All_Questions_Q_STREAM_F_wrapped)),1,0),0))*1</f>
        <v>1</v>
      </c>
    </row>
    <row r="2439">
      <c r="A2439" t="n">
        <v>2438</v>
      </c>
      <c r="B2439" t="inlineStr">
        <is>
          <t>B</t>
        </is>
      </c>
      <c r="C2439">
        <f>1</f>
        <v>1</v>
      </c>
      <c r="D2439">
        <f>IF(OR(F_Custom1_Q="(None)",F_Custom1_Q="",ISBLANK(F_Custom1_Q),F_Custom1_V="(All)",F_Custom1_V="",ISBLANK(F_Custom1_V)),1,IFERROR(IF(ISNUMBER(SEARCH("|"&amp;INDEX(INDIRECT(F_Custom1_resolved_column),2438)&amp;"|",F_Custom1_wrapped)),1,0),0))</f>
        <v>1</v>
      </c>
      <c r="E2439">
        <f>IF(OR(F_Custom2_Q="(None)",F_Custom2_Q="",ISBLANK(F_Custom2_Q),F_Custom2_V="(All)",F_Custom2_V="",ISBLANK(F_Custom2_V)),1,IFERROR(IF(ISNUMBER(SEARCH("|"&amp;INDEX(INDIRECT(F_Custom2_resolved_column),2438)&amp;"|",F_Custom2_wrapped)),1,0),0))</f>
        <v>1</v>
      </c>
      <c r="F2439">
        <f>D2439*E2439*1</f>
        <v>1</v>
      </c>
      <c r="G2439">
        <f>1</f>
        <v>1</v>
      </c>
      <c r="H24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2438)&amp;"|",All_Questions_Q_STREAM_F_wrapped)),1,0),0))*1</f>
        <v>1</v>
      </c>
    </row>
    <row r="2440">
      <c r="A2440" t="n">
        <v>2439</v>
      </c>
      <c r="B2440" t="inlineStr">
        <is>
          <t>A</t>
        </is>
      </c>
      <c r="C2440">
        <f>1</f>
        <v>1</v>
      </c>
      <c r="D2440">
        <f>IF(OR(F_Custom1_Q="(None)",F_Custom1_Q="",ISBLANK(F_Custom1_Q),F_Custom1_V="(All)",F_Custom1_V="",ISBLANK(F_Custom1_V)),1,IFERROR(IF(ISNUMBER(SEARCH("|"&amp;INDEX(INDIRECT(F_Custom1_resolved_column),2439)&amp;"|",F_Custom1_wrapped)),1,0),0))</f>
        <v>1</v>
      </c>
      <c r="E2440">
        <f>IF(OR(F_Custom2_Q="(None)",F_Custom2_Q="",ISBLANK(F_Custom2_Q),F_Custom2_V="(All)",F_Custom2_V="",ISBLANK(F_Custom2_V)),1,IFERROR(IF(ISNUMBER(SEARCH("|"&amp;INDEX(INDIRECT(F_Custom2_resolved_column),2439)&amp;"|",F_Custom2_wrapped)),1,0),0))</f>
        <v>1</v>
      </c>
      <c r="F2440">
        <f>D2440*E2440*1</f>
        <v>1</v>
      </c>
      <c r="G2440">
        <f>1</f>
        <v>1</v>
      </c>
      <c r="H24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2439)&amp;"|",All_Questions_Q_STREAM_F_wrapped)),1,0),0))*1</f>
        <v>1</v>
      </c>
    </row>
    <row r="2441">
      <c r="A2441" t="n">
        <v>2440</v>
      </c>
      <c r="B2441" t="inlineStr">
        <is>
          <t>B</t>
        </is>
      </c>
      <c r="C2441">
        <f>1</f>
        <v>1</v>
      </c>
      <c r="D2441">
        <f>IF(OR(F_Custom1_Q="(None)",F_Custom1_Q="",ISBLANK(F_Custom1_Q),F_Custom1_V="(All)",F_Custom1_V="",ISBLANK(F_Custom1_V)),1,IFERROR(IF(ISNUMBER(SEARCH("|"&amp;INDEX(INDIRECT(F_Custom1_resolved_column),2440)&amp;"|",F_Custom1_wrapped)),1,0),0))</f>
        <v>1</v>
      </c>
      <c r="E2441">
        <f>IF(OR(F_Custom2_Q="(None)",F_Custom2_Q="",ISBLANK(F_Custom2_Q),F_Custom2_V="(All)",F_Custom2_V="",ISBLANK(F_Custom2_V)),1,IFERROR(IF(ISNUMBER(SEARCH("|"&amp;INDEX(INDIRECT(F_Custom2_resolved_column),2440)&amp;"|",F_Custom2_wrapped)),1,0),0))</f>
        <v>1</v>
      </c>
      <c r="F2441">
        <f>D2441*E2441*1</f>
        <v>1</v>
      </c>
      <c r="G2441">
        <f>1</f>
        <v>1</v>
      </c>
      <c r="H24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2440)&amp;"|",All_Questions_Q_STREAM_F_wrapped)),1,0),0))*1</f>
        <v>1</v>
      </c>
    </row>
    <row r="2442">
      <c r="A2442" t="n">
        <v>2441</v>
      </c>
      <c r="B2442" t="inlineStr">
        <is>
          <t>A</t>
        </is>
      </c>
      <c r="C2442">
        <f>1</f>
        <v>1</v>
      </c>
      <c r="D2442">
        <f>IF(OR(F_Custom1_Q="(None)",F_Custom1_Q="",ISBLANK(F_Custom1_Q),F_Custom1_V="(All)",F_Custom1_V="",ISBLANK(F_Custom1_V)),1,IFERROR(IF(ISNUMBER(SEARCH("|"&amp;INDEX(INDIRECT(F_Custom1_resolved_column),2441)&amp;"|",F_Custom1_wrapped)),1,0),0))</f>
        <v>1</v>
      </c>
      <c r="E2442">
        <f>IF(OR(F_Custom2_Q="(None)",F_Custom2_Q="",ISBLANK(F_Custom2_Q),F_Custom2_V="(All)",F_Custom2_V="",ISBLANK(F_Custom2_V)),1,IFERROR(IF(ISNUMBER(SEARCH("|"&amp;INDEX(INDIRECT(F_Custom2_resolved_column),2441)&amp;"|",F_Custom2_wrapped)),1,0),0))</f>
        <v>1</v>
      </c>
      <c r="F2442">
        <f>D2442*E2442*1</f>
        <v>1</v>
      </c>
      <c r="G2442">
        <f>1</f>
        <v>1</v>
      </c>
      <c r="H24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2441)&amp;"|",All_Questions_Q_STREAM_F_wrapped)),1,0),0))*1</f>
        <v>1</v>
      </c>
    </row>
    <row r="2443">
      <c r="A2443" t="n">
        <v>2442</v>
      </c>
      <c r="B2443" t="inlineStr">
        <is>
          <t>B</t>
        </is>
      </c>
      <c r="C2443">
        <f>1</f>
        <v>1</v>
      </c>
      <c r="D2443">
        <f>IF(OR(F_Custom1_Q="(None)",F_Custom1_Q="",ISBLANK(F_Custom1_Q),F_Custom1_V="(All)",F_Custom1_V="",ISBLANK(F_Custom1_V)),1,IFERROR(IF(ISNUMBER(SEARCH("|"&amp;INDEX(INDIRECT(F_Custom1_resolved_column),2442)&amp;"|",F_Custom1_wrapped)),1,0),0))</f>
        <v>1</v>
      </c>
      <c r="E2443">
        <f>IF(OR(F_Custom2_Q="(None)",F_Custom2_Q="",ISBLANK(F_Custom2_Q),F_Custom2_V="(All)",F_Custom2_V="",ISBLANK(F_Custom2_V)),1,IFERROR(IF(ISNUMBER(SEARCH("|"&amp;INDEX(INDIRECT(F_Custom2_resolved_column),2442)&amp;"|",F_Custom2_wrapped)),1,0),0))</f>
        <v>1</v>
      </c>
      <c r="F2443">
        <f>D2443*E2443*1</f>
        <v>1</v>
      </c>
      <c r="G2443">
        <f>1</f>
        <v>1</v>
      </c>
      <c r="H24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2442)&amp;"|",All_Questions_Q_STREAM_F_wrapped)),1,0),0))*1</f>
        <v>1</v>
      </c>
    </row>
    <row r="2444">
      <c r="A2444" t="n">
        <v>2443</v>
      </c>
      <c r="B2444" t="inlineStr">
        <is>
          <t>A</t>
        </is>
      </c>
      <c r="C2444">
        <f>1</f>
        <v>1</v>
      </c>
      <c r="D2444">
        <f>IF(OR(F_Custom1_Q="(None)",F_Custom1_Q="",ISBLANK(F_Custom1_Q),F_Custom1_V="(All)",F_Custom1_V="",ISBLANK(F_Custom1_V)),1,IFERROR(IF(ISNUMBER(SEARCH("|"&amp;INDEX(INDIRECT(F_Custom1_resolved_column),2443)&amp;"|",F_Custom1_wrapped)),1,0),0))</f>
        <v>1</v>
      </c>
      <c r="E2444">
        <f>IF(OR(F_Custom2_Q="(None)",F_Custom2_Q="",ISBLANK(F_Custom2_Q),F_Custom2_V="(All)",F_Custom2_V="",ISBLANK(F_Custom2_V)),1,IFERROR(IF(ISNUMBER(SEARCH("|"&amp;INDEX(INDIRECT(F_Custom2_resolved_column),2443)&amp;"|",F_Custom2_wrapped)),1,0),0))</f>
        <v>1</v>
      </c>
      <c r="F2444">
        <f>D2444*E2444*1</f>
        <v>1</v>
      </c>
      <c r="G2444">
        <f>1</f>
        <v>1</v>
      </c>
      <c r="H24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2443)&amp;"|",All_Questions_Q_STREAM_F_wrapped)),1,0),0))*1</f>
        <v>1</v>
      </c>
    </row>
    <row r="2445">
      <c r="A2445" t="n">
        <v>2444</v>
      </c>
      <c r="B2445" t="inlineStr">
        <is>
          <t>B</t>
        </is>
      </c>
      <c r="C2445">
        <f>1</f>
        <v>1</v>
      </c>
      <c r="D2445">
        <f>IF(OR(F_Custom1_Q="(None)",F_Custom1_Q="",ISBLANK(F_Custom1_Q),F_Custom1_V="(All)",F_Custom1_V="",ISBLANK(F_Custom1_V)),1,IFERROR(IF(ISNUMBER(SEARCH("|"&amp;INDEX(INDIRECT(F_Custom1_resolved_column),2444)&amp;"|",F_Custom1_wrapped)),1,0),0))</f>
        <v>1</v>
      </c>
      <c r="E2445">
        <f>IF(OR(F_Custom2_Q="(None)",F_Custom2_Q="",ISBLANK(F_Custom2_Q),F_Custom2_V="(All)",F_Custom2_V="",ISBLANK(F_Custom2_V)),1,IFERROR(IF(ISNUMBER(SEARCH("|"&amp;INDEX(INDIRECT(F_Custom2_resolved_column),2444)&amp;"|",F_Custom2_wrapped)),1,0),0))</f>
        <v>1</v>
      </c>
      <c r="F2445">
        <f>D2445*E2445*1</f>
        <v>1</v>
      </c>
      <c r="G2445">
        <f>1</f>
        <v>1</v>
      </c>
      <c r="H24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2444)&amp;"|",All_Questions_Q_STREAM_F_wrapped)),1,0),0))*1</f>
        <v>1</v>
      </c>
    </row>
    <row r="2446">
      <c r="A2446" t="n">
        <v>2445</v>
      </c>
      <c r="B2446" t="inlineStr">
        <is>
          <t>A</t>
        </is>
      </c>
      <c r="C2446">
        <f>1</f>
        <v>1</v>
      </c>
      <c r="D2446">
        <f>IF(OR(F_Custom1_Q="(None)",F_Custom1_Q="",ISBLANK(F_Custom1_Q),F_Custom1_V="(All)",F_Custom1_V="",ISBLANK(F_Custom1_V)),1,IFERROR(IF(ISNUMBER(SEARCH("|"&amp;INDEX(INDIRECT(F_Custom1_resolved_column),2445)&amp;"|",F_Custom1_wrapped)),1,0),0))</f>
        <v>1</v>
      </c>
      <c r="E2446">
        <f>IF(OR(F_Custom2_Q="(None)",F_Custom2_Q="",ISBLANK(F_Custom2_Q),F_Custom2_V="(All)",F_Custom2_V="",ISBLANK(F_Custom2_V)),1,IFERROR(IF(ISNUMBER(SEARCH("|"&amp;INDEX(INDIRECT(F_Custom2_resolved_column),2445)&amp;"|",F_Custom2_wrapped)),1,0),0))</f>
        <v>1</v>
      </c>
      <c r="F2446">
        <f>D2446*E2446*1</f>
        <v>1</v>
      </c>
      <c r="G2446">
        <f>1</f>
        <v>1</v>
      </c>
      <c r="H24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2445)&amp;"|",All_Questions_Q_STREAM_F_wrapped)),1,0),0))*1</f>
        <v>1</v>
      </c>
    </row>
    <row r="2447">
      <c r="A2447" t="n">
        <v>2446</v>
      </c>
      <c r="B2447" t="inlineStr">
        <is>
          <t>B</t>
        </is>
      </c>
      <c r="C2447">
        <f>1</f>
        <v>1</v>
      </c>
      <c r="D2447">
        <f>IF(OR(F_Custom1_Q="(None)",F_Custom1_Q="",ISBLANK(F_Custom1_Q),F_Custom1_V="(All)",F_Custom1_V="",ISBLANK(F_Custom1_V)),1,IFERROR(IF(ISNUMBER(SEARCH("|"&amp;INDEX(INDIRECT(F_Custom1_resolved_column),2446)&amp;"|",F_Custom1_wrapped)),1,0),0))</f>
        <v>1</v>
      </c>
      <c r="E2447">
        <f>IF(OR(F_Custom2_Q="(None)",F_Custom2_Q="",ISBLANK(F_Custom2_Q),F_Custom2_V="(All)",F_Custom2_V="",ISBLANK(F_Custom2_V)),1,IFERROR(IF(ISNUMBER(SEARCH("|"&amp;INDEX(INDIRECT(F_Custom2_resolved_column),2446)&amp;"|",F_Custom2_wrapped)),1,0),0))</f>
        <v>1</v>
      </c>
      <c r="F2447">
        <f>D2447*E2447*1</f>
        <v>1</v>
      </c>
      <c r="G2447">
        <f>1</f>
        <v>1</v>
      </c>
      <c r="H24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2446)&amp;"|",All_Questions_Q_STREAM_F_wrapped)),1,0),0))*1</f>
        <v>1</v>
      </c>
    </row>
    <row r="2448">
      <c r="A2448" t="n">
        <v>2447</v>
      </c>
      <c r="B2448" t="inlineStr">
        <is>
          <t>A</t>
        </is>
      </c>
      <c r="C2448">
        <f>1</f>
        <v>1</v>
      </c>
      <c r="D2448">
        <f>IF(OR(F_Custom1_Q="(None)",F_Custom1_Q="",ISBLANK(F_Custom1_Q),F_Custom1_V="(All)",F_Custom1_V="",ISBLANK(F_Custom1_V)),1,IFERROR(IF(ISNUMBER(SEARCH("|"&amp;INDEX(INDIRECT(F_Custom1_resolved_column),2447)&amp;"|",F_Custom1_wrapped)),1,0),0))</f>
        <v>1</v>
      </c>
      <c r="E2448">
        <f>IF(OR(F_Custom2_Q="(None)",F_Custom2_Q="",ISBLANK(F_Custom2_Q),F_Custom2_V="(All)",F_Custom2_V="",ISBLANK(F_Custom2_V)),1,IFERROR(IF(ISNUMBER(SEARCH("|"&amp;INDEX(INDIRECT(F_Custom2_resolved_column),2447)&amp;"|",F_Custom2_wrapped)),1,0),0))</f>
        <v>1</v>
      </c>
      <c r="F2448">
        <f>D2448*E2448*1</f>
        <v>1</v>
      </c>
      <c r="G2448">
        <f>1</f>
        <v>1</v>
      </c>
      <c r="H24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2447)&amp;"|",All_Questions_Q_STREAM_F_wrapped)),1,0),0))*1</f>
        <v>1</v>
      </c>
    </row>
    <row r="2449">
      <c r="A2449" t="n">
        <v>2448</v>
      </c>
      <c r="B2449" t="inlineStr">
        <is>
          <t>B</t>
        </is>
      </c>
      <c r="C2449">
        <f>1</f>
        <v>1</v>
      </c>
      <c r="D2449">
        <f>IF(OR(F_Custom1_Q="(None)",F_Custom1_Q="",ISBLANK(F_Custom1_Q),F_Custom1_V="(All)",F_Custom1_V="",ISBLANK(F_Custom1_V)),1,IFERROR(IF(ISNUMBER(SEARCH("|"&amp;INDEX(INDIRECT(F_Custom1_resolved_column),2448)&amp;"|",F_Custom1_wrapped)),1,0),0))</f>
        <v>1</v>
      </c>
      <c r="E2449">
        <f>IF(OR(F_Custom2_Q="(None)",F_Custom2_Q="",ISBLANK(F_Custom2_Q),F_Custom2_V="(All)",F_Custom2_V="",ISBLANK(F_Custom2_V)),1,IFERROR(IF(ISNUMBER(SEARCH("|"&amp;INDEX(INDIRECT(F_Custom2_resolved_column),2448)&amp;"|",F_Custom2_wrapped)),1,0),0))</f>
        <v>1</v>
      </c>
      <c r="F2449">
        <f>D2449*E2449*1</f>
        <v>1</v>
      </c>
      <c r="G2449">
        <f>1</f>
        <v>1</v>
      </c>
      <c r="H24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2448)&amp;"|",All_Questions_Q_STREAM_F_wrapped)),1,0),0))*1</f>
        <v>1</v>
      </c>
    </row>
    <row r="2450">
      <c r="A2450" t="n">
        <v>2449</v>
      </c>
      <c r="B2450" t="inlineStr">
        <is>
          <t>A</t>
        </is>
      </c>
      <c r="C2450">
        <f>1</f>
        <v>1</v>
      </c>
      <c r="D2450">
        <f>IF(OR(F_Custom1_Q="(None)",F_Custom1_Q="",ISBLANK(F_Custom1_Q),F_Custom1_V="(All)",F_Custom1_V="",ISBLANK(F_Custom1_V)),1,IFERROR(IF(ISNUMBER(SEARCH("|"&amp;INDEX(INDIRECT(F_Custom1_resolved_column),2449)&amp;"|",F_Custom1_wrapped)),1,0),0))</f>
        <v>1</v>
      </c>
      <c r="E2450">
        <f>IF(OR(F_Custom2_Q="(None)",F_Custom2_Q="",ISBLANK(F_Custom2_Q),F_Custom2_V="(All)",F_Custom2_V="",ISBLANK(F_Custom2_V)),1,IFERROR(IF(ISNUMBER(SEARCH("|"&amp;INDEX(INDIRECT(F_Custom2_resolved_column),2449)&amp;"|",F_Custom2_wrapped)),1,0),0))</f>
        <v>1</v>
      </c>
      <c r="F2450">
        <f>D2450*E2450*1</f>
        <v>1</v>
      </c>
      <c r="G2450">
        <f>1</f>
        <v>1</v>
      </c>
      <c r="H24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2449)&amp;"|",All_Questions_Q_STREAM_F_wrapped)),1,0),0))*1</f>
        <v>1</v>
      </c>
    </row>
    <row r="2451">
      <c r="A2451" t="n">
        <v>2450</v>
      </c>
      <c r="B2451" t="inlineStr">
        <is>
          <t>B</t>
        </is>
      </c>
      <c r="C2451">
        <f>1</f>
        <v>1</v>
      </c>
      <c r="D2451">
        <f>IF(OR(F_Custom1_Q="(None)",F_Custom1_Q="",ISBLANK(F_Custom1_Q),F_Custom1_V="(All)",F_Custom1_V="",ISBLANK(F_Custom1_V)),1,IFERROR(IF(ISNUMBER(SEARCH("|"&amp;INDEX(INDIRECT(F_Custom1_resolved_column),2450)&amp;"|",F_Custom1_wrapped)),1,0),0))</f>
        <v>1</v>
      </c>
      <c r="E2451">
        <f>IF(OR(F_Custom2_Q="(None)",F_Custom2_Q="",ISBLANK(F_Custom2_Q),F_Custom2_V="(All)",F_Custom2_V="",ISBLANK(F_Custom2_V)),1,IFERROR(IF(ISNUMBER(SEARCH("|"&amp;INDEX(INDIRECT(F_Custom2_resolved_column),2450)&amp;"|",F_Custom2_wrapped)),1,0),0))</f>
        <v>1</v>
      </c>
      <c r="F2451">
        <f>D2451*E2451*1</f>
        <v>1</v>
      </c>
      <c r="G2451">
        <f>1</f>
        <v>1</v>
      </c>
      <c r="H24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2450)&amp;"|",All_Questions_Q_STREAM_F_wrapped)),1,0),0))*1</f>
        <v>1</v>
      </c>
    </row>
    <row r="2452">
      <c r="A2452" t="n">
        <v>2451</v>
      </c>
      <c r="B2452" t="inlineStr">
        <is>
          <t>A</t>
        </is>
      </c>
      <c r="C2452">
        <f>1</f>
        <v>1</v>
      </c>
      <c r="D2452">
        <f>IF(OR(F_Custom1_Q="(None)",F_Custom1_Q="",ISBLANK(F_Custom1_Q),F_Custom1_V="(All)",F_Custom1_V="",ISBLANK(F_Custom1_V)),1,IFERROR(IF(ISNUMBER(SEARCH("|"&amp;INDEX(INDIRECT(F_Custom1_resolved_column),2451)&amp;"|",F_Custom1_wrapped)),1,0),0))</f>
        <v>1</v>
      </c>
      <c r="E2452">
        <f>IF(OR(F_Custom2_Q="(None)",F_Custom2_Q="",ISBLANK(F_Custom2_Q),F_Custom2_V="(All)",F_Custom2_V="",ISBLANK(F_Custom2_V)),1,IFERROR(IF(ISNUMBER(SEARCH("|"&amp;INDEX(INDIRECT(F_Custom2_resolved_column),2451)&amp;"|",F_Custom2_wrapped)),1,0),0))</f>
        <v>1</v>
      </c>
      <c r="F2452">
        <f>D2452*E2452*1</f>
        <v>1</v>
      </c>
      <c r="G2452">
        <f>1</f>
        <v>1</v>
      </c>
      <c r="H24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2451)&amp;"|",All_Questions_Q_STREAM_F_wrapped)),1,0),0))*1</f>
        <v>1</v>
      </c>
    </row>
    <row r="2453">
      <c r="A2453" t="n">
        <v>2452</v>
      </c>
      <c r="B2453" t="inlineStr">
        <is>
          <t>B</t>
        </is>
      </c>
      <c r="C2453">
        <f>1</f>
        <v>1</v>
      </c>
      <c r="D2453">
        <f>IF(OR(F_Custom1_Q="(None)",F_Custom1_Q="",ISBLANK(F_Custom1_Q),F_Custom1_V="(All)",F_Custom1_V="",ISBLANK(F_Custom1_V)),1,IFERROR(IF(ISNUMBER(SEARCH("|"&amp;INDEX(INDIRECT(F_Custom1_resolved_column),2452)&amp;"|",F_Custom1_wrapped)),1,0),0))</f>
        <v>1</v>
      </c>
      <c r="E2453">
        <f>IF(OR(F_Custom2_Q="(None)",F_Custom2_Q="",ISBLANK(F_Custom2_Q),F_Custom2_V="(All)",F_Custom2_V="",ISBLANK(F_Custom2_V)),1,IFERROR(IF(ISNUMBER(SEARCH("|"&amp;INDEX(INDIRECT(F_Custom2_resolved_column),2452)&amp;"|",F_Custom2_wrapped)),1,0),0))</f>
        <v>1</v>
      </c>
      <c r="F2453">
        <f>D2453*E2453*1</f>
        <v>1</v>
      </c>
      <c r="G2453">
        <f>1</f>
        <v>1</v>
      </c>
      <c r="H24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2452)&amp;"|",All_Questions_Q_STREAM_F_wrapped)),1,0),0))*1</f>
        <v>1</v>
      </c>
    </row>
    <row r="2454">
      <c r="A2454" t="n">
        <v>2453</v>
      </c>
      <c r="B2454" t="inlineStr">
        <is>
          <t>A</t>
        </is>
      </c>
      <c r="C2454">
        <f>1</f>
        <v>1</v>
      </c>
      <c r="D2454">
        <f>IF(OR(F_Custom1_Q="(None)",F_Custom1_Q="",ISBLANK(F_Custom1_Q),F_Custom1_V="(All)",F_Custom1_V="",ISBLANK(F_Custom1_V)),1,IFERROR(IF(ISNUMBER(SEARCH("|"&amp;INDEX(INDIRECT(F_Custom1_resolved_column),2453)&amp;"|",F_Custom1_wrapped)),1,0),0))</f>
        <v>1</v>
      </c>
      <c r="E2454">
        <f>IF(OR(F_Custom2_Q="(None)",F_Custom2_Q="",ISBLANK(F_Custom2_Q),F_Custom2_V="(All)",F_Custom2_V="",ISBLANK(F_Custom2_V)),1,IFERROR(IF(ISNUMBER(SEARCH("|"&amp;INDEX(INDIRECT(F_Custom2_resolved_column),2453)&amp;"|",F_Custom2_wrapped)),1,0),0))</f>
        <v>1</v>
      </c>
      <c r="F2454">
        <f>D2454*E2454*1</f>
        <v>1</v>
      </c>
      <c r="G2454">
        <f>1</f>
        <v>1</v>
      </c>
      <c r="H24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2453)&amp;"|",All_Questions_Q_STREAM_F_wrapped)),1,0),0))*1</f>
        <v>1</v>
      </c>
    </row>
    <row r="2455">
      <c r="A2455" t="n">
        <v>2454</v>
      </c>
      <c r="B2455" t="inlineStr">
        <is>
          <t>B</t>
        </is>
      </c>
      <c r="C2455">
        <f>1</f>
        <v>1</v>
      </c>
      <c r="D2455">
        <f>IF(OR(F_Custom1_Q="(None)",F_Custom1_Q="",ISBLANK(F_Custom1_Q),F_Custom1_V="(All)",F_Custom1_V="",ISBLANK(F_Custom1_V)),1,IFERROR(IF(ISNUMBER(SEARCH("|"&amp;INDEX(INDIRECT(F_Custom1_resolved_column),2454)&amp;"|",F_Custom1_wrapped)),1,0),0))</f>
        <v>1</v>
      </c>
      <c r="E2455">
        <f>IF(OR(F_Custom2_Q="(None)",F_Custom2_Q="",ISBLANK(F_Custom2_Q),F_Custom2_V="(All)",F_Custom2_V="",ISBLANK(F_Custom2_V)),1,IFERROR(IF(ISNUMBER(SEARCH("|"&amp;INDEX(INDIRECT(F_Custom2_resolved_column),2454)&amp;"|",F_Custom2_wrapped)),1,0),0))</f>
        <v>1</v>
      </c>
      <c r="F2455">
        <f>D2455*E2455*1</f>
        <v>1</v>
      </c>
      <c r="G2455">
        <f>1</f>
        <v>1</v>
      </c>
      <c r="H24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2454)&amp;"|",All_Questions_Q_STREAM_F_wrapped)),1,0),0))*1</f>
        <v>1</v>
      </c>
    </row>
    <row r="2456">
      <c r="A2456" t="n">
        <v>2455</v>
      </c>
      <c r="B2456" t="inlineStr">
        <is>
          <t>A</t>
        </is>
      </c>
      <c r="C2456">
        <f>1</f>
        <v>1</v>
      </c>
      <c r="D2456">
        <f>IF(OR(F_Custom1_Q="(None)",F_Custom1_Q="",ISBLANK(F_Custom1_Q),F_Custom1_V="(All)",F_Custom1_V="",ISBLANK(F_Custom1_V)),1,IFERROR(IF(ISNUMBER(SEARCH("|"&amp;INDEX(INDIRECT(F_Custom1_resolved_column),2455)&amp;"|",F_Custom1_wrapped)),1,0),0))</f>
        <v>1</v>
      </c>
      <c r="E2456">
        <f>IF(OR(F_Custom2_Q="(None)",F_Custom2_Q="",ISBLANK(F_Custom2_Q),F_Custom2_V="(All)",F_Custom2_V="",ISBLANK(F_Custom2_V)),1,IFERROR(IF(ISNUMBER(SEARCH("|"&amp;INDEX(INDIRECT(F_Custom2_resolved_column),2455)&amp;"|",F_Custom2_wrapped)),1,0),0))</f>
        <v>1</v>
      </c>
      <c r="F2456">
        <f>D2456*E2456*1</f>
        <v>1</v>
      </c>
      <c r="G2456">
        <f>1</f>
        <v>1</v>
      </c>
      <c r="H24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2455)&amp;"|",All_Questions_Q_STREAM_F_wrapped)),1,0),0))*1</f>
        <v>1</v>
      </c>
    </row>
    <row r="2457">
      <c r="A2457" t="n">
        <v>2456</v>
      </c>
      <c r="B2457" t="inlineStr">
        <is>
          <t>B</t>
        </is>
      </c>
      <c r="C2457">
        <f>1</f>
        <v>1</v>
      </c>
      <c r="D2457">
        <f>IF(OR(F_Custom1_Q="(None)",F_Custom1_Q="",ISBLANK(F_Custom1_Q),F_Custom1_V="(All)",F_Custom1_V="",ISBLANK(F_Custom1_V)),1,IFERROR(IF(ISNUMBER(SEARCH("|"&amp;INDEX(INDIRECT(F_Custom1_resolved_column),2456)&amp;"|",F_Custom1_wrapped)),1,0),0))</f>
        <v>1</v>
      </c>
      <c r="E2457">
        <f>IF(OR(F_Custom2_Q="(None)",F_Custom2_Q="",ISBLANK(F_Custom2_Q),F_Custom2_V="(All)",F_Custom2_V="",ISBLANK(F_Custom2_V)),1,IFERROR(IF(ISNUMBER(SEARCH("|"&amp;INDEX(INDIRECT(F_Custom2_resolved_column),2456)&amp;"|",F_Custom2_wrapped)),1,0),0))</f>
        <v>1</v>
      </c>
      <c r="F2457">
        <f>D2457*E2457*1</f>
        <v>1</v>
      </c>
      <c r="G2457">
        <f>1</f>
        <v>1</v>
      </c>
      <c r="H24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2456)&amp;"|",All_Questions_Q_STREAM_F_wrapped)),1,0),0))*1</f>
        <v>1</v>
      </c>
    </row>
    <row r="2458">
      <c r="A2458" t="n">
        <v>2457</v>
      </c>
      <c r="B2458" t="inlineStr">
        <is>
          <t>A</t>
        </is>
      </c>
      <c r="C2458">
        <f>1</f>
        <v>1</v>
      </c>
      <c r="D2458">
        <f>IF(OR(F_Custom1_Q="(None)",F_Custom1_Q="",ISBLANK(F_Custom1_Q),F_Custom1_V="(All)",F_Custom1_V="",ISBLANK(F_Custom1_V)),1,IFERROR(IF(ISNUMBER(SEARCH("|"&amp;INDEX(INDIRECT(F_Custom1_resolved_column),2457)&amp;"|",F_Custom1_wrapped)),1,0),0))</f>
        <v>1</v>
      </c>
      <c r="E2458">
        <f>IF(OR(F_Custom2_Q="(None)",F_Custom2_Q="",ISBLANK(F_Custom2_Q),F_Custom2_V="(All)",F_Custom2_V="",ISBLANK(F_Custom2_V)),1,IFERROR(IF(ISNUMBER(SEARCH("|"&amp;INDEX(INDIRECT(F_Custom2_resolved_column),2457)&amp;"|",F_Custom2_wrapped)),1,0),0))</f>
        <v>1</v>
      </c>
      <c r="F2458">
        <f>D2458*E2458*1</f>
        <v>1</v>
      </c>
      <c r="G2458">
        <f>1</f>
        <v>1</v>
      </c>
      <c r="H24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2457)&amp;"|",All_Questions_Q_STREAM_F_wrapped)),1,0),0))*1</f>
        <v>1</v>
      </c>
    </row>
    <row r="2459">
      <c r="A2459" t="n">
        <v>2458</v>
      </c>
      <c r="B2459" t="inlineStr">
        <is>
          <t>B</t>
        </is>
      </c>
      <c r="C2459">
        <f>1</f>
        <v>1</v>
      </c>
      <c r="D2459">
        <f>IF(OR(F_Custom1_Q="(None)",F_Custom1_Q="",ISBLANK(F_Custom1_Q),F_Custom1_V="(All)",F_Custom1_V="",ISBLANK(F_Custom1_V)),1,IFERROR(IF(ISNUMBER(SEARCH("|"&amp;INDEX(INDIRECT(F_Custom1_resolved_column),2458)&amp;"|",F_Custom1_wrapped)),1,0),0))</f>
        <v>1</v>
      </c>
      <c r="E2459">
        <f>IF(OR(F_Custom2_Q="(None)",F_Custom2_Q="",ISBLANK(F_Custom2_Q),F_Custom2_V="(All)",F_Custom2_V="",ISBLANK(F_Custom2_V)),1,IFERROR(IF(ISNUMBER(SEARCH("|"&amp;INDEX(INDIRECT(F_Custom2_resolved_column),2458)&amp;"|",F_Custom2_wrapped)),1,0),0))</f>
        <v>1</v>
      </c>
      <c r="F2459">
        <f>D2459*E2459*1</f>
        <v>1</v>
      </c>
      <c r="G2459">
        <f>1</f>
        <v>1</v>
      </c>
      <c r="H24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2458)&amp;"|",All_Questions_Q_STREAM_F_wrapped)),1,0),0))*1</f>
        <v>1</v>
      </c>
    </row>
    <row r="2460">
      <c r="A2460" t="n">
        <v>2459</v>
      </c>
      <c r="B2460" t="inlineStr">
        <is>
          <t>A</t>
        </is>
      </c>
      <c r="C2460">
        <f>1</f>
        <v>1</v>
      </c>
      <c r="D2460">
        <f>IF(OR(F_Custom1_Q="(None)",F_Custom1_Q="",ISBLANK(F_Custom1_Q),F_Custom1_V="(All)",F_Custom1_V="",ISBLANK(F_Custom1_V)),1,IFERROR(IF(ISNUMBER(SEARCH("|"&amp;INDEX(INDIRECT(F_Custom1_resolved_column),2459)&amp;"|",F_Custom1_wrapped)),1,0),0))</f>
        <v>1</v>
      </c>
      <c r="E2460">
        <f>IF(OR(F_Custom2_Q="(None)",F_Custom2_Q="",ISBLANK(F_Custom2_Q),F_Custom2_V="(All)",F_Custom2_V="",ISBLANK(F_Custom2_V)),1,IFERROR(IF(ISNUMBER(SEARCH("|"&amp;INDEX(INDIRECT(F_Custom2_resolved_column),2459)&amp;"|",F_Custom2_wrapped)),1,0),0))</f>
        <v>1</v>
      </c>
      <c r="F2460">
        <f>D2460*E2460*1</f>
        <v>1</v>
      </c>
      <c r="G2460">
        <f>1</f>
        <v>1</v>
      </c>
      <c r="H24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2459)&amp;"|",All_Questions_Q_STREAM_F_wrapped)),1,0),0))*1</f>
        <v>1</v>
      </c>
    </row>
    <row r="2461">
      <c r="A2461" t="n">
        <v>2460</v>
      </c>
      <c r="B2461" t="inlineStr">
        <is>
          <t>B</t>
        </is>
      </c>
      <c r="C2461">
        <f>1</f>
        <v>1</v>
      </c>
      <c r="D2461">
        <f>IF(OR(F_Custom1_Q="(None)",F_Custom1_Q="",ISBLANK(F_Custom1_Q),F_Custom1_V="(All)",F_Custom1_V="",ISBLANK(F_Custom1_V)),1,IFERROR(IF(ISNUMBER(SEARCH("|"&amp;INDEX(INDIRECT(F_Custom1_resolved_column),2460)&amp;"|",F_Custom1_wrapped)),1,0),0))</f>
        <v>1</v>
      </c>
      <c r="E2461">
        <f>IF(OR(F_Custom2_Q="(None)",F_Custom2_Q="",ISBLANK(F_Custom2_Q),F_Custom2_V="(All)",F_Custom2_V="",ISBLANK(F_Custom2_V)),1,IFERROR(IF(ISNUMBER(SEARCH("|"&amp;INDEX(INDIRECT(F_Custom2_resolved_column),2460)&amp;"|",F_Custom2_wrapped)),1,0),0))</f>
        <v>1</v>
      </c>
      <c r="F2461">
        <f>D2461*E2461*1</f>
        <v>1</v>
      </c>
      <c r="G2461">
        <f>1</f>
        <v>1</v>
      </c>
      <c r="H24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2460)&amp;"|",All_Questions_Q_STREAM_F_wrapped)),1,0),0))*1</f>
        <v>1</v>
      </c>
    </row>
    <row r="2462">
      <c r="A2462" t="n">
        <v>2461</v>
      </c>
      <c r="B2462" t="inlineStr">
        <is>
          <t>A</t>
        </is>
      </c>
      <c r="C2462">
        <f>1</f>
        <v>1</v>
      </c>
      <c r="D2462">
        <f>IF(OR(F_Custom1_Q="(None)",F_Custom1_Q="",ISBLANK(F_Custom1_Q),F_Custom1_V="(All)",F_Custom1_V="",ISBLANK(F_Custom1_V)),1,IFERROR(IF(ISNUMBER(SEARCH("|"&amp;INDEX(INDIRECT(F_Custom1_resolved_column),2461)&amp;"|",F_Custom1_wrapped)),1,0),0))</f>
        <v>1</v>
      </c>
      <c r="E2462">
        <f>IF(OR(F_Custom2_Q="(None)",F_Custom2_Q="",ISBLANK(F_Custom2_Q),F_Custom2_V="(All)",F_Custom2_V="",ISBLANK(F_Custom2_V)),1,IFERROR(IF(ISNUMBER(SEARCH("|"&amp;INDEX(INDIRECT(F_Custom2_resolved_column),2461)&amp;"|",F_Custom2_wrapped)),1,0),0))</f>
        <v>1</v>
      </c>
      <c r="F2462">
        <f>D2462*E2462*1</f>
        <v>1</v>
      </c>
      <c r="G2462">
        <f>1</f>
        <v>1</v>
      </c>
      <c r="H24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2461)&amp;"|",All_Questions_Q_STREAM_F_wrapped)),1,0),0))*1</f>
        <v>1</v>
      </c>
    </row>
    <row r="2463">
      <c r="A2463" t="n">
        <v>2462</v>
      </c>
      <c r="B2463" t="inlineStr">
        <is>
          <t>B</t>
        </is>
      </c>
      <c r="C2463">
        <f>1</f>
        <v>1</v>
      </c>
      <c r="D2463">
        <f>IF(OR(F_Custom1_Q="(None)",F_Custom1_Q="",ISBLANK(F_Custom1_Q),F_Custom1_V="(All)",F_Custom1_V="",ISBLANK(F_Custom1_V)),1,IFERROR(IF(ISNUMBER(SEARCH("|"&amp;INDEX(INDIRECT(F_Custom1_resolved_column),2462)&amp;"|",F_Custom1_wrapped)),1,0),0))</f>
        <v>1</v>
      </c>
      <c r="E2463">
        <f>IF(OR(F_Custom2_Q="(None)",F_Custom2_Q="",ISBLANK(F_Custom2_Q),F_Custom2_V="(All)",F_Custom2_V="",ISBLANK(F_Custom2_V)),1,IFERROR(IF(ISNUMBER(SEARCH("|"&amp;INDEX(INDIRECT(F_Custom2_resolved_column),2462)&amp;"|",F_Custom2_wrapped)),1,0),0))</f>
        <v>1</v>
      </c>
      <c r="F2463">
        <f>D2463*E2463*1</f>
        <v>1</v>
      </c>
      <c r="G2463">
        <f>1</f>
        <v>1</v>
      </c>
      <c r="H24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2462)&amp;"|",All_Questions_Q_STREAM_F_wrapped)),1,0),0))*1</f>
        <v>1</v>
      </c>
    </row>
    <row r="2464">
      <c r="A2464" t="n">
        <v>2463</v>
      </c>
      <c r="B2464" t="inlineStr">
        <is>
          <t>A</t>
        </is>
      </c>
      <c r="C2464">
        <f>1</f>
        <v>1</v>
      </c>
      <c r="D2464">
        <f>IF(OR(F_Custom1_Q="(None)",F_Custom1_Q="",ISBLANK(F_Custom1_Q),F_Custom1_V="(All)",F_Custom1_V="",ISBLANK(F_Custom1_V)),1,IFERROR(IF(ISNUMBER(SEARCH("|"&amp;INDEX(INDIRECT(F_Custom1_resolved_column),2463)&amp;"|",F_Custom1_wrapped)),1,0),0))</f>
        <v>1</v>
      </c>
      <c r="E2464">
        <f>IF(OR(F_Custom2_Q="(None)",F_Custom2_Q="",ISBLANK(F_Custom2_Q),F_Custom2_V="(All)",F_Custom2_V="",ISBLANK(F_Custom2_V)),1,IFERROR(IF(ISNUMBER(SEARCH("|"&amp;INDEX(INDIRECT(F_Custom2_resolved_column),2463)&amp;"|",F_Custom2_wrapped)),1,0),0))</f>
        <v>1</v>
      </c>
      <c r="F2464">
        <f>D2464*E2464*1</f>
        <v>1</v>
      </c>
      <c r="G2464">
        <f>1</f>
        <v>1</v>
      </c>
      <c r="H24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2463)&amp;"|",All_Questions_Q_STREAM_F_wrapped)),1,0),0))*1</f>
        <v>1</v>
      </c>
    </row>
    <row r="2465">
      <c r="A2465" t="n">
        <v>2464</v>
      </c>
      <c r="B2465" t="inlineStr">
        <is>
          <t>B</t>
        </is>
      </c>
      <c r="C2465">
        <f>1</f>
        <v>1</v>
      </c>
      <c r="D2465">
        <f>IF(OR(F_Custom1_Q="(None)",F_Custom1_Q="",ISBLANK(F_Custom1_Q),F_Custom1_V="(All)",F_Custom1_V="",ISBLANK(F_Custom1_V)),1,IFERROR(IF(ISNUMBER(SEARCH("|"&amp;INDEX(INDIRECT(F_Custom1_resolved_column),2464)&amp;"|",F_Custom1_wrapped)),1,0),0))</f>
        <v>1</v>
      </c>
      <c r="E2465">
        <f>IF(OR(F_Custom2_Q="(None)",F_Custom2_Q="",ISBLANK(F_Custom2_Q),F_Custom2_V="(All)",F_Custom2_V="",ISBLANK(F_Custom2_V)),1,IFERROR(IF(ISNUMBER(SEARCH("|"&amp;INDEX(INDIRECT(F_Custom2_resolved_column),2464)&amp;"|",F_Custom2_wrapped)),1,0),0))</f>
        <v>1</v>
      </c>
      <c r="F2465">
        <f>D2465*E2465*1</f>
        <v>1</v>
      </c>
      <c r="G2465">
        <f>1</f>
        <v>1</v>
      </c>
      <c r="H24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2464)&amp;"|",All_Questions_Q_STREAM_F_wrapped)),1,0),0))*1</f>
        <v>1</v>
      </c>
    </row>
    <row r="2466">
      <c r="A2466" t="n">
        <v>2465</v>
      </c>
      <c r="B2466" t="inlineStr">
        <is>
          <t>A</t>
        </is>
      </c>
      <c r="C2466">
        <f>1</f>
        <v>1</v>
      </c>
      <c r="D2466">
        <f>IF(OR(F_Custom1_Q="(None)",F_Custom1_Q="",ISBLANK(F_Custom1_Q),F_Custom1_V="(All)",F_Custom1_V="",ISBLANK(F_Custom1_V)),1,IFERROR(IF(ISNUMBER(SEARCH("|"&amp;INDEX(INDIRECT(F_Custom1_resolved_column),2465)&amp;"|",F_Custom1_wrapped)),1,0),0))</f>
        <v>1</v>
      </c>
      <c r="E2466">
        <f>IF(OR(F_Custom2_Q="(None)",F_Custom2_Q="",ISBLANK(F_Custom2_Q),F_Custom2_V="(All)",F_Custom2_V="",ISBLANK(F_Custom2_V)),1,IFERROR(IF(ISNUMBER(SEARCH("|"&amp;INDEX(INDIRECT(F_Custom2_resolved_column),2465)&amp;"|",F_Custom2_wrapped)),1,0),0))</f>
        <v>1</v>
      </c>
      <c r="F2466">
        <f>D2466*E2466*1</f>
        <v>1</v>
      </c>
      <c r="G2466">
        <f>1</f>
        <v>1</v>
      </c>
      <c r="H24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2465)&amp;"|",All_Questions_Q_STREAM_F_wrapped)),1,0),0))*1</f>
        <v>1</v>
      </c>
    </row>
    <row r="2467">
      <c r="A2467" t="n">
        <v>2466</v>
      </c>
      <c r="B2467" t="inlineStr">
        <is>
          <t>B</t>
        </is>
      </c>
      <c r="C2467">
        <f>1</f>
        <v>1</v>
      </c>
      <c r="D2467">
        <f>IF(OR(F_Custom1_Q="(None)",F_Custom1_Q="",ISBLANK(F_Custom1_Q),F_Custom1_V="(All)",F_Custom1_V="",ISBLANK(F_Custom1_V)),1,IFERROR(IF(ISNUMBER(SEARCH("|"&amp;INDEX(INDIRECT(F_Custom1_resolved_column),2466)&amp;"|",F_Custom1_wrapped)),1,0),0))</f>
        <v>1</v>
      </c>
      <c r="E2467">
        <f>IF(OR(F_Custom2_Q="(None)",F_Custom2_Q="",ISBLANK(F_Custom2_Q),F_Custom2_V="(All)",F_Custom2_V="",ISBLANK(F_Custom2_V)),1,IFERROR(IF(ISNUMBER(SEARCH("|"&amp;INDEX(INDIRECT(F_Custom2_resolved_column),2466)&amp;"|",F_Custom2_wrapped)),1,0),0))</f>
        <v>1</v>
      </c>
      <c r="F2467">
        <f>D2467*E2467*1</f>
        <v>1</v>
      </c>
      <c r="G2467">
        <f>1</f>
        <v>1</v>
      </c>
      <c r="H24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2466)&amp;"|",All_Questions_Q_STREAM_F_wrapped)),1,0),0))*1</f>
        <v>1</v>
      </c>
    </row>
    <row r="2468">
      <c r="A2468" t="n">
        <v>2467</v>
      </c>
      <c r="B2468" t="inlineStr">
        <is>
          <t>A</t>
        </is>
      </c>
      <c r="C2468">
        <f>1</f>
        <v>1</v>
      </c>
      <c r="D2468">
        <f>IF(OR(F_Custom1_Q="(None)",F_Custom1_Q="",ISBLANK(F_Custom1_Q),F_Custom1_V="(All)",F_Custom1_V="",ISBLANK(F_Custom1_V)),1,IFERROR(IF(ISNUMBER(SEARCH("|"&amp;INDEX(INDIRECT(F_Custom1_resolved_column),2467)&amp;"|",F_Custom1_wrapped)),1,0),0))</f>
        <v>1</v>
      </c>
      <c r="E2468">
        <f>IF(OR(F_Custom2_Q="(None)",F_Custom2_Q="",ISBLANK(F_Custom2_Q),F_Custom2_V="(All)",F_Custom2_V="",ISBLANK(F_Custom2_V)),1,IFERROR(IF(ISNUMBER(SEARCH("|"&amp;INDEX(INDIRECT(F_Custom2_resolved_column),2467)&amp;"|",F_Custom2_wrapped)),1,0),0))</f>
        <v>1</v>
      </c>
      <c r="F2468">
        <f>D2468*E2468*1</f>
        <v>1</v>
      </c>
      <c r="G2468">
        <f>1</f>
        <v>1</v>
      </c>
      <c r="H24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2467)&amp;"|",All_Questions_Q_STREAM_F_wrapped)),1,0),0))*1</f>
        <v>1</v>
      </c>
    </row>
    <row r="2469">
      <c r="A2469" t="n">
        <v>2468</v>
      </c>
      <c r="B2469" t="inlineStr">
        <is>
          <t>B</t>
        </is>
      </c>
      <c r="C2469">
        <f>1</f>
        <v>1</v>
      </c>
      <c r="D2469">
        <f>IF(OR(F_Custom1_Q="(None)",F_Custom1_Q="",ISBLANK(F_Custom1_Q),F_Custom1_V="(All)",F_Custom1_V="",ISBLANK(F_Custom1_V)),1,IFERROR(IF(ISNUMBER(SEARCH("|"&amp;INDEX(INDIRECT(F_Custom1_resolved_column),2468)&amp;"|",F_Custom1_wrapped)),1,0),0))</f>
        <v>1</v>
      </c>
      <c r="E2469">
        <f>IF(OR(F_Custom2_Q="(None)",F_Custom2_Q="",ISBLANK(F_Custom2_Q),F_Custom2_V="(All)",F_Custom2_V="",ISBLANK(F_Custom2_V)),1,IFERROR(IF(ISNUMBER(SEARCH("|"&amp;INDEX(INDIRECT(F_Custom2_resolved_column),2468)&amp;"|",F_Custom2_wrapped)),1,0),0))</f>
        <v>1</v>
      </c>
      <c r="F2469">
        <f>D2469*E2469*1</f>
        <v>1</v>
      </c>
      <c r="G2469">
        <f>1</f>
        <v>1</v>
      </c>
      <c r="H24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2468)&amp;"|",All_Questions_Q_STREAM_F_wrapped)),1,0),0))*1</f>
        <v>1</v>
      </c>
    </row>
    <row r="2470">
      <c r="A2470" t="n">
        <v>2469</v>
      </c>
      <c r="B2470" t="inlineStr">
        <is>
          <t>A</t>
        </is>
      </c>
      <c r="C2470">
        <f>1</f>
        <v>1</v>
      </c>
      <c r="D2470">
        <f>IF(OR(F_Custom1_Q="(None)",F_Custom1_Q="",ISBLANK(F_Custom1_Q),F_Custom1_V="(All)",F_Custom1_V="",ISBLANK(F_Custom1_V)),1,IFERROR(IF(ISNUMBER(SEARCH("|"&amp;INDEX(INDIRECT(F_Custom1_resolved_column),2469)&amp;"|",F_Custom1_wrapped)),1,0),0))</f>
        <v>1</v>
      </c>
      <c r="E2470">
        <f>IF(OR(F_Custom2_Q="(None)",F_Custom2_Q="",ISBLANK(F_Custom2_Q),F_Custom2_V="(All)",F_Custom2_V="",ISBLANK(F_Custom2_V)),1,IFERROR(IF(ISNUMBER(SEARCH("|"&amp;INDEX(INDIRECT(F_Custom2_resolved_column),2469)&amp;"|",F_Custom2_wrapped)),1,0),0))</f>
        <v>1</v>
      </c>
      <c r="F2470">
        <f>D2470*E2470*1</f>
        <v>1</v>
      </c>
      <c r="G2470">
        <f>1</f>
        <v>1</v>
      </c>
      <c r="H24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2469)&amp;"|",All_Questions_Q_STREAM_F_wrapped)),1,0),0))*1</f>
        <v>1</v>
      </c>
    </row>
    <row r="2471">
      <c r="A2471" t="n">
        <v>2470</v>
      </c>
      <c r="B2471" t="inlineStr">
        <is>
          <t>B</t>
        </is>
      </c>
      <c r="C2471">
        <f>1</f>
        <v>1</v>
      </c>
      <c r="D2471">
        <f>IF(OR(F_Custom1_Q="(None)",F_Custom1_Q="",ISBLANK(F_Custom1_Q),F_Custom1_V="(All)",F_Custom1_V="",ISBLANK(F_Custom1_V)),1,IFERROR(IF(ISNUMBER(SEARCH("|"&amp;INDEX(INDIRECT(F_Custom1_resolved_column),2470)&amp;"|",F_Custom1_wrapped)),1,0),0))</f>
        <v>1</v>
      </c>
      <c r="E2471">
        <f>IF(OR(F_Custom2_Q="(None)",F_Custom2_Q="",ISBLANK(F_Custom2_Q),F_Custom2_V="(All)",F_Custom2_V="",ISBLANK(F_Custom2_V)),1,IFERROR(IF(ISNUMBER(SEARCH("|"&amp;INDEX(INDIRECT(F_Custom2_resolved_column),2470)&amp;"|",F_Custom2_wrapped)),1,0),0))</f>
        <v>1</v>
      </c>
      <c r="F2471">
        <f>D2471*E2471*1</f>
        <v>1</v>
      </c>
      <c r="G2471">
        <f>1</f>
        <v>1</v>
      </c>
      <c r="H24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2470)&amp;"|",All_Questions_Q_STREAM_F_wrapped)),1,0),0))*1</f>
        <v>1</v>
      </c>
    </row>
    <row r="2472">
      <c r="A2472" t="n">
        <v>2471</v>
      </c>
      <c r="B2472" t="inlineStr">
        <is>
          <t>A</t>
        </is>
      </c>
      <c r="C2472">
        <f>1</f>
        <v>1</v>
      </c>
      <c r="D2472">
        <f>IF(OR(F_Custom1_Q="(None)",F_Custom1_Q="",ISBLANK(F_Custom1_Q),F_Custom1_V="(All)",F_Custom1_V="",ISBLANK(F_Custom1_V)),1,IFERROR(IF(ISNUMBER(SEARCH("|"&amp;INDEX(INDIRECT(F_Custom1_resolved_column),2471)&amp;"|",F_Custom1_wrapped)),1,0),0))</f>
        <v>1</v>
      </c>
      <c r="E2472">
        <f>IF(OR(F_Custom2_Q="(None)",F_Custom2_Q="",ISBLANK(F_Custom2_Q),F_Custom2_V="(All)",F_Custom2_V="",ISBLANK(F_Custom2_V)),1,IFERROR(IF(ISNUMBER(SEARCH("|"&amp;INDEX(INDIRECT(F_Custom2_resolved_column),2471)&amp;"|",F_Custom2_wrapped)),1,0),0))</f>
        <v>1</v>
      </c>
      <c r="F2472">
        <f>D2472*E2472*1</f>
        <v>1</v>
      </c>
      <c r="G2472">
        <f>1</f>
        <v>1</v>
      </c>
      <c r="H24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2471)&amp;"|",All_Questions_Q_STREAM_F_wrapped)),1,0),0))*1</f>
        <v>1</v>
      </c>
    </row>
    <row r="2473">
      <c r="A2473" t="n">
        <v>2472</v>
      </c>
      <c r="B2473" t="inlineStr">
        <is>
          <t>B</t>
        </is>
      </c>
      <c r="C2473">
        <f>1</f>
        <v>1</v>
      </c>
      <c r="D2473">
        <f>IF(OR(F_Custom1_Q="(None)",F_Custom1_Q="",ISBLANK(F_Custom1_Q),F_Custom1_V="(All)",F_Custom1_V="",ISBLANK(F_Custom1_V)),1,IFERROR(IF(ISNUMBER(SEARCH("|"&amp;INDEX(INDIRECT(F_Custom1_resolved_column),2472)&amp;"|",F_Custom1_wrapped)),1,0),0))</f>
        <v>1</v>
      </c>
      <c r="E2473">
        <f>IF(OR(F_Custom2_Q="(None)",F_Custom2_Q="",ISBLANK(F_Custom2_Q),F_Custom2_V="(All)",F_Custom2_V="",ISBLANK(F_Custom2_V)),1,IFERROR(IF(ISNUMBER(SEARCH("|"&amp;INDEX(INDIRECT(F_Custom2_resolved_column),2472)&amp;"|",F_Custom2_wrapped)),1,0),0))</f>
        <v>1</v>
      </c>
      <c r="F2473">
        <f>D2473*E2473*1</f>
        <v>1</v>
      </c>
      <c r="G2473">
        <f>1</f>
        <v>1</v>
      </c>
      <c r="H24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2472)&amp;"|",All_Questions_Q_STREAM_F_wrapped)),1,0),0))*1</f>
        <v>1</v>
      </c>
    </row>
    <row r="2474">
      <c r="A2474" t="n">
        <v>2473</v>
      </c>
      <c r="B2474" t="inlineStr">
        <is>
          <t>A</t>
        </is>
      </c>
      <c r="C2474">
        <f>1</f>
        <v>1</v>
      </c>
      <c r="D2474">
        <f>IF(OR(F_Custom1_Q="(None)",F_Custom1_Q="",ISBLANK(F_Custom1_Q),F_Custom1_V="(All)",F_Custom1_V="",ISBLANK(F_Custom1_V)),1,IFERROR(IF(ISNUMBER(SEARCH("|"&amp;INDEX(INDIRECT(F_Custom1_resolved_column),2473)&amp;"|",F_Custom1_wrapped)),1,0),0))</f>
        <v>1</v>
      </c>
      <c r="E2474">
        <f>IF(OR(F_Custom2_Q="(None)",F_Custom2_Q="",ISBLANK(F_Custom2_Q),F_Custom2_V="(All)",F_Custom2_V="",ISBLANK(F_Custom2_V)),1,IFERROR(IF(ISNUMBER(SEARCH("|"&amp;INDEX(INDIRECT(F_Custom2_resolved_column),2473)&amp;"|",F_Custom2_wrapped)),1,0),0))</f>
        <v>1</v>
      </c>
      <c r="F2474">
        <f>D2474*E2474*1</f>
        <v>1</v>
      </c>
      <c r="G2474">
        <f>1</f>
        <v>1</v>
      </c>
      <c r="H24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2473)&amp;"|",All_Questions_Q_STREAM_F_wrapped)),1,0),0))*1</f>
        <v>1</v>
      </c>
    </row>
    <row r="2475">
      <c r="A2475" t="n">
        <v>2474</v>
      </c>
      <c r="B2475" t="inlineStr">
        <is>
          <t>B</t>
        </is>
      </c>
      <c r="C2475">
        <f>1</f>
        <v>1</v>
      </c>
      <c r="D2475">
        <f>IF(OR(F_Custom1_Q="(None)",F_Custom1_Q="",ISBLANK(F_Custom1_Q),F_Custom1_V="(All)",F_Custom1_V="",ISBLANK(F_Custom1_V)),1,IFERROR(IF(ISNUMBER(SEARCH("|"&amp;INDEX(INDIRECT(F_Custom1_resolved_column),2474)&amp;"|",F_Custom1_wrapped)),1,0),0))</f>
        <v>1</v>
      </c>
      <c r="E2475">
        <f>IF(OR(F_Custom2_Q="(None)",F_Custom2_Q="",ISBLANK(F_Custom2_Q),F_Custom2_V="(All)",F_Custom2_V="",ISBLANK(F_Custom2_V)),1,IFERROR(IF(ISNUMBER(SEARCH("|"&amp;INDEX(INDIRECT(F_Custom2_resolved_column),2474)&amp;"|",F_Custom2_wrapped)),1,0),0))</f>
        <v>1</v>
      </c>
      <c r="F2475">
        <f>D2475*E2475*1</f>
        <v>1</v>
      </c>
      <c r="G2475">
        <f>1</f>
        <v>1</v>
      </c>
      <c r="H24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2474)&amp;"|",All_Questions_Q_STREAM_F_wrapped)),1,0),0))*1</f>
        <v>1</v>
      </c>
    </row>
    <row r="2476">
      <c r="A2476" t="n">
        <v>2475</v>
      </c>
      <c r="B2476" t="inlineStr">
        <is>
          <t>A</t>
        </is>
      </c>
      <c r="C2476">
        <f>1</f>
        <v>1</v>
      </c>
      <c r="D2476">
        <f>IF(OR(F_Custom1_Q="(None)",F_Custom1_Q="",ISBLANK(F_Custom1_Q),F_Custom1_V="(All)",F_Custom1_V="",ISBLANK(F_Custom1_V)),1,IFERROR(IF(ISNUMBER(SEARCH("|"&amp;INDEX(INDIRECT(F_Custom1_resolved_column),2475)&amp;"|",F_Custom1_wrapped)),1,0),0))</f>
        <v>1</v>
      </c>
      <c r="E2476">
        <f>IF(OR(F_Custom2_Q="(None)",F_Custom2_Q="",ISBLANK(F_Custom2_Q),F_Custom2_V="(All)",F_Custom2_V="",ISBLANK(F_Custom2_V)),1,IFERROR(IF(ISNUMBER(SEARCH("|"&amp;INDEX(INDIRECT(F_Custom2_resolved_column),2475)&amp;"|",F_Custom2_wrapped)),1,0),0))</f>
        <v>1</v>
      </c>
      <c r="F2476">
        <f>D2476*E2476*1</f>
        <v>1</v>
      </c>
      <c r="G2476">
        <f>1</f>
        <v>1</v>
      </c>
      <c r="H24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2475)&amp;"|",All_Questions_Q_STREAM_F_wrapped)),1,0),0))*1</f>
        <v>1</v>
      </c>
    </row>
    <row r="2477">
      <c r="A2477" t="n">
        <v>2476</v>
      </c>
      <c r="B2477" t="inlineStr">
        <is>
          <t>B</t>
        </is>
      </c>
      <c r="C2477">
        <f>1</f>
        <v>1</v>
      </c>
      <c r="D2477">
        <f>IF(OR(F_Custom1_Q="(None)",F_Custom1_Q="",ISBLANK(F_Custom1_Q),F_Custom1_V="(All)",F_Custom1_V="",ISBLANK(F_Custom1_V)),1,IFERROR(IF(ISNUMBER(SEARCH("|"&amp;INDEX(INDIRECT(F_Custom1_resolved_column),2476)&amp;"|",F_Custom1_wrapped)),1,0),0))</f>
        <v>1</v>
      </c>
      <c r="E2477">
        <f>IF(OR(F_Custom2_Q="(None)",F_Custom2_Q="",ISBLANK(F_Custom2_Q),F_Custom2_V="(All)",F_Custom2_V="",ISBLANK(F_Custom2_V)),1,IFERROR(IF(ISNUMBER(SEARCH("|"&amp;INDEX(INDIRECT(F_Custom2_resolved_column),2476)&amp;"|",F_Custom2_wrapped)),1,0),0))</f>
        <v>1</v>
      </c>
      <c r="F2477">
        <f>D2477*E2477*1</f>
        <v>1</v>
      </c>
      <c r="G2477">
        <f>1</f>
        <v>1</v>
      </c>
      <c r="H24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2476)&amp;"|",All_Questions_Q_STREAM_F_wrapped)),1,0),0))*1</f>
        <v>1</v>
      </c>
    </row>
    <row r="2478">
      <c r="A2478" t="n">
        <v>2477</v>
      </c>
      <c r="B2478" t="inlineStr">
        <is>
          <t>A</t>
        </is>
      </c>
      <c r="C2478">
        <f>1</f>
        <v>1</v>
      </c>
      <c r="D2478">
        <f>IF(OR(F_Custom1_Q="(None)",F_Custom1_Q="",ISBLANK(F_Custom1_Q),F_Custom1_V="(All)",F_Custom1_V="",ISBLANK(F_Custom1_V)),1,IFERROR(IF(ISNUMBER(SEARCH("|"&amp;INDEX(INDIRECT(F_Custom1_resolved_column),2477)&amp;"|",F_Custom1_wrapped)),1,0),0))</f>
        <v>1</v>
      </c>
      <c r="E2478">
        <f>IF(OR(F_Custom2_Q="(None)",F_Custom2_Q="",ISBLANK(F_Custom2_Q),F_Custom2_V="(All)",F_Custom2_V="",ISBLANK(F_Custom2_V)),1,IFERROR(IF(ISNUMBER(SEARCH("|"&amp;INDEX(INDIRECT(F_Custom2_resolved_column),2477)&amp;"|",F_Custom2_wrapped)),1,0),0))</f>
        <v>1</v>
      </c>
      <c r="F2478">
        <f>D2478*E2478*1</f>
        <v>1</v>
      </c>
      <c r="G2478">
        <f>1</f>
        <v>1</v>
      </c>
      <c r="H24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2477)&amp;"|",All_Questions_Q_STREAM_F_wrapped)),1,0),0))*1</f>
        <v>1</v>
      </c>
    </row>
    <row r="2479">
      <c r="A2479" t="n">
        <v>2478</v>
      </c>
      <c r="B2479" t="inlineStr">
        <is>
          <t>B</t>
        </is>
      </c>
      <c r="C2479">
        <f>1</f>
        <v>1</v>
      </c>
      <c r="D2479">
        <f>IF(OR(F_Custom1_Q="(None)",F_Custom1_Q="",ISBLANK(F_Custom1_Q),F_Custom1_V="(All)",F_Custom1_V="",ISBLANK(F_Custom1_V)),1,IFERROR(IF(ISNUMBER(SEARCH("|"&amp;INDEX(INDIRECT(F_Custom1_resolved_column),2478)&amp;"|",F_Custom1_wrapped)),1,0),0))</f>
        <v>1</v>
      </c>
      <c r="E2479">
        <f>IF(OR(F_Custom2_Q="(None)",F_Custom2_Q="",ISBLANK(F_Custom2_Q),F_Custom2_V="(All)",F_Custom2_V="",ISBLANK(F_Custom2_V)),1,IFERROR(IF(ISNUMBER(SEARCH("|"&amp;INDEX(INDIRECT(F_Custom2_resolved_column),2478)&amp;"|",F_Custom2_wrapped)),1,0),0))</f>
        <v>1</v>
      </c>
      <c r="F2479">
        <f>D2479*E2479*1</f>
        <v>1</v>
      </c>
      <c r="G2479">
        <f>1</f>
        <v>1</v>
      </c>
      <c r="H24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2478)&amp;"|",All_Questions_Q_STREAM_F_wrapped)),1,0),0))*1</f>
        <v>1</v>
      </c>
    </row>
    <row r="2480">
      <c r="A2480" t="n">
        <v>2479</v>
      </c>
      <c r="B2480" t="inlineStr">
        <is>
          <t>A</t>
        </is>
      </c>
      <c r="C2480">
        <f>1</f>
        <v>1</v>
      </c>
      <c r="D2480">
        <f>IF(OR(F_Custom1_Q="(None)",F_Custom1_Q="",ISBLANK(F_Custom1_Q),F_Custom1_V="(All)",F_Custom1_V="",ISBLANK(F_Custom1_V)),1,IFERROR(IF(ISNUMBER(SEARCH("|"&amp;INDEX(INDIRECT(F_Custom1_resolved_column),2479)&amp;"|",F_Custom1_wrapped)),1,0),0))</f>
        <v>1</v>
      </c>
      <c r="E2480">
        <f>IF(OR(F_Custom2_Q="(None)",F_Custom2_Q="",ISBLANK(F_Custom2_Q),F_Custom2_V="(All)",F_Custom2_V="",ISBLANK(F_Custom2_V)),1,IFERROR(IF(ISNUMBER(SEARCH("|"&amp;INDEX(INDIRECT(F_Custom2_resolved_column),2479)&amp;"|",F_Custom2_wrapped)),1,0),0))</f>
        <v>1</v>
      </c>
      <c r="F2480">
        <f>D2480*E2480*1</f>
        <v>1</v>
      </c>
      <c r="G2480">
        <f>1</f>
        <v>1</v>
      </c>
      <c r="H24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2479)&amp;"|",All_Questions_Q_STREAM_F_wrapped)),1,0),0))*1</f>
        <v>1</v>
      </c>
    </row>
    <row r="2481">
      <c r="A2481" t="n">
        <v>2480</v>
      </c>
      <c r="B2481" t="inlineStr">
        <is>
          <t>B</t>
        </is>
      </c>
      <c r="C2481">
        <f>1</f>
        <v>1</v>
      </c>
      <c r="D2481">
        <f>IF(OR(F_Custom1_Q="(None)",F_Custom1_Q="",ISBLANK(F_Custom1_Q),F_Custom1_V="(All)",F_Custom1_V="",ISBLANK(F_Custom1_V)),1,IFERROR(IF(ISNUMBER(SEARCH("|"&amp;INDEX(INDIRECT(F_Custom1_resolved_column),2480)&amp;"|",F_Custom1_wrapped)),1,0),0))</f>
        <v>1</v>
      </c>
      <c r="E2481">
        <f>IF(OR(F_Custom2_Q="(None)",F_Custom2_Q="",ISBLANK(F_Custom2_Q),F_Custom2_V="(All)",F_Custom2_V="",ISBLANK(F_Custom2_V)),1,IFERROR(IF(ISNUMBER(SEARCH("|"&amp;INDEX(INDIRECT(F_Custom2_resolved_column),2480)&amp;"|",F_Custom2_wrapped)),1,0),0))</f>
        <v>1</v>
      </c>
      <c r="F2481">
        <f>D2481*E2481*1</f>
        <v>1</v>
      </c>
      <c r="G2481">
        <f>1</f>
        <v>1</v>
      </c>
      <c r="H24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2480)&amp;"|",All_Questions_Q_STREAM_F_wrapped)),1,0),0))*1</f>
        <v>1</v>
      </c>
    </row>
    <row r="2482">
      <c r="A2482" t="n">
        <v>2481</v>
      </c>
      <c r="B2482" t="inlineStr">
        <is>
          <t>A</t>
        </is>
      </c>
      <c r="C2482">
        <f>1</f>
        <v>1</v>
      </c>
      <c r="D2482">
        <f>IF(OR(F_Custom1_Q="(None)",F_Custom1_Q="",ISBLANK(F_Custom1_Q),F_Custom1_V="(All)",F_Custom1_V="",ISBLANK(F_Custom1_V)),1,IFERROR(IF(ISNUMBER(SEARCH("|"&amp;INDEX(INDIRECT(F_Custom1_resolved_column),2481)&amp;"|",F_Custom1_wrapped)),1,0),0))</f>
        <v>1</v>
      </c>
      <c r="E2482">
        <f>IF(OR(F_Custom2_Q="(None)",F_Custom2_Q="",ISBLANK(F_Custom2_Q),F_Custom2_V="(All)",F_Custom2_V="",ISBLANK(F_Custom2_V)),1,IFERROR(IF(ISNUMBER(SEARCH("|"&amp;INDEX(INDIRECT(F_Custom2_resolved_column),2481)&amp;"|",F_Custom2_wrapped)),1,0),0))</f>
        <v>1</v>
      </c>
      <c r="F2482">
        <f>D2482*E2482*1</f>
        <v>1</v>
      </c>
      <c r="G2482">
        <f>1</f>
        <v>1</v>
      </c>
      <c r="H24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2481)&amp;"|",All_Questions_Q_STREAM_F_wrapped)),1,0),0))*1</f>
        <v>1</v>
      </c>
    </row>
    <row r="2483">
      <c r="A2483" t="n">
        <v>2482</v>
      </c>
      <c r="B2483" t="inlineStr">
        <is>
          <t>B</t>
        </is>
      </c>
      <c r="C2483">
        <f>1</f>
        <v>1</v>
      </c>
      <c r="D2483">
        <f>IF(OR(F_Custom1_Q="(None)",F_Custom1_Q="",ISBLANK(F_Custom1_Q),F_Custom1_V="(All)",F_Custom1_V="",ISBLANK(F_Custom1_V)),1,IFERROR(IF(ISNUMBER(SEARCH("|"&amp;INDEX(INDIRECT(F_Custom1_resolved_column),2482)&amp;"|",F_Custom1_wrapped)),1,0),0))</f>
        <v>1</v>
      </c>
      <c r="E2483">
        <f>IF(OR(F_Custom2_Q="(None)",F_Custom2_Q="",ISBLANK(F_Custom2_Q),F_Custom2_V="(All)",F_Custom2_V="",ISBLANK(F_Custom2_V)),1,IFERROR(IF(ISNUMBER(SEARCH("|"&amp;INDEX(INDIRECT(F_Custom2_resolved_column),2482)&amp;"|",F_Custom2_wrapped)),1,0),0))</f>
        <v>1</v>
      </c>
      <c r="F2483">
        <f>D2483*E2483*1</f>
        <v>1</v>
      </c>
      <c r="G2483">
        <f>1</f>
        <v>1</v>
      </c>
      <c r="H24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2482)&amp;"|",All_Questions_Q_STREAM_F_wrapped)),1,0),0))*1</f>
        <v>1</v>
      </c>
    </row>
    <row r="2484">
      <c r="A2484" t="n">
        <v>2483</v>
      </c>
      <c r="B2484" t="inlineStr">
        <is>
          <t>A</t>
        </is>
      </c>
      <c r="C2484">
        <f>1</f>
        <v>1</v>
      </c>
      <c r="D2484">
        <f>IF(OR(F_Custom1_Q="(None)",F_Custom1_Q="",ISBLANK(F_Custom1_Q),F_Custom1_V="(All)",F_Custom1_V="",ISBLANK(F_Custom1_V)),1,IFERROR(IF(ISNUMBER(SEARCH("|"&amp;INDEX(INDIRECT(F_Custom1_resolved_column),2483)&amp;"|",F_Custom1_wrapped)),1,0),0))</f>
        <v>1</v>
      </c>
      <c r="E2484">
        <f>IF(OR(F_Custom2_Q="(None)",F_Custom2_Q="",ISBLANK(F_Custom2_Q),F_Custom2_V="(All)",F_Custom2_V="",ISBLANK(F_Custom2_V)),1,IFERROR(IF(ISNUMBER(SEARCH("|"&amp;INDEX(INDIRECT(F_Custom2_resolved_column),2483)&amp;"|",F_Custom2_wrapped)),1,0),0))</f>
        <v>1</v>
      </c>
      <c r="F2484">
        <f>D2484*E2484*1</f>
        <v>1</v>
      </c>
      <c r="G2484">
        <f>1</f>
        <v>1</v>
      </c>
      <c r="H24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2483)&amp;"|",All_Questions_Q_STREAM_F_wrapped)),1,0),0))*1</f>
        <v>1</v>
      </c>
    </row>
    <row r="2485">
      <c r="A2485" t="n">
        <v>2484</v>
      </c>
      <c r="B2485" t="inlineStr">
        <is>
          <t>B</t>
        </is>
      </c>
      <c r="C2485">
        <f>1</f>
        <v>1</v>
      </c>
      <c r="D2485">
        <f>IF(OR(F_Custom1_Q="(None)",F_Custom1_Q="",ISBLANK(F_Custom1_Q),F_Custom1_V="(All)",F_Custom1_V="",ISBLANK(F_Custom1_V)),1,IFERROR(IF(ISNUMBER(SEARCH("|"&amp;INDEX(INDIRECT(F_Custom1_resolved_column),2484)&amp;"|",F_Custom1_wrapped)),1,0),0))</f>
        <v>1</v>
      </c>
      <c r="E2485">
        <f>IF(OR(F_Custom2_Q="(None)",F_Custom2_Q="",ISBLANK(F_Custom2_Q),F_Custom2_V="(All)",F_Custom2_V="",ISBLANK(F_Custom2_V)),1,IFERROR(IF(ISNUMBER(SEARCH("|"&amp;INDEX(INDIRECT(F_Custom2_resolved_column),2484)&amp;"|",F_Custom2_wrapped)),1,0),0))</f>
        <v>1</v>
      </c>
      <c r="F2485">
        <f>D2485*E2485*1</f>
        <v>1</v>
      </c>
      <c r="G2485">
        <f>1</f>
        <v>1</v>
      </c>
      <c r="H24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2484)&amp;"|",All_Questions_Q_STREAM_F_wrapped)),1,0),0))*1</f>
        <v>1</v>
      </c>
    </row>
    <row r="2486">
      <c r="A2486" t="n">
        <v>2485</v>
      </c>
      <c r="B2486" t="inlineStr">
        <is>
          <t>A</t>
        </is>
      </c>
      <c r="C2486">
        <f>1</f>
        <v>1</v>
      </c>
      <c r="D2486">
        <f>IF(OR(F_Custom1_Q="(None)",F_Custom1_Q="",ISBLANK(F_Custom1_Q),F_Custom1_V="(All)",F_Custom1_V="",ISBLANK(F_Custom1_V)),1,IFERROR(IF(ISNUMBER(SEARCH("|"&amp;INDEX(INDIRECT(F_Custom1_resolved_column),2485)&amp;"|",F_Custom1_wrapped)),1,0),0))</f>
        <v>1</v>
      </c>
      <c r="E2486">
        <f>IF(OR(F_Custom2_Q="(None)",F_Custom2_Q="",ISBLANK(F_Custom2_Q),F_Custom2_V="(All)",F_Custom2_V="",ISBLANK(F_Custom2_V)),1,IFERROR(IF(ISNUMBER(SEARCH("|"&amp;INDEX(INDIRECT(F_Custom2_resolved_column),2485)&amp;"|",F_Custom2_wrapped)),1,0),0))</f>
        <v>1</v>
      </c>
      <c r="F2486">
        <f>D2486*E2486*1</f>
        <v>1</v>
      </c>
      <c r="G2486">
        <f>1</f>
        <v>1</v>
      </c>
      <c r="H24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2485)&amp;"|",All_Questions_Q_STREAM_F_wrapped)),1,0),0))*1</f>
        <v>1</v>
      </c>
    </row>
    <row r="2487">
      <c r="A2487" t="n">
        <v>2486</v>
      </c>
      <c r="B2487" t="inlineStr">
        <is>
          <t>B</t>
        </is>
      </c>
      <c r="C2487">
        <f>1</f>
        <v>1</v>
      </c>
      <c r="D2487">
        <f>IF(OR(F_Custom1_Q="(None)",F_Custom1_Q="",ISBLANK(F_Custom1_Q),F_Custom1_V="(All)",F_Custom1_V="",ISBLANK(F_Custom1_V)),1,IFERROR(IF(ISNUMBER(SEARCH("|"&amp;INDEX(INDIRECT(F_Custom1_resolved_column),2486)&amp;"|",F_Custom1_wrapped)),1,0),0))</f>
        <v>1</v>
      </c>
      <c r="E2487">
        <f>IF(OR(F_Custom2_Q="(None)",F_Custom2_Q="",ISBLANK(F_Custom2_Q),F_Custom2_V="(All)",F_Custom2_V="",ISBLANK(F_Custom2_V)),1,IFERROR(IF(ISNUMBER(SEARCH("|"&amp;INDEX(INDIRECT(F_Custom2_resolved_column),2486)&amp;"|",F_Custom2_wrapped)),1,0),0))</f>
        <v>1</v>
      </c>
      <c r="F2487">
        <f>D2487*E2487*1</f>
        <v>1</v>
      </c>
      <c r="G2487">
        <f>1</f>
        <v>1</v>
      </c>
      <c r="H24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2486)&amp;"|",All_Questions_Q_STREAM_F_wrapped)),1,0),0))*1</f>
        <v>1</v>
      </c>
    </row>
    <row r="2488">
      <c r="A2488" t="n">
        <v>2487</v>
      </c>
      <c r="B2488" t="inlineStr">
        <is>
          <t>A</t>
        </is>
      </c>
      <c r="C2488">
        <f>1</f>
        <v>1</v>
      </c>
      <c r="D2488">
        <f>IF(OR(F_Custom1_Q="(None)",F_Custom1_Q="",ISBLANK(F_Custom1_Q),F_Custom1_V="(All)",F_Custom1_V="",ISBLANK(F_Custom1_V)),1,IFERROR(IF(ISNUMBER(SEARCH("|"&amp;INDEX(INDIRECT(F_Custom1_resolved_column),2487)&amp;"|",F_Custom1_wrapped)),1,0),0))</f>
        <v>1</v>
      </c>
      <c r="E2488">
        <f>IF(OR(F_Custom2_Q="(None)",F_Custom2_Q="",ISBLANK(F_Custom2_Q),F_Custom2_V="(All)",F_Custom2_V="",ISBLANK(F_Custom2_V)),1,IFERROR(IF(ISNUMBER(SEARCH("|"&amp;INDEX(INDIRECT(F_Custom2_resolved_column),2487)&amp;"|",F_Custom2_wrapped)),1,0),0))</f>
        <v>1</v>
      </c>
      <c r="F2488">
        <f>D2488*E2488*1</f>
        <v>1</v>
      </c>
      <c r="G2488">
        <f>1</f>
        <v>1</v>
      </c>
      <c r="H24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2487)&amp;"|",All_Questions_Q_STREAM_F_wrapped)),1,0),0))*1</f>
        <v>1</v>
      </c>
    </row>
    <row r="2489">
      <c r="A2489" t="n">
        <v>2488</v>
      </c>
      <c r="B2489" t="inlineStr">
        <is>
          <t>B</t>
        </is>
      </c>
      <c r="C2489">
        <f>1</f>
        <v>1</v>
      </c>
      <c r="D2489">
        <f>IF(OR(F_Custom1_Q="(None)",F_Custom1_Q="",ISBLANK(F_Custom1_Q),F_Custom1_V="(All)",F_Custom1_V="",ISBLANK(F_Custom1_V)),1,IFERROR(IF(ISNUMBER(SEARCH("|"&amp;INDEX(INDIRECT(F_Custom1_resolved_column),2488)&amp;"|",F_Custom1_wrapped)),1,0),0))</f>
        <v>1</v>
      </c>
      <c r="E2489">
        <f>IF(OR(F_Custom2_Q="(None)",F_Custom2_Q="",ISBLANK(F_Custom2_Q),F_Custom2_V="(All)",F_Custom2_V="",ISBLANK(F_Custom2_V)),1,IFERROR(IF(ISNUMBER(SEARCH("|"&amp;INDEX(INDIRECT(F_Custom2_resolved_column),2488)&amp;"|",F_Custom2_wrapped)),1,0),0))</f>
        <v>1</v>
      </c>
      <c r="F2489">
        <f>D2489*E2489*1</f>
        <v>1</v>
      </c>
      <c r="G2489">
        <f>1</f>
        <v>1</v>
      </c>
      <c r="H24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2488)&amp;"|",All_Questions_Q_STREAM_F_wrapped)),1,0),0))*1</f>
        <v>1</v>
      </c>
    </row>
    <row r="2490">
      <c r="A2490" t="n">
        <v>2489</v>
      </c>
      <c r="B2490" t="inlineStr">
        <is>
          <t>A</t>
        </is>
      </c>
      <c r="C2490">
        <f>1</f>
        <v>1</v>
      </c>
      <c r="D2490">
        <f>IF(OR(F_Custom1_Q="(None)",F_Custom1_Q="",ISBLANK(F_Custom1_Q),F_Custom1_V="(All)",F_Custom1_V="",ISBLANK(F_Custom1_V)),1,IFERROR(IF(ISNUMBER(SEARCH("|"&amp;INDEX(INDIRECT(F_Custom1_resolved_column),2489)&amp;"|",F_Custom1_wrapped)),1,0),0))</f>
        <v>1</v>
      </c>
      <c r="E2490">
        <f>IF(OR(F_Custom2_Q="(None)",F_Custom2_Q="",ISBLANK(F_Custom2_Q),F_Custom2_V="(All)",F_Custom2_V="",ISBLANK(F_Custom2_V)),1,IFERROR(IF(ISNUMBER(SEARCH("|"&amp;INDEX(INDIRECT(F_Custom2_resolved_column),2489)&amp;"|",F_Custom2_wrapped)),1,0),0))</f>
        <v>1</v>
      </c>
      <c r="F2490">
        <f>D2490*E2490*1</f>
        <v>1</v>
      </c>
      <c r="G2490">
        <f>1</f>
        <v>1</v>
      </c>
      <c r="H24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2489)&amp;"|",All_Questions_Q_STREAM_F_wrapped)),1,0),0))*1</f>
        <v>1</v>
      </c>
    </row>
    <row r="2491">
      <c r="A2491" t="n">
        <v>2490</v>
      </c>
      <c r="B2491" t="inlineStr">
        <is>
          <t>B</t>
        </is>
      </c>
      <c r="C2491">
        <f>1</f>
        <v>1</v>
      </c>
      <c r="D2491">
        <f>IF(OR(F_Custom1_Q="(None)",F_Custom1_Q="",ISBLANK(F_Custom1_Q),F_Custom1_V="(All)",F_Custom1_V="",ISBLANK(F_Custom1_V)),1,IFERROR(IF(ISNUMBER(SEARCH("|"&amp;INDEX(INDIRECT(F_Custom1_resolved_column),2490)&amp;"|",F_Custom1_wrapped)),1,0),0))</f>
        <v>1</v>
      </c>
      <c r="E2491">
        <f>IF(OR(F_Custom2_Q="(None)",F_Custom2_Q="",ISBLANK(F_Custom2_Q),F_Custom2_V="(All)",F_Custom2_V="",ISBLANK(F_Custom2_V)),1,IFERROR(IF(ISNUMBER(SEARCH("|"&amp;INDEX(INDIRECT(F_Custom2_resolved_column),2490)&amp;"|",F_Custom2_wrapped)),1,0),0))</f>
        <v>1</v>
      </c>
      <c r="F2491">
        <f>D2491*E2491*1</f>
        <v>1</v>
      </c>
      <c r="G2491">
        <f>1</f>
        <v>1</v>
      </c>
      <c r="H24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2490)&amp;"|",All_Questions_Q_STREAM_F_wrapped)),1,0),0))*1</f>
        <v>1</v>
      </c>
    </row>
    <row r="2492">
      <c r="A2492" t="n">
        <v>2491</v>
      </c>
      <c r="B2492" t="inlineStr">
        <is>
          <t>A</t>
        </is>
      </c>
      <c r="C2492">
        <f>1</f>
        <v>1</v>
      </c>
      <c r="D2492">
        <f>IF(OR(F_Custom1_Q="(None)",F_Custom1_Q="",ISBLANK(F_Custom1_Q),F_Custom1_V="(All)",F_Custom1_V="",ISBLANK(F_Custom1_V)),1,IFERROR(IF(ISNUMBER(SEARCH("|"&amp;INDEX(INDIRECT(F_Custom1_resolved_column),2491)&amp;"|",F_Custom1_wrapped)),1,0),0))</f>
        <v>1</v>
      </c>
      <c r="E2492">
        <f>IF(OR(F_Custom2_Q="(None)",F_Custom2_Q="",ISBLANK(F_Custom2_Q),F_Custom2_V="(All)",F_Custom2_V="",ISBLANK(F_Custom2_V)),1,IFERROR(IF(ISNUMBER(SEARCH("|"&amp;INDEX(INDIRECT(F_Custom2_resolved_column),2491)&amp;"|",F_Custom2_wrapped)),1,0),0))</f>
        <v>1</v>
      </c>
      <c r="F2492">
        <f>D2492*E2492*1</f>
        <v>1</v>
      </c>
      <c r="G2492">
        <f>1</f>
        <v>1</v>
      </c>
      <c r="H24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2491)&amp;"|",All_Questions_Q_STREAM_F_wrapped)),1,0),0))*1</f>
        <v>1</v>
      </c>
    </row>
    <row r="2493">
      <c r="A2493" t="n">
        <v>2492</v>
      </c>
      <c r="B2493" t="inlineStr">
        <is>
          <t>B</t>
        </is>
      </c>
      <c r="C2493">
        <f>1</f>
        <v>1</v>
      </c>
      <c r="D2493">
        <f>IF(OR(F_Custom1_Q="(None)",F_Custom1_Q="",ISBLANK(F_Custom1_Q),F_Custom1_V="(All)",F_Custom1_V="",ISBLANK(F_Custom1_V)),1,IFERROR(IF(ISNUMBER(SEARCH("|"&amp;INDEX(INDIRECT(F_Custom1_resolved_column),2492)&amp;"|",F_Custom1_wrapped)),1,0),0))</f>
        <v>1</v>
      </c>
      <c r="E2493">
        <f>IF(OR(F_Custom2_Q="(None)",F_Custom2_Q="",ISBLANK(F_Custom2_Q),F_Custom2_V="(All)",F_Custom2_V="",ISBLANK(F_Custom2_V)),1,IFERROR(IF(ISNUMBER(SEARCH("|"&amp;INDEX(INDIRECT(F_Custom2_resolved_column),2492)&amp;"|",F_Custom2_wrapped)),1,0),0))</f>
        <v>1</v>
      </c>
      <c r="F2493">
        <f>D2493*E2493*1</f>
        <v>1</v>
      </c>
      <c r="G2493">
        <f>1</f>
        <v>1</v>
      </c>
      <c r="H24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2492)&amp;"|",All_Questions_Q_STREAM_F_wrapped)),1,0),0))*1</f>
        <v>1</v>
      </c>
    </row>
    <row r="2494">
      <c r="A2494" t="n">
        <v>2493</v>
      </c>
      <c r="B2494" t="inlineStr">
        <is>
          <t>A</t>
        </is>
      </c>
      <c r="C2494">
        <f>1</f>
        <v>1</v>
      </c>
      <c r="D2494">
        <f>IF(OR(F_Custom1_Q="(None)",F_Custom1_Q="",ISBLANK(F_Custom1_Q),F_Custom1_V="(All)",F_Custom1_V="",ISBLANK(F_Custom1_V)),1,IFERROR(IF(ISNUMBER(SEARCH("|"&amp;INDEX(INDIRECT(F_Custom1_resolved_column),2493)&amp;"|",F_Custom1_wrapped)),1,0),0))</f>
        <v>1</v>
      </c>
      <c r="E2494">
        <f>IF(OR(F_Custom2_Q="(None)",F_Custom2_Q="",ISBLANK(F_Custom2_Q),F_Custom2_V="(All)",F_Custom2_V="",ISBLANK(F_Custom2_V)),1,IFERROR(IF(ISNUMBER(SEARCH("|"&amp;INDEX(INDIRECT(F_Custom2_resolved_column),2493)&amp;"|",F_Custom2_wrapped)),1,0),0))</f>
        <v>1</v>
      </c>
      <c r="F2494">
        <f>D2494*E2494*1</f>
        <v>1</v>
      </c>
      <c r="G2494">
        <f>1</f>
        <v>1</v>
      </c>
      <c r="H24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2493)&amp;"|",All_Questions_Q_STREAM_F_wrapped)),1,0),0))*1</f>
        <v>1</v>
      </c>
    </row>
    <row r="2495">
      <c r="A2495" t="n">
        <v>2494</v>
      </c>
      <c r="B2495" t="inlineStr">
        <is>
          <t>B</t>
        </is>
      </c>
      <c r="C2495">
        <f>1</f>
        <v>1</v>
      </c>
      <c r="D2495">
        <f>IF(OR(F_Custom1_Q="(None)",F_Custom1_Q="",ISBLANK(F_Custom1_Q),F_Custom1_V="(All)",F_Custom1_V="",ISBLANK(F_Custom1_V)),1,IFERROR(IF(ISNUMBER(SEARCH("|"&amp;INDEX(INDIRECT(F_Custom1_resolved_column),2494)&amp;"|",F_Custom1_wrapped)),1,0),0))</f>
        <v>1</v>
      </c>
      <c r="E2495">
        <f>IF(OR(F_Custom2_Q="(None)",F_Custom2_Q="",ISBLANK(F_Custom2_Q),F_Custom2_V="(All)",F_Custom2_V="",ISBLANK(F_Custom2_V)),1,IFERROR(IF(ISNUMBER(SEARCH("|"&amp;INDEX(INDIRECT(F_Custom2_resolved_column),2494)&amp;"|",F_Custom2_wrapped)),1,0),0))</f>
        <v>1</v>
      </c>
      <c r="F2495">
        <f>D2495*E2495*1</f>
        <v>1</v>
      </c>
      <c r="G2495">
        <f>1</f>
        <v>1</v>
      </c>
      <c r="H24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2494)&amp;"|",All_Questions_Q_STREAM_F_wrapped)),1,0),0))*1</f>
        <v>1</v>
      </c>
    </row>
    <row r="2496">
      <c r="A2496" t="n">
        <v>2495</v>
      </c>
      <c r="B2496" t="inlineStr">
        <is>
          <t>A</t>
        </is>
      </c>
      <c r="C2496">
        <f>1</f>
        <v>1</v>
      </c>
      <c r="D2496">
        <f>IF(OR(F_Custom1_Q="(None)",F_Custom1_Q="",ISBLANK(F_Custom1_Q),F_Custom1_V="(All)",F_Custom1_V="",ISBLANK(F_Custom1_V)),1,IFERROR(IF(ISNUMBER(SEARCH("|"&amp;INDEX(INDIRECT(F_Custom1_resolved_column),2495)&amp;"|",F_Custom1_wrapped)),1,0),0))</f>
        <v>1</v>
      </c>
      <c r="E2496">
        <f>IF(OR(F_Custom2_Q="(None)",F_Custom2_Q="",ISBLANK(F_Custom2_Q),F_Custom2_V="(All)",F_Custom2_V="",ISBLANK(F_Custom2_V)),1,IFERROR(IF(ISNUMBER(SEARCH("|"&amp;INDEX(INDIRECT(F_Custom2_resolved_column),2495)&amp;"|",F_Custom2_wrapped)),1,0),0))</f>
        <v>1</v>
      </c>
      <c r="F2496">
        <f>D2496*E2496*1</f>
        <v>1</v>
      </c>
      <c r="G2496">
        <f>1</f>
        <v>1</v>
      </c>
      <c r="H24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2495)&amp;"|",All_Questions_Q_STREAM_F_wrapped)),1,0),0))*1</f>
        <v>1</v>
      </c>
    </row>
    <row r="2497">
      <c r="A2497" t="n">
        <v>2496</v>
      </c>
      <c r="B2497" t="inlineStr">
        <is>
          <t>B</t>
        </is>
      </c>
      <c r="C2497">
        <f>1</f>
        <v>1</v>
      </c>
      <c r="D2497">
        <f>IF(OR(F_Custom1_Q="(None)",F_Custom1_Q="",ISBLANK(F_Custom1_Q),F_Custom1_V="(All)",F_Custom1_V="",ISBLANK(F_Custom1_V)),1,IFERROR(IF(ISNUMBER(SEARCH("|"&amp;INDEX(INDIRECT(F_Custom1_resolved_column),2496)&amp;"|",F_Custom1_wrapped)),1,0),0))</f>
        <v>1</v>
      </c>
      <c r="E2497">
        <f>IF(OR(F_Custom2_Q="(None)",F_Custom2_Q="",ISBLANK(F_Custom2_Q),F_Custom2_V="(All)",F_Custom2_V="",ISBLANK(F_Custom2_V)),1,IFERROR(IF(ISNUMBER(SEARCH("|"&amp;INDEX(INDIRECT(F_Custom2_resolved_column),2496)&amp;"|",F_Custom2_wrapped)),1,0),0))</f>
        <v>1</v>
      </c>
      <c r="F2497">
        <f>D2497*E2497*1</f>
        <v>1</v>
      </c>
      <c r="G2497">
        <f>1</f>
        <v>1</v>
      </c>
      <c r="H24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2496)&amp;"|",All_Questions_Q_STREAM_F_wrapped)),1,0),0))*1</f>
        <v>1</v>
      </c>
    </row>
    <row r="2498">
      <c r="A2498" t="n">
        <v>2497</v>
      </c>
      <c r="B2498" t="inlineStr">
        <is>
          <t>A</t>
        </is>
      </c>
      <c r="C2498">
        <f>1</f>
        <v>1</v>
      </c>
      <c r="D2498">
        <f>IF(OR(F_Custom1_Q="(None)",F_Custom1_Q="",ISBLANK(F_Custom1_Q),F_Custom1_V="(All)",F_Custom1_V="",ISBLANK(F_Custom1_V)),1,IFERROR(IF(ISNUMBER(SEARCH("|"&amp;INDEX(INDIRECT(F_Custom1_resolved_column),2497)&amp;"|",F_Custom1_wrapped)),1,0),0))</f>
        <v>1</v>
      </c>
      <c r="E2498">
        <f>IF(OR(F_Custom2_Q="(None)",F_Custom2_Q="",ISBLANK(F_Custom2_Q),F_Custom2_V="(All)",F_Custom2_V="",ISBLANK(F_Custom2_V)),1,IFERROR(IF(ISNUMBER(SEARCH("|"&amp;INDEX(INDIRECT(F_Custom2_resolved_column),2497)&amp;"|",F_Custom2_wrapped)),1,0),0))</f>
        <v>1</v>
      </c>
      <c r="F2498">
        <f>D2498*E2498*1</f>
        <v>1</v>
      </c>
      <c r="G2498">
        <f>1</f>
        <v>1</v>
      </c>
      <c r="H24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2497)&amp;"|",All_Questions_Q_STREAM_F_wrapped)),1,0),0))*1</f>
        <v>1</v>
      </c>
    </row>
    <row r="2499">
      <c r="A2499" t="n">
        <v>2498</v>
      </c>
      <c r="B2499" t="inlineStr">
        <is>
          <t>B</t>
        </is>
      </c>
      <c r="C2499">
        <f>1</f>
        <v>1</v>
      </c>
      <c r="D2499">
        <f>IF(OR(F_Custom1_Q="(None)",F_Custom1_Q="",ISBLANK(F_Custom1_Q),F_Custom1_V="(All)",F_Custom1_V="",ISBLANK(F_Custom1_V)),1,IFERROR(IF(ISNUMBER(SEARCH("|"&amp;INDEX(INDIRECT(F_Custom1_resolved_column),2498)&amp;"|",F_Custom1_wrapped)),1,0),0))</f>
        <v>1</v>
      </c>
      <c r="E2499">
        <f>IF(OR(F_Custom2_Q="(None)",F_Custom2_Q="",ISBLANK(F_Custom2_Q),F_Custom2_V="(All)",F_Custom2_V="",ISBLANK(F_Custom2_V)),1,IFERROR(IF(ISNUMBER(SEARCH("|"&amp;INDEX(INDIRECT(F_Custom2_resolved_column),2498)&amp;"|",F_Custom2_wrapped)),1,0),0))</f>
        <v>1</v>
      </c>
      <c r="F2499">
        <f>D2499*E2499*1</f>
        <v>1</v>
      </c>
      <c r="G2499">
        <f>1</f>
        <v>1</v>
      </c>
      <c r="H24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2498)&amp;"|",All_Questions_Q_STREAM_F_wrapped)),1,0),0))*1</f>
        <v>1</v>
      </c>
    </row>
    <row r="2500">
      <c r="A2500" t="n">
        <v>2499</v>
      </c>
      <c r="B2500" t="inlineStr">
        <is>
          <t>A</t>
        </is>
      </c>
      <c r="C2500">
        <f>1</f>
        <v>1</v>
      </c>
      <c r="D2500">
        <f>IF(OR(F_Custom1_Q="(None)",F_Custom1_Q="",ISBLANK(F_Custom1_Q),F_Custom1_V="(All)",F_Custom1_V="",ISBLANK(F_Custom1_V)),1,IFERROR(IF(ISNUMBER(SEARCH("|"&amp;INDEX(INDIRECT(F_Custom1_resolved_column),2499)&amp;"|",F_Custom1_wrapped)),1,0),0))</f>
        <v>1</v>
      </c>
      <c r="E2500">
        <f>IF(OR(F_Custom2_Q="(None)",F_Custom2_Q="",ISBLANK(F_Custom2_Q),F_Custom2_V="(All)",F_Custom2_V="",ISBLANK(F_Custom2_V)),1,IFERROR(IF(ISNUMBER(SEARCH("|"&amp;INDEX(INDIRECT(F_Custom2_resolved_column),2499)&amp;"|",F_Custom2_wrapped)),1,0),0))</f>
        <v>1</v>
      </c>
      <c r="F2500">
        <f>D2500*E2500*1</f>
        <v>1</v>
      </c>
      <c r="G2500">
        <f>1</f>
        <v>1</v>
      </c>
      <c r="H25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2499)&amp;"|",All_Questions_Q_STREAM_F_wrapped)),1,0),0))*1</f>
        <v>1</v>
      </c>
    </row>
    <row r="2501">
      <c r="A2501" t="n">
        <v>2500</v>
      </c>
      <c r="B2501" t="inlineStr">
        <is>
          <t>B</t>
        </is>
      </c>
      <c r="C2501">
        <f>1</f>
        <v>1</v>
      </c>
      <c r="D2501">
        <f>IF(OR(F_Custom1_Q="(None)",F_Custom1_Q="",ISBLANK(F_Custom1_Q),F_Custom1_V="(All)",F_Custom1_V="",ISBLANK(F_Custom1_V)),1,IFERROR(IF(ISNUMBER(SEARCH("|"&amp;INDEX(INDIRECT(F_Custom1_resolved_column),2500)&amp;"|",F_Custom1_wrapped)),1,0),0))</f>
        <v>1</v>
      </c>
      <c r="E2501">
        <f>IF(OR(F_Custom2_Q="(None)",F_Custom2_Q="",ISBLANK(F_Custom2_Q),F_Custom2_V="(All)",F_Custom2_V="",ISBLANK(F_Custom2_V)),1,IFERROR(IF(ISNUMBER(SEARCH("|"&amp;INDEX(INDIRECT(F_Custom2_resolved_column),2500)&amp;"|",F_Custom2_wrapped)),1,0),0))</f>
        <v>1</v>
      </c>
      <c r="F2501">
        <f>D2501*E2501*1</f>
        <v>1</v>
      </c>
      <c r="G2501">
        <f>1</f>
        <v>1</v>
      </c>
      <c r="H25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2500)&amp;"|",All_Questions_Q_STREAM_F_wrapped)),1,0),0))*1</f>
        <v>1</v>
      </c>
    </row>
    <row r="2502">
      <c r="A2502" t="n">
        <v>2501</v>
      </c>
      <c r="B2502" t="inlineStr">
        <is>
          <t>A</t>
        </is>
      </c>
      <c r="C2502">
        <f>1</f>
        <v>1</v>
      </c>
      <c r="D2502">
        <f>IF(OR(F_Custom1_Q="(None)",F_Custom1_Q="",ISBLANK(F_Custom1_Q),F_Custom1_V="(All)",F_Custom1_V="",ISBLANK(F_Custom1_V)),1,IFERROR(IF(ISNUMBER(SEARCH("|"&amp;INDEX(INDIRECT(F_Custom1_resolved_column),2501)&amp;"|",F_Custom1_wrapped)),1,0),0))</f>
        <v>1</v>
      </c>
      <c r="E2502">
        <f>IF(OR(F_Custom2_Q="(None)",F_Custom2_Q="",ISBLANK(F_Custom2_Q),F_Custom2_V="(All)",F_Custom2_V="",ISBLANK(F_Custom2_V)),1,IFERROR(IF(ISNUMBER(SEARCH("|"&amp;INDEX(INDIRECT(F_Custom2_resolved_column),2501)&amp;"|",F_Custom2_wrapped)),1,0),0))</f>
        <v>1</v>
      </c>
      <c r="F2502">
        <f>D2502*E2502*1</f>
        <v>1</v>
      </c>
      <c r="G2502">
        <f>1</f>
        <v>1</v>
      </c>
      <c r="H25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2501)&amp;"|",All_Questions_Q_STREAM_F_wrapped)),1,0),0))*1</f>
        <v>1</v>
      </c>
    </row>
    <row r="2503">
      <c r="A2503" t="n">
        <v>2502</v>
      </c>
      <c r="B2503" t="inlineStr">
        <is>
          <t>B</t>
        </is>
      </c>
      <c r="C2503">
        <f>1</f>
        <v>1</v>
      </c>
      <c r="D2503">
        <f>IF(OR(F_Custom1_Q="(None)",F_Custom1_Q="",ISBLANK(F_Custom1_Q),F_Custom1_V="(All)",F_Custom1_V="",ISBLANK(F_Custom1_V)),1,IFERROR(IF(ISNUMBER(SEARCH("|"&amp;INDEX(INDIRECT(F_Custom1_resolved_column),2502)&amp;"|",F_Custom1_wrapped)),1,0),0))</f>
        <v>1</v>
      </c>
      <c r="E2503">
        <f>IF(OR(F_Custom2_Q="(None)",F_Custom2_Q="",ISBLANK(F_Custom2_Q),F_Custom2_V="(All)",F_Custom2_V="",ISBLANK(F_Custom2_V)),1,IFERROR(IF(ISNUMBER(SEARCH("|"&amp;INDEX(INDIRECT(F_Custom2_resolved_column),2502)&amp;"|",F_Custom2_wrapped)),1,0),0))</f>
        <v>1</v>
      </c>
      <c r="F2503">
        <f>D2503*E2503*1</f>
        <v>1</v>
      </c>
      <c r="G2503">
        <f>1</f>
        <v>1</v>
      </c>
      <c r="H25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2502)&amp;"|",All_Questions_Q_STREAM_F_wrapped)),1,0),0))*1</f>
        <v>1</v>
      </c>
    </row>
    <row r="2504">
      <c r="A2504" t="n">
        <v>2503</v>
      </c>
      <c r="B2504" t="inlineStr">
        <is>
          <t>A</t>
        </is>
      </c>
      <c r="C2504">
        <f>1</f>
        <v>1</v>
      </c>
      <c r="D2504">
        <f>IF(OR(F_Custom1_Q="(None)",F_Custom1_Q="",ISBLANK(F_Custom1_Q),F_Custom1_V="(All)",F_Custom1_V="",ISBLANK(F_Custom1_V)),1,IFERROR(IF(ISNUMBER(SEARCH("|"&amp;INDEX(INDIRECT(F_Custom1_resolved_column),2503)&amp;"|",F_Custom1_wrapped)),1,0),0))</f>
        <v>1</v>
      </c>
      <c r="E2504">
        <f>IF(OR(F_Custom2_Q="(None)",F_Custom2_Q="",ISBLANK(F_Custom2_Q),F_Custom2_V="(All)",F_Custom2_V="",ISBLANK(F_Custom2_V)),1,IFERROR(IF(ISNUMBER(SEARCH("|"&amp;INDEX(INDIRECT(F_Custom2_resolved_column),2503)&amp;"|",F_Custom2_wrapped)),1,0),0))</f>
        <v>1</v>
      </c>
      <c r="F2504">
        <f>D2504*E2504*1</f>
        <v>1</v>
      </c>
      <c r="G2504">
        <f>1</f>
        <v>1</v>
      </c>
      <c r="H25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2503)&amp;"|",All_Questions_Q_STREAM_F_wrapped)),1,0),0))*1</f>
        <v>1</v>
      </c>
    </row>
    <row r="2505">
      <c r="A2505" t="n">
        <v>2504</v>
      </c>
      <c r="B2505" t="inlineStr">
        <is>
          <t>B</t>
        </is>
      </c>
      <c r="C2505">
        <f>1</f>
        <v>1</v>
      </c>
      <c r="D2505">
        <f>IF(OR(F_Custom1_Q="(None)",F_Custom1_Q="",ISBLANK(F_Custom1_Q),F_Custom1_V="(All)",F_Custom1_V="",ISBLANK(F_Custom1_V)),1,IFERROR(IF(ISNUMBER(SEARCH("|"&amp;INDEX(INDIRECT(F_Custom1_resolved_column),2504)&amp;"|",F_Custom1_wrapped)),1,0),0))</f>
        <v>1</v>
      </c>
      <c r="E2505">
        <f>IF(OR(F_Custom2_Q="(None)",F_Custom2_Q="",ISBLANK(F_Custom2_Q),F_Custom2_V="(All)",F_Custom2_V="",ISBLANK(F_Custom2_V)),1,IFERROR(IF(ISNUMBER(SEARCH("|"&amp;INDEX(INDIRECT(F_Custom2_resolved_column),2504)&amp;"|",F_Custom2_wrapped)),1,0),0))</f>
        <v>1</v>
      </c>
      <c r="F2505">
        <f>D2505*E2505*1</f>
        <v>1</v>
      </c>
      <c r="G2505">
        <f>1</f>
        <v>1</v>
      </c>
      <c r="H25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2504)&amp;"|",All_Questions_Q_STREAM_F_wrapped)),1,0),0))*1</f>
        <v>1</v>
      </c>
    </row>
    <row r="2506">
      <c r="A2506" t="n">
        <v>2505</v>
      </c>
      <c r="B2506" t="inlineStr">
        <is>
          <t>A</t>
        </is>
      </c>
      <c r="C2506">
        <f>1</f>
        <v>1</v>
      </c>
      <c r="D2506">
        <f>IF(OR(F_Custom1_Q="(None)",F_Custom1_Q="",ISBLANK(F_Custom1_Q),F_Custom1_V="(All)",F_Custom1_V="",ISBLANK(F_Custom1_V)),1,IFERROR(IF(ISNUMBER(SEARCH("|"&amp;INDEX(INDIRECT(F_Custom1_resolved_column),2505)&amp;"|",F_Custom1_wrapped)),1,0),0))</f>
        <v>1</v>
      </c>
      <c r="E2506">
        <f>IF(OR(F_Custom2_Q="(None)",F_Custom2_Q="",ISBLANK(F_Custom2_Q),F_Custom2_V="(All)",F_Custom2_V="",ISBLANK(F_Custom2_V)),1,IFERROR(IF(ISNUMBER(SEARCH("|"&amp;INDEX(INDIRECT(F_Custom2_resolved_column),2505)&amp;"|",F_Custom2_wrapped)),1,0),0))</f>
        <v>1</v>
      </c>
      <c r="F2506">
        <f>D2506*E2506*1</f>
        <v>1</v>
      </c>
      <c r="G2506">
        <f>1</f>
        <v>1</v>
      </c>
      <c r="H25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2505)&amp;"|",All_Questions_Q_STREAM_F_wrapped)),1,0),0))*1</f>
        <v>1</v>
      </c>
    </row>
    <row r="2507">
      <c r="A2507" t="n">
        <v>2506</v>
      </c>
      <c r="B2507" t="inlineStr">
        <is>
          <t>B</t>
        </is>
      </c>
      <c r="C2507">
        <f>1</f>
        <v>1</v>
      </c>
      <c r="D2507">
        <f>IF(OR(F_Custom1_Q="(None)",F_Custom1_Q="",ISBLANK(F_Custom1_Q),F_Custom1_V="(All)",F_Custom1_V="",ISBLANK(F_Custom1_V)),1,IFERROR(IF(ISNUMBER(SEARCH("|"&amp;INDEX(INDIRECT(F_Custom1_resolved_column),2506)&amp;"|",F_Custom1_wrapped)),1,0),0))</f>
        <v>1</v>
      </c>
      <c r="E2507">
        <f>IF(OR(F_Custom2_Q="(None)",F_Custom2_Q="",ISBLANK(F_Custom2_Q),F_Custom2_V="(All)",F_Custom2_V="",ISBLANK(F_Custom2_V)),1,IFERROR(IF(ISNUMBER(SEARCH("|"&amp;INDEX(INDIRECT(F_Custom2_resolved_column),2506)&amp;"|",F_Custom2_wrapped)),1,0),0))</f>
        <v>1</v>
      </c>
      <c r="F2507">
        <f>D2507*E2507*1</f>
        <v>1</v>
      </c>
      <c r="G2507">
        <f>1</f>
        <v>1</v>
      </c>
      <c r="H25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2506)&amp;"|",All_Questions_Q_STREAM_F_wrapped)),1,0),0))*1</f>
        <v>1</v>
      </c>
    </row>
    <row r="2508">
      <c r="A2508" t="n">
        <v>2507</v>
      </c>
      <c r="B2508" t="inlineStr">
        <is>
          <t>A</t>
        </is>
      </c>
      <c r="C2508">
        <f>1</f>
        <v>1</v>
      </c>
      <c r="D2508">
        <f>IF(OR(F_Custom1_Q="(None)",F_Custom1_Q="",ISBLANK(F_Custom1_Q),F_Custom1_V="(All)",F_Custom1_V="",ISBLANK(F_Custom1_V)),1,IFERROR(IF(ISNUMBER(SEARCH("|"&amp;INDEX(INDIRECT(F_Custom1_resolved_column),2507)&amp;"|",F_Custom1_wrapped)),1,0),0))</f>
        <v>1</v>
      </c>
      <c r="E2508">
        <f>IF(OR(F_Custom2_Q="(None)",F_Custom2_Q="",ISBLANK(F_Custom2_Q),F_Custom2_V="(All)",F_Custom2_V="",ISBLANK(F_Custom2_V)),1,IFERROR(IF(ISNUMBER(SEARCH("|"&amp;INDEX(INDIRECT(F_Custom2_resolved_column),2507)&amp;"|",F_Custom2_wrapped)),1,0),0))</f>
        <v>1</v>
      </c>
      <c r="F2508">
        <f>D2508*E2508*1</f>
        <v>1</v>
      </c>
      <c r="G2508">
        <f>1</f>
        <v>1</v>
      </c>
      <c r="H25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2507)&amp;"|",All_Questions_Q_STREAM_F_wrapped)),1,0),0))*1</f>
        <v>1</v>
      </c>
    </row>
    <row r="2509">
      <c r="A2509" t="n">
        <v>2508</v>
      </c>
      <c r="B2509" t="inlineStr">
        <is>
          <t>B</t>
        </is>
      </c>
      <c r="C2509">
        <f>1</f>
        <v>1</v>
      </c>
      <c r="D2509">
        <f>IF(OR(F_Custom1_Q="(None)",F_Custom1_Q="",ISBLANK(F_Custom1_Q),F_Custom1_V="(All)",F_Custom1_V="",ISBLANK(F_Custom1_V)),1,IFERROR(IF(ISNUMBER(SEARCH("|"&amp;INDEX(INDIRECT(F_Custom1_resolved_column),2508)&amp;"|",F_Custom1_wrapped)),1,0),0))</f>
        <v>1</v>
      </c>
      <c r="E2509">
        <f>IF(OR(F_Custom2_Q="(None)",F_Custom2_Q="",ISBLANK(F_Custom2_Q),F_Custom2_V="(All)",F_Custom2_V="",ISBLANK(F_Custom2_V)),1,IFERROR(IF(ISNUMBER(SEARCH("|"&amp;INDEX(INDIRECT(F_Custom2_resolved_column),2508)&amp;"|",F_Custom2_wrapped)),1,0),0))</f>
        <v>1</v>
      </c>
      <c r="F2509">
        <f>D2509*E2509*1</f>
        <v>1</v>
      </c>
      <c r="G2509">
        <f>1</f>
        <v>1</v>
      </c>
      <c r="H25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2508)&amp;"|",All_Questions_Q_STREAM_F_wrapped)),1,0),0))*1</f>
        <v>1</v>
      </c>
    </row>
    <row r="2510">
      <c r="A2510" t="n">
        <v>2509</v>
      </c>
      <c r="B2510" t="inlineStr">
        <is>
          <t>A</t>
        </is>
      </c>
      <c r="C2510">
        <f>1</f>
        <v>1</v>
      </c>
      <c r="D2510">
        <f>IF(OR(F_Custom1_Q="(None)",F_Custom1_Q="",ISBLANK(F_Custom1_Q),F_Custom1_V="(All)",F_Custom1_V="",ISBLANK(F_Custom1_V)),1,IFERROR(IF(ISNUMBER(SEARCH("|"&amp;INDEX(INDIRECT(F_Custom1_resolved_column),2509)&amp;"|",F_Custom1_wrapped)),1,0),0))</f>
        <v>1</v>
      </c>
      <c r="E2510">
        <f>IF(OR(F_Custom2_Q="(None)",F_Custom2_Q="",ISBLANK(F_Custom2_Q),F_Custom2_V="(All)",F_Custom2_V="",ISBLANK(F_Custom2_V)),1,IFERROR(IF(ISNUMBER(SEARCH("|"&amp;INDEX(INDIRECT(F_Custom2_resolved_column),2509)&amp;"|",F_Custom2_wrapped)),1,0),0))</f>
        <v>1</v>
      </c>
      <c r="F2510">
        <f>D2510*E2510*1</f>
        <v>1</v>
      </c>
      <c r="G2510">
        <f>1</f>
        <v>1</v>
      </c>
      <c r="H25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2509)&amp;"|",All_Questions_Q_STREAM_F_wrapped)),1,0),0))*1</f>
        <v>1</v>
      </c>
    </row>
    <row r="2511">
      <c r="A2511" t="n">
        <v>2510</v>
      </c>
      <c r="B2511" t="inlineStr">
        <is>
          <t>B</t>
        </is>
      </c>
      <c r="C2511">
        <f>1</f>
        <v>1</v>
      </c>
      <c r="D2511">
        <f>IF(OR(F_Custom1_Q="(None)",F_Custom1_Q="",ISBLANK(F_Custom1_Q),F_Custom1_V="(All)",F_Custom1_V="",ISBLANK(F_Custom1_V)),1,IFERROR(IF(ISNUMBER(SEARCH("|"&amp;INDEX(INDIRECT(F_Custom1_resolved_column),2510)&amp;"|",F_Custom1_wrapped)),1,0),0))</f>
        <v>1</v>
      </c>
      <c r="E2511">
        <f>IF(OR(F_Custom2_Q="(None)",F_Custom2_Q="",ISBLANK(F_Custom2_Q),F_Custom2_V="(All)",F_Custom2_V="",ISBLANK(F_Custom2_V)),1,IFERROR(IF(ISNUMBER(SEARCH("|"&amp;INDEX(INDIRECT(F_Custom2_resolved_column),2510)&amp;"|",F_Custom2_wrapped)),1,0),0))</f>
        <v>1</v>
      </c>
      <c r="F2511">
        <f>D2511*E2511*1</f>
        <v>1</v>
      </c>
      <c r="G2511">
        <f>1</f>
        <v>1</v>
      </c>
      <c r="H25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2510)&amp;"|",All_Questions_Q_STREAM_F_wrapped)),1,0),0))*1</f>
        <v>1</v>
      </c>
    </row>
    <row r="2512">
      <c r="A2512" t="n">
        <v>2511</v>
      </c>
      <c r="B2512" t="inlineStr">
        <is>
          <t>A</t>
        </is>
      </c>
      <c r="C2512">
        <f>1</f>
        <v>1</v>
      </c>
      <c r="D2512">
        <f>IF(OR(F_Custom1_Q="(None)",F_Custom1_Q="",ISBLANK(F_Custom1_Q),F_Custom1_V="(All)",F_Custom1_V="",ISBLANK(F_Custom1_V)),1,IFERROR(IF(ISNUMBER(SEARCH("|"&amp;INDEX(INDIRECT(F_Custom1_resolved_column),2511)&amp;"|",F_Custom1_wrapped)),1,0),0))</f>
        <v>1</v>
      </c>
      <c r="E2512">
        <f>IF(OR(F_Custom2_Q="(None)",F_Custom2_Q="",ISBLANK(F_Custom2_Q),F_Custom2_V="(All)",F_Custom2_V="",ISBLANK(F_Custom2_V)),1,IFERROR(IF(ISNUMBER(SEARCH("|"&amp;INDEX(INDIRECT(F_Custom2_resolved_column),2511)&amp;"|",F_Custom2_wrapped)),1,0),0))</f>
        <v>1</v>
      </c>
      <c r="F2512">
        <f>D2512*E2512*1</f>
        <v>1</v>
      </c>
      <c r="G2512">
        <f>1</f>
        <v>1</v>
      </c>
      <c r="H25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2511)&amp;"|",All_Questions_Q_STREAM_F_wrapped)),1,0),0))*1</f>
        <v>1</v>
      </c>
    </row>
    <row r="2513">
      <c r="A2513" t="n">
        <v>2512</v>
      </c>
      <c r="B2513" t="inlineStr">
        <is>
          <t>B</t>
        </is>
      </c>
      <c r="C2513">
        <f>1</f>
        <v>1</v>
      </c>
      <c r="D2513">
        <f>IF(OR(F_Custom1_Q="(None)",F_Custom1_Q="",ISBLANK(F_Custom1_Q),F_Custom1_V="(All)",F_Custom1_V="",ISBLANK(F_Custom1_V)),1,IFERROR(IF(ISNUMBER(SEARCH("|"&amp;INDEX(INDIRECT(F_Custom1_resolved_column),2512)&amp;"|",F_Custom1_wrapped)),1,0),0))</f>
        <v>1</v>
      </c>
      <c r="E2513">
        <f>IF(OR(F_Custom2_Q="(None)",F_Custom2_Q="",ISBLANK(F_Custom2_Q),F_Custom2_V="(All)",F_Custom2_V="",ISBLANK(F_Custom2_V)),1,IFERROR(IF(ISNUMBER(SEARCH("|"&amp;INDEX(INDIRECT(F_Custom2_resolved_column),2512)&amp;"|",F_Custom2_wrapped)),1,0),0))</f>
        <v>1</v>
      </c>
      <c r="F2513">
        <f>D2513*E2513*1</f>
        <v>1</v>
      </c>
      <c r="G2513">
        <f>1</f>
        <v>1</v>
      </c>
      <c r="H25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2512)&amp;"|",All_Questions_Q_STREAM_F_wrapped)),1,0),0))*1</f>
        <v>1</v>
      </c>
    </row>
    <row r="2514">
      <c r="A2514" t="n">
        <v>2513</v>
      </c>
      <c r="B2514" t="inlineStr">
        <is>
          <t>A</t>
        </is>
      </c>
      <c r="C2514">
        <f>1</f>
        <v>1</v>
      </c>
      <c r="D2514">
        <f>IF(OR(F_Custom1_Q="(None)",F_Custom1_Q="",ISBLANK(F_Custom1_Q),F_Custom1_V="(All)",F_Custom1_V="",ISBLANK(F_Custom1_V)),1,IFERROR(IF(ISNUMBER(SEARCH("|"&amp;INDEX(INDIRECT(F_Custom1_resolved_column),2513)&amp;"|",F_Custom1_wrapped)),1,0),0))</f>
        <v>1</v>
      </c>
      <c r="E2514">
        <f>IF(OR(F_Custom2_Q="(None)",F_Custom2_Q="",ISBLANK(F_Custom2_Q),F_Custom2_V="(All)",F_Custom2_V="",ISBLANK(F_Custom2_V)),1,IFERROR(IF(ISNUMBER(SEARCH("|"&amp;INDEX(INDIRECT(F_Custom2_resolved_column),2513)&amp;"|",F_Custom2_wrapped)),1,0),0))</f>
        <v>1</v>
      </c>
      <c r="F2514">
        <f>D2514*E2514*1</f>
        <v>1</v>
      </c>
      <c r="G2514">
        <f>1</f>
        <v>1</v>
      </c>
      <c r="H25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2513)&amp;"|",All_Questions_Q_STREAM_F_wrapped)),1,0),0))*1</f>
        <v>1</v>
      </c>
    </row>
    <row r="2515">
      <c r="A2515" t="n">
        <v>2514</v>
      </c>
      <c r="B2515" t="inlineStr">
        <is>
          <t>B</t>
        </is>
      </c>
      <c r="C2515">
        <f>1</f>
        <v>1</v>
      </c>
      <c r="D2515">
        <f>IF(OR(F_Custom1_Q="(None)",F_Custom1_Q="",ISBLANK(F_Custom1_Q),F_Custom1_V="(All)",F_Custom1_V="",ISBLANK(F_Custom1_V)),1,IFERROR(IF(ISNUMBER(SEARCH("|"&amp;INDEX(INDIRECT(F_Custom1_resolved_column),2514)&amp;"|",F_Custom1_wrapped)),1,0),0))</f>
        <v>1</v>
      </c>
      <c r="E2515">
        <f>IF(OR(F_Custom2_Q="(None)",F_Custom2_Q="",ISBLANK(F_Custom2_Q),F_Custom2_V="(All)",F_Custom2_V="",ISBLANK(F_Custom2_V)),1,IFERROR(IF(ISNUMBER(SEARCH("|"&amp;INDEX(INDIRECT(F_Custom2_resolved_column),2514)&amp;"|",F_Custom2_wrapped)),1,0),0))</f>
        <v>1</v>
      </c>
      <c r="F2515">
        <f>D2515*E2515*1</f>
        <v>1</v>
      </c>
      <c r="G2515">
        <f>1</f>
        <v>1</v>
      </c>
      <c r="H25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2514)&amp;"|",All_Questions_Q_STREAM_F_wrapped)),1,0),0))*1</f>
        <v>1</v>
      </c>
    </row>
    <row r="2516">
      <c r="A2516" t="n">
        <v>2515</v>
      </c>
      <c r="B2516" t="inlineStr">
        <is>
          <t>A</t>
        </is>
      </c>
      <c r="C2516">
        <f>1</f>
        <v>1</v>
      </c>
      <c r="D2516">
        <f>IF(OR(F_Custom1_Q="(None)",F_Custom1_Q="",ISBLANK(F_Custom1_Q),F_Custom1_V="(All)",F_Custom1_V="",ISBLANK(F_Custom1_V)),1,IFERROR(IF(ISNUMBER(SEARCH("|"&amp;INDEX(INDIRECT(F_Custom1_resolved_column),2515)&amp;"|",F_Custom1_wrapped)),1,0),0))</f>
        <v>1</v>
      </c>
      <c r="E2516">
        <f>IF(OR(F_Custom2_Q="(None)",F_Custom2_Q="",ISBLANK(F_Custom2_Q),F_Custom2_V="(All)",F_Custom2_V="",ISBLANK(F_Custom2_V)),1,IFERROR(IF(ISNUMBER(SEARCH("|"&amp;INDEX(INDIRECT(F_Custom2_resolved_column),2515)&amp;"|",F_Custom2_wrapped)),1,0),0))</f>
        <v>1</v>
      </c>
      <c r="F2516">
        <f>D2516*E2516*1</f>
        <v>1</v>
      </c>
      <c r="G2516">
        <f>1</f>
        <v>1</v>
      </c>
      <c r="H25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2515)&amp;"|",All_Questions_Q_STREAM_F_wrapped)),1,0),0))*1</f>
        <v>1</v>
      </c>
    </row>
    <row r="2517">
      <c r="A2517" t="n">
        <v>2516</v>
      </c>
      <c r="B2517" t="inlineStr">
        <is>
          <t>B</t>
        </is>
      </c>
      <c r="C2517">
        <f>1</f>
        <v>1</v>
      </c>
      <c r="D2517">
        <f>IF(OR(F_Custom1_Q="(None)",F_Custom1_Q="",ISBLANK(F_Custom1_Q),F_Custom1_V="(All)",F_Custom1_V="",ISBLANK(F_Custom1_V)),1,IFERROR(IF(ISNUMBER(SEARCH("|"&amp;INDEX(INDIRECT(F_Custom1_resolved_column),2516)&amp;"|",F_Custom1_wrapped)),1,0),0))</f>
        <v>1</v>
      </c>
      <c r="E2517">
        <f>IF(OR(F_Custom2_Q="(None)",F_Custom2_Q="",ISBLANK(F_Custom2_Q),F_Custom2_V="(All)",F_Custom2_V="",ISBLANK(F_Custom2_V)),1,IFERROR(IF(ISNUMBER(SEARCH("|"&amp;INDEX(INDIRECT(F_Custom2_resolved_column),2516)&amp;"|",F_Custom2_wrapped)),1,0),0))</f>
        <v>1</v>
      </c>
      <c r="F2517">
        <f>D2517*E2517*1</f>
        <v>1</v>
      </c>
      <c r="G2517">
        <f>1</f>
        <v>1</v>
      </c>
      <c r="H25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2516)&amp;"|",All_Questions_Q_STREAM_F_wrapped)),1,0),0))*1</f>
        <v>1</v>
      </c>
    </row>
    <row r="2518">
      <c r="A2518" t="n">
        <v>2517</v>
      </c>
      <c r="B2518" t="inlineStr">
        <is>
          <t>A</t>
        </is>
      </c>
      <c r="C2518">
        <f>1</f>
        <v>1</v>
      </c>
      <c r="D2518">
        <f>IF(OR(F_Custom1_Q="(None)",F_Custom1_Q="",ISBLANK(F_Custom1_Q),F_Custom1_V="(All)",F_Custom1_V="",ISBLANK(F_Custom1_V)),1,IFERROR(IF(ISNUMBER(SEARCH("|"&amp;INDEX(INDIRECT(F_Custom1_resolved_column),2517)&amp;"|",F_Custom1_wrapped)),1,0),0))</f>
        <v>1</v>
      </c>
      <c r="E2518">
        <f>IF(OR(F_Custom2_Q="(None)",F_Custom2_Q="",ISBLANK(F_Custom2_Q),F_Custom2_V="(All)",F_Custom2_V="",ISBLANK(F_Custom2_V)),1,IFERROR(IF(ISNUMBER(SEARCH("|"&amp;INDEX(INDIRECT(F_Custom2_resolved_column),2517)&amp;"|",F_Custom2_wrapped)),1,0),0))</f>
        <v>1</v>
      </c>
      <c r="F2518">
        <f>D2518*E2518*1</f>
        <v>1</v>
      </c>
      <c r="G2518">
        <f>1</f>
        <v>1</v>
      </c>
      <c r="H25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2517)&amp;"|",All_Questions_Q_STREAM_F_wrapped)),1,0),0))*1</f>
        <v>1</v>
      </c>
    </row>
    <row r="2519">
      <c r="A2519" t="n">
        <v>2518</v>
      </c>
      <c r="B2519" t="inlineStr">
        <is>
          <t>B</t>
        </is>
      </c>
      <c r="C2519">
        <f>1</f>
        <v>1</v>
      </c>
      <c r="D2519">
        <f>IF(OR(F_Custom1_Q="(None)",F_Custom1_Q="",ISBLANK(F_Custom1_Q),F_Custom1_V="(All)",F_Custom1_V="",ISBLANK(F_Custom1_V)),1,IFERROR(IF(ISNUMBER(SEARCH("|"&amp;INDEX(INDIRECT(F_Custom1_resolved_column),2518)&amp;"|",F_Custom1_wrapped)),1,0),0))</f>
        <v>1</v>
      </c>
      <c r="E2519">
        <f>IF(OR(F_Custom2_Q="(None)",F_Custom2_Q="",ISBLANK(F_Custom2_Q),F_Custom2_V="(All)",F_Custom2_V="",ISBLANK(F_Custom2_V)),1,IFERROR(IF(ISNUMBER(SEARCH("|"&amp;INDEX(INDIRECT(F_Custom2_resolved_column),2518)&amp;"|",F_Custom2_wrapped)),1,0),0))</f>
        <v>1</v>
      </c>
      <c r="F2519">
        <f>D2519*E2519*1</f>
        <v>1</v>
      </c>
      <c r="G2519">
        <f>1</f>
        <v>1</v>
      </c>
      <c r="H25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2518)&amp;"|",All_Questions_Q_STREAM_F_wrapped)),1,0),0))*1</f>
        <v>1</v>
      </c>
    </row>
    <row r="2520">
      <c r="A2520" t="n">
        <v>2519</v>
      </c>
      <c r="B2520" t="inlineStr">
        <is>
          <t>A</t>
        </is>
      </c>
      <c r="C2520">
        <f>1</f>
        <v>1</v>
      </c>
      <c r="D2520">
        <f>IF(OR(F_Custom1_Q="(None)",F_Custom1_Q="",ISBLANK(F_Custom1_Q),F_Custom1_V="(All)",F_Custom1_V="",ISBLANK(F_Custom1_V)),1,IFERROR(IF(ISNUMBER(SEARCH("|"&amp;INDEX(INDIRECT(F_Custom1_resolved_column),2519)&amp;"|",F_Custom1_wrapped)),1,0),0))</f>
        <v>1</v>
      </c>
      <c r="E2520">
        <f>IF(OR(F_Custom2_Q="(None)",F_Custom2_Q="",ISBLANK(F_Custom2_Q),F_Custom2_V="(All)",F_Custom2_V="",ISBLANK(F_Custom2_V)),1,IFERROR(IF(ISNUMBER(SEARCH("|"&amp;INDEX(INDIRECT(F_Custom2_resolved_column),2519)&amp;"|",F_Custom2_wrapped)),1,0),0))</f>
        <v>1</v>
      </c>
      <c r="F2520">
        <f>D2520*E2520*1</f>
        <v>1</v>
      </c>
      <c r="G2520">
        <f>1</f>
        <v>1</v>
      </c>
      <c r="H25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2519)&amp;"|",All_Questions_Q_STREAM_F_wrapped)),1,0),0))*1</f>
        <v>1</v>
      </c>
    </row>
    <row r="2521">
      <c r="A2521" t="n">
        <v>2520</v>
      </c>
      <c r="B2521" t="inlineStr">
        <is>
          <t>B</t>
        </is>
      </c>
      <c r="C2521">
        <f>1</f>
        <v>1</v>
      </c>
      <c r="D2521">
        <f>IF(OR(F_Custom1_Q="(None)",F_Custom1_Q="",ISBLANK(F_Custom1_Q),F_Custom1_V="(All)",F_Custom1_V="",ISBLANK(F_Custom1_V)),1,IFERROR(IF(ISNUMBER(SEARCH("|"&amp;INDEX(INDIRECT(F_Custom1_resolved_column),2520)&amp;"|",F_Custom1_wrapped)),1,0),0))</f>
        <v>1</v>
      </c>
      <c r="E2521">
        <f>IF(OR(F_Custom2_Q="(None)",F_Custom2_Q="",ISBLANK(F_Custom2_Q),F_Custom2_V="(All)",F_Custom2_V="",ISBLANK(F_Custom2_V)),1,IFERROR(IF(ISNUMBER(SEARCH("|"&amp;INDEX(INDIRECT(F_Custom2_resolved_column),2520)&amp;"|",F_Custom2_wrapped)),1,0),0))</f>
        <v>1</v>
      </c>
      <c r="F2521">
        <f>D2521*E2521*1</f>
        <v>1</v>
      </c>
      <c r="G2521">
        <f>1</f>
        <v>1</v>
      </c>
      <c r="H25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2520)&amp;"|",All_Questions_Q_STREAM_F_wrapped)),1,0),0))*1</f>
        <v>1</v>
      </c>
    </row>
    <row r="2522">
      <c r="A2522" t="n">
        <v>2521</v>
      </c>
      <c r="B2522" t="inlineStr">
        <is>
          <t>A</t>
        </is>
      </c>
      <c r="C2522">
        <f>1</f>
        <v>1</v>
      </c>
      <c r="D2522">
        <f>IF(OR(F_Custom1_Q="(None)",F_Custom1_Q="",ISBLANK(F_Custom1_Q),F_Custom1_V="(All)",F_Custom1_V="",ISBLANK(F_Custom1_V)),1,IFERROR(IF(ISNUMBER(SEARCH("|"&amp;INDEX(INDIRECT(F_Custom1_resolved_column),2521)&amp;"|",F_Custom1_wrapped)),1,0),0))</f>
        <v>1</v>
      </c>
      <c r="E2522">
        <f>IF(OR(F_Custom2_Q="(None)",F_Custom2_Q="",ISBLANK(F_Custom2_Q),F_Custom2_V="(All)",F_Custom2_V="",ISBLANK(F_Custom2_V)),1,IFERROR(IF(ISNUMBER(SEARCH("|"&amp;INDEX(INDIRECT(F_Custom2_resolved_column),2521)&amp;"|",F_Custom2_wrapped)),1,0),0))</f>
        <v>1</v>
      </c>
      <c r="F2522">
        <f>D2522*E2522*1</f>
        <v>1</v>
      </c>
      <c r="G2522">
        <f>1</f>
        <v>1</v>
      </c>
      <c r="H25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2521)&amp;"|",All_Questions_Q_STREAM_F_wrapped)),1,0),0))*1</f>
        <v>1</v>
      </c>
    </row>
    <row r="2523">
      <c r="A2523" t="n">
        <v>2522</v>
      </c>
      <c r="B2523" t="inlineStr">
        <is>
          <t>B</t>
        </is>
      </c>
      <c r="C2523">
        <f>1</f>
        <v>1</v>
      </c>
      <c r="D2523">
        <f>IF(OR(F_Custom1_Q="(None)",F_Custom1_Q="",ISBLANK(F_Custom1_Q),F_Custom1_V="(All)",F_Custom1_V="",ISBLANK(F_Custom1_V)),1,IFERROR(IF(ISNUMBER(SEARCH("|"&amp;INDEX(INDIRECT(F_Custom1_resolved_column),2522)&amp;"|",F_Custom1_wrapped)),1,0),0))</f>
        <v>1</v>
      </c>
      <c r="E2523">
        <f>IF(OR(F_Custom2_Q="(None)",F_Custom2_Q="",ISBLANK(F_Custom2_Q),F_Custom2_V="(All)",F_Custom2_V="",ISBLANK(F_Custom2_V)),1,IFERROR(IF(ISNUMBER(SEARCH("|"&amp;INDEX(INDIRECT(F_Custom2_resolved_column),2522)&amp;"|",F_Custom2_wrapped)),1,0),0))</f>
        <v>1</v>
      </c>
      <c r="F2523">
        <f>D2523*E2523*1</f>
        <v>1</v>
      </c>
      <c r="G2523">
        <f>1</f>
        <v>1</v>
      </c>
      <c r="H25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2522)&amp;"|",All_Questions_Q_STREAM_F_wrapped)),1,0),0))*1</f>
        <v>1</v>
      </c>
    </row>
    <row r="2524">
      <c r="A2524" t="n">
        <v>2523</v>
      </c>
      <c r="B2524" t="inlineStr">
        <is>
          <t>A</t>
        </is>
      </c>
      <c r="C2524">
        <f>1</f>
        <v>1</v>
      </c>
      <c r="D2524">
        <f>IF(OR(F_Custom1_Q="(None)",F_Custom1_Q="",ISBLANK(F_Custom1_Q),F_Custom1_V="(All)",F_Custom1_V="",ISBLANK(F_Custom1_V)),1,IFERROR(IF(ISNUMBER(SEARCH("|"&amp;INDEX(INDIRECT(F_Custom1_resolved_column),2523)&amp;"|",F_Custom1_wrapped)),1,0),0))</f>
        <v>1</v>
      </c>
      <c r="E2524">
        <f>IF(OR(F_Custom2_Q="(None)",F_Custom2_Q="",ISBLANK(F_Custom2_Q),F_Custom2_V="(All)",F_Custom2_V="",ISBLANK(F_Custom2_V)),1,IFERROR(IF(ISNUMBER(SEARCH("|"&amp;INDEX(INDIRECT(F_Custom2_resolved_column),2523)&amp;"|",F_Custom2_wrapped)),1,0),0))</f>
        <v>1</v>
      </c>
      <c r="F2524">
        <f>D2524*E2524*1</f>
        <v>1</v>
      </c>
      <c r="G2524">
        <f>1</f>
        <v>1</v>
      </c>
      <c r="H25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2523)&amp;"|",All_Questions_Q_STREAM_F_wrapped)),1,0),0))*1</f>
        <v>1</v>
      </c>
    </row>
    <row r="2525">
      <c r="A2525" t="n">
        <v>2524</v>
      </c>
      <c r="B2525" t="inlineStr">
        <is>
          <t>B</t>
        </is>
      </c>
      <c r="C2525">
        <f>1</f>
        <v>1</v>
      </c>
      <c r="D2525">
        <f>IF(OR(F_Custom1_Q="(None)",F_Custom1_Q="",ISBLANK(F_Custom1_Q),F_Custom1_V="(All)",F_Custom1_V="",ISBLANK(F_Custom1_V)),1,IFERROR(IF(ISNUMBER(SEARCH("|"&amp;INDEX(INDIRECT(F_Custom1_resolved_column),2524)&amp;"|",F_Custom1_wrapped)),1,0),0))</f>
        <v>1</v>
      </c>
      <c r="E2525">
        <f>IF(OR(F_Custom2_Q="(None)",F_Custom2_Q="",ISBLANK(F_Custom2_Q),F_Custom2_V="(All)",F_Custom2_V="",ISBLANK(F_Custom2_V)),1,IFERROR(IF(ISNUMBER(SEARCH("|"&amp;INDEX(INDIRECT(F_Custom2_resolved_column),2524)&amp;"|",F_Custom2_wrapped)),1,0),0))</f>
        <v>1</v>
      </c>
      <c r="F2525">
        <f>D2525*E2525*1</f>
        <v>1</v>
      </c>
      <c r="G2525">
        <f>1</f>
        <v>1</v>
      </c>
      <c r="H25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2524)&amp;"|",All_Questions_Q_STREAM_F_wrapped)),1,0),0))*1</f>
        <v>1</v>
      </c>
    </row>
    <row r="2526">
      <c r="A2526" t="n">
        <v>2525</v>
      </c>
      <c r="B2526" t="inlineStr">
        <is>
          <t>A</t>
        </is>
      </c>
      <c r="C2526">
        <f>1</f>
        <v>1</v>
      </c>
      <c r="D2526">
        <f>IF(OR(F_Custom1_Q="(None)",F_Custom1_Q="",ISBLANK(F_Custom1_Q),F_Custom1_V="(All)",F_Custom1_V="",ISBLANK(F_Custom1_V)),1,IFERROR(IF(ISNUMBER(SEARCH("|"&amp;INDEX(INDIRECT(F_Custom1_resolved_column),2525)&amp;"|",F_Custom1_wrapped)),1,0),0))</f>
        <v>1</v>
      </c>
      <c r="E2526">
        <f>IF(OR(F_Custom2_Q="(None)",F_Custom2_Q="",ISBLANK(F_Custom2_Q),F_Custom2_V="(All)",F_Custom2_V="",ISBLANK(F_Custom2_V)),1,IFERROR(IF(ISNUMBER(SEARCH("|"&amp;INDEX(INDIRECT(F_Custom2_resolved_column),2525)&amp;"|",F_Custom2_wrapped)),1,0),0))</f>
        <v>1</v>
      </c>
      <c r="F2526">
        <f>D2526*E2526*1</f>
        <v>1</v>
      </c>
      <c r="G2526">
        <f>1</f>
        <v>1</v>
      </c>
      <c r="H25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2525)&amp;"|",All_Questions_Q_STREAM_F_wrapped)),1,0),0))*1</f>
        <v>1</v>
      </c>
    </row>
    <row r="2527">
      <c r="A2527" t="n">
        <v>2526</v>
      </c>
      <c r="B2527" t="inlineStr">
        <is>
          <t>B</t>
        </is>
      </c>
      <c r="C2527">
        <f>1</f>
        <v>1</v>
      </c>
      <c r="D2527">
        <f>IF(OR(F_Custom1_Q="(None)",F_Custom1_Q="",ISBLANK(F_Custom1_Q),F_Custom1_V="(All)",F_Custom1_V="",ISBLANK(F_Custom1_V)),1,IFERROR(IF(ISNUMBER(SEARCH("|"&amp;INDEX(INDIRECT(F_Custom1_resolved_column),2526)&amp;"|",F_Custom1_wrapped)),1,0),0))</f>
        <v>1</v>
      </c>
      <c r="E2527">
        <f>IF(OR(F_Custom2_Q="(None)",F_Custom2_Q="",ISBLANK(F_Custom2_Q),F_Custom2_V="(All)",F_Custom2_V="",ISBLANK(F_Custom2_V)),1,IFERROR(IF(ISNUMBER(SEARCH("|"&amp;INDEX(INDIRECT(F_Custom2_resolved_column),2526)&amp;"|",F_Custom2_wrapped)),1,0),0))</f>
        <v>1</v>
      </c>
      <c r="F2527">
        <f>D2527*E2527*1</f>
        <v>1</v>
      </c>
      <c r="G2527">
        <f>1</f>
        <v>1</v>
      </c>
      <c r="H25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2526)&amp;"|",All_Questions_Q_STREAM_F_wrapped)),1,0),0))*1</f>
        <v>1</v>
      </c>
    </row>
    <row r="2528">
      <c r="A2528" t="n">
        <v>2527</v>
      </c>
      <c r="B2528" t="inlineStr">
        <is>
          <t>A</t>
        </is>
      </c>
      <c r="C2528">
        <f>1</f>
        <v>1</v>
      </c>
      <c r="D2528">
        <f>IF(OR(F_Custom1_Q="(None)",F_Custom1_Q="",ISBLANK(F_Custom1_Q),F_Custom1_V="(All)",F_Custom1_V="",ISBLANK(F_Custom1_V)),1,IFERROR(IF(ISNUMBER(SEARCH("|"&amp;INDEX(INDIRECT(F_Custom1_resolved_column),2527)&amp;"|",F_Custom1_wrapped)),1,0),0))</f>
        <v>1</v>
      </c>
      <c r="E2528">
        <f>IF(OR(F_Custom2_Q="(None)",F_Custom2_Q="",ISBLANK(F_Custom2_Q),F_Custom2_V="(All)",F_Custom2_V="",ISBLANK(F_Custom2_V)),1,IFERROR(IF(ISNUMBER(SEARCH("|"&amp;INDEX(INDIRECT(F_Custom2_resolved_column),2527)&amp;"|",F_Custom2_wrapped)),1,0),0))</f>
        <v>1</v>
      </c>
      <c r="F2528">
        <f>D2528*E2528*1</f>
        <v>1</v>
      </c>
      <c r="G2528">
        <f>1</f>
        <v>1</v>
      </c>
      <c r="H25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2527)&amp;"|",All_Questions_Q_STREAM_F_wrapped)),1,0),0))*1</f>
        <v>1</v>
      </c>
    </row>
    <row r="2529">
      <c r="A2529" t="n">
        <v>2528</v>
      </c>
      <c r="B2529" t="inlineStr">
        <is>
          <t>B</t>
        </is>
      </c>
      <c r="C2529">
        <f>1</f>
        <v>1</v>
      </c>
      <c r="D2529">
        <f>IF(OR(F_Custom1_Q="(None)",F_Custom1_Q="",ISBLANK(F_Custom1_Q),F_Custom1_V="(All)",F_Custom1_V="",ISBLANK(F_Custom1_V)),1,IFERROR(IF(ISNUMBER(SEARCH("|"&amp;INDEX(INDIRECT(F_Custom1_resolved_column),2528)&amp;"|",F_Custom1_wrapped)),1,0),0))</f>
        <v>1</v>
      </c>
      <c r="E2529">
        <f>IF(OR(F_Custom2_Q="(None)",F_Custom2_Q="",ISBLANK(F_Custom2_Q),F_Custom2_V="(All)",F_Custom2_V="",ISBLANK(F_Custom2_V)),1,IFERROR(IF(ISNUMBER(SEARCH("|"&amp;INDEX(INDIRECT(F_Custom2_resolved_column),2528)&amp;"|",F_Custom2_wrapped)),1,0),0))</f>
        <v>1</v>
      </c>
      <c r="F2529">
        <f>D2529*E2529*1</f>
        <v>1</v>
      </c>
      <c r="G2529">
        <f>1</f>
        <v>1</v>
      </c>
      <c r="H25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2528)&amp;"|",All_Questions_Q_STREAM_F_wrapped)),1,0),0))*1</f>
        <v>1</v>
      </c>
    </row>
    <row r="2530">
      <c r="A2530" t="n">
        <v>2529</v>
      </c>
      <c r="B2530" t="inlineStr">
        <is>
          <t>A</t>
        </is>
      </c>
      <c r="C2530">
        <f>1</f>
        <v>1</v>
      </c>
      <c r="D2530">
        <f>IF(OR(F_Custom1_Q="(None)",F_Custom1_Q="",ISBLANK(F_Custom1_Q),F_Custom1_V="(All)",F_Custom1_V="",ISBLANK(F_Custom1_V)),1,IFERROR(IF(ISNUMBER(SEARCH("|"&amp;INDEX(INDIRECT(F_Custom1_resolved_column),2529)&amp;"|",F_Custom1_wrapped)),1,0),0))</f>
        <v>1</v>
      </c>
      <c r="E2530">
        <f>IF(OR(F_Custom2_Q="(None)",F_Custom2_Q="",ISBLANK(F_Custom2_Q),F_Custom2_V="(All)",F_Custom2_V="",ISBLANK(F_Custom2_V)),1,IFERROR(IF(ISNUMBER(SEARCH("|"&amp;INDEX(INDIRECT(F_Custom2_resolved_column),2529)&amp;"|",F_Custom2_wrapped)),1,0),0))</f>
        <v>1</v>
      </c>
      <c r="F2530">
        <f>D2530*E2530*1</f>
        <v>1</v>
      </c>
      <c r="G2530">
        <f>1</f>
        <v>1</v>
      </c>
      <c r="H25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2529)&amp;"|",All_Questions_Q_STREAM_F_wrapped)),1,0),0))*1</f>
        <v>1</v>
      </c>
    </row>
    <row r="2531">
      <c r="A2531" t="n">
        <v>2530</v>
      </c>
      <c r="B2531" t="inlineStr">
        <is>
          <t>B</t>
        </is>
      </c>
      <c r="C2531">
        <f>1</f>
        <v>1</v>
      </c>
      <c r="D2531">
        <f>IF(OR(F_Custom1_Q="(None)",F_Custom1_Q="",ISBLANK(F_Custom1_Q),F_Custom1_V="(All)",F_Custom1_V="",ISBLANK(F_Custom1_V)),1,IFERROR(IF(ISNUMBER(SEARCH("|"&amp;INDEX(INDIRECT(F_Custom1_resolved_column),2530)&amp;"|",F_Custom1_wrapped)),1,0),0))</f>
        <v>1</v>
      </c>
      <c r="E2531">
        <f>IF(OR(F_Custom2_Q="(None)",F_Custom2_Q="",ISBLANK(F_Custom2_Q),F_Custom2_V="(All)",F_Custom2_V="",ISBLANK(F_Custom2_V)),1,IFERROR(IF(ISNUMBER(SEARCH("|"&amp;INDEX(INDIRECT(F_Custom2_resolved_column),2530)&amp;"|",F_Custom2_wrapped)),1,0),0))</f>
        <v>1</v>
      </c>
      <c r="F2531">
        <f>D2531*E2531*1</f>
        <v>1</v>
      </c>
      <c r="G2531">
        <f>1</f>
        <v>1</v>
      </c>
      <c r="H25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2530)&amp;"|",All_Questions_Q_STREAM_F_wrapped)),1,0),0))*1</f>
        <v>1</v>
      </c>
    </row>
    <row r="2532">
      <c r="A2532" t="n">
        <v>2531</v>
      </c>
      <c r="B2532" t="inlineStr">
        <is>
          <t>A</t>
        </is>
      </c>
      <c r="C2532">
        <f>1</f>
        <v>1</v>
      </c>
      <c r="D2532">
        <f>IF(OR(F_Custom1_Q="(None)",F_Custom1_Q="",ISBLANK(F_Custom1_Q),F_Custom1_V="(All)",F_Custom1_V="",ISBLANK(F_Custom1_V)),1,IFERROR(IF(ISNUMBER(SEARCH("|"&amp;INDEX(INDIRECT(F_Custom1_resolved_column),2531)&amp;"|",F_Custom1_wrapped)),1,0),0))</f>
        <v>1</v>
      </c>
      <c r="E2532">
        <f>IF(OR(F_Custom2_Q="(None)",F_Custom2_Q="",ISBLANK(F_Custom2_Q),F_Custom2_V="(All)",F_Custom2_V="",ISBLANK(F_Custom2_V)),1,IFERROR(IF(ISNUMBER(SEARCH("|"&amp;INDEX(INDIRECT(F_Custom2_resolved_column),2531)&amp;"|",F_Custom2_wrapped)),1,0),0))</f>
        <v>1</v>
      </c>
      <c r="F2532">
        <f>D2532*E2532*1</f>
        <v>1</v>
      </c>
      <c r="G2532">
        <f>1</f>
        <v>1</v>
      </c>
      <c r="H25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2531)&amp;"|",All_Questions_Q_STREAM_F_wrapped)),1,0),0))*1</f>
        <v>1</v>
      </c>
    </row>
    <row r="2533">
      <c r="A2533" t="n">
        <v>2532</v>
      </c>
      <c r="B2533" t="inlineStr">
        <is>
          <t>B</t>
        </is>
      </c>
      <c r="C2533">
        <f>1</f>
        <v>1</v>
      </c>
      <c r="D2533">
        <f>IF(OR(F_Custom1_Q="(None)",F_Custom1_Q="",ISBLANK(F_Custom1_Q),F_Custom1_V="(All)",F_Custom1_V="",ISBLANK(F_Custom1_V)),1,IFERROR(IF(ISNUMBER(SEARCH("|"&amp;INDEX(INDIRECT(F_Custom1_resolved_column),2532)&amp;"|",F_Custom1_wrapped)),1,0),0))</f>
        <v>1</v>
      </c>
      <c r="E2533">
        <f>IF(OR(F_Custom2_Q="(None)",F_Custom2_Q="",ISBLANK(F_Custom2_Q),F_Custom2_V="(All)",F_Custom2_V="",ISBLANK(F_Custom2_V)),1,IFERROR(IF(ISNUMBER(SEARCH("|"&amp;INDEX(INDIRECT(F_Custom2_resolved_column),2532)&amp;"|",F_Custom2_wrapped)),1,0),0))</f>
        <v>1</v>
      </c>
      <c r="F2533">
        <f>D2533*E2533*1</f>
        <v>1</v>
      </c>
      <c r="G2533">
        <f>1</f>
        <v>1</v>
      </c>
      <c r="H25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2532)&amp;"|",All_Questions_Q_STREAM_F_wrapped)),1,0),0))*1</f>
        <v>1</v>
      </c>
    </row>
    <row r="2534">
      <c r="A2534" t="n">
        <v>2533</v>
      </c>
      <c r="B2534" t="inlineStr">
        <is>
          <t>A</t>
        </is>
      </c>
      <c r="C2534">
        <f>1</f>
        <v>1</v>
      </c>
      <c r="D2534">
        <f>IF(OR(F_Custom1_Q="(None)",F_Custom1_Q="",ISBLANK(F_Custom1_Q),F_Custom1_V="(All)",F_Custom1_V="",ISBLANK(F_Custom1_V)),1,IFERROR(IF(ISNUMBER(SEARCH("|"&amp;INDEX(INDIRECT(F_Custom1_resolved_column),2533)&amp;"|",F_Custom1_wrapped)),1,0),0))</f>
        <v>1</v>
      </c>
      <c r="E2534">
        <f>IF(OR(F_Custom2_Q="(None)",F_Custom2_Q="",ISBLANK(F_Custom2_Q),F_Custom2_V="(All)",F_Custom2_V="",ISBLANK(F_Custom2_V)),1,IFERROR(IF(ISNUMBER(SEARCH("|"&amp;INDEX(INDIRECT(F_Custom2_resolved_column),2533)&amp;"|",F_Custom2_wrapped)),1,0),0))</f>
        <v>1</v>
      </c>
      <c r="F2534">
        <f>D2534*E2534*1</f>
        <v>1</v>
      </c>
      <c r="G2534">
        <f>1</f>
        <v>1</v>
      </c>
      <c r="H25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2533)&amp;"|",All_Questions_Q_STREAM_F_wrapped)),1,0),0))*1</f>
        <v>1</v>
      </c>
    </row>
    <row r="2535">
      <c r="A2535" t="n">
        <v>2534</v>
      </c>
      <c r="B2535" t="inlineStr">
        <is>
          <t>B</t>
        </is>
      </c>
      <c r="C2535">
        <f>1</f>
        <v>1</v>
      </c>
      <c r="D2535">
        <f>IF(OR(F_Custom1_Q="(None)",F_Custom1_Q="",ISBLANK(F_Custom1_Q),F_Custom1_V="(All)",F_Custom1_V="",ISBLANK(F_Custom1_V)),1,IFERROR(IF(ISNUMBER(SEARCH("|"&amp;INDEX(INDIRECT(F_Custom1_resolved_column),2534)&amp;"|",F_Custom1_wrapped)),1,0),0))</f>
        <v>1</v>
      </c>
      <c r="E2535">
        <f>IF(OR(F_Custom2_Q="(None)",F_Custom2_Q="",ISBLANK(F_Custom2_Q),F_Custom2_V="(All)",F_Custom2_V="",ISBLANK(F_Custom2_V)),1,IFERROR(IF(ISNUMBER(SEARCH("|"&amp;INDEX(INDIRECT(F_Custom2_resolved_column),2534)&amp;"|",F_Custom2_wrapped)),1,0),0))</f>
        <v>1</v>
      </c>
      <c r="F2535">
        <f>D2535*E2535*1</f>
        <v>1</v>
      </c>
      <c r="G2535">
        <f>1</f>
        <v>1</v>
      </c>
      <c r="H25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2534)&amp;"|",All_Questions_Q_STREAM_F_wrapped)),1,0),0))*1</f>
        <v>1</v>
      </c>
    </row>
    <row r="2536">
      <c r="A2536" t="n">
        <v>2535</v>
      </c>
      <c r="B2536" t="inlineStr">
        <is>
          <t>A</t>
        </is>
      </c>
      <c r="C2536">
        <f>1</f>
        <v>1</v>
      </c>
      <c r="D2536">
        <f>IF(OR(F_Custom1_Q="(None)",F_Custom1_Q="",ISBLANK(F_Custom1_Q),F_Custom1_V="(All)",F_Custom1_V="",ISBLANK(F_Custom1_V)),1,IFERROR(IF(ISNUMBER(SEARCH("|"&amp;INDEX(INDIRECT(F_Custom1_resolved_column),2535)&amp;"|",F_Custom1_wrapped)),1,0),0))</f>
        <v>1</v>
      </c>
      <c r="E2536">
        <f>IF(OR(F_Custom2_Q="(None)",F_Custom2_Q="",ISBLANK(F_Custom2_Q),F_Custom2_V="(All)",F_Custom2_V="",ISBLANK(F_Custom2_V)),1,IFERROR(IF(ISNUMBER(SEARCH("|"&amp;INDEX(INDIRECT(F_Custom2_resolved_column),2535)&amp;"|",F_Custom2_wrapped)),1,0),0))</f>
        <v>1</v>
      </c>
      <c r="F2536">
        <f>D2536*E2536*1</f>
        <v>1</v>
      </c>
      <c r="G2536">
        <f>1</f>
        <v>1</v>
      </c>
      <c r="H25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2535)&amp;"|",All_Questions_Q_STREAM_F_wrapped)),1,0),0))*1</f>
        <v>1</v>
      </c>
    </row>
    <row r="2537">
      <c r="A2537" t="n">
        <v>2536</v>
      </c>
      <c r="B2537" t="inlineStr">
        <is>
          <t>B</t>
        </is>
      </c>
      <c r="C2537">
        <f>1</f>
        <v>1</v>
      </c>
      <c r="D2537">
        <f>IF(OR(F_Custom1_Q="(None)",F_Custom1_Q="",ISBLANK(F_Custom1_Q),F_Custom1_V="(All)",F_Custom1_V="",ISBLANK(F_Custom1_V)),1,IFERROR(IF(ISNUMBER(SEARCH("|"&amp;INDEX(INDIRECT(F_Custom1_resolved_column),2536)&amp;"|",F_Custom1_wrapped)),1,0),0))</f>
        <v>1</v>
      </c>
      <c r="E2537">
        <f>IF(OR(F_Custom2_Q="(None)",F_Custom2_Q="",ISBLANK(F_Custom2_Q),F_Custom2_V="(All)",F_Custom2_V="",ISBLANK(F_Custom2_V)),1,IFERROR(IF(ISNUMBER(SEARCH("|"&amp;INDEX(INDIRECT(F_Custom2_resolved_column),2536)&amp;"|",F_Custom2_wrapped)),1,0),0))</f>
        <v>1</v>
      </c>
      <c r="F2537">
        <f>D2537*E2537*1</f>
        <v>1</v>
      </c>
      <c r="G2537">
        <f>1</f>
        <v>1</v>
      </c>
      <c r="H25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2536)&amp;"|",All_Questions_Q_STREAM_F_wrapped)),1,0),0))*1</f>
        <v>1</v>
      </c>
    </row>
    <row r="2538">
      <c r="A2538" t="n">
        <v>2537</v>
      </c>
      <c r="B2538" t="inlineStr">
        <is>
          <t>A</t>
        </is>
      </c>
      <c r="C2538">
        <f>1</f>
        <v>1</v>
      </c>
      <c r="D2538">
        <f>IF(OR(F_Custom1_Q="(None)",F_Custom1_Q="",ISBLANK(F_Custom1_Q),F_Custom1_V="(All)",F_Custom1_V="",ISBLANK(F_Custom1_V)),1,IFERROR(IF(ISNUMBER(SEARCH("|"&amp;INDEX(INDIRECT(F_Custom1_resolved_column),2537)&amp;"|",F_Custom1_wrapped)),1,0),0))</f>
        <v>1</v>
      </c>
      <c r="E2538">
        <f>IF(OR(F_Custom2_Q="(None)",F_Custom2_Q="",ISBLANK(F_Custom2_Q),F_Custom2_V="(All)",F_Custom2_V="",ISBLANK(F_Custom2_V)),1,IFERROR(IF(ISNUMBER(SEARCH("|"&amp;INDEX(INDIRECT(F_Custom2_resolved_column),2537)&amp;"|",F_Custom2_wrapped)),1,0),0))</f>
        <v>1</v>
      </c>
      <c r="F2538">
        <f>D2538*E2538*1</f>
        <v>1</v>
      </c>
      <c r="G2538">
        <f>1</f>
        <v>1</v>
      </c>
      <c r="H25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2537)&amp;"|",All_Questions_Q_STREAM_F_wrapped)),1,0),0))*1</f>
        <v>1</v>
      </c>
    </row>
    <row r="2539">
      <c r="A2539" t="n">
        <v>2538</v>
      </c>
      <c r="B2539" t="inlineStr">
        <is>
          <t>B</t>
        </is>
      </c>
      <c r="C2539">
        <f>1</f>
        <v>1</v>
      </c>
      <c r="D2539">
        <f>IF(OR(F_Custom1_Q="(None)",F_Custom1_Q="",ISBLANK(F_Custom1_Q),F_Custom1_V="(All)",F_Custom1_V="",ISBLANK(F_Custom1_V)),1,IFERROR(IF(ISNUMBER(SEARCH("|"&amp;INDEX(INDIRECT(F_Custom1_resolved_column),2538)&amp;"|",F_Custom1_wrapped)),1,0),0))</f>
        <v>1</v>
      </c>
      <c r="E2539">
        <f>IF(OR(F_Custom2_Q="(None)",F_Custom2_Q="",ISBLANK(F_Custom2_Q),F_Custom2_V="(All)",F_Custom2_V="",ISBLANK(F_Custom2_V)),1,IFERROR(IF(ISNUMBER(SEARCH("|"&amp;INDEX(INDIRECT(F_Custom2_resolved_column),2538)&amp;"|",F_Custom2_wrapped)),1,0),0))</f>
        <v>1</v>
      </c>
      <c r="F2539">
        <f>D2539*E2539*1</f>
        <v>1</v>
      </c>
      <c r="G2539">
        <f>1</f>
        <v>1</v>
      </c>
      <c r="H25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2538)&amp;"|",All_Questions_Q_STREAM_F_wrapped)),1,0),0))*1</f>
        <v>1</v>
      </c>
    </row>
    <row r="2540">
      <c r="A2540" t="n">
        <v>2539</v>
      </c>
      <c r="B2540" t="inlineStr">
        <is>
          <t>A</t>
        </is>
      </c>
      <c r="C2540">
        <f>1</f>
        <v>1</v>
      </c>
      <c r="D2540">
        <f>IF(OR(F_Custom1_Q="(None)",F_Custom1_Q="",ISBLANK(F_Custom1_Q),F_Custom1_V="(All)",F_Custom1_V="",ISBLANK(F_Custom1_V)),1,IFERROR(IF(ISNUMBER(SEARCH("|"&amp;INDEX(INDIRECT(F_Custom1_resolved_column),2539)&amp;"|",F_Custom1_wrapped)),1,0),0))</f>
        <v>1</v>
      </c>
      <c r="E2540">
        <f>IF(OR(F_Custom2_Q="(None)",F_Custom2_Q="",ISBLANK(F_Custom2_Q),F_Custom2_V="(All)",F_Custom2_V="",ISBLANK(F_Custom2_V)),1,IFERROR(IF(ISNUMBER(SEARCH("|"&amp;INDEX(INDIRECT(F_Custom2_resolved_column),2539)&amp;"|",F_Custom2_wrapped)),1,0),0))</f>
        <v>1</v>
      </c>
      <c r="F2540">
        <f>D2540*E2540*1</f>
        <v>1</v>
      </c>
      <c r="G2540">
        <f>1</f>
        <v>1</v>
      </c>
      <c r="H25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2539)&amp;"|",All_Questions_Q_STREAM_F_wrapped)),1,0),0))*1</f>
        <v>1</v>
      </c>
    </row>
    <row r="2541">
      <c r="A2541" t="n">
        <v>2540</v>
      </c>
      <c r="B2541" t="inlineStr">
        <is>
          <t>B</t>
        </is>
      </c>
      <c r="C2541">
        <f>1</f>
        <v>1</v>
      </c>
      <c r="D2541">
        <f>IF(OR(F_Custom1_Q="(None)",F_Custom1_Q="",ISBLANK(F_Custom1_Q),F_Custom1_V="(All)",F_Custom1_V="",ISBLANK(F_Custom1_V)),1,IFERROR(IF(ISNUMBER(SEARCH("|"&amp;INDEX(INDIRECT(F_Custom1_resolved_column),2540)&amp;"|",F_Custom1_wrapped)),1,0),0))</f>
        <v>1</v>
      </c>
      <c r="E2541">
        <f>IF(OR(F_Custom2_Q="(None)",F_Custom2_Q="",ISBLANK(F_Custom2_Q),F_Custom2_V="(All)",F_Custom2_V="",ISBLANK(F_Custom2_V)),1,IFERROR(IF(ISNUMBER(SEARCH("|"&amp;INDEX(INDIRECT(F_Custom2_resolved_column),2540)&amp;"|",F_Custom2_wrapped)),1,0),0))</f>
        <v>1</v>
      </c>
      <c r="F2541">
        <f>D2541*E2541*1</f>
        <v>1</v>
      </c>
      <c r="G2541">
        <f>1</f>
        <v>1</v>
      </c>
      <c r="H25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2540)&amp;"|",All_Questions_Q_STREAM_F_wrapped)),1,0),0))*1</f>
        <v>1</v>
      </c>
    </row>
    <row r="2542">
      <c r="A2542" t="n">
        <v>2541</v>
      </c>
      <c r="B2542" t="inlineStr">
        <is>
          <t>A</t>
        </is>
      </c>
      <c r="C2542">
        <f>1</f>
        <v>1</v>
      </c>
      <c r="D2542">
        <f>IF(OR(F_Custom1_Q="(None)",F_Custom1_Q="",ISBLANK(F_Custom1_Q),F_Custom1_V="(All)",F_Custom1_V="",ISBLANK(F_Custom1_V)),1,IFERROR(IF(ISNUMBER(SEARCH("|"&amp;INDEX(INDIRECT(F_Custom1_resolved_column),2541)&amp;"|",F_Custom1_wrapped)),1,0),0))</f>
        <v>1</v>
      </c>
      <c r="E2542">
        <f>IF(OR(F_Custom2_Q="(None)",F_Custom2_Q="",ISBLANK(F_Custom2_Q),F_Custom2_V="(All)",F_Custom2_V="",ISBLANK(F_Custom2_V)),1,IFERROR(IF(ISNUMBER(SEARCH("|"&amp;INDEX(INDIRECT(F_Custom2_resolved_column),2541)&amp;"|",F_Custom2_wrapped)),1,0),0))</f>
        <v>1</v>
      </c>
      <c r="F2542">
        <f>D2542*E2542*1</f>
        <v>1</v>
      </c>
      <c r="G2542">
        <f>1</f>
        <v>1</v>
      </c>
      <c r="H25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2541)&amp;"|",All_Questions_Q_STREAM_F_wrapped)),1,0),0))*1</f>
        <v>1</v>
      </c>
    </row>
    <row r="2543">
      <c r="A2543" t="n">
        <v>2542</v>
      </c>
      <c r="B2543" t="inlineStr">
        <is>
          <t>B</t>
        </is>
      </c>
      <c r="C2543">
        <f>1</f>
        <v>1</v>
      </c>
      <c r="D2543">
        <f>IF(OR(F_Custom1_Q="(None)",F_Custom1_Q="",ISBLANK(F_Custom1_Q),F_Custom1_V="(All)",F_Custom1_V="",ISBLANK(F_Custom1_V)),1,IFERROR(IF(ISNUMBER(SEARCH("|"&amp;INDEX(INDIRECT(F_Custom1_resolved_column),2542)&amp;"|",F_Custom1_wrapped)),1,0),0))</f>
        <v>1</v>
      </c>
      <c r="E2543">
        <f>IF(OR(F_Custom2_Q="(None)",F_Custom2_Q="",ISBLANK(F_Custom2_Q),F_Custom2_V="(All)",F_Custom2_V="",ISBLANK(F_Custom2_V)),1,IFERROR(IF(ISNUMBER(SEARCH("|"&amp;INDEX(INDIRECT(F_Custom2_resolved_column),2542)&amp;"|",F_Custom2_wrapped)),1,0),0))</f>
        <v>1</v>
      </c>
      <c r="F2543">
        <f>D2543*E2543*1</f>
        <v>1</v>
      </c>
      <c r="G2543">
        <f>1</f>
        <v>1</v>
      </c>
      <c r="H25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2542)&amp;"|",All_Questions_Q_STREAM_F_wrapped)),1,0),0))*1</f>
        <v>1</v>
      </c>
    </row>
    <row r="2544">
      <c r="A2544" t="n">
        <v>2543</v>
      </c>
      <c r="B2544" t="inlineStr">
        <is>
          <t>A</t>
        </is>
      </c>
      <c r="C2544">
        <f>1</f>
        <v>1</v>
      </c>
      <c r="D2544">
        <f>IF(OR(F_Custom1_Q="(None)",F_Custom1_Q="",ISBLANK(F_Custom1_Q),F_Custom1_V="(All)",F_Custom1_V="",ISBLANK(F_Custom1_V)),1,IFERROR(IF(ISNUMBER(SEARCH("|"&amp;INDEX(INDIRECT(F_Custom1_resolved_column),2543)&amp;"|",F_Custom1_wrapped)),1,0),0))</f>
        <v>1</v>
      </c>
      <c r="E2544">
        <f>IF(OR(F_Custom2_Q="(None)",F_Custom2_Q="",ISBLANK(F_Custom2_Q),F_Custom2_V="(All)",F_Custom2_V="",ISBLANK(F_Custom2_V)),1,IFERROR(IF(ISNUMBER(SEARCH("|"&amp;INDEX(INDIRECT(F_Custom2_resolved_column),2543)&amp;"|",F_Custom2_wrapped)),1,0),0))</f>
        <v>1</v>
      </c>
      <c r="F2544">
        <f>D2544*E2544*1</f>
        <v>1</v>
      </c>
      <c r="G2544">
        <f>1</f>
        <v>1</v>
      </c>
      <c r="H25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2543)&amp;"|",All_Questions_Q_STREAM_F_wrapped)),1,0),0))*1</f>
        <v>1</v>
      </c>
    </row>
    <row r="2545">
      <c r="A2545" t="n">
        <v>2544</v>
      </c>
      <c r="B2545" t="inlineStr">
        <is>
          <t>B</t>
        </is>
      </c>
      <c r="C2545">
        <f>1</f>
        <v>1</v>
      </c>
      <c r="D2545">
        <f>IF(OR(F_Custom1_Q="(None)",F_Custom1_Q="",ISBLANK(F_Custom1_Q),F_Custom1_V="(All)",F_Custom1_V="",ISBLANK(F_Custom1_V)),1,IFERROR(IF(ISNUMBER(SEARCH("|"&amp;INDEX(INDIRECT(F_Custom1_resolved_column),2544)&amp;"|",F_Custom1_wrapped)),1,0),0))</f>
        <v>1</v>
      </c>
      <c r="E2545">
        <f>IF(OR(F_Custom2_Q="(None)",F_Custom2_Q="",ISBLANK(F_Custom2_Q),F_Custom2_V="(All)",F_Custom2_V="",ISBLANK(F_Custom2_V)),1,IFERROR(IF(ISNUMBER(SEARCH("|"&amp;INDEX(INDIRECT(F_Custom2_resolved_column),2544)&amp;"|",F_Custom2_wrapped)),1,0),0))</f>
        <v>1</v>
      </c>
      <c r="F2545">
        <f>D2545*E2545*1</f>
        <v>1</v>
      </c>
      <c r="G2545">
        <f>1</f>
        <v>1</v>
      </c>
      <c r="H25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2544)&amp;"|",All_Questions_Q_STREAM_F_wrapped)),1,0),0))*1</f>
        <v>1</v>
      </c>
    </row>
    <row r="2546">
      <c r="A2546" t="n">
        <v>2545</v>
      </c>
      <c r="B2546" t="inlineStr">
        <is>
          <t>A</t>
        </is>
      </c>
      <c r="C2546">
        <f>1</f>
        <v>1</v>
      </c>
      <c r="D2546">
        <f>IF(OR(F_Custom1_Q="(None)",F_Custom1_Q="",ISBLANK(F_Custom1_Q),F_Custom1_V="(All)",F_Custom1_V="",ISBLANK(F_Custom1_V)),1,IFERROR(IF(ISNUMBER(SEARCH("|"&amp;INDEX(INDIRECT(F_Custom1_resolved_column),2545)&amp;"|",F_Custom1_wrapped)),1,0),0))</f>
        <v>1</v>
      </c>
      <c r="E2546">
        <f>IF(OR(F_Custom2_Q="(None)",F_Custom2_Q="",ISBLANK(F_Custom2_Q),F_Custom2_V="(All)",F_Custom2_V="",ISBLANK(F_Custom2_V)),1,IFERROR(IF(ISNUMBER(SEARCH("|"&amp;INDEX(INDIRECT(F_Custom2_resolved_column),2545)&amp;"|",F_Custom2_wrapped)),1,0),0))</f>
        <v>1</v>
      </c>
      <c r="F2546">
        <f>D2546*E2546*1</f>
        <v>1</v>
      </c>
      <c r="G2546">
        <f>1</f>
        <v>1</v>
      </c>
      <c r="H25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2545)&amp;"|",All_Questions_Q_STREAM_F_wrapped)),1,0),0))*1</f>
        <v>1</v>
      </c>
    </row>
    <row r="2547">
      <c r="A2547" t="n">
        <v>2546</v>
      </c>
      <c r="B2547" t="inlineStr">
        <is>
          <t>B</t>
        </is>
      </c>
      <c r="C2547">
        <f>1</f>
        <v>1</v>
      </c>
      <c r="D2547">
        <f>IF(OR(F_Custom1_Q="(None)",F_Custom1_Q="",ISBLANK(F_Custom1_Q),F_Custom1_V="(All)",F_Custom1_V="",ISBLANK(F_Custom1_V)),1,IFERROR(IF(ISNUMBER(SEARCH("|"&amp;INDEX(INDIRECT(F_Custom1_resolved_column),2546)&amp;"|",F_Custom1_wrapped)),1,0),0))</f>
        <v>1</v>
      </c>
      <c r="E2547">
        <f>IF(OR(F_Custom2_Q="(None)",F_Custom2_Q="",ISBLANK(F_Custom2_Q),F_Custom2_V="(All)",F_Custom2_V="",ISBLANK(F_Custom2_V)),1,IFERROR(IF(ISNUMBER(SEARCH("|"&amp;INDEX(INDIRECT(F_Custom2_resolved_column),2546)&amp;"|",F_Custom2_wrapped)),1,0),0))</f>
        <v>1</v>
      </c>
      <c r="F2547">
        <f>D2547*E2547*1</f>
        <v>1</v>
      </c>
      <c r="G2547">
        <f>1</f>
        <v>1</v>
      </c>
      <c r="H25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2546)&amp;"|",All_Questions_Q_STREAM_F_wrapped)),1,0),0))*1</f>
        <v>1</v>
      </c>
    </row>
    <row r="2548">
      <c r="A2548" t="n">
        <v>2547</v>
      </c>
      <c r="B2548" t="inlineStr">
        <is>
          <t>A</t>
        </is>
      </c>
      <c r="C2548">
        <f>1</f>
        <v>1</v>
      </c>
      <c r="D2548">
        <f>IF(OR(F_Custom1_Q="(None)",F_Custom1_Q="",ISBLANK(F_Custom1_Q),F_Custom1_V="(All)",F_Custom1_V="",ISBLANK(F_Custom1_V)),1,IFERROR(IF(ISNUMBER(SEARCH("|"&amp;INDEX(INDIRECT(F_Custom1_resolved_column),2547)&amp;"|",F_Custom1_wrapped)),1,0),0))</f>
        <v>1</v>
      </c>
      <c r="E2548">
        <f>IF(OR(F_Custom2_Q="(None)",F_Custom2_Q="",ISBLANK(F_Custom2_Q),F_Custom2_V="(All)",F_Custom2_V="",ISBLANK(F_Custom2_V)),1,IFERROR(IF(ISNUMBER(SEARCH("|"&amp;INDEX(INDIRECT(F_Custom2_resolved_column),2547)&amp;"|",F_Custom2_wrapped)),1,0),0))</f>
        <v>1</v>
      </c>
      <c r="F2548">
        <f>D2548*E2548*1</f>
        <v>1</v>
      </c>
      <c r="G2548">
        <f>1</f>
        <v>1</v>
      </c>
      <c r="H25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2547)&amp;"|",All_Questions_Q_STREAM_F_wrapped)),1,0),0))*1</f>
        <v>1</v>
      </c>
    </row>
    <row r="2549">
      <c r="A2549" t="n">
        <v>2548</v>
      </c>
      <c r="B2549" t="inlineStr">
        <is>
          <t>B</t>
        </is>
      </c>
      <c r="C2549">
        <f>1</f>
        <v>1</v>
      </c>
      <c r="D2549">
        <f>IF(OR(F_Custom1_Q="(None)",F_Custom1_Q="",ISBLANK(F_Custom1_Q),F_Custom1_V="(All)",F_Custom1_V="",ISBLANK(F_Custom1_V)),1,IFERROR(IF(ISNUMBER(SEARCH("|"&amp;INDEX(INDIRECT(F_Custom1_resolved_column),2548)&amp;"|",F_Custom1_wrapped)),1,0),0))</f>
        <v>1</v>
      </c>
      <c r="E2549">
        <f>IF(OR(F_Custom2_Q="(None)",F_Custom2_Q="",ISBLANK(F_Custom2_Q),F_Custom2_V="(All)",F_Custom2_V="",ISBLANK(F_Custom2_V)),1,IFERROR(IF(ISNUMBER(SEARCH("|"&amp;INDEX(INDIRECT(F_Custom2_resolved_column),2548)&amp;"|",F_Custom2_wrapped)),1,0),0))</f>
        <v>1</v>
      </c>
      <c r="F2549">
        <f>D2549*E2549*1</f>
        <v>1</v>
      </c>
      <c r="G2549">
        <f>1</f>
        <v>1</v>
      </c>
      <c r="H25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2548)&amp;"|",All_Questions_Q_STREAM_F_wrapped)),1,0),0))*1</f>
        <v>1</v>
      </c>
    </row>
    <row r="2550">
      <c r="A2550" t="n">
        <v>2549</v>
      </c>
      <c r="B2550" t="inlineStr">
        <is>
          <t>A</t>
        </is>
      </c>
      <c r="C2550">
        <f>1</f>
        <v>1</v>
      </c>
      <c r="D2550">
        <f>IF(OR(F_Custom1_Q="(None)",F_Custom1_Q="",ISBLANK(F_Custom1_Q),F_Custom1_V="(All)",F_Custom1_V="",ISBLANK(F_Custom1_V)),1,IFERROR(IF(ISNUMBER(SEARCH("|"&amp;INDEX(INDIRECT(F_Custom1_resolved_column),2549)&amp;"|",F_Custom1_wrapped)),1,0),0))</f>
        <v>1</v>
      </c>
      <c r="E2550">
        <f>IF(OR(F_Custom2_Q="(None)",F_Custom2_Q="",ISBLANK(F_Custom2_Q),F_Custom2_V="(All)",F_Custom2_V="",ISBLANK(F_Custom2_V)),1,IFERROR(IF(ISNUMBER(SEARCH("|"&amp;INDEX(INDIRECT(F_Custom2_resolved_column),2549)&amp;"|",F_Custom2_wrapped)),1,0),0))</f>
        <v>1</v>
      </c>
      <c r="F2550">
        <f>D2550*E2550*1</f>
        <v>1</v>
      </c>
      <c r="G2550">
        <f>1</f>
        <v>1</v>
      </c>
      <c r="H25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2549)&amp;"|",All_Questions_Q_STREAM_F_wrapped)),1,0),0))*1</f>
        <v>1</v>
      </c>
    </row>
    <row r="2551">
      <c r="A2551" t="n">
        <v>2550</v>
      </c>
      <c r="B2551" t="inlineStr">
        <is>
          <t>B</t>
        </is>
      </c>
      <c r="C2551">
        <f>1</f>
        <v>1</v>
      </c>
      <c r="D2551">
        <f>IF(OR(F_Custom1_Q="(None)",F_Custom1_Q="",ISBLANK(F_Custom1_Q),F_Custom1_V="(All)",F_Custom1_V="",ISBLANK(F_Custom1_V)),1,IFERROR(IF(ISNUMBER(SEARCH("|"&amp;INDEX(INDIRECT(F_Custom1_resolved_column),2550)&amp;"|",F_Custom1_wrapped)),1,0),0))</f>
        <v>1</v>
      </c>
      <c r="E2551">
        <f>IF(OR(F_Custom2_Q="(None)",F_Custom2_Q="",ISBLANK(F_Custom2_Q),F_Custom2_V="(All)",F_Custom2_V="",ISBLANK(F_Custom2_V)),1,IFERROR(IF(ISNUMBER(SEARCH("|"&amp;INDEX(INDIRECT(F_Custom2_resolved_column),2550)&amp;"|",F_Custom2_wrapped)),1,0),0))</f>
        <v>1</v>
      </c>
      <c r="F2551">
        <f>D2551*E2551*1</f>
        <v>1</v>
      </c>
      <c r="G2551">
        <f>1</f>
        <v>1</v>
      </c>
      <c r="H25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2550)&amp;"|",All_Questions_Q_STREAM_F_wrapped)),1,0),0))*1</f>
        <v>1</v>
      </c>
    </row>
    <row r="2552">
      <c r="A2552" t="n">
        <v>2551</v>
      </c>
      <c r="B2552" t="inlineStr">
        <is>
          <t>A</t>
        </is>
      </c>
      <c r="C2552">
        <f>1</f>
        <v>1</v>
      </c>
      <c r="D2552">
        <f>IF(OR(F_Custom1_Q="(None)",F_Custom1_Q="",ISBLANK(F_Custom1_Q),F_Custom1_V="(All)",F_Custom1_V="",ISBLANK(F_Custom1_V)),1,IFERROR(IF(ISNUMBER(SEARCH("|"&amp;INDEX(INDIRECT(F_Custom1_resolved_column),2551)&amp;"|",F_Custom1_wrapped)),1,0),0))</f>
        <v>1</v>
      </c>
      <c r="E2552">
        <f>IF(OR(F_Custom2_Q="(None)",F_Custom2_Q="",ISBLANK(F_Custom2_Q),F_Custom2_V="(All)",F_Custom2_V="",ISBLANK(F_Custom2_V)),1,IFERROR(IF(ISNUMBER(SEARCH("|"&amp;INDEX(INDIRECT(F_Custom2_resolved_column),2551)&amp;"|",F_Custom2_wrapped)),1,0),0))</f>
        <v>1</v>
      </c>
      <c r="F2552">
        <f>D2552*E2552*1</f>
        <v>1</v>
      </c>
      <c r="G2552">
        <f>1</f>
        <v>1</v>
      </c>
      <c r="H25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2551)&amp;"|",All_Questions_Q_STREAM_F_wrapped)),1,0),0))*1</f>
        <v>1</v>
      </c>
    </row>
    <row r="2553">
      <c r="A2553" t="n">
        <v>2552</v>
      </c>
      <c r="B2553" t="inlineStr">
        <is>
          <t>B</t>
        </is>
      </c>
      <c r="C2553">
        <f>1</f>
        <v>1</v>
      </c>
      <c r="D2553">
        <f>IF(OR(F_Custom1_Q="(None)",F_Custom1_Q="",ISBLANK(F_Custom1_Q),F_Custom1_V="(All)",F_Custom1_V="",ISBLANK(F_Custom1_V)),1,IFERROR(IF(ISNUMBER(SEARCH("|"&amp;INDEX(INDIRECT(F_Custom1_resolved_column),2552)&amp;"|",F_Custom1_wrapped)),1,0),0))</f>
        <v>1</v>
      </c>
      <c r="E2553">
        <f>IF(OR(F_Custom2_Q="(None)",F_Custom2_Q="",ISBLANK(F_Custom2_Q),F_Custom2_V="(All)",F_Custom2_V="",ISBLANK(F_Custom2_V)),1,IFERROR(IF(ISNUMBER(SEARCH("|"&amp;INDEX(INDIRECT(F_Custom2_resolved_column),2552)&amp;"|",F_Custom2_wrapped)),1,0),0))</f>
        <v>1</v>
      </c>
      <c r="F2553">
        <f>D2553*E2553*1</f>
        <v>1</v>
      </c>
      <c r="G2553">
        <f>1</f>
        <v>1</v>
      </c>
      <c r="H25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2552)&amp;"|",All_Questions_Q_STREAM_F_wrapped)),1,0),0))*1</f>
        <v>1</v>
      </c>
    </row>
    <row r="2554">
      <c r="A2554" t="n">
        <v>2553</v>
      </c>
      <c r="B2554" t="inlineStr">
        <is>
          <t>A</t>
        </is>
      </c>
      <c r="C2554">
        <f>1</f>
        <v>1</v>
      </c>
      <c r="D2554">
        <f>IF(OR(F_Custom1_Q="(None)",F_Custom1_Q="",ISBLANK(F_Custom1_Q),F_Custom1_V="(All)",F_Custom1_V="",ISBLANK(F_Custom1_V)),1,IFERROR(IF(ISNUMBER(SEARCH("|"&amp;INDEX(INDIRECT(F_Custom1_resolved_column),2553)&amp;"|",F_Custom1_wrapped)),1,0),0))</f>
        <v>1</v>
      </c>
      <c r="E2554">
        <f>IF(OR(F_Custom2_Q="(None)",F_Custom2_Q="",ISBLANK(F_Custom2_Q),F_Custom2_V="(All)",F_Custom2_V="",ISBLANK(F_Custom2_V)),1,IFERROR(IF(ISNUMBER(SEARCH("|"&amp;INDEX(INDIRECT(F_Custom2_resolved_column),2553)&amp;"|",F_Custom2_wrapped)),1,0),0))</f>
        <v>1</v>
      </c>
      <c r="F2554">
        <f>D2554*E2554*1</f>
        <v>1</v>
      </c>
      <c r="G2554">
        <f>1</f>
        <v>1</v>
      </c>
      <c r="H25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2553)&amp;"|",All_Questions_Q_STREAM_F_wrapped)),1,0),0))*1</f>
        <v>1</v>
      </c>
    </row>
    <row r="2555">
      <c r="A2555" t="n">
        <v>2554</v>
      </c>
      <c r="B2555" t="inlineStr">
        <is>
          <t>B</t>
        </is>
      </c>
      <c r="C2555">
        <f>1</f>
        <v>1</v>
      </c>
      <c r="D2555">
        <f>IF(OR(F_Custom1_Q="(None)",F_Custom1_Q="",ISBLANK(F_Custom1_Q),F_Custom1_V="(All)",F_Custom1_V="",ISBLANK(F_Custom1_V)),1,IFERROR(IF(ISNUMBER(SEARCH("|"&amp;INDEX(INDIRECT(F_Custom1_resolved_column),2554)&amp;"|",F_Custom1_wrapped)),1,0),0))</f>
        <v>1</v>
      </c>
      <c r="E2555">
        <f>IF(OR(F_Custom2_Q="(None)",F_Custom2_Q="",ISBLANK(F_Custom2_Q),F_Custom2_V="(All)",F_Custom2_V="",ISBLANK(F_Custom2_V)),1,IFERROR(IF(ISNUMBER(SEARCH("|"&amp;INDEX(INDIRECT(F_Custom2_resolved_column),2554)&amp;"|",F_Custom2_wrapped)),1,0),0))</f>
        <v>1</v>
      </c>
      <c r="F2555">
        <f>D2555*E2555*1</f>
        <v>1</v>
      </c>
      <c r="G2555">
        <f>1</f>
        <v>1</v>
      </c>
      <c r="H25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2554)&amp;"|",All_Questions_Q_STREAM_F_wrapped)),1,0),0))*1</f>
        <v>1</v>
      </c>
    </row>
    <row r="2556">
      <c r="A2556" t="n">
        <v>2555</v>
      </c>
      <c r="B2556" t="inlineStr">
        <is>
          <t>A</t>
        </is>
      </c>
      <c r="C2556">
        <f>1</f>
        <v>1</v>
      </c>
      <c r="D2556">
        <f>IF(OR(F_Custom1_Q="(None)",F_Custom1_Q="",ISBLANK(F_Custom1_Q),F_Custom1_V="(All)",F_Custom1_V="",ISBLANK(F_Custom1_V)),1,IFERROR(IF(ISNUMBER(SEARCH("|"&amp;INDEX(INDIRECT(F_Custom1_resolved_column),2555)&amp;"|",F_Custom1_wrapped)),1,0),0))</f>
        <v>1</v>
      </c>
      <c r="E2556">
        <f>IF(OR(F_Custom2_Q="(None)",F_Custom2_Q="",ISBLANK(F_Custom2_Q),F_Custom2_V="(All)",F_Custom2_V="",ISBLANK(F_Custom2_V)),1,IFERROR(IF(ISNUMBER(SEARCH("|"&amp;INDEX(INDIRECT(F_Custom2_resolved_column),2555)&amp;"|",F_Custom2_wrapped)),1,0),0))</f>
        <v>1</v>
      </c>
      <c r="F2556">
        <f>D2556*E2556*1</f>
        <v>1</v>
      </c>
      <c r="G2556">
        <f>1</f>
        <v>1</v>
      </c>
      <c r="H25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2555)&amp;"|",All_Questions_Q_STREAM_F_wrapped)),1,0),0))*1</f>
        <v>1</v>
      </c>
    </row>
    <row r="2557">
      <c r="A2557" t="n">
        <v>2556</v>
      </c>
      <c r="B2557" t="inlineStr">
        <is>
          <t>B</t>
        </is>
      </c>
      <c r="C2557">
        <f>1</f>
        <v>1</v>
      </c>
      <c r="D2557">
        <f>IF(OR(F_Custom1_Q="(None)",F_Custom1_Q="",ISBLANK(F_Custom1_Q),F_Custom1_V="(All)",F_Custom1_V="",ISBLANK(F_Custom1_V)),1,IFERROR(IF(ISNUMBER(SEARCH("|"&amp;INDEX(INDIRECT(F_Custom1_resolved_column),2556)&amp;"|",F_Custom1_wrapped)),1,0),0))</f>
        <v>1</v>
      </c>
      <c r="E2557">
        <f>IF(OR(F_Custom2_Q="(None)",F_Custom2_Q="",ISBLANK(F_Custom2_Q),F_Custom2_V="(All)",F_Custom2_V="",ISBLANK(F_Custom2_V)),1,IFERROR(IF(ISNUMBER(SEARCH("|"&amp;INDEX(INDIRECT(F_Custom2_resolved_column),2556)&amp;"|",F_Custom2_wrapped)),1,0),0))</f>
        <v>1</v>
      </c>
      <c r="F2557">
        <f>D2557*E2557*1</f>
        <v>1</v>
      </c>
      <c r="G2557">
        <f>1</f>
        <v>1</v>
      </c>
      <c r="H25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2556)&amp;"|",All_Questions_Q_STREAM_F_wrapped)),1,0),0))*1</f>
        <v>1</v>
      </c>
    </row>
    <row r="2558">
      <c r="A2558" t="n">
        <v>2557</v>
      </c>
      <c r="B2558" t="inlineStr">
        <is>
          <t>A</t>
        </is>
      </c>
      <c r="C2558">
        <f>1</f>
        <v>1</v>
      </c>
      <c r="D2558">
        <f>IF(OR(F_Custom1_Q="(None)",F_Custom1_Q="",ISBLANK(F_Custom1_Q),F_Custom1_V="(All)",F_Custom1_V="",ISBLANK(F_Custom1_V)),1,IFERROR(IF(ISNUMBER(SEARCH("|"&amp;INDEX(INDIRECT(F_Custom1_resolved_column),2557)&amp;"|",F_Custom1_wrapped)),1,0),0))</f>
        <v>1</v>
      </c>
      <c r="E2558">
        <f>IF(OR(F_Custom2_Q="(None)",F_Custom2_Q="",ISBLANK(F_Custom2_Q),F_Custom2_V="(All)",F_Custom2_V="",ISBLANK(F_Custom2_V)),1,IFERROR(IF(ISNUMBER(SEARCH("|"&amp;INDEX(INDIRECT(F_Custom2_resolved_column),2557)&amp;"|",F_Custom2_wrapped)),1,0),0))</f>
        <v>1</v>
      </c>
      <c r="F2558">
        <f>D2558*E2558*1</f>
        <v>1</v>
      </c>
      <c r="G2558">
        <f>1</f>
        <v>1</v>
      </c>
      <c r="H25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2557)&amp;"|",All_Questions_Q_STREAM_F_wrapped)),1,0),0))*1</f>
        <v>1</v>
      </c>
    </row>
    <row r="2559">
      <c r="A2559" t="n">
        <v>2558</v>
      </c>
      <c r="B2559" t="inlineStr">
        <is>
          <t>B</t>
        </is>
      </c>
      <c r="C2559">
        <f>1</f>
        <v>1</v>
      </c>
      <c r="D2559">
        <f>IF(OR(F_Custom1_Q="(None)",F_Custom1_Q="",ISBLANK(F_Custom1_Q),F_Custom1_V="(All)",F_Custom1_V="",ISBLANK(F_Custom1_V)),1,IFERROR(IF(ISNUMBER(SEARCH("|"&amp;INDEX(INDIRECT(F_Custom1_resolved_column),2558)&amp;"|",F_Custom1_wrapped)),1,0),0))</f>
        <v>1</v>
      </c>
      <c r="E2559">
        <f>IF(OR(F_Custom2_Q="(None)",F_Custom2_Q="",ISBLANK(F_Custom2_Q),F_Custom2_V="(All)",F_Custom2_V="",ISBLANK(F_Custom2_V)),1,IFERROR(IF(ISNUMBER(SEARCH("|"&amp;INDEX(INDIRECT(F_Custom2_resolved_column),2558)&amp;"|",F_Custom2_wrapped)),1,0),0))</f>
        <v>1</v>
      </c>
      <c r="F2559">
        <f>D2559*E2559*1</f>
        <v>1</v>
      </c>
      <c r="G2559">
        <f>1</f>
        <v>1</v>
      </c>
      <c r="H25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2558)&amp;"|",All_Questions_Q_STREAM_F_wrapped)),1,0),0))*1</f>
        <v>1</v>
      </c>
    </row>
    <row r="2560">
      <c r="A2560" t="n">
        <v>2559</v>
      </c>
      <c r="B2560" t="inlineStr">
        <is>
          <t>A</t>
        </is>
      </c>
      <c r="C2560">
        <f>1</f>
        <v>1</v>
      </c>
      <c r="D2560">
        <f>IF(OR(F_Custom1_Q="(None)",F_Custom1_Q="",ISBLANK(F_Custom1_Q),F_Custom1_V="(All)",F_Custom1_V="",ISBLANK(F_Custom1_V)),1,IFERROR(IF(ISNUMBER(SEARCH("|"&amp;INDEX(INDIRECT(F_Custom1_resolved_column),2559)&amp;"|",F_Custom1_wrapped)),1,0),0))</f>
        <v>1</v>
      </c>
      <c r="E2560">
        <f>IF(OR(F_Custom2_Q="(None)",F_Custom2_Q="",ISBLANK(F_Custom2_Q),F_Custom2_V="(All)",F_Custom2_V="",ISBLANK(F_Custom2_V)),1,IFERROR(IF(ISNUMBER(SEARCH("|"&amp;INDEX(INDIRECT(F_Custom2_resolved_column),2559)&amp;"|",F_Custom2_wrapped)),1,0),0))</f>
        <v>1</v>
      </c>
      <c r="F2560">
        <f>D2560*E2560*1</f>
        <v>1</v>
      </c>
      <c r="G2560">
        <f>1</f>
        <v>1</v>
      </c>
      <c r="H25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2559)&amp;"|",All_Questions_Q_STREAM_F_wrapped)),1,0),0))*1</f>
        <v>1</v>
      </c>
    </row>
    <row r="2561">
      <c r="A2561" t="n">
        <v>2560</v>
      </c>
      <c r="B2561" t="inlineStr">
        <is>
          <t>B</t>
        </is>
      </c>
      <c r="C2561">
        <f>1</f>
        <v>1</v>
      </c>
      <c r="D2561">
        <f>IF(OR(F_Custom1_Q="(None)",F_Custom1_Q="",ISBLANK(F_Custom1_Q),F_Custom1_V="(All)",F_Custom1_V="",ISBLANK(F_Custom1_V)),1,IFERROR(IF(ISNUMBER(SEARCH("|"&amp;INDEX(INDIRECT(F_Custom1_resolved_column),2560)&amp;"|",F_Custom1_wrapped)),1,0),0))</f>
        <v>1</v>
      </c>
      <c r="E2561">
        <f>IF(OR(F_Custom2_Q="(None)",F_Custom2_Q="",ISBLANK(F_Custom2_Q),F_Custom2_V="(All)",F_Custom2_V="",ISBLANK(F_Custom2_V)),1,IFERROR(IF(ISNUMBER(SEARCH("|"&amp;INDEX(INDIRECT(F_Custom2_resolved_column),2560)&amp;"|",F_Custom2_wrapped)),1,0),0))</f>
        <v>1</v>
      </c>
      <c r="F2561">
        <f>D2561*E2561*1</f>
        <v>1</v>
      </c>
      <c r="G2561">
        <f>1</f>
        <v>1</v>
      </c>
      <c r="H25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2560)&amp;"|",All_Questions_Q_STREAM_F_wrapped)),1,0),0))*1</f>
        <v>1</v>
      </c>
    </row>
    <row r="2562">
      <c r="A2562" t="n">
        <v>2561</v>
      </c>
      <c r="B2562" t="inlineStr">
        <is>
          <t>A</t>
        </is>
      </c>
      <c r="C2562">
        <f>1</f>
        <v>1</v>
      </c>
      <c r="D2562">
        <f>IF(OR(F_Custom1_Q="(None)",F_Custom1_Q="",ISBLANK(F_Custom1_Q),F_Custom1_V="(All)",F_Custom1_V="",ISBLANK(F_Custom1_V)),1,IFERROR(IF(ISNUMBER(SEARCH("|"&amp;INDEX(INDIRECT(F_Custom1_resolved_column),2561)&amp;"|",F_Custom1_wrapped)),1,0),0))</f>
        <v>1</v>
      </c>
      <c r="E2562">
        <f>IF(OR(F_Custom2_Q="(None)",F_Custom2_Q="",ISBLANK(F_Custom2_Q),F_Custom2_V="(All)",F_Custom2_V="",ISBLANK(F_Custom2_V)),1,IFERROR(IF(ISNUMBER(SEARCH("|"&amp;INDEX(INDIRECT(F_Custom2_resolved_column),2561)&amp;"|",F_Custom2_wrapped)),1,0),0))</f>
        <v>1</v>
      </c>
      <c r="F2562">
        <f>D2562*E2562*1</f>
        <v>1</v>
      </c>
      <c r="G2562">
        <f>1</f>
        <v>1</v>
      </c>
      <c r="H25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2561)&amp;"|",All_Questions_Q_STREAM_F_wrapped)),1,0),0))*1</f>
        <v>1</v>
      </c>
    </row>
    <row r="2563">
      <c r="A2563" t="n">
        <v>2562</v>
      </c>
      <c r="B2563" t="inlineStr">
        <is>
          <t>B</t>
        </is>
      </c>
      <c r="C2563">
        <f>1</f>
        <v>1</v>
      </c>
      <c r="D2563">
        <f>IF(OR(F_Custom1_Q="(None)",F_Custom1_Q="",ISBLANK(F_Custom1_Q),F_Custom1_V="(All)",F_Custom1_V="",ISBLANK(F_Custom1_V)),1,IFERROR(IF(ISNUMBER(SEARCH("|"&amp;INDEX(INDIRECT(F_Custom1_resolved_column),2562)&amp;"|",F_Custom1_wrapped)),1,0),0))</f>
        <v>1</v>
      </c>
      <c r="E2563">
        <f>IF(OR(F_Custom2_Q="(None)",F_Custom2_Q="",ISBLANK(F_Custom2_Q),F_Custom2_V="(All)",F_Custom2_V="",ISBLANK(F_Custom2_V)),1,IFERROR(IF(ISNUMBER(SEARCH("|"&amp;INDEX(INDIRECT(F_Custom2_resolved_column),2562)&amp;"|",F_Custom2_wrapped)),1,0),0))</f>
        <v>1</v>
      </c>
      <c r="F2563">
        <f>D2563*E2563*1</f>
        <v>1</v>
      </c>
      <c r="G2563">
        <f>1</f>
        <v>1</v>
      </c>
      <c r="H25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2562)&amp;"|",All_Questions_Q_STREAM_F_wrapped)),1,0),0))*1</f>
        <v>1</v>
      </c>
    </row>
    <row r="2564">
      <c r="A2564" t="n">
        <v>2563</v>
      </c>
      <c r="B2564" t="inlineStr">
        <is>
          <t>A</t>
        </is>
      </c>
      <c r="C2564">
        <f>1</f>
        <v>1</v>
      </c>
      <c r="D2564">
        <f>IF(OR(F_Custom1_Q="(None)",F_Custom1_Q="",ISBLANK(F_Custom1_Q),F_Custom1_V="(All)",F_Custom1_V="",ISBLANK(F_Custom1_V)),1,IFERROR(IF(ISNUMBER(SEARCH("|"&amp;INDEX(INDIRECT(F_Custom1_resolved_column),2563)&amp;"|",F_Custom1_wrapped)),1,0),0))</f>
        <v>1</v>
      </c>
      <c r="E2564">
        <f>IF(OR(F_Custom2_Q="(None)",F_Custom2_Q="",ISBLANK(F_Custom2_Q),F_Custom2_V="(All)",F_Custom2_V="",ISBLANK(F_Custom2_V)),1,IFERROR(IF(ISNUMBER(SEARCH("|"&amp;INDEX(INDIRECT(F_Custom2_resolved_column),2563)&amp;"|",F_Custom2_wrapped)),1,0),0))</f>
        <v>1</v>
      </c>
      <c r="F2564">
        <f>D2564*E2564*1</f>
        <v>1</v>
      </c>
      <c r="G2564">
        <f>1</f>
        <v>1</v>
      </c>
      <c r="H25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2563)&amp;"|",All_Questions_Q_STREAM_F_wrapped)),1,0),0))*1</f>
        <v>1</v>
      </c>
    </row>
    <row r="2565">
      <c r="A2565" t="n">
        <v>2564</v>
      </c>
      <c r="B2565" t="inlineStr">
        <is>
          <t>B</t>
        </is>
      </c>
      <c r="C2565">
        <f>1</f>
        <v>1</v>
      </c>
      <c r="D2565">
        <f>IF(OR(F_Custom1_Q="(None)",F_Custom1_Q="",ISBLANK(F_Custom1_Q),F_Custom1_V="(All)",F_Custom1_V="",ISBLANK(F_Custom1_V)),1,IFERROR(IF(ISNUMBER(SEARCH("|"&amp;INDEX(INDIRECT(F_Custom1_resolved_column),2564)&amp;"|",F_Custom1_wrapped)),1,0),0))</f>
        <v>1</v>
      </c>
      <c r="E2565">
        <f>IF(OR(F_Custom2_Q="(None)",F_Custom2_Q="",ISBLANK(F_Custom2_Q),F_Custom2_V="(All)",F_Custom2_V="",ISBLANK(F_Custom2_V)),1,IFERROR(IF(ISNUMBER(SEARCH("|"&amp;INDEX(INDIRECT(F_Custom2_resolved_column),2564)&amp;"|",F_Custom2_wrapped)),1,0),0))</f>
        <v>1</v>
      </c>
      <c r="F2565">
        <f>D2565*E2565*1</f>
        <v>1</v>
      </c>
      <c r="G2565">
        <f>1</f>
        <v>1</v>
      </c>
      <c r="H25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2564)&amp;"|",All_Questions_Q_STREAM_F_wrapped)),1,0),0))*1</f>
        <v>1</v>
      </c>
    </row>
    <row r="2566">
      <c r="A2566" t="n">
        <v>2565</v>
      </c>
      <c r="B2566" t="inlineStr">
        <is>
          <t>A</t>
        </is>
      </c>
      <c r="C2566">
        <f>1</f>
        <v>1</v>
      </c>
      <c r="D2566">
        <f>IF(OR(F_Custom1_Q="(None)",F_Custom1_Q="",ISBLANK(F_Custom1_Q),F_Custom1_V="(All)",F_Custom1_V="",ISBLANK(F_Custom1_V)),1,IFERROR(IF(ISNUMBER(SEARCH("|"&amp;INDEX(INDIRECT(F_Custom1_resolved_column),2565)&amp;"|",F_Custom1_wrapped)),1,0),0))</f>
        <v>1</v>
      </c>
      <c r="E2566">
        <f>IF(OR(F_Custom2_Q="(None)",F_Custom2_Q="",ISBLANK(F_Custom2_Q),F_Custom2_V="(All)",F_Custom2_V="",ISBLANK(F_Custom2_V)),1,IFERROR(IF(ISNUMBER(SEARCH("|"&amp;INDEX(INDIRECT(F_Custom2_resolved_column),2565)&amp;"|",F_Custom2_wrapped)),1,0),0))</f>
        <v>1</v>
      </c>
      <c r="F2566">
        <f>D2566*E2566*1</f>
        <v>1</v>
      </c>
      <c r="G2566">
        <f>1</f>
        <v>1</v>
      </c>
      <c r="H25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2565)&amp;"|",All_Questions_Q_STREAM_F_wrapped)),1,0),0))*1</f>
        <v>1</v>
      </c>
    </row>
    <row r="2567">
      <c r="A2567" t="n">
        <v>2566</v>
      </c>
      <c r="B2567" t="inlineStr">
        <is>
          <t>B</t>
        </is>
      </c>
      <c r="C2567">
        <f>1</f>
        <v>1</v>
      </c>
      <c r="D2567">
        <f>IF(OR(F_Custom1_Q="(None)",F_Custom1_Q="",ISBLANK(F_Custom1_Q),F_Custom1_V="(All)",F_Custom1_V="",ISBLANK(F_Custom1_V)),1,IFERROR(IF(ISNUMBER(SEARCH("|"&amp;INDEX(INDIRECT(F_Custom1_resolved_column),2566)&amp;"|",F_Custom1_wrapped)),1,0),0))</f>
        <v>1</v>
      </c>
      <c r="E2567">
        <f>IF(OR(F_Custom2_Q="(None)",F_Custom2_Q="",ISBLANK(F_Custom2_Q),F_Custom2_V="(All)",F_Custom2_V="",ISBLANK(F_Custom2_V)),1,IFERROR(IF(ISNUMBER(SEARCH("|"&amp;INDEX(INDIRECT(F_Custom2_resolved_column),2566)&amp;"|",F_Custom2_wrapped)),1,0),0))</f>
        <v>1</v>
      </c>
      <c r="F2567">
        <f>D2567*E2567*1</f>
        <v>1</v>
      </c>
      <c r="G2567">
        <f>1</f>
        <v>1</v>
      </c>
      <c r="H25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2566)&amp;"|",All_Questions_Q_STREAM_F_wrapped)),1,0),0))*1</f>
        <v>1</v>
      </c>
    </row>
    <row r="2568">
      <c r="A2568" t="n">
        <v>2567</v>
      </c>
      <c r="B2568" t="inlineStr">
        <is>
          <t>A</t>
        </is>
      </c>
      <c r="C2568">
        <f>1</f>
        <v>1</v>
      </c>
      <c r="D2568">
        <f>IF(OR(F_Custom1_Q="(None)",F_Custom1_Q="",ISBLANK(F_Custom1_Q),F_Custom1_V="(All)",F_Custom1_V="",ISBLANK(F_Custom1_V)),1,IFERROR(IF(ISNUMBER(SEARCH("|"&amp;INDEX(INDIRECT(F_Custom1_resolved_column),2567)&amp;"|",F_Custom1_wrapped)),1,0),0))</f>
        <v>1</v>
      </c>
      <c r="E2568">
        <f>IF(OR(F_Custom2_Q="(None)",F_Custom2_Q="",ISBLANK(F_Custom2_Q),F_Custom2_V="(All)",F_Custom2_V="",ISBLANK(F_Custom2_V)),1,IFERROR(IF(ISNUMBER(SEARCH("|"&amp;INDEX(INDIRECT(F_Custom2_resolved_column),2567)&amp;"|",F_Custom2_wrapped)),1,0),0))</f>
        <v>1</v>
      </c>
      <c r="F2568">
        <f>D2568*E2568*1</f>
        <v>1</v>
      </c>
      <c r="G2568">
        <f>1</f>
        <v>1</v>
      </c>
      <c r="H25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2567)&amp;"|",All_Questions_Q_STREAM_F_wrapped)),1,0),0))*1</f>
        <v>1</v>
      </c>
    </row>
    <row r="2569">
      <c r="A2569" t="n">
        <v>2568</v>
      </c>
      <c r="B2569" t="inlineStr">
        <is>
          <t>B</t>
        </is>
      </c>
      <c r="C2569">
        <f>1</f>
        <v>1</v>
      </c>
      <c r="D2569">
        <f>IF(OR(F_Custom1_Q="(None)",F_Custom1_Q="",ISBLANK(F_Custom1_Q),F_Custom1_V="(All)",F_Custom1_V="",ISBLANK(F_Custom1_V)),1,IFERROR(IF(ISNUMBER(SEARCH("|"&amp;INDEX(INDIRECT(F_Custom1_resolved_column),2568)&amp;"|",F_Custom1_wrapped)),1,0),0))</f>
        <v>1</v>
      </c>
      <c r="E2569">
        <f>IF(OR(F_Custom2_Q="(None)",F_Custom2_Q="",ISBLANK(F_Custom2_Q),F_Custom2_V="(All)",F_Custom2_V="",ISBLANK(F_Custom2_V)),1,IFERROR(IF(ISNUMBER(SEARCH("|"&amp;INDEX(INDIRECT(F_Custom2_resolved_column),2568)&amp;"|",F_Custom2_wrapped)),1,0),0))</f>
        <v>1</v>
      </c>
      <c r="F2569">
        <f>D2569*E2569*1</f>
        <v>1</v>
      </c>
      <c r="G2569">
        <f>1</f>
        <v>1</v>
      </c>
      <c r="H25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2568)&amp;"|",All_Questions_Q_STREAM_F_wrapped)),1,0),0))*1</f>
        <v>1</v>
      </c>
    </row>
    <row r="2570">
      <c r="A2570" t="n">
        <v>2569</v>
      </c>
      <c r="B2570" t="inlineStr">
        <is>
          <t>A</t>
        </is>
      </c>
      <c r="C2570">
        <f>1</f>
        <v>1</v>
      </c>
      <c r="D2570">
        <f>IF(OR(F_Custom1_Q="(None)",F_Custom1_Q="",ISBLANK(F_Custom1_Q),F_Custom1_V="(All)",F_Custom1_V="",ISBLANK(F_Custom1_V)),1,IFERROR(IF(ISNUMBER(SEARCH("|"&amp;INDEX(INDIRECT(F_Custom1_resolved_column),2569)&amp;"|",F_Custom1_wrapped)),1,0),0))</f>
        <v>1</v>
      </c>
      <c r="E2570">
        <f>IF(OR(F_Custom2_Q="(None)",F_Custom2_Q="",ISBLANK(F_Custom2_Q),F_Custom2_V="(All)",F_Custom2_V="",ISBLANK(F_Custom2_V)),1,IFERROR(IF(ISNUMBER(SEARCH("|"&amp;INDEX(INDIRECT(F_Custom2_resolved_column),2569)&amp;"|",F_Custom2_wrapped)),1,0),0))</f>
        <v>1</v>
      </c>
      <c r="F2570">
        <f>D2570*E2570*1</f>
        <v>1</v>
      </c>
      <c r="G2570">
        <f>1</f>
        <v>1</v>
      </c>
      <c r="H25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2569)&amp;"|",All_Questions_Q_STREAM_F_wrapped)),1,0),0))*1</f>
        <v>1</v>
      </c>
    </row>
    <row r="2571">
      <c r="A2571" t="n">
        <v>2570</v>
      </c>
      <c r="B2571" t="inlineStr">
        <is>
          <t>B</t>
        </is>
      </c>
      <c r="C2571">
        <f>1</f>
        <v>1</v>
      </c>
      <c r="D2571">
        <f>IF(OR(F_Custom1_Q="(None)",F_Custom1_Q="",ISBLANK(F_Custom1_Q),F_Custom1_V="(All)",F_Custom1_V="",ISBLANK(F_Custom1_V)),1,IFERROR(IF(ISNUMBER(SEARCH("|"&amp;INDEX(INDIRECT(F_Custom1_resolved_column),2570)&amp;"|",F_Custom1_wrapped)),1,0),0))</f>
        <v>1</v>
      </c>
      <c r="E2571">
        <f>IF(OR(F_Custom2_Q="(None)",F_Custom2_Q="",ISBLANK(F_Custom2_Q),F_Custom2_V="(All)",F_Custom2_V="",ISBLANK(F_Custom2_V)),1,IFERROR(IF(ISNUMBER(SEARCH("|"&amp;INDEX(INDIRECT(F_Custom2_resolved_column),2570)&amp;"|",F_Custom2_wrapped)),1,0),0))</f>
        <v>1</v>
      </c>
      <c r="F2571">
        <f>D2571*E2571*1</f>
        <v>1</v>
      </c>
      <c r="G2571">
        <f>1</f>
        <v>1</v>
      </c>
      <c r="H25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2570)&amp;"|",All_Questions_Q_STREAM_F_wrapped)),1,0),0))*1</f>
        <v>1</v>
      </c>
    </row>
    <row r="2572">
      <c r="A2572" t="n">
        <v>2571</v>
      </c>
      <c r="B2572" t="inlineStr">
        <is>
          <t>A</t>
        </is>
      </c>
      <c r="C2572">
        <f>1</f>
        <v>1</v>
      </c>
      <c r="D2572">
        <f>IF(OR(F_Custom1_Q="(None)",F_Custom1_Q="",ISBLANK(F_Custom1_Q),F_Custom1_V="(All)",F_Custom1_V="",ISBLANK(F_Custom1_V)),1,IFERROR(IF(ISNUMBER(SEARCH("|"&amp;INDEX(INDIRECT(F_Custom1_resolved_column),2571)&amp;"|",F_Custom1_wrapped)),1,0),0))</f>
        <v>1</v>
      </c>
      <c r="E2572">
        <f>IF(OR(F_Custom2_Q="(None)",F_Custom2_Q="",ISBLANK(F_Custom2_Q),F_Custom2_V="(All)",F_Custom2_V="",ISBLANK(F_Custom2_V)),1,IFERROR(IF(ISNUMBER(SEARCH("|"&amp;INDEX(INDIRECT(F_Custom2_resolved_column),2571)&amp;"|",F_Custom2_wrapped)),1,0),0))</f>
        <v>1</v>
      </c>
      <c r="F2572">
        <f>D2572*E2572*1</f>
        <v>1</v>
      </c>
      <c r="G2572">
        <f>1</f>
        <v>1</v>
      </c>
      <c r="H25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2571)&amp;"|",All_Questions_Q_STREAM_F_wrapped)),1,0),0))*1</f>
        <v>1</v>
      </c>
    </row>
    <row r="2573">
      <c r="A2573" t="n">
        <v>2572</v>
      </c>
      <c r="B2573" t="inlineStr">
        <is>
          <t>B</t>
        </is>
      </c>
      <c r="C2573">
        <f>1</f>
        <v>1</v>
      </c>
      <c r="D2573">
        <f>IF(OR(F_Custom1_Q="(None)",F_Custom1_Q="",ISBLANK(F_Custom1_Q),F_Custom1_V="(All)",F_Custom1_V="",ISBLANK(F_Custom1_V)),1,IFERROR(IF(ISNUMBER(SEARCH("|"&amp;INDEX(INDIRECT(F_Custom1_resolved_column),2572)&amp;"|",F_Custom1_wrapped)),1,0),0))</f>
        <v>1</v>
      </c>
      <c r="E2573">
        <f>IF(OR(F_Custom2_Q="(None)",F_Custom2_Q="",ISBLANK(F_Custom2_Q),F_Custom2_V="(All)",F_Custom2_V="",ISBLANK(F_Custom2_V)),1,IFERROR(IF(ISNUMBER(SEARCH("|"&amp;INDEX(INDIRECT(F_Custom2_resolved_column),2572)&amp;"|",F_Custom2_wrapped)),1,0),0))</f>
        <v>1</v>
      </c>
      <c r="F2573">
        <f>D2573*E2573*1</f>
        <v>1</v>
      </c>
      <c r="G2573">
        <f>1</f>
        <v>1</v>
      </c>
      <c r="H25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2572)&amp;"|",All_Questions_Q_STREAM_F_wrapped)),1,0),0))*1</f>
        <v>1</v>
      </c>
    </row>
    <row r="2574">
      <c r="A2574" t="n">
        <v>2573</v>
      </c>
      <c r="B2574" t="inlineStr">
        <is>
          <t>A</t>
        </is>
      </c>
      <c r="C2574">
        <f>1</f>
        <v>1</v>
      </c>
      <c r="D2574">
        <f>IF(OR(F_Custom1_Q="(None)",F_Custom1_Q="",ISBLANK(F_Custom1_Q),F_Custom1_V="(All)",F_Custom1_V="",ISBLANK(F_Custom1_V)),1,IFERROR(IF(ISNUMBER(SEARCH("|"&amp;INDEX(INDIRECT(F_Custom1_resolved_column),2573)&amp;"|",F_Custom1_wrapped)),1,0),0))</f>
        <v>1</v>
      </c>
      <c r="E2574">
        <f>IF(OR(F_Custom2_Q="(None)",F_Custom2_Q="",ISBLANK(F_Custom2_Q),F_Custom2_V="(All)",F_Custom2_V="",ISBLANK(F_Custom2_V)),1,IFERROR(IF(ISNUMBER(SEARCH("|"&amp;INDEX(INDIRECT(F_Custom2_resolved_column),2573)&amp;"|",F_Custom2_wrapped)),1,0),0))</f>
        <v>1</v>
      </c>
      <c r="F2574">
        <f>D2574*E2574*1</f>
        <v>1</v>
      </c>
      <c r="G2574">
        <f>1</f>
        <v>1</v>
      </c>
      <c r="H25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2573)&amp;"|",All_Questions_Q_STREAM_F_wrapped)),1,0),0))*1</f>
        <v>1</v>
      </c>
    </row>
    <row r="2575">
      <c r="A2575" t="n">
        <v>2574</v>
      </c>
      <c r="B2575" t="inlineStr">
        <is>
          <t>B</t>
        </is>
      </c>
      <c r="C2575">
        <f>1</f>
        <v>1</v>
      </c>
      <c r="D2575">
        <f>IF(OR(F_Custom1_Q="(None)",F_Custom1_Q="",ISBLANK(F_Custom1_Q),F_Custom1_V="(All)",F_Custom1_V="",ISBLANK(F_Custom1_V)),1,IFERROR(IF(ISNUMBER(SEARCH("|"&amp;INDEX(INDIRECT(F_Custom1_resolved_column),2574)&amp;"|",F_Custom1_wrapped)),1,0),0))</f>
        <v>1</v>
      </c>
      <c r="E2575">
        <f>IF(OR(F_Custom2_Q="(None)",F_Custom2_Q="",ISBLANK(F_Custom2_Q),F_Custom2_V="(All)",F_Custom2_V="",ISBLANK(F_Custom2_V)),1,IFERROR(IF(ISNUMBER(SEARCH("|"&amp;INDEX(INDIRECT(F_Custom2_resolved_column),2574)&amp;"|",F_Custom2_wrapped)),1,0),0))</f>
        <v>1</v>
      </c>
      <c r="F2575">
        <f>D2575*E2575*1</f>
        <v>1</v>
      </c>
      <c r="G2575">
        <f>1</f>
        <v>1</v>
      </c>
      <c r="H25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2574)&amp;"|",All_Questions_Q_STREAM_F_wrapped)),1,0),0))*1</f>
        <v>1</v>
      </c>
    </row>
    <row r="2576">
      <c r="A2576" t="n">
        <v>2575</v>
      </c>
      <c r="B2576" t="inlineStr">
        <is>
          <t>A</t>
        </is>
      </c>
      <c r="C2576">
        <f>1</f>
        <v>1</v>
      </c>
      <c r="D2576">
        <f>IF(OR(F_Custom1_Q="(None)",F_Custom1_Q="",ISBLANK(F_Custom1_Q),F_Custom1_V="(All)",F_Custom1_V="",ISBLANK(F_Custom1_V)),1,IFERROR(IF(ISNUMBER(SEARCH("|"&amp;INDEX(INDIRECT(F_Custom1_resolved_column),2575)&amp;"|",F_Custom1_wrapped)),1,0),0))</f>
        <v>1</v>
      </c>
      <c r="E2576">
        <f>IF(OR(F_Custom2_Q="(None)",F_Custom2_Q="",ISBLANK(F_Custom2_Q),F_Custom2_V="(All)",F_Custom2_V="",ISBLANK(F_Custom2_V)),1,IFERROR(IF(ISNUMBER(SEARCH("|"&amp;INDEX(INDIRECT(F_Custom2_resolved_column),2575)&amp;"|",F_Custom2_wrapped)),1,0),0))</f>
        <v>1</v>
      </c>
      <c r="F2576">
        <f>D2576*E2576*1</f>
        <v>1</v>
      </c>
      <c r="G2576">
        <f>1</f>
        <v>1</v>
      </c>
      <c r="H25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2575)&amp;"|",All_Questions_Q_STREAM_F_wrapped)),1,0),0))*1</f>
        <v>1</v>
      </c>
    </row>
    <row r="2577">
      <c r="A2577" t="n">
        <v>2576</v>
      </c>
      <c r="B2577" t="inlineStr">
        <is>
          <t>B</t>
        </is>
      </c>
      <c r="C2577">
        <f>1</f>
        <v>1</v>
      </c>
      <c r="D2577">
        <f>IF(OR(F_Custom1_Q="(None)",F_Custom1_Q="",ISBLANK(F_Custom1_Q),F_Custom1_V="(All)",F_Custom1_V="",ISBLANK(F_Custom1_V)),1,IFERROR(IF(ISNUMBER(SEARCH("|"&amp;INDEX(INDIRECT(F_Custom1_resolved_column),2576)&amp;"|",F_Custom1_wrapped)),1,0),0))</f>
        <v>1</v>
      </c>
      <c r="E2577">
        <f>IF(OR(F_Custom2_Q="(None)",F_Custom2_Q="",ISBLANK(F_Custom2_Q),F_Custom2_V="(All)",F_Custom2_V="",ISBLANK(F_Custom2_V)),1,IFERROR(IF(ISNUMBER(SEARCH("|"&amp;INDEX(INDIRECT(F_Custom2_resolved_column),2576)&amp;"|",F_Custom2_wrapped)),1,0),0))</f>
        <v>1</v>
      </c>
      <c r="F2577">
        <f>D2577*E2577*1</f>
        <v>1</v>
      </c>
      <c r="G2577">
        <f>1</f>
        <v>1</v>
      </c>
      <c r="H25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2576)&amp;"|",All_Questions_Q_STREAM_F_wrapped)),1,0),0))*1</f>
        <v>1</v>
      </c>
    </row>
    <row r="2578">
      <c r="A2578" t="n">
        <v>2577</v>
      </c>
      <c r="B2578" t="inlineStr">
        <is>
          <t>A</t>
        </is>
      </c>
      <c r="C2578">
        <f>1</f>
        <v>1</v>
      </c>
      <c r="D2578">
        <f>IF(OR(F_Custom1_Q="(None)",F_Custom1_Q="",ISBLANK(F_Custom1_Q),F_Custom1_V="(All)",F_Custom1_V="",ISBLANK(F_Custom1_V)),1,IFERROR(IF(ISNUMBER(SEARCH("|"&amp;INDEX(INDIRECT(F_Custom1_resolved_column),2577)&amp;"|",F_Custom1_wrapped)),1,0),0))</f>
        <v>1</v>
      </c>
      <c r="E2578">
        <f>IF(OR(F_Custom2_Q="(None)",F_Custom2_Q="",ISBLANK(F_Custom2_Q),F_Custom2_V="(All)",F_Custom2_V="",ISBLANK(F_Custom2_V)),1,IFERROR(IF(ISNUMBER(SEARCH("|"&amp;INDEX(INDIRECT(F_Custom2_resolved_column),2577)&amp;"|",F_Custom2_wrapped)),1,0),0))</f>
        <v>1</v>
      </c>
      <c r="F2578">
        <f>D2578*E2578*1</f>
        <v>1</v>
      </c>
      <c r="G2578">
        <f>1</f>
        <v>1</v>
      </c>
      <c r="H25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2577)&amp;"|",All_Questions_Q_STREAM_F_wrapped)),1,0),0))*1</f>
        <v>1</v>
      </c>
    </row>
    <row r="2579">
      <c r="A2579" t="n">
        <v>2578</v>
      </c>
      <c r="B2579" t="inlineStr">
        <is>
          <t>B</t>
        </is>
      </c>
      <c r="C2579">
        <f>1</f>
        <v>1</v>
      </c>
      <c r="D2579">
        <f>IF(OR(F_Custom1_Q="(None)",F_Custom1_Q="",ISBLANK(F_Custom1_Q),F_Custom1_V="(All)",F_Custom1_V="",ISBLANK(F_Custom1_V)),1,IFERROR(IF(ISNUMBER(SEARCH("|"&amp;INDEX(INDIRECT(F_Custom1_resolved_column),2578)&amp;"|",F_Custom1_wrapped)),1,0),0))</f>
        <v>1</v>
      </c>
      <c r="E2579">
        <f>IF(OR(F_Custom2_Q="(None)",F_Custom2_Q="",ISBLANK(F_Custom2_Q),F_Custom2_V="(All)",F_Custom2_V="",ISBLANK(F_Custom2_V)),1,IFERROR(IF(ISNUMBER(SEARCH("|"&amp;INDEX(INDIRECT(F_Custom2_resolved_column),2578)&amp;"|",F_Custom2_wrapped)),1,0),0))</f>
        <v>1</v>
      </c>
      <c r="F2579">
        <f>D2579*E2579*1</f>
        <v>1</v>
      </c>
      <c r="G2579">
        <f>1</f>
        <v>1</v>
      </c>
      <c r="H25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2578)&amp;"|",All_Questions_Q_STREAM_F_wrapped)),1,0),0))*1</f>
        <v>1</v>
      </c>
    </row>
    <row r="2580">
      <c r="A2580" t="n">
        <v>2579</v>
      </c>
      <c r="B2580" t="inlineStr">
        <is>
          <t>A</t>
        </is>
      </c>
      <c r="C2580">
        <f>1</f>
        <v>1</v>
      </c>
      <c r="D2580">
        <f>IF(OR(F_Custom1_Q="(None)",F_Custom1_Q="",ISBLANK(F_Custom1_Q),F_Custom1_V="(All)",F_Custom1_V="",ISBLANK(F_Custom1_V)),1,IFERROR(IF(ISNUMBER(SEARCH("|"&amp;INDEX(INDIRECT(F_Custom1_resolved_column),2579)&amp;"|",F_Custom1_wrapped)),1,0),0))</f>
        <v>1</v>
      </c>
      <c r="E2580">
        <f>IF(OR(F_Custom2_Q="(None)",F_Custom2_Q="",ISBLANK(F_Custom2_Q),F_Custom2_V="(All)",F_Custom2_V="",ISBLANK(F_Custom2_V)),1,IFERROR(IF(ISNUMBER(SEARCH("|"&amp;INDEX(INDIRECT(F_Custom2_resolved_column),2579)&amp;"|",F_Custom2_wrapped)),1,0),0))</f>
        <v>1</v>
      </c>
      <c r="F2580">
        <f>D2580*E2580*1</f>
        <v>1</v>
      </c>
      <c r="G2580">
        <f>1</f>
        <v>1</v>
      </c>
      <c r="H25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2579)&amp;"|",All_Questions_Q_STREAM_F_wrapped)),1,0),0))*1</f>
        <v>1</v>
      </c>
    </row>
    <row r="2581">
      <c r="A2581" t="n">
        <v>2580</v>
      </c>
      <c r="B2581" t="inlineStr">
        <is>
          <t>B</t>
        </is>
      </c>
      <c r="C2581">
        <f>1</f>
        <v>1</v>
      </c>
      <c r="D2581">
        <f>IF(OR(F_Custom1_Q="(None)",F_Custom1_Q="",ISBLANK(F_Custom1_Q),F_Custom1_V="(All)",F_Custom1_V="",ISBLANK(F_Custom1_V)),1,IFERROR(IF(ISNUMBER(SEARCH("|"&amp;INDEX(INDIRECT(F_Custom1_resolved_column),2580)&amp;"|",F_Custom1_wrapped)),1,0),0))</f>
        <v>1</v>
      </c>
      <c r="E2581">
        <f>IF(OR(F_Custom2_Q="(None)",F_Custom2_Q="",ISBLANK(F_Custom2_Q),F_Custom2_V="(All)",F_Custom2_V="",ISBLANK(F_Custom2_V)),1,IFERROR(IF(ISNUMBER(SEARCH("|"&amp;INDEX(INDIRECT(F_Custom2_resolved_column),2580)&amp;"|",F_Custom2_wrapped)),1,0),0))</f>
        <v>1</v>
      </c>
      <c r="F2581">
        <f>D2581*E2581*1</f>
        <v>1</v>
      </c>
      <c r="G2581">
        <f>1</f>
        <v>1</v>
      </c>
      <c r="H25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2580)&amp;"|",All_Questions_Q_STREAM_F_wrapped)),1,0),0))*1</f>
        <v>1</v>
      </c>
    </row>
    <row r="2582">
      <c r="A2582" t="n">
        <v>2581</v>
      </c>
      <c r="B2582" t="inlineStr">
        <is>
          <t>A</t>
        </is>
      </c>
      <c r="C2582">
        <f>1</f>
        <v>1</v>
      </c>
      <c r="D2582">
        <f>IF(OR(F_Custom1_Q="(None)",F_Custom1_Q="",ISBLANK(F_Custom1_Q),F_Custom1_V="(All)",F_Custom1_V="",ISBLANK(F_Custom1_V)),1,IFERROR(IF(ISNUMBER(SEARCH("|"&amp;INDEX(INDIRECT(F_Custom1_resolved_column),2581)&amp;"|",F_Custom1_wrapped)),1,0),0))</f>
        <v>1</v>
      </c>
      <c r="E2582">
        <f>IF(OR(F_Custom2_Q="(None)",F_Custom2_Q="",ISBLANK(F_Custom2_Q),F_Custom2_V="(All)",F_Custom2_V="",ISBLANK(F_Custom2_V)),1,IFERROR(IF(ISNUMBER(SEARCH("|"&amp;INDEX(INDIRECT(F_Custom2_resolved_column),2581)&amp;"|",F_Custom2_wrapped)),1,0),0))</f>
        <v>1</v>
      </c>
      <c r="F2582">
        <f>D2582*E2582*1</f>
        <v>1</v>
      </c>
      <c r="G2582">
        <f>1</f>
        <v>1</v>
      </c>
      <c r="H25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2581)&amp;"|",All_Questions_Q_STREAM_F_wrapped)),1,0),0))*1</f>
        <v>1</v>
      </c>
    </row>
    <row r="2583">
      <c r="A2583" t="n">
        <v>2582</v>
      </c>
      <c r="B2583" t="inlineStr">
        <is>
          <t>B</t>
        </is>
      </c>
      <c r="C2583">
        <f>1</f>
        <v>1</v>
      </c>
      <c r="D2583">
        <f>IF(OR(F_Custom1_Q="(None)",F_Custom1_Q="",ISBLANK(F_Custom1_Q),F_Custom1_V="(All)",F_Custom1_V="",ISBLANK(F_Custom1_V)),1,IFERROR(IF(ISNUMBER(SEARCH("|"&amp;INDEX(INDIRECT(F_Custom1_resolved_column),2582)&amp;"|",F_Custom1_wrapped)),1,0),0))</f>
        <v>1</v>
      </c>
      <c r="E2583">
        <f>IF(OR(F_Custom2_Q="(None)",F_Custom2_Q="",ISBLANK(F_Custom2_Q),F_Custom2_V="(All)",F_Custom2_V="",ISBLANK(F_Custom2_V)),1,IFERROR(IF(ISNUMBER(SEARCH("|"&amp;INDEX(INDIRECT(F_Custom2_resolved_column),2582)&amp;"|",F_Custom2_wrapped)),1,0),0))</f>
        <v>1</v>
      </c>
      <c r="F2583">
        <f>D2583*E2583*1</f>
        <v>1</v>
      </c>
      <c r="G2583">
        <f>1</f>
        <v>1</v>
      </c>
      <c r="H25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2582)&amp;"|",All_Questions_Q_STREAM_F_wrapped)),1,0),0))*1</f>
        <v>1</v>
      </c>
    </row>
    <row r="2584">
      <c r="A2584" t="n">
        <v>2583</v>
      </c>
      <c r="B2584" t="inlineStr">
        <is>
          <t>A</t>
        </is>
      </c>
      <c r="C2584">
        <f>1</f>
        <v>1</v>
      </c>
      <c r="D2584">
        <f>IF(OR(F_Custom1_Q="(None)",F_Custom1_Q="",ISBLANK(F_Custom1_Q),F_Custom1_V="(All)",F_Custom1_V="",ISBLANK(F_Custom1_V)),1,IFERROR(IF(ISNUMBER(SEARCH("|"&amp;INDEX(INDIRECT(F_Custom1_resolved_column),2583)&amp;"|",F_Custom1_wrapped)),1,0),0))</f>
        <v>1</v>
      </c>
      <c r="E2584">
        <f>IF(OR(F_Custom2_Q="(None)",F_Custom2_Q="",ISBLANK(F_Custom2_Q),F_Custom2_V="(All)",F_Custom2_V="",ISBLANK(F_Custom2_V)),1,IFERROR(IF(ISNUMBER(SEARCH("|"&amp;INDEX(INDIRECT(F_Custom2_resolved_column),2583)&amp;"|",F_Custom2_wrapped)),1,0),0))</f>
        <v>1</v>
      </c>
      <c r="F2584">
        <f>D2584*E2584*1</f>
        <v>1</v>
      </c>
      <c r="G2584">
        <f>1</f>
        <v>1</v>
      </c>
      <c r="H25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2583)&amp;"|",All_Questions_Q_STREAM_F_wrapped)),1,0),0))*1</f>
        <v>1</v>
      </c>
    </row>
    <row r="2585">
      <c r="A2585" t="n">
        <v>2584</v>
      </c>
      <c r="B2585" t="inlineStr">
        <is>
          <t>B</t>
        </is>
      </c>
      <c r="C2585">
        <f>1</f>
        <v>1</v>
      </c>
      <c r="D2585">
        <f>IF(OR(F_Custom1_Q="(None)",F_Custom1_Q="",ISBLANK(F_Custom1_Q),F_Custom1_V="(All)",F_Custom1_V="",ISBLANK(F_Custom1_V)),1,IFERROR(IF(ISNUMBER(SEARCH("|"&amp;INDEX(INDIRECT(F_Custom1_resolved_column),2584)&amp;"|",F_Custom1_wrapped)),1,0),0))</f>
        <v>1</v>
      </c>
      <c r="E2585">
        <f>IF(OR(F_Custom2_Q="(None)",F_Custom2_Q="",ISBLANK(F_Custom2_Q),F_Custom2_V="(All)",F_Custom2_V="",ISBLANK(F_Custom2_V)),1,IFERROR(IF(ISNUMBER(SEARCH("|"&amp;INDEX(INDIRECT(F_Custom2_resolved_column),2584)&amp;"|",F_Custom2_wrapped)),1,0),0))</f>
        <v>1</v>
      </c>
      <c r="F2585">
        <f>D2585*E2585*1</f>
        <v>1</v>
      </c>
      <c r="G2585">
        <f>1</f>
        <v>1</v>
      </c>
      <c r="H25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2584)&amp;"|",All_Questions_Q_STREAM_F_wrapped)),1,0),0))*1</f>
        <v>1</v>
      </c>
    </row>
    <row r="2586">
      <c r="A2586" t="n">
        <v>2585</v>
      </c>
      <c r="B2586" t="inlineStr">
        <is>
          <t>A</t>
        </is>
      </c>
      <c r="C2586">
        <f>1</f>
        <v>1</v>
      </c>
      <c r="D2586">
        <f>IF(OR(F_Custom1_Q="(None)",F_Custom1_Q="",ISBLANK(F_Custom1_Q),F_Custom1_V="(All)",F_Custom1_V="",ISBLANK(F_Custom1_V)),1,IFERROR(IF(ISNUMBER(SEARCH("|"&amp;INDEX(INDIRECT(F_Custom1_resolved_column),2585)&amp;"|",F_Custom1_wrapped)),1,0),0))</f>
        <v>1</v>
      </c>
      <c r="E2586">
        <f>IF(OR(F_Custom2_Q="(None)",F_Custom2_Q="",ISBLANK(F_Custom2_Q),F_Custom2_V="(All)",F_Custom2_V="",ISBLANK(F_Custom2_V)),1,IFERROR(IF(ISNUMBER(SEARCH("|"&amp;INDEX(INDIRECT(F_Custom2_resolved_column),2585)&amp;"|",F_Custom2_wrapped)),1,0),0))</f>
        <v>1</v>
      </c>
      <c r="F2586">
        <f>D2586*E2586*1</f>
        <v>1</v>
      </c>
      <c r="G2586">
        <f>1</f>
        <v>1</v>
      </c>
      <c r="H25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2585)&amp;"|",All_Questions_Q_STREAM_F_wrapped)),1,0),0))*1</f>
        <v>1</v>
      </c>
    </row>
    <row r="2587">
      <c r="A2587" t="n">
        <v>2586</v>
      </c>
      <c r="B2587" t="inlineStr">
        <is>
          <t>B</t>
        </is>
      </c>
      <c r="C2587">
        <f>1</f>
        <v>1</v>
      </c>
      <c r="D2587">
        <f>IF(OR(F_Custom1_Q="(None)",F_Custom1_Q="",ISBLANK(F_Custom1_Q),F_Custom1_V="(All)",F_Custom1_V="",ISBLANK(F_Custom1_V)),1,IFERROR(IF(ISNUMBER(SEARCH("|"&amp;INDEX(INDIRECT(F_Custom1_resolved_column),2586)&amp;"|",F_Custom1_wrapped)),1,0),0))</f>
        <v>1</v>
      </c>
      <c r="E2587">
        <f>IF(OR(F_Custom2_Q="(None)",F_Custom2_Q="",ISBLANK(F_Custom2_Q),F_Custom2_V="(All)",F_Custom2_V="",ISBLANK(F_Custom2_V)),1,IFERROR(IF(ISNUMBER(SEARCH("|"&amp;INDEX(INDIRECT(F_Custom2_resolved_column),2586)&amp;"|",F_Custom2_wrapped)),1,0),0))</f>
        <v>1</v>
      </c>
      <c r="F2587">
        <f>D2587*E2587*1</f>
        <v>1</v>
      </c>
      <c r="G2587">
        <f>1</f>
        <v>1</v>
      </c>
      <c r="H25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2586)&amp;"|",All_Questions_Q_STREAM_F_wrapped)),1,0),0))*1</f>
        <v>1</v>
      </c>
    </row>
    <row r="2588">
      <c r="A2588" t="n">
        <v>2587</v>
      </c>
      <c r="B2588" t="inlineStr">
        <is>
          <t>A</t>
        </is>
      </c>
      <c r="C2588">
        <f>1</f>
        <v>1</v>
      </c>
      <c r="D2588">
        <f>IF(OR(F_Custom1_Q="(None)",F_Custom1_Q="",ISBLANK(F_Custom1_Q),F_Custom1_V="(All)",F_Custom1_V="",ISBLANK(F_Custom1_V)),1,IFERROR(IF(ISNUMBER(SEARCH("|"&amp;INDEX(INDIRECT(F_Custom1_resolved_column),2587)&amp;"|",F_Custom1_wrapped)),1,0),0))</f>
        <v>1</v>
      </c>
      <c r="E2588">
        <f>IF(OR(F_Custom2_Q="(None)",F_Custom2_Q="",ISBLANK(F_Custom2_Q),F_Custom2_V="(All)",F_Custom2_V="",ISBLANK(F_Custom2_V)),1,IFERROR(IF(ISNUMBER(SEARCH("|"&amp;INDEX(INDIRECT(F_Custom2_resolved_column),2587)&amp;"|",F_Custom2_wrapped)),1,0),0))</f>
        <v>1</v>
      </c>
      <c r="F2588">
        <f>D2588*E2588*1</f>
        <v>1</v>
      </c>
      <c r="G2588">
        <f>1</f>
        <v>1</v>
      </c>
      <c r="H25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2587)&amp;"|",All_Questions_Q_STREAM_F_wrapped)),1,0),0))*1</f>
        <v>1</v>
      </c>
    </row>
    <row r="2589">
      <c r="A2589" t="n">
        <v>2588</v>
      </c>
      <c r="B2589" t="inlineStr">
        <is>
          <t>B</t>
        </is>
      </c>
      <c r="C2589">
        <f>1</f>
        <v>1</v>
      </c>
      <c r="D2589">
        <f>IF(OR(F_Custom1_Q="(None)",F_Custom1_Q="",ISBLANK(F_Custom1_Q),F_Custom1_V="(All)",F_Custom1_V="",ISBLANK(F_Custom1_V)),1,IFERROR(IF(ISNUMBER(SEARCH("|"&amp;INDEX(INDIRECT(F_Custom1_resolved_column),2588)&amp;"|",F_Custom1_wrapped)),1,0),0))</f>
        <v>1</v>
      </c>
      <c r="E2589">
        <f>IF(OR(F_Custom2_Q="(None)",F_Custom2_Q="",ISBLANK(F_Custom2_Q),F_Custom2_V="(All)",F_Custom2_V="",ISBLANK(F_Custom2_V)),1,IFERROR(IF(ISNUMBER(SEARCH("|"&amp;INDEX(INDIRECT(F_Custom2_resolved_column),2588)&amp;"|",F_Custom2_wrapped)),1,0),0))</f>
        <v>1</v>
      </c>
      <c r="F2589">
        <f>D2589*E2589*1</f>
        <v>1</v>
      </c>
      <c r="G2589">
        <f>1</f>
        <v>1</v>
      </c>
      <c r="H25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2588)&amp;"|",All_Questions_Q_STREAM_F_wrapped)),1,0),0))*1</f>
        <v>1</v>
      </c>
    </row>
    <row r="2590">
      <c r="A2590" t="n">
        <v>2589</v>
      </c>
      <c r="B2590" t="inlineStr">
        <is>
          <t>A</t>
        </is>
      </c>
      <c r="C2590">
        <f>1</f>
        <v>1</v>
      </c>
      <c r="D2590">
        <f>IF(OR(F_Custom1_Q="(None)",F_Custom1_Q="",ISBLANK(F_Custom1_Q),F_Custom1_V="(All)",F_Custom1_V="",ISBLANK(F_Custom1_V)),1,IFERROR(IF(ISNUMBER(SEARCH("|"&amp;INDEX(INDIRECT(F_Custom1_resolved_column),2589)&amp;"|",F_Custom1_wrapped)),1,0),0))</f>
        <v>1</v>
      </c>
      <c r="E2590">
        <f>IF(OR(F_Custom2_Q="(None)",F_Custom2_Q="",ISBLANK(F_Custom2_Q),F_Custom2_V="(All)",F_Custom2_V="",ISBLANK(F_Custom2_V)),1,IFERROR(IF(ISNUMBER(SEARCH("|"&amp;INDEX(INDIRECT(F_Custom2_resolved_column),2589)&amp;"|",F_Custom2_wrapped)),1,0),0))</f>
        <v>1</v>
      </c>
      <c r="F2590">
        <f>D2590*E2590*1</f>
        <v>1</v>
      </c>
      <c r="G2590">
        <f>1</f>
        <v>1</v>
      </c>
      <c r="H25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2589)&amp;"|",All_Questions_Q_STREAM_F_wrapped)),1,0),0))*1</f>
        <v>1</v>
      </c>
    </row>
    <row r="2591">
      <c r="A2591" t="n">
        <v>2590</v>
      </c>
      <c r="B2591" t="inlineStr">
        <is>
          <t>B</t>
        </is>
      </c>
      <c r="C2591">
        <f>1</f>
        <v>1</v>
      </c>
      <c r="D2591">
        <f>IF(OR(F_Custom1_Q="(None)",F_Custom1_Q="",ISBLANK(F_Custom1_Q),F_Custom1_V="(All)",F_Custom1_V="",ISBLANK(F_Custom1_V)),1,IFERROR(IF(ISNUMBER(SEARCH("|"&amp;INDEX(INDIRECT(F_Custom1_resolved_column),2590)&amp;"|",F_Custom1_wrapped)),1,0),0))</f>
        <v>1</v>
      </c>
      <c r="E2591">
        <f>IF(OR(F_Custom2_Q="(None)",F_Custom2_Q="",ISBLANK(F_Custom2_Q),F_Custom2_V="(All)",F_Custom2_V="",ISBLANK(F_Custom2_V)),1,IFERROR(IF(ISNUMBER(SEARCH("|"&amp;INDEX(INDIRECT(F_Custom2_resolved_column),2590)&amp;"|",F_Custom2_wrapped)),1,0),0))</f>
        <v>1</v>
      </c>
      <c r="F2591">
        <f>D2591*E2591*1</f>
        <v>1</v>
      </c>
      <c r="G2591">
        <f>1</f>
        <v>1</v>
      </c>
      <c r="H25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2590)&amp;"|",All_Questions_Q_STREAM_F_wrapped)),1,0),0))*1</f>
        <v>1</v>
      </c>
    </row>
    <row r="2592">
      <c r="A2592" t="n">
        <v>2591</v>
      </c>
      <c r="B2592" t="inlineStr">
        <is>
          <t>A</t>
        </is>
      </c>
      <c r="C2592">
        <f>1</f>
        <v>1</v>
      </c>
      <c r="D2592">
        <f>IF(OR(F_Custom1_Q="(None)",F_Custom1_Q="",ISBLANK(F_Custom1_Q),F_Custom1_V="(All)",F_Custom1_V="",ISBLANK(F_Custom1_V)),1,IFERROR(IF(ISNUMBER(SEARCH("|"&amp;INDEX(INDIRECT(F_Custom1_resolved_column),2591)&amp;"|",F_Custom1_wrapped)),1,0),0))</f>
        <v>1</v>
      </c>
      <c r="E2592">
        <f>IF(OR(F_Custom2_Q="(None)",F_Custom2_Q="",ISBLANK(F_Custom2_Q),F_Custom2_V="(All)",F_Custom2_V="",ISBLANK(F_Custom2_V)),1,IFERROR(IF(ISNUMBER(SEARCH("|"&amp;INDEX(INDIRECT(F_Custom2_resolved_column),2591)&amp;"|",F_Custom2_wrapped)),1,0),0))</f>
        <v>1</v>
      </c>
      <c r="F2592">
        <f>D2592*E2592*1</f>
        <v>1</v>
      </c>
      <c r="G2592">
        <f>1</f>
        <v>1</v>
      </c>
      <c r="H25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2591)&amp;"|",All_Questions_Q_STREAM_F_wrapped)),1,0),0))*1</f>
        <v>1</v>
      </c>
    </row>
    <row r="2593">
      <c r="A2593" t="n">
        <v>2592</v>
      </c>
      <c r="B2593" t="inlineStr">
        <is>
          <t>B</t>
        </is>
      </c>
      <c r="C2593">
        <f>1</f>
        <v>1</v>
      </c>
      <c r="D2593">
        <f>IF(OR(F_Custom1_Q="(None)",F_Custom1_Q="",ISBLANK(F_Custom1_Q),F_Custom1_V="(All)",F_Custom1_V="",ISBLANK(F_Custom1_V)),1,IFERROR(IF(ISNUMBER(SEARCH("|"&amp;INDEX(INDIRECT(F_Custom1_resolved_column),2592)&amp;"|",F_Custom1_wrapped)),1,0),0))</f>
        <v>1</v>
      </c>
      <c r="E2593">
        <f>IF(OR(F_Custom2_Q="(None)",F_Custom2_Q="",ISBLANK(F_Custom2_Q),F_Custom2_V="(All)",F_Custom2_V="",ISBLANK(F_Custom2_V)),1,IFERROR(IF(ISNUMBER(SEARCH("|"&amp;INDEX(INDIRECT(F_Custom2_resolved_column),2592)&amp;"|",F_Custom2_wrapped)),1,0),0))</f>
        <v>1</v>
      </c>
      <c r="F2593">
        <f>D2593*E2593*1</f>
        <v>1</v>
      </c>
      <c r="G2593">
        <f>1</f>
        <v>1</v>
      </c>
      <c r="H25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2592)&amp;"|",All_Questions_Q_STREAM_F_wrapped)),1,0),0))*1</f>
        <v>1</v>
      </c>
    </row>
    <row r="2594">
      <c r="A2594" t="n">
        <v>2593</v>
      </c>
      <c r="B2594" t="inlineStr">
        <is>
          <t>A</t>
        </is>
      </c>
      <c r="C2594">
        <f>1</f>
        <v>1</v>
      </c>
      <c r="D2594">
        <f>IF(OR(F_Custom1_Q="(None)",F_Custom1_Q="",ISBLANK(F_Custom1_Q),F_Custom1_V="(All)",F_Custom1_V="",ISBLANK(F_Custom1_V)),1,IFERROR(IF(ISNUMBER(SEARCH("|"&amp;INDEX(INDIRECT(F_Custom1_resolved_column),2593)&amp;"|",F_Custom1_wrapped)),1,0),0))</f>
        <v>1</v>
      </c>
      <c r="E2594">
        <f>IF(OR(F_Custom2_Q="(None)",F_Custom2_Q="",ISBLANK(F_Custom2_Q),F_Custom2_V="(All)",F_Custom2_V="",ISBLANK(F_Custom2_V)),1,IFERROR(IF(ISNUMBER(SEARCH("|"&amp;INDEX(INDIRECT(F_Custom2_resolved_column),2593)&amp;"|",F_Custom2_wrapped)),1,0),0))</f>
        <v>1</v>
      </c>
      <c r="F2594">
        <f>D2594*E2594*1</f>
        <v>1</v>
      </c>
      <c r="G2594">
        <f>1</f>
        <v>1</v>
      </c>
      <c r="H25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2593)&amp;"|",All_Questions_Q_STREAM_F_wrapped)),1,0),0))*1</f>
        <v>1</v>
      </c>
    </row>
    <row r="2595">
      <c r="A2595" t="n">
        <v>2594</v>
      </c>
      <c r="B2595" t="inlineStr">
        <is>
          <t>B</t>
        </is>
      </c>
      <c r="C2595">
        <f>1</f>
        <v>1</v>
      </c>
      <c r="D2595">
        <f>IF(OR(F_Custom1_Q="(None)",F_Custom1_Q="",ISBLANK(F_Custom1_Q),F_Custom1_V="(All)",F_Custom1_V="",ISBLANK(F_Custom1_V)),1,IFERROR(IF(ISNUMBER(SEARCH("|"&amp;INDEX(INDIRECT(F_Custom1_resolved_column),2594)&amp;"|",F_Custom1_wrapped)),1,0),0))</f>
        <v>1</v>
      </c>
      <c r="E2595">
        <f>IF(OR(F_Custom2_Q="(None)",F_Custom2_Q="",ISBLANK(F_Custom2_Q),F_Custom2_V="(All)",F_Custom2_V="",ISBLANK(F_Custom2_V)),1,IFERROR(IF(ISNUMBER(SEARCH("|"&amp;INDEX(INDIRECT(F_Custom2_resolved_column),2594)&amp;"|",F_Custom2_wrapped)),1,0),0))</f>
        <v>1</v>
      </c>
      <c r="F2595">
        <f>D2595*E2595*1</f>
        <v>1</v>
      </c>
      <c r="G2595">
        <f>1</f>
        <v>1</v>
      </c>
      <c r="H25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2594)&amp;"|",All_Questions_Q_STREAM_F_wrapped)),1,0),0))*1</f>
        <v>1</v>
      </c>
    </row>
    <row r="2596">
      <c r="A2596" t="n">
        <v>2595</v>
      </c>
      <c r="B2596" t="inlineStr">
        <is>
          <t>A</t>
        </is>
      </c>
      <c r="C2596">
        <f>1</f>
        <v>1</v>
      </c>
      <c r="D2596">
        <f>IF(OR(F_Custom1_Q="(None)",F_Custom1_Q="",ISBLANK(F_Custom1_Q),F_Custom1_V="(All)",F_Custom1_V="",ISBLANK(F_Custom1_V)),1,IFERROR(IF(ISNUMBER(SEARCH("|"&amp;INDEX(INDIRECT(F_Custom1_resolved_column),2595)&amp;"|",F_Custom1_wrapped)),1,0),0))</f>
        <v>1</v>
      </c>
      <c r="E2596">
        <f>IF(OR(F_Custom2_Q="(None)",F_Custom2_Q="",ISBLANK(F_Custom2_Q),F_Custom2_V="(All)",F_Custom2_V="",ISBLANK(F_Custom2_V)),1,IFERROR(IF(ISNUMBER(SEARCH("|"&amp;INDEX(INDIRECT(F_Custom2_resolved_column),2595)&amp;"|",F_Custom2_wrapped)),1,0),0))</f>
        <v>1</v>
      </c>
      <c r="F2596">
        <f>D2596*E2596*1</f>
        <v>1</v>
      </c>
      <c r="G2596">
        <f>1</f>
        <v>1</v>
      </c>
      <c r="H25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2595)&amp;"|",All_Questions_Q_STREAM_F_wrapped)),1,0),0))*1</f>
        <v>1</v>
      </c>
    </row>
    <row r="2597">
      <c r="A2597" t="n">
        <v>2596</v>
      </c>
      <c r="B2597" t="inlineStr">
        <is>
          <t>B</t>
        </is>
      </c>
      <c r="C2597">
        <f>1</f>
        <v>1</v>
      </c>
      <c r="D2597">
        <f>IF(OR(F_Custom1_Q="(None)",F_Custom1_Q="",ISBLANK(F_Custom1_Q),F_Custom1_V="(All)",F_Custom1_V="",ISBLANK(F_Custom1_V)),1,IFERROR(IF(ISNUMBER(SEARCH("|"&amp;INDEX(INDIRECT(F_Custom1_resolved_column),2596)&amp;"|",F_Custom1_wrapped)),1,0),0))</f>
        <v>1</v>
      </c>
      <c r="E2597">
        <f>IF(OR(F_Custom2_Q="(None)",F_Custom2_Q="",ISBLANK(F_Custom2_Q),F_Custom2_V="(All)",F_Custom2_V="",ISBLANK(F_Custom2_V)),1,IFERROR(IF(ISNUMBER(SEARCH("|"&amp;INDEX(INDIRECT(F_Custom2_resolved_column),2596)&amp;"|",F_Custom2_wrapped)),1,0),0))</f>
        <v>1</v>
      </c>
      <c r="F2597">
        <f>D2597*E2597*1</f>
        <v>1</v>
      </c>
      <c r="G2597">
        <f>1</f>
        <v>1</v>
      </c>
      <c r="H25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2596)&amp;"|",All_Questions_Q_STREAM_F_wrapped)),1,0),0))*1</f>
        <v>1</v>
      </c>
    </row>
    <row r="2598">
      <c r="A2598" t="n">
        <v>2597</v>
      </c>
      <c r="B2598" t="inlineStr">
        <is>
          <t>A</t>
        </is>
      </c>
      <c r="C2598">
        <f>1</f>
        <v>1</v>
      </c>
      <c r="D2598">
        <f>IF(OR(F_Custom1_Q="(None)",F_Custom1_Q="",ISBLANK(F_Custom1_Q),F_Custom1_V="(All)",F_Custom1_V="",ISBLANK(F_Custom1_V)),1,IFERROR(IF(ISNUMBER(SEARCH("|"&amp;INDEX(INDIRECT(F_Custom1_resolved_column),2597)&amp;"|",F_Custom1_wrapped)),1,0),0))</f>
        <v>1</v>
      </c>
      <c r="E2598">
        <f>IF(OR(F_Custom2_Q="(None)",F_Custom2_Q="",ISBLANK(F_Custom2_Q),F_Custom2_V="(All)",F_Custom2_V="",ISBLANK(F_Custom2_V)),1,IFERROR(IF(ISNUMBER(SEARCH("|"&amp;INDEX(INDIRECT(F_Custom2_resolved_column),2597)&amp;"|",F_Custom2_wrapped)),1,0),0))</f>
        <v>1</v>
      </c>
      <c r="F2598">
        <f>D2598*E2598*1</f>
        <v>1</v>
      </c>
      <c r="G2598">
        <f>1</f>
        <v>1</v>
      </c>
      <c r="H25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2597)&amp;"|",All_Questions_Q_STREAM_F_wrapped)),1,0),0))*1</f>
        <v>1</v>
      </c>
    </row>
    <row r="2599">
      <c r="A2599" t="n">
        <v>2598</v>
      </c>
      <c r="B2599" t="inlineStr">
        <is>
          <t>B</t>
        </is>
      </c>
      <c r="C2599">
        <f>1</f>
        <v>1</v>
      </c>
      <c r="D2599">
        <f>IF(OR(F_Custom1_Q="(None)",F_Custom1_Q="",ISBLANK(F_Custom1_Q),F_Custom1_V="(All)",F_Custom1_V="",ISBLANK(F_Custom1_V)),1,IFERROR(IF(ISNUMBER(SEARCH("|"&amp;INDEX(INDIRECT(F_Custom1_resolved_column),2598)&amp;"|",F_Custom1_wrapped)),1,0),0))</f>
        <v>1</v>
      </c>
      <c r="E2599">
        <f>IF(OR(F_Custom2_Q="(None)",F_Custom2_Q="",ISBLANK(F_Custom2_Q),F_Custom2_V="(All)",F_Custom2_V="",ISBLANK(F_Custom2_V)),1,IFERROR(IF(ISNUMBER(SEARCH("|"&amp;INDEX(INDIRECT(F_Custom2_resolved_column),2598)&amp;"|",F_Custom2_wrapped)),1,0),0))</f>
        <v>1</v>
      </c>
      <c r="F2599">
        <f>D2599*E2599*1</f>
        <v>1</v>
      </c>
      <c r="G2599">
        <f>1</f>
        <v>1</v>
      </c>
      <c r="H25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2598)&amp;"|",All_Questions_Q_STREAM_F_wrapped)),1,0),0))*1</f>
        <v>1</v>
      </c>
    </row>
    <row r="2600">
      <c r="A2600" t="n">
        <v>2599</v>
      </c>
      <c r="B2600" t="inlineStr">
        <is>
          <t>A</t>
        </is>
      </c>
      <c r="C2600">
        <f>1</f>
        <v>1</v>
      </c>
      <c r="D2600">
        <f>IF(OR(F_Custom1_Q="(None)",F_Custom1_Q="",ISBLANK(F_Custom1_Q),F_Custom1_V="(All)",F_Custom1_V="",ISBLANK(F_Custom1_V)),1,IFERROR(IF(ISNUMBER(SEARCH("|"&amp;INDEX(INDIRECT(F_Custom1_resolved_column),2599)&amp;"|",F_Custom1_wrapped)),1,0),0))</f>
        <v>1</v>
      </c>
      <c r="E2600">
        <f>IF(OR(F_Custom2_Q="(None)",F_Custom2_Q="",ISBLANK(F_Custom2_Q),F_Custom2_V="(All)",F_Custom2_V="",ISBLANK(F_Custom2_V)),1,IFERROR(IF(ISNUMBER(SEARCH("|"&amp;INDEX(INDIRECT(F_Custom2_resolved_column),2599)&amp;"|",F_Custom2_wrapped)),1,0),0))</f>
        <v>1</v>
      </c>
      <c r="F2600">
        <f>D2600*E2600*1</f>
        <v>1</v>
      </c>
      <c r="G2600">
        <f>1</f>
        <v>1</v>
      </c>
      <c r="H26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2599)&amp;"|",All_Questions_Q_STREAM_F_wrapped)),1,0),0))*1</f>
        <v>1</v>
      </c>
    </row>
    <row r="2601">
      <c r="A2601" t="n">
        <v>2600</v>
      </c>
      <c r="B2601" t="inlineStr">
        <is>
          <t>B</t>
        </is>
      </c>
      <c r="C2601">
        <f>1</f>
        <v>1</v>
      </c>
      <c r="D2601">
        <f>IF(OR(F_Custom1_Q="(None)",F_Custom1_Q="",ISBLANK(F_Custom1_Q),F_Custom1_V="(All)",F_Custom1_V="",ISBLANK(F_Custom1_V)),1,IFERROR(IF(ISNUMBER(SEARCH("|"&amp;INDEX(INDIRECT(F_Custom1_resolved_column),2600)&amp;"|",F_Custom1_wrapped)),1,0),0))</f>
        <v>1</v>
      </c>
      <c r="E2601">
        <f>IF(OR(F_Custom2_Q="(None)",F_Custom2_Q="",ISBLANK(F_Custom2_Q),F_Custom2_V="(All)",F_Custom2_V="",ISBLANK(F_Custom2_V)),1,IFERROR(IF(ISNUMBER(SEARCH("|"&amp;INDEX(INDIRECT(F_Custom2_resolved_column),2600)&amp;"|",F_Custom2_wrapped)),1,0),0))</f>
        <v>1</v>
      </c>
      <c r="F2601">
        <f>D2601*E2601*1</f>
        <v>1</v>
      </c>
      <c r="G2601">
        <f>1</f>
        <v>1</v>
      </c>
      <c r="H26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2600)&amp;"|",All_Questions_Q_STREAM_F_wrapped)),1,0),0))*1</f>
        <v>1</v>
      </c>
    </row>
    <row r="2602">
      <c r="A2602" t="n">
        <v>2601</v>
      </c>
      <c r="B2602" t="inlineStr">
        <is>
          <t>A</t>
        </is>
      </c>
      <c r="C2602">
        <f>1</f>
        <v>1</v>
      </c>
      <c r="D2602">
        <f>IF(OR(F_Custom1_Q="(None)",F_Custom1_Q="",ISBLANK(F_Custom1_Q),F_Custom1_V="(All)",F_Custom1_V="",ISBLANK(F_Custom1_V)),1,IFERROR(IF(ISNUMBER(SEARCH("|"&amp;INDEX(INDIRECT(F_Custom1_resolved_column),2601)&amp;"|",F_Custom1_wrapped)),1,0),0))</f>
        <v>1</v>
      </c>
      <c r="E2602">
        <f>IF(OR(F_Custom2_Q="(None)",F_Custom2_Q="",ISBLANK(F_Custom2_Q),F_Custom2_V="(All)",F_Custom2_V="",ISBLANK(F_Custom2_V)),1,IFERROR(IF(ISNUMBER(SEARCH("|"&amp;INDEX(INDIRECT(F_Custom2_resolved_column),2601)&amp;"|",F_Custom2_wrapped)),1,0),0))</f>
        <v>1</v>
      </c>
      <c r="F2602">
        <f>D2602*E2602*1</f>
        <v>1</v>
      </c>
      <c r="G2602">
        <f>1</f>
        <v>1</v>
      </c>
      <c r="H26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2601)&amp;"|",All_Questions_Q_STREAM_F_wrapped)),1,0),0))*1</f>
        <v>1</v>
      </c>
    </row>
    <row r="2603">
      <c r="A2603" t="n">
        <v>2602</v>
      </c>
      <c r="B2603" t="inlineStr">
        <is>
          <t>B</t>
        </is>
      </c>
      <c r="C2603">
        <f>1</f>
        <v>1</v>
      </c>
      <c r="D2603">
        <f>IF(OR(F_Custom1_Q="(None)",F_Custom1_Q="",ISBLANK(F_Custom1_Q),F_Custom1_V="(All)",F_Custom1_V="",ISBLANK(F_Custom1_V)),1,IFERROR(IF(ISNUMBER(SEARCH("|"&amp;INDEX(INDIRECT(F_Custom1_resolved_column),2602)&amp;"|",F_Custom1_wrapped)),1,0),0))</f>
        <v>1</v>
      </c>
      <c r="E2603">
        <f>IF(OR(F_Custom2_Q="(None)",F_Custom2_Q="",ISBLANK(F_Custom2_Q),F_Custom2_V="(All)",F_Custom2_V="",ISBLANK(F_Custom2_V)),1,IFERROR(IF(ISNUMBER(SEARCH("|"&amp;INDEX(INDIRECT(F_Custom2_resolved_column),2602)&amp;"|",F_Custom2_wrapped)),1,0),0))</f>
        <v>1</v>
      </c>
      <c r="F2603">
        <f>D2603*E2603*1</f>
        <v>1</v>
      </c>
      <c r="G2603">
        <f>1</f>
        <v>1</v>
      </c>
      <c r="H26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2602)&amp;"|",All_Questions_Q_STREAM_F_wrapped)),1,0),0))*1</f>
        <v>1</v>
      </c>
    </row>
    <row r="2604">
      <c r="A2604" t="n">
        <v>2603</v>
      </c>
      <c r="B2604" t="inlineStr">
        <is>
          <t>A</t>
        </is>
      </c>
      <c r="C2604">
        <f>1</f>
        <v>1</v>
      </c>
      <c r="D2604">
        <f>IF(OR(F_Custom1_Q="(None)",F_Custom1_Q="",ISBLANK(F_Custom1_Q),F_Custom1_V="(All)",F_Custom1_V="",ISBLANK(F_Custom1_V)),1,IFERROR(IF(ISNUMBER(SEARCH("|"&amp;INDEX(INDIRECT(F_Custom1_resolved_column),2603)&amp;"|",F_Custom1_wrapped)),1,0),0))</f>
        <v>1</v>
      </c>
      <c r="E2604">
        <f>IF(OR(F_Custom2_Q="(None)",F_Custom2_Q="",ISBLANK(F_Custom2_Q),F_Custom2_V="(All)",F_Custom2_V="",ISBLANK(F_Custom2_V)),1,IFERROR(IF(ISNUMBER(SEARCH("|"&amp;INDEX(INDIRECT(F_Custom2_resolved_column),2603)&amp;"|",F_Custom2_wrapped)),1,0),0))</f>
        <v>1</v>
      </c>
      <c r="F2604">
        <f>D2604*E2604*1</f>
        <v>1</v>
      </c>
      <c r="G2604">
        <f>1</f>
        <v>1</v>
      </c>
      <c r="H26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2603)&amp;"|",All_Questions_Q_STREAM_F_wrapped)),1,0),0))*1</f>
        <v>1</v>
      </c>
    </row>
    <row r="2605">
      <c r="A2605" t="n">
        <v>2604</v>
      </c>
      <c r="B2605" t="inlineStr">
        <is>
          <t>B</t>
        </is>
      </c>
      <c r="C2605">
        <f>1</f>
        <v>1</v>
      </c>
      <c r="D2605">
        <f>IF(OR(F_Custom1_Q="(None)",F_Custom1_Q="",ISBLANK(F_Custom1_Q),F_Custom1_V="(All)",F_Custom1_V="",ISBLANK(F_Custom1_V)),1,IFERROR(IF(ISNUMBER(SEARCH("|"&amp;INDEX(INDIRECT(F_Custom1_resolved_column),2604)&amp;"|",F_Custom1_wrapped)),1,0),0))</f>
        <v>1</v>
      </c>
      <c r="E2605">
        <f>IF(OR(F_Custom2_Q="(None)",F_Custom2_Q="",ISBLANK(F_Custom2_Q),F_Custom2_V="(All)",F_Custom2_V="",ISBLANK(F_Custom2_V)),1,IFERROR(IF(ISNUMBER(SEARCH("|"&amp;INDEX(INDIRECT(F_Custom2_resolved_column),2604)&amp;"|",F_Custom2_wrapped)),1,0),0))</f>
        <v>1</v>
      </c>
      <c r="F2605">
        <f>D2605*E2605*1</f>
        <v>1</v>
      </c>
      <c r="G2605">
        <f>1</f>
        <v>1</v>
      </c>
      <c r="H26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2604)&amp;"|",All_Questions_Q_STREAM_F_wrapped)),1,0),0))*1</f>
        <v>1</v>
      </c>
    </row>
    <row r="2606">
      <c r="A2606" t="n">
        <v>2605</v>
      </c>
      <c r="B2606" t="inlineStr">
        <is>
          <t>A</t>
        </is>
      </c>
      <c r="C2606">
        <f>1</f>
        <v>1</v>
      </c>
      <c r="D2606">
        <f>IF(OR(F_Custom1_Q="(None)",F_Custom1_Q="",ISBLANK(F_Custom1_Q),F_Custom1_V="(All)",F_Custom1_V="",ISBLANK(F_Custom1_V)),1,IFERROR(IF(ISNUMBER(SEARCH("|"&amp;INDEX(INDIRECT(F_Custom1_resolved_column),2605)&amp;"|",F_Custom1_wrapped)),1,0),0))</f>
        <v>1</v>
      </c>
      <c r="E2606">
        <f>IF(OR(F_Custom2_Q="(None)",F_Custom2_Q="",ISBLANK(F_Custom2_Q),F_Custom2_V="(All)",F_Custom2_V="",ISBLANK(F_Custom2_V)),1,IFERROR(IF(ISNUMBER(SEARCH("|"&amp;INDEX(INDIRECT(F_Custom2_resolved_column),2605)&amp;"|",F_Custom2_wrapped)),1,0),0))</f>
        <v>1</v>
      </c>
      <c r="F2606">
        <f>D2606*E2606*1</f>
        <v>1</v>
      </c>
      <c r="G2606">
        <f>1</f>
        <v>1</v>
      </c>
      <c r="H26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2605)&amp;"|",All_Questions_Q_STREAM_F_wrapped)),1,0),0))*1</f>
        <v>1</v>
      </c>
    </row>
    <row r="2607">
      <c r="A2607" t="n">
        <v>2606</v>
      </c>
      <c r="B2607" t="inlineStr">
        <is>
          <t>B</t>
        </is>
      </c>
      <c r="C2607">
        <f>1</f>
        <v>1</v>
      </c>
      <c r="D2607">
        <f>IF(OR(F_Custom1_Q="(None)",F_Custom1_Q="",ISBLANK(F_Custom1_Q),F_Custom1_V="(All)",F_Custom1_V="",ISBLANK(F_Custom1_V)),1,IFERROR(IF(ISNUMBER(SEARCH("|"&amp;INDEX(INDIRECT(F_Custom1_resolved_column),2606)&amp;"|",F_Custom1_wrapped)),1,0),0))</f>
        <v>1</v>
      </c>
      <c r="E2607">
        <f>IF(OR(F_Custom2_Q="(None)",F_Custom2_Q="",ISBLANK(F_Custom2_Q),F_Custom2_V="(All)",F_Custom2_V="",ISBLANK(F_Custom2_V)),1,IFERROR(IF(ISNUMBER(SEARCH("|"&amp;INDEX(INDIRECT(F_Custom2_resolved_column),2606)&amp;"|",F_Custom2_wrapped)),1,0),0))</f>
        <v>1</v>
      </c>
      <c r="F2607">
        <f>D2607*E2607*1</f>
        <v>1</v>
      </c>
      <c r="G2607">
        <f>1</f>
        <v>1</v>
      </c>
      <c r="H26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2606)&amp;"|",All_Questions_Q_STREAM_F_wrapped)),1,0),0))*1</f>
        <v>1</v>
      </c>
    </row>
    <row r="2608">
      <c r="A2608" t="n">
        <v>2607</v>
      </c>
      <c r="B2608" t="inlineStr">
        <is>
          <t>A</t>
        </is>
      </c>
      <c r="C2608">
        <f>1</f>
        <v>1</v>
      </c>
      <c r="D2608">
        <f>IF(OR(F_Custom1_Q="(None)",F_Custom1_Q="",ISBLANK(F_Custom1_Q),F_Custom1_V="(All)",F_Custom1_V="",ISBLANK(F_Custom1_V)),1,IFERROR(IF(ISNUMBER(SEARCH("|"&amp;INDEX(INDIRECT(F_Custom1_resolved_column),2607)&amp;"|",F_Custom1_wrapped)),1,0),0))</f>
        <v>1</v>
      </c>
      <c r="E2608">
        <f>IF(OR(F_Custom2_Q="(None)",F_Custom2_Q="",ISBLANK(F_Custom2_Q),F_Custom2_V="(All)",F_Custom2_V="",ISBLANK(F_Custom2_V)),1,IFERROR(IF(ISNUMBER(SEARCH("|"&amp;INDEX(INDIRECT(F_Custom2_resolved_column),2607)&amp;"|",F_Custom2_wrapped)),1,0),0))</f>
        <v>1</v>
      </c>
      <c r="F2608">
        <f>D2608*E2608*1</f>
        <v>1</v>
      </c>
      <c r="G2608">
        <f>1</f>
        <v>1</v>
      </c>
      <c r="H26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2607)&amp;"|",All_Questions_Q_STREAM_F_wrapped)),1,0),0))*1</f>
        <v>1</v>
      </c>
    </row>
    <row r="2609">
      <c r="A2609" t="n">
        <v>2608</v>
      </c>
      <c r="B2609" t="inlineStr">
        <is>
          <t>B</t>
        </is>
      </c>
      <c r="C2609">
        <f>1</f>
        <v>1</v>
      </c>
      <c r="D2609">
        <f>IF(OR(F_Custom1_Q="(None)",F_Custom1_Q="",ISBLANK(F_Custom1_Q),F_Custom1_V="(All)",F_Custom1_V="",ISBLANK(F_Custom1_V)),1,IFERROR(IF(ISNUMBER(SEARCH("|"&amp;INDEX(INDIRECT(F_Custom1_resolved_column),2608)&amp;"|",F_Custom1_wrapped)),1,0),0))</f>
        <v>1</v>
      </c>
      <c r="E2609">
        <f>IF(OR(F_Custom2_Q="(None)",F_Custom2_Q="",ISBLANK(F_Custom2_Q),F_Custom2_V="(All)",F_Custom2_V="",ISBLANK(F_Custom2_V)),1,IFERROR(IF(ISNUMBER(SEARCH("|"&amp;INDEX(INDIRECT(F_Custom2_resolved_column),2608)&amp;"|",F_Custom2_wrapped)),1,0),0))</f>
        <v>1</v>
      </c>
      <c r="F2609">
        <f>D2609*E2609*1</f>
        <v>1</v>
      </c>
      <c r="G2609">
        <f>1</f>
        <v>1</v>
      </c>
      <c r="H26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2608)&amp;"|",All_Questions_Q_STREAM_F_wrapped)),1,0),0))*1</f>
        <v>1</v>
      </c>
    </row>
    <row r="2610">
      <c r="A2610" t="n">
        <v>2609</v>
      </c>
      <c r="B2610" t="inlineStr">
        <is>
          <t>A</t>
        </is>
      </c>
      <c r="C2610">
        <f>1</f>
        <v>1</v>
      </c>
      <c r="D2610">
        <f>IF(OR(F_Custom1_Q="(None)",F_Custom1_Q="",ISBLANK(F_Custom1_Q),F_Custom1_V="(All)",F_Custom1_V="",ISBLANK(F_Custom1_V)),1,IFERROR(IF(ISNUMBER(SEARCH("|"&amp;INDEX(INDIRECT(F_Custom1_resolved_column),2609)&amp;"|",F_Custom1_wrapped)),1,0),0))</f>
        <v>1</v>
      </c>
      <c r="E2610">
        <f>IF(OR(F_Custom2_Q="(None)",F_Custom2_Q="",ISBLANK(F_Custom2_Q),F_Custom2_V="(All)",F_Custom2_V="",ISBLANK(F_Custom2_V)),1,IFERROR(IF(ISNUMBER(SEARCH("|"&amp;INDEX(INDIRECT(F_Custom2_resolved_column),2609)&amp;"|",F_Custom2_wrapped)),1,0),0))</f>
        <v>1</v>
      </c>
      <c r="F2610">
        <f>D2610*E2610*1</f>
        <v>1</v>
      </c>
      <c r="G2610">
        <f>1</f>
        <v>1</v>
      </c>
      <c r="H26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2609)&amp;"|",All_Questions_Q_STREAM_F_wrapped)),1,0),0))*1</f>
        <v>1</v>
      </c>
    </row>
    <row r="2611">
      <c r="A2611" t="n">
        <v>2610</v>
      </c>
      <c r="B2611" t="inlineStr">
        <is>
          <t>B</t>
        </is>
      </c>
      <c r="C2611">
        <f>1</f>
        <v>1</v>
      </c>
      <c r="D2611">
        <f>IF(OR(F_Custom1_Q="(None)",F_Custom1_Q="",ISBLANK(F_Custom1_Q),F_Custom1_V="(All)",F_Custom1_V="",ISBLANK(F_Custom1_V)),1,IFERROR(IF(ISNUMBER(SEARCH("|"&amp;INDEX(INDIRECT(F_Custom1_resolved_column),2610)&amp;"|",F_Custom1_wrapped)),1,0),0))</f>
        <v>1</v>
      </c>
      <c r="E2611">
        <f>IF(OR(F_Custom2_Q="(None)",F_Custom2_Q="",ISBLANK(F_Custom2_Q),F_Custom2_V="(All)",F_Custom2_V="",ISBLANK(F_Custom2_V)),1,IFERROR(IF(ISNUMBER(SEARCH("|"&amp;INDEX(INDIRECT(F_Custom2_resolved_column),2610)&amp;"|",F_Custom2_wrapped)),1,0),0))</f>
        <v>1</v>
      </c>
      <c r="F2611">
        <f>D2611*E2611*1</f>
        <v>1</v>
      </c>
      <c r="G2611">
        <f>1</f>
        <v>1</v>
      </c>
      <c r="H26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2610)&amp;"|",All_Questions_Q_STREAM_F_wrapped)),1,0),0))*1</f>
        <v>1</v>
      </c>
    </row>
    <row r="2612">
      <c r="A2612" t="n">
        <v>2611</v>
      </c>
      <c r="B2612" t="inlineStr">
        <is>
          <t>A</t>
        </is>
      </c>
      <c r="C2612">
        <f>1</f>
        <v>1</v>
      </c>
      <c r="D2612">
        <f>IF(OR(F_Custom1_Q="(None)",F_Custom1_Q="",ISBLANK(F_Custom1_Q),F_Custom1_V="(All)",F_Custom1_V="",ISBLANK(F_Custom1_V)),1,IFERROR(IF(ISNUMBER(SEARCH("|"&amp;INDEX(INDIRECT(F_Custom1_resolved_column),2611)&amp;"|",F_Custom1_wrapped)),1,0),0))</f>
        <v>1</v>
      </c>
      <c r="E2612">
        <f>IF(OR(F_Custom2_Q="(None)",F_Custom2_Q="",ISBLANK(F_Custom2_Q),F_Custom2_V="(All)",F_Custom2_V="",ISBLANK(F_Custom2_V)),1,IFERROR(IF(ISNUMBER(SEARCH("|"&amp;INDEX(INDIRECT(F_Custom2_resolved_column),2611)&amp;"|",F_Custom2_wrapped)),1,0),0))</f>
        <v>1</v>
      </c>
      <c r="F2612">
        <f>D2612*E2612*1</f>
        <v>1</v>
      </c>
      <c r="G2612">
        <f>1</f>
        <v>1</v>
      </c>
      <c r="H26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2611)&amp;"|",All_Questions_Q_STREAM_F_wrapped)),1,0),0))*1</f>
        <v>1</v>
      </c>
    </row>
    <row r="2613">
      <c r="A2613" t="n">
        <v>2612</v>
      </c>
      <c r="B2613" t="inlineStr">
        <is>
          <t>B</t>
        </is>
      </c>
      <c r="C2613">
        <f>1</f>
        <v>1</v>
      </c>
      <c r="D2613">
        <f>IF(OR(F_Custom1_Q="(None)",F_Custom1_Q="",ISBLANK(F_Custom1_Q),F_Custom1_V="(All)",F_Custom1_V="",ISBLANK(F_Custom1_V)),1,IFERROR(IF(ISNUMBER(SEARCH("|"&amp;INDEX(INDIRECT(F_Custom1_resolved_column),2612)&amp;"|",F_Custom1_wrapped)),1,0),0))</f>
        <v>1</v>
      </c>
      <c r="E2613">
        <f>IF(OR(F_Custom2_Q="(None)",F_Custom2_Q="",ISBLANK(F_Custom2_Q),F_Custom2_V="(All)",F_Custom2_V="",ISBLANK(F_Custom2_V)),1,IFERROR(IF(ISNUMBER(SEARCH("|"&amp;INDEX(INDIRECT(F_Custom2_resolved_column),2612)&amp;"|",F_Custom2_wrapped)),1,0),0))</f>
        <v>1</v>
      </c>
      <c r="F2613">
        <f>D2613*E2613*1</f>
        <v>1</v>
      </c>
      <c r="G2613">
        <f>1</f>
        <v>1</v>
      </c>
      <c r="H26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2612)&amp;"|",All_Questions_Q_STREAM_F_wrapped)),1,0),0))*1</f>
        <v>1</v>
      </c>
    </row>
    <row r="2614">
      <c r="A2614" t="n">
        <v>2613</v>
      </c>
      <c r="B2614" t="inlineStr">
        <is>
          <t>A</t>
        </is>
      </c>
      <c r="C2614">
        <f>1</f>
        <v>1</v>
      </c>
      <c r="D2614">
        <f>IF(OR(F_Custom1_Q="(None)",F_Custom1_Q="",ISBLANK(F_Custom1_Q),F_Custom1_V="(All)",F_Custom1_V="",ISBLANK(F_Custom1_V)),1,IFERROR(IF(ISNUMBER(SEARCH("|"&amp;INDEX(INDIRECT(F_Custom1_resolved_column),2613)&amp;"|",F_Custom1_wrapped)),1,0),0))</f>
        <v>1</v>
      </c>
      <c r="E2614">
        <f>IF(OR(F_Custom2_Q="(None)",F_Custom2_Q="",ISBLANK(F_Custom2_Q),F_Custom2_V="(All)",F_Custom2_V="",ISBLANK(F_Custom2_V)),1,IFERROR(IF(ISNUMBER(SEARCH("|"&amp;INDEX(INDIRECT(F_Custom2_resolved_column),2613)&amp;"|",F_Custom2_wrapped)),1,0),0))</f>
        <v>1</v>
      </c>
      <c r="F2614">
        <f>D2614*E2614*1</f>
        <v>1</v>
      </c>
      <c r="G2614">
        <f>1</f>
        <v>1</v>
      </c>
      <c r="H26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2613)&amp;"|",All_Questions_Q_STREAM_F_wrapped)),1,0),0))*1</f>
        <v>1</v>
      </c>
    </row>
    <row r="2615">
      <c r="A2615" t="n">
        <v>2614</v>
      </c>
      <c r="B2615" t="inlineStr">
        <is>
          <t>B</t>
        </is>
      </c>
      <c r="C2615">
        <f>1</f>
        <v>1</v>
      </c>
      <c r="D2615">
        <f>IF(OR(F_Custom1_Q="(None)",F_Custom1_Q="",ISBLANK(F_Custom1_Q),F_Custom1_V="(All)",F_Custom1_V="",ISBLANK(F_Custom1_V)),1,IFERROR(IF(ISNUMBER(SEARCH("|"&amp;INDEX(INDIRECT(F_Custom1_resolved_column),2614)&amp;"|",F_Custom1_wrapped)),1,0),0))</f>
        <v>1</v>
      </c>
      <c r="E2615">
        <f>IF(OR(F_Custom2_Q="(None)",F_Custom2_Q="",ISBLANK(F_Custom2_Q),F_Custom2_V="(All)",F_Custom2_V="",ISBLANK(F_Custom2_V)),1,IFERROR(IF(ISNUMBER(SEARCH("|"&amp;INDEX(INDIRECT(F_Custom2_resolved_column),2614)&amp;"|",F_Custom2_wrapped)),1,0),0))</f>
        <v>1</v>
      </c>
      <c r="F2615">
        <f>D2615*E2615*1</f>
        <v>1</v>
      </c>
      <c r="G2615">
        <f>1</f>
        <v>1</v>
      </c>
      <c r="H26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2614)&amp;"|",All_Questions_Q_STREAM_F_wrapped)),1,0),0))*1</f>
        <v>1</v>
      </c>
    </row>
    <row r="2616">
      <c r="A2616" t="n">
        <v>2615</v>
      </c>
      <c r="B2616" t="inlineStr">
        <is>
          <t>A</t>
        </is>
      </c>
      <c r="C2616">
        <f>1</f>
        <v>1</v>
      </c>
      <c r="D2616">
        <f>IF(OR(F_Custom1_Q="(None)",F_Custom1_Q="",ISBLANK(F_Custom1_Q),F_Custom1_V="(All)",F_Custom1_V="",ISBLANK(F_Custom1_V)),1,IFERROR(IF(ISNUMBER(SEARCH("|"&amp;INDEX(INDIRECT(F_Custom1_resolved_column),2615)&amp;"|",F_Custom1_wrapped)),1,0),0))</f>
        <v>1</v>
      </c>
      <c r="E2616">
        <f>IF(OR(F_Custom2_Q="(None)",F_Custom2_Q="",ISBLANK(F_Custom2_Q),F_Custom2_V="(All)",F_Custom2_V="",ISBLANK(F_Custom2_V)),1,IFERROR(IF(ISNUMBER(SEARCH("|"&amp;INDEX(INDIRECT(F_Custom2_resolved_column),2615)&amp;"|",F_Custom2_wrapped)),1,0),0))</f>
        <v>1</v>
      </c>
      <c r="F2616">
        <f>D2616*E2616*1</f>
        <v>1</v>
      </c>
      <c r="G2616">
        <f>1</f>
        <v>1</v>
      </c>
      <c r="H26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2615)&amp;"|",All_Questions_Q_STREAM_F_wrapped)),1,0),0))*1</f>
        <v>1</v>
      </c>
    </row>
    <row r="2617">
      <c r="A2617" t="n">
        <v>2616</v>
      </c>
      <c r="B2617" t="inlineStr">
        <is>
          <t>B</t>
        </is>
      </c>
      <c r="C2617">
        <f>1</f>
        <v>1</v>
      </c>
      <c r="D2617">
        <f>IF(OR(F_Custom1_Q="(None)",F_Custom1_Q="",ISBLANK(F_Custom1_Q),F_Custom1_V="(All)",F_Custom1_V="",ISBLANK(F_Custom1_V)),1,IFERROR(IF(ISNUMBER(SEARCH("|"&amp;INDEX(INDIRECT(F_Custom1_resolved_column),2616)&amp;"|",F_Custom1_wrapped)),1,0),0))</f>
        <v>1</v>
      </c>
      <c r="E2617">
        <f>IF(OR(F_Custom2_Q="(None)",F_Custom2_Q="",ISBLANK(F_Custom2_Q),F_Custom2_V="(All)",F_Custom2_V="",ISBLANK(F_Custom2_V)),1,IFERROR(IF(ISNUMBER(SEARCH("|"&amp;INDEX(INDIRECT(F_Custom2_resolved_column),2616)&amp;"|",F_Custom2_wrapped)),1,0),0))</f>
        <v>1</v>
      </c>
      <c r="F2617">
        <f>D2617*E2617*1</f>
        <v>1</v>
      </c>
      <c r="G2617">
        <f>1</f>
        <v>1</v>
      </c>
      <c r="H26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2616)&amp;"|",All_Questions_Q_STREAM_F_wrapped)),1,0),0))*1</f>
        <v>1</v>
      </c>
    </row>
    <row r="2618">
      <c r="A2618" t="n">
        <v>2617</v>
      </c>
      <c r="B2618" t="inlineStr">
        <is>
          <t>A</t>
        </is>
      </c>
      <c r="C2618">
        <f>1</f>
        <v>1</v>
      </c>
      <c r="D2618">
        <f>IF(OR(F_Custom1_Q="(None)",F_Custom1_Q="",ISBLANK(F_Custom1_Q),F_Custom1_V="(All)",F_Custom1_V="",ISBLANK(F_Custom1_V)),1,IFERROR(IF(ISNUMBER(SEARCH("|"&amp;INDEX(INDIRECT(F_Custom1_resolved_column),2617)&amp;"|",F_Custom1_wrapped)),1,0),0))</f>
        <v>1</v>
      </c>
      <c r="E2618">
        <f>IF(OR(F_Custom2_Q="(None)",F_Custom2_Q="",ISBLANK(F_Custom2_Q),F_Custom2_V="(All)",F_Custom2_V="",ISBLANK(F_Custom2_V)),1,IFERROR(IF(ISNUMBER(SEARCH("|"&amp;INDEX(INDIRECT(F_Custom2_resolved_column),2617)&amp;"|",F_Custom2_wrapped)),1,0),0))</f>
        <v>1</v>
      </c>
      <c r="F2618">
        <f>D2618*E2618*1</f>
        <v>1</v>
      </c>
      <c r="G2618">
        <f>1</f>
        <v>1</v>
      </c>
      <c r="H26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2617)&amp;"|",All_Questions_Q_STREAM_F_wrapped)),1,0),0))*1</f>
        <v>1</v>
      </c>
    </row>
    <row r="2619">
      <c r="A2619" t="n">
        <v>2618</v>
      </c>
      <c r="B2619" t="inlineStr">
        <is>
          <t>B</t>
        </is>
      </c>
      <c r="C2619">
        <f>1</f>
        <v>1</v>
      </c>
      <c r="D2619">
        <f>IF(OR(F_Custom1_Q="(None)",F_Custom1_Q="",ISBLANK(F_Custom1_Q),F_Custom1_V="(All)",F_Custom1_V="",ISBLANK(F_Custom1_V)),1,IFERROR(IF(ISNUMBER(SEARCH("|"&amp;INDEX(INDIRECT(F_Custom1_resolved_column),2618)&amp;"|",F_Custom1_wrapped)),1,0),0))</f>
        <v>1</v>
      </c>
      <c r="E2619">
        <f>IF(OR(F_Custom2_Q="(None)",F_Custom2_Q="",ISBLANK(F_Custom2_Q),F_Custom2_V="(All)",F_Custom2_V="",ISBLANK(F_Custom2_V)),1,IFERROR(IF(ISNUMBER(SEARCH("|"&amp;INDEX(INDIRECT(F_Custom2_resolved_column),2618)&amp;"|",F_Custom2_wrapped)),1,0),0))</f>
        <v>1</v>
      </c>
      <c r="F2619">
        <f>D2619*E2619*1</f>
        <v>1</v>
      </c>
      <c r="G2619">
        <f>1</f>
        <v>1</v>
      </c>
      <c r="H26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2618)&amp;"|",All_Questions_Q_STREAM_F_wrapped)),1,0),0))*1</f>
        <v>1</v>
      </c>
    </row>
    <row r="2620">
      <c r="A2620" t="n">
        <v>2619</v>
      </c>
      <c r="B2620" t="inlineStr">
        <is>
          <t>A</t>
        </is>
      </c>
      <c r="C2620">
        <f>1</f>
        <v>1</v>
      </c>
      <c r="D2620">
        <f>IF(OR(F_Custom1_Q="(None)",F_Custom1_Q="",ISBLANK(F_Custom1_Q),F_Custom1_V="(All)",F_Custom1_V="",ISBLANK(F_Custom1_V)),1,IFERROR(IF(ISNUMBER(SEARCH("|"&amp;INDEX(INDIRECT(F_Custom1_resolved_column),2619)&amp;"|",F_Custom1_wrapped)),1,0),0))</f>
        <v>1</v>
      </c>
      <c r="E2620">
        <f>IF(OR(F_Custom2_Q="(None)",F_Custom2_Q="",ISBLANK(F_Custom2_Q),F_Custom2_V="(All)",F_Custom2_V="",ISBLANK(F_Custom2_V)),1,IFERROR(IF(ISNUMBER(SEARCH("|"&amp;INDEX(INDIRECT(F_Custom2_resolved_column),2619)&amp;"|",F_Custom2_wrapped)),1,0),0))</f>
        <v>1</v>
      </c>
      <c r="F2620">
        <f>D2620*E2620*1</f>
        <v>1</v>
      </c>
      <c r="G2620">
        <f>1</f>
        <v>1</v>
      </c>
      <c r="H26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2619)&amp;"|",All_Questions_Q_STREAM_F_wrapped)),1,0),0))*1</f>
        <v>1</v>
      </c>
    </row>
    <row r="2621">
      <c r="A2621" t="n">
        <v>2620</v>
      </c>
      <c r="B2621" t="inlineStr">
        <is>
          <t>B</t>
        </is>
      </c>
      <c r="C2621">
        <f>1</f>
        <v>1</v>
      </c>
      <c r="D2621">
        <f>IF(OR(F_Custom1_Q="(None)",F_Custom1_Q="",ISBLANK(F_Custom1_Q),F_Custom1_V="(All)",F_Custom1_V="",ISBLANK(F_Custom1_V)),1,IFERROR(IF(ISNUMBER(SEARCH("|"&amp;INDEX(INDIRECT(F_Custom1_resolved_column),2620)&amp;"|",F_Custom1_wrapped)),1,0),0))</f>
        <v>1</v>
      </c>
      <c r="E2621">
        <f>IF(OR(F_Custom2_Q="(None)",F_Custom2_Q="",ISBLANK(F_Custom2_Q),F_Custom2_V="(All)",F_Custom2_V="",ISBLANK(F_Custom2_V)),1,IFERROR(IF(ISNUMBER(SEARCH("|"&amp;INDEX(INDIRECT(F_Custom2_resolved_column),2620)&amp;"|",F_Custom2_wrapped)),1,0),0))</f>
        <v>1</v>
      </c>
      <c r="F2621">
        <f>D2621*E2621*1</f>
        <v>1</v>
      </c>
      <c r="G2621">
        <f>1</f>
        <v>1</v>
      </c>
      <c r="H26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2620)&amp;"|",All_Questions_Q_STREAM_F_wrapped)),1,0),0))*1</f>
        <v>1</v>
      </c>
    </row>
    <row r="2622">
      <c r="A2622" t="n">
        <v>2621</v>
      </c>
      <c r="B2622" t="inlineStr">
        <is>
          <t>A</t>
        </is>
      </c>
      <c r="C2622">
        <f>1</f>
        <v>1</v>
      </c>
      <c r="D2622">
        <f>IF(OR(F_Custom1_Q="(None)",F_Custom1_Q="",ISBLANK(F_Custom1_Q),F_Custom1_V="(All)",F_Custom1_V="",ISBLANK(F_Custom1_V)),1,IFERROR(IF(ISNUMBER(SEARCH("|"&amp;INDEX(INDIRECT(F_Custom1_resolved_column),2621)&amp;"|",F_Custom1_wrapped)),1,0),0))</f>
        <v>1</v>
      </c>
      <c r="E2622">
        <f>IF(OR(F_Custom2_Q="(None)",F_Custom2_Q="",ISBLANK(F_Custom2_Q),F_Custom2_V="(All)",F_Custom2_V="",ISBLANK(F_Custom2_V)),1,IFERROR(IF(ISNUMBER(SEARCH("|"&amp;INDEX(INDIRECT(F_Custom2_resolved_column),2621)&amp;"|",F_Custom2_wrapped)),1,0),0))</f>
        <v>1</v>
      </c>
      <c r="F2622">
        <f>D2622*E2622*1</f>
        <v>1</v>
      </c>
      <c r="G2622">
        <f>1</f>
        <v>1</v>
      </c>
      <c r="H26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2621)&amp;"|",All_Questions_Q_STREAM_F_wrapped)),1,0),0))*1</f>
        <v>1</v>
      </c>
    </row>
    <row r="2623">
      <c r="A2623" t="n">
        <v>2622</v>
      </c>
      <c r="B2623" t="inlineStr">
        <is>
          <t>B</t>
        </is>
      </c>
      <c r="C2623">
        <f>1</f>
        <v>1</v>
      </c>
      <c r="D2623">
        <f>IF(OR(F_Custom1_Q="(None)",F_Custom1_Q="",ISBLANK(F_Custom1_Q),F_Custom1_V="(All)",F_Custom1_V="",ISBLANK(F_Custom1_V)),1,IFERROR(IF(ISNUMBER(SEARCH("|"&amp;INDEX(INDIRECT(F_Custom1_resolved_column),2622)&amp;"|",F_Custom1_wrapped)),1,0),0))</f>
        <v>1</v>
      </c>
      <c r="E2623">
        <f>IF(OR(F_Custom2_Q="(None)",F_Custom2_Q="",ISBLANK(F_Custom2_Q),F_Custom2_V="(All)",F_Custom2_V="",ISBLANK(F_Custom2_V)),1,IFERROR(IF(ISNUMBER(SEARCH("|"&amp;INDEX(INDIRECT(F_Custom2_resolved_column),2622)&amp;"|",F_Custom2_wrapped)),1,0),0))</f>
        <v>1</v>
      </c>
      <c r="F2623">
        <f>D2623*E2623*1</f>
        <v>1</v>
      </c>
      <c r="G2623">
        <f>1</f>
        <v>1</v>
      </c>
      <c r="H26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2622)&amp;"|",All_Questions_Q_STREAM_F_wrapped)),1,0),0))*1</f>
        <v>1</v>
      </c>
    </row>
    <row r="2624">
      <c r="A2624" t="n">
        <v>2623</v>
      </c>
      <c r="B2624" t="inlineStr">
        <is>
          <t>A</t>
        </is>
      </c>
      <c r="C2624">
        <f>1</f>
        <v>1</v>
      </c>
      <c r="D2624">
        <f>IF(OR(F_Custom1_Q="(None)",F_Custom1_Q="",ISBLANK(F_Custom1_Q),F_Custom1_V="(All)",F_Custom1_V="",ISBLANK(F_Custom1_V)),1,IFERROR(IF(ISNUMBER(SEARCH("|"&amp;INDEX(INDIRECT(F_Custom1_resolved_column),2623)&amp;"|",F_Custom1_wrapped)),1,0),0))</f>
        <v>1</v>
      </c>
      <c r="E2624">
        <f>IF(OR(F_Custom2_Q="(None)",F_Custom2_Q="",ISBLANK(F_Custom2_Q),F_Custom2_V="(All)",F_Custom2_V="",ISBLANK(F_Custom2_V)),1,IFERROR(IF(ISNUMBER(SEARCH("|"&amp;INDEX(INDIRECT(F_Custom2_resolved_column),2623)&amp;"|",F_Custom2_wrapped)),1,0),0))</f>
        <v>1</v>
      </c>
      <c r="F2624">
        <f>D2624*E2624*1</f>
        <v>1</v>
      </c>
      <c r="G2624">
        <f>1</f>
        <v>1</v>
      </c>
      <c r="H26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2623)&amp;"|",All_Questions_Q_STREAM_F_wrapped)),1,0),0))*1</f>
        <v>1</v>
      </c>
    </row>
    <row r="2625">
      <c r="A2625" t="n">
        <v>2624</v>
      </c>
      <c r="B2625" t="inlineStr">
        <is>
          <t>B</t>
        </is>
      </c>
      <c r="C2625">
        <f>1</f>
        <v>1</v>
      </c>
      <c r="D2625">
        <f>IF(OR(F_Custom1_Q="(None)",F_Custom1_Q="",ISBLANK(F_Custom1_Q),F_Custom1_V="(All)",F_Custom1_V="",ISBLANK(F_Custom1_V)),1,IFERROR(IF(ISNUMBER(SEARCH("|"&amp;INDEX(INDIRECT(F_Custom1_resolved_column),2624)&amp;"|",F_Custom1_wrapped)),1,0),0))</f>
        <v>1</v>
      </c>
      <c r="E2625">
        <f>IF(OR(F_Custom2_Q="(None)",F_Custom2_Q="",ISBLANK(F_Custom2_Q),F_Custom2_V="(All)",F_Custom2_V="",ISBLANK(F_Custom2_V)),1,IFERROR(IF(ISNUMBER(SEARCH("|"&amp;INDEX(INDIRECT(F_Custom2_resolved_column),2624)&amp;"|",F_Custom2_wrapped)),1,0),0))</f>
        <v>1</v>
      </c>
      <c r="F2625">
        <f>D2625*E2625*1</f>
        <v>1</v>
      </c>
      <c r="G2625">
        <f>1</f>
        <v>1</v>
      </c>
      <c r="H26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2624)&amp;"|",All_Questions_Q_STREAM_F_wrapped)),1,0),0))*1</f>
        <v>1</v>
      </c>
    </row>
    <row r="2626">
      <c r="A2626" t="n">
        <v>2625</v>
      </c>
      <c r="B2626" t="inlineStr">
        <is>
          <t>A</t>
        </is>
      </c>
      <c r="C2626">
        <f>1</f>
        <v>1</v>
      </c>
      <c r="D2626">
        <f>IF(OR(F_Custom1_Q="(None)",F_Custom1_Q="",ISBLANK(F_Custom1_Q),F_Custom1_V="(All)",F_Custom1_V="",ISBLANK(F_Custom1_V)),1,IFERROR(IF(ISNUMBER(SEARCH("|"&amp;INDEX(INDIRECT(F_Custom1_resolved_column),2625)&amp;"|",F_Custom1_wrapped)),1,0),0))</f>
        <v>1</v>
      </c>
      <c r="E2626">
        <f>IF(OR(F_Custom2_Q="(None)",F_Custom2_Q="",ISBLANK(F_Custom2_Q),F_Custom2_V="(All)",F_Custom2_V="",ISBLANK(F_Custom2_V)),1,IFERROR(IF(ISNUMBER(SEARCH("|"&amp;INDEX(INDIRECT(F_Custom2_resolved_column),2625)&amp;"|",F_Custom2_wrapped)),1,0),0))</f>
        <v>1</v>
      </c>
      <c r="F2626">
        <f>D2626*E2626*1</f>
        <v>1</v>
      </c>
      <c r="G2626">
        <f>1</f>
        <v>1</v>
      </c>
      <c r="H26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2625)&amp;"|",All_Questions_Q_STREAM_F_wrapped)),1,0),0))*1</f>
        <v>1</v>
      </c>
    </row>
    <row r="2627">
      <c r="A2627" t="n">
        <v>2626</v>
      </c>
      <c r="B2627" t="inlineStr">
        <is>
          <t>B</t>
        </is>
      </c>
      <c r="C2627">
        <f>1</f>
        <v>1</v>
      </c>
      <c r="D2627">
        <f>IF(OR(F_Custom1_Q="(None)",F_Custom1_Q="",ISBLANK(F_Custom1_Q),F_Custom1_V="(All)",F_Custom1_V="",ISBLANK(F_Custom1_V)),1,IFERROR(IF(ISNUMBER(SEARCH("|"&amp;INDEX(INDIRECT(F_Custom1_resolved_column),2626)&amp;"|",F_Custom1_wrapped)),1,0),0))</f>
        <v>1</v>
      </c>
      <c r="E2627">
        <f>IF(OR(F_Custom2_Q="(None)",F_Custom2_Q="",ISBLANK(F_Custom2_Q),F_Custom2_V="(All)",F_Custom2_V="",ISBLANK(F_Custom2_V)),1,IFERROR(IF(ISNUMBER(SEARCH("|"&amp;INDEX(INDIRECT(F_Custom2_resolved_column),2626)&amp;"|",F_Custom2_wrapped)),1,0),0))</f>
        <v>1</v>
      </c>
      <c r="F2627">
        <f>D2627*E2627*1</f>
        <v>1</v>
      </c>
      <c r="G2627">
        <f>1</f>
        <v>1</v>
      </c>
      <c r="H26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2626)&amp;"|",All_Questions_Q_STREAM_F_wrapped)),1,0),0))*1</f>
        <v>1</v>
      </c>
    </row>
    <row r="2628">
      <c r="A2628" t="n">
        <v>2627</v>
      </c>
      <c r="B2628" t="inlineStr">
        <is>
          <t>A</t>
        </is>
      </c>
      <c r="C2628">
        <f>1</f>
        <v>1</v>
      </c>
      <c r="D2628">
        <f>IF(OR(F_Custom1_Q="(None)",F_Custom1_Q="",ISBLANK(F_Custom1_Q),F_Custom1_V="(All)",F_Custom1_V="",ISBLANK(F_Custom1_V)),1,IFERROR(IF(ISNUMBER(SEARCH("|"&amp;INDEX(INDIRECT(F_Custom1_resolved_column),2627)&amp;"|",F_Custom1_wrapped)),1,0),0))</f>
        <v>1</v>
      </c>
      <c r="E2628">
        <f>IF(OR(F_Custom2_Q="(None)",F_Custom2_Q="",ISBLANK(F_Custom2_Q),F_Custom2_V="(All)",F_Custom2_V="",ISBLANK(F_Custom2_V)),1,IFERROR(IF(ISNUMBER(SEARCH("|"&amp;INDEX(INDIRECT(F_Custom2_resolved_column),2627)&amp;"|",F_Custom2_wrapped)),1,0),0))</f>
        <v>1</v>
      </c>
      <c r="F2628">
        <f>D2628*E2628*1</f>
        <v>1</v>
      </c>
      <c r="G2628">
        <f>1</f>
        <v>1</v>
      </c>
      <c r="H26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2627)&amp;"|",All_Questions_Q_STREAM_F_wrapped)),1,0),0))*1</f>
        <v>1</v>
      </c>
    </row>
    <row r="2629">
      <c r="A2629" t="n">
        <v>2628</v>
      </c>
      <c r="B2629" t="inlineStr">
        <is>
          <t>B</t>
        </is>
      </c>
      <c r="C2629">
        <f>1</f>
        <v>1</v>
      </c>
      <c r="D2629">
        <f>IF(OR(F_Custom1_Q="(None)",F_Custom1_Q="",ISBLANK(F_Custom1_Q),F_Custom1_V="(All)",F_Custom1_V="",ISBLANK(F_Custom1_V)),1,IFERROR(IF(ISNUMBER(SEARCH("|"&amp;INDEX(INDIRECT(F_Custom1_resolved_column),2628)&amp;"|",F_Custom1_wrapped)),1,0),0))</f>
        <v>1</v>
      </c>
      <c r="E2629">
        <f>IF(OR(F_Custom2_Q="(None)",F_Custom2_Q="",ISBLANK(F_Custom2_Q),F_Custom2_V="(All)",F_Custom2_V="",ISBLANK(F_Custom2_V)),1,IFERROR(IF(ISNUMBER(SEARCH("|"&amp;INDEX(INDIRECT(F_Custom2_resolved_column),2628)&amp;"|",F_Custom2_wrapped)),1,0),0))</f>
        <v>1</v>
      </c>
      <c r="F2629">
        <f>D2629*E2629*1</f>
        <v>1</v>
      </c>
      <c r="G2629">
        <f>1</f>
        <v>1</v>
      </c>
      <c r="H26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2628)&amp;"|",All_Questions_Q_STREAM_F_wrapped)),1,0),0))*1</f>
        <v>1</v>
      </c>
    </row>
    <row r="2630">
      <c r="A2630" t="n">
        <v>2629</v>
      </c>
      <c r="B2630" t="inlineStr">
        <is>
          <t>A</t>
        </is>
      </c>
      <c r="C2630">
        <f>1</f>
        <v>1</v>
      </c>
      <c r="D2630">
        <f>IF(OR(F_Custom1_Q="(None)",F_Custom1_Q="",ISBLANK(F_Custom1_Q),F_Custom1_V="(All)",F_Custom1_V="",ISBLANK(F_Custom1_V)),1,IFERROR(IF(ISNUMBER(SEARCH("|"&amp;INDEX(INDIRECT(F_Custom1_resolved_column),2629)&amp;"|",F_Custom1_wrapped)),1,0),0))</f>
        <v>1</v>
      </c>
      <c r="E2630">
        <f>IF(OR(F_Custom2_Q="(None)",F_Custom2_Q="",ISBLANK(F_Custom2_Q),F_Custom2_V="(All)",F_Custom2_V="",ISBLANK(F_Custom2_V)),1,IFERROR(IF(ISNUMBER(SEARCH("|"&amp;INDEX(INDIRECT(F_Custom2_resolved_column),2629)&amp;"|",F_Custom2_wrapped)),1,0),0))</f>
        <v>1</v>
      </c>
      <c r="F2630">
        <f>D2630*E2630*1</f>
        <v>1</v>
      </c>
      <c r="G2630">
        <f>1</f>
        <v>1</v>
      </c>
      <c r="H26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2629)&amp;"|",All_Questions_Q_STREAM_F_wrapped)),1,0),0))*1</f>
        <v>1</v>
      </c>
    </row>
    <row r="2631">
      <c r="A2631" t="n">
        <v>2630</v>
      </c>
      <c r="B2631" t="inlineStr">
        <is>
          <t>B</t>
        </is>
      </c>
      <c r="C2631">
        <f>1</f>
        <v>1</v>
      </c>
      <c r="D2631">
        <f>IF(OR(F_Custom1_Q="(None)",F_Custom1_Q="",ISBLANK(F_Custom1_Q),F_Custom1_V="(All)",F_Custom1_V="",ISBLANK(F_Custom1_V)),1,IFERROR(IF(ISNUMBER(SEARCH("|"&amp;INDEX(INDIRECT(F_Custom1_resolved_column),2630)&amp;"|",F_Custom1_wrapped)),1,0),0))</f>
        <v>1</v>
      </c>
      <c r="E2631">
        <f>IF(OR(F_Custom2_Q="(None)",F_Custom2_Q="",ISBLANK(F_Custom2_Q),F_Custom2_V="(All)",F_Custom2_V="",ISBLANK(F_Custom2_V)),1,IFERROR(IF(ISNUMBER(SEARCH("|"&amp;INDEX(INDIRECT(F_Custom2_resolved_column),2630)&amp;"|",F_Custom2_wrapped)),1,0),0))</f>
        <v>1</v>
      </c>
      <c r="F2631">
        <f>D2631*E2631*1</f>
        <v>1</v>
      </c>
      <c r="G2631">
        <f>1</f>
        <v>1</v>
      </c>
      <c r="H26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2630)&amp;"|",All_Questions_Q_STREAM_F_wrapped)),1,0),0))*1</f>
        <v>1</v>
      </c>
    </row>
    <row r="2632">
      <c r="A2632" t="n">
        <v>2631</v>
      </c>
      <c r="B2632" t="inlineStr">
        <is>
          <t>A</t>
        </is>
      </c>
      <c r="C2632">
        <f>1</f>
        <v>1</v>
      </c>
      <c r="D2632">
        <f>IF(OR(F_Custom1_Q="(None)",F_Custom1_Q="",ISBLANK(F_Custom1_Q),F_Custom1_V="(All)",F_Custom1_V="",ISBLANK(F_Custom1_V)),1,IFERROR(IF(ISNUMBER(SEARCH("|"&amp;INDEX(INDIRECT(F_Custom1_resolved_column),2631)&amp;"|",F_Custom1_wrapped)),1,0),0))</f>
        <v>1</v>
      </c>
      <c r="E2632">
        <f>IF(OR(F_Custom2_Q="(None)",F_Custom2_Q="",ISBLANK(F_Custom2_Q),F_Custom2_V="(All)",F_Custom2_V="",ISBLANK(F_Custom2_V)),1,IFERROR(IF(ISNUMBER(SEARCH("|"&amp;INDEX(INDIRECT(F_Custom2_resolved_column),2631)&amp;"|",F_Custom2_wrapped)),1,0),0))</f>
        <v>1</v>
      </c>
      <c r="F2632">
        <f>D2632*E2632*1</f>
        <v>1</v>
      </c>
      <c r="G2632">
        <f>1</f>
        <v>1</v>
      </c>
      <c r="H26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2631)&amp;"|",All_Questions_Q_STREAM_F_wrapped)),1,0),0))*1</f>
        <v>1</v>
      </c>
    </row>
    <row r="2633">
      <c r="A2633" t="n">
        <v>2632</v>
      </c>
      <c r="B2633" t="inlineStr">
        <is>
          <t>B</t>
        </is>
      </c>
      <c r="C2633">
        <f>1</f>
        <v>1</v>
      </c>
      <c r="D2633">
        <f>IF(OR(F_Custom1_Q="(None)",F_Custom1_Q="",ISBLANK(F_Custom1_Q),F_Custom1_V="(All)",F_Custom1_V="",ISBLANK(F_Custom1_V)),1,IFERROR(IF(ISNUMBER(SEARCH("|"&amp;INDEX(INDIRECT(F_Custom1_resolved_column),2632)&amp;"|",F_Custom1_wrapped)),1,0),0))</f>
        <v>1</v>
      </c>
      <c r="E2633">
        <f>IF(OR(F_Custom2_Q="(None)",F_Custom2_Q="",ISBLANK(F_Custom2_Q),F_Custom2_V="(All)",F_Custom2_V="",ISBLANK(F_Custom2_V)),1,IFERROR(IF(ISNUMBER(SEARCH("|"&amp;INDEX(INDIRECT(F_Custom2_resolved_column),2632)&amp;"|",F_Custom2_wrapped)),1,0),0))</f>
        <v>1</v>
      </c>
      <c r="F2633">
        <f>D2633*E2633*1</f>
        <v>1</v>
      </c>
      <c r="G2633">
        <f>1</f>
        <v>1</v>
      </c>
      <c r="H26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2632)&amp;"|",All_Questions_Q_STREAM_F_wrapped)),1,0),0))*1</f>
        <v>1</v>
      </c>
    </row>
    <row r="2634">
      <c r="A2634" t="n">
        <v>2633</v>
      </c>
      <c r="B2634" t="inlineStr">
        <is>
          <t>A</t>
        </is>
      </c>
      <c r="C2634">
        <f>1</f>
        <v>1</v>
      </c>
      <c r="D2634">
        <f>IF(OR(F_Custom1_Q="(None)",F_Custom1_Q="",ISBLANK(F_Custom1_Q),F_Custom1_V="(All)",F_Custom1_V="",ISBLANK(F_Custom1_V)),1,IFERROR(IF(ISNUMBER(SEARCH("|"&amp;INDEX(INDIRECT(F_Custom1_resolved_column),2633)&amp;"|",F_Custom1_wrapped)),1,0),0))</f>
        <v>1</v>
      </c>
      <c r="E2634">
        <f>IF(OR(F_Custom2_Q="(None)",F_Custom2_Q="",ISBLANK(F_Custom2_Q),F_Custom2_V="(All)",F_Custom2_V="",ISBLANK(F_Custom2_V)),1,IFERROR(IF(ISNUMBER(SEARCH("|"&amp;INDEX(INDIRECT(F_Custom2_resolved_column),2633)&amp;"|",F_Custom2_wrapped)),1,0),0))</f>
        <v>1</v>
      </c>
      <c r="F2634">
        <f>D2634*E2634*1</f>
        <v>1</v>
      </c>
      <c r="G2634">
        <f>1</f>
        <v>1</v>
      </c>
      <c r="H26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2633)&amp;"|",All_Questions_Q_STREAM_F_wrapped)),1,0),0))*1</f>
        <v>1</v>
      </c>
    </row>
    <row r="2635">
      <c r="A2635" t="n">
        <v>2634</v>
      </c>
      <c r="B2635" t="inlineStr">
        <is>
          <t>B</t>
        </is>
      </c>
      <c r="C2635">
        <f>1</f>
        <v>1</v>
      </c>
      <c r="D2635">
        <f>IF(OR(F_Custom1_Q="(None)",F_Custom1_Q="",ISBLANK(F_Custom1_Q),F_Custom1_V="(All)",F_Custom1_V="",ISBLANK(F_Custom1_V)),1,IFERROR(IF(ISNUMBER(SEARCH("|"&amp;INDEX(INDIRECT(F_Custom1_resolved_column),2634)&amp;"|",F_Custom1_wrapped)),1,0),0))</f>
        <v>1</v>
      </c>
      <c r="E2635">
        <f>IF(OR(F_Custom2_Q="(None)",F_Custom2_Q="",ISBLANK(F_Custom2_Q),F_Custom2_V="(All)",F_Custom2_V="",ISBLANK(F_Custom2_V)),1,IFERROR(IF(ISNUMBER(SEARCH("|"&amp;INDEX(INDIRECT(F_Custom2_resolved_column),2634)&amp;"|",F_Custom2_wrapped)),1,0),0))</f>
        <v>1</v>
      </c>
      <c r="F2635">
        <f>D2635*E2635*1</f>
        <v>1</v>
      </c>
      <c r="G2635">
        <f>1</f>
        <v>1</v>
      </c>
      <c r="H26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2634)&amp;"|",All_Questions_Q_STREAM_F_wrapped)),1,0),0))*1</f>
        <v>1</v>
      </c>
    </row>
    <row r="2636">
      <c r="A2636" t="n">
        <v>2635</v>
      </c>
      <c r="B2636" t="inlineStr">
        <is>
          <t>A</t>
        </is>
      </c>
      <c r="C2636">
        <f>1</f>
        <v>1</v>
      </c>
      <c r="D2636">
        <f>IF(OR(F_Custom1_Q="(None)",F_Custom1_Q="",ISBLANK(F_Custom1_Q),F_Custom1_V="(All)",F_Custom1_V="",ISBLANK(F_Custom1_V)),1,IFERROR(IF(ISNUMBER(SEARCH("|"&amp;INDEX(INDIRECT(F_Custom1_resolved_column),2635)&amp;"|",F_Custom1_wrapped)),1,0),0))</f>
        <v>1</v>
      </c>
      <c r="E2636">
        <f>IF(OR(F_Custom2_Q="(None)",F_Custom2_Q="",ISBLANK(F_Custom2_Q),F_Custom2_V="(All)",F_Custom2_V="",ISBLANK(F_Custom2_V)),1,IFERROR(IF(ISNUMBER(SEARCH("|"&amp;INDEX(INDIRECT(F_Custom2_resolved_column),2635)&amp;"|",F_Custom2_wrapped)),1,0),0))</f>
        <v>1</v>
      </c>
      <c r="F2636">
        <f>D2636*E2636*1</f>
        <v>1</v>
      </c>
      <c r="G2636">
        <f>1</f>
        <v>1</v>
      </c>
      <c r="H26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2635)&amp;"|",All_Questions_Q_STREAM_F_wrapped)),1,0),0))*1</f>
        <v>1</v>
      </c>
    </row>
    <row r="2637">
      <c r="A2637" t="n">
        <v>2636</v>
      </c>
      <c r="B2637" t="inlineStr">
        <is>
          <t>B</t>
        </is>
      </c>
      <c r="C2637">
        <f>1</f>
        <v>1</v>
      </c>
      <c r="D2637">
        <f>IF(OR(F_Custom1_Q="(None)",F_Custom1_Q="",ISBLANK(F_Custom1_Q),F_Custom1_V="(All)",F_Custom1_V="",ISBLANK(F_Custom1_V)),1,IFERROR(IF(ISNUMBER(SEARCH("|"&amp;INDEX(INDIRECT(F_Custom1_resolved_column),2636)&amp;"|",F_Custom1_wrapped)),1,0),0))</f>
        <v>1</v>
      </c>
      <c r="E2637">
        <f>IF(OR(F_Custom2_Q="(None)",F_Custom2_Q="",ISBLANK(F_Custom2_Q),F_Custom2_V="(All)",F_Custom2_V="",ISBLANK(F_Custom2_V)),1,IFERROR(IF(ISNUMBER(SEARCH("|"&amp;INDEX(INDIRECT(F_Custom2_resolved_column),2636)&amp;"|",F_Custom2_wrapped)),1,0),0))</f>
        <v>1</v>
      </c>
      <c r="F2637">
        <f>D2637*E2637*1</f>
        <v>1</v>
      </c>
      <c r="G2637">
        <f>1</f>
        <v>1</v>
      </c>
      <c r="H26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2636)&amp;"|",All_Questions_Q_STREAM_F_wrapped)),1,0),0))*1</f>
        <v>1</v>
      </c>
    </row>
    <row r="2638">
      <c r="A2638" t="n">
        <v>2637</v>
      </c>
      <c r="B2638" t="inlineStr">
        <is>
          <t>A</t>
        </is>
      </c>
      <c r="C2638">
        <f>1</f>
        <v>1</v>
      </c>
      <c r="D2638">
        <f>IF(OR(F_Custom1_Q="(None)",F_Custom1_Q="",ISBLANK(F_Custom1_Q),F_Custom1_V="(All)",F_Custom1_V="",ISBLANK(F_Custom1_V)),1,IFERROR(IF(ISNUMBER(SEARCH("|"&amp;INDEX(INDIRECT(F_Custom1_resolved_column),2637)&amp;"|",F_Custom1_wrapped)),1,0),0))</f>
        <v>1</v>
      </c>
      <c r="E2638">
        <f>IF(OR(F_Custom2_Q="(None)",F_Custom2_Q="",ISBLANK(F_Custom2_Q),F_Custom2_V="(All)",F_Custom2_V="",ISBLANK(F_Custom2_V)),1,IFERROR(IF(ISNUMBER(SEARCH("|"&amp;INDEX(INDIRECT(F_Custom2_resolved_column),2637)&amp;"|",F_Custom2_wrapped)),1,0),0))</f>
        <v>1</v>
      </c>
      <c r="F2638">
        <f>D2638*E2638*1</f>
        <v>1</v>
      </c>
      <c r="G2638">
        <f>1</f>
        <v>1</v>
      </c>
      <c r="H26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2637)&amp;"|",All_Questions_Q_STREAM_F_wrapped)),1,0),0))*1</f>
        <v>1</v>
      </c>
    </row>
    <row r="2639">
      <c r="A2639" t="n">
        <v>2638</v>
      </c>
      <c r="B2639" t="inlineStr">
        <is>
          <t>B</t>
        </is>
      </c>
      <c r="C2639">
        <f>1</f>
        <v>1</v>
      </c>
      <c r="D2639">
        <f>IF(OR(F_Custom1_Q="(None)",F_Custom1_Q="",ISBLANK(F_Custom1_Q),F_Custom1_V="(All)",F_Custom1_V="",ISBLANK(F_Custom1_V)),1,IFERROR(IF(ISNUMBER(SEARCH("|"&amp;INDEX(INDIRECT(F_Custom1_resolved_column),2638)&amp;"|",F_Custom1_wrapped)),1,0),0))</f>
        <v>1</v>
      </c>
      <c r="E2639">
        <f>IF(OR(F_Custom2_Q="(None)",F_Custom2_Q="",ISBLANK(F_Custom2_Q),F_Custom2_V="(All)",F_Custom2_V="",ISBLANK(F_Custom2_V)),1,IFERROR(IF(ISNUMBER(SEARCH("|"&amp;INDEX(INDIRECT(F_Custom2_resolved_column),2638)&amp;"|",F_Custom2_wrapped)),1,0),0))</f>
        <v>1</v>
      </c>
      <c r="F2639">
        <f>D2639*E2639*1</f>
        <v>1</v>
      </c>
      <c r="G2639">
        <f>1</f>
        <v>1</v>
      </c>
      <c r="H26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2638)&amp;"|",All_Questions_Q_STREAM_F_wrapped)),1,0),0))*1</f>
        <v>1</v>
      </c>
    </row>
    <row r="2640">
      <c r="A2640" t="n">
        <v>2639</v>
      </c>
      <c r="B2640" t="inlineStr">
        <is>
          <t>A</t>
        </is>
      </c>
      <c r="C2640">
        <f>1</f>
        <v>1</v>
      </c>
      <c r="D2640">
        <f>IF(OR(F_Custom1_Q="(None)",F_Custom1_Q="",ISBLANK(F_Custom1_Q),F_Custom1_V="(All)",F_Custom1_V="",ISBLANK(F_Custom1_V)),1,IFERROR(IF(ISNUMBER(SEARCH("|"&amp;INDEX(INDIRECT(F_Custom1_resolved_column),2639)&amp;"|",F_Custom1_wrapped)),1,0),0))</f>
        <v>1</v>
      </c>
      <c r="E2640">
        <f>IF(OR(F_Custom2_Q="(None)",F_Custom2_Q="",ISBLANK(F_Custom2_Q),F_Custom2_V="(All)",F_Custom2_V="",ISBLANK(F_Custom2_V)),1,IFERROR(IF(ISNUMBER(SEARCH("|"&amp;INDEX(INDIRECT(F_Custom2_resolved_column),2639)&amp;"|",F_Custom2_wrapped)),1,0),0))</f>
        <v>1</v>
      </c>
      <c r="F2640">
        <f>D2640*E2640*1</f>
        <v>1</v>
      </c>
      <c r="G2640">
        <f>1</f>
        <v>1</v>
      </c>
      <c r="H26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2639)&amp;"|",All_Questions_Q_STREAM_F_wrapped)),1,0),0))*1</f>
        <v>1</v>
      </c>
    </row>
    <row r="2641">
      <c r="A2641" t="n">
        <v>2640</v>
      </c>
      <c r="B2641" t="inlineStr">
        <is>
          <t>B</t>
        </is>
      </c>
      <c r="C2641">
        <f>1</f>
        <v>1</v>
      </c>
      <c r="D2641">
        <f>IF(OR(F_Custom1_Q="(None)",F_Custom1_Q="",ISBLANK(F_Custom1_Q),F_Custom1_V="(All)",F_Custom1_V="",ISBLANK(F_Custom1_V)),1,IFERROR(IF(ISNUMBER(SEARCH("|"&amp;INDEX(INDIRECT(F_Custom1_resolved_column),2640)&amp;"|",F_Custom1_wrapped)),1,0),0))</f>
        <v>1</v>
      </c>
      <c r="E2641">
        <f>IF(OR(F_Custom2_Q="(None)",F_Custom2_Q="",ISBLANK(F_Custom2_Q),F_Custom2_V="(All)",F_Custom2_V="",ISBLANK(F_Custom2_V)),1,IFERROR(IF(ISNUMBER(SEARCH("|"&amp;INDEX(INDIRECT(F_Custom2_resolved_column),2640)&amp;"|",F_Custom2_wrapped)),1,0),0))</f>
        <v>1</v>
      </c>
      <c r="F2641">
        <f>D2641*E2641*1</f>
        <v>1</v>
      </c>
      <c r="G2641">
        <f>1</f>
        <v>1</v>
      </c>
      <c r="H26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2640)&amp;"|",All_Questions_Q_STREAM_F_wrapped)),1,0),0))*1</f>
        <v>1</v>
      </c>
    </row>
    <row r="2642">
      <c r="A2642" t="n">
        <v>2641</v>
      </c>
      <c r="B2642" t="inlineStr">
        <is>
          <t>A</t>
        </is>
      </c>
      <c r="C2642">
        <f>1</f>
        <v>1</v>
      </c>
      <c r="D2642">
        <f>IF(OR(F_Custom1_Q="(None)",F_Custom1_Q="",ISBLANK(F_Custom1_Q),F_Custom1_V="(All)",F_Custom1_V="",ISBLANK(F_Custom1_V)),1,IFERROR(IF(ISNUMBER(SEARCH("|"&amp;INDEX(INDIRECT(F_Custom1_resolved_column),2641)&amp;"|",F_Custom1_wrapped)),1,0),0))</f>
        <v>1</v>
      </c>
      <c r="E2642">
        <f>IF(OR(F_Custom2_Q="(None)",F_Custom2_Q="",ISBLANK(F_Custom2_Q),F_Custom2_V="(All)",F_Custom2_V="",ISBLANK(F_Custom2_V)),1,IFERROR(IF(ISNUMBER(SEARCH("|"&amp;INDEX(INDIRECT(F_Custom2_resolved_column),2641)&amp;"|",F_Custom2_wrapped)),1,0),0))</f>
        <v>1</v>
      </c>
      <c r="F2642">
        <f>D2642*E2642*1</f>
        <v>1</v>
      </c>
      <c r="G2642">
        <f>1</f>
        <v>1</v>
      </c>
      <c r="H26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2641)&amp;"|",All_Questions_Q_STREAM_F_wrapped)),1,0),0))*1</f>
        <v>1</v>
      </c>
    </row>
    <row r="2643">
      <c r="A2643" t="n">
        <v>2642</v>
      </c>
      <c r="B2643" t="inlineStr">
        <is>
          <t>B</t>
        </is>
      </c>
      <c r="C2643">
        <f>1</f>
        <v>1</v>
      </c>
      <c r="D2643">
        <f>IF(OR(F_Custom1_Q="(None)",F_Custom1_Q="",ISBLANK(F_Custom1_Q),F_Custom1_V="(All)",F_Custom1_V="",ISBLANK(F_Custom1_V)),1,IFERROR(IF(ISNUMBER(SEARCH("|"&amp;INDEX(INDIRECT(F_Custom1_resolved_column),2642)&amp;"|",F_Custom1_wrapped)),1,0),0))</f>
        <v>1</v>
      </c>
      <c r="E2643">
        <f>IF(OR(F_Custom2_Q="(None)",F_Custom2_Q="",ISBLANK(F_Custom2_Q),F_Custom2_V="(All)",F_Custom2_V="",ISBLANK(F_Custom2_V)),1,IFERROR(IF(ISNUMBER(SEARCH("|"&amp;INDEX(INDIRECT(F_Custom2_resolved_column),2642)&amp;"|",F_Custom2_wrapped)),1,0),0))</f>
        <v>1</v>
      </c>
      <c r="F2643">
        <f>D2643*E2643*1</f>
        <v>1</v>
      </c>
      <c r="G2643">
        <f>1</f>
        <v>1</v>
      </c>
      <c r="H26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2642)&amp;"|",All_Questions_Q_STREAM_F_wrapped)),1,0),0))*1</f>
        <v>1</v>
      </c>
    </row>
    <row r="2644">
      <c r="A2644" t="n">
        <v>2643</v>
      </c>
      <c r="B2644" t="inlineStr">
        <is>
          <t>A</t>
        </is>
      </c>
      <c r="C2644">
        <f>1</f>
        <v>1</v>
      </c>
      <c r="D2644">
        <f>IF(OR(F_Custom1_Q="(None)",F_Custom1_Q="",ISBLANK(F_Custom1_Q),F_Custom1_V="(All)",F_Custom1_V="",ISBLANK(F_Custom1_V)),1,IFERROR(IF(ISNUMBER(SEARCH("|"&amp;INDEX(INDIRECT(F_Custom1_resolved_column),2643)&amp;"|",F_Custom1_wrapped)),1,0),0))</f>
        <v>1</v>
      </c>
      <c r="E2644">
        <f>IF(OR(F_Custom2_Q="(None)",F_Custom2_Q="",ISBLANK(F_Custom2_Q),F_Custom2_V="(All)",F_Custom2_V="",ISBLANK(F_Custom2_V)),1,IFERROR(IF(ISNUMBER(SEARCH("|"&amp;INDEX(INDIRECT(F_Custom2_resolved_column),2643)&amp;"|",F_Custom2_wrapped)),1,0),0))</f>
        <v>1</v>
      </c>
      <c r="F2644">
        <f>D2644*E2644*1</f>
        <v>1</v>
      </c>
      <c r="G2644">
        <f>1</f>
        <v>1</v>
      </c>
      <c r="H26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2643)&amp;"|",All_Questions_Q_STREAM_F_wrapped)),1,0),0))*1</f>
        <v>1</v>
      </c>
    </row>
    <row r="2645">
      <c r="A2645" t="n">
        <v>2644</v>
      </c>
      <c r="B2645" t="inlineStr">
        <is>
          <t>B</t>
        </is>
      </c>
      <c r="C2645">
        <f>1</f>
        <v>1</v>
      </c>
      <c r="D2645">
        <f>IF(OR(F_Custom1_Q="(None)",F_Custom1_Q="",ISBLANK(F_Custom1_Q),F_Custom1_V="(All)",F_Custom1_V="",ISBLANK(F_Custom1_V)),1,IFERROR(IF(ISNUMBER(SEARCH("|"&amp;INDEX(INDIRECT(F_Custom1_resolved_column),2644)&amp;"|",F_Custom1_wrapped)),1,0),0))</f>
        <v>1</v>
      </c>
      <c r="E2645">
        <f>IF(OR(F_Custom2_Q="(None)",F_Custom2_Q="",ISBLANK(F_Custom2_Q),F_Custom2_V="(All)",F_Custom2_V="",ISBLANK(F_Custom2_V)),1,IFERROR(IF(ISNUMBER(SEARCH("|"&amp;INDEX(INDIRECT(F_Custom2_resolved_column),2644)&amp;"|",F_Custom2_wrapped)),1,0),0))</f>
        <v>1</v>
      </c>
      <c r="F2645">
        <f>D2645*E2645*1</f>
        <v>1</v>
      </c>
      <c r="G2645">
        <f>1</f>
        <v>1</v>
      </c>
      <c r="H26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2644)&amp;"|",All_Questions_Q_STREAM_F_wrapped)),1,0),0))*1</f>
        <v>1</v>
      </c>
    </row>
    <row r="2646">
      <c r="A2646" t="n">
        <v>2645</v>
      </c>
      <c r="B2646" t="inlineStr">
        <is>
          <t>A</t>
        </is>
      </c>
      <c r="C2646">
        <f>1</f>
        <v>1</v>
      </c>
      <c r="D2646">
        <f>IF(OR(F_Custom1_Q="(None)",F_Custom1_Q="",ISBLANK(F_Custom1_Q),F_Custom1_V="(All)",F_Custom1_V="",ISBLANK(F_Custom1_V)),1,IFERROR(IF(ISNUMBER(SEARCH("|"&amp;INDEX(INDIRECT(F_Custom1_resolved_column),2645)&amp;"|",F_Custom1_wrapped)),1,0),0))</f>
        <v>1</v>
      </c>
      <c r="E2646">
        <f>IF(OR(F_Custom2_Q="(None)",F_Custom2_Q="",ISBLANK(F_Custom2_Q),F_Custom2_V="(All)",F_Custom2_V="",ISBLANK(F_Custom2_V)),1,IFERROR(IF(ISNUMBER(SEARCH("|"&amp;INDEX(INDIRECT(F_Custom2_resolved_column),2645)&amp;"|",F_Custom2_wrapped)),1,0),0))</f>
        <v>1</v>
      </c>
      <c r="F2646">
        <f>D2646*E2646*1</f>
        <v>1</v>
      </c>
      <c r="G2646">
        <f>1</f>
        <v>1</v>
      </c>
      <c r="H26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2645)&amp;"|",All_Questions_Q_STREAM_F_wrapped)),1,0),0))*1</f>
        <v>1</v>
      </c>
    </row>
    <row r="2647">
      <c r="A2647" t="n">
        <v>2646</v>
      </c>
      <c r="B2647" t="inlineStr">
        <is>
          <t>B</t>
        </is>
      </c>
      <c r="C2647">
        <f>1</f>
        <v>1</v>
      </c>
      <c r="D2647">
        <f>IF(OR(F_Custom1_Q="(None)",F_Custom1_Q="",ISBLANK(F_Custom1_Q),F_Custom1_V="(All)",F_Custom1_V="",ISBLANK(F_Custom1_V)),1,IFERROR(IF(ISNUMBER(SEARCH("|"&amp;INDEX(INDIRECT(F_Custom1_resolved_column),2646)&amp;"|",F_Custom1_wrapped)),1,0),0))</f>
        <v>1</v>
      </c>
      <c r="E2647">
        <f>IF(OR(F_Custom2_Q="(None)",F_Custom2_Q="",ISBLANK(F_Custom2_Q),F_Custom2_V="(All)",F_Custom2_V="",ISBLANK(F_Custom2_V)),1,IFERROR(IF(ISNUMBER(SEARCH("|"&amp;INDEX(INDIRECT(F_Custom2_resolved_column),2646)&amp;"|",F_Custom2_wrapped)),1,0),0))</f>
        <v>1</v>
      </c>
      <c r="F2647">
        <f>D2647*E2647*1</f>
        <v>1</v>
      </c>
      <c r="G2647">
        <f>1</f>
        <v>1</v>
      </c>
      <c r="H26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2646)&amp;"|",All_Questions_Q_STREAM_F_wrapped)),1,0),0))*1</f>
        <v>1</v>
      </c>
    </row>
    <row r="2648">
      <c r="A2648" t="n">
        <v>2647</v>
      </c>
      <c r="B2648" t="inlineStr">
        <is>
          <t>A</t>
        </is>
      </c>
      <c r="C2648">
        <f>1</f>
        <v>1</v>
      </c>
      <c r="D2648">
        <f>IF(OR(F_Custom1_Q="(None)",F_Custom1_Q="",ISBLANK(F_Custom1_Q),F_Custom1_V="(All)",F_Custom1_V="",ISBLANK(F_Custom1_V)),1,IFERROR(IF(ISNUMBER(SEARCH("|"&amp;INDEX(INDIRECT(F_Custom1_resolved_column),2647)&amp;"|",F_Custom1_wrapped)),1,0),0))</f>
        <v>1</v>
      </c>
      <c r="E2648">
        <f>IF(OR(F_Custom2_Q="(None)",F_Custom2_Q="",ISBLANK(F_Custom2_Q),F_Custom2_V="(All)",F_Custom2_V="",ISBLANK(F_Custom2_V)),1,IFERROR(IF(ISNUMBER(SEARCH("|"&amp;INDEX(INDIRECT(F_Custom2_resolved_column),2647)&amp;"|",F_Custom2_wrapped)),1,0),0))</f>
        <v>1</v>
      </c>
      <c r="F2648">
        <f>D2648*E2648*1</f>
        <v>1</v>
      </c>
      <c r="G2648">
        <f>1</f>
        <v>1</v>
      </c>
      <c r="H26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2647)&amp;"|",All_Questions_Q_STREAM_F_wrapped)),1,0),0))*1</f>
        <v>1</v>
      </c>
    </row>
    <row r="2649">
      <c r="A2649" t="n">
        <v>2648</v>
      </c>
      <c r="B2649" t="inlineStr">
        <is>
          <t>B</t>
        </is>
      </c>
      <c r="C2649">
        <f>1</f>
        <v>1</v>
      </c>
      <c r="D2649">
        <f>IF(OR(F_Custom1_Q="(None)",F_Custom1_Q="",ISBLANK(F_Custom1_Q),F_Custom1_V="(All)",F_Custom1_V="",ISBLANK(F_Custom1_V)),1,IFERROR(IF(ISNUMBER(SEARCH("|"&amp;INDEX(INDIRECT(F_Custom1_resolved_column),2648)&amp;"|",F_Custom1_wrapped)),1,0),0))</f>
        <v>1</v>
      </c>
      <c r="E2649">
        <f>IF(OR(F_Custom2_Q="(None)",F_Custom2_Q="",ISBLANK(F_Custom2_Q),F_Custom2_V="(All)",F_Custom2_V="",ISBLANK(F_Custom2_V)),1,IFERROR(IF(ISNUMBER(SEARCH("|"&amp;INDEX(INDIRECT(F_Custom2_resolved_column),2648)&amp;"|",F_Custom2_wrapped)),1,0),0))</f>
        <v>1</v>
      </c>
      <c r="F2649">
        <f>D2649*E2649*1</f>
        <v>1</v>
      </c>
      <c r="G2649">
        <f>1</f>
        <v>1</v>
      </c>
      <c r="H26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2648)&amp;"|",All_Questions_Q_STREAM_F_wrapped)),1,0),0))*1</f>
        <v>1</v>
      </c>
    </row>
    <row r="2650">
      <c r="A2650" t="n">
        <v>2649</v>
      </c>
      <c r="B2650" t="inlineStr">
        <is>
          <t>A</t>
        </is>
      </c>
      <c r="C2650">
        <f>1</f>
        <v>1</v>
      </c>
      <c r="D2650">
        <f>IF(OR(F_Custom1_Q="(None)",F_Custom1_Q="",ISBLANK(F_Custom1_Q),F_Custom1_V="(All)",F_Custom1_V="",ISBLANK(F_Custom1_V)),1,IFERROR(IF(ISNUMBER(SEARCH("|"&amp;INDEX(INDIRECT(F_Custom1_resolved_column),2649)&amp;"|",F_Custom1_wrapped)),1,0),0))</f>
        <v>1</v>
      </c>
      <c r="E2650">
        <f>IF(OR(F_Custom2_Q="(None)",F_Custom2_Q="",ISBLANK(F_Custom2_Q),F_Custom2_V="(All)",F_Custom2_V="",ISBLANK(F_Custom2_V)),1,IFERROR(IF(ISNUMBER(SEARCH("|"&amp;INDEX(INDIRECT(F_Custom2_resolved_column),2649)&amp;"|",F_Custom2_wrapped)),1,0),0))</f>
        <v>1</v>
      </c>
      <c r="F2650">
        <f>D2650*E2650*1</f>
        <v>1</v>
      </c>
      <c r="G2650">
        <f>1</f>
        <v>1</v>
      </c>
      <c r="H26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2649)&amp;"|",All_Questions_Q_STREAM_F_wrapped)),1,0),0))*1</f>
        <v>1</v>
      </c>
    </row>
    <row r="2651">
      <c r="A2651" t="n">
        <v>2650</v>
      </c>
      <c r="B2651" t="inlineStr">
        <is>
          <t>B</t>
        </is>
      </c>
      <c r="C2651">
        <f>1</f>
        <v>1</v>
      </c>
      <c r="D2651">
        <f>IF(OR(F_Custom1_Q="(None)",F_Custom1_Q="",ISBLANK(F_Custom1_Q),F_Custom1_V="(All)",F_Custom1_V="",ISBLANK(F_Custom1_V)),1,IFERROR(IF(ISNUMBER(SEARCH("|"&amp;INDEX(INDIRECT(F_Custom1_resolved_column),2650)&amp;"|",F_Custom1_wrapped)),1,0),0))</f>
        <v>1</v>
      </c>
      <c r="E2651">
        <f>IF(OR(F_Custom2_Q="(None)",F_Custom2_Q="",ISBLANK(F_Custom2_Q),F_Custom2_V="(All)",F_Custom2_V="",ISBLANK(F_Custom2_V)),1,IFERROR(IF(ISNUMBER(SEARCH("|"&amp;INDEX(INDIRECT(F_Custom2_resolved_column),2650)&amp;"|",F_Custom2_wrapped)),1,0),0))</f>
        <v>1</v>
      </c>
      <c r="F2651">
        <f>D2651*E2651*1</f>
        <v>1</v>
      </c>
      <c r="G2651">
        <f>1</f>
        <v>1</v>
      </c>
      <c r="H26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2650)&amp;"|",All_Questions_Q_STREAM_F_wrapped)),1,0),0))*1</f>
        <v>1</v>
      </c>
    </row>
    <row r="2652">
      <c r="A2652" t="n">
        <v>2651</v>
      </c>
      <c r="B2652" t="inlineStr">
        <is>
          <t>A</t>
        </is>
      </c>
      <c r="C2652">
        <f>1</f>
        <v>1</v>
      </c>
      <c r="D2652">
        <f>IF(OR(F_Custom1_Q="(None)",F_Custom1_Q="",ISBLANK(F_Custom1_Q),F_Custom1_V="(All)",F_Custom1_V="",ISBLANK(F_Custom1_V)),1,IFERROR(IF(ISNUMBER(SEARCH("|"&amp;INDEX(INDIRECT(F_Custom1_resolved_column),2651)&amp;"|",F_Custom1_wrapped)),1,0),0))</f>
        <v>1</v>
      </c>
      <c r="E2652">
        <f>IF(OR(F_Custom2_Q="(None)",F_Custom2_Q="",ISBLANK(F_Custom2_Q),F_Custom2_V="(All)",F_Custom2_V="",ISBLANK(F_Custom2_V)),1,IFERROR(IF(ISNUMBER(SEARCH("|"&amp;INDEX(INDIRECT(F_Custom2_resolved_column),2651)&amp;"|",F_Custom2_wrapped)),1,0),0))</f>
        <v>1</v>
      </c>
      <c r="F2652">
        <f>D2652*E2652*1</f>
        <v>1</v>
      </c>
      <c r="G2652">
        <f>1</f>
        <v>1</v>
      </c>
      <c r="H26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2651)&amp;"|",All_Questions_Q_STREAM_F_wrapped)),1,0),0))*1</f>
        <v>1</v>
      </c>
    </row>
    <row r="2653">
      <c r="A2653" t="n">
        <v>2652</v>
      </c>
      <c r="B2653" t="inlineStr">
        <is>
          <t>B</t>
        </is>
      </c>
      <c r="C2653">
        <f>1</f>
        <v>1</v>
      </c>
      <c r="D2653">
        <f>IF(OR(F_Custom1_Q="(None)",F_Custom1_Q="",ISBLANK(F_Custom1_Q),F_Custom1_V="(All)",F_Custom1_V="",ISBLANK(F_Custom1_V)),1,IFERROR(IF(ISNUMBER(SEARCH("|"&amp;INDEX(INDIRECT(F_Custom1_resolved_column),2652)&amp;"|",F_Custom1_wrapped)),1,0),0))</f>
        <v>1</v>
      </c>
      <c r="E2653">
        <f>IF(OR(F_Custom2_Q="(None)",F_Custom2_Q="",ISBLANK(F_Custom2_Q),F_Custom2_V="(All)",F_Custom2_V="",ISBLANK(F_Custom2_V)),1,IFERROR(IF(ISNUMBER(SEARCH("|"&amp;INDEX(INDIRECT(F_Custom2_resolved_column),2652)&amp;"|",F_Custom2_wrapped)),1,0),0))</f>
        <v>1</v>
      </c>
      <c r="F2653">
        <f>D2653*E2653*1</f>
        <v>1</v>
      </c>
      <c r="G2653">
        <f>1</f>
        <v>1</v>
      </c>
      <c r="H26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2652)&amp;"|",All_Questions_Q_STREAM_F_wrapped)),1,0),0))*1</f>
        <v>1</v>
      </c>
    </row>
    <row r="2654">
      <c r="A2654" t="n">
        <v>2653</v>
      </c>
      <c r="B2654" t="inlineStr">
        <is>
          <t>A</t>
        </is>
      </c>
      <c r="C2654">
        <f>1</f>
        <v>1</v>
      </c>
      <c r="D2654">
        <f>IF(OR(F_Custom1_Q="(None)",F_Custom1_Q="",ISBLANK(F_Custom1_Q),F_Custom1_V="(All)",F_Custom1_V="",ISBLANK(F_Custom1_V)),1,IFERROR(IF(ISNUMBER(SEARCH("|"&amp;INDEX(INDIRECT(F_Custom1_resolved_column),2653)&amp;"|",F_Custom1_wrapped)),1,0),0))</f>
        <v>1</v>
      </c>
      <c r="E2654">
        <f>IF(OR(F_Custom2_Q="(None)",F_Custom2_Q="",ISBLANK(F_Custom2_Q),F_Custom2_V="(All)",F_Custom2_V="",ISBLANK(F_Custom2_V)),1,IFERROR(IF(ISNUMBER(SEARCH("|"&amp;INDEX(INDIRECT(F_Custom2_resolved_column),2653)&amp;"|",F_Custom2_wrapped)),1,0),0))</f>
        <v>1</v>
      </c>
      <c r="F2654">
        <f>D2654*E2654*1</f>
        <v>1</v>
      </c>
      <c r="G2654">
        <f>1</f>
        <v>1</v>
      </c>
      <c r="H26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2653)&amp;"|",All_Questions_Q_STREAM_F_wrapped)),1,0),0))*1</f>
        <v>1</v>
      </c>
    </row>
    <row r="2655">
      <c r="A2655" t="n">
        <v>2654</v>
      </c>
      <c r="B2655" t="inlineStr">
        <is>
          <t>B</t>
        </is>
      </c>
      <c r="C2655">
        <f>1</f>
        <v>1</v>
      </c>
      <c r="D2655">
        <f>IF(OR(F_Custom1_Q="(None)",F_Custom1_Q="",ISBLANK(F_Custom1_Q),F_Custom1_V="(All)",F_Custom1_V="",ISBLANK(F_Custom1_V)),1,IFERROR(IF(ISNUMBER(SEARCH("|"&amp;INDEX(INDIRECT(F_Custom1_resolved_column),2654)&amp;"|",F_Custom1_wrapped)),1,0),0))</f>
        <v>1</v>
      </c>
      <c r="E2655">
        <f>IF(OR(F_Custom2_Q="(None)",F_Custom2_Q="",ISBLANK(F_Custom2_Q),F_Custom2_V="(All)",F_Custom2_V="",ISBLANK(F_Custom2_V)),1,IFERROR(IF(ISNUMBER(SEARCH("|"&amp;INDEX(INDIRECT(F_Custom2_resolved_column),2654)&amp;"|",F_Custom2_wrapped)),1,0),0))</f>
        <v>1</v>
      </c>
      <c r="F2655">
        <f>D2655*E2655*1</f>
        <v>1</v>
      </c>
      <c r="G2655">
        <f>1</f>
        <v>1</v>
      </c>
      <c r="H26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2654)&amp;"|",All_Questions_Q_STREAM_F_wrapped)),1,0),0))*1</f>
        <v>1</v>
      </c>
    </row>
    <row r="2656">
      <c r="A2656" t="n">
        <v>2655</v>
      </c>
      <c r="B2656" t="inlineStr">
        <is>
          <t>A</t>
        </is>
      </c>
      <c r="C2656">
        <f>1</f>
        <v>1</v>
      </c>
      <c r="D2656">
        <f>IF(OR(F_Custom1_Q="(None)",F_Custom1_Q="",ISBLANK(F_Custom1_Q),F_Custom1_V="(All)",F_Custom1_V="",ISBLANK(F_Custom1_V)),1,IFERROR(IF(ISNUMBER(SEARCH("|"&amp;INDEX(INDIRECT(F_Custom1_resolved_column),2655)&amp;"|",F_Custom1_wrapped)),1,0),0))</f>
        <v>1</v>
      </c>
      <c r="E2656">
        <f>IF(OR(F_Custom2_Q="(None)",F_Custom2_Q="",ISBLANK(F_Custom2_Q),F_Custom2_V="(All)",F_Custom2_V="",ISBLANK(F_Custom2_V)),1,IFERROR(IF(ISNUMBER(SEARCH("|"&amp;INDEX(INDIRECT(F_Custom2_resolved_column),2655)&amp;"|",F_Custom2_wrapped)),1,0),0))</f>
        <v>1</v>
      </c>
      <c r="F2656">
        <f>D2656*E2656*1</f>
        <v>1</v>
      </c>
      <c r="G2656">
        <f>1</f>
        <v>1</v>
      </c>
      <c r="H26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2655)&amp;"|",All_Questions_Q_STREAM_F_wrapped)),1,0),0))*1</f>
        <v>1</v>
      </c>
    </row>
    <row r="2657">
      <c r="A2657" t="n">
        <v>2656</v>
      </c>
      <c r="B2657" t="inlineStr">
        <is>
          <t>B</t>
        </is>
      </c>
      <c r="C2657">
        <f>1</f>
        <v>1</v>
      </c>
      <c r="D2657">
        <f>IF(OR(F_Custom1_Q="(None)",F_Custom1_Q="",ISBLANK(F_Custom1_Q),F_Custom1_V="(All)",F_Custom1_V="",ISBLANK(F_Custom1_V)),1,IFERROR(IF(ISNUMBER(SEARCH("|"&amp;INDEX(INDIRECT(F_Custom1_resolved_column),2656)&amp;"|",F_Custom1_wrapped)),1,0),0))</f>
        <v>1</v>
      </c>
      <c r="E2657">
        <f>IF(OR(F_Custom2_Q="(None)",F_Custom2_Q="",ISBLANK(F_Custom2_Q),F_Custom2_V="(All)",F_Custom2_V="",ISBLANK(F_Custom2_V)),1,IFERROR(IF(ISNUMBER(SEARCH("|"&amp;INDEX(INDIRECT(F_Custom2_resolved_column),2656)&amp;"|",F_Custom2_wrapped)),1,0),0))</f>
        <v>1</v>
      </c>
      <c r="F2657">
        <f>D2657*E2657*1</f>
        <v>1</v>
      </c>
      <c r="G2657">
        <f>1</f>
        <v>1</v>
      </c>
      <c r="H26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2656)&amp;"|",All_Questions_Q_STREAM_F_wrapped)),1,0),0))*1</f>
        <v>1</v>
      </c>
    </row>
    <row r="2658">
      <c r="A2658" t="n">
        <v>2657</v>
      </c>
      <c r="B2658" t="inlineStr">
        <is>
          <t>A</t>
        </is>
      </c>
      <c r="C2658">
        <f>1</f>
        <v>1</v>
      </c>
      <c r="D2658">
        <f>IF(OR(F_Custom1_Q="(None)",F_Custom1_Q="",ISBLANK(F_Custom1_Q),F_Custom1_V="(All)",F_Custom1_V="",ISBLANK(F_Custom1_V)),1,IFERROR(IF(ISNUMBER(SEARCH("|"&amp;INDEX(INDIRECT(F_Custom1_resolved_column),2657)&amp;"|",F_Custom1_wrapped)),1,0),0))</f>
        <v>1</v>
      </c>
      <c r="E2658">
        <f>IF(OR(F_Custom2_Q="(None)",F_Custom2_Q="",ISBLANK(F_Custom2_Q),F_Custom2_V="(All)",F_Custom2_V="",ISBLANK(F_Custom2_V)),1,IFERROR(IF(ISNUMBER(SEARCH("|"&amp;INDEX(INDIRECT(F_Custom2_resolved_column),2657)&amp;"|",F_Custom2_wrapped)),1,0),0))</f>
        <v>1</v>
      </c>
      <c r="F2658">
        <f>D2658*E2658*1</f>
        <v>1</v>
      </c>
      <c r="G2658">
        <f>1</f>
        <v>1</v>
      </c>
      <c r="H26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2657)&amp;"|",All_Questions_Q_STREAM_F_wrapped)),1,0),0))*1</f>
        <v>1</v>
      </c>
    </row>
    <row r="2659">
      <c r="A2659" t="n">
        <v>2658</v>
      </c>
      <c r="B2659" t="inlineStr">
        <is>
          <t>B</t>
        </is>
      </c>
      <c r="C2659">
        <f>1</f>
        <v>1</v>
      </c>
      <c r="D2659">
        <f>IF(OR(F_Custom1_Q="(None)",F_Custom1_Q="",ISBLANK(F_Custom1_Q),F_Custom1_V="(All)",F_Custom1_V="",ISBLANK(F_Custom1_V)),1,IFERROR(IF(ISNUMBER(SEARCH("|"&amp;INDEX(INDIRECT(F_Custom1_resolved_column),2658)&amp;"|",F_Custom1_wrapped)),1,0),0))</f>
        <v>1</v>
      </c>
      <c r="E2659">
        <f>IF(OR(F_Custom2_Q="(None)",F_Custom2_Q="",ISBLANK(F_Custom2_Q),F_Custom2_V="(All)",F_Custom2_V="",ISBLANK(F_Custom2_V)),1,IFERROR(IF(ISNUMBER(SEARCH("|"&amp;INDEX(INDIRECT(F_Custom2_resolved_column),2658)&amp;"|",F_Custom2_wrapped)),1,0),0))</f>
        <v>1</v>
      </c>
      <c r="F2659">
        <f>D2659*E2659*1</f>
        <v>1</v>
      </c>
      <c r="G2659">
        <f>1</f>
        <v>1</v>
      </c>
      <c r="H26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2658)&amp;"|",All_Questions_Q_STREAM_F_wrapped)),1,0),0))*1</f>
        <v>1</v>
      </c>
    </row>
    <row r="2660">
      <c r="A2660" t="n">
        <v>2659</v>
      </c>
      <c r="B2660" t="inlineStr">
        <is>
          <t>A</t>
        </is>
      </c>
      <c r="C2660">
        <f>1</f>
        <v>1</v>
      </c>
      <c r="D2660">
        <f>IF(OR(F_Custom1_Q="(None)",F_Custom1_Q="",ISBLANK(F_Custom1_Q),F_Custom1_V="(All)",F_Custom1_V="",ISBLANK(F_Custom1_V)),1,IFERROR(IF(ISNUMBER(SEARCH("|"&amp;INDEX(INDIRECT(F_Custom1_resolved_column),2659)&amp;"|",F_Custom1_wrapped)),1,0),0))</f>
        <v>1</v>
      </c>
      <c r="E2660">
        <f>IF(OR(F_Custom2_Q="(None)",F_Custom2_Q="",ISBLANK(F_Custom2_Q),F_Custom2_V="(All)",F_Custom2_V="",ISBLANK(F_Custom2_V)),1,IFERROR(IF(ISNUMBER(SEARCH("|"&amp;INDEX(INDIRECT(F_Custom2_resolved_column),2659)&amp;"|",F_Custom2_wrapped)),1,0),0))</f>
        <v>1</v>
      </c>
      <c r="F2660">
        <f>D2660*E2660*1</f>
        <v>1</v>
      </c>
      <c r="G2660">
        <f>1</f>
        <v>1</v>
      </c>
      <c r="H26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2659)&amp;"|",All_Questions_Q_STREAM_F_wrapped)),1,0),0))*1</f>
        <v>1</v>
      </c>
    </row>
    <row r="2661">
      <c r="A2661" t="n">
        <v>2660</v>
      </c>
      <c r="B2661" t="inlineStr">
        <is>
          <t>B</t>
        </is>
      </c>
      <c r="C2661">
        <f>1</f>
        <v>1</v>
      </c>
      <c r="D2661">
        <f>IF(OR(F_Custom1_Q="(None)",F_Custom1_Q="",ISBLANK(F_Custom1_Q),F_Custom1_V="(All)",F_Custom1_V="",ISBLANK(F_Custom1_V)),1,IFERROR(IF(ISNUMBER(SEARCH("|"&amp;INDEX(INDIRECT(F_Custom1_resolved_column),2660)&amp;"|",F_Custom1_wrapped)),1,0),0))</f>
        <v>1</v>
      </c>
      <c r="E2661">
        <f>IF(OR(F_Custom2_Q="(None)",F_Custom2_Q="",ISBLANK(F_Custom2_Q),F_Custom2_V="(All)",F_Custom2_V="",ISBLANK(F_Custom2_V)),1,IFERROR(IF(ISNUMBER(SEARCH("|"&amp;INDEX(INDIRECT(F_Custom2_resolved_column),2660)&amp;"|",F_Custom2_wrapped)),1,0),0))</f>
        <v>1</v>
      </c>
      <c r="F2661">
        <f>D2661*E2661*1</f>
        <v>1</v>
      </c>
      <c r="G2661">
        <f>1</f>
        <v>1</v>
      </c>
      <c r="H26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2660)&amp;"|",All_Questions_Q_STREAM_F_wrapped)),1,0),0))*1</f>
        <v>1</v>
      </c>
    </row>
    <row r="2662">
      <c r="A2662" t="n">
        <v>2661</v>
      </c>
      <c r="B2662" t="inlineStr">
        <is>
          <t>A</t>
        </is>
      </c>
      <c r="C2662">
        <f>1</f>
        <v>1</v>
      </c>
      <c r="D2662">
        <f>IF(OR(F_Custom1_Q="(None)",F_Custom1_Q="",ISBLANK(F_Custom1_Q),F_Custom1_V="(All)",F_Custom1_V="",ISBLANK(F_Custom1_V)),1,IFERROR(IF(ISNUMBER(SEARCH("|"&amp;INDEX(INDIRECT(F_Custom1_resolved_column),2661)&amp;"|",F_Custom1_wrapped)),1,0),0))</f>
        <v>1</v>
      </c>
      <c r="E2662">
        <f>IF(OR(F_Custom2_Q="(None)",F_Custom2_Q="",ISBLANK(F_Custom2_Q),F_Custom2_V="(All)",F_Custom2_V="",ISBLANK(F_Custom2_V)),1,IFERROR(IF(ISNUMBER(SEARCH("|"&amp;INDEX(INDIRECT(F_Custom2_resolved_column),2661)&amp;"|",F_Custom2_wrapped)),1,0),0))</f>
        <v>1</v>
      </c>
      <c r="F2662">
        <f>D2662*E2662*1</f>
        <v>1</v>
      </c>
      <c r="G2662">
        <f>1</f>
        <v>1</v>
      </c>
      <c r="H26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2661)&amp;"|",All_Questions_Q_STREAM_F_wrapped)),1,0),0))*1</f>
        <v>1</v>
      </c>
    </row>
    <row r="2663">
      <c r="A2663" t="n">
        <v>2662</v>
      </c>
      <c r="B2663" t="inlineStr">
        <is>
          <t>B</t>
        </is>
      </c>
      <c r="C2663">
        <f>1</f>
        <v>1</v>
      </c>
      <c r="D2663">
        <f>IF(OR(F_Custom1_Q="(None)",F_Custom1_Q="",ISBLANK(F_Custom1_Q),F_Custom1_V="(All)",F_Custom1_V="",ISBLANK(F_Custom1_V)),1,IFERROR(IF(ISNUMBER(SEARCH("|"&amp;INDEX(INDIRECT(F_Custom1_resolved_column),2662)&amp;"|",F_Custom1_wrapped)),1,0),0))</f>
        <v>1</v>
      </c>
      <c r="E2663">
        <f>IF(OR(F_Custom2_Q="(None)",F_Custom2_Q="",ISBLANK(F_Custom2_Q),F_Custom2_V="(All)",F_Custom2_V="",ISBLANK(F_Custom2_V)),1,IFERROR(IF(ISNUMBER(SEARCH("|"&amp;INDEX(INDIRECT(F_Custom2_resolved_column),2662)&amp;"|",F_Custom2_wrapped)),1,0),0))</f>
        <v>1</v>
      </c>
      <c r="F2663">
        <f>D2663*E2663*1</f>
        <v>1</v>
      </c>
      <c r="G2663">
        <f>1</f>
        <v>1</v>
      </c>
      <c r="H26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2662)&amp;"|",All_Questions_Q_STREAM_F_wrapped)),1,0),0))*1</f>
        <v>1</v>
      </c>
    </row>
    <row r="2664">
      <c r="A2664" t="n">
        <v>2663</v>
      </c>
      <c r="B2664" t="inlineStr">
        <is>
          <t>A</t>
        </is>
      </c>
      <c r="C2664">
        <f>1</f>
        <v>1</v>
      </c>
      <c r="D2664">
        <f>IF(OR(F_Custom1_Q="(None)",F_Custom1_Q="",ISBLANK(F_Custom1_Q),F_Custom1_V="(All)",F_Custom1_V="",ISBLANK(F_Custom1_V)),1,IFERROR(IF(ISNUMBER(SEARCH("|"&amp;INDEX(INDIRECT(F_Custom1_resolved_column),2663)&amp;"|",F_Custom1_wrapped)),1,0),0))</f>
        <v>1</v>
      </c>
      <c r="E2664">
        <f>IF(OR(F_Custom2_Q="(None)",F_Custom2_Q="",ISBLANK(F_Custom2_Q),F_Custom2_V="(All)",F_Custom2_V="",ISBLANK(F_Custom2_V)),1,IFERROR(IF(ISNUMBER(SEARCH("|"&amp;INDEX(INDIRECT(F_Custom2_resolved_column),2663)&amp;"|",F_Custom2_wrapped)),1,0),0))</f>
        <v>1</v>
      </c>
      <c r="F2664">
        <f>D2664*E2664*1</f>
        <v>1</v>
      </c>
      <c r="G2664">
        <f>1</f>
        <v>1</v>
      </c>
      <c r="H26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2663)&amp;"|",All_Questions_Q_STREAM_F_wrapped)),1,0),0))*1</f>
        <v>1</v>
      </c>
    </row>
    <row r="2665">
      <c r="A2665" t="n">
        <v>2664</v>
      </c>
      <c r="B2665" t="inlineStr">
        <is>
          <t>B</t>
        </is>
      </c>
      <c r="C2665">
        <f>1</f>
        <v>1</v>
      </c>
      <c r="D2665">
        <f>IF(OR(F_Custom1_Q="(None)",F_Custom1_Q="",ISBLANK(F_Custom1_Q),F_Custom1_V="(All)",F_Custom1_V="",ISBLANK(F_Custom1_V)),1,IFERROR(IF(ISNUMBER(SEARCH("|"&amp;INDEX(INDIRECT(F_Custom1_resolved_column),2664)&amp;"|",F_Custom1_wrapped)),1,0),0))</f>
        <v>1</v>
      </c>
      <c r="E2665">
        <f>IF(OR(F_Custom2_Q="(None)",F_Custom2_Q="",ISBLANK(F_Custom2_Q),F_Custom2_V="(All)",F_Custom2_V="",ISBLANK(F_Custom2_V)),1,IFERROR(IF(ISNUMBER(SEARCH("|"&amp;INDEX(INDIRECT(F_Custom2_resolved_column),2664)&amp;"|",F_Custom2_wrapped)),1,0),0))</f>
        <v>1</v>
      </c>
      <c r="F2665">
        <f>D2665*E2665*1</f>
        <v>1</v>
      </c>
      <c r="G2665">
        <f>1</f>
        <v>1</v>
      </c>
      <c r="H26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2664)&amp;"|",All_Questions_Q_STREAM_F_wrapped)),1,0),0))*1</f>
        <v>1</v>
      </c>
    </row>
    <row r="2666">
      <c r="A2666" t="n">
        <v>2665</v>
      </c>
      <c r="B2666" t="inlineStr">
        <is>
          <t>A</t>
        </is>
      </c>
      <c r="C2666">
        <f>1</f>
        <v>1</v>
      </c>
      <c r="D2666">
        <f>IF(OR(F_Custom1_Q="(None)",F_Custom1_Q="",ISBLANK(F_Custom1_Q),F_Custom1_V="(All)",F_Custom1_V="",ISBLANK(F_Custom1_V)),1,IFERROR(IF(ISNUMBER(SEARCH("|"&amp;INDEX(INDIRECT(F_Custom1_resolved_column),2665)&amp;"|",F_Custom1_wrapped)),1,0),0))</f>
        <v>1</v>
      </c>
      <c r="E2666">
        <f>IF(OR(F_Custom2_Q="(None)",F_Custom2_Q="",ISBLANK(F_Custom2_Q),F_Custom2_V="(All)",F_Custom2_V="",ISBLANK(F_Custom2_V)),1,IFERROR(IF(ISNUMBER(SEARCH("|"&amp;INDEX(INDIRECT(F_Custom2_resolved_column),2665)&amp;"|",F_Custom2_wrapped)),1,0),0))</f>
        <v>1</v>
      </c>
      <c r="F2666">
        <f>D2666*E2666*1</f>
        <v>1</v>
      </c>
      <c r="G2666">
        <f>1</f>
        <v>1</v>
      </c>
      <c r="H26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2665)&amp;"|",All_Questions_Q_STREAM_F_wrapped)),1,0),0))*1</f>
        <v>1</v>
      </c>
    </row>
    <row r="2667">
      <c r="A2667" t="n">
        <v>2666</v>
      </c>
      <c r="B2667" t="inlineStr">
        <is>
          <t>B</t>
        </is>
      </c>
      <c r="C2667">
        <f>1</f>
        <v>1</v>
      </c>
      <c r="D2667">
        <f>IF(OR(F_Custom1_Q="(None)",F_Custom1_Q="",ISBLANK(F_Custom1_Q),F_Custom1_V="(All)",F_Custom1_V="",ISBLANK(F_Custom1_V)),1,IFERROR(IF(ISNUMBER(SEARCH("|"&amp;INDEX(INDIRECT(F_Custom1_resolved_column),2666)&amp;"|",F_Custom1_wrapped)),1,0),0))</f>
        <v>1</v>
      </c>
      <c r="E2667">
        <f>IF(OR(F_Custom2_Q="(None)",F_Custom2_Q="",ISBLANK(F_Custom2_Q),F_Custom2_V="(All)",F_Custom2_V="",ISBLANK(F_Custom2_V)),1,IFERROR(IF(ISNUMBER(SEARCH("|"&amp;INDEX(INDIRECT(F_Custom2_resolved_column),2666)&amp;"|",F_Custom2_wrapped)),1,0),0))</f>
        <v>1</v>
      </c>
      <c r="F2667">
        <f>D2667*E2667*1</f>
        <v>1</v>
      </c>
      <c r="G2667">
        <f>1</f>
        <v>1</v>
      </c>
      <c r="H26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2666)&amp;"|",All_Questions_Q_STREAM_F_wrapped)),1,0),0))*1</f>
        <v>1</v>
      </c>
    </row>
    <row r="2668">
      <c r="A2668" t="n">
        <v>2667</v>
      </c>
      <c r="B2668" t="inlineStr">
        <is>
          <t>A</t>
        </is>
      </c>
      <c r="C2668">
        <f>1</f>
        <v>1</v>
      </c>
      <c r="D2668">
        <f>IF(OR(F_Custom1_Q="(None)",F_Custom1_Q="",ISBLANK(F_Custom1_Q),F_Custom1_V="(All)",F_Custom1_V="",ISBLANK(F_Custom1_V)),1,IFERROR(IF(ISNUMBER(SEARCH("|"&amp;INDEX(INDIRECT(F_Custom1_resolved_column),2667)&amp;"|",F_Custom1_wrapped)),1,0),0))</f>
        <v>1</v>
      </c>
      <c r="E2668">
        <f>IF(OR(F_Custom2_Q="(None)",F_Custom2_Q="",ISBLANK(F_Custom2_Q),F_Custom2_V="(All)",F_Custom2_V="",ISBLANK(F_Custom2_V)),1,IFERROR(IF(ISNUMBER(SEARCH("|"&amp;INDEX(INDIRECT(F_Custom2_resolved_column),2667)&amp;"|",F_Custom2_wrapped)),1,0),0))</f>
        <v>1</v>
      </c>
      <c r="F2668">
        <f>D2668*E2668*1</f>
        <v>1</v>
      </c>
      <c r="G2668">
        <f>1</f>
        <v>1</v>
      </c>
      <c r="H26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2667)&amp;"|",All_Questions_Q_STREAM_F_wrapped)),1,0),0))*1</f>
        <v>1</v>
      </c>
    </row>
    <row r="2669">
      <c r="A2669" t="n">
        <v>2668</v>
      </c>
      <c r="B2669" t="inlineStr">
        <is>
          <t>B</t>
        </is>
      </c>
      <c r="C2669">
        <f>1</f>
        <v>1</v>
      </c>
      <c r="D2669">
        <f>IF(OR(F_Custom1_Q="(None)",F_Custom1_Q="",ISBLANK(F_Custom1_Q),F_Custom1_V="(All)",F_Custom1_V="",ISBLANK(F_Custom1_V)),1,IFERROR(IF(ISNUMBER(SEARCH("|"&amp;INDEX(INDIRECT(F_Custom1_resolved_column),2668)&amp;"|",F_Custom1_wrapped)),1,0),0))</f>
        <v>1</v>
      </c>
      <c r="E2669">
        <f>IF(OR(F_Custom2_Q="(None)",F_Custom2_Q="",ISBLANK(F_Custom2_Q),F_Custom2_V="(All)",F_Custom2_V="",ISBLANK(F_Custom2_V)),1,IFERROR(IF(ISNUMBER(SEARCH("|"&amp;INDEX(INDIRECT(F_Custom2_resolved_column),2668)&amp;"|",F_Custom2_wrapped)),1,0),0))</f>
        <v>1</v>
      </c>
      <c r="F2669">
        <f>D2669*E2669*1</f>
        <v>1</v>
      </c>
      <c r="G2669">
        <f>1</f>
        <v>1</v>
      </c>
      <c r="H26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2668)&amp;"|",All_Questions_Q_STREAM_F_wrapped)),1,0),0))*1</f>
        <v>1</v>
      </c>
    </row>
    <row r="2670">
      <c r="A2670" t="n">
        <v>2669</v>
      </c>
      <c r="B2670" t="inlineStr">
        <is>
          <t>A</t>
        </is>
      </c>
      <c r="C2670">
        <f>1</f>
        <v>1</v>
      </c>
      <c r="D2670">
        <f>IF(OR(F_Custom1_Q="(None)",F_Custom1_Q="",ISBLANK(F_Custom1_Q),F_Custom1_V="(All)",F_Custom1_V="",ISBLANK(F_Custom1_V)),1,IFERROR(IF(ISNUMBER(SEARCH("|"&amp;INDEX(INDIRECT(F_Custom1_resolved_column),2669)&amp;"|",F_Custom1_wrapped)),1,0),0))</f>
        <v>1</v>
      </c>
      <c r="E2670">
        <f>IF(OR(F_Custom2_Q="(None)",F_Custom2_Q="",ISBLANK(F_Custom2_Q),F_Custom2_V="(All)",F_Custom2_V="",ISBLANK(F_Custom2_V)),1,IFERROR(IF(ISNUMBER(SEARCH("|"&amp;INDEX(INDIRECT(F_Custom2_resolved_column),2669)&amp;"|",F_Custom2_wrapped)),1,0),0))</f>
        <v>1</v>
      </c>
      <c r="F2670">
        <f>D2670*E2670*1</f>
        <v>1</v>
      </c>
      <c r="G2670">
        <f>1</f>
        <v>1</v>
      </c>
      <c r="H26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2669)&amp;"|",All_Questions_Q_STREAM_F_wrapped)),1,0),0))*1</f>
        <v>1</v>
      </c>
    </row>
    <row r="2671">
      <c r="A2671" t="n">
        <v>2670</v>
      </c>
      <c r="B2671" t="inlineStr">
        <is>
          <t>B</t>
        </is>
      </c>
      <c r="C2671">
        <f>1</f>
        <v>1</v>
      </c>
      <c r="D2671">
        <f>IF(OR(F_Custom1_Q="(None)",F_Custom1_Q="",ISBLANK(F_Custom1_Q),F_Custom1_V="(All)",F_Custom1_V="",ISBLANK(F_Custom1_V)),1,IFERROR(IF(ISNUMBER(SEARCH("|"&amp;INDEX(INDIRECT(F_Custom1_resolved_column),2670)&amp;"|",F_Custom1_wrapped)),1,0),0))</f>
        <v>1</v>
      </c>
      <c r="E2671">
        <f>IF(OR(F_Custom2_Q="(None)",F_Custom2_Q="",ISBLANK(F_Custom2_Q),F_Custom2_V="(All)",F_Custom2_V="",ISBLANK(F_Custom2_V)),1,IFERROR(IF(ISNUMBER(SEARCH("|"&amp;INDEX(INDIRECT(F_Custom2_resolved_column),2670)&amp;"|",F_Custom2_wrapped)),1,0),0))</f>
        <v>1</v>
      </c>
      <c r="F2671">
        <f>D2671*E2671*1</f>
        <v>1</v>
      </c>
      <c r="G2671">
        <f>1</f>
        <v>1</v>
      </c>
      <c r="H26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2670)&amp;"|",All_Questions_Q_STREAM_F_wrapped)),1,0),0))*1</f>
        <v>1</v>
      </c>
    </row>
    <row r="2672">
      <c r="A2672" t="n">
        <v>2671</v>
      </c>
      <c r="B2672" t="inlineStr">
        <is>
          <t>A</t>
        </is>
      </c>
      <c r="C2672">
        <f>1</f>
        <v>1</v>
      </c>
      <c r="D2672">
        <f>IF(OR(F_Custom1_Q="(None)",F_Custom1_Q="",ISBLANK(F_Custom1_Q),F_Custom1_V="(All)",F_Custom1_V="",ISBLANK(F_Custom1_V)),1,IFERROR(IF(ISNUMBER(SEARCH("|"&amp;INDEX(INDIRECT(F_Custom1_resolved_column),2671)&amp;"|",F_Custom1_wrapped)),1,0),0))</f>
        <v>1</v>
      </c>
      <c r="E2672">
        <f>IF(OR(F_Custom2_Q="(None)",F_Custom2_Q="",ISBLANK(F_Custom2_Q),F_Custom2_V="(All)",F_Custom2_V="",ISBLANK(F_Custom2_V)),1,IFERROR(IF(ISNUMBER(SEARCH("|"&amp;INDEX(INDIRECT(F_Custom2_resolved_column),2671)&amp;"|",F_Custom2_wrapped)),1,0),0))</f>
        <v>1</v>
      </c>
      <c r="F2672">
        <f>D2672*E2672*1</f>
        <v>1</v>
      </c>
      <c r="G2672">
        <f>1</f>
        <v>1</v>
      </c>
      <c r="H26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2671)&amp;"|",All_Questions_Q_STREAM_F_wrapped)),1,0),0))*1</f>
        <v>1</v>
      </c>
    </row>
    <row r="2673">
      <c r="A2673" t="n">
        <v>2672</v>
      </c>
      <c r="B2673" t="inlineStr">
        <is>
          <t>B</t>
        </is>
      </c>
      <c r="C2673">
        <f>1</f>
        <v>1</v>
      </c>
      <c r="D2673">
        <f>IF(OR(F_Custom1_Q="(None)",F_Custom1_Q="",ISBLANK(F_Custom1_Q),F_Custom1_V="(All)",F_Custom1_V="",ISBLANK(F_Custom1_V)),1,IFERROR(IF(ISNUMBER(SEARCH("|"&amp;INDEX(INDIRECT(F_Custom1_resolved_column),2672)&amp;"|",F_Custom1_wrapped)),1,0),0))</f>
        <v>1</v>
      </c>
      <c r="E2673">
        <f>IF(OR(F_Custom2_Q="(None)",F_Custom2_Q="",ISBLANK(F_Custom2_Q),F_Custom2_V="(All)",F_Custom2_V="",ISBLANK(F_Custom2_V)),1,IFERROR(IF(ISNUMBER(SEARCH("|"&amp;INDEX(INDIRECT(F_Custom2_resolved_column),2672)&amp;"|",F_Custom2_wrapped)),1,0),0))</f>
        <v>1</v>
      </c>
      <c r="F2673">
        <f>D2673*E2673*1</f>
        <v>1</v>
      </c>
      <c r="G2673">
        <f>1</f>
        <v>1</v>
      </c>
      <c r="H26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2672)&amp;"|",All_Questions_Q_STREAM_F_wrapped)),1,0),0))*1</f>
        <v>1</v>
      </c>
    </row>
    <row r="2674">
      <c r="A2674" t="n">
        <v>2673</v>
      </c>
      <c r="B2674" t="inlineStr">
        <is>
          <t>A</t>
        </is>
      </c>
      <c r="C2674">
        <f>1</f>
        <v>1</v>
      </c>
      <c r="D2674">
        <f>IF(OR(F_Custom1_Q="(None)",F_Custom1_Q="",ISBLANK(F_Custom1_Q),F_Custom1_V="(All)",F_Custom1_V="",ISBLANK(F_Custom1_V)),1,IFERROR(IF(ISNUMBER(SEARCH("|"&amp;INDEX(INDIRECT(F_Custom1_resolved_column),2673)&amp;"|",F_Custom1_wrapped)),1,0),0))</f>
        <v>1</v>
      </c>
      <c r="E2674">
        <f>IF(OR(F_Custom2_Q="(None)",F_Custom2_Q="",ISBLANK(F_Custom2_Q),F_Custom2_V="(All)",F_Custom2_V="",ISBLANK(F_Custom2_V)),1,IFERROR(IF(ISNUMBER(SEARCH("|"&amp;INDEX(INDIRECT(F_Custom2_resolved_column),2673)&amp;"|",F_Custom2_wrapped)),1,0),0))</f>
        <v>1</v>
      </c>
      <c r="F2674">
        <f>D2674*E2674*1</f>
        <v>1</v>
      </c>
      <c r="G2674">
        <f>1</f>
        <v>1</v>
      </c>
      <c r="H26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2673)&amp;"|",All_Questions_Q_STREAM_F_wrapped)),1,0),0))*1</f>
        <v>1</v>
      </c>
    </row>
    <row r="2675">
      <c r="A2675" t="n">
        <v>2674</v>
      </c>
      <c r="B2675" t="inlineStr">
        <is>
          <t>B</t>
        </is>
      </c>
      <c r="C2675">
        <f>1</f>
        <v>1</v>
      </c>
      <c r="D2675">
        <f>IF(OR(F_Custom1_Q="(None)",F_Custom1_Q="",ISBLANK(F_Custom1_Q),F_Custom1_V="(All)",F_Custom1_V="",ISBLANK(F_Custom1_V)),1,IFERROR(IF(ISNUMBER(SEARCH("|"&amp;INDEX(INDIRECT(F_Custom1_resolved_column),2674)&amp;"|",F_Custom1_wrapped)),1,0),0))</f>
        <v>1</v>
      </c>
      <c r="E2675">
        <f>IF(OR(F_Custom2_Q="(None)",F_Custom2_Q="",ISBLANK(F_Custom2_Q),F_Custom2_V="(All)",F_Custom2_V="",ISBLANK(F_Custom2_V)),1,IFERROR(IF(ISNUMBER(SEARCH("|"&amp;INDEX(INDIRECT(F_Custom2_resolved_column),2674)&amp;"|",F_Custom2_wrapped)),1,0),0))</f>
        <v>1</v>
      </c>
      <c r="F2675">
        <f>D2675*E2675*1</f>
        <v>1</v>
      </c>
      <c r="G2675">
        <f>1</f>
        <v>1</v>
      </c>
      <c r="H26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2674)&amp;"|",All_Questions_Q_STREAM_F_wrapped)),1,0),0))*1</f>
        <v>1</v>
      </c>
    </row>
    <row r="2676">
      <c r="A2676" t="n">
        <v>2675</v>
      </c>
      <c r="B2676" t="inlineStr">
        <is>
          <t>A</t>
        </is>
      </c>
      <c r="C2676">
        <f>1</f>
        <v>1</v>
      </c>
      <c r="D2676">
        <f>IF(OR(F_Custom1_Q="(None)",F_Custom1_Q="",ISBLANK(F_Custom1_Q),F_Custom1_V="(All)",F_Custom1_V="",ISBLANK(F_Custom1_V)),1,IFERROR(IF(ISNUMBER(SEARCH("|"&amp;INDEX(INDIRECT(F_Custom1_resolved_column),2675)&amp;"|",F_Custom1_wrapped)),1,0),0))</f>
        <v>1</v>
      </c>
      <c r="E2676">
        <f>IF(OR(F_Custom2_Q="(None)",F_Custom2_Q="",ISBLANK(F_Custom2_Q),F_Custom2_V="(All)",F_Custom2_V="",ISBLANK(F_Custom2_V)),1,IFERROR(IF(ISNUMBER(SEARCH("|"&amp;INDEX(INDIRECT(F_Custom2_resolved_column),2675)&amp;"|",F_Custom2_wrapped)),1,0),0))</f>
        <v>1</v>
      </c>
      <c r="F2676">
        <f>D2676*E2676*1</f>
        <v>1</v>
      </c>
      <c r="G2676">
        <f>1</f>
        <v>1</v>
      </c>
      <c r="H26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2675)&amp;"|",All_Questions_Q_STREAM_F_wrapped)),1,0),0))*1</f>
        <v>1</v>
      </c>
    </row>
    <row r="2677">
      <c r="A2677" t="n">
        <v>2676</v>
      </c>
      <c r="B2677" t="inlineStr">
        <is>
          <t>B</t>
        </is>
      </c>
      <c r="C2677">
        <f>1</f>
        <v>1</v>
      </c>
      <c r="D2677">
        <f>IF(OR(F_Custom1_Q="(None)",F_Custom1_Q="",ISBLANK(F_Custom1_Q),F_Custom1_V="(All)",F_Custom1_V="",ISBLANK(F_Custom1_V)),1,IFERROR(IF(ISNUMBER(SEARCH("|"&amp;INDEX(INDIRECT(F_Custom1_resolved_column),2676)&amp;"|",F_Custom1_wrapped)),1,0),0))</f>
        <v>1</v>
      </c>
      <c r="E2677">
        <f>IF(OR(F_Custom2_Q="(None)",F_Custom2_Q="",ISBLANK(F_Custom2_Q),F_Custom2_V="(All)",F_Custom2_V="",ISBLANK(F_Custom2_V)),1,IFERROR(IF(ISNUMBER(SEARCH("|"&amp;INDEX(INDIRECT(F_Custom2_resolved_column),2676)&amp;"|",F_Custom2_wrapped)),1,0),0))</f>
        <v>1</v>
      </c>
      <c r="F2677">
        <f>D2677*E2677*1</f>
        <v>1</v>
      </c>
      <c r="G2677">
        <f>1</f>
        <v>1</v>
      </c>
      <c r="H26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2676)&amp;"|",All_Questions_Q_STREAM_F_wrapped)),1,0),0))*1</f>
        <v>1</v>
      </c>
    </row>
    <row r="2678">
      <c r="A2678" t="n">
        <v>2677</v>
      </c>
      <c r="B2678" t="inlineStr">
        <is>
          <t>A</t>
        </is>
      </c>
      <c r="C2678">
        <f>1</f>
        <v>1</v>
      </c>
      <c r="D2678">
        <f>IF(OR(F_Custom1_Q="(None)",F_Custom1_Q="",ISBLANK(F_Custom1_Q),F_Custom1_V="(All)",F_Custom1_V="",ISBLANK(F_Custom1_V)),1,IFERROR(IF(ISNUMBER(SEARCH("|"&amp;INDEX(INDIRECT(F_Custom1_resolved_column),2677)&amp;"|",F_Custom1_wrapped)),1,0),0))</f>
        <v>1</v>
      </c>
      <c r="E2678">
        <f>IF(OR(F_Custom2_Q="(None)",F_Custom2_Q="",ISBLANK(F_Custom2_Q),F_Custom2_V="(All)",F_Custom2_V="",ISBLANK(F_Custom2_V)),1,IFERROR(IF(ISNUMBER(SEARCH("|"&amp;INDEX(INDIRECT(F_Custom2_resolved_column),2677)&amp;"|",F_Custom2_wrapped)),1,0),0))</f>
        <v>1</v>
      </c>
      <c r="F2678">
        <f>D2678*E2678*1</f>
        <v>1</v>
      </c>
      <c r="G2678">
        <f>1</f>
        <v>1</v>
      </c>
      <c r="H26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2677)&amp;"|",All_Questions_Q_STREAM_F_wrapped)),1,0),0))*1</f>
        <v>1</v>
      </c>
    </row>
    <row r="2679">
      <c r="A2679" t="n">
        <v>2678</v>
      </c>
      <c r="B2679" t="inlineStr">
        <is>
          <t>B</t>
        </is>
      </c>
      <c r="C2679">
        <f>1</f>
        <v>1</v>
      </c>
      <c r="D2679">
        <f>IF(OR(F_Custom1_Q="(None)",F_Custom1_Q="",ISBLANK(F_Custom1_Q),F_Custom1_V="(All)",F_Custom1_V="",ISBLANK(F_Custom1_V)),1,IFERROR(IF(ISNUMBER(SEARCH("|"&amp;INDEX(INDIRECT(F_Custom1_resolved_column),2678)&amp;"|",F_Custom1_wrapped)),1,0),0))</f>
        <v>1</v>
      </c>
      <c r="E2679">
        <f>IF(OR(F_Custom2_Q="(None)",F_Custom2_Q="",ISBLANK(F_Custom2_Q),F_Custom2_V="(All)",F_Custom2_V="",ISBLANK(F_Custom2_V)),1,IFERROR(IF(ISNUMBER(SEARCH("|"&amp;INDEX(INDIRECT(F_Custom2_resolved_column),2678)&amp;"|",F_Custom2_wrapped)),1,0),0))</f>
        <v>1</v>
      </c>
      <c r="F2679">
        <f>D2679*E2679*1</f>
        <v>1</v>
      </c>
      <c r="G2679">
        <f>1</f>
        <v>1</v>
      </c>
      <c r="H26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2678)&amp;"|",All_Questions_Q_STREAM_F_wrapped)),1,0),0))*1</f>
        <v>1</v>
      </c>
    </row>
    <row r="2680">
      <c r="A2680" t="n">
        <v>2679</v>
      </c>
      <c r="B2680" t="inlineStr">
        <is>
          <t>A</t>
        </is>
      </c>
      <c r="C2680">
        <f>1</f>
        <v>1</v>
      </c>
      <c r="D2680">
        <f>IF(OR(F_Custom1_Q="(None)",F_Custom1_Q="",ISBLANK(F_Custom1_Q),F_Custom1_V="(All)",F_Custom1_V="",ISBLANK(F_Custom1_V)),1,IFERROR(IF(ISNUMBER(SEARCH("|"&amp;INDEX(INDIRECT(F_Custom1_resolved_column),2679)&amp;"|",F_Custom1_wrapped)),1,0),0))</f>
        <v>1</v>
      </c>
      <c r="E2680">
        <f>IF(OR(F_Custom2_Q="(None)",F_Custom2_Q="",ISBLANK(F_Custom2_Q),F_Custom2_V="(All)",F_Custom2_V="",ISBLANK(F_Custom2_V)),1,IFERROR(IF(ISNUMBER(SEARCH("|"&amp;INDEX(INDIRECT(F_Custom2_resolved_column),2679)&amp;"|",F_Custom2_wrapped)),1,0),0))</f>
        <v>1</v>
      </c>
      <c r="F2680">
        <f>D2680*E2680*1</f>
        <v>1</v>
      </c>
      <c r="G2680">
        <f>1</f>
        <v>1</v>
      </c>
      <c r="H26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2679)&amp;"|",All_Questions_Q_STREAM_F_wrapped)),1,0),0))*1</f>
        <v>1</v>
      </c>
    </row>
    <row r="2681">
      <c r="A2681" t="n">
        <v>2680</v>
      </c>
      <c r="B2681" t="inlineStr">
        <is>
          <t>B</t>
        </is>
      </c>
      <c r="C2681">
        <f>1</f>
        <v>1</v>
      </c>
      <c r="D2681">
        <f>IF(OR(F_Custom1_Q="(None)",F_Custom1_Q="",ISBLANK(F_Custom1_Q),F_Custom1_V="(All)",F_Custom1_V="",ISBLANK(F_Custom1_V)),1,IFERROR(IF(ISNUMBER(SEARCH("|"&amp;INDEX(INDIRECT(F_Custom1_resolved_column),2680)&amp;"|",F_Custom1_wrapped)),1,0),0))</f>
        <v>1</v>
      </c>
      <c r="E2681">
        <f>IF(OR(F_Custom2_Q="(None)",F_Custom2_Q="",ISBLANK(F_Custom2_Q),F_Custom2_V="(All)",F_Custom2_V="",ISBLANK(F_Custom2_V)),1,IFERROR(IF(ISNUMBER(SEARCH("|"&amp;INDEX(INDIRECT(F_Custom2_resolved_column),2680)&amp;"|",F_Custom2_wrapped)),1,0),0))</f>
        <v>1</v>
      </c>
      <c r="F2681">
        <f>D2681*E2681*1</f>
        <v>1</v>
      </c>
      <c r="G2681">
        <f>1</f>
        <v>1</v>
      </c>
      <c r="H26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2680)&amp;"|",All_Questions_Q_STREAM_F_wrapped)),1,0),0))*1</f>
        <v>1</v>
      </c>
    </row>
    <row r="2682">
      <c r="A2682" t="n">
        <v>2681</v>
      </c>
      <c r="B2682" t="inlineStr">
        <is>
          <t>A</t>
        </is>
      </c>
      <c r="C2682">
        <f>1</f>
        <v>1</v>
      </c>
      <c r="D2682">
        <f>IF(OR(F_Custom1_Q="(None)",F_Custom1_Q="",ISBLANK(F_Custom1_Q),F_Custom1_V="(All)",F_Custom1_V="",ISBLANK(F_Custom1_V)),1,IFERROR(IF(ISNUMBER(SEARCH("|"&amp;INDEX(INDIRECT(F_Custom1_resolved_column),2681)&amp;"|",F_Custom1_wrapped)),1,0),0))</f>
        <v>1</v>
      </c>
      <c r="E2682">
        <f>IF(OR(F_Custom2_Q="(None)",F_Custom2_Q="",ISBLANK(F_Custom2_Q),F_Custom2_V="(All)",F_Custom2_V="",ISBLANK(F_Custom2_V)),1,IFERROR(IF(ISNUMBER(SEARCH("|"&amp;INDEX(INDIRECT(F_Custom2_resolved_column),2681)&amp;"|",F_Custom2_wrapped)),1,0),0))</f>
        <v>1</v>
      </c>
      <c r="F2682">
        <f>D2682*E2682*1</f>
        <v>1</v>
      </c>
      <c r="G2682">
        <f>1</f>
        <v>1</v>
      </c>
      <c r="H26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2681)&amp;"|",All_Questions_Q_STREAM_F_wrapped)),1,0),0))*1</f>
        <v>1</v>
      </c>
    </row>
    <row r="2683">
      <c r="A2683" t="n">
        <v>2682</v>
      </c>
      <c r="B2683" t="inlineStr">
        <is>
          <t>B</t>
        </is>
      </c>
      <c r="C2683">
        <f>1</f>
        <v>1</v>
      </c>
      <c r="D2683">
        <f>IF(OR(F_Custom1_Q="(None)",F_Custom1_Q="",ISBLANK(F_Custom1_Q),F_Custom1_V="(All)",F_Custom1_V="",ISBLANK(F_Custom1_V)),1,IFERROR(IF(ISNUMBER(SEARCH("|"&amp;INDEX(INDIRECT(F_Custom1_resolved_column),2682)&amp;"|",F_Custom1_wrapped)),1,0),0))</f>
        <v>1</v>
      </c>
      <c r="E2683">
        <f>IF(OR(F_Custom2_Q="(None)",F_Custom2_Q="",ISBLANK(F_Custom2_Q),F_Custom2_V="(All)",F_Custom2_V="",ISBLANK(F_Custom2_V)),1,IFERROR(IF(ISNUMBER(SEARCH("|"&amp;INDEX(INDIRECT(F_Custom2_resolved_column),2682)&amp;"|",F_Custom2_wrapped)),1,0),0))</f>
        <v>1</v>
      </c>
      <c r="F2683">
        <f>D2683*E2683*1</f>
        <v>1</v>
      </c>
      <c r="G2683">
        <f>1</f>
        <v>1</v>
      </c>
      <c r="H26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2682)&amp;"|",All_Questions_Q_STREAM_F_wrapped)),1,0),0))*1</f>
        <v>1</v>
      </c>
    </row>
    <row r="2684">
      <c r="A2684" t="n">
        <v>2683</v>
      </c>
      <c r="B2684" t="inlineStr">
        <is>
          <t>A</t>
        </is>
      </c>
      <c r="C2684">
        <f>1</f>
        <v>1</v>
      </c>
      <c r="D2684">
        <f>IF(OR(F_Custom1_Q="(None)",F_Custom1_Q="",ISBLANK(F_Custom1_Q),F_Custom1_V="(All)",F_Custom1_V="",ISBLANK(F_Custom1_V)),1,IFERROR(IF(ISNUMBER(SEARCH("|"&amp;INDEX(INDIRECT(F_Custom1_resolved_column),2683)&amp;"|",F_Custom1_wrapped)),1,0),0))</f>
        <v>1</v>
      </c>
      <c r="E2684">
        <f>IF(OR(F_Custom2_Q="(None)",F_Custom2_Q="",ISBLANK(F_Custom2_Q),F_Custom2_V="(All)",F_Custom2_V="",ISBLANK(F_Custom2_V)),1,IFERROR(IF(ISNUMBER(SEARCH("|"&amp;INDEX(INDIRECT(F_Custom2_resolved_column),2683)&amp;"|",F_Custom2_wrapped)),1,0),0))</f>
        <v>1</v>
      </c>
      <c r="F2684">
        <f>D2684*E2684*1</f>
        <v>1</v>
      </c>
      <c r="G2684">
        <f>1</f>
        <v>1</v>
      </c>
      <c r="H26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2683)&amp;"|",All_Questions_Q_STREAM_F_wrapped)),1,0),0))*1</f>
        <v>1</v>
      </c>
    </row>
    <row r="2685">
      <c r="A2685" t="n">
        <v>2684</v>
      </c>
      <c r="B2685" t="inlineStr">
        <is>
          <t>B</t>
        </is>
      </c>
      <c r="C2685">
        <f>1</f>
        <v>1</v>
      </c>
      <c r="D2685">
        <f>IF(OR(F_Custom1_Q="(None)",F_Custom1_Q="",ISBLANK(F_Custom1_Q),F_Custom1_V="(All)",F_Custom1_V="",ISBLANK(F_Custom1_V)),1,IFERROR(IF(ISNUMBER(SEARCH("|"&amp;INDEX(INDIRECT(F_Custom1_resolved_column),2684)&amp;"|",F_Custom1_wrapped)),1,0),0))</f>
        <v>1</v>
      </c>
      <c r="E2685">
        <f>IF(OR(F_Custom2_Q="(None)",F_Custom2_Q="",ISBLANK(F_Custom2_Q),F_Custom2_V="(All)",F_Custom2_V="",ISBLANK(F_Custom2_V)),1,IFERROR(IF(ISNUMBER(SEARCH("|"&amp;INDEX(INDIRECT(F_Custom2_resolved_column),2684)&amp;"|",F_Custom2_wrapped)),1,0),0))</f>
        <v>1</v>
      </c>
      <c r="F2685">
        <f>D2685*E2685*1</f>
        <v>1</v>
      </c>
      <c r="G2685">
        <f>1</f>
        <v>1</v>
      </c>
      <c r="H26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2684)&amp;"|",All_Questions_Q_STREAM_F_wrapped)),1,0),0))*1</f>
        <v>1</v>
      </c>
    </row>
    <row r="2686">
      <c r="A2686" t="n">
        <v>2685</v>
      </c>
      <c r="B2686" t="inlineStr">
        <is>
          <t>A</t>
        </is>
      </c>
      <c r="C2686">
        <f>1</f>
        <v>1</v>
      </c>
      <c r="D2686">
        <f>IF(OR(F_Custom1_Q="(None)",F_Custom1_Q="",ISBLANK(F_Custom1_Q),F_Custom1_V="(All)",F_Custom1_V="",ISBLANK(F_Custom1_V)),1,IFERROR(IF(ISNUMBER(SEARCH("|"&amp;INDEX(INDIRECT(F_Custom1_resolved_column),2685)&amp;"|",F_Custom1_wrapped)),1,0),0))</f>
        <v>1</v>
      </c>
      <c r="E2686">
        <f>IF(OR(F_Custom2_Q="(None)",F_Custom2_Q="",ISBLANK(F_Custom2_Q),F_Custom2_V="(All)",F_Custom2_V="",ISBLANK(F_Custom2_V)),1,IFERROR(IF(ISNUMBER(SEARCH("|"&amp;INDEX(INDIRECT(F_Custom2_resolved_column),2685)&amp;"|",F_Custom2_wrapped)),1,0),0))</f>
        <v>1</v>
      </c>
      <c r="F2686">
        <f>D2686*E2686*1</f>
        <v>1</v>
      </c>
      <c r="G2686">
        <f>1</f>
        <v>1</v>
      </c>
      <c r="H26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2685)&amp;"|",All_Questions_Q_STREAM_F_wrapped)),1,0),0))*1</f>
        <v>1</v>
      </c>
    </row>
    <row r="2687">
      <c r="A2687" t="n">
        <v>2686</v>
      </c>
      <c r="B2687" t="inlineStr">
        <is>
          <t>B</t>
        </is>
      </c>
      <c r="C2687">
        <f>1</f>
        <v>1</v>
      </c>
      <c r="D2687">
        <f>IF(OR(F_Custom1_Q="(None)",F_Custom1_Q="",ISBLANK(F_Custom1_Q),F_Custom1_V="(All)",F_Custom1_V="",ISBLANK(F_Custom1_V)),1,IFERROR(IF(ISNUMBER(SEARCH("|"&amp;INDEX(INDIRECT(F_Custom1_resolved_column),2686)&amp;"|",F_Custom1_wrapped)),1,0),0))</f>
        <v>1</v>
      </c>
      <c r="E2687">
        <f>IF(OR(F_Custom2_Q="(None)",F_Custom2_Q="",ISBLANK(F_Custom2_Q),F_Custom2_V="(All)",F_Custom2_V="",ISBLANK(F_Custom2_V)),1,IFERROR(IF(ISNUMBER(SEARCH("|"&amp;INDEX(INDIRECT(F_Custom2_resolved_column),2686)&amp;"|",F_Custom2_wrapped)),1,0),0))</f>
        <v>1</v>
      </c>
      <c r="F2687">
        <f>D2687*E2687*1</f>
        <v>1</v>
      </c>
      <c r="G2687">
        <f>1</f>
        <v>1</v>
      </c>
      <c r="H26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2686)&amp;"|",All_Questions_Q_STREAM_F_wrapped)),1,0),0))*1</f>
        <v>1</v>
      </c>
    </row>
    <row r="2688">
      <c r="A2688" t="n">
        <v>2687</v>
      </c>
      <c r="B2688" t="inlineStr">
        <is>
          <t>A</t>
        </is>
      </c>
      <c r="C2688">
        <f>1</f>
        <v>1</v>
      </c>
      <c r="D2688">
        <f>IF(OR(F_Custom1_Q="(None)",F_Custom1_Q="",ISBLANK(F_Custom1_Q),F_Custom1_V="(All)",F_Custom1_V="",ISBLANK(F_Custom1_V)),1,IFERROR(IF(ISNUMBER(SEARCH("|"&amp;INDEX(INDIRECT(F_Custom1_resolved_column),2687)&amp;"|",F_Custom1_wrapped)),1,0),0))</f>
        <v>1</v>
      </c>
      <c r="E2688">
        <f>IF(OR(F_Custom2_Q="(None)",F_Custom2_Q="",ISBLANK(F_Custom2_Q),F_Custom2_V="(All)",F_Custom2_V="",ISBLANK(F_Custom2_V)),1,IFERROR(IF(ISNUMBER(SEARCH("|"&amp;INDEX(INDIRECT(F_Custom2_resolved_column),2687)&amp;"|",F_Custom2_wrapped)),1,0),0))</f>
        <v>1</v>
      </c>
      <c r="F2688">
        <f>D2688*E2688*1</f>
        <v>1</v>
      </c>
      <c r="G2688">
        <f>1</f>
        <v>1</v>
      </c>
      <c r="H26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2687)&amp;"|",All_Questions_Q_STREAM_F_wrapped)),1,0),0))*1</f>
        <v>1</v>
      </c>
    </row>
    <row r="2689">
      <c r="A2689" t="n">
        <v>2688</v>
      </c>
      <c r="B2689" t="inlineStr">
        <is>
          <t>B</t>
        </is>
      </c>
      <c r="C2689">
        <f>1</f>
        <v>1</v>
      </c>
      <c r="D2689">
        <f>IF(OR(F_Custom1_Q="(None)",F_Custom1_Q="",ISBLANK(F_Custom1_Q),F_Custom1_V="(All)",F_Custom1_V="",ISBLANK(F_Custom1_V)),1,IFERROR(IF(ISNUMBER(SEARCH("|"&amp;INDEX(INDIRECT(F_Custom1_resolved_column),2688)&amp;"|",F_Custom1_wrapped)),1,0),0))</f>
        <v>1</v>
      </c>
      <c r="E2689">
        <f>IF(OR(F_Custom2_Q="(None)",F_Custom2_Q="",ISBLANK(F_Custom2_Q),F_Custom2_V="(All)",F_Custom2_V="",ISBLANK(F_Custom2_V)),1,IFERROR(IF(ISNUMBER(SEARCH("|"&amp;INDEX(INDIRECT(F_Custom2_resolved_column),2688)&amp;"|",F_Custom2_wrapped)),1,0),0))</f>
        <v>1</v>
      </c>
      <c r="F2689">
        <f>D2689*E2689*1</f>
        <v>1</v>
      </c>
      <c r="G2689">
        <f>1</f>
        <v>1</v>
      </c>
      <c r="H26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2688)&amp;"|",All_Questions_Q_STREAM_F_wrapped)),1,0),0))*1</f>
        <v>1</v>
      </c>
    </row>
    <row r="2690">
      <c r="A2690" t="n">
        <v>2689</v>
      </c>
      <c r="B2690" t="inlineStr">
        <is>
          <t>A</t>
        </is>
      </c>
      <c r="C2690">
        <f>1</f>
        <v>1</v>
      </c>
      <c r="D2690">
        <f>IF(OR(F_Custom1_Q="(None)",F_Custom1_Q="",ISBLANK(F_Custom1_Q),F_Custom1_V="(All)",F_Custom1_V="",ISBLANK(F_Custom1_V)),1,IFERROR(IF(ISNUMBER(SEARCH("|"&amp;INDEX(INDIRECT(F_Custom1_resolved_column),2689)&amp;"|",F_Custom1_wrapped)),1,0),0))</f>
        <v>1</v>
      </c>
      <c r="E2690">
        <f>IF(OR(F_Custom2_Q="(None)",F_Custom2_Q="",ISBLANK(F_Custom2_Q),F_Custom2_V="(All)",F_Custom2_V="",ISBLANK(F_Custom2_V)),1,IFERROR(IF(ISNUMBER(SEARCH("|"&amp;INDEX(INDIRECT(F_Custom2_resolved_column),2689)&amp;"|",F_Custom2_wrapped)),1,0),0))</f>
        <v>1</v>
      </c>
      <c r="F2690">
        <f>D2690*E2690*1</f>
        <v>1</v>
      </c>
      <c r="G2690">
        <f>1</f>
        <v>1</v>
      </c>
      <c r="H26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2689)&amp;"|",All_Questions_Q_STREAM_F_wrapped)),1,0),0))*1</f>
        <v>1</v>
      </c>
    </row>
    <row r="2691">
      <c r="A2691" t="n">
        <v>2690</v>
      </c>
      <c r="B2691" t="inlineStr">
        <is>
          <t>B</t>
        </is>
      </c>
      <c r="C2691">
        <f>1</f>
        <v>1</v>
      </c>
      <c r="D2691">
        <f>IF(OR(F_Custom1_Q="(None)",F_Custom1_Q="",ISBLANK(F_Custom1_Q),F_Custom1_V="(All)",F_Custom1_V="",ISBLANK(F_Custom1_V)),1,IFERROR(IF(ISNUMBER(SEARCH("|"&amp;INDEX(INDIRECT(F_Custom1_resolved_column),2690)&amp;"|",F_Custom1_wrapped)),1,0),0))</f>
        <v>1</v>
      </c>
      <c r="E2691">
        <f>IF(OR(F_Custom2_Q="(None)",F_Custom2_Q="",ISBLANK(F_Custom2_Q),F_Custom2_V="(All)",F_Custom2_V="",ISBLANK(F_Custom2_V)),1,IFERROR(IF(ISNUMBER(SEARCH("|"&amp;INDEX(INDIRECT(F_Custom2_resolved_column),2690)&amp;"|",F_Custom2_wrapped)),1,0),0))</f>
        <v>1</v>
      </c>
      <c r="F2691">
        <f>D2691*E2691*1</f>
        <v>1</v>
      </c>
      <c r="G2691">
        <f>1</f>
        <v>1</v>
      </c>
      <c r="H26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2690)&amp;"|",All_Questions_Q_STREAM_F_wrapped)),1,0),0))*1</f>
        <v>1</v>
      </c>
    </row>
    <row r="2692">
      <c r="A2692" t="n">
        <v>2691</v>
      </c>
      <c r="B2692" t="inlineStr">
        <is>
          <t>A</t>
        </is>
      </c>
      <c r="C2692">
        <f>1</f>
        <v>1</v>
      </c>
      <c r="D2692">
        <f>IF(OR(F_Custom1_Q="(None)",F_Custom1_Q="",ISBLANK(F_Custom1_Q),F_Custom1_V="(All)",F_Custom1_V="",ISBLANK(F_Custom1_V)),1,IFERROR(IF(ISNUMBER(SEARCH("|"&amp;INDEX(INDIRECT(F_Custom1_resolved_column),2691)&amp;"|",F_Custom1_wrapped)),1,0),0))</f>
        <v>1</v>
      </c>
      <c r="E2692">
        <f>IF(OR(F_Custom2_Q="(None)",F_Custom2_Q="",ISBLANK(F_Custom2_Q),F_Custom2_V="(All)",F_Custom2_V="",ISBLANK(F_Custom2_V)),1,IFERROR(IF(ISNUMBER(SEARCH("|"&amp;INDEX(INDIRECT(F_Custom2_resolved_column),2691)&amp;"|",F_Custom2_wrapped)),1,0),0))</f>
        <v>1</v>
      </c>
      <c r="F2692">
        <f>D2692*E2692*1</f>
        <v>1</v>
      </c>
      <c r="G2692">
        <f>1</f>
        <v>1</v>
      </c>
      <c r="H26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2691)&amp;"|",All_Questions_Q_STREAM_F_wrapped)),1,0),0))*1</f>
        <v>1</v>
      </c>
    </row>
    <row r="2693">
      <c r="A2693" t="n">
        <v>2692</v>
      </c>
      <c r="B2693" t="inlineStr">
        <is>
          <t>B</t>
        </is>
      </c>
      <c r="C2693">
        <f>1</f>
        <v>1</v>
      </c>
      <c r="D2693">
        <f>IF(OR(F_Custom1_Q="(None)",F_Custom1_Q="",ISBLANK(F_Custom1_Q),F_Custom1_V="(All)",F_Custom1_V="",ISBLANK(F_Custom1_V)),1,IFERROR(IF(ISNUMBER(SEARCH("|"&amp;INDEX(INDIRECT(F_Custom1_resolved_column),2692)&amp;"|",F_Custom1_wrapped)),1,0),0))</f>
        <v>1</v>
      </c>
      <c r="E2693">
        <f>IF(OR(F_Custom2_Q="(None)",F_Custom2_Q="",ISBLANK(F_Custom2_Q),F_Custom2_V="(All)",F_Custom2_V="",ISBLANK(F_Custom2_V)),1,IFERROR(IF(ISNUMBER(SEARCH("|"&amp;INDEX(INDIRECT(F_Custom2_resolved_column),2692)&amp;"|",F_Custom2_wrapped)),1,0),0))</f>
        <v>1</v>
      </c>
      <c r="F2693">
        <f>D2693*E2693*1</f>
        <v>1</v>
      </c>
      <c r="G2693">
        <f>1</f>
        <v>1</v>
      </c>
      <c r="H26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2692)&amp;"|",All_Questions_Q_STREAM_F_wrapped)),1,0),0))*1</f>
        <v>1</v>
      </c>
    </row>
    <row r="2694">
      <c r="A2694" t="n">
        <v>2693</v>
      </c>
      <c r="B2694" t="inlineStr">
        <is>
          <t>A</t>
        </is>
      </c>
      <c r="C2694">
        <f>1</f>
        <v>1</v>
      </c>
      <c r="D2694">
        <f>IF(OR(F_Custom1_Q="(None)",F_Custom1_Q="",ISBLANK(F_Custom1_Q),F_Custom1_V="(All)",F_Custom1_V="",ISBLANK(F_Custom1_V)),1,IFERROR(IF(ISNUMBER(SEARCH("|"&amp;INDEX(INDIRECT(F_Custom1_resolved_column),2693)&amp;"|",F_Custom1_wrapped)),1,0),0))</f>
        <v>1</v>
      </c>
      <c r="E2694">
        <f>IF(OR(F_Custom2_Q="(None)",F_Custom2_Q="",ISBLANK(F_Custom2_Q),F_Custom2_V="(All)",F_Custom2_V="",ISBLANK(F_Custom2_V)),1,IFERROR(IF(ISNUMBER(SEARCH("|"&amp;INDEX(INDIRECT(F_Custom2_resolved_column),2693)&amp;"|",F_Custom2_wrapped)),1,0),0))</f>
        <v>1</v>
      </c>
      <c r="F2694">
        <f>D2694*E2694*1</f>
        <v>1</v>
      </c>
      <c r="G2694">
        <f>1</f>
        <v>1</v>
      </c>
      <c r="H26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2693)&amp;"|",All_Questions_Q_STREAM_F_wrapped)),1,0),0))*1</f>
        <v>1</v>
      </c>
    </row>
    <row r="2695">
      <c r="A2695" t="n">
        <v>2694</v>
      </c>
      <c r="B2695" t="inlineStr">
        <is>
          <t>B</t>
        </is>
      </c>
      <c r="C2695">
        <f>1</f>
        <v>1</v>
      </c>
      <c r="D2695">
        <f>IF(OR(F_Custom1_Q="(None)",F_Custom1_Q="",ISBLANK(F_Custom1_Q),F_Custom1_V="(All)",F_Custom1_V="",ISBLANK(F_Custom1_V)),1,IFERROR(IF(ISNUMBER(SEARCH("|"&amp;INDEX(INDIRECT(F_Custom1_resolved_column),2694)&amp;"|",F_Custom1_wrapped)),1,0),0))</f>
        <v>1</v>
      </c>
      <c r="E2695">
        <f>IF(OR(F_Custom2_Q="(None)",F_Custom2_Q="",ISBLANK(F_Custom2_Q),F_Custom2_V="(All)",F_Custom2_V="",ISBLANK(F_Custom2_V)),1,IFERROR(IF(ISNUMBER(SEARCH("|"&amp;INDEX(INDIRECT(F_Custom2_resolved_column),2694)&amp;"|",F_Custom2_wrapped)),1,0),0))</f>
        <v>1</v>
      </c>
      <c r="F2695">
        <f>D2695*E2695*1</f>
        <v>1</v>
      </c>
      <c r="G2695">
        <f>1</f>
        <v>1</v>
      </c>
      <c r="H26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2694)&amp;"|",All_Questions_Q_STREAM_F_wrapped)),1,0),0))*1</f>
        <v>1</v>
      </c>
    </row>
    <row r="2696">
      <c r="A2696" t="n">
        <v>2695</v>
      </c>
      <c r="B2696" t="inlineStr">
        <is>
          <t>A</t>
        </is>
      </c>
      <c r="C2696">
        <f>1</f>
        <v>1</v>
      </c>
      <c r="D2696">
        <f>IF(OR(F_Custom1_Q="(None)",F_Custom1_Q="",ISBLANK(F_Custom1_Q),F_Custom1_V="(All)",F_Custom1_V="",ISBLANK(F_Custom1_V)),1,IFERROR(IF(ISNUMBER(SEARCH("|"&amp;INDEX(INDIRECT(F_Custom1_resolved_column),2695)&amp;"|",F_Custom1_wrapped)),1,0),0))</f>
        <v>1</v>
      </c>
      <c r="E2696">
        <f>IF(OR(F_Custom2_Q="(None)",F_Custom2_Q="",ISBLANK(F_Custom2_Q),F_Custom2_V="(All)",F_Custom2_V="",ISBLANK(F_Custom2_V)),1,IFERROR(IF(ISNUMBER(SEARCH("|"&amp;INDEX(INDIRECT(F_Custom2_resolved_column),2695)&amp;"|",F_Custom2_wrapped)),1,0),0))</f>
        <v>1</v>
      </c>
      <c r="F2696">
        <f>D2696*E2696*1</f>
        <v>1</v>
      </c>
      <c r="G2696">
        <f>1</f>
        <v>1</v>
      </c>
      <c r="H26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2695)&amp;"|",All_Questions_Q_STREAM_F_wrapped)),1,0),0))*1</f>
        <v>1</v>
      </c>
    </row>
    <row r="2697">
      <c r="A2697" t="n">
        <v>2696</v>
      </c>
      <c r="B2697" t="inlineStr">
        <is>
          <t>B</t>
        </is>
      </c>
      <c r="C2697">
        <f>1</f>
        <v>1</v>
      </c>
      <c r="D2697">
        <f>IF(OR(F_Custom1_Q="(None)",F_Custom1_Q="",ISBLANK(F_Custom1_Q),F_Custom1_V="(All)",F_Custom1_V="",ISBLANK(F_Custom1_V)),1,IFERROR(IF(ISNUMBER(SEARCH("|"&amp;INDEX(INDIRECT(F_Custom1_resolved_column),2696)&amp;"|",F_Custom1_wrapped)),1,0),0))</f>
        <v>1</v>
      </c>
      <c r="E2697">
        <f>IF(OR(F_Custom2_Q="(None)",F_Custom2_Q="",ISBLANK(F_Custom2_Q),F_Custom2_V="(All)",F_Custom2_V="",ISBLANK(F_Custom2_V)),1,IFERROR(IF(ISNUMBER(SEARCH("|"&amp;INDEX(INDIRECT(F_Custom2_resolved_column),2696)&amp;"|",F_Custom2_wrapped)),1,0),0))</f>
        <v>1</v>
      </c>
      <c r="F2697">
        <f>D2697*E2697*1</f>
        <v>1</v>
      </c>
      <c r="G2697">
        <f>1</f>
        <v>1</v>
      </c>
      <c r="H26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2696)&amp;"|",All_Questions_Q_STREAM_F_wrapped)),1,0),0))*1</f>
        <v>1</v>
      </c>
    </row>
    <row r="2698">
      <c r="A2698" t="n">
        <v>2697</v>
      </c>
      <c r="B2698" t="inlineStr">
        <is>
          <t>A</t>
        </is>
      </c>
      <c r="C2698">
        <f>1</f>
        <v>1</v>
      </c>
      <c r="D2698">
        <f>IF(OR(F_Custom1_Q="(None)",F_Custom1_Q="",ISBLANK(F_Custom1_Q),F_Custom1_V="(All)",F_Custom1_V="",ISBLANK(F_Custom1_V)),1,IFERROR(IF(ISNUMBER(SEARCH("|"&amp;INDEX(INDIRECT(F_Custom1_resolved_column),2697)&amp;"|",F_Custom1_wrapped)),1,0),0))</f>
        <v>1</v>
      </c>
      <c r="E2698">
        <f>IF(OR(F_Custom2_Q="(None)",F_Custom2_Q="",ISBLANK(F_Custom2_Q),F_Custom2_V="(All)",F_Custom2_V="",ISBLANK(F_Custom2_V)),1,IFERROR(IF(ISNUMBER(SEARCH("|"&amp;INDEX(INDIRECT(F_Custom2_resolved_column),2697)&amp;"|",F_Custom2_wrapped)),1,0),0))</f>
        <v>1</v>
      </c>
      <c r="F2698">
        <f>D2698*E2698*1</f>
        <v>1</v>
      </c>
      <c r="G2698">
        <f>1</f>
        <v>1</v>
      </c>
      <c r="H26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2697)&amp;"|",All_Questions_Q_STREAM_F_wrapped)),1,0),0))*1</f>
        <v>1</v>
      </c>
    </row>
    <row r="2699">
      <c r="A2699" t="n">
        <v>2698</v>
      </c>
      <c r="B2699" t="inlineStr">
        <is>
          <t>B</t>
        </is>
      </c>
      <c r="C2699">
        <f>1</f>
        <v>1</v>
      </c>
      <c r="D2699">
        <f>IF(OR(F_Custom1_Q="(None)",F_Custom1_Q="",ISBLANK(F_Custom1_Q),F_Custom1_V="(All)",F_Custom1_V="",ISBLANK(F_Custom1_V)),1,IFERROR(IF(ISNUMBER(SEARCH("|"&amp;INDEX(INDIRECT(F_Custom1_resolved_column),2698)&amp;"|",F_Custom1_wrapped)),1,0),0))</f>
        <v>1</v>
      </c>
      <c r="E2699">
        <f>IF(OR(F_Custom2_Q="(None)",F_Custom2_Q="",ISBLANK(F_Custom2_Q),F_Custom2_V="(All)",F_Custom2_V="",ISBLANK(F_Custom2_V)),1,IFERROR(IF(ISNUMBER(SEARCH("|"&amp;INDEX(INDIRECT(F_Custom2_resolved_column),2698)&amp;"|",F_Custom2_wrapped)),1,0),0))</f>
        <v>1</v>
      </c>
      <c r="F2699">
        <f>D2699*E2699*1</f>
        <v>1</v>
      </c>
      <c r="G2699">
        <f>1</f>
        <v>1</v>
      </c>
      <c r="H26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2698)&amp;"|",All_Questions_Q_STREAM_F_wrapped)),1,0),0))*1</f>
        <v>1</v>
      </c>
    </row>
    <row r="2700">
      <c r="A2700" t="n">
        <v>2699</v>
      </c>
      <c r="B2700" t="inlineStr">
        <is>
          <t>A</t>
        </is>
      </c>
      <c r="C2700">
        <f>1</f>
        <v>1</v>
      </c>
      <c r="D2700">
        <f>IF(OR(F_Custom1_Q="(None)",F_Custom1_Q="",ISBLANK(F_Custom1_Q),F_Custom1_V="(All)",F_Custom1_V="",ISBLANK(F_Custom1_V)),1,IFERROR(IF(ISNUMBER(SEARCH("|"&amp;INDEX(INDIRECT(F_Custom1_resolved_column),2699)&amp;"|",F_Custom1_wrapped)),1,0),0))</f>
        <v>1</v>
      </c>
      <c r="E2700">
        <f>IF(OR(F_Custom2_Q="(None)",F_Custom2_Q="",ISBLANK(F_Custom2_Q),F_Custom2_V="(All)",F_Custom2_V="",ISBLANK(F_Custom2_V)),1,IFERROR(IF(ISNUMBER(SEARCH("|"&amp;INDEX(INDIRECT(F_Custom2_resolved_column),2699)&amp;"|",F_Custom2_wrapped)),1,0),0))</f>
        <v>1</v>
      </c>
      <c r="F2700">
        <f>D2700*E2700*1</f>
        <v>1</v>
      </c>
      <c r="G2700">
        <f>1</f>
        <v>1</v>
      </c>
      <c r="H27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2699)&amp;"|",All_Questions_Q_STREAM_F_wrapped)),1,0),0))*1</f>
        <v>1</v>
      </c>
    </row>
    <row r="2701">
      <c r="A2701" t="n">
        <v>2700</v>
      </c>
      <c r="B2701" t="inlineStr">
        <is>
          <t>B</t>
        </is>
      </c>
      <c r="C2701">
        <f>1</f>
        <v>1</v>
      </c>
      <c r="D2701">
        <f>IF(OR(F_Custom1_Q="(None)",F_Custom1_Q="",ISBLANK(F_Custom1_Q),F_Custom1_V="(All)",F_Custom1_V="",ISBLANK(F_Custom1_V)),1,IFERROR(IF(ISNUMBER(SEARCH("|"&amp;INDEX(INDIRECT(F_Custom1_resolved_column),2700)&amp;"|",F_Custom1_wrapped)),1,0),0))</f>
        <v>1</v>
      </c>
      <c r="E2701">
        <f>IF(OR(F_Custom2_Q="(None)",F_Custom2_Q="",ISBLANK(F_Custom2_Q),F_Custom2_V="(All)",F_Custom2_V="",ISBLANK(F_Custom2_V)),1,IFERROR(IF(ISNUMBER(SEARCH("|"&amp;INDEX(INDIRECT(F_Custom2_resolved_column),2700)&amp;"|",F_Custom2_wrapped)),1,0),0))</f>
        <v>1</v>
      </c>
      <c r="F2701">
        <f>D2701*E2701*1</f>
        <v>1</v>
      </c>
      <c r="G2701">
        <f>1</f>
        <v>1</v>
      </c>
      <c r="H27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2700)&amp;"|",All_Questions_Q_STREAM_F_wrapped)),1,0),0))*1</f>
        <v>1</v>
      </c>
    </row>
    <row r="2702">
      <c r="A2702" t="n">
        <v>2701</v>
      </c>
      <c r="B2702" t="inlineStr">
        <is>
          <t>A</t>
        </is>
      </c>
      <c r="C2702">
        <f>1</f>
        <v>1</v>
      </c>
      <c r="D2702">
        <f>IF(OR(F_Custom1_Q="(None)",F_Custom1_Q="",ISBLANK(F_Custom1_Q),F_Custom1_V="(All)",F_Custom1_V="",ISBLANK(F_Custom1_V)),1,IFERROR(IF(ISNUMBER(SEARCH("|"&amp;INDEX(INDIRECT(F_Custom1_resolved_column),2701)&amp;"|",F_Custom1_wrapped)),1,0),0))</f>
        <v>1</v>
      </c>
      <c r="E2702">
        <f>IF(OR(F_Custom2_Q="(None)",F_Custom2_Q="",ISBLANK(F_Custom2_Q),F_Custom2_V="(All)",F_Custom2_V="",ISBLANK(F_Custom2_V)),1,IFERROR(IF(ISNUMBER(SEARCH("|"&amp;INDEX(INDIRECT(F_Custom2_resolved_column),2701)&amp;"|",F_Custom2_wrapped)),1,0),0))</f>
        <v>1</v>
      </c>
      <c r="F2702">
        <f>D2702*E2702*1</f>
        <v>1</v>
      </c>
      <c r="G2702">
        <f>1</f>
        <v>1</v>
      </c>
      <c r="H27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2701)&amp;"|",All_Questions_Q_STREAM_F_wrapped)),1,0),0))*1</f>
        <v>1</v>
      </c>
    </row>
    <row r="2703">
      <c r="A2703" t="n">
        <v>2702</v>
      </c>
      <c r="B2703" t="inlineStr">
        <is>
          <t>B</t>
        </is>
      </c>
      <c r="C2703">
        <f>1</f>
        <v>1</v>
      </c>
      <c r="D2703">
        <f>IF(OR(F_Custom1_Q="(None)",F_Custom1_Q="",ISBLANK(F_Custom1_Q),F_Custom1_V="(All)",F_Custom1_V="",ISBLANK(F_Custom1_V)),1,IFERROR(IF(ISNUMBER(SEARCH("|"&amp;INDEX(INDIRECT(F_Custom1_resolved_column),2702)&amp;"|",F_Custom1_wrapped)),1,0),0))</f>
        <v>1</v>
      </c>
      <c r="E2703">
        <f>IF(OR(F_Custom2_Q="(None)",F_Custom2_Q="",ISBLANK(F_Custom2_Q),F_Custom2_V="(All)",F_Custom2_V="",ISBLANK(F_Custom2_V)),1,IFERROR(IF(ISNUMBER(SEARCH("|"&amp;INDEX(INDIRECT(F_Custom2_resolved_column),2702)&amp;"|",F_Custom2_wrapped)),1,0),0))</f>
        <v>1</v>
      </c>
      <c r="F2703">
        <f>D2703*E2703*1</f>
        <v>1</v>
      </c>
      <c r="G2703">
        <f>1</f>
        <v>1</v>
      </c>
      <c r="H27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2702)&amp;"|",All_Questions_Q_STREAM_F_wrapped)),1,0),0))*1</f>
        <v>1</v>
      </c>
    </row>
    <row r="2704">
      <c r="A2704" t="n">
        <v>2703</v>
      </c>
      <c r="B2704" t="inlineStr">
        <is>
          <t>A</t>
        </is>
      </c>
      <c r="C2704">
        <f>1</f>
        <v>1</v>
      </c>
      <c r="D2704">
        <f>IF(OR(F_Custom1_Q="(None)",F_Custom1_Q="",ISBLANK(F_Custom1_Q),F_Custom1_V="(All)",F_Custom1_V="",ISBLANK(F_Custom1_V)),1,IFERROR(IF(ISNUMBER(SEARCH("|"&amp;INDEX(INDIRECT(F_Custom1_resolved_column),2703)&amp;"|",F_Custom1_wrapped)),1,0),0))</f>
        <v>1</v>
      </c>
      <c r="E2704">
        <f>IF(OR(F_Custom2_Q="(None)",F_Custom2_Q="",ISBLANK(F_Custom2_Q),F_Custom2_V="(All)",F_Custom2_V="",ISBLANK(F_Custom2_V)),1,IFERROR(IF(ISNUMBER(SEARCH("|"&amp;INDEX(INDIRECT(F_Custom2_resolved_column),2703)&amp;"|",F_Custom2_wrapped)),1,0),0))</f>
        <v>1</v>
      </c>
      <c r="F2704">
        <f>D2704*E2704*1</f>
        <v>1</v>
      </c>
      <c r="G2704">
        <f>1</f>
        <v>1</v>
      </c>
      <c r="H27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2703)&amp;"|",All_Questions_Q_STREAM_F_wrapped)),1,0),0))*1</f>
        <v>1</v>
      </c>
    </row>
    <row r="2705">
      <c r="A2705" t="n">
        <v>2704</v>
      </c>
      <c r="B2705" t="inlineStr">
        <is>
          <t>B</t>
        </is>
      </c>
      <c r="C2705">
        <f>1</f>
        <v>1</v>
      </c>
      <c r="D2705">
        <f>IF(OR(F_Custom1_Q="(None)",F_Custom1_Q="",ISBLANK(F_Custom1_Q),F_Custom1_V="(All)",F_Custom1_V="",ISBLANK(F_Custom1_V)),1,IFERROR(IF(ISNUMBER(SEARCH("|"&amp;INDEX(INDIRECT(F_Custom1_resolved_column),2704)&amp;"|",F_Custom1_wrapped)),1,0),0))</f>
        <v>1</v>
      </c>
      <c r="E2705">
        <f>IF(OR(F_Custom2_Q="(None)",F_Custom2_Q="",ISBLANK(F_Custom2_Q),F_Custom2_V="(All)",F_Custom2_V="",ISBLANK(F_Custom2_V)),1,IFERROR(IF(ISNUMBER(SEARCH("|"&amp;INDEX(INDIRECT(F_Custom2_resolved_column),2704)&amp;"|",F_Custom2_wrapped)),1,0),0))</f>
        <v>1</v>
      </c>
      <c r="F2705">
        <f>D2705*E2705*1</f>
        <v>1</v>
      </c>
      <c r="G2705">
        <f>1</f>
        <v>1</v>
      </c>
      <c r="H27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2704)&amp;"|",All_Questions_Q_STREAM_F_wrapped)),1,0),0))*1</f>
        <v>1</v>
      </c>
    </row>
    <row r="2706">
      <c r="A2706" t="n">
        <v>2705</v>
      </c>
      <c r="B2706" t="inlineStr">
        <is>
          <t>A</t>
        </is>
      </c>
      <c r="C2706">
        <f>1</f>
        <v>1</v>
      </c>
      <c r="D2706">
        <f>IF(OR(F_Custom1_Q="(None)",F_Custom1_Q="",ISBLANK(F_Custom1_Q),F_Custom1_V="(All)",F_Custom1_V="",ISBLANK(F_Custom1_V)),1,IFERROR(IF(ISNUMBER(SEARCH("|"&amp;INDEX(INDIRECT(F_Custom1_resolved_column),2705)&amp;"|",F_Custom1_wrapped)),1,0),0))</f>
        <v>1</v>
      </c>
      <c r="E2706">
        <f>IF(OR(F_Custom2_Q="(None)",F_Custom2_Q="",ISBLANK(F_Custom2_Q),F_Custom2_V="(All)",F_Custom2_V="",ISBLANK(F_Custom2_V)),1,IFERROR(IF(ISNUMBER(SEARCH("|"&amp;INDEX(INDIRECT(F_Custom2_resolved_column),2705)&amp;"|",F_Custom2_wrapped)),1,0),0))</f>
        <v>1</v>
      </c>
      <c r="F2706">
        <f>D2706*E2706*1</f>
        <v>1</v>
      </c>
      <c r="G2706">
        <f>1</f>
        <v>1</v>
      </c>
      <c r="H27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2705)&amp;"|",All_Questions_Q_STREAM_F_wrapped)),1,0),0))*1</f>
        <v>1</v>
      </c>
    </row>
    <row r="2707">
      <c r="A2707" t="n">
        <v>2706</v>
      </c>
      <c r="B2707" t="inlineStr">
        <is>
          <t>B</t>
        </is>
      </c>
      <c r="C2707">
        <f>1</f>
        <v>1</v>
      </c>
      <c r="D2707">
        <f>IF(OR(F_Custom1_Q="(None)",F_Custom1_Q="",ISBLANK(F_Custom1_Q),F_Custom1_V="(All)",F_Custom1_V="",ISBLANK(F_Custom1_V)),1,IFERROR(IF(ISNUMBER(SEARCH("|"&amp;INDEX(INDIRECT(F_Custom1_resolved_column),2706)&amp;"|",F_Custom1_wrapped)),1,0),0))</f>
        <v>1</v>
      </c>
      <c r="E2707">
        <f>IF(OR(F_Custom2_Q="(None)",F_Custom2_Q="",ISBLANK(F_Custom2_Q),F_Custom2_V="(All)",F_Custom2_V="",ISBLANK(F_Custom2_V)),1,IFERROR(IF(ISNUMBER(SEARCH("|"&amp;INDEX(INDIRECT(F_Custom2_resolved_column),2706)&amp;"|",F_Custom2_wrapped)),1,0),0))</f>
        <v>1</v>
      </c>
      <c r="F2707">
        <f>D2707*E2707*1</f>
        <v>1</v>
      </c>
      <c r="G2707">
        <f>1</f>
        <v>1</v>
      </c>
      <c r="H27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2706)&amp;"|",All_Questions_Q_STREAM_F_wrapped)),1,0),0))*1</f>
        <v>1</v>
      </c>
    </row>
    <row r="2708">
      <c r="A2708" t="n">
        <v>2707</v>
      </c>
      <c r="B2708" t="inlineStr">
        <is>
          <t>A</t>
        </is>
      </c>
      <c r="C2708">
        <f>1</f>
        <v>1</v>
      </c>
      <c r="D2708">
        <f>IF(OR(F_Custom1_Q="(None)",F_Custom1_Q="",ISBLANK(F_Custom1_Q),F_Custom1_V="(All)",F_Custom1_V="",ISBLANK(F_Custom1_V)),1,IFERROR(IF(ISNUMBER(SEARCH("|"&amp;INDEX(INDIRECT(F_Custom1_resolved_column),2707)&amp;"|",F_Custom1_wrapped)),1,0),0))</f>
        <v>1</v>
      </c>
      <c r="E2708">
        <f>IF(OR(F_Custom2_Q="(None)",F_Custom2_Q="",ISBLANK(F_Custom2_Q),F_Custom2_V="(All)",F_Custom2_V="",ISBLANK(F_Custom2_V)),1,IFERROR(IF(ISNUMBER(SEARCH("|"&amp;INDEX(INDIRECT(F_Custom2_resolved_column),2707)&amp;"|",F_Custom2_wrapped)),1,0),0))</f>
        <v>1</v>
      </c>
      <c r="F2708">
        <f>D2708*E2708*1</f>
        <v>1</v>
      </c>
      <c r="G2708">
        <f>1</f>
        <v>1</v>
      </c>
      <c r="H27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2707)&amp;"|",All_Questions_Q_STREAM_F_wrapped)),1,0),0))*1</f>
        <v>1</v>
      </c>
    </row>
    <row r="2709">
      <c r="A2709" t="n">
        <v>2708</v>
      </c>
      <c r="B2709" t="inlineStr">
        <is>
          <t>B</t>
        </is>
      </c>
      <c r="C2709">
        <f>1</f>
        <v>1</v>
      </c>
      <c r="D2709">
        <f>IF(OR(F_Custom1_Q="(None)",F_Custom1_Q="",ISBLANK(F_Custom1_Q),F_Custom1_V="(All)",F_Custom1_V="",ISBLANK(F_Custom1_V)),1,IFERROR(IF(ISNUMBER(SEARCH("|"&amp;INDEX(INDIRECT(F_Custom1_resolved_column),2708)&amp;"|",F_Custom1_wrapped)),1,0),0))</f>
        <v>1</v>
      </c>
      <c r="E2709">
        <f>IF(OR(F_Custom2_Q="(None)",F_Custom2_Q="",ISBLANK(F_Custom2_Q),F_Custom2_V="(All)",F_Custom2_V="",ISBLANK(F_Custom2_V)),1,IFERROR(IF(ISNUMBER(SEARCH("|"&amp;INDEX(INDIRECT(F_Custom2_resolved_column),2708)&amp;"|",F_Custom2_wrapped)),1,0),0))</f>
        <v>1</v>
      </c>
      <c r="F2709">
        <f>D2709*E2709*1</f>
        <v>1</v>
      </c>
      <c r="G2709">
        <f>1</f>
        <v>1</v>
      </c>
      <c r="H27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2708)&amp;"|",All_Questions_Q_STREAM_F_wrapped)),1,0),0))*1</f>
        <v>1</v>
      </c>
    </row>
    <row r="2710">
      <c r="A2710" t="n">
        <v>2709</v>
      </c>
      <c r="B2710" t="inlineStr">
        <is>
          <t>A</t>
        </is>
      </c>
      <c r="C2710">
        <f>1</f>
        <v>1</v>
      </c>
      <c r="D2710">
        <f>IF(OR(F_Custom1_Q="(None)",F_Custom1_Q="",ISBLANK(F_Custom1_Q),F_Custom1_V="(All)",F_Custom1_V="",ISBLANK(F_Custom1_V)),1,IFERROR(IF(ISNUMBER(SEARCH("|"&amp;INDEX(INDIRECT(F_Custom1_resolved_column),2709)&amp;"|",F_Custom1_wrapped)),1,0),0))</f>
        <v>1</v>
      </c>
      <c r="E2710">
        <f>IF(OR(F_Custom2_Q="(None)",F_Custom2_Q="",ISBLANK(F_Custom2_Q),F_Custom2_V="(All)",F_Custom2_V="",ISBLANK(F_Custom2_V)),1,IFERROR(IF(ISNUMBER(SEARCH("|"&amp;INDEX(INDIRECT(F_Custom2_resolved_column),2709)&amp;"|",F_Custom2_wrapped)),1,0),0))</f>
        <v>1</v>
      </c>
      <c r="F2710">
        <f>D2710*E2710*1</f>
        <v>1</v>
      </c>
      <c r="G2710">
        <f>1</f>
        <v>1</v>
      </c>
      <c r="H27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2709)&amp;"|",All_Questions_Q_STREAM_F_wrapped)),1,0),0))*1</f>
        <v>1</v>
      </c>
    </row>
    <row r="2711">
      <c r="A2711" t="n">
        <v>2710</v>
      </c>
      <c r="B2711" t="inlineStr">
        <is>
          <t>B</t>
        </is>
      </c>
      <c r="C2711">
        <f>1</f>
        <v>1</v>
      </c>
      <c r="D2711">
        <f>IF(OR(F_Custom1_Q="(None)",F_Custom1_Q="",ISBLANK(F_Custom1_Q),F_Custom1_V="(All)",F_Custom1_V="",ISBLANK(F_Custom1_V)),1,IFERROR(IF(ISNUMBER(SEARCH("|"&amp;INDEX(INDIRECT(F_Custom1_resolved_column),2710)&amp;"|",F_Custom1_wrapped)),1,0),0))</f>
        <v>1</v>
      </c>
      <c r="E2711">
        <f>IF(OR(F_Custom2_Q="(None)",F_Custom2_Q="",ISBLANK(F_Custom2_Q),F_Custom2_V="(All)",F_Custom2_V="",ISBLANK(F_Custom2_V)),1,IFERROR(IF(ISNUMBER(SEARCH("|"&amp;INDEX(INDIRECT(F_Custom2_resolved_column),2710)&amp;"|",F_Custom2_wrapped)),1,0),0))</f>
        <v>1</v>
      </c>
      <c r="F2711">
        <f>D2711*E2711*1</f>
        <v>1</v>
      </c>
      <c r="G2711">
        <f>1</f>
        <v>1</v>
      </c>
      <c r="H27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2710)&amp;"|",All_Questions_Q_STREAM_F_wrapped)),1,0),0))*1</f>
        <v>1</v>
      </c>
    </row>
    <row r="2712">
      <c r="A2712" t="n">
        <v>2711</v>
      </c>
      <c r="B2712" t="inlineStr">
        <is>
          <t>A</t>
        </is>
      </c>
      <c r="C2712">
        <f>1</f>
        <v>1</v>
      </c>
      <c r="D2712">
        <f>IF(OR(F_Custom1_Q="(None)",F_Custom1_Q="",ISBLANK(F_Custom1_Q),F_Custom1_V="(All)",F_Custom1_V="",ISBLANK(F_Custom1_V)),1,IFERROR(IF(ISNUMBER(SEARCH("|"&amp;INDEX(INDIRECT(F_Custom1_resolved_column),2711)&amp;"|",F_Custom1_wrapped)),1,0),0))</f>
        <v>1</v>
      </c>
      <c r="E2712">
        <f>IF(OR(F_Custom2_Q="(None)",F_Custom2_Q="",ISBLANK(F_Custom2_Q),F_Custom2_V="(All)",F_Custom2_V="",ISBLANK(F_Custom2_V)),1,IFERROR(IF(ISNUMBER(SEARCH("|"&amp;INDEX(INDIRECT(F_Custom2_resolved_column),2711)&amp;"|",F_Custom2_wrapped)),1,0),0))</f>
        <v>1</v>
      </c>
      <c r="F2712">
        <f>D2712*E2712*1</f>
        <v>1</v>
      </c>
      <c r="G2712">
        <f>1</f>
        <v>1</v>
      </c>
      <c r="H27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2711)&amp;"|",All_Questions_Q_STREAM_F_wrapped)),1,0),0))*1</f>
        <v>1</v>
      </c>
    </row>
    <row r="2713">
      <c r="A2713" t="n">
        <v>2712</v>
      </c>
      <c r="B2713" t="inlineStr">
        <is>
          <t>B</t>
        </is>
      </c>
      <c r="C2713">
        <f>1</f>
        <v>1</v>
      </c>
      <c r="D2713">
        <f>IF(OR(F_Custom1_Q="(None)",F_Custom1_Q="",ISBLANK(F_Custom1_Q),F_Custom1_V="(All)",F_Custom1_V="",ISBLANK(F_Custom1_V)),1,IFERROR(IF(ISNUMBER(SEARCH("|"&amp;INDEX(INDIRECT(F_Custom1_resolved_column),2712)&amp;"|",F_Custom1_wrapped)),1,0),0))</f>
        <v>1</v>
      </c>
      <c r="E2713">
        <f>IF(OR(F_Custom2_Q="(None)",F_Custom2_Q="",ISBLANK(F_Custom2_Q),F_Custom2_V="(All)",F_Custom2_V="",ISBLANK(F_Custom2_V)),1,IFERROR(IF(ISNUMBER(SEARCH("|"&amp;INDEX(INDIRECT(F_Custom2_resolved_column),2712)&amp;"|",F_Custom2_wrapped)),1,0),0))</f>
        <v>1</v>
      </c>
      <c r="F2713">
        <f>D2713*E2713*1</f>
        <v>1</v>
      </c>
      <c r="G2713">
        <f>1</f>
        <v>1</v>
      </c>
      <c r="H27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2712)&amp;"|",All_Questions_Q_STREAM_F_wrapped)),1,0),0))*1</f>
        <v>1</v>
      </c>
    </row>
    <row r="2714">
      <c r="A2714" t="n">
        <v>2713</v>
      </c>
      <c r="B2714" t="inlineStr">
        <is>
          <t>A</t>
        </is>
      </c>
      <c r="C2714">
        <f>1</f>
        <v>1</v>
      </c>
      <c r="D2714">
        <f>IF(OR(F_Custom1_Q="(None)",F_Custom1_Q="",ISBLANK(F_Custom1_Q),F_Custom1_V="(All)",F_Custom1_V="",ISBLANK(F_Custom1_V)),1,IFERROR(IF(ISNUMBER(SEARCH("|"&amp;INDEX(INDIRECT(F_Custom1_resolved_column),2713)&amp;"|",F_Custom1_wrapped)),1,0),0))</f>
        <v>1</v>
      </c>
      <c r="E2714">
        <f>IF(OR(F_Custom2_Q="(None)",F_Custom2_Q="",ISBLANK(F_Custom2_Q),F_Custom2_V="(All)",F_Custom2_V="",ISBLANK(F_Custom2_V)),1,IFERROR(IF(ISNUMBER(SEARCH("|"&amp;INDEX(INDIRECT(F_Custom2_resolved_column),2713)&amp;"|",F_Custom2_wrapped)),1,0),0))</f>
        <v>1</v>
      </c>
      <c r="F2714">
        <f>D2714*E2714*1</f>
        <v>1</v>
      </c>
      <c r="G2714">
        <f>1</f>
        <v>1</v>
      </c>
      <c r="H27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2713)&amp;"|",All_Questions_Q_STREAM_F_wrapped)),1,0),0))*1</f>
        <v>1</v>
      </c>
    </row>
    <row r="2715">
      <c r="A2715" t="n">
        <v>2714</v>
      </c>
      <c r="B2715" t="inlineStr">
        <is>
          <t>B</t>
        </is>
      </c>
      <c r="C2715">
        <f>1</f>
        <v>1</v>
      </c>
      <c r="D2715">
        <f>IF(OR(F_Custom1_Q="(None)",F_Custom1_Q="",ISBLANK(F_Custom1_Q),F_Custom1_V="(All)",F_Custom1_V="",ISBLANK(F_Custom1_V)),1,IFERROR(IF(ISNUMBER(SEARCH("|"&amp;INDEX(INDIRECT(F_Custom1_resolved_column),2714)&amp;"|",F_Custom1_wrapped)),1,0),0))</f>
        <v>1</v>
      </c>
      <c r="E2715">
        <f>IF(OR(F_Custom2_Q="(None)",F_Custom2_Q="",ISBLANK(F_Custom2_Q),F_Custom2_V="(All)",F_Custom2_V="",ISBLANK(F_Custom2_V)),1,IFERROR(IF(ISNUMBER(SEARCH("|"&amp;INDEX(INDIRECT(F_Custom2_resolved_column),2714)&amp;"|",F_Custom2_wrapped)),1,0),0))</f>
        <v>1</v>
      </c>
      <c r="F2715">
        <f>D2715*E2715*1</f>
        <v>1</v>
      </c>
      <c r="G2715">
        <f>1</f>
        <v>1</v>
      </c>
      <c r="H27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2714)&amp;"|",All_Questions_Q_STREAM_F_wrapped)),1,0),0))*1</f>
        <v>1</v>
      </c>
    </row>
    <row r="2716">
      <c r="A2716" t="n">
        <v>2715</v>
      </c>
      <c r="B2716" t="inlineStr">
        <is>
          <t>A</t>
        </is>
      </c>
      <c r="C2716">
        <f>1</f>
        <v>1</v>
      </c>
      <c r="D2716">
        <f>IF(OR(F_Custom1_Q="(None)",F_Custom1_Q="",ISBLANK(F_Custom1_Q),F_Custom1_V="(All)",F_Custom1_V="",ISBLANK(F_Custom1_V)),1,IFERROR(IF(ISNUMBER(SEARCH("|"&amp;INDEX(INDIRECT(F_Custom1_resolved_column),2715)&amp;"|",F_Custom1_wrapped)),1,0),0))</f>
        <v>1</v>
      </c>
      <c r="E2716">
        <f>IF(OR(F_Custom2_Q="(None)",F_Custom2_Q="",ISBLANK(F_Custom2_Q),F_Custom2_V="(All)",F_Custom2_V="",ISBLANK(F_Custom2_V)),1,IFERROR(IF(ISNUMBER(SEARCH("|"&amp;INDEX(INDIRECT(F_Custom2_resolved_column),2715)&amp;"|",F_Custom2_wrapped)),1,0),0))</f>
        <v>1</v>
      </c>
      <c r="F2716">
        <f>D2716*E2716*1</f>
        <v>1</v>
      </c>
      <c r="G2716">
        <f>1</f>
        <v>1</v>
      </c>
      <c r="H27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2715)&amp;"|",All_Questions_Q_STREAM_F_wrapped)),1,0),0))*1</f>
        <v>1</v>
      </c>
    </row>
    <row r="2717">
      <c r="A2717" t="n">
        <v>2716</v>
      </c>
      <c r="B2717" t="inlineStr">
        <is>
          <t>B</t>
        </is>
      </c>
      <c r="C2717">
        <f>1</f>
        <v>1</v>
      </c>
      <c r="D2717">
        <f>IF(OR(F_Custom1_Q="(None)",F_Custom1_Q="",ISBLANK(F_Custom1_Q),F_Custom1_V="(All)",F_Custom1_V="",ISBLANK(F_Custom1_V)),1,IFERROR(IF(ISNUMBER(SEARCH("|"&amp;INDEX(INDIRECT(F_Custom1_resolved_column),2716)&amp;"|",F_Custom1_wrapped)),1,0),0))</f>
        <v>1</v>
      </c>
      <c r="E2717">
        <f>IF(OR(F_Custom2_Q="(None)",F_Custom2_Q="",ISBLANK(F_Custom2_Q),F_Custom2_V="(All)",F_Custom2_V="",ISBLANK(F_Custom2_V)),1,IFERROR(IF(ISNUMBER(SEARCH("|"&amp;INDEX(INDIRECT(F_Custom2_resolved_column),2716)&amp;"|",F_Custom2_wrapped)),1,0),0))</f>
        <v>1</v>
      </c>
      <c r="F2717">
        <f>D2717*E2717*1</f>
        <v>1</v>
      </c>
      <c r="G2717">
        <f>1</f>
        <v>1</v>
      </c>
      <c r="H27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2716)&amp;"|",All_Questions_Q_STREAM_F_wrapped)),1,0),0))*1</f>
        <v>1</v>
      </c>
    </row>
    <row r="2718">
      <c r="A2718" t="n">
        <v>2717</v>
      </c>
      <c r="B2718" t="inlineStr">
        <is>
          <t>A</t>
        </is>
      </c>
      <c r="C2718">
        <f>1</f>
        <v>1</v>
      </c>
      <c r="D2718">
        <f>IF(OR(F_Custom1_Q="(None)",F_Custom1_Q="",ISBLANK(F_Custom1_Q),F_Custom1_V="(All)",F_Custom1_V="",ISBLANK(F_Custom1_V)),1,IFERROR(IF(ISNUMBER(SEARCH("|"&amp;INDEX(INDIRECT(F_Custom1_resolved_column),2717)&amp;"|",F_Custom1_wrapped)),1,0),0))</f>
        <v>1</v>
      </c>
      <c r="E2718">
        <f>IF(OR(F_Custom2_Q="(None)",F_Custom2_Q="",ISBLANK(F_Custom2_Q),F_Custom2_V="(All)",F_Custom2_V="",ISBLANK(F_Custom2_V)),1,IFERROR(IF(ISNUMBER(SEARCH("|"&amp;INDEX(INDIRECT(F_Custom2_resolved_column),2717)&amp;"|",F_Custom2_wrapped)),1,0),0))</f>
        <v>1</v>
      </c>
      <c r="F2718">
        <f>D2718*E2718*1</f>
        <v>1</v>
      </c>
      <c r="G2718">
        <f>1</f>
        <v>1</v>
      </c>
      <c r="H27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2717)&amp;"|",All_Questions_Q_STREAM_F_wrapped)),1,0),0))*1</f>
        <v>1</v>
      </c>
    </row>
    <row r="2719">
      <c r="A2719" t="n">
        <v>2718</v>
      </c>
      <c r="B2719" t="inlineStr">
        <is>
          <t>B</t>
        </is>
      </c>
      <c r="C2719">
        <f>1</f>
        <v>1</v>
      </c>
      <c r="D2719">
        <f>IF(OR(F_Custom1_Q="(None)",F_Custom1_Q="",ISBLANK(F_Custom1_Q),F_Custom1_V="(All)",F_Custom1_V="",ISBLANK(F_Custom1_V)),1,IFERROR(IF(ISNUMBER(SEARCH("|"&amp;INDEX(INDIRECT(F_Custom1_resolved_column),2718)&amp;"|",F_Custom1_wrapped)),1,0),0))</f>
        <v>1</v>
      </c>
      <c r="E2719">
        <f>IF(OR(F_Custom2_Q="(None)",F_Custom2_Q="",ISBLANK(F_Custom2_Q),F_Custom2_V="(All)",F_Custom2_V="",ISBLANK(F_Custom2_V)),1,IFERROR(IF(ISNUMBER(SEARCH("|"&amp;INDEX(INDIRECT(F_Custom2_resolved_column),2718)&amp;"|",F_Custom2_wrapped)),1,0),0))</f>
        <v>1</v>
      </c>
      <c r="F2719">
        <f>D2719*E2719*1</f>
        <v>1</v>
      </c>
      <c r="G2719">
        <f>1</f>
        <v>1</v>
      </c>
      <c r="H27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2718)&amp;"|",All_Questions_Q_STREAM_F_wrapped)),1,0),0))*1</f>
        <v>1</v>
      </c>
    </row>
    <row r="2720">
      <c r="A2720" t="n">
        <v>2719</v>
      </c>
      <c r="B2720" t="inlineStr">
        <is>
          <t>A</t>
        </is>
      </c>
      <c r="C2720">
        <f>1</f>
        <v>1</v>
      </c>
      <c r="D2720">
        <f>IF(OR(F_Custom1_Q="(None)",F_Custom1_Q="",ISBLANK(F_Custom1_Q),F_Custom1_V="(All)",F_Custom1_V="",ISBLANK(F_Custom1_V)),1,IFERROR(IF(ISNUMBER(SEARCH("|"&amp;INDEX(INDIRECT(F_Custom1_resolved_column),2719)&amp;"|",F_Custom1_wrapped)),1,0),0))</f>
        <v>1</v>
      </c>
      <c r="E2720">
        <f>IF(OR(F_Custom2_Q="(None)",F_Custom2_Q="",ISBLANK(F_Custom2_Q),F_Custom2_V="(All)",F_Custom2_V="",ISBLANK(F_Custom2_V)),1,IFERROR(IF(ISNUMBER(SEARCH("|"&amp;INDEX(INDIRECT(F_Custom2_resolved_column),2719)&amp;"|",F_Custom2_wrapped)),1,0),0))</f>
        <v>1</v>
      </c>
      <c r="F2720">
        <f>D2720*E2720*1</f>
        <v>1</v>
      </c>
      <c r="G2720">
        <f>1</f>
        <v>1</v>
      </c>
      <c r="H27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2719)&amp;"|",All_Questions_Q_STREAM_F_wrapped)),1,0),0))*1</f>
        <v>1</v>
      </c>
    </row>
    <row r="2721">
      <c r="A2721" t="n">
        <v>2720</v>
      </c>
      <c r="B2721" t="inlineStr">
        <is>
          <t>B</t>
        </is>
      </c>
      <c r="C2721">
        <f>1</f>
        <v>1</v>
      </c>
      <c r="D2721">
        <f>IF(OR(F_Custom1_Q="(None)",F_Custom1_Q="",ISBLANK(F_Custom1_Q),F_Custom1_V="(All)",F_Custom1_V="",ISBLANK(F_Custom1_V)),1,IFERROR(IF(ISNUMBER(SEARCH("|"&amp;INDEX(INDIRECT(F_Custom1_resolved_column),2720)&amp;"|",F_Custom1_wrapped)),1,0),0))</f>
        <v>1</v>
      </c>
      <c r="E2721">
        <f>IF(OR(F_Custom2_Q="(None)",F_Custom2_Q="",ISBLANK(F_Custom2_Q),F_Custom2_V="(All)",F_Custom2_V="",ISBLANK(F_Custom2_V)),1,IFERROR(IF(ISNUMBER(SEARCH("|"&amp;INDEX(INDIRECT(F_Custom2_resolved_column),2720)&amp;"|",F_Custom2_wrapped)),1,0),0))</f>
        <v>1</v>
      </c>
      <c r="F2721">
        <f>D2721*E2721*1</f>
        <v>1</v>
      </c>
      <c r="G2721">
        <f>1</f>
        <v>1</v>
      </c>
      <c r="H27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2720)&amp;"|",All_Questions_Q_STREAM_F_wrapped)),1,0),0))*1</f>
        <v>1</v>
      </c>
    </row>
    <row r="2722">
      <c r="A2722" t="n">
        <v>2721</v>
      </c>
      <c r="B2722" t="inlineStr">
        <is>
          <t>A</t>
        </is>
      </c>
      <c r="C2722">
        <f>1</f>
        <v>1</v>
      </c>
      <c r="D2722">
        <f>IF(OR(F_Custom1_Q="(None)",F_Custom1_Q="",ISBLANK(F_Custom1_Q),F_Custom1_V="(All)",F_Custom1_V="",ISBLANK(F_Custom1_V)),1,IFERROR(IF(ISNUMBER(SEARCH("|"&amp;INDEX(INDIRECT(F_Custom1_resolved_column),2721)&amp;"|",F_Custom1_wrapped)),1,0),0))</f>
        <v>1</v>
      </c>
      <c r="E2722">
        <f>IF(OR(F_Custom2_Q="(None)",F_Custom2_Q="",ISBLANK(F_Custom2_Q),F_Custom2_V="(All)",F_Custom2_V="",ISBLANK(F_Custom2_V)),1,IFERROR(IF(ISNUMBER(SEARCH("|"&amp;INDEX(INDIRECT(F_Custom2_resolved_column),2721)&amp;"|",F_Custom2_wrapped)),1,0),0))</f>
        <v>1</v>
      </c>
      <c r="F2722">
        <f>D2722*E2722*1</f>
        <v>1</v>
      </c>
      <c r="G2722">
        <f>1</f>
        <v>1</v>
      </c>
      <c r="H27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2721)&amp;"|",All_Questions_Q_STREAM_F_wrapped)),1,0),0))*1</f>
        <v>1</v>
      </c>
    </row>
    <row r="2723">
      <c r="A2723" t="n">
        <v>2722</v>
      </c>
      <c r="B2723" t="inlineStr">
        <is>
          <t>B</t>
        </is>
      </c>
      <c r="C2723">
        <f>1</f>
        <v>1</v>
      </c>
      <c r="D2723">
        <f>IF(OR(F_Custom1_Q="(None)",F_Custom1_Q="",ISBLANK(F_Custom1_Q),F_Custom1_V="(All)",F_Custom1_V="",ISBLANK(F_Custom1_V)),1,IFERROR(IF(ISNUMBER(SEARCH("|"&amp;INDEX(INDIRECT(F_Custom1_resolved_column),2722)&amp;"|",F_Custom1_wrapped)),1,0),0))</f>
        <v>1</v>
      </c>
      <c r="E2723">
        <f>IF(OR(F_Custom2_Q="(None)",F_Custom2_Q="",ISBLANK(F_Custom2_Q),F_Custom2_V="(All)",F_Custom2_V="",ISBLANK(F_Custom2_V)),1,IFERROR(IF(ISNUMBER(SEARCH("|"&amp;INDEX(INDIRECT(F_Custom2_resolved_column),2722)&amp;"|",F_Custom2_wrapped)),1,0),0))</f>
        <v>1</v>
      </c>
      <c r="F2723">
        <f>D2723*E2723*1</f>
        <v>1</v>
      </c>
      <c r="G2723">
        <f>1</f>
        <v>1</v>
      </c>
      <c r="H27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2722)&amp;"|",All_Questions_Q_STREAM_F_wrapped)),1,0),0))*1</f>
        <v>1</v>
      </c>
    </row>
    <row r="2724">
      <c r="A2724" t="n">
        <v>2723</v>
      </c>
      <c r="B2724" t="inlineStr">
        <is>
          <t>A</t>
        </is>
      </c>
      <c r="C2724">
        <f>1</f>
        <v>1</v>
      </c>
      <c r="D2724">
        <f>IF(OR(F_Custom1_Q="(None)",F_Custom1_Q="",ISBLANK(F_Custom1_Q),F_Custom1_V="(All)",F_Custom1_V="",ISBLANK(F_Custom1_V)),1,IFERROR(IF(ISNUMBER(SEARCH("|"&amp;INDEX(INDIRECT(F_Custom1_resolved_column),2723)&amp;"|",F_Custom1_wrapped)),1,0),0))</f>
        <v>1</v>
      </c>
      <c r="E2724">
        <f>IF(OR(F_Custom2_Q="(None)",F_Custom2_Q="",ISBLANK(F_Custom2_Q),F_Custom2_V="(All)",F_Custom2_V="",ISBLANK(F_Custom2_V)),1,IFERROR(IF(ISNUMBER(SEARCH("|"&amp;INDEX(INDIRECT(F_Custom2_resolved_column),2723)&amp;"|",F_Custom2_wrapped)),1,0),0))</f>
        <v>1</v>
      </c>
      <c r="F2724">
        <f>D2724*E2724*1</f>
        <v>1</v>
      </c>
      <c r="G2724">
        <f>1</f>
        <v>1</v>
      </c>
      <c r="H27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2723)&amp;"|",All_Questions_Q_STREAM_F_wrapped)),1,0),0))*1</f>
        <v>1</v>
      </c>
    </row>
    <row r="2725">
      <c r="A2725" t="n">
        <v>2724</v>
      </c>
      <c r="B2725" t="inlineStr">
        <is>
          <t>B</t>
        </is>
      </c>
      <c r="C2725">
        <f>1</f>
        <v>1</v>
      </c>
      <c r="D2725">
        <f>IF(OR(F_Custom1_Q="(None)",F_Custom1_Q="",ISBLANK(F_Custom1_Q),F_Custom1_V="(All)",F_Custom1_V="",ISBLANK(F_Custom1_V)),1,IFERROR(IF(ISNUMBER(SEARCH("|"&amp;INDEX(INDIRECT(F_Custom1_resolved_column),2724)&amp;"|",F_Custom1_wrapped)),1,0),0))</f>
        <v>1</v>
      </c>
      <c r="E2725">
        <f>IF(OR(F_Custom2_Q="(None)",F_Custom2_Q="",ISBLANK(F_Custom2_Q),F_Custom2_V="(All)",F_Custom2_V="",ISBLANK(F_Custom2_V)),1,IFERROR(IF(ISNUMBER(SEARCH("|"&amp;INDEX(INDIRECT(F_Custom2_resolved_column),2724)&amp;"|",F_Custom2_wrapped)),1,0),0))</f>
        <v>1</v>
      </c>
      <c r="F2725">
        <f>D2725*E2725*1</f>
        <v>1</v>
      </c>
      <c r="G2725">
        <f>1</f>
        <v>1</v>
      </c>
      <c r="H27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2724)&amp;"|",All_Questions_Q_STREAM_F_wrapped)),1,0),0))*1</f>
        <v>1</v>
      </c>
    </row>
    <row r="2726">
      <c r="A2726" t="n">
        <v>2725</v>
      </c>
      <c r="B2726" t="inlineStr">
        <is>
          <t>A</t>
        </is>
      </c>
      <c r="C2726">
        <f>1</f>
        <v>1</v>
      </c>
      <c r="D2726">
        <f>IF(OR(F_Custom1_Q="(None)",F_Custom1_Q="",ISBLANK(F_Custom1_Q),F_Custom1_V="(All)",F_Custom1_V="",ISBLANK(F_Custom1_V)),1,IFERROR(IF(ISNUMBER(SEARCH("|"&amp;INDEX(INDIRECT(F_Custom1_resolved_column),2725)&amp;"|",F_Custom1_wrapped)),1,0),0))</f>
        <v>1</v>
      </c>
      <c r="E2726">
        <f>IF(OR(F_Custom2_Q="(None)",F_Custom2_Q="",ISBLANK(F_Custom2_Q),F_Custom2_V="(All)",F_Custom2_V="",ISBLANK(F_Custom2_V)),1,IFERROR(IF(ISNUMBER(SEARCH("|"&amp;INDEX(INDIRECT(F_Custom2_resolved_column),2725)&amp;"|",F_Custom2_wrapped)),1,0),0))</f>
        <v>1</v>
      </c>
      <c r="F2726">
        <f>D2726*E2726*1</f>
        <v>1</v>
      </c>
      <c r="G2726">
        <f>1</f>
        <v>1</v>
      </c>
      <c r="H27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2725)&amp;"|",All_Questions_Q_STREAM_F_wrapped)),1,0),0))*1</f>
        <v>1</v>
      </c>
    </row>
    <row r="2727">
      <c r="A2727" t="n">
        <v>2726</v>
      </c>
      <c r="B2727" t="inlineStr">
        <is>
          <t>B</t>
        </is>
      </c>
      <c r="C2727">
        <f>1</f>
        <v>1</v>
      </c>
      <c r="D2727">
        <f>IF(OR(F_Custom1_Q="(None)",F_Custom1_Q="",ISBLANK(F_Custom1_Q),F_Custom1_V="(All)",F_Custom1_V="",ISBLANK(F_Custom1_V)),1,IFERROR(IF(ISNUMBER(SEARCH("|"&amp;INDEX(INDIRECT(F_Custom1_resolved_column),2726)&amp;"|",F_Custom1_wrapped)),1,0),0))</f>
        <v>1</v>
      </c>
      <c r="E2727">
        <f>IF(OR(F_Custom2_Q="(None)",F_Custom2_Q="",ISBLANK(F_Custom2_Q),F_Custom2_V="(All)",F_Custom2_V="",ISBLANK(F_Custom2_V)),1,IFERROR(IF(ISNUMBER(SEARCH("|"&amp;INDEX(INDIRECT(F_Custom2_resolved_column),2726)&amp;"|",F_Custom2_wrapped)),1,0),0))</f>
        <v>1</v>
      </c>
      <c r="F2727">
        <f>D2727*E2727*1</f>
        <v>1</v>
      </c>
      <c r="G2727">
        <f>1</f>
        <v>1</v>
      </c>
      <c r="H27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2726)&amp;"|",All_Questions_Q_STREAM_F_wrapped)),1,0),0))*1</f>
        <v>1</v>
      </c>
    </row>
    <row r="2728">
      <c r="A2728" t="n">
        <v>2727</v>
      </c>
      <c r="B2728" t="inlineStr">
        <is>
          <t>A</t>
        </is>
      </c>
      <c r="C2728">
        <f>1</f>
        <v>1</v>
      </c>
      <c r="D2728">
        <f>IF(OR(F_Custom1_Q="(None)",F_Custom1_Q="",ISBLANK(F_Custom1_Q),F_Custom1_V="(All)",F_Custom1_V="",ISBLANK(F_Custom1_V)),1,IFERROR(IF(ISNUMBER(SEARCH("|"&amp;INDEX(INDIRECT(F_Custom1_resolved_column),2727)&amp;"|",F_Custom1_wrapped)),1,0),0))</f>
        <v>1</v>
      </c>
      <c r="E2728">
        <f>IF(OR(F_Custom2_Q="(None)",F_Custom2_Q="",ISBLANK(F_Custom2_Q),F_Custom2_V="(All)",F_Custom2_V="",ISBLANK(F_Custom2_V)),1,IFERROR(IF(ISNUMBER(SEARCH("|"&amp;INDEX(INDIRECT(F_Custom2_resolved_column),2727)&amp;"|",F_Custom2_wrapped)),1,0),0))</f>
        <v>1</v>
      </c>
      <c r="F2728">
        <f>D2728*E2728*1</f>
        <v>1</v>
      </c>
      <c r="G2728">
        <f>1</f>
        <v>1</v>
      </c>
      <c r="H27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2727)&amp;"|",All_Questions_Q_STREAM_F_wrapped)),1,0),0))*1</f>
        <v>1</v>
      </c>
    </row>
    <row r="2729">
      <c r="A2729" t="n">
        <v>2728</v>
      </c>
      <c r="B2729" t="inlineStr">
        <is>
          <t>B</t>
        </is>
      </c>
      <c r="C2729">
        <f>1</f>
        <v>1</v>
      </c>
      <c r="D2729">
        <f>IF(OR(F_Custom1_Q="(None)",F_Custom1_Q="",ISBLANK(F_Custom1_Q),F_Custom1_V="(All)",F_Custom1_V="",ISBLANK(F_Custom1_V)),1,IFERROR(IF(ISNUMBER(SEARCH("|"&amp;INDEX(INDIRECT(F_Custom1_resolved_column),2728)&amp;"|",F_Custom1_wrapped)),1,0),0))</f>
        <v>1</v>
      </c>
      <c r="E2729">
        <f>IF(OR(F_Custom2_Q="(None)",F_Custom2_Q="",ISBLANK(F_Custom2_Q),F_Custom2_V="(All)",F_Custom2_V="",ISBLANK(F_Custom2_V)),1,IFERROR(IF(ISNUMBER(SEARCH("|"&amp;INDEX(INDIRECT(F_Custom2_resolved_column),2728)&amp;"|",F_Custom2_wrapped)),1,0),0))</f>
        <v>1</v>
      </c>
      <c r="F2729">
        <f>D2729*E2729*1</f>
        <v>1</v>
      </c>
      <c r="G2729">
        <f>1</f>
        <v>1</v>
      </c>
      <c r="H27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2728)&amp;"|",All_Questions_Q_STREAM_F_wrapped)),1,0),0))*1</f>
        <v>1</v>
      </c>
    </row>
    <row r="2730">
      <c r="A2730" t="n">
        <v>2729</v>
      </c>
      <c r="B2730" t="inlineStr">
        <is>
          <t>A</t>
        </is>
      </c>
      <c r="C2730">
        <f>1</f>
        <v>1</v>
      </c>
      <c r="D2730">
        <f>IF(OR(F_Custom1_Q="(None)",F_Custom1_Q="",ISBLANK(F_Custom1_Q),F_Custom1_V="(All)",F_Custom1_V="",ISBLANK(F_Custom1_V)),1,IFERROR(IF(ISNUMBER(SEARCH("|"&amp;INDEX(INDIRECT(F_Custom1_resolved_column),2729)&amp;"|",F_Custom1_wrapped)),1,0),0))</f>
        <v>1</v>
      </c>
      <c r="E2730">
        <f>IF(OR(F_Custom2_Q="(None)",F_Custom2_Q="",ISBLANK(F_Custom2_Q),F_Custom2_V="(All)",F_Custom2_V="",ISBLANK(F_Custom2_V)),1,IFERROR(IF(ISNUMBER(SEARCH("|"&amp;INDEX(INDIRECT(F_Custom2_resolved_column),2729)&amp;"|",F_Custom2_wrapped)),1,0),0))</f>
        <v>1</v>
      </c>
      <c r="F2730">
        <f>D2730*E2730*1</f>
        <v>1</v>
      </c>
      <c r="G2730">
        <f>1</f>
        <v>1</v>
      </c>
      <c r="H27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2729)&amp;"|",All_Questions_Q_STREAM_F_wrapped)),1,0),0))*1</f>
        <v>1</v>
      </c>
    </row>
    <row r="2731">
      <c r="A2731" t="n">
        <v>2730</v>
      </c>
      <c r="B2731" t="inlineStr">
        <is>
          <t>B</t>
        </is>
      </c>
      <c r="C2731">
        <f>1</f>
        <v>1</v>
      </c>
      <c r="D2731">
        <f>IF(OR(F_Custom1_Q="(None)",F_Custom1_Q="",ISBLANK(F_Custom1_Q),F_Custom1_V="(All)",F_Custom1_V="",ISBLANK(F_Custom1_V)),1,IFERROR(IF(ISNUMBER(SEARCH("|"&amp;INDEX(INDIRECT(F_Custom1_resolved_column),2730)&amp;"|",F_Custom1_wrapped)),1,0),0))</f>
        <v>1</v>
      </c>
      <c r="E2731">
        <f>IF(OR(F_Custom2_Q="(None)",F_Custom2_Q="",ISBLANK(F_Custom2_Q),F_Custom2_V="(All)",F_Custom2_V="",ISBLANK(F_Custom2_V)),1,IFERROR(IF(ISNUMBER(SEARCH("|"&amp;INDEX(INDIRECT(F_Custom2_resolved_column),2730)&amp;"|",F_Custom2_wrapped)),1,0),0))</f>
        <v>1</v>
      </c>
      <c r="F2731">
        <f>D2731*E2731*1</f>
        <v>1</v>
      </c>
      <c r="G2731">
        <f>1</f>
        <v>1</v>
      </c>
      <c r="H27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2730)&amp;"|",All_Questions_Q_STREAM_F_wrapped)),1,0),0))*1</f>
        <v>1</v>
      </c>
    </row>
    <row r="2732">
      <c r="A2732" t="n">
        <v>2731</v>
      </c>
      <c r="B2732" t="inlineStr">
        <is>
          <t>A</t>
        </is>
      </c>
      <c r="C2732">
        <f>1</f>
        <v>1</v>
      </c>
      <c r="D2732">
        <f>IF(OR(F_Custom1_Q="(None)",F_Custom1_Q="",ISBLANK(F_Custom1_Q),F_Custom1_V="(All)",F_Custom1_V="",ISBLANK(F_Custom1_V)),1,IFERROR(IF(ISNUMBER(SEARCH("|"&amp;INDEX(INDIRECT(F_Custom1_resolved_column),2731)&amp;"|",F_Custom1_wrapped)),1,0),0))</f>
        <v>1</v>
      </c>
      <c r="E2732">
        <f>IF(OR(F_Custom2_Q="(None)",F_Custom2_Q="",ISBLANK(F_Custom2_Q),F_Custom2_V="(All)",F_Custom2_V="",ISBLANK(F_Custom2_V)),1,IFERROR(IF(ISNUMBER(SEARCH("|"&amp;INDEX(INDIRECT(F_Custom2_resolved_column),2731)&amp;"|",F_Custom2_wrapped)),1,0),0))</f>
        <v>1</v>
      </c>
      <c r="F2732">
        <f>D2732*E2732*1</f>
        <v>1</v>
      </c>
      <c r="G2732">
        <f>1</f>
        <v>1</v>
      </c>
      <c r="H27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2731)&amp;"|",All_Questions_Q_STREAM_F_wrapped)),1,0),0))*1</f>
        <v>1</v>
      </c>
    </row>
    <row r="2733">
      <c r="A2733" t="n">
        <v>2732</v>
      </c>
      <c r="B2733" t="inlineStr">
        <is>
          <t>B</t>
        </is>
      </c>
      <c r="C2733">
        <f>1</f>
        <v>1</v>
      </c>
      <c r="D2733">
        <f>IF(OR(F_Custom1_Q="(None)",F_Custom1_Q="",ISBLANK(F_Custom1_Q),F_Custom1_V="(All)",F_Custom1_V="",ISBLANK(F_Custom1_V)),1,IFERROR(IF(ISNUMBER(SEARCH("|"&amp;INDEX(INDIRECT(F_Custom1_resolved_column),2732)&amp;"|",F_Custom1_wrapped)),1,0),0))</f>
        <v>1</v>
      </c>
      <c r="E2733">
        <f>IF(OR(F_Custom2_Q="(None)",F_Custom2_Q="",ISBLANK(F_Custom2_Q),F_Custom2_V="(All)",F_Custom2_V="",ISBLANK(F_Custom2_V)),1,IFERROR(IF(ISNUMBER(SEARCH("|"&amp;INDEX(INDIRECT(F_Custom2_resolved_column),2732)&amp;"|",F_Custom2_wrapped)),1,0),0))</f>
        <v>1</v>
      </c>
      <c r="F2733">
        <f>D2733*E2733*1</f>
        <v>1</v>
      </c>
      <c r="G2733">
        <f>1</f>
        <v>1</v>
      </c>
      <c r="H27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2732)&amp;"|",All_Questions_Q_STREAM_F_wrapped)),1,0),0))*1</f>
        <v>1</v>
      </c>
    </row>
    <row r="2734">
      <c r="A2734" t="n">
        <v>2733</v>
      </c>
      <c r="B2734" t="inlineStr">
        <is>
          <t>A</t>
        </is>
      </c>
      <c r="C2734">
        <f>1</f>
        <v>1</v>
      </c>
      <c r="D2734">
        <f>IF(OR(F_Custom1_Q="(None)",F_Custom1_Q="",ISBLANK(F_Custom1_Q),F_Custom1_V="(All)",F_Custom1_V="",ISBLANK(F_Custom1_V)),1,IFERROR(IF(ISNUMBER(SEARCH("|"&amp;INDEX(INDIRECT(F_Custom1_resolved_column),2733)&amp;"|",F_Custom1_wrapped)),1,0),0))</f>
        <v>1</v>
      </c>
      <c r="E2734">
        <f>IF(OR(F_Custom2_Q="(None)",F_Custom2_Q="",ISBLANK(F_Custom2_Q),F_Custom2_V="(All)",F_Custom2_V="",ISBLANK(F_Custom2_V)),1,IFERROR(IF(ISNUMBER(SEARCH("|"&amp;INDEX(INDIRECT(F_Custom2_resolved_column),2733)&amp;"|",F_Custom2_wrapped)),1,0),0))</f>
        <v>1</v>
      </c>
      <c r="F2734">
        <f>D2734*E2734*1</f>
        <v>1</v>
      </c>
      <c r="G2734">
        <f>1</f>
        <v>1</v>
      </c>
      <c r="H27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2733)&amp;"|",All_Questions_Q_STREAM_F_wrapped)),1,0),0))*1</f>
        <v>1</v>
      </c>
    </row>
    <row r="2735">
      <c r="A2735" t="n">
        <v>2734</v>
      </c>
      <c r="B2735" t="inlineStr">
        <is>
          <t>B</t>
        </is>
      </c>
      <c r="C2735">
        <f>1</f>
        <v>1</v>
      </c>
      <c r="D2735">
        <f>IF(OR(F_Custom1_Q="(None)",F_Custom1_Q="",ISBLANK(F_Custom1_Q),F_Custom1_V="(All)",F_Custom1_V="",ISBLANK(F_Custom1_V)),1,IFERROR(IF(ISNUMBER(SEARCH("|"&amp;INDEX(INDIRECT(F_Custom1_resolved_column),2734)&amp;"|",F_Custom1_wrapped)),1,0),0))</f>
        <v>1</v>
      </c>
      <c r="E2735">
        <f>IF(OR(F_Custom2_Q="(None)",F_Custom2_Q="",ISBLANK(F_Custom2_Q),F_Custom2_V="(All)",F_Custom2_V="",ISBLANK(F_Custom2_V)),1,IFERROR(IF(ISNUMBER(SEARCH("|"&amp;INDEX(INDIRECT(F_Custom2_resolved_column),2734)&amp;"|",F_Custom2_wrapped)),1,0),0))</f>
        <v>1</v>
      </c>
      <c r="F2735">
        <f>D2735*E2735*1</f>
        <v>1</v>
      </c>
      <c r="G2735">
        <f>1</f>
        <v>1</v>
      </c>
      <c r="H27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2734)&amp;"|",All_Questions_Q_STREAM_F_wrapped)),1,0),0))*1</f>
        <v>1</v>
      </c>
    </row>
    <row r="2736">
      <c r="A2736" t="n">
        <v>2735</v>
      </c>
      <c r="B2736" t="inlineStr">
        <is>
          <t>A</t>
        </is>
      </c>
      <c r="C2736">
        <f>1</f>
        <v>1</v>
      </c>
      <c r="D2736">
        <f>IF(OR(F_Custom1_Q="(None)",F_Custom1_Q="",ISBLANK(F_Custom1_Q),F_Custom1_V="(All)",F_Custom1_V="",ISBLANK(F_Custom1_V)),1,IFERROR(IF(ISNUMBER(SEARCH("|"&amp;INDEX(INDIRECT(F_Custom1_resolved_column),2735)&amp;"|",F_Custom1_wrapped)),1,0),0))</f>
        <v>1</v>
      </c>
      <c r="E2736">
        <f>IF(OR(F_Custom2_Q="(None)",F_Custom2_Q="",ISBLANK(F_Custom2_Q),F_Custom2_V="(All)",F_Custom2_V="",ISBLANK(F_Custom2_V)),1,IFERROR(IF(ISNUMBER(SEARCH("|"&amp;INDEX(INDIRECT(F_Custom2_resolved_column),2735)&amp;"|",F_Custom2_wrapped)),1,0),0))</f>
        <v>1</v>
      </c>
      <c r="F2736">
        <f>D2736*E2736*1</f>
        <v>1</v>
      </c>
      <c r="G2736">
        <f>1</f>
        <v>1</v>
      </c>
      <c r="H27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2735)&amp;"|",All_Questions_Q_STREAM_F_wrapped)),1,0),0))*1</f>
        <v>1</v>
      </c>
    </row>
    <row r="2737">
      <c r="A2737" t="n">
        <v>2736</v>
      </c>
      <c r="B2737" t="inlineStr">
        <is>
          <t>B</t>
        </is>
      </c>
      <c r="C2737">
        <f>1</f>
        <v>1</v>
      </c>
      <c r="D2737">
        <f>IF(OR(F_Custom1_Q="(None)",F_Custom1_Q="",ISBLANK(F_Custom1_Q),F_Custom1_V="(All)",F_Custom1_V="",ISBLANK(F_Custom1_V)),1,IFERROR(IF(ISNUMBER(SEARCH("|"&amp;INDEX(INDIRECT(F_Custom1_resolved_column),2736)&amp;"|",F_Custom1_wrapped)),1,0),0))</f>
        <v>1</v>
      </c>
      <c r="E2737">
        <f>IF(OR(F_Custom2_Q="(None)",F_Custom2_Q="",ISBLANK(F_Custom2_Q),F_Custom2_V="(All)",F_Custom2_V="",ISBLANK(F_Custom2_V)),1,IFERROR(IF(ISNUMBER(SEARCH("|"&amp;INDEX(INDIRECT(F_Custom2_resolved_column),2736)&amp;"|",F_Custom2_wrapped)),1,0),0))</f>
        <v>1</v>
      </c>
      <c r="F2737">
        <f>D2737*E2737*1</f>
        <v>1</v>
      </c>
      <c r="G2737">
        <f>1</f>
        <v>1</v>
      </c>
      <c r="H27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2736)&amp;"|",All_Questions_Q_STREAM_F_wrapped)),1,0),0))*1</f>
        <v>1</v>
      </c>
    </row>
    <row r="2738">
      <c r="A2738" t="n">
        <v>2737</v>
      </c>
      <c r="B2738" t="inlineStr">
        <is>
          <t>A</t>
        </is>
      </c>
      <c r="C2738">
        <f>1</f>
        <v>1</v>
      </c>
      <c r="D2738">
        <f>IF(OR(F_Custom1_Q="(None)",F_Custom1_Q="",ISBLANK(F_Custom1_Q),F_Custom1_V="(All)",F_Custom1_V="",ISBLANK(F_Custom1_V)),1,IFERROR(IF(ISNUMBER(SEARCH("|"&amp;INDEX(INDIRECT(F_Custom1_resolved_column),2737)&amp;"|",F_Custom1_wrapped)),1,0),0))</f>
        <v>1</v>
      </c>
      <c r="E2738">
        <f>IF(OR(F_Custom2_Q="(None)",F_Custom2_Q="",ISBLANK(F_Custom2_Q),F_Custom2_V="(All)",F_Custom2_V="",ISBLANK(F_Custom2_V)),1,IFERROR(IF(ISNUMBER(SEARCH("|"&amp;INDEX(INDIRECT(F_Custom2_resolved_column),2737)&amp;"|",F_Custom2_wrapped)),1,0),0))</f>
        <v>1</v>
      </c>
      <c r="F2738">
        <f>D2738*E2738*1</f>
        <v>1</v>
      </c>
      <c r="G2738">
        <f>1</f>
        <v>1</v>
      </c>
      <c r="H27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2737)&amp;"|",All_Questions_Q_STREAM_F_wrapped)),1,0),0))*1</f>
        <v>1</v>
      </c>
    </row>
    <row r="2739">
      <c r="A2739" t="n">
        <v>2738</v>
      </c>
      <c r="B2739" t="inlineStr">
        <is>
          <t>B</t>
        </is>
      </c>
      <c r="C2739">
        <f>1</f>
        <v>1</v>
      </c>
      <c r="D2739">
        <f>IF(OR(F_Custom1_Q="(None)",F_Custom1_Q="",ISBLANK(F_Custom1_Q),F_Custom1_V="(All)",F_Custom1_V="",ISBLANK(F_Custom1_V)),1,IFERROR(IF(ISNUMBER(SEARCH("|"&amp;INDEX(INDIRECT(F_Custom1_resolved_column),2738)&amp;"|",F_Custom1_wrapped)),1,0),0))</f>
        <v>1</v>
      </c>
      <c r="E2739">
        <f>IF(OR(F_Custom2_Q="(None)",F_Custom2_Q="",ISBLANK(F_Custom2_Q),F_Custom2_V="(All)",F_Custom2_V="",ISBLANK(F_Custom2_V)),1,IFERROR(IF(ISNUMBER(SEARCH("|"&amp;INDEX(INDIRECT(F_Custom2_resolved_column),2738)&amp;"|",F_Custom2_wrapped)),1,0),0))</f>
        <v>1</v>
      </c>
      <c r="F2739">
        <f>D2739*E2739*1</f>
        <v>1</v>
      </c>
      <c r="G2739">
        <f>1</f>
        <v>1</v>
      </c>
      <c r="H27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2738)&amp;"|",All_Questions_Q_STREAM_F_wrapped)),1,0),0))*1</f>
        <v>1</v>
      </c>
    </row>
    <row r="2740">
      <c r="A2740" t="n">
        <v>2739</v>
      </c>
      <c r="B2740" t="inlineStr">
        <is>
          <t>A</t>
        </is>
      </c>
      <c r="C2740">
        <f>1</f>
        <v>1</v>
      </c>
      <c r="D2740">
        <f>IF(OR(F_Custom1_Q="(None)",F_Custom1_Q="",ISBLANK(F_Custom1_Q),F_Custom1_V="(All)",F_Custom1_V="",ISBLANK(F_Custom1_V)),1,IFERROR(IF(ISNUMBER(SEARCH("|"&amp;INDEX(INDIRECT(F_Custom1_resolved_column),2739)&amp;"|",F_Custom1_wrapped)),1,0),0))</f>
        <v>1</v>
      </c>
      <c r="E2740">
        <f>IF(OR(F_Custom2_Q="(None)",F_Custom2_Q="",ISBLANK(F_Custom2_Q),F_Custom2_V="(All)",F_Custom2_V="",ISBLANK(F_Custom2_V)),1,IFERROR(IF(ISNUMBER(SEARCH("|"&amp;INDEX(INDIRECT(F_Custom2_resolved_column),2739)&amp;"|",F_Custom2_wrapped)),1,0),0))</f>
        <v>1</v>
      </c>
      <c r="F2740">
        <f>D2740*E2740*1</f>
        <v>1</v>
      </c>
      <c r="G2740">
        <f>1</f>
        <v>1</v>
      </c>
      <c r="H27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2739)&amp;"|",All_Questions_Q_STREAM_F_wrapped)),1,0),0))*1</f>
        <v>1</v>
      </c>
    </row>
    <row r="2741">
      <c r="A2741" t="n">
        <v>2740</v>
      </c>
      <c r="B2741" t="inlineStr">
        <is>
          <t>B</t>
        </is>
      </c>
      <c r="C2741">
        <f>1</f>
        <v>1</v>
      </c>
      <c r="D2741">
        <f>IF(OR(F_Custom1_Q="(None)",F_Custom1_Q="",ISBLANK(F_Custom1_Q),F_Custom1_V="(All)",F_Custom1_V="",ISBLANK(F_Custom1_V)),1,IFERROR(IF(ISNUMBER(SEARCH("|"&amp;INDEX(INDIRECT(F_Custom1_resolved_column),2740)&amp;"|",F_Custom1_wrapped)),1,0),0))</f>
        <v>1</v>
      </c>
      <c r="E2741">
        <f>IF(OR(F_Custom2_Q="(None)",F_Custom2_Q="",ISBLANK(F_Custom2_Q),F_Custom2_V="(All)",F_Custom2_V="",ISBLANK(F_Custom2_V)),1,IFERROR(IF(ISNUMBER(SEARCH("|"&amp;INDEX(INDIRECT(F_Custom2_resolved_column),2740)&amp;"|",F_Custom2_wrapped)),1,0),0))</f>
        <v>1</v>
      </c>
      <c r="F2741">
        <f>D2741*E2741*1</f>
        <v>1</v>
      </c>
      <c r="G2741">
        <f>1</f>
        <v>1</v>
      </c>
      <c r="H27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2740)&amp;"|",All_Questions_Q_STREAM_F_wrapped)),1,0),0))*1</f>
        <v>1</v>
      </c>
    </row>
    <row r="2742">
      <c r="A2742" t="n">
        <v>2741</v>
      </c>
      <c r="B2742" t="inlineStr">
        <is>
          <t>A</t>
        </is>
      </c>
      <c r="C2742">
        <f>1</f>
        <v>1</v>
      </c>
      <c r="D2742">
        <f>IF(OR(F_Custom1_Q="(None)",F_Custom1_Q="",ISBLANK(F_Custom1_Q),F_Custom1_V="(All)",F_Custom1_V="",ISBLANK(F_Custom1_V)),1,IFERROR(IF(ISNUMBER(SEARCH("|"&amp;INDEX(INDIRECT(F_Custom1_resolved_column),2741)&amp;"|",F_Custom1_wrapped)),1,0),0))</f>
        <v>1</v>
      </c>
      <c r="E2742">
        <f>IF(OR(F_Custom2_Q="(None)",F_Custom2_Q="",ISBLANK(F_Custom2_Q),F_Custom2_V="(All)",F_Custom2_V="",ISBLANK(F_Custom2_V)),1,IFERROR(IF(ISNUMBER(SEARCH("|"&amp;INDEX(INDIRECT(F_Custom2_resolved_column),2741)&amp;"|",F_Custom2_wrapped)),1,0),0))</f>
        <v>1</v>
      </c>
      <c r="F2742">
        <f>D2742*E2742*1</f>
        <v>1</v>
      </c>
      <c r="G2742">
        <f>1</f>
        <v>1</v>
      </c>
      <c r="H27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2741)&amp;"|",All_Questions_Q_STREAM_F_wrapped)),1,0),0))*1</f>
        <v>1</v>
      </c>
    </row>
    <row r="2743">
      <c r="A2743" t="n">
        <v>2742</v>
      </c>
      <c r="B2743" t="inlineStr">
        <is>
          <t>B</t>
        </is>
      </c>
      <c r="C2743">
        <f>1</f>
        <v>1</v>
      </c>
      <c r="D2743">
        <f>IF(OR(F_Custom1_Q="(None)",F_Custom1_Q="",ISBLANK(F_Custom1_Q),F_Custom1_V="(All)",F_Custom1_V="",ISBLANK(F_Custom1_V)),1,IFERROR(IF(ISNUMBER(SEARCH("|"&amp;INDEX(INDIRECT(F_Custom1_resolved_column),2742)&amp;"|",F_Custom1_wrapped)),1,0),0))</f>
        <v>1</v>
      </c>
      <c r="E2743">
        <f>IF(OR(F_Custom2_Q="(None)",F_Custom2_Q="",ISBLANK(F_Custom2_Q),F_Custom2_V="(All)",F_Custom2_V="",ISBLANK(F_Custom2_V)),1,IFERROR(IF(ISNUMBER(SEARCH("|"&amp;INDEX(INDIRECT(F_Custom2_resolved_column),2742)&amp;"|",F_Custom2_wrapped)),1,0),0))</f>
        <v>1</v>
      </c>
      <c r="F2743">
        <f>D2743*E2743*1</f>
        <v>1</v>
      </c>
      <c r="G2743">
        <f>1</f>
        <v>1</v>
      </c>
      <c r="H27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2742)&amp;"|",All_Questions_Q_STREAM_F_wrapped)),1,0),0))*1</f>
        <v>1</v>
      </c>
    </row>
    <row r="2744">
      <c r="A2744" t="n">
        <v>2743</v>
      </c>
      <c r="B2744" t="inlineStr">
        <is>
          <t>A</t>
        </is>
      </c>
      <c r="C2744">
        <f>1</f>
        <v>1</v>
      </c>
      <c r="D2744">
        <f>IF(OR(F_Custom1_Q="(None)",F_Custom1_Q="",ISBLANK(F_Custom1_Q),F_Custom1_V="(All)",F_Custom1_V="",ISBLANK(F_Custom1_V)),1,IFERROR(IF(ISNUMBER(SEARCH("|"&amp;INDEX(INDIRECT(F_Custom1_resolved_column),2743)&amp;"|",F_Custom1_wrapped)),1,0),0))</f>
        <v>1</v>
      </c>
      <c r="E2744">
        <f>IF(OR(F_Custom2_Q="(None)",F_Custom2_Q="",ISBLANK(F_Custom2_Q),F_Custom2_V="(All)",F_Custom2_V="",ISBLANK(F_Custom2_V)),1,IFERROR(IF(ISNUMBER(SEARCH("|"&amp;INDEX(INDIRECT(F_Custom2_resolved_column),2743)&amp;"|",F_Custom2_wrapped)),1,0),0))</f>
        <v>1</v>
      </c>
      <c r="F2744">
        <f>D2744*E2744*1</f>
        <v>1</v>
      </c>
      <c r="G2744">
        <f>1</f>
        <v>1</v>
      </c>
      <c r="H27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2743)&amp;"|",All_Questions_Q_STREAM_F_wrapped)),1,0),0))*1</f>
        <v>1</v>
      </c>
    </row>
    <row r="2745">
      <c r="A2745" t="n">
        <v>2744</v>
      </c>
      <c r="B2745" t="inlineStr">
        <is>
          <t>B</t>
        </is>
      </c>
      <c r="C2745">
        <f>1</f>
        <v>1</v>
      </c>
      <c r="D2745">
        <f>IF(OR(F_Custom1_Q="(None)",F_Custom1_Q="",ISBLANK(F_Custom1_Q),F_Custom1_V="(All)",F_Custom1_V="",ISBLANK(F_Custom1_V)),1,IFERROR(IF(ISNUMBER(SEARCH("|"&amp;INDEX(INDIRECT(F_Custom1_resolved_column),2744)&amp;"|",F_Custom1_wrapped)),1,0),0))</f>
        <v>1</v>
      </c>
      <c r="E2745">
        <f>IF(OR(F_Custom2_Q="(None)",F_Custom2_Q="",ISBLANK(F_Custom2_Q),F_Custom2_V="(All)",F_Custom2_V="",ISBLANK(F_Custom2_V)),1,IFERROR(IF(ISNUMBER(SEARCH("|"&amp;INDEX(INDIRECT(F_Custom2_resolved_column),2744)&amp;"|",F_Custom2_wrapped)),1,0),0))</f>
        <v>1</v>
      </c>
      <c r="F2745">
        <f>D2745*E2745*1</f>
        <v>1</v>
      </c>
      <c r="G2745">
        <f>1</f>
        <v>1</v>
      </c>
      <c r="H27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2744)&amp;"|",All_Questions_Q_STREAM_F_wrapped)),1,0),0))*1</f>
        <v>1</v>
      </c>
    </row>
    <row r="2746">
      <c r="A2746" t="n">
        <v>2745</v>
      </c>
      <c r="B2746" t="inlineStr">
        <is>
          <t>A</t>
        </is>
      </c>
      <c r="C2746">
        <f>1</f>
        <v>1</v>
      </c>
      <c r="D2746">
        <f>IF(OR(F_Custom1_Q="(None)",F_Custom1_Q="",ISBLANK(F_Custom1_Q),F_Custom1_V="(All)",F_Custom1_V="",ISBLANK(F_Custom1_V)),1,IFERROR(IF(ISNUMBER(SEARCH("|"&amp;INDEX(INDIRECT(F_Custom1_resolved_column),2745)&amp;"|",F_Custom1_wrapped)),1,0),0))</f>
        <v>1</v>
      </c>
      <c r="E2746">
        <f>IF(OR(F_Custom2_Q="(None)",F_Custom2_Q="",ISBLANK(F_Custom2_Q),F_Custom2_V="(All)",F_Custom2_V="",ISBLANK(F_Custom2_V)),1,IFERROR(IF(ISNUMBER(SEARCH("|"&amp;INDEX(INDIRECT(F_Custom2_resolved_column),2745)&amp;"|",F_Custom2_wrapped)),1,0),0))</f>
        <v>1</v>
      </c>
      <c r="F2746">
        <f>D2746*E2746*1</f>
        <v>1</v>
      </c>
      <c r="G2746">
        <f>1</f>
        <v>1</v>
      </c>
      <c r="H27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2745)&amp;"|",All_Questions_Q_STREAM_F_wrapped)),1,0),0))*1</f>
        <v>1</v>
      </c>
    </row>
    <row r="2747">
      <c r="A2747" t="n">
        <v>2746</v>
      </c>
      <c r="B2747" t="inlineStr">
        <is>
          <t>B</t>
        </is>
      </c>
      <c r="C2747">
        <f>1</f>
        <v>1</v>
      </c>
      <c r="D2747">
        <f>IF(OR(F_Custom1_Q="(None)",F_Custom1_Q="",ISBLANK(F_Custom1_Q),F_Custom1_V="(All)",F_Custom1_V="",ISBLANK(F_Custom1_V)),1,IFERROR(IF(ISNUMBER(SEARCH("|"&amp;INDEX(INDIRECT(F_Custom1_resolved_column),2746)&amp;"|",F_Custom1_wrapped)),1,0),0))</f>
        <v>1</v>
      </c>
      <c r="E2747">
        <f>IF(OR(F_Custom2_Q="(None)",F_Custom2_Q="",ISBLANK(F_Custom2_Q),F_Custom2_V="(All)",F_Custom2_V="",ISBLANK(F_Custom2_V)),1,IFERROR(IF(ISNUMBER(SEARCH("|"&amp;INDEX(INDIRECT(F_Custom2_resolved_column),2746)&amp;"|",F_Custom2_wrapped)),1,0),0))</f>
        <v>1</v>
      </c>
      <c r="F2747">
        <f>D2747*E2747*1</f>
        <v>1</v>
      </c>
      <c r="G2747">
        <f>1</f>
        <v>1</v>
      </c>
      <c r="H27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2746)&amp;"|",All_Questions_Q_STREAM_F_wrapped)),1,0),0))*1</f>
        <v>1</v>
      </c>
    </row>
    <row r="2748">
      <c r="A2748" t="n">
        <v>2747</v>
      </c>
      <c r="B2748" t="inlineStr">
        <is>
          <t>A</t>
        </is>
      </c>
      <c r="C2748">
        <f>1</f>
        <v>1</v>
      </c>
      <c r="D2748">
        <f>IF(OR(F_Custom1_Q="(None)",F_Custom1_Q="",ISBLANK(F_Custom1_Q),F_Custom1_V="(All)",F_Custom1_V="",ISBLANK(F_Custom1_V)),1,IFERROR(IF(ISNUMBER(SEARCH("|"&amp;INDEX(INDIRECT(F_Custom1_resolved_column),2747)&amp;"|",F_Custom1_wrapped)),1,0),0))</f>
        <v>1</v>
      </c>
      <c r="E2748">
        <f>IF(OR(F_Custom2_Q="(None)",F_Custom2_Q="",ISBLANK(F_Custom2_Q),F_Custom2_V="(All)",F_Custom2_V="",ISBLANK(F_Custom2_V)),1,IFERROR(IF(ISNUMBER(SEARCH("|"&amp;INDEX(INDIRECT(F_Custom2_resolved_column),2747)&amp;"|",F_Custom2_wrapped)),1,0),0))</f>
        <v>1</v>
      </c>
      <c r="F2748">
        <f>D2748*E2748*1</f>
        <v>1</v>
      </c>
      <c r="G2748">
        <f>1</f>
        <v>1</v>
      </c>
      <c r="H27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2747)&amp;"|",All_Questions_Q_STREAM_F_wrapped)),1,0),0))*1</f>
        <v>1</v>
      </c>
    </row>
    <row r="2749">
      <c r="A2749" t="n">
        <v>2748</v>
      </c>
      <c r="B2749" t="inlineStr">
        <is>
          <t>B</t>
        </is>
      </c>
      <c r="C2749">
        <f>1</f>
        <v>1</v>
      </c>
      <c r="D2749">
        <f>IF(OR(F_Custom1_Q="(None)",F_Custom1_Q="",ISBLANK(F_Custom1_Q),F_Custom1_V="(All)",F_Custom1_V="",ISBLANK(F_Custom1_V)),1,IFERROR(IF(ISNUMBER(SEARCH("|"&amp;INDEX(INDIRECT(F_Custom1_resolved_column),2748)&amp;"|",F_Custom1_wrapped)),1,0),0))</f>
        <v>1</v>
      </c>
      <c r="E2749">
        <f>IF(OR(F_Custom2_Q="(None)",F_Custom2_Q="",ISBLANK(F_Custom2_Q),F_Custom2_V="(All)",F_Custom2_V="",ISBLANK(F_Custom2_V)),1,IFERROR(IF(ISNUMBER(SEARCH("|"&amp;INDEX(INDIRECT(F_Custom2_resolved_column),2748)&amp;"|",F_Custom2_wrapped)),1,0),0))</f>
        <v>1</v>
      </c>
      <c r="F2749">
        <f>D2749*E2749*1</f>
        <v>1</v>
      </c>
      <c r="G2749">
        <f>1</f>
        <v>1</v>
      </c>
      <c r="H27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2748)&amp;"|",All_Questions_Q_STREAM_F_wrapped)),1,0),0))*1</f>
        <v>1</v>
      </c>
    </row>
    <row r="2750">
      <c r="A2750" t="n">
        <v>2749</v>
      </c>
      <c r="B2750" t="inlineStr">
        <is>
          <t>A</t>
        </is>
      </c>
      <c r="C2750">
        <f>1</f>
        <v>1</v>
      </c>
      <c r="D2750">
        <f>IF(OR(F_Custom1_Q="(None)",F_Custom1_Q="",ISBLANK(F_Custom1_Q),F_Custom1_V="(All)",F_Custom1_V="",ISBLANK(F_Custom1_V)),1,IFERROR(IF(ISNUMBER(SEARCH("|"&amp;INDEX(INDIRECT(F_Custom1_resolved_column),2749)&amp;"|",F_Custom1_wrapped)),1,0),0))</f>
        <v>1</v>
      </c>
      <c r="E2750">
        <f>IF(OR(F_Custom2_Q="(None)",F_Custom2_Q="",ISBLANK(F_Custom2_Q),F_Custom2_V="(All)",F_Custom2_V="",ISBLANK(F_Custom2_V)),1,IFERROR(IF(ISNUMBER(SEARCH("|"&amp;INDEX(INDIRECT(F_Custom2_resolved_column),2749)&amp;"|",F_Custom2_wrapped)),1,0),0))</f>
        <v>1</v>
      </c>
      <c r="F2750">
        <f>D2750*E2750*1</f>
        <v>1</v>
      </c>
      <c r="G2750">
        <f>1</f>
        <v>1</v>
      </c>
      <c r="H27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2749)&amp;"|",All_Questions_Q_STREAM_F_wrapped)),1,0),0))*1</f>
        <v>1</v>
      </c>
    </row>
    <row r="2751">
      <c r="A2751" t="n">
        <v>2750</v>
      </c>
      <c r="B2751" t="inlineStr">
        <is>
          <t>B</t>
        </is>
      </c>
      <c r="C2751">
        <f>1</f>
        <v>1</v>
      </c>
      <c r="D2751">
        <f>IF(OR(F_Custom1_Q="(None)",F_Custom1_Q="",ISBLANK(F_Custom1_Q),F_Custom1_V="(All)",F_Custom1_V="",ISBLANK(F_Custom1_V)),1,IFERROR(IF(ISNUMBER(SEARCH("|"&amp;INDEX(INDIRECT(F_Custom1_resolved_column),2750)&amp;"|",F_Custom1_wrapped)),1,0),0))</f>
        <v>1</v>
      </c>
      <c r="E2751">
        <f>IF(OR(F_Custom2_Q="(None)",F_Custom2_Q="",ISBLANK(F_Custom2_Q),F_Custom2_V="(All)",F_Custom2_V="",ISBLANK(F_Custom2_V)),1,IFERROR(IF(ISNUMBER(SEARCH("|"&amp;INDEX(INDIRECT(F_Custom2_resolved_column),2750)&amp;"|",F_Custom2_wrapped)),1,0),0))</f>
        <v>1</v>
      </c>
      <c r="F2751">
        <f>D2751*E2751*1</f>
        <v>1</v>
      </c>
      <c r="G2751">
        <f>1</f>
        <v>1</v>
      </c>
      <c r="H27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2750)&amp;"|",All_Questions_Q_STREAM_F_wrapped)),1,0),0))*1</f>
        <v>1</v>
      </c>
    </row>
    <row r="2752">
      <c r="A2752" t="n">
        <v>2751</v>
      </c>
      <c r="B2752" t="inlineStr">
        <is>
          <t>A</t>
        </is>
      </c>
      <c r="C2752">
        <f>1</f>
        <v>1</v>
      </c>
      <c r="D2752">
        <f>IF(OR(F_Custom1_Q="(None)",F_Custom1_Q="",ISBLANK(F_Custom1_Q),F_Custom1_V="(All)",F_Custom1_V="",ISBLANK(F_Custom1_V)),1,IFERROR(IF(ISNUMBER(SEARCH("|"&amp;INDEX(INDIRECT(F_Custom1_resolved_column),2751)&amp;"|",F_Custom1_wrapped)),1,0),0))</f>
        <v>1</v>
      </c>
      <c r="E2752">
        <f>IF(OR(F_Custom2_Q="(None)",F_Custom2_Q="",ISBLANK(F_Custom2_Q),F_Custom2_V="(All)",F_Custom2_V="",ISBLANK(F_Custom2_V)),1,IFERROR(IF(ISNUMBER(SEARCH("|"&amp;INDEX(INDIRECT(F_Custom2_resolved_column),2751)&amp;"|",F_Custom2_wrapped)),1,0),0))</f>
        <v>1</v>
      </c>
      <c r="F2752">
        <f>D2752*E2752*1</f>
        <v>1</v>
      </c>
      <c r="G2752">
        <f>1</f>
        <v>1</v>
      </c>
      <c r="H27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2751)&amp;"|",All_Questions_Q_STREAM_F_wrapped)),1,0),0))*1</f>
        <v>1</v>
      </c>
    </row>
    <row r="2753">
      <c r="A2753" t="n">
        <v>2752</v>
      </c>
      <c r="B2753" t="inlineStr">
        <is>
          <t>B</t>
        </is>
      </c>
      <c r="C2753">
        <f>1</f>
        <v>1</v>
      </c>
      <c r="D2753">
        <f>IF(OR(F_Custom1_Q="(None)",F_Custom1_Q="",ISBLANK(F_Custom1_Q),F_Custom1_V="(All)",F_Custom1_V="",ISBLANK(F_Custom1_V)),1,IFERROR(IF(ISNUMBER(SEARCH("|"&amp;INDEX(INDIRECT(F_Custom1_resolved_column),2752)&amp;"|",F_Custom1_wrapped)),1,0),0))</f>
        <v>1</v>
      </c>
      <c r="E2753">
        <f>IF(OR(F_Custom2_Q="(None)",F_Custom2_Q="",ISBLANK(F_Custom2_Q),F_Custom2_V="(All)",F_Custom2_V="",ISBLANK(F_Custom2_V)),1,IFERROR(IF(ISNUMBER(SEARCH("|"&amp;INDEX(INDIRECT(F_Custom2_resolved_column),2752)&amp;"|",F_Custom2_wrapped)),1,0),0))</f>
        <v>1</v>
      </c>
      <c r="F2753">
        <f>D2753*E2753*1</f>
        <v>1</v>
      </c>
      <c r="G2753">
        <f>1</f>
        <v>1</v>
      </c>
      <c r="H27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2752)&amp;"|",All_Questions_Q_STREAM_F_wrapped)),1,0),0))*1</f>
        <v>1</v>
      </c>
    </row>
    <row r="2754">
      <c r="A2754" t="n">
        <v>2753</v>
      </c>
      <c r="B2754" t="inlineStr">
        <is>
          <t>A</t>
        </is>
      </c>
      <c r="C2754">
        <f>1</f>
        <v>1</v>
      </c>
      <c r="D2754">
        <f>IF(OR(F_Custom1_Q="(None)",F_Custom1_Q="",ISBLANK(F_Custom1_Q),F_Custom1_V="(All)",F_Custom1_V="",ISBLANK(F_Custom1_V)),1,IFERROR(IF(ISNUMBER(SEARCH("|"&amp;INDEX(INDIRECT(F_Custom1_resolved_column),2753)&amp;"|",F_Custom1_wrapped)),1,0),0))</f>
        <v>1</v>
      </c>
      <c r="E2754">
        <f>IF(OR(F_Custom2_Q="(None)",F_Custom2_Q="",ISBLANK(F_Custom2_Q),F_Custom2_V="(All)",F_Custom2_V="",ISBLANK(F_Custom2_V)),1,IFERROR(IF(ISNUMBER(SEARCH("|"&amp;INDEX(INDIRECT(F_Custom2_resolved_column),2753)&amp;"|",F_Custom2_wrapped)),1,0),0))</f>
        <v>1</v>
      </c>
      <c r="F2754">
        <f>D2754*E2754*1</f>
        <v>1</v>
      </c>
      <c r="G2754">
        <f>1</f>
        <v>1</v>
      </c>
      <c r="H27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2753)&amp;"|",All_Questions_Q_STREAM_F_wrapped)),1,0),0))*1</f>
        <v>1</v>
      </c>
    </row>
    <row r="2755">
      <c r="A2755" t="n">
        <v>2754</v>
      </c>
      <c r="B2755" t="inlineStr">
        <is>
          <t>B</t>
        </is>
      </c>
      <c r="C2755">
        <f>1</f>
        <v>1</v>
      </c>
      <c r="D2755">
        <f>IF(OR(F_Custom1_Q="(None)",F_Custom1_Q="",ISBLANK(F_Custom1_Q),F_Custom1_V="(All)",F_Custom1_V="",ISBLANK(F_Custom1_V)),1,IFERROR(IF(ISNUMBER(SEARCH("|"&amp;INDEX(INDIRECT(F_Custom1_resolved_column),2754)&amp;"|",F_Custom1_wrapped)),1,0),0))</f>
        <v>1</v>
      </c>
      <c r="E2755">
        <f>IF(OR(F_Custom2_Q="(None)",F_Custom2_Q="",ISBLANK(F_Custom2_Q),F_Custom2_V="(All)",F_Custom2_V="",ISBLANK(F_Custom2_V)),1,IFERROR(IF(ISNUMBER(SEARCH("|"&amp;INDEX(INDIRECT(F_Custom2_resolved_column),2754)&amp;"|",F_Custom2_wrapped)),1,0),0))</f>
        <v>1</v>
      </c>
      <c r="F2755">
        <f>D2755*E2755*1</f>
        <v>1</v>
      </c>
      <c r="G2755">
        <f>1</f>
        <v>1</v>
      </c>
      <c r="H27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2754)&amp;"|",All_Questions_Q_STREAM_F_wrapped)),1,0),0))*1</f>
        <v>1</v>
      </c>
    </row>
    <row r="2756">
      <c r="A2756" t="n">
        <v>2755</v>
      </c>
      <c r="B2756" t="inlineStr">
        <is>
          <t>A</t>
        </is>
      </c>
      <c r="C2756">
        <f>1</f>
        <v>1</v>
      </c>
      <c r="D2756">
        <f>IF(OR(F_Custom1_Q="(None)",F_Custom1_Q="",ISBLANK(F_Custom1_Q),F_Custom1_V="(All)",F_Custom1_V="",ISBLANK(F_Custom1_V)),1,IFERROR(IF(ISNUMBER(SEARCH("|"&amp;INDEX(INDIRECT(F_Custom1_resolved_column),2755)&amp;"|",F_Custom1_wrapped)),1,0),0))</f>
        <v>1</v>
      </c>
      <c r="E2756">
        <f>IF(OR(F_Custom2_Q="(None)",F_Custom2_Q="",ISBLANK(F_Custom2_Q),F_Custom2_V="(All)",F_Custom2_V="",ISBLANK(F_Custom2_V)),1,IFERROR(IF(ISNUMBER(SEARCH("|"&amp;INDEX(INDIRECT(F_Custom2_resolved_column),2755)&amp;"|",F_Custom2_wrapped)),1,0),0))</f>
        <v>1</v>
      </c>
      <c r="F2756">
        <f>D2756*E2756*1</f>
        <v>1</v>
      </c>
      <c r="G2756">
        <f>1</f>
        <v>1</v>
      </c>
      <c r="H27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2755)&amp;"|",All_Questions_Q_STREAM_F_wrapped)),1,0),0))*1</f>
        <v>1</v>
      </c>
    </row>
    <row r="2757">
      <c r="A2757" t="n">
        <v>2756</v>
      </c>
      <c r="B2757" t="inlineStr">
        <is>
          <t>B</t>
        </is>
      </c>
      <c r="C2757">
        <f>1</f>
        <v>1</v>
      </c>
      <c r="D2757">
        <f>IF(OR(F_Custom1_Q="(None)",F_Custom1_Q="",ISBLANK(F_Custom1_Q),F_Custom1_V="(All)",F_Custom1_V="",ISBLANK(F_Custom1_V)),1,IFERROR(IF(ISNUMBER(SEARCH("|"&amp;INDEX(INDIRECT(F_Custom1_resolved_column),2756)&amp;"|",F_Custom1_wrapped)),1,0),0))</f>
        <v>1</v>
      </c>
      <c r="E2757">
        <f>IF(OR(F_Custom2_Q="(None)",F_Custom2_Q="",ISBLANK(F_Custom2_Q),F_Custom2_V="(All)",F_Custom2_V="",ISBLANK(F_Custom2_V)),1,IFERROR(IF(ISNUMBER(SEARCH("|"&amp;INDEX(INDIRECT(F_Custom2_resolved_column),2756)&amp;"|",F_Custom2_wrapped)),1,0),0))</f>
        <v>1</v>
      </c>
      <c r="F2757">
        <f>D2757*E2757*1</f>
        <v>1</v>
      </c>
      <c r="G2757">
        <f>1</f>
        <v>1</v>
      </c>
      <c r="H27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2756)&amp;"|",All_Questions_Q_STREAM_F_wrapped)),1,0),0))*1</f>
        <v>1</v>
      </c>
    </row>
    <row r="2758">
      <c r="A2758" t="n">
        <v>2757</v>
      </c>
      <c r="B2758" t="inlineStr">
        <is>
          <t>A</t>
        </is>
      </c>
      <c r="C2758">
        <f>1</f>
        <v>1</v>
      </c>
      <c r="D2758">
        <f>IF(OR(F_Custom1_Q="(None)",F_Custom1_Q="",ISBLANK(F_Custom1_Q),F_Custom1_V="(All)",F_Custom1_V="",ISBLANK(F_Custom1_V)),1,IFERROR(IF(ISNUMBER(SEARCH("|"&amp;INDEX(INDIRECT(F_Custom1_resolved_column),2757)&amp;"|",F_Custom1_wrapped)),1,0),0))</f>
        <v>1</v>
      </c>
      <c r="E2758">
        <f>IF(OR(F_Custom2_Q="(None)",F_Custom2_Q="",ISBLANK(F_Custom2_Q),F_Custom2_V="(All)",F_Custom2_V="",ISBLANK(F_Custom2_V)),1,IFERROR(IF(ISNUMBER(SEARCH("|"&amp;INDEX(INDIRECT(F_Custom2_resolved_column),2757)&amp;"|",F_Custom2_wrapped)),1,0),0))</f>
        <v>1</v>
      </c>
      <c r="F2758">
        <f>D2758*E2758*1</f>
        <v>1</v>
      </c>
      <c r="G2758">
        <f>1</f>
        <v>1</v>
      </c>
      <c r="H27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2757)&amp;"|",All_Questions_Q_STREAM_F_wrapped)),1,0),0))*1</f>
        <v>1</v>
      </c>
    </row>
    <row r="2759">
      <c r="A2759" t="n">
        <v>2758</v>
      </c>
      <c r="B2759" t="inlineStr">
        <is>
          <t>B</t>
        </is>
      </c>
      <c r="C2759">
        <f>1</f>
        <v>1</v>
      </c>
      <c r="D2759">
        <f>IF(OR(F_Custom1_Q="(None)",F_Custom1_Q="",ISBLANK(F_Custom1_Q),F_Custom1_V="(All)",F_Custom1_V="",ISBLANK(F_Custom1_V)),1,IFERROR(IF(ISNUMBER(SEARCH("|"&amp;INDEX(INDIRECT(F_Custom1_resolved_column),2758)&amp;"|",F_Custom1_wrapped)),1,0),0))</f>
        <v>1</v>
      </c>
      <c r="E2759">
        <f>IF(OR(F_Custom2_Q="(None)",F_Custom2_Q="",ISBLANK(F_Custom2_Q),F_Custom2_V="(All)",F_Custom2_V="",ISBLANK(F_Custom2_V)),1,IFERROR(IF(ISNUMBER(SEARCH("|"&amp;INDEX(INDIRECT(F_Custom2_resolved_column),2758)&amp;"|",F_Custom2_wrapped)),1,0),0))</f>
        <v>1</v>
      </c>
      <c r="F2759">
        <f>D2759*E2759*1</f>
        <v>1</v>
      </c>
      <c r="G2759">
        <f>1</f>
        <v>1</v>
      </c>
      <c r="H27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2758)&amp;"|",All_Questions_Q_STREAM_F_wrapped)),1,0),0))*1</f>
        <v>1</v>
      </c>
    </row>
    <row r="2760">
      <c r="A2760" t="n">
        <v>2759</v>
      </c>
      <c r="B2760" t="inlineStr">
        <is>
          <t>A</t>
        </is>
      </c>
      <c r="C2760">
        <f>1</f>
        <v>1</v>
      </c>
      <c r="D2760">
        <f>IF(OR(F_Custom1_Q="(None)",F_Custom1_Q="",ISBLANK(F_Custom1_Q),F_Custom1_V="(All)",F_Custom1_V="",ISBLANK(F_Custom1_V)),1,IFERROR(IF(ISNUMBER(SEARCH("|"&amp;INDEX(INDIRECT(F_Custom1_resolved_column),2759)&amp;"|",F_Custom1_wrapped)),1,0),0))</f>
        <v>1</v>
      </c>
      <c r="E2760">
        <f>IF(OR(F_Custom2_Q="(None)",F_Custom2_Q="",ISBLANK(F_Custom2_Q),F_Custom2_V="(All)",F_Custom2_V="",ISBLANK(F_Custom2_V)),1,IFERROR(IF(ISNUMBER(SEARCH("|"&amp;INDEX(INDIRECT(F_Custom2_resolved_column),2759)&amp;"|",F_Custom2_wrapped)),1,0),0))</f>
        <v>1</v>
      </c>
      <c r="F2760">
        <f>D2760*E2760*1</f>
        <v>1</v>
      </c>
      <c r="G2760">
        <f>1</f>
        <v>1</v>
      </c>
      <c r="H27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2759)&amp;"|",All_Questions_Q_STREAM_F_wrapped)),1,0),0))*1</f>
        <v>1</v>
      </c>
    </row>
    <row r="2761">
      <c r="A2761" t="n">
        <v>2760</v>
      </c>
      <c r="B2761" t="inlineStr">
        <is>
          <t>B</t>
        </is>
      </c>
      <c r="C2761">
        <f>1</f>
        <v>1</v>
      </c>
      <c r="D2761">
        <f>IF(OR(F_Custom1_Q="(None)",F_Custom1_Q="",ISBLANK(F_Custom1_Q),F_Custom1_V="(All)",F_Custom1_V="",ISBLANK(F_Custom1_V)),1,IFERROR(IF(ISNUMBER(SEARCH("|"&amp;INDEX(INDIRECT(F_Custom1_resolved_column),2760)&amp;"|",F_Custom1_wrapped)),1,0),0))</f>
        <v>1</v>
      </c>
      <c r="E2761">
        <f>IF(OR(F_Custom2_Q="(None)",F_Custom2_Q="",ISBLANK(F_Custom2_Q),F_Custom2_V="(All)",F_Custom2_V="",ISBLANK(F_Custom2_V)),1,IFERROR(IF(ISNUMBER(SEARCH("|"&amp;INDEX(INDIRECT(F_Custom2_resolved_column),2760)&amp;"|",F_Custom2_wrapped)),1,0),0))</f>
        <v>1</v>
      </c>
      <c r="F2761">
        <f>D2761*E2761*1</f>
        <v>1</v>
      </c>
      <c r="G2761">
        <f>1</f>
        <v>1</v>
      </c>
      <c r="H27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2760)&amp;"|",All_Questions_Q_STREAM_F_wrapped)),1,0),0))*1</f>
        <v>1</v>
      </c>
    </row>
    <row r="2762">
      <c r="A2762" t="n">
        <v>2761</v>
      </c>
      <c r="B2762" t="inlineStr">
        <is>
          <t>A</t>
        </is>
      </c>
      <c r="C2762">
        <f>1</f>
        <v>1</v>
      </c>
      <c r="D2762">
        <f>IF(OR(F_Custom1_Q="(None)",F_Custom1_Q="",ISBLANK(F_Custom1_Q),F_Custom1_V="(All)",F_Custom1_V="",ISBLANK(F_Custom1_V)),1,IFERROR(IF(ISNUMBER(SEARCH("|"&amp;INDEX(INDIRECT(F_Custom1_resolved_column),2761)&amp;"|",F_Custom1_wrapped)),1,0),0))</f>
        <v>1</v>
      </c>
      <c r="E2762">
        <f>IF(OR(F_Custom2_Q="(None)",F_Custom2_Q="",ISBLANK(F_Custom2_Q),F_Custom2_V="(All)",F_Custom2_V="",ISBLANK(F_Custom2_V)),1,IFERROR(IF(ISNUMBER(SEARCH("|"&amp;INDEX(INDIRECT(F_Custom2_resolved_column),2761)&amp;"|",F_Custom2_wrapped)),1,0),0))</f>
        <v>1</v>
      </c>
      <c r="F2762">
        <f>D2762*E2762*1</f>
        <v>1</v>
      </c>
      <c r="G2762">
        <f>1</f>
        <v>1</v>
      </c>
      <c r="H27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2761)&amp;"|",All_Questions_Q_STREAM_F_wrapped)),1,0),0))*1</f>
        <v>1</v>
      </c>
    </row>
    <row r="2763">
      <c r="A2763" t="n">
        <v>2762</v>
      </c>
      <c r="B2763" t="inlineStr">
        <is>
          <t>B</t>
        </is>
      </c>
      <c r="C2763">
        <f>1</f>
        <v>1</v>
      </c>
      <c r="D2763">
        <f>IF(OR(F_Custom1_Q="(None)",F_Custom1_Q="",ISBLANK(F_Custom1_Q),F_Custom1_V="(All)",F_Custom1_V="",ISBLANK(F_Custom1_V)),1,IFERROR(IF(ISNUMBER(SEARCH("|"&amp;INDEX(INDIRECT(F_Custom1_resolved_column),2762)&amp;"|",F_Custom1_wrapped)),1,0),0))</f>
        <v>1</v>
      </c>
      <c r="E2763">
        <f>IF(OR(F_Custom2_Q="(None)",F_Custom2_Q="",ISBLANK(F_Custom2_Q),F_Custom2_V="(All)",F_Custom2_V="",ISBLANK(F_Custom2_V)),1,IFERROR(IF(ISNUMBER(SEARCH("|"&amp;INDEX(INDIRECT(F_Custom2_resolved_column),2762)&amp;"|",F_Custom2_wrapped)),1,0),0))</f>
        <v>1</v>
      </c>
      <c r="F2763">
        <f>D2763*E2763*1</f>
        <v>1</v>
      </c>
      <c r="G2763">
        <f>1</f>
        <v>1</v>
      </c>
      <c r="H27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2762)&amp;"|",All_Questions_Q_STREAM_F_wrapped)),1,0),0))*1</f>
        <v>1</v>
      </c>
    </row>
    <row r="2764">
      <c r="A2764" t="n">
        <v>2763</v>
      </c>
      <c r="B2764" t="inlineStr">
        <is>
          <t>A</t>
        </is>
      </c>
      <c r="C2764">
        <f>1</f>
        <v>1</v>
      </c>
      <c r="D2764">
        <f>IF(OR(F_Custom1_Q="(None)",F_Custom1_Q="",ISBLANK(F_Custom1_Q),F_Custom1_V="(All)",F_Custom1_V="",ISBLANK(F_Custom1_V)),1,IFERROR(IF(ISNUMBER(SEARCH("|"&amp;INDEX(INDIRECT(F_Custom1_resolved_column),2763)&amp;"|",F_Custom1_wrapped)),1,0),0))</f>
        <v>1</v>
      </c>
      <c r="E2764">
        <f>IF(OR(F_Custom2_Q="(None)",F_Custom2_Q="",ISBLANK(F_Custom2_Q),F_Custom2_V="(All)",F_Custom2_V="",ISBLANK(F_Custom2_V)),1,IFERROR(IF(ISNUMBER(SEARCH("|"&amp;INDEX(INDIRECT(F_Custom2_resolved_column),2763)&amp;"|",F_Custom2_wrapped)),1,0),0))</f>
        <v>1</v>
      </c>
      <c r="F2764">
        <f>D2764*E2764*1</f>
        <v>1</v>
      </c>
      <c r="G2764">
        <f>1</f>
        <v>1</v>
      </c>
      <c r="H27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2763)&amp;"|",All_Questions_Q_STREAM_F_wrapped)),1,0),0))*1</f>
        <v>1</v>
      </c>
    </row>
    <row r="2765">
      <c r="A2765" t="n">
        <v>2764</v>
      </c>
      <c r="B2765" t="inlineStr">
        <is>
          <t>B</t>
        </is>
      </c>
      <c r="C2765">
        <f>1</f>
        <v>1</v>
      </c>
      <c r="D2765">
        <f>IF(OR(F_Custom1_Q="(None)",F_Custom1_Q="",ISBLANK(F_Custom1_Q),F_Custom1_V="(All)",F_Custom1_V="",ISBLANK(F_Custom1_V)),1,IFERROR(IF(ISNUMBER(SEARCH("|"&amp;INDEX(INDIRECT(F_Custom1_resolved_column),2764)&amp;"|",F_Custom1_wrapped)),1,0),0))</f>
        <v>1</v>
      </c>
      <c r="E2765">
        <f>IF(OR(F_Custom2_Q="(None)",F_Custom2_Q="",ISBLANK(F_Custom2_Q),F_Custom2_V="(All)",F_Custom2_V="",ISBLANK(F_Custom2_V)),1,IFERROR(IF(ISNUMBER(SEARCH("|"&amp;INDEX(INDIRECT(F_Custom2_resolved_column),2764)&amp;"|",F_Custom2_wrapped)),1,0),0))</f>
        <v>1</v>
      </c>
      <c r="F2765">
        <f>D2765*E2765*1</f>
        <v>1</v>
      </c>
      <c r="G2765">
        <f>1</f>
        <v>1</v>
      </c>
      <c r="H27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2764)&amp;"|",All_Questions_Q_STREAM_F_wrapped)),1,0),0))*1</f>
        <v>1</v>
      </c>
    </row>
    <row r="2766">
      <c r="A2766" t="n">
        <v>2765</v>
      </c>
      <c r="B2766" t="inlineStr">
        <is>
          <t>A</t>
        </is>
      </c>
      <c r="C2766">
        <f>1</f>
        <v>1</v>
      </c>
      <c r="D2766">
        <f>IF(OR(F_Custom1_Q="(None)",F_Custom1_Q="",ISBLANK(F_Custom1_Q),F_Custom1_V="(All)",F_Custom1_V="",ISBLANK(F_Custom1_V)),1,IFERROR(IF(ISNUMBER(SEARCH("|"&amp;INDEX(INDIRECT(F_Custom1_resolved_column),2765)&amp;"|",F_Custom1_wrapped)),1,0),0))</f>
        <v>1</v>
      </c>
      <c r="E2766">
        <f>IF(OR(F_Custom2_Q="(None)",F_Custom2_Q="",ISBLANK(F_Custom2_Q),F_Custom2_V="(All)",F_Custom2_V="",ISBLANK(F_Custom2_V)),1,IFERROR(IF(ISNUMBER(SEARCH("|"&amp;INDEX(INDIRECT(F_Custom2_resolved_column),2765)&amp;"|",F_Custom2_wrapped)),1,0),0))</f>
        <v>1</v>
      </c>
      <c r="F2766">
        <f>D2766*E2766*1</f>
        <v>1</v>
      </c>
      <c r="G2766">
        <f>1</f>
        <v>1</v>
      </c>
      <c r="H27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2765)&amp;"|",All_Questions_Q_STREAM_F_wrapped)),1,0),0))*1</f>
        <v>1</v>
      </c>
    </row>
    <row r="2767">
      <c r="A2767" t="n">
        <v>2766</v>
      </c>
      <c r="B2767" t="inlineStr">
        <is>
          <t>B</t>
        </is>
      </c>
      <c r="C2767">
        <f>1</f>
        <v>1</v>
      </c>
      <c r="D2767">
        <f>IF(OR(F_Custom1_Q="(None)",F_Custom1_Q="",ISBLANK(F_Custom1_Q),F_Custom1_V="(All)",F_Custom1_V="",ISBLANK(F_Custom1_V)),1,IFERROR(IF(ISNUMBER(SEARCH("|"&amp;INDEX(INDIRECT(F_Custom1_resolved_column),2766)&amp;"|",F_Custom1_wrapped)),1,0),0))</f>
        <v>1</v>
      </c>
      <c r="E2767">
        <f>IF(OR(F_Custom2_Q="(None)",F_Custom2_Q="",ISBLANK(F_Custom2_Q),F_Custom2_V="(All)",F_Custom2_V="",ISBLANK(F_Custom2_V)),1,IFERROR(IF(ISNUMBER(SEARCH("|"&amp;INDEX(INDIRECT(F_Custom2_resolved_column),2766)&amp;"|",F_Custom2_wrapped)),1,0),0))</f>
        <v>1</v>
      </c>
      <c r="F2767">
        <f>D2767*E2767*1</f>
        <v>1</v>
      </c>
      <c r="G2767">
        <f>1</f>
        <v>1</v>
      </c>
      <c r="H27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2766)&amp;"|",All_Questions_Q_STREAM_F_wrapped)),1,0),0))*1</f>
        <v>1</v>
      </c>
    </row>
    <row r="2768">
      <c r="A2768" t="n">
        <v>2767</v>
      </c>
      <c r="B2768" t="inlineStr">
        <is>
          <t>A</t>
        </is>
      </c>
      <c r="C2768">
        <f>1</f>
        <v>1</v>
      </c>
      <c r="D2768">
        <f>IF(OR(F_Custom1_Q="(None)",F_Custom1_Q="",ISBLANK(F_Custom1_Q),F_Custom1_V="(All)",F_Custom1_V="",ISBLANK(F_Custom1_V)),1,IFERROR(IF(ISNUMBER(SEARCH("|"&amp;INDEX(INDIRECT(F_Custom1_resolved_column),2767)&amp;"|",F_Custom1_wrapped)),1,0),0))</f>
        <v>1</v>
      </c>
      <c r="E2768">
        <f>IF(OR(F_Custom2_Q="(None)",F_Custom2_Q="",ISBLANK(F_Custom2_Q),F_Custom2_V="(All)",F_Custom2_V="",ISBLANK(F_Custom2_V)),1,IFERROR(IF(ISNUMBER(SEARCH("|"&amp;INDEX(INDIRECT(F_Custom2_resolved_column),2767)&amp;"|",F_Custom2_wrapped)),1,0),0))</f>
        <v>1</v>
      </c>
      <c r="F2768">
        <f>D2768*E2768*1</f>
        <v>1</v>
      </c>
      <c r="G2768">
        <f>1</f>
        <v>1</v>
      </c>
      <c r="H27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2767)&amp;"|",All_Questions_Q_STREAM_F_wrapped)),1,0),0))*1</f>
        <v>1</v>
      </c>
    </row>
    <row r="2769">
      <c r="A2769" t="n">
        <v>2768</v>
      </c>
      <c r="B2769" t="inlineStr">
        <is>
          <t>B</t>
        </is>
      </c>
      <c r="C2769">
        <f>1</f>
        <v>1</v>
      </c>
      <c r="D2769">
        <f>IF(OR(F_Custom1_Q="(None)",F_Custom1_Q="",ISBLANK(F_Custom1_Q),F_Custom1_V="(All)",F_Custom1_V="",ISBLANK(F_Custom1_V)),1,IFERROR(IF(ISNUMBER(SEARCH("|"&amp;INDEX(INDIRECT(F_Custom1_resolved_column),2768)&amp;"|",F_Custom1_wrapped)),1,0),0))</f>
        <v>1</v>
      </c>
      <c r="E2769">
        <f>IF(OR(F_Custom2_Q="(None)",F_Custom2_Q="",ISBLANK(F_Custom2_Q),F_Custom2_V="(All)",F_Custom2_V="",ISBLANK(F_Custom2_V)),1,IFERROR(IF(ISNUMBER(SEARCH("|"&amp;INDEX(INDIRECT(F_Custom2_resolved_column),2768)&amp;"|",F_Custom2_wrapped)),1,0),0))</f>
        <v>1</v>
      </c>
      <c r="F2769">
        <f>D2769*E2769*1</f>
        <v>1</v>
      </c>
      <c r="G2769">
        <f>1</f>
        <v>1</v>
      </c>
      <c r="H27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2768)&amp;"|",All_Questions_Q_STREAM_F_wrapped)),1,0),0))*1</f>
        <v>1</v>
      </c>
    </row>
    <row r="2770">
      <c r="A2770" t="n">
        <v>2769</v>
      </c>
      <c r="B2770" t="inlineStr">
        <is>
          <t>A</t>
        </is>
      </c>
      <c r="C2770">
        <f>1</f>
        <v>1</v>
      </c>
      <c r="D2770">
        <f>IF(OR(F_Custom1_Q="(None)",F_Custom1_Q="",ISBLANK(F_Custom1_Q),F_Custom1_V="(All)",F_Custom1_V="",ISBLANK(F_Custom1_V)),1,IFERROR(IF(ISNUMBER(SEARCH("|"&amp;INDEX(INDIRECT(F_Custom1_resolved_column),2769)&amp;"|",F_Custom1_wrapped)),1,0),0))</f>
        <v>1</v>
      </c>
      <c r="E2770">
        <f>IF(OR(F_Custom2_Q="(None)",F_Custom2_Q="",ISBLANK(F_Custom2_Q),F_Custom2_V="(All)",F_Custom2_V="",ISBLANK(F_Custom2_V)),1,IFERROR(IF(ISNUMBER(SEARCH("|"&amp;INDEX(INDIRECT(F_Custom2_resolved_column),2769)&amp;"|",F_Custom2_wrapped)),1,0),0))</f>
        <v>1</v>
      </c>
      <c r="F2770">
        <f>D2770*E2770*1</f>
        <v>1</v>
      </c>
      <c r="G2770">
        <f>1</f>
        <v>1</v>
      </c>
      <c r="H27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2769)&amp;"|",All_Questions_Q_STREAM_F_wrapped)),1,0),0))*1</f>
        <v>1</v>
      </c>
    </row>
    <row r="2771">
      <c r="A2771" t="n">
        <v>2770</v>
      </c>
      <c r="B2771" t="inlineStr">
        <is>
          <t>B</t>
        </is>
      </c>
      <c r="C2771">
        <f>1</f>
        <v>1</v>
      </c>
      <c r="D2771">
        <f>IF(OR(F_Custom1_Q="(None)",F_Custom1_Q="",ISBLANK(F_Custom1_Q),F_Custom1_V="(All)",F_Custom1_V="",ISBLANK(F_Custom1_V)),1,IFERROR(IF(ISNUMBER(SEARCH("|"&amp;INDEX(INDIRECT(F_Custom1_resolved_column),2770)&amp;"|",F_Custom1_wrapped)),1,0),0))</f>
        <v>1</v>
      </c>
      <c r="E2771">
        <f>IF(OR(F_Custom2_Q="(None)",F_Custom2_Q="",ISBLANK(F_Custom2_Q),F_Custom2_V="(All)",F_Custom2_V="",ISBLANK(F_Custom2_V)),1,IFERROR(IF(ISNUMBER(SEARCH("|"&amp;INDEX(INDIRECT(F_Custom2_resolved_column),2770)&amp;"|",F_Custom2_wrapped)),1,0),0))</f>
        <v>1</v>
      </c>
      <c r="F2771">
        <f>D2771*E2771*1</f>
        <v>1</v>
      </c>
      <c r="G2771">
        <f>1</f>
        <v>1</v>
      </c>
      <c r="H27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2770)&amp;"|",All_Questions_Q_STREAM_F_wrapped)),1,0),0))*1</f>
        <v>1</v>
      </c>
    </row>
    <row r="2772">
      <c r="A2772" t="n">
        <v>2771</v>
      </c>
      <c r="B2772" t="inlineStr">
        <is>
          <t>A</t>
        </is>
      </c>
      <c r="C2772">
        <f>1</f>
        <v>1</v>
      </c>
      <c r="D2772">
        <f>IF(OR(F_Custom1_Q="(None)",F_Custom1_Q="",ISBLANK(F_Custom1_Q),F_Custom1_V="(All)",F_Custom1_V="",ISBLANK(F_Custom1_V)),1,IFERROR(IF(ISNUMBER(SEARCH("|"&amp;INDEX(INDIRECT(F_Custom1_resolved_column),2771)&amp;"|",F_Custom1_wrapped)),1,0),0))</f>
        <v>1</v>
      </c>
      <c r="E2772">
        <f>IF(OR(F_Custom2_Q="(None)",F_Custom2_Q="",ISBLANK(F_Custom2_Q),F_Custom2_V="(All)",F_Custom2_V="",ISBLANK(F_Custom2_V)),1,IFERROR(IF(ISNUMBER(SEARCH("|"&amp;INDEX(INDIRECT(F_Custom2_resolved_column),2771)&amp;"|",F_Custom2_wrapped)),1,0),0))</f>
        <v>1</v>
      </c>
      <c r="F2772">
        <f>D2772*E2772*1</f>
        <v>1</v>
      </c>
      <c r="G2772">
        <f>1</f>
        <v>1</v>
      </c>
      <c r="H27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2771)&amp;"|",All_Questions_Q_STREAM_F_wrapped)),1,0),0))*1</f>
        <v>1</v>
      </c>
    </row>
    <row r="2773">
      <c r="A2773" t="n">
        <v>2772</v>
      </c>
      <c r="B2773" t="inlineStr">
        <is>
          <t>B</t>
        </is>
      </c>
      <c r="C2773">
        <f>1</f>
        <v>1</v>
      </c>
      <c r="D2773">
        <f>IF(OR(F_Custom1_Q="(None)",F_Custom1_Q="",ISBLANK(F_Custom1_Q),F_Custom1_V="(All)",F_Custom1_V="",ISBLANK(F_Custom1_V)),1,IFERROR(IF(ISNUMBER(SEARCH("|"&amp;INDEX(INDIRECT(F_Custom1_resolved_column),2772)&amp;"|",F_Custom1_wrapped)),1,0),0))</f>
        <v>1</v>
      </c>
      <c r="E2773">
        <f>IF(OR(F_Custom2_Q="(None)",F_Custom2_Q="",ISBLANK(F_Custom2_Q),F_Custom2_V="(All)",F_Custom2_V="",ISBLANK(F_Custom2_V)),1,IFERROR(IF(ISNUMBER(SEARCH("|"&amp;INDEX(INDIRECT(F_Custom2_resolved_column),2772)&amp;"|",F_Custom2_wrapped)),1,0),0))</f>
        <v>1</v>
      </c>
      <c r="F2773">
        <f>D2773*E2773*1</f>
        <v>1</v>
      </c>
      <c r="G2773">
        <f>1</f>
        <v>1</v>
      </c>
      <c r="H27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2772)&amp;"|",All_Questions_Q_STREAM_F_wrapped)),1,0),0))*1</f>
        <v>1</v>
      </c>
    </row>
    <row r="2774">
      <c r="A2774" t="n">
        <v>2773</v>
      </c>
      <c r="B2774" t="inlineStr">
        <is>
          <t>A</t>
        </is>
      </c>
      <c r="C2774">
        <f>1</f>
        <v>1</v>
      </c>
      <c r="D2774">
        <f>IF(OR(F_Custom1_Q="(None)",F_Custom1_Q="",ISBLANK(F_Custom1_Q),F_Custom1_V="(All)",F_Custom1_V="",ISBLANK(F_Custom1_V)),1,IFERROR(IF(ISNUMBER(SEARCH("|"&amp;INDEX(INDIRECT(F_Custom1_resolved_column),2773)&amp;"|",F_Custom1_wrapped)),1,0),0))</f>
        <v>1</v>
      </c>
      <c r="E2774">
        <f>IF(OR(F_Custom2_Q="(None)",F_Custom2_Q="",ISBLANK(F_Custom2_Q),F_Custom2_V="(All)",F_Custom2_V="",ISBLANK(F_Custom2_V)),1,IFERROR(IF(ISNUMBER(SEARCH("|"&amp;INDEX(INDIRECT(F_Custom2_resolved_column),2773)&amp;"|",F_Custom2_wrapped)),1,0),0))</f>
        <v>1</v>
      </c>
      <c r="F2774">
        <f>D2774*E2774*1</f>
        <v>1</v>
      </c>
      <c r="G2774">
        <f>1</f>
        <v>1</v>
      </c>
      <c r="H27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2773)&amp;"|",All_Questions_Q_STREAM_F_wrapped)),1,0),0))*1</f>
        <v>1</v>
      </c>
    </row>
    <row r="2775">
      <c r="A2775" t="n">
        <v>2774</v>
      </c>
      <c r="B2775" t="inlineStr">
        <is>
          <t>B</t>
        </is>
      </c>
      <c r="C2775">
        <f>1</f>
        <v>1</v>
      </c>
      <c r="D2775">
        <f>IF(OR(F_Custom1_Q="(None)",F_Custom1_Q="",ISBLANK(F_Custom1_Q),F_Custom1_V="(All)",F_Custom1_V="",ISBLANK(F_Custom1_V)),1,IFERROR(IF(ISNUMBER(SEARCH("|"&amp;INDEX(INDIRECT(F_Custom1_resolved_column),2774)&amp;"|",F_Custom1_wrapped)),1,0),0))</f>
        <v>1</v>
      </c>
      <c r="E2775">
        <f>IF(OR(F_Custom2_Q="(None)",F_Custom2_Q="",ISBLANK(F_Custom2_Q),F_Custom2_V="(All)",F_Custom2_V="",ISBLANK(F_Custom2_V)),1,IFERROR(IF(ISNUMBER(SEARCH("|"&amp;INDEX(INDIRECT(F_Custom2_resolved_column),2774)&amp;"|",F_Custom2_wrapped)),1,0),0))</f>
        <v>1</v>
      </c>
      <c r="F2775">
        <f>D2775*E2775*1</f>
        <v>1</v>
      </c>
      <c r="G2775">
        <f>1</f>
        <v>1</v>
      </c>
      <c r="H27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2774)&amp;"|",All_Questions_Q_STREAM_F_wrapped)),1,0),0))*1</f>
        <v>1</v>
      </c>
    </row>
    <row r="2776">
      <c r="A2776" t="n">
        <v>2775</v>
      </c>
      <c r="B2776" t="inlineStr">
        <is>
          <t>A</t>
        </is>
      </c>
      <c r="C2776">
        <f>1</f>
        <v>1</v>
      </c>
      <c r="D2776">
        <f>IF(OR(F_Custom1_Q="(None)",F_Custom1_Q="",ISBLANK(F_Custom1_Q),F_Custom1_V="(All)",F_Custom1_V="",ISBLANK(F_Custom1_V)),1,IFERROR(IF(ISNUMBER(SEARCH("|"&amp;INDEX(INDIRECT(F_Custom1_resolved_column),2775)&amp;"|",F_Custom1_wrapped)),1,0),0))</f>
        <v>1</v>
      </c>
      <c r="E2776">
        <f>IF(OR(F_Custom2_Q="(None)",F_Custom2_Q="",ISBLANK(F_Custom2_Q),F_Custom2_V="(All)",F_Custom2_V="",ISBLANK(F_Custom2_V)),1,IFERROR(IF(ISNUMBER(SEARCH("|"&amp;INDEX(INDIRECT(F_Custom2_resolved_column),2775)&amp;"|",F_Custom2_wrapped)),1,0),0))</f>
        <v>1</v>
      </c>
      <c r="F2776">
        <f>D2776*E2776*1</f>
        <v>1</v>
      </c>
      <c r="G2776">
        <f>1</f>
        <v>1</v>
      </c>
      <c r="H27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2775)&amp;"|",All_Questions_Q_STREAM_F_wrapped)),1,0),0))*1</f>
        <v>1</v>
      </c>
    </row>
    <row r="2777">
      <c r="A2777" t="n">
        <v>2776</v>
      </c>
      <c r="B2777" t="inlineStr">
        <is>
          <t>B</t>
        </is>
      </c>
      <c r="C2777">
        <f>1</f>
        <v>1</v>
      </c>
      <c r="D2777">
        <f>IF(OR(F_Custom1_Q="(None)",F_Custom1_Q="",ISBLANK(F_Custom1_Q),F_Custom1_V="(All)",F_Custom1_V="",ISBLANK(F_Custom1_V)),1,IFERROR(IF(ISNUMBER(SEARCH("|"&amp;INDEX(INDIRECT(F_Custom1_resolved_column),2776)&amp;"|",F_Custom1_wrapped)),1,0),0))</f>
        <v>1</v>
      </c>
      <c r="E2777">
        <f>IF(OR(F_Custom2_Q="(None)",F_Custom2_Q="",ISBLANK(F_Custom2_Q),F_Custom2_V="(All)",F_Custom2_V="",ISBLANK(F_Custom2_V)),1,IFERROR(IF(ISNUMBER(SEARCH("|"&amp;INDEX(INDIRECT(F_Custom2_resolved_column),2776)&amp;"|",F_Custom2_wrapped)),1,0),0))</f>
        <v>1</v>
      </c>
      <c r="F2777">
        <f>D2777*E2777*1</f>
        <v>1</v>
      </c>
      <c r="G2777">
        <f>1</f>
        <v>1</v>
      </c>
      <c r="H27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2776)&amp;"|",All_Questions_Q_STREAM_F_wrapped)),1,0),0))*1</f>
        <v>1</v>
      </c>
    </row>
    <row r="2778">
      <c r="A2778" t="n">
        <v>2777</v>
      </c>
      <c r="B2778" t="inlineStr">
        <is>
          <t>A</t>
        </is>
      </c>
      <c r="C2778">
        <f>1</f>
        <v>1</v>
      </c>
      <c r="D2778">
        <f>IF(OR(F_Custom1_Q="(None)",F_Custom1_Q="",ISBLANK(F_Custom1_Q),F_Custom1_V="(All)",F_Custom1_V="",ISBLANK(F_Custom1_V)),1,IFERROR(IF(ISNUMBER(SEARCH("|"&amp;INDEX(INDIRECT(F_Custom1_resolved_column),2777)&amp;"|",F_Custom1_wrapped)),1,0),0))</f>
        <v>1</v>
      </c>
      <c r="E2778">
        <f>IF(OR(F_Custom2_Q="(None)",F_Custom2_Q="",ISBLANK(F_Custom2_Q),F_Custom2_V="(All)",F_Custom2_V="",ISBLANK(F_Custom2_V)),1,IFERROR(IF(ISNUMBER(SEARCH("|"&amp;INDEX(INDIRECT(F_Custom2_resolved_column),2777)&amp;"|",F_Custom2_wrapped)),1,0),0))</f>
        <v>1</v>
      </c>
      <c r="F2778">
        <f>D2778*E2778*1</f>
        <v>1</v>
      </c>
      <c r="G2778">
        <f>1</f>
        <v>1</v>
      </c>
      <c r="H27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2777)&amp;"|",All_Questions_Q_STREAM_F_wrapped)),1,0),0))*1</f>
        <v>1</v>
      </c>
    </row>
    <row r="2779">
      <c r="A2779" t="n">
        <v>2778</v>
      </c>
      <c r="B2779" t="inlineStr">
        <is>
          <t>B</t>
        </is>
      </c>
      <c r="C2779">
        <f>1</f>
        <v>1</v>
      </c>
      <c r="D2779">
        <f>IF(OR(F_Custom1_Q="(None)",F_Custom1_Q="",ISBLANK(F_Custom1_Q),F_Custom1_V="(All)",F_Custom1_V="",ISBLANK(F_Custom1_V)),1,IFERROR(IF(ISNUMBER(SEARCH("|"&amp;INDEX(INDIRECT(F_Custom1_resolved_column),2778)&amp;"|",F_Custom1_wrapped)),1,0),0))</f>
        <v>1</v>
      </c>
      <c r="E2779">
        <f>IF(OR(F_Custom2_Q="(None)",F_Custom2_Q="",ISBLANK(F_Custom2_Q),F_Custom2_V="(All)",F_Custom2_V="",ISBLANK(F_Custom2_V)),1,IFERROR(IF(ISNUMBER(SEARCH("|"&amp;INDEX(INDIRECT(F_Custom2_resolved_column),2778)&amp;"|",F_Custom2_wrapped)),1,0),0))</f>
        <v>1</v>
      </c>
      <c r="F2779">
        <f>D2779*E2779*1</f>
        <v>1</v>
      </c>
      <c r="G2779">
        <f>1</f>
        <v>1</v>
      </c>
      <c r="H27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2778)&amp;"|",All_Questions_Q_STREAM_F_wrapped)),1,0),0))*1</f>
        <v>1</v>
      </c>
    </row>
    <row r="2780">
      <c r="A2780" t="n">
        <v>2779</v>
      </c>
      <c r="B2780" t="inlineStr">
        <is>
          <t>A</t>
        </is>
      </c>
      <c r="C2780">
        <f>1</f>
        <v>1</v>
      </c>
      <c r="D2780">
        <f>IF(OR(F_Custom1_Q="(None)",F_Custom1_Q="",ISBLANK(F_Custom1_Q),F_Custom1_V="(All)",F_Custom1_V="",ISBLANK(F_Custom1_V)),1,IFERROR(IF(ISNUMBER(SEARCH("|"&amp;INDEX(INDIRECT(F_Custom1_resolved_column),2779)&amp;"|",F_Custom1_wrapped)),1,0),0))</f>
        <v>1</v>
      </c>
      <c r="E2780">
        <f>IF(OR(F_Custom2_Q="(None)",F_Custom2_Q="",ISBLANK(F_Custom2_Q),F_Custom2_V="(All)",F_Custom2_V="",ISBLANK(F_Custom2_V)),1,IFERROR(IF(ISNUMBER(SEARCH("|"&amp;INDEX(INDIRECT(F_Custom2_resolved_column),2779)&amp;"|",F_Custom2_wrapped)),1,0),0))</f>
        <v>1</v>
      </c>
      <c r="F2780">
        <f>D2780*E2780*1</f>
        <v>1</v>
      </c>
      <c r="G2780">
        <f>1</f>
        <v>1</v>
      </c>
      <c r="H27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2779)&amp;"|",All_Questions_Q_STREAM_F_wrapped)),1,0),0))*1</f>
        <v>1</v>
      </c>
    </row>
    <row r="2781">
      <c r="A2781" t="n">
        <v>2780</v>
      </c>
      <c r="B2781" t="inlineStr">
        <is>
          <t>B</t>
        </is>
      </c>
      <c r="C2781">
        <f>1</f>
        <v>1</v>
      </c>
      <c r="D2781">
        <f>IF(OR(F_Custom1_Q="(None)",F_Custom1_Q="",ISBLANK(F_Custom1_Q),F_Custom1_V="(All)",F_Custom1_V="",ISBLANK(F_Custom1_V)),1,IFERROR(IF(ISNUMBER(SEARCH("|"&amp;INDEX(INDIRECT(F_Custom1_resolved_column),2780)&amp;"|",F_Custom1_wrapped)),1,0),0))</f>
        <v>1</v>
      </c>
      <c r="E2781">
        <f>IF(OR(F_Custom2_Q="(None)",F_Custom2_Q="",ISBLANK(F_Custom2_Q),F_Custom2_V="(All)",F_Custom2_V="",ISBLANK(F_Custom2_V)),1,IFERROR(IF(ISNUMBER(SEARCH("|"&amp;INDEX(INDIRECT(F_Custom2_resolved_column),2780)&amp;"|",F_Custom2_wrapped)),1,0),0))</f>
        <v>1</v>
      </c>
      <c r="F2781">
        <f>D2781*E2781*1</f>
        <v>1</v>
      </c>
      <c r="G2781">
        <f>1</f>
        <v>1</v>
      </c>
      <c r="H27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2780)&amp;"|",All_Questions_Q_STREAM_F_wrapped)),1,0),0))*1</f>
        <v>1</v>
      </c>
    </row>
    <row r="2782">
      <c r="A2782" t="n">
        <v>2781</v>
      </c>
      <c r="B2782" t="inlineStr">
        <is>
          <t>A</t>
        </is>
      </c>
      <c r="C2782">
        <f>1</f>
        <v>1</v>
      </c>
      <c r="D2782">
        <f>IF(OR(F_Custom1_Q="(None)",F_Custom1_Q="",ISBLANK(F_Custom1_Q),F_Custom1_V="(All)",F_Custom1_V="",ISBLANK(F_Custom1_V)),1,IFERROR(IF(ISNUMBER(SEARCH("|"&amp;INDEX(INDIRECT(F_Custom1_resolved_column),2781)&amp;"|",F_Custom1_wrapped)),1,0),0))</f>
        <v>1</v>
      </c>
      <c r="E2782">
        <f>IF(OR(F_Custom2_Q="(None)",F_Custom2_Q="",ISBLANK(F_Custom2_Q),F_Custom2_V="(All)",F_Custom2_V="",ISBLANK(F_Custom2_V)),1,IFERROR(IF(ISNUMBER(SEARCH("|"&amp;INDEX(INDIRECT(F_Custom2_resolved_column),2781)&amp;"|",F_Custom2_wrapped)),1,0),0))</f>
        <v>1</v>
      </c>
      <c r="F2782">
        <f>D2782*E2782*1</f>
        <v>1</v>
      </c>
      <c r="G2782">
        <f>1</f>
        <v>1</v>
      </c>
      <c r="H27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2781)&amp;"|",All_Questions_Q_STREAM_F_wrapped)),1,0),0))*1</f>
        <v>1</v>
      </c>
    </row>
    <row r="2783">
      <c r="A2783" t="n">
        <v>2782</v>
      </c>
      <c r="B2783" t="inlineStr">
        <is>
          <t>B</t>
        </is>
      </c>
      <c r="C2783">
        <f>1</f>
        <v>1</v>
      </c>
      <c r="D2783">
        <f>IF(OR(F_Custom1_Q="(None)",F_Custom1_Q="",ISBLANK(F_Custom1_Q),F_Custom1_V="(All)",F_Custom1_V="",ISBLANK(F_Custom1_V)),1,IFERROR(IF(ISNUMBER(SEARCH("|"&amp;INDEX(INDIRECT(F_Custom1_resolved_column),2782)&amp;"|",F_Custom1_wrapped)),1,0),0))</f>
        <v>1</v>
      </c>
      <c r="E2783">
        <f>IF(OR(F_Custom2_Q="(None)",F_Custom2_Q="",ISBLANK(F_Custom2_Q),F_Custom2_V="(All)",F_Custom2_V="",ISBLANK(F_Custom2_V)),1,IFERROR(IF(ISNUMBER(SEARCH("|"&amp;INDEX(INDIRECT(F_Custom2_resolved_column),2782)&amp;"|",F_Custom2_wrapped)),1,0),0))</f>
        <v>1</v>
      </c>
      <c r="F2783">
        <f>D2783*E2783*1</f>
        <v>1</v>
      </c>
      <c r="G2783">
        <f>1</f>
        <v>1</v>
      </c>
      <c r="H27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2782)&amp;"|",All_Questions_Q_STREAM_F_wrapped)),1,0),0))*1</f>
        <v>1</v>
      </c>
    </row>
    <row r="2784">
      <c r="A2784" t="n">
        <v>2783</v>
      </c>
      <c r="B2784" t="inlineStr">
        <is>
          <t>A</t>
        </is>
      </c>
      <c r="C2784">
        <f>1</f>
        <v>1</v>
      </c>
      <c r="D2784">
        <f>IF(OR(F_Custom1_Q="(None)",F_Custom1_Q="",ISBLANK(F_Custom1_Q),F_Custom1_V="(All)",F_Custom1_V="",ISBLANK(F_Custom1_V)),1,IFERROR(IF(ISNUMBER(SEARCH("|"&amp;INDEX(INDIRECT(F_Custom1_resolved_column),2783)&amp;"|",F_Custom1_wrapped)),1,0),0))</f>
        <v>1</v>
      </c>
      <c r="E2784">
        <f>IF(OR(F_Custom2_Q="(None)",F_Custom2_Q="",ISBLANK(F_Custom2_Q),F_Custom2_V="(All)",F_Custom2_V="",ISBLANK(F_Custom2_V)),1,IFERROR(IF(ISNUMBER(SEARCH("|"&amp;INDEX(INDIRECT(F_Custom2_resolved_column),2783)&amp;"|",F_Custom2_wrapped)),1,0),0))</f>
        <v>1</v>
      </c>
      <c r="F2784">
        <f>D2784*E2784*1</f>
        <v>1</v>
      </c>
      <c r="G2784">
        <f>1</f>
        <v>1</v>
      </c>
      <c r="H27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2783)&amp;"|",All_Questions_Q_STREAM_F_wrapped)),1,0),0))*1</f>
        <v>1</v>
      </c>
    </row>
    <row r="2785">
      <c r="A2785" t="n">
        <v>2784</v>
      </c>
      <c r="B2785" t="inlineStr">
        <is>
          <t>B</t>
        </is>
      </c>
      <c r="C2785">
        <f>1</f>
        <v>1</v>
      </c>
      <c r="D2785">
        <f>IF(OR(F_Custom1_Q="(None)",F_Custom1_Q="",ISBLANK(F_Custom1_Q),F_Custom1_V="(All)",F_Custom1_V="",ISBLANK(F_Custom1_V)),1,IFERROR(IF(ISNUMBER(SEARCH("|"&amp;INDEX(INDIRECT(F_Custom1_resolved_column),2784)&amp;"|",F_Custom1_wrapped)),1,0),0))</f>
        <v>1</v>
      </c>
      <c r="E2785">
        <f>IF(OR(F_Custom2_Q="(None)",F_Custom2_Q="",ISBLANK(F_Custom2_Q),F_Custom2_V="(All)",F_Custom2_V="",ISBLANK(F_Custom2_V)),1,IFERROR(IF(ISNUMBER(SEARCH("|"&amp;INDEX(INDIRECT(F_Custom2_resolved_column),2784)&amp;"|",F_Custom2_wrapped)),1,0),0))</f>
        <v>1</v>
      </c>
      <c r="F2785">
        <f>D2785*E2785*1</f>
        <v>1</v>
      </c>
      <c r="G2785">
        <f>1</f>
        <v>1</v>
      </c>
      <c r="H27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2784)&amp;"|",All_Questions_Q_STREAM_F_wrapped)),1,0),0))*1</f>
        <v>1</v>
      </c>
    </row>
    <row r="2786">
      <c r="A2786" t="n">
        <v>2785</v>
      </c>
      <c r="B2786" t="inlineStr">
        <is>
          <t>A</t>
        </is>
      </c>
      <c r="C2786">
        <f>1</f>
        <v>1</v>
      </c>
      <c r="D2786">
        <f>IF(OR(F_Custom1_Q="(None)",F_Custom1_Q="",ISBLANK(F_Custom1_Q),F_Custom1_V="(All)",F_Custom1_V="",ISBLANK(F_Custom1_V)),1,IFERROR(IF(ISNUMBER(SEARCH("|"&amp;INDEX(INDIRECT(F_Custom1_resolved_column),2785)&amp;"|",F_Custom1_wrapped)),1,0),0))</f>
        <v>1</v>
      </c>
      <c r="E2786">
        <f>IF(OR(F_Custom2_Q="(None)",F_Custom2_Q="",ISBLANK(F_Custom2_Q),F_Custom2_V="(All)",F_Custom2_V="",ISBLANK(F_Custom2_V)),1,IFERROR(IF(ISNUMBER(SEARCH("|"&amp;INDEX(INDIRECT(F_Custom2_resolved_column),2785)&amp;"|",F_Custom2_wrapped)),1,0),0))</f>
        <v>1</v>
      </c>
      <c r="F2786">
        <f>D2786*E2786*1</f>
        <v>1</v>
      </c>
      <c r="G2786">
        <f>1</f>
        <v>1</v>
      </c>
      <c r="H27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2785)&amp;"|",All_Questions_Q_STREAM_F_wrapped)),1,0),0))*1</f>
        <v>1</v>
      </c>
    </row>
    <row r="2787">
      <c r="A2787" t="n">
        <v>2786</v>
      </c>
      <c r="B2787" t="inlineStr">
        <is>
          <t>B</t>
        </is>
      </c>
      <c r="C2787">
        <f>1</f>
        <v>1</v>
      </c>
      <c r="D2787">
        <f>IF(OR(F_Custom1_Q="(None)",F_Custom1_Q="",ISBLANK(F_Custom1_Q),F_Custom1_V="(All)",F_Custom1_V="",ISBLANK(F_Custom1_V)),1,IFERROR(IF(ISNUMBER(SEARCH("|"&amp;INDEX(INDIRECT(F_Custom1_resolved_column),2786)&amp;"|",F_Custom1_wrapped)),1,0),0))</f>
        <v>1</v>
      </c>
      <c r="E2787">
        <f>IF(OR(F_Custom2_Q="(None)",F_Custom2_Q="",ISBLANK(F_Custom2_Q),F_Custom2_V="(All)",F_Custom2_V="",ISBLANK(F_Custom2_V)),1,IFERROR(IF(ISNUMBER(SEARCH("|"&amp;INDEX(INDIRECT(F_Custom2_resolved_column),2786)&amp;"|",F_Custom2_wrapped)),1,0),0))</f>
        <v>1</v>
      </c>
      <c r="F2787">
        <f>D2787*E2787*1</f>
        <v>1</v>
      </c>
      <c r="G2787">
        <f>1</f>
        <v>1</v>
      </c>
      <c r="H27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2786)&amp;"|",All_Questions_Q_STREAM_F_wrapped)),1,0),0))*1</f>
        <v>1</v>
      </c>
    </row>
    <row r="2788">
      <c r="A2788" t="n">
        <v>2787</v>
      </c>
      <c r="B2788" t="inlineStr">
        <is>
          <t>A</t>
        </is>
      </c>
      <c r="C2788">
        <f>1</f>
        <v>1</v>
      </c>
      <c r="D2788">
        <f>IF(OR(F_Custom1_Q="(None)",F_Custom1_Q="",ISBLANK(F_Custom1_Q),F_Custom1_V="(All)",F_Custom1_V="",ISBLANK(F_Custom1_V)),1,IFERROR(IF(ISNUMBER(SEARCH("|"&amp;INDEX(INDIRECT(F_Custom1_resolved_column),2787)&amp;"|",F_Custom1_wrapped)),1,0),0))</f>
        <v>1</v>
      </c>
      <c r="E2788">
        <f>IF(OR(F_Custom2_Q="(None)",F_Custom2_Q="",ISBLANK(F_Custom2_Q),F_Custom2_V="(All)",F_Custom2_V="",ISBLANK(F_Custom2_V)),1,IFERROR(IF(ISNUMBER(SEARCH("|"&amp;INDEX(INDIRECT(F_Custom2_resolved_column),2787)&amp;"|",F_Custom2_wrapped)),1,0),0))</f>
        <v>1</v>
      </c>
      <c r="F2788">
        <f>D2788*E2788*1</f>
        <v>1</v>
      </c>
      <c r="G2788">
        <f>1</f>
        <v>1</v>
      </c>
      <c r="H27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2787)&amp;"|",All_Questions_Q_STREAM_F_wrapped)),1,0),0))*1</f>
        <v>1</v>
      </c>
    </row>
    <row r="2789">
      <c r="A2789" t="n">
        <v>2788</v>
      </c>
      <c r="B2789" t="inlineStr">
        <is>
          <t>B</t>
        </is>
      </c>
      <c r="C2789">
        <f>1</f>
        <v>1</v>
      </c>
      <c r="D2789">
        <f>IF(OR(F_Custom1_Q="(None)",F_Custom1_Q="",ISBLANK(F_Custom1_Q),F_Custom1_V="(All)",F_Custom1_V="",ISBLANK(F_Custom1_V)),1,IFERROR(IF(ISNUMBER(SEARCH("|"&amp;INDEX(INDIRECT(F_Custom1_resolved_column),2788)&amp;"|",F_Custom1_wrapped)),1,0),0))</f>
        <v>1</v>
      </c>
      <c r="E2789">
        <f>IF(OR(F_Custom2_Q="(None)",F_Custom2_Q="",ISBLANK(F_Custom2_Q),F_Custom2_V="(All)",F_Custom2_V="",ISBLANK(F_Custom2_V)),1,IFERROR(IF(ISNUMBER(SEARCH("|"&amp;INDEX(INDIRECT(F_Custom2_resolved_column),2788)&amp;"|",F_Custom2_wrapped)),1,0),0))</f>
        <v>1</v>
      </c>
      <c r="F2789">
        <f>D2789*E2789*1</f>
        <v>1</v>
      </c>
      <c r="G2789">
        <f>1</f>
        <v>1</v>
      </c>
      <c r="H27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2788)&amp;"|",All_Questions_Q_STREAM_F_wrapped)),1,0),0))*1</f>
        <v>1</v>
      </c>
    </row>
    <row r="2790">
      <c r="A2790" t="n">
        <v>2789</v>
      </c>
      <c r="B2790" t="inlineStr">
        <is>
          <t>A</t>
        </is>
      </c>
      <c r="C2790">
        <f>1</f>
        <v>1</v>
      </c>
      <c r="D2790">
        <f>IF(OR(F_Custom1_Q="(None)",F_Custom1_Q="",ISBLANK(F_Custom1_Q),F_Custom1_V="(All)",F_Custom1_V="",ISBLANK(F_Custom1_V)),1,IFERROR(IF(ISNUMBER(SEARCH("|"&amp;INDEX(INDIRECT(F_Custom1_resolved_column),2789)&amp;"|",F_Custom1_wrapped)),1,0),0))</f>
        <v>1</v>
      </c>
      <c r="E2790">
        <f>IF(OR(F_Custom2_Q="(None)",F_Custom2_Q="",ISBLANK(F_Custom2_Q),F_Custom2_V="(All)",F_Custom2_V="",ISBLANK(F_Custom2_V)),1,IFERROR(IF(ISNUMBER(SEARCH("|"&amp;INDEX(INDIRECT(F_Custom2_resolved_column),2789)&amp;"|",F_Custom2_wrapped)),1,0),0))</f>
        <v>1</v>
      </c>
      <c r="F2790">
        <f>D2790*E2790*1</f>
        <v>1</v>
      </c>
      <c r="G2790">
        <f>1</f>
        <v>1</v>
      </c>
      <c r="H27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2789)&amp;"|",All_Questions_Q_STREAM_F_wrapped)),1,0),0))*1</f>
        <v>1</v>
      </c>
    </row>
    <row r="2791">
      <c r="A2791" t="n">
        <v>2790</v>
      </c>
      <c r="B2791" t="inlineStr">
        <is>
          <t>B</t>
        </is>
      </c>
      <c r="C2791">
        <f>1</f>
        <v>1</v>
      </c>
      <c r="D2791">
        <f>IF(OR(F_Custom1_Q="(None)",F_Custom1_Q="",ISBLANK(F_Custom1_Q),F_Custom1_V="(All)",F_Custom1_V="",ISBLANK(F_Custom1_V)),1,IFERROR(IF(ISNUMBER(SEARCH("|"&amp;INDEX(INDIRECT(F_Custom1_resolved_column),2790)&amp;"|",F_Custom1_wrapped)),1,0),0))</f>
        <v>1</v>
      </c>
      <c r="E2791">
        <f>IF(OR(F_Custom2_Q="(None)",F_Custom2_Q="",ISBLANK(F_Custom2_Q),F_Custom2_V="(All)",F_Custom2_V="",ISBLANK(F_Custom2_V)),1,IFERROR(IF(ISNUMBER(SEARCH("|"&amp;INDEX(INDIRECT(F_Custom2_resolved_column),2790)&amp;"|",F_Custom2_wrapped)),1,0),0))</f>
        <v>1</v>
      </c>
      <c r="F2791">
        <f>D2791*E2791*1</f>
        <v>1</v>
      </c>
      <c r="G2791">
        <f>1</f>
        <v>1</v>
      </c>
      <c r="H27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2790)&amp;"|",All_Questions_Q_STREAM_F_wrapped)),1,0),0))*1</f>
        <v>1</v>
      </c>
    </row>
    <row r="2792">
      <c r="A2792" t="n">
        <v>2791</v>
      </c>
      <c r="B2792" t="inlineStr">
        <is>
          <t>A</t>
        </is>
      </c>
      <c r="C2792">
        <f>1</f>
        <v>1</v>
      </c>
      <c r="D2792">
        <f>IF(OR(F_Custom1_Q="(None)",F_Custom1_Q="",ISBLANK(F_Custom1_Q),F_Custom1_V="(All)",F_Custom1_V="",ISBLANK(F_Custom1_V)),1,IFERROR(IF(ISNUMBER(SEARCH("|"&amp;INDEX(INDIRECT(F_Custom1_resolved_column),2791)&amp;"|",F_Custom1_wrapped)),1,0),0))</f>
        <v>1</v>
      </c>
      <c r="E2792">
        <f>IF(OR(F_Custom2_Q="(None)",F_Custom2_Q="",ISBLANK(F_Custom2_Q),F_Custom2_V="(All)",F_Custom2_V="",ISBLANK(F_Custom2_V)),1,IFERROR(IF(ISNUMBER(SEARCH("|"&amp;INDEX(INDIRECT(F_Custom2_resolved_column),2791)&amp;"|",F_Custom2_wrapped)),1,0),0))</f>
        <v>1</v>
      </c>
      <c r="F2792">
        <f>D2792*E2792*1</f>
        <v>1</v>
      </c>
      <c r="G2792">
        <f>1</f>
        <v>1</v>
      </c>
      <c r="H27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2791)&amp;"|",All_Questions_Q_STREAM_F_wrapped)),1,0),0))*1</f>
        <v>1</v>
      </c>
    </row>
    <row r="2793">
      <c r="A2793" t="n">
        <v>2792</v>
      </c>
      <c r="B2793" t="inlineStr">
        <is>
          <t>B</t>
        </is>
      </c>
      <c r="C2793">
        <f>1</f>
        <v>1</v>
      </c>
      <c r="D2793">
        <f>IF(OR(F_Custom1_Q="(None)",F_Custom1_Q="",ISBLANK(F_Custom1_Q),F_Custom1_V="(All)",F_Custom1_V="",ISBLANK(F_Custom1_V)),1,IFERROR(IF(ISNUMBER(SEARCH("|"&amp;INDEX(INDIRECT(F_Custom1_resolved_column),2792)&amp;"|",F_Custom1_wrapped)),1,0),0))</f>
        <v>1</v>
      </c>
      <c r="E2793">
        <f>IF(OR(F_Custom2_Q="(None)",F_Custom2_Q="",ISBLANK(F_Custom2_Q),F_Custom2_V="(All)",F_Custom2_V="",ISBLANK(F_Custom2_V)),1,IFERROR(IF(ISNUMBER(SEARCH("|"&amp;INDEX(INDIRECT(F_Custom2_resolved_column),2792)&amp;"|",F_Custom2_wrapped)),1,0),0))</f>
        <v>1</v>
      </c>
      <c r="F2793">
        <f>D2793*E2793*1</f>
        <v>1</v>
      </c>
      <c r="G2793">
        <f>1</f>
        <v>1</v>
      </c>
      <c r="H27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2792)&amp;"|",All_Questions_Q_STREAM_F_wrapped)),1,0),0))*1</f>
        <v>1</v>
      </c>
    </row>
    <row r="2794">
      <c r="A2794" t="n">
        <v>2793</v>
      </c>
      <c r="B2794" t="inlineStr">
        <is>
          <t>A</t>
        </is>
      </c>
      <c r="C2794">
        <f>1</f>
        <v>1</v>
      </c>
      <c r="D2794">
        <f>IF(OR(F_Custom1_Q="(None)",F_Custom1_Q="",ISBLANK(F_Custom1_Q),F_Custom1_V="(All)",F_Custom1_V="",ISBLANK(F_Custom1_V)),1,IFERROR(IF(ISNUMBER(SEARCH("|"&amp;INDEX(INDIRECT(F_Custom1_resolved_column),2793)&amp;"|",F_Custom1_wrapped)),1,0),0))</f>
        <v>1</v>
      </c>
      <c r="E2794">
        <f>IF(OR(F_Custom2_Q="(None)",F_Custom2_Q="",ISBLANK(F_Custom2_Q),F_Custom2_V="(All)",F_Custom2_V="",ISBLANK(F_Custom2_V)),1,IFERROR(IF(ISNUMBER(SEARCH("|"&amp;INDEX(INDIRECT(F_Custom2_resolved_column),2793)&amp;"|",F_Custom2_wrapped)),1,0),0))</f>
        <v>1</v>
      </c>
      <c r="F2794">
        <f>D2794*E2794*1</f>
        <v>1</v>
      </c>
      <c r="G2794">
        <f>1</f>
        <v>1</v>
      </c>
      <c r="H27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2793)&amp;"|",All_Questions_Q_STREAM_F_wrapped)),1,0),0))*1</f>
        <v>1</v>
      </c>
    </row>
    <row r="2795">
      <c r="A2795" t="n">
        <v>2794</v>
      </c>
      <c r="B2795" t="inlineStr">
        <is>
          <t>B</t>
        </is>
      </c>
      <c r="C2795">
        <f>1</f>
        <v>1</v>
      </c>
      <c r="D2795">
        <f>IF(OR(F_Custom1_Q="(None)",F_Custom1_Q="",ISBLANK(F_Custom1_Q),F_Custom1_V="(All)",F_Custom1_V="",ISBLANK(F_Custom1_V)),1,IFERROR(IF(ISNUMBER(SEARCH("|"&amp;INDEX(INDIRECT(F_Custom1_resolved_column),2794)&amp;"|",F_Custom1_wrapped)),1,0),0))</f>
        <v>1</v>
      </c>
      <c r="E2795">
        <f>IF(OR(F_Custom2_Q="(None)",F_Custom2_Q="",ISBLANK(F_Custom2_Q),F_Custom2_V="(All)",F_Custom2_V="",ISBLANK(F_Custom2_V)),1,IFERROR(IF(ISNUMBER(SEARCH("|"&amp;INDEX(INDIRECT(F_Custom2_resolved_column),2794)&amp;"|",F_Custom2_wrapped)),1,0),0))</f>
        <v>1</v>
      </c>
      <c r="F2795">
        <f>D2795*E2795*1</f>
        <v>1</v>
      </c>
      <c r="G2795">
        <f>1</f>
        <v>1</v>
      </c>
      <c r="H27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2794)&amp;"|",All_Questions_Q_STREAM_F_wrapped)),1,0),0))*1</f>
        <v>1</v>
      </c>
    </row>
    <row r="2796">
      <c r="A2796" t="n">
        <v>2795</v>
      </c>
      <c r="B2796" t="inlineStr">
        <is>
          <t>A</t>
        </is>
      </c>
      <c r="C2796">
        <f>1</f>
        <v>1</v>
      </c>
      <c r="D2796">
        <f>IF(OR(F_Custom1_Q="(None)",F_Custom1_Q="",ISBLANK(F_Custom1_Q),F_Custom1_V="(All)",F_Custom1_V="",ISBLANK(F_Custom1_V)),1,IFERROR(IF(ISNUMBER(SEARCH("|"&amp;INDEX(INDIRECT(F_Custom1_resolved_column),2795)&amp;"|",F_Custom1_wrapped)),1,0),0))</f>
        <v>1</v>
      </c>
      <c r="E2796">
        <f>IF(OR(F_Custom2_Q="(None)",F_Custom2_Q="",ISBLANK(F_Custom2_Q),F_Custom2_V="(All)",F_Custom2_V="",ISBLANK(F_Custom2_V)),1,IFERROR(IF(ISNUMBER(SEARCH("|"&amp;INDEX(INDIRECT(F_Custom2_resolved_column),2795)&amp;"|",F_Custom2_wrapped)),1,0),0))</f>
        <v>1</v>
      </c>
      <c r="F2796">
        <f>D2796*E2796*1</f>
        <v>1</v>
      </c>
      <c r="G2796">
        <f>1</f>
        <v>1</v>
      </c>
      <c r="H27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2795)&amp;"|",All_Questions_Q_STREAM_F_wrapped)),1,0),0))*1</f>
        <v>1</v>
      </c>
    </row>
    <row r="2797">
      <c r="A2797" t="n">
        <v>2796</v>
      </c>
      <c r="B2797" t="inlineStr">
        <is>
          <t>B</t>
        </is>
      </c>
      <c r="C2797">
        <f>1</f>
        <v>1</v>
      </c>
      <c r="D2797">
        <f>IF(OR(F_Custom1_Q="(None)",F_Custom1_Q="",ISBLANK(F_Custom1_Q),F_Custom1_V="(All)",F_Custom1_V="",ISBLANK(F_Custom1_V)),1,IFERROR(IF(ISNUMBER(SEARCH("|"&amp;INDEX(INDIRECT(F_Custom1_resolved_column),2796)&amp;"|",F_Custom1_wrapped)),1,0),0))</f>
        <v>1</v>
      </c>
      <c r="E2797">
        <f>IF(OR(F_Custom2_Q="(None)",F_Custom2_Q="",ISBLANK(F_Custom2_Q),F_Custom2_V="(All)",F_Custom2_V="",ISBLANK(F_Custom2_V)),1,IFERROR(IF(ISNUMBER(SEARCH("|"&amp;INDEX(INDIRECT(F_Custom2_resolved_column),2796)&amp;"|",F_Custom2_wrapped)),1,0),0))</f>
        <v>1</v>
      </c>
      <c r="F2797">
        <f>D2797*E2797*1</f>
        <v>1</v>
      </c>
      <c r="G2797">
        <f>1</f>
        <v>1</v>
      </c>
      <c r="H27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2796)&amp;"|",All_Questions_Q_STREAM_F_wrapped)),1,0),0))*1</f>
        <v>1</v>
      </c>
    </row>
    <row r="2798">
      <c r="A2798" t="n">
        <v>2797</v>
      </c>
      <c r="B2798" t="inlineStr">
        <is>
          <t>A</t>
        </is>
      </c>
      <c r="C2798">
        <f>1</f>
        <v>1</v>
      </c>
      <c r="D2798">
        <f>IF(OR(F_Custom1_Q="(None)",F_Custom1_Q="",ISBLANK(F_Custom1_Q),F_Custom1_V="(All)",F_Custom1_V="",ISBLANK(F_Custom1_V)),1,IFERROR(IF(ISNUMBER(SEARCH("|"&amp;INDEX(INDIRECT(F_Custom1_resolved_column),2797)&amp;"|",F_Custom1_wrapped)),1,0),0))</f>
        <v>1</v>
      </c>
      <c r="E2798">
        <f>IF(OR(F_Custom2_Q="(None)",F_Custom2_Q="",ISBLANK(F_Custom2_Q),F_Custom2_V="(All)",F_Custom2_V="",ISBLANK(F_Custom2_V)),1,IFERROR(IF(ISNUMBER(SEARCH("|"&amp;INDEX(INDIRECT(F_Custom2_resolved_column),2797)&amp;"|",F_Custom2_wrapped)),1,0),0))</f>
        <v>1</v>
      </c>
      <c r="F2798">
        <f>D2798*E2798*1</f>
        <v>1</v>
      </c>
      <c r="G2798">
        <f>1</f>
        <v>1</v>
      </c>
      <c r="H27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2797)&amp;"|",All_Questions_Q_STREAM_F_wrapped)),1,0),0))*1</f>
        <v>1</v>
      </c>
    </row>
    <row r="2799">
      <c r="A2799" t="n">
        <v>2798</v>
      </c>
      <c r="B2799" t="inlineStr">
        <is>
          <t>B</t>
        </is>
      </c>
      <c r="C2799">
        <f>1</f>
        <v>1</v>
      </c>
      <c r="D2799">
        <f>IF(OR(F_Custom1_Q="(None)",F_Custom1_Q="",ISBLANK(F_Custom1_Q),F_Custom1_V="(All)",F_Custom1_V="",ISBLANK(F_Custom1_V)),1,IFERROR(IF(ISNUMBER(SEARCH("|"&amp;INDEX(INDIRECT(F_Custom1_resolved_column),2798)&amp;"|",F_Custom1_wrapped)),1,0),0))</f>
        <v>1</v>
      </c>
      <c r="E2799">
        <f>IF(OR(F_Custom2_Q="(None)",F_Custom2_Q="",ISBLANK(F_Custom2_Q),F_Custom2_V="(All)",F_Custom2_V="",ISBLANK(F_Custom2_V)),1,IFERROR(IF(ISNUMBER(SEARCH("|"&amp;INDEX(INDIRECT(F_Custom2_resolved_column),2798)&amp;"|",F_Custom2_wrapped)),1,0),0))</f>
        <v>1</v>
      </c>
      <c r="F2799">
        <f>D2799*E2799*1</f>
        <v>1</v>
      </c>
      <c r="G2799">
        <f>1</f>
        <v>1</v>
      </c>
      <c r="H27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2798)&amp;"|",All_Questions_Q_STREAM_F_wrapped)),1,0),0))*1</f>
        <v>1</v>
      </c>
    </row>
    <row r="2800">
      <c r="A2800" t="n">
        <v>2799</v>
      </c>
      <c r="B2800" t="inlineStr">
        <is>
          <t>A</t>
        </is>
      </c>
      <c r="C2800">
        <f>1</f>
        <v>1</v>
      </c>
      <c r="D2800">
        <f>IF(OR(F_Custom1_Q="(None)",F_Custom1_Q="",ISBLANK(F_Custom1_Q),F_Custom1_V="(All)",F_Custom1_V="",ISBLANK(F_Custom1_V)),1,IFERROR(IF(ISNUMBER(SEARCH("|"&amp;INDEX(INDIRECT(F_Custom1_resolved_column),2799)&amp;"|",F_Custom1_wrapped)),1,0),0))</f>
        <v>1</v>
      </c>
      <c r="E2800">
        <f>IF(OR(F_Custom2_Q="(None)",F_Custom2_Q="",ISBLANK(F_Custom2_Q),F_Custom2_V="(All)",F_Custom2_V="",ISBLANK(F_Custom2_V)),1,IFERROR(IF(ISNUMBER(SEARCH("|"&amp;INDEX(INDIRECT(F_Custom2_resolved_column),2799)&amp;"|",F_Custom2_wrapped)),1,0),0))</f>
        <v>1</v>
      </c>
      <c r="F2800">
        <f>D2800*E2800*1</f>
        <v>1</v>
      </c>
      <c r="G2800">
        <f>1</f>
        <v>1</v>
      </c>
      <c r="H28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2799)&amp;"|",All_Questions_Q_STREAM_F_wrapped)),1,0),0))*1</f>
        <v>1</v>
      </c>
    </row>
    <row r="2801">
      <c r="A2801" t="n">
        <v>2800</v>
      </c>
      <c r="B2801" t="inlineStr">
        <is>
          <t>B</t>
        </is>
      </c>
      <c r="C2801">
        <f>1</f>
        <v>1</v>
      </c>
      <c r="D2801">
        <f>IF(OR(F_Custom1_Q="(None)",F_Custom1_Q="",ISBLANK(F_Custom1_Q),F_Custom1_V="(All)",F_Custom1_V="",ISBLANK(F_Custom1_V)),1,IFERROR(IF(ISNUMBER(SEARCH("|"&amp;INDEX(INDIRECT(F_Custom1_resolved_column),2800)&amp;"|",F_Custom1_wrapped)),1,0),0))</f>
        <v>1</v>
      </c>
      <c r="E2801">
        <f>IF(OR(F_Custom2_Q="(None)",F_Custom2_Q="",ISBLANK(F_Custom2_Q),F_Custom2_V="(All)",F_Custom2_V="",ISBLANK(F_Custom2_V)),1,IFERROR(IF(ISNUMBER(SEARCH("|"&amp;INDEX(INDIRECT(F_Custom2_resolved_column),2800)&amp;"|",F_Custom2_wrapped)),1,0),0))</f>
        <v>1</v>
      </c>
      <c r="F2801">
        <f>D2801*E2801*1</f>
        <v>1</v>
      </c>
      <c r="G2801">
        <f>1</f>
        <v>1</v>
      </c>
      <c r="H28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2800)&amp;"|",All_Questions_Q_STREAM_F_wrapped)),1,0),0))*1</f>
        <v>1</v>
      </c>
    </row>
    <row r="2802">
      <c r="A2802" t="n">
        <v>2801</v>
      </c>
      <c r="B2802" t="inlineStr">
        <is>
          <t>A</t>
        </is>
      </c>
      <c r="C2802">
        <f>1</f>
        <v>1</v>
      </c>
      <c r="D2802">
        <f>IF(OR(F_Custom1_Q="(None)",F_Custom1_Q="",ISBLANK(F_Custom1_Q),F_Custom1_V="(All)",F_Custom1_V="",ISBLANK(F_Custom1_V)),1,IFERROR(IF(ISNUMBER(SEARCH("|"&amp;INDEX(INDIRECT(F_Custom1_resolved_column),2801)&amp;"|",F_Custom1_wrapped)),1,0),0))</f>
        <v>1</v>
      </c>
      <c r="E2802">
        <f>IF(OR(F_Custom2_Q="(None)",F_Custom2_Q="",ISBLANK(F_Custom2_Q),F_Custom2_V="(All)",F_Custom2_V="",ISBLANK(F_Custom2_V)),1,IFERROR(IF(ISNUMBER(SEARCH("|"&amp;INDEX(INDIRECT(F_Custom2_resolved_column),2801)&amp;"|",F_Custom2_wrapped)),1,0),0))</f>
        <v>1</v>
      </c>
      <c r="F2802">
        <f>D2802*E2802*1</f>
        <v>1</v>
      </c>
      <c r="G2802">
        <f>1</f>
        <v>1</v>
      </c>
      <c r="H28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2801)&amp;"|",All_Questions_Q_STREAM_F_wrapped)),1,0),0))*1</f>
        <v>1</v>
      </c>
    </row>
    <row r="2803">
      <c r="A2803" t="n">
        <v>2802</v>
      </c>
      <c r="B2803" t="inlineStr">
        <is>
          <t>B</t>
        </is>
      </c>
      <c r="C2803">
        <f>1</f>
        <v>1</v>
      </c>
      <c r="D2803">
        <f>IF(OR(F_Custom1_Q="(None)",F_Custom1_Q="",ISBLANK(F_Custom1_Q),F_Custom1_V="(All)",F_Custom1_V="",ISBLANK(F_Custom1_V)),1,IFERROR(IF(ISNUMBER(SEARCH("|"&amp;INDEX(INDIRECT(F_Custom1_resolved_column),2802)&amp;"|",F_Custom1_wrapped)),1,0),0))</f>
        <v>1</v>
      </c>
      <c r="E2803">
        <f>IF(OR(F_Custom2_Q="(None)",F_Custom2_Q="",ISBLANK(F_Custom2_Q),F_Custom2_V="(All)",F_Custom2_V="",ISBLANK(F_Custom2_V)),1,IFERROR(IF(ISNUMBER(SEARCH("|"&amp;INDEX(INDIRECT(F_Custom2_resolved_column),2802)&amp;"|",F_Custom2_wrapped)),1,0),0))</f>
        <v>1</v>
      </c>
      <c r="F2803">
        <f>D2803*E2803*1</f>
        <v>1</v>
      </c>
      <c r="G2803">
        <f>1</f>
        <v>1</v>
      </c>
      <c r="H28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2802)&amp;"|",All_Questions_Q_STREAM_F_wrapped)),1,0),0))*1</f>
        <v>1</v>
      </c>
    </row>
    <row r="2804">
      <c r="A2804" t="n">
        <v>2803</v>
      </c>
      <c r="B2804" t="inlineStr">
        <is>
          <t>A</t>
        </is>
      </c>
      <c r="C2804">
        <f>1</f>
        <v>1</v>
      </c>
      <c r="D2804">
        <f>IF(OR(F_Custom1_Q="(None)",F_Custom1_Q="",ISBLANK(F_Custom1_Q),F_Custom1_V="(All)",F_Custom1_V="",ISBLANK(F_Custom1_V)),1,IFERROR(IF(ISNUMBER(SEARCH("|"&amp;INDEX(INDIRECT(F_Custom1_resolved_column),2803)&amp;"|",F_Custom1_wrapped)),1,0),0))</f>
        <v>1</v>
      </c>
      <c r="E2804">
        <f>IF(OR(F_Custom2_Q="(None)",F_Custom2_Q="",ISBLANK(F_Custom2_Q),F_Custom2_V="(All)",F_Custom2_V="",ISBLANK(F_Custom2_V)),1,IFERROR(IF(ISNUMBER(SEARCH("|"&amp;INDEX(INDIRECT(F_Custom2_resolved_column),2803)&amp;"|",F_Custom2_wrapped)),1,0),0))</f>
        <v>1</v>
      </c>
      <c r="F2804">
        <f>D2804*E2804*1</f>
        <v>1</v>
      </c>
      <c r="G2804">
        <f>1</f>
        <v>1</v>
      </c>
      <c r="H28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2803)&amp;"|",All_Questions_Q_STREAM_F_wrapped)),1,0),0))*1</f>
        <v>1</v>
      </c>
    </row>
    <row r="2805">
      <c r="A2805" t="n">
        <v>2804</v>
      </c>
      <c r="B2805" t="inlineStr">
        <is>
          <t>B</t>
        </is>
      </c>
      <c r="C2805">
        <f>1</f>
        <v>1</v>
      </c>
      <c r="D2805">
        <f>IF(OR(F_Custom1_Q="(None)",F_Custom1_Q="",ISBLANK(F_Custom1_Q),F_Custom1_V="(All)",F_Custom1_V="",ISBLANK(F_Custom1_V)),1,IFERROR(IF(ISNUMBER(SEARCH("|"&amp;INDEX(INDIRECT(F_Custom1_resolved_column),2804)&amp;"|",F_Custom1_wrapped)),1,0),0))</f>
        <v>1</v>
      </c>
      <c r="E2805">
        <f>IF(OR(F_Custom2_Q="(None)",F_Custom2_Q="",ISBLANK(F_Custom2_Q),F_Custom2_V="(All)",F_Custom2_V="",ISBLANK(F_Custom2_V)),1,IFERROR(IF(ISNUMBER(SEARCH("|"&amp;INDEX(INDIRECT(F_Custom2_resolved_column),2804)&amp;"|",F_Custom2_wrapped)),1,0),0))</f>
        <v>1</v>
      </c>
      <c r="F2805">
        <f>D2805*E2805*1</f>
        <v>1</v>
      </c>
      <c r="G2805">
        <f>1</f>
        <v>1</v>
      </c>
      <c r="H28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2804)&amp;"|",All_Questions_Q_STREAM_F_wrapped)),1,0),0))*1</f>
        <v>1</v>
      </c>
    </row>
    <row r="2806">
      <c r="A2806" t="n">
        <v>2805</v>
      </c>
      <c r="B2806" t="inlineStr">
        <is>
          <t>A</t>
        </is>
      </c>
      <c r="C2806">
        <f>1</f>
        <v>1</v>
      </c>
      <c r="D2806">
        <f>IF(OR(F_Custom1_Q="(None)",F_Custom1_Q="",ISBLANK(F_Custom1_Q),F_Custom1_V="(All)",F_Custom1_V="",ISBLANK(F_Custom1_V)),1,IFERROR(IF(ISNUMBER(SEARCH("|"&amp;INDEX(INDIRECT(F_Custom1_resolved_column),2805)&amp;"|",F_Custom1_wrapped)),1,0),0))</f>
        <v>1</v>
      </c>
      <c r="E2806">
        <f>IF(OR(F_Custom2_Q="(None)",F_Custom2_Q="",ISBLANK(F_Custom2_Q),F_Custom2_V="(All)",F_Custom2_V="",ISBLANK(F_Custom2_V)),1,IFERROR(IF(ISNUMBER(SEARCH("|"&amp;INDEX(INDIRECT(F_Custom2_resolved_column),2805)&amp;"|",F_Custom2_wrapped)),1,0),0))</f>
        <v>1</v>
      </c>
      <c r="F2806">
        <f>D2806*E2806*1</f>
        <v>1</v>
      </c>
      <c r="G2806">
        <f>1</f>
        <v>1</v>
      </c>
      <c r="H28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2805)&amp;"|",All_Questions_Q_STREAM_F_wrapped)),1,0),0))*1</f>
        <v>1</v>
      </c>
    </row>
    <row r="2807">
      <c r="A2807" t="n">
        <v>2806</v>
      </c>
      <c r="B2807" t="inlineStr">
        <is>
          <t>B</t>
        </is>
      </c>
      <c r="C2807">
        <f>1</f>
        <v>1</v>
      </c>
      <c r="D2807">
        <f>IF(OR(F_Custom1_Q="(None)",F_Custom1_Q="",ISBLANK(F_Custom1_Q),F_Custom1_V="(All)",F_Custom1_V="",ISBLANK(F_Custom1_V)),1,IFERROR(IF(ISNUMBER(SEARCH("|"&amp;INDEX(INDIRECT(F_Custom1_resolved_column),2806)&amp;"|",F_Custom1_wrapped)),1,0),0))</f>
        <v>1</v>
      </c>
      <c r="E2807">
        <f>IF(OR(F_Custom2_Q="(None)",F_Custom2_Q="",ISBLANK(F_Custom2_Q),F_Custom2_V="(All)",F_Custom2_V="",ISBLANK(F_Custom2_V)),1,IFERROR(IF(ISNUMBER(SEARCH("|"&amp;INDEX(INDIRECT(F_Custom2_resolved_column),2806)&amp;"|",F_Custom2_wrapped)),1,0),0))</f>
        <v>1</v>
      </c>
      <c r="F2807">
        <f>D2807*E2807*1</f>
        <v>1</v>
      </c>
      <c r="G2807">
        <f>1</f>
        <v>1</v>
      </c>
      <c r="H28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2806)&amp;"|",All_Questions_Q_STREAM_F_wrapped)),1,0),0))*1</f>
        <v>1</v>
      </c>
    </row>
    <row r="2808">
      <c r="A2808" t="n">
        <v>2807</v>
      </c>
      <c r="B2808" t="inlineStr">
        <is>
          <t>A</t>
        </is>
      </c>
      <c r="C2808">
        <f>1</f>
        <v>1</v>
      </c>
      <c r="D2808">
        <f>IF(OR(F_Custom1_Q="(None)",F_Custom1_Q="",ISBLANK(F_Custom1_Q),F_Custom1_V="(All)",F_Custom1_V="",ISBLANK(F_Custom1_V)),1,IFERROR(IF(ISNUMBER(SEARCH("|"&amp;INDEX(INDIRECT(F_Custom1_resolved_column),2807)&amp;"|",F_Custom1_wrapped)),1,0),0))</f>
        <v>1</v>
      </c>
      <c r="E2808">
        <f>IF(OR(F_Custom2_Q="(None)",F_Custom2_Q="",ISBLANK(F_Custom2_Q),F_Custom2_V="(All)",F_Custom2_V="",ISBLANK(F_Custom2_V)),1,IFERROR(IF(ISNUMBER(SEARCH("|"&amp;INDEX(INDIRECT(F_Custom2_resolved_column),2807)&amp;"|",F_Custom2_wrapped)),1,0),0))</f>
        <v>1</v>
      </c>
      <c r="F2808">
        <f>D2808*E2808*1</f>
        <v>1</v>
      </c>
      <c r="G2808">
        <f>1</f>
        <v>1</v>
      </c>
      <c r="H28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2807)&amp;"|",All_Questions_Q_STREAM_F_wrapped)),1,0),0))*1</f>
        <v>1</v>
      </c>
    </row>
    <row r="2809">
      <c r="A2809" t="n">
        <v>2808</v>
      </c>
      <c r="B2809" t="inlineStr">
        <is>
          <t>B</t>
        </is>
      </c>
      <c r="C2809">
        <f>1</f>
        <v>1</v>
      </c>
      <c r="D2809">
        <f>IF(OR(F_Custom1_Q="(None)",F_Custom1_Q="",ISBLANK(F_Custom1_Q),F_Custom1_V="(All)",F_Custom1_V="",ISBLANK(F_Custom1_V)),1,IFERROR(IF(ISNUMBER(SEARCH("|"&amp;INDEX(INDIRECT(F_Custom1_resolved_column),2808)&amp;"|",F_Custom1_wrapped)),1,0),0))</f>
        <v>1</v>
      </c>
      <c r="E2809">
        <f>IF(OR(F_Custom2_Q="(None)",F_Custom2_Q="",ISBLANK(F_Custom2_Q),F_Custom2_V="(All)",F_Custom2_V="",ISBLANK(F_Custom2_V)),1,IFERROR(IF(ISNUMBER(SEARCH("|"&amp;INDEX(INDIRECT(F_Custom2_resolved_column),2808)&amp;"|",F_Custom2_wrapped)),1,0),0))</f>
        <v>1</v>
      </c>
      <c r="F2809">
        <f>D2809*E2809*1</f>
        <v>1</v>
      </c>
      <c r="G2809">
        <f>1</f>
        <v>1</v>
      </c>
      <c r="H28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2808)&amp;"|",All_Questions_Q_STREAM_F_wrapped)),1,0),0))*1</f>
        <v>1</v>
      </c>
    </row>
    <row r="2810">
      <c r="A2810" t="n">
        <v>2809</v>
      </c>
      <c r="B2810" t="inlineStr">
        <is>
          <t>A</t>
        </is>
      </c>
      <c r="C2810">
        <f>1</f>
        <v>1</v>
      </c>
      <c r="D2810">
        <f>IF(OR(F_Custom1_Q="(None)",F_Custom1_Q="",ISBLANK(F_Custom1_Q),F_Custom1_V="(All)",F_Custom1_V="",ISBLANK(F_Custom1_V)),1,IFERROR(IF(ISNUMBER(SEARCH("|"&amp;INDEX(INDIRECT(F_Custom1_resolved_column),2809)&amp;"|",F_Custom1_wrapped)),1,0),0))</f>
        <v>1</v>
      </c>
      <c r="E2810">
        <f>IF(OR(F_Custom2_Q="(None)",F_Custom2_Q="",ISBLANK(F_Custom2_Q),F_Custom2_V="(All)",F_Custom2_V="",ISBLANK(F_Custom2_V)),1,IFERROR(IF(ISNUMBER(SEARCH("|"&amp;INDEX(INDIRECT(F_Custom2_resolved_column),2809)&amp;"|",F_Custom2_wrapped)),1,0),0))</f>
        <v>1</v>
      </c>
      <c r="F2810">
        <f>D2810*E2810*1</f>
        <v>1</v>
      </c>
      <c r="G2810">
        <f>1</f>
        <v>1</v>
      </c>
      <c r="H28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2809)&amp;"|",All_Questions_Q_STREAM_F_wrapped)),1,0),0))*1</f>
        <v>1</v>
      </c>
    </row>
    <row r="2811">
      <c r="A2811" t="n">
        <v>2810</v>
      </c>
      <c r="B2811" t="inlineStr">
        <is>
          <t>B</t>
        </is>
      </c>
      <c r="C2811">
        <f>1</f>
        <v>1</v>
      </c>
      <c r="D2811">
        <f>IF(OR(F_Custom1_Q="(None)",F_Custom1_Q="",ISBLANK(F_Custom1_Q),F_Custom1_V="(All)",F_Custom1_V="",ISBLANK(F_Custom1_V)),1,IFERROR(IF(ISNUMBER(SEARCH("|"&amp;INDEX(INDIRECT(F_Custom1_resolved_column),2810)&amp;"|",F_Custom1_wrapped)),1,0),0))</f>
        <v>1</v>
      </c>
      <c r="E2811">
        <f>IF(OR(F_Custom2_Q="(None)",F_Custom2_Q="",ISBLANK(F_Custom2_Q),F_Custom2_V="(All)",F_Custom2_V="",ISBLANK(F_Custom2_V)),1,IFERROR(IF(ISNUMBER(SEARCH("|"&amp;INDEX(INDIRECT(F_Custom2_resolved_column),2810)&amp;"|",F_Custom2_wrapped)),1,0),0))</f>
        <v>1</v>
      </c>
      <c r="F2811">
        <f>D2811*E2811*1</f>
        <v>1</v>
      </c>
      <c r="G2811">
        <f>1</f>
        <v>1</v>
      </c>
      <c r="H28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2810)&amp;"|",All_Questions_Q_STREAM_F_wrapped)),1,0),0))*1</f>
        <v>1</v>
      </c>
    </row>
    <row r="2812">
      <c r="A2812" t="n">
        <v>2811</v>
      </c>
      <c r="B2812" t="inlineStr">
        <is>
          <t>A</t>
        </is>
      </c>
      <c r="C2812">
        <f>1</f>
        <v>1</v>
      </c>
      <c r="D2812">
        <f>IF(OR(F_Custom1_Q="(None)",F_Custom1_Q="",ISBLANK(F_Custom1_Q),F_Custom1_V="(All)",F_Custom1_V="",ISBLANK(F_Custom1_V)),1,IFERROR(IF(ISNUMBER(SEARCH("|"&amp;INDEX(INDIRECT(F_Custom1_resolved_column),2811)&amp;"|",F_Custom1_wrapped)),1,0),0))</f>
        <v>1</v>
      </c>
      <c r="E2812">
        <f>IF(OR(F_Custom2_Q="(None)",F_Custom2_Q="",ISBLANK(F_Custom2_Q),F_Custom2_V="(All)",F_Custom2_V="",ISBLANK(F_Custom2_V)),1,IFERROR(IF(ISNUMBER(SEARCH("|"&amp;INDEX(INDIRECT(F_Custom2_resolved_column),2811)&amp;"|",F_Custom2_wrapped)),1,0),0))</f>
        <v>1</v>
      </c>
      <c r="F2812">
        <f>D2812*E2812*1</f>
        <v>1</v>
      </c>
      <c r="G2812">
        <f>1</f>
        <v>1</v>
      </c>
      <c r="H28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2811)&amp;"|",All_Questions_Q_STREAM_F_wrapped)),1,0),0))*1</f>
        <v>1</v>
      </c>
    </row>
    <row r="2813">
      <c r="A2813" t="n">
        <v>2812</v>
      </c>
      <c r="B2813" t="inlineStr">
        <is>
          <t>B</t>
        </is>
      </c>
      <c r="C2813">
        <f>1</f>
        <v>1</v>
      </c>
      <c r="D2813">
        <f>IF(OR(F_Custom1_Q="(None)",F_Custom1_Q="",ISBLANK(F_Custom1_Q),F_Custom1_V="(All)",F_Custom1_V="",ISBLANK(F_Custom1_V)),1,IFERROR(IF(ISNUMBER(SEARCH("|"&amp;INDEX(INDIRECT(F_Custom1_resolved_column),2812)&amp;"|",F_Custom1_wrapped)),1,0),0))</f>
        <v>1</v>
      </c>
      <c r="E2813">
        <f>IF(OR(F_Custom2_Q="(None)",F_Custom2_Q="",ISBLANK(F_Custom2_Q),F_Custom2_V="(All)",F_Custom2_V="",ISBLANK(F_Custom2_V)),1,IFERROR(IF(ISNUMBER(SEARCH("|"&amp;INDEX(INDIRECT(F_Custom2_resolved_column),2812)&amp;"|",F_Custom2_wrapped)),1,0),0))</f>
        <v>1</v>
      </c>
      <c r="F2813">
        <f>D2813*E2813*1</f>
        <v>1</v>
      </c>
      <c r="G2813">
        <f>1</f>
        <v>1</v>
      </c>
      <c r="H28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2812)&amp;"|",All_Questions_Q_STREAM_F_wrapped)),1,0),0))*1</f>
        <v>1</v>
      </c>
    </row>
    <row r="2814">
      <c r="A2814" t="n">
        <v>2813</v>
      </c>
      <c r="B2814" t="inlineStr">
        <is>
          <t>A</t>
        </is>
      </c>
      <c r="C2814">
        <f>1</f>
        <v>1</v>
      </c>
      <c r="D2814">
        <f>IF(OR(F_Custom1_Q="(None)",F_Custom1_Q="",ISBLANK(F_Custom1_Q),F_Custom1_V="(All)",F_Custom1_V="",ISBLANK(F_Custom1_V)),1,IFERROR(IF(ISNUMBER(SEARCH("|"&amp;INDEX(INDIRECT(F_Custom1_resolved_column),2813)&amp;"|",F_Custom1_wrapped)),1,0),0))</f>
        <v>1</v>
      </c>
      <c r="E2814">
        <f>IF(OR(F_Custom2_Q="(None)",F_Custom2_Q="",ISBLANK(F_Custom2_Q),F_Custom2_V="(All)",F_Custom2_V="",ISBLANK(F_Custom2_V)),1,IFERROR(IF(ISNUMBER(SEARCH("|"&amp;INDEX(INDIRECT(F_Custom2_resolved_column),2813)&amp;"|",F_Custom2_wrapped)),1,0),0))</f>
        <v>1</v>
      </c>
      <c r="F2814">
        <f>D2814*E2814*1</f>
        <v>1</v>
      </c>
      <c r="G2814">
        <f>1</f>
        <v>1</v>
      </c>
      <c r="H28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2813)&amp;"|",All_Questions_Q_STREAM_F_wrapped)),1,0),0))*1</f>
        <v>1</v>
      </c>
    </row>
    <row r="2815">
      <c r="A2815" t="n">
        <v>2814</v>
      </c>
      <c r="B2815" t="inlineStr">
        <is>
          <t>B</t>
        </is>
      </c>
      <c r="C2815">
        <f>1</f>
        <v>1</v>
      </c>
      <c r="D2815">
        <f>IF(OR(F_Custom1_Q="(None)",F_Custom1_Q="",ISBLANK(F_Custom1_Q),F_Custom1_V="(All)",F_Custom1_V="",ISBLANK(F_Custom1_V)),1,IFERROR(IF(ISNUMBER(SEARCH("|"&amp;INDEX(INDIRECT(F_Custom1_resolved_column),2814)&amp;"|",F_Custom1_wrapped)),1,0),0))</f>
        <v>1</v>
      </c>
      <c r="E2815">
        <f>IF(OR(F_Custom2_Q="(None)",F_Custom2_Q="",ISBLANK(F_Custom2_Q),F_Custom2_V="(All)",F_Custom2_V="",ISBLANK(F_Custom2_V)),1,IFERROR(IF(ISNUMBER(SEARCH("|"&amp;INDEX(INDIRECT(F_Custom2_resolved_column),2814)&amp;"|",F_Custom2_wrapped)),1,0),0))</f>
        <v>1</v>
      </c>
      <c r="F2815">
        <f>D2815*E2815*1</f>
        <v>1</v>
      </c>
      <c r="G2815">
        <f>1</f>
        <v>1</v>
      </c>
      <c r="H28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2814)&amp;"|",All_Questions_Q_STREAM_F_wrapped)),1,0),0))*1</f>
        <v>1</v>
      </c>
    </row>
    <row r="2816">
      <c r="A2816" t="n">
        <v>2815</v>
      </c>
      <c r="B2816" t="inlineStr">
        <is>
          <t>A</t>
        </is>
      </c>
      <c r="C2816">
        <f>1</f>
        <v>1</v>
      </c>
      <c r="D2816">
        <f>IF(OR(F_Custom1_Q="(None)",F_Custom1_Q="",ISBLANK(F_Custom1_Q),F_Custom1_V="(All)",F_Custom1_V="",ISBLANK(F_Custom1_V)),1,IFERROR(IF(ISNUMBER(SEARCH("|"&amp;INDEX(INDIRECT(F_Custom1_resolved_column),2815)&amp;"|",F_Custom1_wrapped)),1,0),0))</f>
        <v>1</v>
      </c>
      <c r="E2816">
        <f>IF(OR(F_Custom2_Q="(None)",F_Custom2_Q="",ISBLANK(F_Custom2_Q),F_Custom2_V="(All)",F_Custom2_V="",ISBLANK(F_Custom2_V)),1,IFERROR(IF(ISNUMBER(SEARCH("|"&amp;INDEX(INDIRECT(F_Custom2_resolved_column),2815)&amp;"|",F_Custom2_wrapped)),1,0),0))</f>
        <v>1</v>
      </c>
      <c r="F2816">
        <f>D2816*E2816*1</f>
        <v>1</v>
      </c>
      <c r="G2816">
        <f>1</f>
        <v>1</v>
      </c>
      <c r="H28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2815)&amp;"|",All_Questions_Q_STREAM_F_wrapped)),1,0),0))*1</f>
        <v>1</v>
      </c>
    </row>
    <row r="2817">
      <c r="A2817" t="n">
        <v>2816</v>
      </c>
      <c r="B2817" t="inlineStr">
        <is>
          <t>B</t>
        </is>
      </c>
      <c r="C2817">
        <f>1</f>
        <v>1</v>
      </c>
      <c r="D2817">
        <f>IF(OR(F_Custom1_Q="(None)",F_Custom1_Q="",ISBLANK(F_Custom1_Q),F_Custom1_V="(All)",F_Custom1_V="",ISBLANK(F_Custom1_V)),1,IFERROR(IF(ISNUMBER(SEARCH("|"&amp;INDEX(INDIRECT(F_Custom1_resolved_column),2816)&amp;"|",F_Custom1_wrapped)),1,0),0))</f>
        <v>1</v>
      </c>
      <c r="E2817">
        <f>IF(OR(F_Custom2_Q="(None)",F_Custom2_Q="",ISBLANK(F_Custom2_Q),F_Custom2_V="(All)",F_Custom2_V="",ISBLANK(F_Custom2_V)),1,IFERROR(IF(ISNUMBER(SEARCH("|"&amp;INDEX(INDIRECT(F_Custom2_resolved_column),2816)&amp;"|",F_Custom2_wrapped)),1,0),0))</f>
        <v>1</v>
      </c>
      <c r="F2817">
        <f>D2817*E2817*1</f>
        <v>1</v>
      </c>
      <c r="G2817">
        <f>1</f>
        <v>1</v>
      </c>
      <c r="H28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2816)&amp;"|",All_Questions_Q_STREAM_F_wrapped)),1,0),0))*1</f>
        <v>1</v>
      </c>
    </row>
    <row r="2818">
      <c r="A2818" t="n">
        <v>2817</v>
      </c>
      <c r="B2818" t="inlineStr">
        <is>
          <t>A</t>
        </is>
      </c>
      <c r="C2818">
        <f>1</f>
        <v>1</v>
      </c>
      <c r="D2818">
        <f>IF(OR(F_Custom1_Q="(None)",F_Custom1_Q="",ISBLANK(F_Custom1_Q),F_Custom1_V="(All)",F_Custom1_V="",ISBLANK(F_Custom1_V)),1,IFERROR(IF(ISNUMBER(SEARCH("|"&amp;INDEX(INDIRECT(F_Custom1_resolved_column),2817)&amp;"|",F_Custom1_wrapped)),1,0),0))</f>
        <v>1</v>
      </c>
      <c r="E2818">
        <f>IF(OR(F_Custom2_Q="(None)",F_Custom2_Q="",ISBLANK(F_Custom2_Q),F_Custom2_V="(All)",F_Custom2_V="",ISBLANK(F_Custom2_V)),1,IFERROR(IF(ISNUMBER(SEARCH("|"&amp;INDEX(INDIRECT(F_Custom2_resolved_column),2817)&amp;"|",F_Custom2_wrapped)),1,0),0))</f>
        <v>1</v>
      </c>
      <c r="F2818">
        <f>D2818*E2818*1</f>
        <v>1</v>
      </c>
      <c r="G2818">
        <f>1</f>
        <v>1</v>
      </c>
      <c r="H28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2817)&amp;"|",All_Questions_Q_STREAM_F_wrapped)),1,0),0))*1</f>
        <v>1</v>
      </c>
    </row>
    <row r="2819">
      <c r="A2819" t="n">
        <v>2818</v>
      </c>
      <c r="B2819" t="inlineStr">
        <is>
          <t>B</t>
        </is>
      </c>
      <c r="C2819">
        <f>1</f>
        <v>1</v>
      </c>
      <c r="D2819">
        <f>IF(OR(F_Custom1_Q="(None)",F_Custom1_Q="",ISBLANK(F_Custom1_Q),F_Custom1_V="(All)",F_Custom1_V="",ISBLANK(F_Custom1_V)),1,IFERROR(IF(ISNUMBER(SEARCH("|"&amp;INDEX(INDIRECT(F_Custom1_resolved_column),2818)&amp;"|",F_Custom1_wrapped)),1,0),0))</f>
        <v>1</v>
      </c>
      <c r="E2819">
        <f>IF(OR(F_Custom2_Q="(None)",F_Custom2_Q="",ISBLANK(F_Custom2_Q),F_Custom2_V="(All)",F_Custom2_V="",ISBLANK(F_Custom2_V)),1,IFERROR(IF(ISNUMBER(SEARCH("|"&amp;INDEX(INDIRECT(F_Custom2_resolved_column),2818)&amp;"|",F_Custom2_wrapped)),1,0),0))</f>
        <v>1</v>
      </c>
      <c r="F2819">
        <f>D2819*E2819*1</f>
        <v>1</v>
      </c>
      <c r="G2819">
        <f>1</f>
        <v>1</v>
      </c>
      <c r="H28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2818)&amp;"|",All_Questions_Q_STREAM_F_wrapped)),1,0),0))*1</f>
        <v>1</v>
      </c>
    </row>
    <row r="2820">
      <c r="A2820" t="n">
        <v>2819</v>
      </c>
      <c r="B2820" t="inlineStr">
        <is>
          <t>A</t>
        </is>
      </c>
      <c r="C2820">
        <f>1</f>
        <v>1</v>
      </c>
      <c r="D2820">
        <f>IF(OR(F_Custom1_Q="(None)",F_Custom1_Q="",ISBLANK(F_Custom1_Q),F_Custom1_V="(All)",F_Custom1_V="",ISBLANK(F_Custom1_V)),1,IFERROR(IF(ISNUMBER(SEARCH("|"&amp;INDEX(INDIRECT(F_Custom1_resolved_column),2819)&amp;"|",F_Custom1_wrapped)),1,0),0))</f>
        <v>1</v>
      </c>
      <c r="E2820">
        <f>IF(OR(F_Custom2_Q="(None)",F_Custom2_Q="",ISBLANK(F_Custom2_Q),F_Custom2_V="(All)",F_Custom2_V="",ISBLANK(F_Custom2_V)),1,IFERROR(IF(ISNUMBER(SEARCH("|"&amp;INDEX(INDIRECT(F_Custom2_resolved_column),2819)&amp;"|",F_Custom2_wrapped)),1,0),0))</f>
        <v>1</v>
      </c>
      <c r="F2820">
        <f>D2820*E2820*1</f>
        <v>1</v>
      </c>
      <c r="G2820">
        <f>1</f>
        <v>1</v>
      </c>
      <c r="H28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2819)&amp;"|",All_Questions_Q_STREAM_F_wrapped)),1,0),0))*1</f>
        <v>1</v>
      </c>
    </row>
    <row r="2821">
      <c r="A2821" t="n">
        <v>2820</v>
      </c>
      <c r="B2821" t="inlineStr">
        <is>
          <t>B</t>
        </is>
      </c>
      <c r="C2821">
        <f>1</f>
        <v>1</v>
      </c>
      <c r="D2821">
        <f>IF(OR(F_Custom1_Q="(None)",F_Custom1_Q="",ISBLANK(F_Custom1_Q),F_Custom1_V="(All)",F_Custom1_V="",ISBLANK(F_Custom1_V)),1,IFERROR(IF(ISNUMBER(SEARCH("|"&amp;INDEX(INDIRECT(F_Custom1_resolved_column),2820)&amp;"|",F_Custom1_wrapped)),1,0),0))</f>
        <v>1</v>
      </c>
      <c r="E2821">
        <f>IF(OR(F_Custom2_Q="(None)",F_Custom2_Q="",ISBLANK(F_Custom2_Q),F_Custom2_V="(All)",F_Custom2_V="",ISBLANK(F_Custom2_V)),1,IFERROR(IF(ISNUMBER(SEARCH("|"&amp;INDEX(INDIRECT(F_Custom2_resolved_column),2820)&amp;"|",F_Custom2_wrapped)),1,0),0))</f>
        <v>1</v>
      </c>
      <c r="F2821">
        <f>D2821*E2821*1</f>
        <v>1</v>
      </c>
      <c r="G2821">
        <f>1</f>
        <v>1</v>
      </c>
      <c r="H28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2820)&amp;"|",All_Questions_Q_STREAM_F_wrapped)),1,0),0))*1</f>
        <v>1</v>
      </c>
    </row>
    <row r="2822">
      <c r="A2822" t="n">
        <v>2821</v>
      </c>
      <c r="B2822" t="inlineStr">
        <is>
          <t>A</t>
        </is>
      </c>
      <c r="C2822">
        <f>1</f>
        <v>1</v>
      </c>
      <c r="D2822">
        <f>IF(OR(F_Custom1_Q="(None)",F_Custom1_Q="",ISBLANK(F_Custom1_Q),F_Custom1_V="(All)",F_Custom1_V="",ISBLANK(F_Custom1_V)),1,IFERROR(IF(ISNUMBER(SEARCH("|"&amp;INDEX(INDIRECT(F_Custom1_resolved_column),2821)&amp;"|",F_Custom1_wrapped)),1,0),0))</f>
        <v>1</v>
      </c>
      <c r="E2822">
        <f>IF(OR(F_Custom2_Q="(None)",F_Custom2_Q="",ISBLANK(F_Custom2_Q),F_Custom2_V="(All)",F_Custom2_V="",ISBLANK(F_Custom2_V)),1,IFERROR(IF(ISNUMBER(SEARCH("|"&amp;INDEX(INDIRECT(F_Custom2_resolved_column),2821)&amp;"|",F_Custom2_wrapped)),1,0),0))</f>
        <v>1</v>
      </c>
      <c r="F2822">
        <f>D2822*E2822*1</f>
        <v>1</v>
      </c>
      <c r="G2822">
        <f>1</f>
        <v>1</v>
      </c>
      <c r="H28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2821)&amp;"|",All_Questions_Q_STREAM_F_wrapped)),1,0),0))*1</f>
        <v>1</v>
      </c>
    </row>
    <row r="2823">
      <c r="A2823" t="n">
        <v>2822</v>
      </c>
      <c r="B2823" t="inlineStr">
        <is>
          <t>B</t>
        </is>
      </c>
      <c r="C2823">
        <f>1</f>
        <v>1</v>
      </c>
      <c r="D2823">
        <f>IF(OR(F_Custom1_Q="(None)",F_Custom1_Q="",ISBLANK(F_Custom1_Q),F_Custom1_V="(All)",F_Custom1_V="",ISBLANK(F_Custom1_V)),1,IFERROR(IF(ISNUMBER(SEARCH("|"&amp;INDEX(INDIRECT(F_Custom1_resolved_column),2822)&amp;"|",F_Custom1_wrapped)),1,0),0))</f>
        <v>1</v>
      </c>
      <c r="E2823">
        <f>IF(OR(F_Custom2_Q="(None)",F_Custom2_Q="",ISBLANK(F_Custom2_Q),F_Custom2_V="(All)",F_Custom2_V="",ISBLANK(F_Custom2_V)),1,IFERROR(IF(ISNUMBER(SEARCH("|"&amp;INDEX(INDIRECT(F_Custom2_resolved_column),2822)&amp;"|",F_Custom2_wrapped)),1,0),0))</f>
        <v>1</v>
      </c>
      <c r="F2823">
        <f>D2823*E2823*1</f>
        <v>1</v>
      </c>
      <c r="G2823">
        <f>1</f>
        <v>1</v>
      </c>
      <c r="H28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2822)&amp;"|",All_Questions_Q_STREAM_F_wrapped)),1,0),0))*1</f>
        <v>1</v>
      </c>
    </row>
    <row r="2824">
      <c r="A2824" t="n">
        <v>2823</v>
      </c>
      <c r="B2824" t="inlineStr">
        <is>
          <t>A</t>
        </is>
      </c>
      <c r="C2824">
        <f>1</f>
        <v>1</v>
      </c>
      <c r="D2824">
        <f>IF(OR(F_Custom1_Q="(None)",F_Custom1_Q="",ISBLANK(F_Custom1_Q),F_Custom1_V="(All)",F_Custom1_V="",ISBLANK(F_Custom1_V)),1,IFERROR(IF(ISNUMBER(SEARCH("|"&amp;INDEX(INDIRECT(F_Custom1_resolved_column),2823)&amp;"|",F_Custom1_wrapped)),1,0),0))</f>
        <v>1</v>
      </c>
      <c r="E2824">
        <f>IF(OR(F_Custom2_Q="(None)",F_Custom2_Q="",ISBLANK(F_Custom2_Q),F_Custom2_V="(All)",F_Custom2_V="",ISBLANK(F_Custom2_V)),1,IFERROR(IF(ISNUMBER(SEARCH("|"&amp;INDEX(INDIRECT(F_Custom2_resolved_column),2823)&amp;"|",F_Custom2_wrapped)),1,0),0))</f>
        <v>1</v>
      </c>
      <c r="F2824">
        <f>D2824*E2824*1</f>
        <v>1</v>
      </c>
      <c r="G2824">
        <f>1</f>
        <v>1</v>
      </c>
      <c r="H28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2823)&amp;"|",All_Questions_Q_STREAM_F_wrapped)),1,0),0))*1</f>
        <v>1</v>
      </c>
    </row>
    <row r="2825">
      <c r="A2825" t="n">
        <v>2824</v>
      </c>
      <c r="B2825" t="inlineStr">
        <is>
          <t>B</t>
        </is>
      </c>
      <c r="C2825">
        <f>1</f>
        <v>1</v>
      </c>
      <c r="D2825">
        <f>IF(OR(F_Custom1_Q="(None)",F_Custom1_Q="",ISBLANK(F_Custom1_Q),F_Custom1_V="(All)",F_Custom1_V="",ISBLANK(F_Custom1_V)),1,IFERROR(IF(ISNUMBER(SEARCH("|"&amp;INDEX(INDIRECT(F_Custom1_resolved_column),2824)&amp;"|",F_Custom1_wrapped)),1,0),0))</f>
        <v>1</v>
      </c>
      <c r="E2825">
        <f>IF(OR(F_Custom2_Q="(None)",F_Custom2_Q="",ISBLANK(F_Custom2_Q),F_Custom2_V="(All)",F_Custom2_V="",ISBLANK(F_Custom2_V)),1,IFERROR(IF(ISNUMBER(SEARCH("|"&amp;INDEX(INDIRECT(F_Custom2_resolved_column),2824)&amp;"|",F_Custom2_wrapped)),1,0),0))</f>
        <v>1</v>
      </c>
      <c r="F2825">
        <f>D2825*E2825*1</f>
        <v>1</v>
      </c>
      <c r="G2825">
        <f>1</f>
        <v>1</v>
      </c>
      <c r="H28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2824)&amp;"|",All_Questions_Q_STREAM_F_wrapped)),1,0),0))*1</f>
        <v>1</v>
      </c>
    </row>
    <row r="2826">
      <c r="A2826" t="n">
        <v>2825</v>
      </c>
      <c r="B2826" t="inlineStr">
        <is>
          <t>A</t>
        </is>
      </c>
      <c r="C2826">
        <f>1</f>
        <v>1</v>
      </c>
      <c r="D2826">
        <f>IF(OR(F_Custom1_Q="(None)",F_Custom1_Q="",ISBLANK(F_Custom1_Q),F_Custom1_V="(All)",F_Custom1_V="",ISBLANK(F_Custom1_V)),1,IFERROR(IF(ISNUMBER(SEARCH("|"&amp;INDEX(INDIRECT(F_Custom1_resolved_column),2825)&amp;"|",F_Custom1_wrapped)),1,0),0))</f>
        <v>1</v>
      </c>
      <c r="E2826">
        <f>IF(OR(F_Custom2_Q="(None)",F_Custom2_Q="",ISBLANK(F_Custom2_Q),F_Custom2_V="(All)",F_Custom2_V="",ISBLANK(F_Custom2_V)),1,IFERROR(IF(ISNUMBER(SEARCH("|"&amp;INDEX(INDIRECT(F_Custom2_resolved_column),2825)&amp;"|",F_Custom2_wrapped)),1,0),0))</f>
        <v>1</v>
      </c>
      <c r="F2826">
        <f>D2826*E2826*1</f>
        <v>1</v>
      </c>
      <c r="G2826">
        <f>1</f>
        <v>1</v>
      </c>
      <c r="H28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2825)&amp;"|",All_Questions_Q_STREAM_F_wrapped)),1,0),0))*1</f>
        <v>1</v>
      </c>
    </row>
    <row r="2827">
      <c r="A2827" t="n">
        <v>2826</v>
      </c>
      <c r="B2827" t="inlineStr">
        <is>
          <t>B</t>
        </is>
      </c>
      <c r="C2827">
        <f>1</f>
        <v>1</v>
      </c>
      <c r="D2827">
        <f>IF(OR(F_Custom1_Q="(None)",F_Custom1_Q="",ISBLANK(F_Custom1_Q),F_Custom1_V="(All)",F_Custom1_V="",ISBLANK(F_Custom1_V)),1,IFERROR(IF(ISNUMBER(SEARCH("|"&amp;INDEX(INDIRECT(F_Custom1_resolved_column),2826)&amp;"|",F_Custom1_wrapped)),1,0),0))</f>
        <v>1</v>
      </c>
      <c r="E2827">
        <f>IF(OR(F_Custom2_Q="(None)",F_Custom2_Q="",ISBLANK(F_Custom2_Q),F_Custom2_V="(All)",F_Custom2_V="",ISBLANK(F_Custom2_V)),1,IFERROR(IF(ISNUMBER(SEARCH("|"&amp;INDEX(INDIRECT(F_Custom2_resolved_column),2826)&amp;"|",F_Custom2_wrapped)),1,0),0))</f>
        <v>1</v>
      </c>
      <c r="F2827">
        <f>D2827*E2827*1</f>
        <v>1</v>
      </c>
      <c r="G2827">
        <f>1</f>
        <v>1</v>
      </c>
      <c r="H28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2826)&amp;"|",All_Questions_Q_STREAM_F_wrapped)),1,0),0))*1</f>
        <v>1</v>
      </c>
    </row>
    <row r="2828">
      <c r="A2828" t="n">
        <v>2827</v>
      </c>
      <c r="B2828" t="inlineStr">
        <is>
          <t>A</t>
        </is>
      </c>
      <c r="C2828">
        <f>1</f>
        <v>1</v>
      </c>
      <c r="D2828">
        <f>IF(OR(F_Custom1_Q="(None)",F_Custom1_Q="",ISBLANK(F_Custom1_Q),F_Custom1_V="(All)",F_Custom1_V="",ISBLANK(F_Custom1_V)),1,IFERROR(IF(ISNUMBER(SEARCH("|"&amp;INDEX(INDIRECT(F_Custom1_resolved_column),2827)&amp;"|",F_Custom1_wrapped)),1,0),0))</f>
        <v>1</v>
      </c>
      <c r="E2828">
        <f>IF(OR(F_Custom2_Q="(None)",F_Custom2_Q="",ISBLANK(F_Custom2_Q),F_Custom2_V="(All)",F_Custom2_V="",ISBLANK(F_Custom2_V)),1,IFERROR(IF(ISNUMBER(SEARCH("|"&amp;INDEX(INDIRECT(F_Custom2_resolved_column),2827)&amp;"|",F_Custom2_wrapped)),1,0),0))</f>
        <v>1</v>
      </c>
      <c r="F2828">
        <f>D2828*E2828*1</f>
        <v>1</v>
      </c>
      <c r="G2828">
        <f>1</f>
        <v>1</v>
      </c>
      <c r="H28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2827)&amp;"|",All_Questions_Q_STREAM_F_wrapped)),1,0),0))*1</f>
        <v>1</v>
      </c>
    </row>
    <row r="2829">
      <c r="A2829" t="n">
        <v>2828</v>
      </c>
      <c r="B2829" t="inlineStr">
        <is>
          <t>B</t>
        </is>
      </c>
      <c r="C2829">
        <f>1</f>
        <v>1</v>
      </c>
      <c r="D2829">
        <f>IF(OR(F_Custom1_Q="(None)",F_Custom1_Q="",ISBLANK(F_Custom1_Q),F_Custom1_V="(All)",F_Custom1_V="",ISBLANK(F_Custom1_V)),1,IFERROR(IF(ISNUMBER(SEARCH("|"&amp;INDEX(INDIRECT(F_Custom1_resolved_column),2828)&amp;"|",F_Custom1_wrapped)),1,0),0))</f>
        <v>1</v>
      </c>
      <c r="E2829">
        <f>IF(OR(F_Custom2_Q="(None)",F_Custom2_Q="",ISBLANK(F_Custom2_Q),F_Custom2_V="(All)",F_Custom2_V="",ISBLANK(F_Custom2_V)),1,IFERROR(IF(ISNUMBER(SEARCH("|"&amp;INDEX(INDIRECT(F_Custom2_resolved_column),2828)&amp;"|",F_Custom2_wrapped)),1,0),0))</f>
        <v>1</v>
      </c>
      <c r="F2829">
        <f>D2829*E2829*1</f>
        <v>1</v>
      </c>
      <c r="G2829">
        <f>1</f>
        <v>1</v>
      </c>
      <c r="H28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2828)&amp;"|",All_Questions_Q_STREAM_F_wrapped)),1,0),0))*1</f>
        <v>1</v>
      </c>
    </row>
    <row r="2830">
      <c r="A2830" t="n">
        <v>2829</v>
      </c>
      <c r="B2830" t="inlineStr">
        <is>
          <t>A</t>
        </is>
      </c>
      <c r="C2830">
        <f>1</f>
        <v>1</v>
      </c>
      <c r="D2830">
        <f>IF(OR(F_Custom1_Q="(None)",F_Custom1_Q="",ISBLANK(F_Custom1_Q),F_Custom1_V="(All)",F_Custom1_V="",ISBLANK(F_Custom1_V)),1,IFERROR(IF(ISNUMBER(SEARCH("|"&amp;INDEX(INDIRECT(F_Custom1_resolved_column),2829)&amp;"|",F_Custom1_wrapped)),1,0),0))</f>
        <v>1</v>
      </c>
      <c r="E2830">
        <f>IF(OR(F_Custom2_Q="(None)",F_Custom2_Q="",ISBLANK(F_Custom2_Q),F_Custom2_V="(All)",F_Custom2_V="",ISBLANK(F_Custom2_V)),1,IFERROR(IF(ISNUMBER(SEARCH("|"&amp;INDEX(INDIRECT(F_Custom2_resolved_column),2829)&amp;"|",F_Custom2_wrapped)),1,0),0))</f>
        <v>1</v>
      </c>
      <c r="F2830">
        <f>D2830*E2830*1</f>
        <v>1</v>
      </c>
      <c r="G2830">
        <f>1</f>
        <v>1</v>
      </c>
      <c r="H28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2829)&amp;"|",All_Questions_Q_STREAM_F_wrapped)),1,0),0))*1</f>
        <v>1</v>
      </c>
    </row>
    <row r="2831">
      <c r="A2831" t="n">
        <v>2830</v>
      </c>
      <c r="B2831" t="inlineStr">
        <is>
          <t>B</t>
        </is>
      </c>
      <c r="C2831">
        <f>1</f>
        <v>1</v>
      </c>
      <c r="D2831">
        <f>IF(OR(F_Custom1_Q="(None)",F_Custom1_Q="",ISBLANK(F_Custom1_Q),F_Custom1_V="(All)",F_Custom1_V="",ISBLANK(F_Custom1_V)),1,IFERROR(IF(ISNUMBER(SEARCH("|"&amp;INDEX(INDIRECT(F_Custom1_resolved_column),2830)&amp;"|",F_Custom1_wrapped)),1,0),0))</f>
        <v>1</v>
      </c>
      <c r="E2831">
        <f>IF(OR(F_Custom2_Q="(None)",F_Custom2_Q="",ISBLANK(F_Custom2_Q),F_Custom2_V="(All)",F_Custom2_V="",ISBLANK(F_Custom2_V)),1,IFERROR(IF(ISNUMBER(SEARCH("|"&amp;INDEX(INDIRECT(F_Custom2_resolved_column),2830)&amp;"|",F_Custom2_wrapped)),1,0),0))</f>
        <v>1</v>
      </c>
      <c r="F2831">
        <f>D2831*E2831*1</f>
        <v>1</v>
      </c>
      <c r="G2831">
        <f>1</f>
        <v>1</v>
      </c>
      <c r="H28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2830)&amp;"|",All_Questions_Q_STREAM_F_wrapped)),1,0),0))*1</f>
        <v>1</v>
      </c>
    </row>
    <row r="2832">
      <c r="A2832" t="n">
        <v>2831</v>
      </c>
      <c r="B2832" t="inlineStr">
        <is>
          <t>A</t>
        </is>
      </c>
      <c r="C2832">
        <f>1</f>
        <v>1</v>
      </c>
      <c r="D2832">
        <f>IF(OR(F_Custom1_Q="(None)",F_Custom1_Q="",ISBLANK(F_Custom1_Q),F_Custom1_V="(All)",F_Custom1_V="",ISBLANK(F_Custom1_V)),1,IFERROR(IF(ISNUMBER(SEARCH("|"&amp;INDEX(INDIRECT(F_Custom1_resolved_column),2831)&amp;"|",F_Custom1_wrapped)),1,0),0))</f>
        <v>1</v>
      </c>
      <c r="E2832">
        <f>IF(OR(F_Custom2_Q="(None)",F_Custom2_Q="",ISBLANK(F_Custom2_Q),F_Custom2_V="(All)",F_Custom2_V="",ISBLANK(F_Custom2_V)),1,IFERROR(IF(ISNUMBER(SEARCH("|"&amp;INDEX(INDIRECT(F_Custom2_resolved_column),2831)&amp;"|",F_Custom2_wrapped)),1,0),0))</f>
        <v>1</v>
      </c>
      <c r="F2832">
        <f>D2832*E2832*1</f>
        <v>1</v>
      </c>
      <c r="G2832">
        <f>1</f>
        <v>1</v>
      </c>
      <c r="H28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2831)&amp;"|",All_Questions_Q_STREAM_F_wrapped)),1,0),0))*1</f>
        <v>1</v>
      </c>
    </row>
    <row r="2833">
      <c r="A2833" t="n">
        <v>2832</v>
      </c>
      <c r="B2833" t="inlineStr">
        <is>
          <t>B</t>
        </is>
      </c>
      <c r="C2833">
        <f>1</f>
        <v>1</v>
      </c>
      <c r="D2833">
        <f>IF(OR(F_Custom1_Q="(None)",F_Custom1_Q="",ISBLANK(F_Custom1_Q),F_Custom1_V="(All)",F_Custom1_V="",ISBLANK(F_Custom1_V)),1,IFERROR(IF(ISNUMBER(SEARCH("|"&amp;INDEX(INDIRECT(F_Custom1_resolved_column),2832)&amp;"|",F_Custom1_wrapped)),1,0),0))</f>
        <v>1</v>
      </c>
      <c r="E2833">
        <f>IF(OR(F_Custom2_Q="(None)",F_Custom2_Q="",ISBLANK(F_Custom2_Q),F_Custom2_V="(All)",F_Custom2_V="",ISBLANK(F_Custom2_V)),1,IFERROR(IF(ISNUMBER(SEARCH("|"&amp;INDEX(INDIRECT(F_Custom2_resolved_column),2832)&amp;"|",F_Custom2_wrapped)),1,0),0))</f>
        <v>1</v>
      </c>
      <c r="F2833">
        <f>D2833*E2833*1</f>
        <v>1</v>
      </c>
      <c r="G2833">
        <f>1</f>
        <v>1</v>
      </c>
      <c r="H28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2832)&amp;"|",All_Questions_Q_STREAM_F_wrapped)),1,0),0))*1</f>
        <v>1</v>
      </c>
    </row>
    <row r="2834">
      <c r="A2834" t="n">
        <v>2833</v>
      </c>
      <c r="B2834" t="inlineStr">
        <is>
          <t>A</t>
        </is>
      </c>
      <c r="C2834">
        <f>1</f>
        <v>1</v>
      </c>
      <c r="D2834">
        <f>IF(OR(F_Custom1_Q="(None)",F_Custom1_Q="",ISBLANK(F_Custom1_Q),F_Custom1_V="(All)",F_Custom1_V="",ISBLANK(F_Custom1_V)),1,IFERROR(IF(ISNUMBER(SEARCH("|"&amp;INDEX(INDIRECT(F_Custom1_resolved_column),2833)&amp;"|",F_Custom1_wrapped)),1,0),0))</f>
        <v>1</v>
      </c>
      <c r="E2834">
        <f>IF(OR(F_Custom2_Q="(None)",F_Custom2_Q="",ISBLANK(F_Custom2_Q),F_Custom2_V="(All)",F_Custom2_V="",ISBLANK(F_Custom2_V)),1,IFERROR(IF(ISNUMBER(SEARCH("|"&amp;INDEX(INDIRECT(F_Custom2_resolved_column),2833)&amp;"|",F_Custom2_wrapped)),1,0),0))</f>
        <v>1</v>
      </c>
      <c r="F2834">
        <f>D2834*E2834*1</f>
        <v>1</v>
      </c>
      <c r="G2834">
        <f>1</f>
        <v>1</v>
      </c>
      <c r="H28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2833)&amp;"|",All_Questions_Q_STREAM_F_wrapped)),1,0),0))*1</f>
        <v>1</v>
      </c>
    </row>
    <row r="2835">
      <c r="A2835" t="n">
        <v>2834</v>
      </c>
      <c r="B2835" t="inlineStr">
        <is>
          <t>B</t>
        </is>
      </c>
      <c r="C2835">
        <f>1</f>
        <v>1</v>
      </c>
      <c r="D2835">
        <f>IF(OR(F_Custom1_Q="(None)",F_Custom1_Q="",ISBLANK(F_Custom1_Q),F_Custom1_V="(All)",F_Custom1_V="",ISBLANK(F_Custom1_V)),1,IFERROR(IF(ISNUMBER(SEARCH("|"&amp;INDEX(INDIRECT(F_Custom1_resolved_column),2834)&amp;"|",F_Custom1_wrapped)),1,0),0))</f>
        <v>1</v>
      </c>
      <c r="E2835">
        <f>IF(OR(F_Custom2_Q="(None)",F_Custom2_Q="",ISBLANK(F_Custom2_Q),F_Custom2_V="(All)",F_Custom2_V="",ISBLANK(F_Custom2_V)),1,IFERROR(IF(ISNUMBER(SEARCH("|"&amp;INDEX(INDIRECT(F_Custom2_resolved_column),2834)&amp;"|",F_Custom2_wrapped)),1,0),0))</f>
        <v>1</v>
      </c>
      <c r="F2835">
        <f>D2835*E2835*1</f>
        <v>1</v>
      </c>
      <c r="G2835">
        <f>1</f>
        <v>1</v>
      </c>
      <c r="H28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2834)&amp;"|",All_Questions_Q_STREAM_F_wrapped)),1,0),0))*1</f>
        <v>1</v>
      </c>
    </row>
    <row r="2836">
      <c r="A2836" t="n">
        <v>2835</v>
      </c>
      <c r="B2836" t="inlineStr">
        <is>
          <t>A</t>
        </is>
      </c>
      <c r="C2836">
        <f>1</f>
        <v>1</v>
      </c>
      <c r="D2836">
        <f>IF(OR(F_Custom1_Q="(None)",F_Custom1_Q="",ISBLANK(F_Custom1_Q),F_Custom1_V="(All)",F_Custom1_V="",ISBLANK(F_Custom1_V)),1,IFERROR(IF(ISNUMBER(SEARCH("|"&amp;INDEX(INDIRECT(F_Custom1_resolved_column),2835)&amp;"|",F_Custom1_wrapped)),1,0),0))</f>
        <v>1</v>
      </c>
      <c r="E2836">
        <f>IF(OR(F_Custom2_Q="(None)",F_Custom2_Q="",ISBLANK(F_Custom2_Q),F_Custom2_V="(All)",F_Custom2_V="",ISBLANK(F_Custom2_V)),1,IFERROR(IF(ISNUMBER(SEARCH("|"&amp;INDEX(INDIRECT(F_Custom2_resolved_column),2835)&amp;"|",F_Custom2_wrapped)),1,0),0))</f>
        <v>1</v>
      </c>
      <c r="F2836">
        <f>D2836*E2836*1</f>
        <v>1</v>
      </c>
      <c r="G2836">
        <f>1</f>
        <v>1</v>
      </c>
      <c r="H28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2835)&amp;"|",All_Questions_Q_STREAM_F_wrapped)),1,0),0))*1</f>
        <v>1</v>
      </c>
    </row>
    <row r="2837">
      <c r="A2837" t="n">
        <v>2836</v>
      </c>
      <c r="B2837" t="inlineStr">
        <is>
          <t>B</t>
        </is>
      </c>
      <c r="C2837">
        <f>1</f>
        <v>1</v>
      </c>
      <c r="D2837">
        <f>IF(OR(F_Custom1_Q="(None)",F_Custom1_Q="",ISBLANK(F_Custom1_Q),F_Custom1_V="(All)",F_Custom1_V="",ISBLANK(F_Custom1_V)),1,IFERROR(IF(ISNUMBER(SEARCH("|"&amp;INDEX(INDIRECT(F_Custom1_resolved_column),2836)&amp;"|",F_Custom1_wrapped)),1,0),0))</f>
        <v>1</v>
      </c>
      <c r="E2837">
        <f>IF(OR(F_Custom2_Q="(None)",F_Custom2_Q="",ISBLANK(F_Custom2_Q),F_Custom2_V="(All)",F_Custom2_V="",ISBLANK(F_Custom2_V)),1,IFERROR(IF(ISNUMBER(SEARCH("|"&amp;INDEX(INDIRECT(F_Custom2_resolved_column),2836)&amp;"|",F_Custom2_wrapped)),1,0),0))</f>
        <v>1</v>
      </c>
      <c r="F2837">
        <f>D2837*E2837*1</f>
        <v>1</v>
      </c>
      <c r="G2837">
        <f>1</f>
        <v>1</v>
      </c>
      <c r="H28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2836)&amp;"|",All_Questions_Q_STREAM_F_wrapped)),1,0),0))*1</f>
        <v>1</v>
      </c>
    </row>
    <row r="2838">
      <c r="A2838" t="n">
        <v>2837</v>
      </c>
      <c r="B2838" t="inlineStr">
        <is>
          <t>A</t>
        </is>
      </c>
      <c r="C2838">
        <f>1</f>
        <v>1</v>
      </c>
      <c r="D2838">
        <f>IF(OR(F_Custom1_Q="(None)",F_Custom1_Q="",ISBLANK(F_Custom1_Q),F_Custom1_V="(All)",F_Custom1_V="",ISBLANK(F_Custom1_V)),1,IFERROR(IF(ISNUMBER(SEARCH("|"&amp;INDEX(INDIRECT(F_Custom1_resolved_column),2837)&amp;"|",F_Custom1_wrapped)),1,0),0))</f>
        <v>1</v>
      </c>
      <c r="E2838">
        <f>IF(OR(F_Custom2_Q="(None)",F_Custom2_Q="",ISBLANK(F_Custom2_Q),F_Custom2_V="(All)",F_Custom2_V="",ISBLANK(F_Custom2_V)),1,IFERROR(IF(ISNUMBER(SEARCH("|"&amp;INDEX(INDIRECT(F_Custom2_resolved_column),2837)&amp;"|",F_Custom2_wrapped)),1,0),0))</f>
        <v>1</v>
      </c>
      <c r="F2838">
        <f>D2838*E2838*1</f>
        <v>1</v>
      </c>
      <c r="G2838">
        <f>1</f>
        <v>1</v>
      </c>
      <c r="H28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2837)&amp;"|",All_Questions_Q_STREAM_F_wrapped)),1,0),0))*1</f>
        <v>1</v>
      </c>
    </row>
    <row r="2839">
      <c r="A2839" t="n">
        <v>2838</v>
      </c>
      <c r="B2839" t="inlineStr">
        <is>
          <t>B</t>
        </is>
      </c>
      <c r="C2839">
        <f>1</f>
        <v>1</v>
      </c>
      <c r="D2839">
        <f>IF(OR(F_Custom1_Q="(None)",F_Custom1_Q="",ISBLANK(F_Custom1_Q),F_Custom1_V="(All)",F_Custom1_V="",ISBLANK(F_Custom1_V)),1,IFERROR(IF(ISNUMBER(SEARCH("|"&amp;INDEX(INDIRECT(F_Custom1_resolved_column),2838)&amp;"|",F_Custom1_wrapped)),1,0),0))</f>
        <v>1</v>
      </c>
      <c r="E2839">
        <f>IF(OR(F_Custom2_Q="(None)",F_Custom2_Q="",ISBLANK(F_Custom2_Q),F_Custom2_V="(All)",F_Custom2_V="",ISBLANK(F_Custom2_V)),1,IFERROR(IF(ISNUMBER(SEARCH("|"&amp;INDEX(INDIRECT(F_Custom2_resolved_column),2838)&amp;"|",F_Custom2_wrapped)),1,0),0))</f>
        <v>1</v>
      </c>
      <c r="F2839">
        <f>D2839*E2839*1</f>
        <v>1</v>
      </c>
      <c r="G2839">
        <f>1</f>
        <v>1</v>
      </c>
      <c r="H28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2838)&amp;"|",All_Questions_Q_STREAM_F_wrapped)),1,0),0))*1</f>
        <v>1</v>
      </c>
    </row>
    <row r="2840">
      <c r="A2840" t="n">
        <v>2839</v>
      </c>
      <c r="B2840" t="inlineStr">
        <is>
          <t>A</t>
        </is>
      </c>
      <c r="C2840">
        <f>1</f>
        <v>1</v>
      </c>
      <c r="D2840">
        <f>IF(OR(F_Custom1_Q="(None)",F_Custom1_Q="",ISBLANK(F_Custom1_Q),F_Custom1_V="(All)",F_Custom1_V="",ISBLANK(F_Custom1_V)),1,IFERROR(IF(ISNUMBER(SEARCH("|"&amp;INDEX(INDIRECT(F_Custom1_resolved_column),2839)&amp;"|",F_Custom1_wrapped)),1,0),0))</f>
        <v>1</v>
      </c>
      <c r="E2840">
        <f>IF(OR(F_Custom2_Q="(None)",F_Custom2_Q="",ISBLANK(F_Custom2_Q),F_Custom2_V="(All)",F_Custom2_V="",ISBLANK(F_Custom2_V)),1,IFERROR(IF(ISNUMBER(SEARCH("|"&amp;INDEX(INDIRECT(F_Custom2_resolved_column),2839)&amp;"|",F_Custom2_wrapped)),1,0),0))</f>
        <v>1</v>
      </c>
      <c r="F2840">
        <f>D2840*E2840*1</f>
        <v>1</v>
      </c>
      <c r="G2840">
        <f>1</f>
        <v>1</v>
      </c>
      <c r="H28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2839)&amp;"|",All_Questions_Q_STREAM_F_wrapped)),1,0),0))*1</f>
        <v>1</v>
      </c>
    </row>
    <row r="2841">
      <c r="A2841" t="n">
        <v>2840</v>
      </c>
      <c r="B2841" t="inlineStr">
        <is>
          <t>B</t>
        </is>
      </c>
      <c r="C2841">
        <f>1</f>
        <v>1</v>
      </c>
      <c r="D2841">
        <f>IF(OR(F_Custom1_Q="(None)",F_Custom1_Q="",ISBLANK(F_Custom1_Q),F_Custom1_V="(All)",F_Custom1_V="",ISBLANK(F_Custom1_V)),1,IFERROR(IF(ISNUMBER(SEARCH("|"&amp;INDEX(INDIRECT(F_Custom1_resolved_column),2840)&amp;"|",F_Custom1_wrapped)),1,0),0))</f>
        <v>1</v>
      </c>
      <c r="E2841">
        <f>IF(OR(F_Custom2_Q="(None)",F_Custom2_Q="",ISBLANK(F_Custom2_Q),F_Custom2_V="(All)",F_Custom2_V="",ISBLANK(F_Custom2_V)),1,IFERROR(IF(ISNUMBER(SEARCH("|"&amp;INDEX(INDIRECT(F_Custom2_resolved_column),2840)&amp;"|",F_Custom2_wrapped)),1,0),0))</f>
        <v>1</v>
      </c>
      <c r="F2841">
        <f>D2841*E2841*1</f>
        <v>1</v>
      </c>
      <c r="G2841">
        <f>1</f>
        <v>1</v>
      </c>
      <c r="H28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2840)&amp;"|",All_Questions_Q_STREAM_F_wrapped)),1,0),0))*1</f>
        <v>1</v>
      </c>
    </row>
    <row r="2842">
      <c r="A2842" t="n">
        <v>2841</v>
      </c>
      <c r="B2842" t="inlineStr">
        <is>
          <t>A</t>
        </is>
      </c>
      <c r="C2842">
        <f>1</f>
        <v>1</v>
      </c>
      <c r="D2842">
        <f>IF(OR(F_Custom1_Q="(None)",F_Custom1_Q="",ISBLANK(F_Custom1_Q),F_Custom1_V="(All)",F_Custom1_V="",ISBLANK(F_Custom1_V)),1,IFERROR(IF(ISNUMBER(SEARCH("|"&amp;INDEX(INDIRECT(F_Custom1_resolved_column),2841)&amp;"|",F_Custom1_wrapped)),1,0),0))</f>
        <v>1</v>
      </c>
      <c r="E2842">
        <f>IF(OR(F_Custom2_Q="(None)",F_Custom2_Q="",ISBLANK(F_Custom2_Q),F_Custom2_V="(All)",F_Custom2_V="",ISBLANK(F_Custom2_V)),1,IFERROR(IF(ISNUMBER(SEARCH("|"&amp;INDEX(INDIRECT(F_Custom2_resolved_column),2841)&amp;"|",F_Custom2_wrapped)),1,0),0))</f>
        <v>1</v>
      </c>
      <c r="F2842">
        <f>D2842*E2842*1</f>
        <v>1</v>
      </c>
      <c r="G2842">
        <f>1</f>
        <v>1</v>
      </c>
      <c r="H28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2841)&amp;"|",All_Questions_Q_STREAM_F_wrapped)),1,0),0))*1</f>
        <v>1</v>
      </c>
    </row>
    <row r="2843">
      <c r="A2843" t="n">
        <v>2842</v>
      </c>
      <c r="B2843" t="inlineStr">
        <is>
          <t>B</t>
        </is>
      </c>
      <c r="C2843">
        <f>1</f>
        <v>1</v>
      </c>
      <c r="D2843">
        <f>IF(OR(F_Custom1_Q="(None)",F_Custom1_Q="",ISBLANK(F_Custom1_Q),F_Custom1_V="(All)",F_Custom1_V="",ISBLANK(F_Custom1_V)),1,IFERROR(IF(ISNUMBER(SEARCH("|"&amp;INDEX(INDIRECT(F_Custom1_resolved_column),2842)&amp;"|",F_Custom1_wrapped)),1,0),0))</f>
        <v>1</v>
      </c>
      <c r="E2843">
        <f>IF(OR(F_Custom2_Q="(None)",F_Custom2_Q="",ISBLANK(F_Custom2_Q),F_Custom2_V="(All)",F_Custom2_V="",ISBLANK(F_Custom2_V)),1,IFERROR(IF(ISNUMBER(SEARCH("|"&amp;INDEX(INDIRECT(F_Custom2_resolved_column),2842)&amp;"|",F_Custom2_wrapped)),1,0),0))</f>
        <v>1</v>
      </c>
      <c r="F2843">
        <f>D2843*E2843*1</f>
        <v>1</v>
      </c>
      <c r="G2843">
        <f>1</f>
        <v>1</v>
      </c>
      <c r="H28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2842)&amp;"|",All_Questions_Q_STREAM_F_wrapped)),1,0),0))*1</f>
        <v>1</v>
      </c>
    </row>
    <row r="2844">
      <c r="A2844" t="n">
        <v>2843</v>
      </c>
      <c r="B2844" t="inlineStr">
        <is>
          <t>A</t>
        </is>
      </c>
      <c r="C2844">
        <f>1</f>
        <v>1</v>
      </c>
      <c r="D2844">
        <f>IF(OR(F_Custom1_Q="(None)",F_Custom1_Q="",ISBLANK(F_Custom1_Q),F_Custom1_V="(All)",F_Custom1_V="",ISBLANK(F_Custom1_V)),1,IFERROR(IF(ISNUMBER(SEARCH("|"&amp;INDEX(INDIRECT(F_Custom1_resolved_column),2843)&amp;"|",F_Custom1_wrapped)),1,0),0))</f>
        <v>1</v>
      </c>
      <c r="E2844">
        <f>IF(OR(F_Custom2_Q="(None)",F_Custom2_Q="",ISBLANK(F_Custom2_Q),F_Custom2_V="(All)",F_Custom2_V="",ISBLANK(F_Custom2_V)),1,IFERROR(IF(ISNUMBER(SEARCH("|"&amp;INDEX(INDIRECT(F_Custom2_resolved_column),2843)&amp;"|",F_Custom2_wrapped)),1,0),0))</f>
        <v>1</v>
      </c>
      <c r="F2844">
        <f>D2844*E2844*1</f>
        <v>1</v>
      </c>
      <c r="G2844">
        <f>1</f>
        <v>1</v>
      </c>
      <c r="H28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2843)&amp;"|",All_Questions_Q_STREAM_F_wrapped)),1,0),0))*1</f>
        <v>1</v>
      </c>
    </row>
    <row r="2845">
      <c r="A2845" t="n">
        <v>2844</v>
      </c>
      <c r="B2845" t="inlineStr">
        <is>
          <t>B</t>
        </is>
      </c>
      <c r="C2845">
        <f>1</f>
        <v>1</v>
      </c>
      <c r="D2845">
        <f>IF(OR(F_Custom1_Q="(None)",F_Custom1_Q="",ISBLANK(F_Custom1_Q),F_Custom1_V="(All)",F_Custom1_V="",ISBLANK(F_Custom1_V)),1,IFERROR(IF(ISNUMBER(SEARCH("|"&amp;INDEX(INDIRECT(F_Custom1_resolved_column),2844)&amp;"|",F_Custom1_wrapped)),1,0),0))</f>
        <v>1</v>
      </c>
      <c r="E2845">
        <f>IF(OR(F_Custom2_Q="(None)",F_Custom2_Q="",ISBLANK(F_Custom2_Q),F_Custom2_V="(All)",F_Custom2_V="",ISBLANK(F_Custom2_V)),1,IFERROR(IF(ISNUMBER(SEARCH("|"&amp;INDEX(INDIRECT(F_Custom2_resolved_column),2844)&amp;"|",F_Custom2_wrapped)),1,0),0))</f>
        <v>1</v>
      </c>
      <c r="F2845">
        <f>D2845*E2845*1</f>
        <v>1</v>
      </c>
      <c r="G2845">
        <f>1</f>
        <v>1</v>
      </c>
      <c r="H28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2844)&amp;"|",All_Questions_Q_STREAM_F_wrapped)),1,0),0))*1</f>
        <v>1</v>
      </c>
    </row>
    <row r="2846">
      <c r="A2846" t="n">
        <v>2845</v>
      </c>
      <c r="B2846" t="inlineStr">
        <is>
          <t>A</t>
        </is>
      </c>
      <c r="C2846">
        <f>1</f>
        <v>1</v>
      </c>
      <c r="D2846">
        <f>IF(OR(F_Custom1_Q="(None)",F_Custom1_Q="",ISBLANK(F_Custom1_Q),F_Custom1_V="(All)",F_Custom1_V="",ISBLANK(F_Custom1_V)),1,IFERROR(IF(ISNUMBER(SEARCH("|"&amp;INDEX(INDIRECT(F_Custom1_resolved_column),2845)&amp;"|",F_Custom1_wrapped)),1,0),0))</f>
        <v>1</v>
      </c>
      <c r="E2846">
        <f>IF(OR(F_Custom2_Q="(None)",F_Custom2_Q="",ISBLANK(F_Custom2_Q),F_Custom2_V="(All)",F_Custom2_V="",ISBLANK(F_Custom2_V)),1,IFERROR(IF(ISNUMBER(SEARCH("|"&amp;INDEX(INDIRECT(F_Custom2_resolved_column),2845)&amp;"|",F_Custom2_wrapped)),1,0),0))</f>
        <v>1</v>
      </c>
      <c r="F2846">
        <f>D2846*E2846*1</f>
        <v>1</v>
      </c>
      <c r="G2846">
        <f>1</f>
        <v>1</v>
      </c>
      <c r="H28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2845)&amp;"|",All_Questions_Q_STREAM_F_wrapped)),1,0),0))*1</f>
        <v>1</v>
      </c>
    </row>
    <row r="2847">
      <c r="A2847" t="n">
        <v>2846</v>
      </c>
      <c r="B2847" t="inlineStr">
        <is>
          <t>B</t>
        </is>
      </c>
      <c r="C2847">
        <f>1</f>
        <v>1</v>
      </c>
      <c r="D2847">
        <f>IF(OR(F_Custom1_Q="(None)",F_Custom1_Q="",ISBLANK(F_Custom1_Q),F_Custom1_V="(All)",F_Custom1_V="",ISBLANK(F_Custom1_V)),1,IFERROR(IF(ISNUMBER(SEARCH("|"&amp;INDEX(INDIRECT(F_Custom1_resolved_column),2846)&amp;"|",F_Custom1_wrapped)),1,0),0))</f>
        <v>1</v>
      </c>
      <c r="E2847">
        <f>IF(OR(F_Custom2_Q="(None)",F_Custom2_Q="",ISBLANK(F_Custom2_Q),F_Custom2_V="(All)",F_Custom2_V="",ISBLANK(F_Custom2_V)),1,IFERROR(IF(ISNUMBER(SEARCH("|"&amp;INDEX(INDIRECT(F_Custom2_resolved_column),2846)&amp;"|",F_Custom2_wrapped)),1,0),0))</f>
        <v>1</v>
      </c>
      <c r="F2847">
        <f>D2847*E2847*1</f>
        <v>1</v>
      </c>
      <c r="G2847">
        <f>1</f>
        <v>1</v>
      </c>
      <c r="H28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2846)&amp;"|",All_Questions_Q_STREAM_F_wrapped)),1,0),0))*1</f>
        <v>1</v>
      </c>
    </row>
    <row r="2848">
      <c r="A2848" t="n">
        <v>2847</v>
      </c>
      <c r="B2848" t="inlineStr">
        <is>
          <t>A</t>
        </is>
      </c>
      <c r="C2848">
        <f>1</f>
        <v>1</v>
      </c>
      <c r="D2848">
        <f>IF(OR(F_Custom1_Q="(None)",F_Custom1_Q="",ISBLANK(F_Custom1_Q),F_Custom1_V="(All)",F_Custom1_V="",ISBLANK(F_Custom1_V)),1,IFERROR(IF(ISNUMBER(SEARCH("|"&amp;INDEX(INDIRECT(F_Custom1_resolved_column),2847)&amp;"|",F_Custom1_wrapped)),1,0),0))</f>
        <v>1</v>
      </c>
      <c r="E2848">
        <f>IF(OR(F_Custom2_Q="(None)",F_Custom2_Q="",ISBLANK(F_Custom2_Q),F_Custom2_V="(All)",F_Custom2_V="",ISBLANK(F_Custom2_V)),1,IFERROR(IF(ISNUMBER(SEARCH("|"&amp;INDEX(INDIRECT(F_Custom2_resolved_column),2847)&amp;"|",F_Custom2_wrapped)),1,0),0))</f>
        <v>1</v>
      </c>
      <c r="F2848">
        <f>D2848*E2848*1</f>
        <v>1</v>
      </c>
      <c r="G2848">
        <f>1</f>
        <v>1</v>
      </c>
      <c r="H28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2847)&amp;"|",All_Questions_Q_STREAM_F_wrapped)),1,0),0))*1</f>
        <v>1</v>
      </c>
    </row>
    <row r="2849">
      <c r="A2849" t="n">
        <v>2848</v>
      </c>
      <c r="B2849" t="inlineStr">
        <is>
          <t>B</t>
        </is>
      </c>
      <c r="C2849">
        <f>1</f>
        <v>1</v>
      </c>
      <c r="D2849">
        <f>IF(OR(F_Custom1_Q="(None)",F_Custom1_Q="",ISBLANK(F_Custom1_Q),F_Custom1_V="(All)",F_Custom1_V="",ISBLANK(F_Custom1_V)),1,IFERROR(IF(ISNUMBER(SEARCH("|"&amp;INDEX(INDIRECT(F_Custom1_resolved_column),2848)&amp;"|",F_Custom1_wrapped)),1,0),0))</f>
        <v>1</v>
      </c>
      <c r="E2849">
        <f>IF(OR(F_Custom2_Q="(None)",F_Custom2_Q="",ISBLANK(F_Custom2_Q),F_Custom2_V="(All)",F_Custom2_V="",ISBLANK(F_Custom2_V)),1,IFERROR(IF(ISNUMBER(SEARCH("|"&amp;INDEX(INDIRECT(F_Custom2_resolved_column),2848)&amp;"|",F_Custom2_wrapped)),1,0),0))</f>
        <v>1</v>
      </c>
      <c r="F2849">
        <f>D2849*E2849*1</f>
        <v>1</v>
      </c>
      <c r="G2849">
        <f>1</f>
        <v>1</v>
      </c>
      <c r="H28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2848)&amp;"|",All_Questions_Q_STREAM_F_wrapped)),1,0),0))*1</f>
        <v>1</v>
      </c>
    </row>
    <row r="2850">
      <c r="A2850" t="n">
        <v>2849</v>
      </c>
      <c r="B2850" t="inlineStr">
        <is>
          <t>A</t>
        </is>
      </c>
      <c r="C2850">
        <f>1</f>
        <v>1</v>
      </c>
      <c r="D2850">
        <f>IF(OR(F_Custom1_Q="(None)",F_Custom1_Q="",ISBLANK(F_Custom1_Q),F_Custom1_V="(All)",F_Custom1_V="",ISBLANK(F_Custom1_V)),1,IFERROR(IF(ISNUMBER(SEARCH("|"&amp;INDEX(INDIRECT(F_Custom1_resolved_column),2849)&amp;"|",F_Custom1_wrapped)),1,0),0))</f>
        <v>1</v>
      </c>
      <c r="E2850">
        <f>IF(OR(F_Custom2_Q="(None)",F_Custom2_Q="",ISBLANK(F_Custom2_Q),F_Custom2_V="(All)",F_Custom2_V="",ISBLANK(F_Custom2_V)),1,IFERROR(IF(ISNUMBER(SEARCH("|"&amp;INDEX(INDIRECT(F_Custom2_resolved_column),2849)&amp;"|",F_Custom2_wrapped)),1,0),0))</f>
        <v>1</v>
      </c>
      <c r="F2850">
        <f>D2850*E2850*1</f>
        <v>1</v>
      </c>
      <c r="G2850">
        <f>1</f>
        <v>1</v>
      </c>
      <c r="H28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2849)&amp;"|",All_Questions_Q_STREAM_F_wrapped)),1,0),0))*1</f>
        <v>1</v>
      </c>
    </row>
    <row r="2851">
      <c r="A2851" t="n">
        <v>2850</v>
      </c>
      <c r="B2851" t="inlineStr">
        <is>
          <t>B</t>
        </is>
      </c>
      <c r="C2851">
        <f>1</f>
        <v>1</v>
      </c>
      <c r="D2851">
        <f>IF(OR(F_Custom1_Q="(None)",F_Custom1_Q="",ISBLANK(F_Custom1_Q),F_Custom1_V="(All)",F_Custom1_V="",ISBLANK(F_Custom1_V)),1,IFERROR(IF(ISNUMBER(SEARCH("|"&amp;INDEX(INDIRECT(F_Custom1_resolved_column),2850)&amp;"|",F_Custom1_wrapped)),1,0),0))</f>
        <v>1</v>
      </c>
      <c r="E2851">
        <f>IF(OR(F_Custom2_Q="(None)",F_Custom2_Q="",ISBLANK(F_Custom2_Q),F_Custom2_V="(All)",F_Custom2_V="",ISBLANK(F_Custom2_V)),1,IFERROR(IF(ISNUMBER(SEARCH("|"&amp;INDEX(INDIRECT(F_Custom2_resolved_column),2850)&amp;"|",F_Custom2_wrapped)),1,0),0))</f>
        <v>1</v>
      </c>
      <c r="F2851">
        <f>D2851*E2851*1</f>
        <v>1</v>
      </c>
      <c r="G2851">
        <f>1</f>
        <v>1</v>
      </c>
      <c r="H28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2850)&amp;"|",All_Questions_Q_STREAM_F_wrapped)),1,0),0))*1</f>
        <v>1</v>
      </c>
    </row>
    <row r="2852">
      <c r="A2852" t="n">
        <v>2851</v>
      </c>
      <c r="B2852" t="inlineStr">
        <is>
          <t>A</t>
        </is>
      </c>
      <c r="C2852">
        <f>1</f>
        <v>1</v>
      </c>
      <c r="D2852">
        <f>IF(OR(F_Custom1_Q="(None)",F_Custom1_Q="",ISBLANK(F_Custom1_Q),F_Custom1_V="(All)",F_Custom1_V="",ISBLANK(F_Custom1_V)),1,IFERROR(IF(ISNUMBER(SEARCH("|"&amp;INDEX(INDIRECT(F_Custom1_resolved_column),2851)&amp;"|",F_Custom1_wrapped)),1,0),0))</f>
        <v>1</v>
      </c>
      <c r="E2852">
        <f>IF(OR(F_Custom2_Q="(None)",F_Custom2_Q="",ISBLANK(F_Custom2_Q),F_Custom2_V="(All)",F_Custom2_V="",ISBLANK(F_Custom2_V)),1,IFERROR(IF(ISNUMBER(SEARCH("|"&amp;INDEX(INDIRECT(F_Custom2_resolved_column),2851)&amp;"|",F_Custom2_wrapped)),1,0),0))</f>
        <v>1</v>
      </c>
      <c r="F2852">
        <f>D2852*E2852*1</f>
        <v>1</v>
      </c>
      <c r="G2852">
        <f>1</f>
        <v>1</v>
      </c>
      <c r="H28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2851)&amp;"|",All_Questions_Q_STREAM_F_wrapped)),1,0),0))*1</f>
        <v>1</v>
      </c>
    </row>
    <row r="2853">
      <c r="A2853" t="n">
        <v>2852</v>
      </c>
      <c r="B2853" t="inlineStr">
        <is>
          <t>B</t>
        </is>
      </c>
      <c r="C2853">
        <f>1</f>
        <v>1</v>
      </c>
      <c r="D2853">
        <f>IF(OR(F_Custom1_Q="(None)",F_Custom1_Q="",ISBLANK(F_Custom1_Q),F_Custom1_V="(All)",F_Custom1_V="",ISBLANK(F_Custom1_V)),1,IFERROR(IF(ISNUMBER(SEARCH("|"&amp;INDEX(INDIRECT(F_Custom1_resolved_column),2852)&amp;"|",F_Custom1_wrapped)),1,0),0))</f>
        <v>1</v>
      </c>
      <c r="E2853">
        <f>IF(OR(F_Custom2_Q="(None)",F_Custom2_Q="",ISBLANK(F_Custom2_Q),F_Custom2_V="(All)",F_Custom2_V="",ISBLANK(F_Custom2_V)),1,IFERROR(IF(ISNUMBER(SEARCH("|"&amp;INDEX(INDIRECT(F_Custom2_resolved_column),2852)&amp;"|",F_Custom2_wrapped)),1,0),0))</f>
        <v>1</v>
      </c>
      <c r="F2853">
        <f>D2853*E2853*1</f>
        <v>1</v>
      </c>
      <c r="G2853">
        <f>1</f>
        <v>1</v>
      </c>
      <c r="H28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2852)&amp;"|",All_Questions_Q_STREAM_F_wrapped)),1,0),0))*1</f>
        <v>1</v>
      </c>
    </row>
    <row r="2854">
      <c r="A2854" t="n">
        <v>2853</v>
      </c>
      <c r="B2854" t="inlineStr">
        <is>
          <t>A</t>
        </is>
      </c>
      <c r="C2854">
        <f>1</f>
        <v>1</v>
      </c>
      <c r="D2854">
        <f>IF(OR(F_Custom1_Q="(None)",F_Custom1_Q="",ISBLANK(F_Custom1_Q),F_Custom1_V="(All)",F_Custom1_V="",ISBLANK(F_Custom1_V)),1,IFERROR(IF(ISNUMBER(SEARCH("|"&amp;INDEX(INDIRECT(F_Custom1_resolved_column),2853)&amp;"|",F_Custom1_wrapped)),1,0),0))</f>
        <v>1</v>
      </c>
      <c r="E2854">
        <f>IF(OR(F_Custom2_Q="(None)",F_Custom2_Q="",ISBLANK(F_Custom2_Q),F_Custom2_V="(All)",F_Custom2_V="",ISBLANK(F_Custom2_V)),1,IFERROR(IF(ISNUMBER(SEARCH("|"&amp;INDEX(INDIRECT(F_Custom2_resolved_column),2853)&amp;"|",F_Custom2_wrapped)),1,0),0))</f>
        <v>1</v>
      </c>
      <c r="F2854">
        <f>D2854*E2854*1</f>
        <v>1</v>
      </c>
      <c r="G2854">
        <f>1</f>
        <v>1</v>
      </c>
      <c r="H28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2853)&amp;"|",All_Questions_Q_STREAM_F_wrapped)),1,0),0))*1</f>
        <v>1</v>
      </c>
    </row>
    <row r="2855">
      <c r="A2855" t="n">
        <v>2854</v>
      </c>
      <c r="B2855" t="inlineStr">
        <is>
          <t>B</t>
        </is>
      </c>
      <c r="C2855">
        <f>1</f>
        <v>1</v>
      </c>
      <c r="D2855">
        <f>IF(OR(F_Custom1_Q="(None)",F_Custom1_Q="",ISBLANK(F_Custom1_Q),F_Custom1_V="(All)",F_Custom1_V="",ISBLANK(F_Custom1_V)),1,IFERROR(IF(ISNUMBER(SEARCH("|"&amp;INDEX(INDIRECT(F_Custom1_resolved_column),2854)&amp;"|",F_Custom1_wrapped)),1,0),0))</f>
        <v>1</v>
      </c>
      <c r="E2855">
        <f>IF(OR(F_Custom2_Q="(None)",F_Custom2_Q="",ISBLANK(F_Custom2_Q),F_Custom2_V="(All)",F_Custom2_V="",ISBLANK(F_Custom2_V)),1,IFERROR(IF(ISNUMBER(SEARCH("|"&amp;INDEX(INDIRECT(F_Custom2_resolved_column),2854)&amp;"|",F_Custom2_wrapped)),1,0),0))</f>
        <v>1</v>
      </c>
      <c r="F2855">
        <f>D2855*E2855*1</f>
        <v>1</v>
      </c>
      <c r="G2855">
        <f>1</f>
        <v>1</v>
      </c>
      <c r="H28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2854)&amp;"|",All_Questions_Q_STREAM_F_wrapped)),1,0),0))*1</f>
        <v>1</v>
      </c>
    </row>
    <row r="2856">
      <c r="A2856" t="n">
        <v>2855</v>
      </c>
      <c r="B2856" t="inlineStr">
        <is>
          <t>A</t>
        </is>
      </c>
      <c r="C2856">
        <f>1</f>
        <v>1</v>
      </c>
      <c r="D2856">
        <f>IF(OR(F_Custom1_Q="(None)",F_Custom1_Q="",ISBLANK(F_Custom1_Q),F_Custom1_V="(All)",F_Custom1_V="",ISBLANK(F_Custom1_V)),1,IFERROR(IF(ISNUMBER(SEARCH("|"&amp;INDEX(INDIRECT(F_Custom1_resolved_column),2855)&amp;"|",F_Custom1_wrapped)),1,0),0))</f>
        <v>1</v>
      </c>
      <c r="E2856">
        <f>IF(OR(F_Custom2_Q="(None)",F_Custom2_Q="",ISBLANK(F_Custom2_Q),F_Custom2_V="(All)",F_Custom2_V="",ISBLANK(F_Custom2_V)),1,IFERROR(IF(ISNUMBER(SEARCH("|"&amp;INDEX(INDIRECT(F_Custom2_resolved_column),2855)&amp;"|",F_Custom2_wrapped)),1,0),0))</f>
        <v>1</v>
      </c>
      <c r="F2856">
        <f>D2856*E2856*1</f>
        <v>1</v>
      </c>
      <c r="G2856">
        <f>1</f>
        <v>1</v>
      </c>
      <c r="H28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2855)&amp;"|",All_Questions_Q_STREAM_F_wrapped)),1,0),0))*1</f>
        <v>1</v>
      </c>
    </row>
    <row r="2857">
      <c r="A2857" t="n">
        <v>2856</v>
      </c>
      <c r="B2857" t="inlineStr">
        <is>
          <t>B</t>
        </is>
      </c>
      <c r="C2857">
        <f>1</f>
        <v>1</v>
      </c>
      <c r="D2857">
        <f>IF(OR(F_Custom1_Q="(None)",F_Custom1_Q="",ISBLANK(F_Custom1_Q),F_Custom1_V="(All)",F_Custom1_V="",ISBLANK(F_Custom1_V)),1,IFERROR(IF(ISNUMBER(SEARCH("|"&amp;INDEX(INDIRECT(F_Custom1_resolved_column),2856)&amp;"|",F_Custom1_wrapped)),1,0),0))</f>
        <v>1</v>
      </c>
      <c r="E2857">
        <f>IF(OR(F_Custom2_Q="(None)",F_Custom2_Q="",ISBLANK(F_Custom2_Q),F_Custom2_V="(All)",F_Custom2_V="",ISBLANK(F_Custom2_V)),1,IFERROR(IF(ISNUMBER(SEARCH("|"&amp;INDEX(INDIRECT(F_Custom2_resolved_column),2856)&amp;"|",F_Custom2_wrapped)),1,0),0))</f>
        <v>1</v>
      </c>
      <c r="F2857">
        <f>D2857*E2857*1</f>
        <v>1</v>
      </c>
      <c r="G2857">
        <f>1</f>
        <v>1</v>
      </c>
      <c r="H28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2856)&amp;"|",All_Questions_Q_STREAM_F_wrapped)),1,0),0))*1</f>
        <v>1</v>
      </c>
    </row>
    <row r="2858">
      <c r="A2858" t="n">
        <v>2857</v>
      </c>
      <c r="B2858" t="inlineStr">
        <is>
          <t>A</t>
        </is>
      </c>
      <c r="C2858">
        <f>1</f>
        <v>1</v>
      </c>
      <c r="D2858">
        <f>IF(OR(F_Custom1_Q="(None)",F_Custom1_Q="",ISBLANK(F_Custom1_Q),F_Custom1_V="(All)",F_Custom1_V="",ISBLANK(F_Custom1_V)),1,IFERROR(IF(ISNUMBER(SEARCH("|"&amp;INDEX(INDIRECT(F_Custom1_resolved_column),2857)&amp;"|",F_Custom1_wrapped)),1,0),0))</f>
        <v>1</v>
      </c>
      <c r="E2858">
        <f>IF(OR(F_Custom2_Q="(None)",F_Custom2_Q="",ISBLANK(F_Custom2_Q),F_Custom2_V="(All)",F_Custom2_V="",ISBLANK(F_Custom2_V)),1,IFERROR(IF(ISNUMBER(SEARCH("|"&amp;INDEX(INDIRECT(F_Custom2_resolved_column),2857)&amp;"|",F_Custom2_wrapped)),1,0),0))</f>
        <v>1</v>
      </c>
      <c r="F2858">
        <f>D2858*E2858*1</f>
        <v>1</v>
      </c>
      <c r="G2858">
        <f>1</f>
        <v>1</v>
      </c>
      <c r="H28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2857)&amp;"|",All_Questions_Q_STREAM_F_wrapped)),1,0),0))*1</f>
        <v>1</v>
      </c>
    </row>
    <row r="2859">
      <c r="A2859" t="n">
        <v>2858</v>
      </c>
      <c r="B2859" t="inlineStr">
        <is>
          <t>B</t>
        </is>
      </c>
      <c r="C2859">
        <f>1</f>
        <v>1</v>
      </c>
      <c r="D2859">
        <f>IF(OR(F_Custom1_Q="(None)",F_Custom1_Q="",ISBLANK(F_Custom1_Q),F_Custom1_V="(All)",F_Custom1_V="",ISBLANK(F_Custom1_V)),1,IFERROR(IF(ISNUMBER(SEARCH("|"&amp;INDEX(INDIRECT(F_Custom1_resolved_column),2858)&amp;"|",F_Custom1_wrapped)),1,0),0))</f>
        <v>1</v>
      </c>
      <c r="E2859">
        <f>IF(OR(F_Custom2_Q="(None)",F_Custom2_Q="",ISBLANK(F_Custom2_Q),F_Custom2_V="(All)",F_Custom2_V="",ISBLANK(F_Custom2_V)),1,IFERROR(IF(ISNUMBER(SEARCH("|"&amp;INDEX(INDIRECT(F_Custom2_resolved_column),2858)&amp;"|",F_Custom2_wrapped)),1,0),0))</f>
        <v>1</v>
      </c>
      <c r="F2859">
        <f>D2859*E2859*1</f>
        <v>1</v>
      </c>
      <c r="G2859">
        <f>1</f>
        <v>1</v>
      </c>
      <c r="H28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2858)&amp;"|",All_Questions_Q_STREAM_F_wrapped)),1,0),0))*1</f>
        <v>1</v>
      </c>
    </row>
    <row r="2860">
      <c r="A2860" t="n">
        <v>2859</v>
      </c>
      <c r="B2860" t="inlineStr">
        <is>
          <t>A</t>
        </is>
      </c>
      <c r="C2860">
        <f>1</f>
        <v>1</v>
      </c>
      <c r="D2860">
        <f>IF(OR(F_Custom1_Q="(None)",F_Custom1_Q="",ISBLANK(F_Custom1_Q),F_Custom1_V="(All)",F_Custom1_V="",ISBLANK(F_Custom1_V)),1,IFERROR(IF(ISNUMBER(SEARCH("|"&amp;INDEX(INDIRECT(F_Custom1_resolved_column),2859)&amp;"|",F_Custom1_wrapped)),1,0),0))</f>
        <v>1</v>
      </c>
      <c r="E2860">
        <f>IF(OR(F_Custom2_Q="(None)",F_Custom2_Q="",ISBLANK(F_Custom2_Q),F_Custom2_V="(All)",F_Custom2_V="",ISBLANK(F_Custom2_V)),1,IFERROR(IF(ISNUMBER(SEARCH("|"&amp;INDEX(INDIRECT(F_Custom2_resolved_column),2859)&amp;"|",F_Custom2_wrapped)),1,0),0))</f>
        <v>1</v>
      </c>
      <c r="F2860">
        <f>D2860*E2860*1</f>
        <v>1</v>
      </c>
      <c r="G2860">
        <f>1</f>
        <v>1</v>
      </c>
      <c r="H28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2859)&amp;"|",All_Questions_Q_STREAM_F_wrapped)),1,0),0))*1</f>
        <v>1</v>
      </c>
    </row>
    <row r="2861">
      <c r="A2861" t="n">
        <v>2860</v>
      </c>
      <c r="B2861" t="inlineStr">
        <is>
          <t>B</t>
        </is>
      </c>
      <c r="C2861">
        <f>1</f>
        <v>1</v>
      </c>
      <c r="D2861">
        <f>IF(OR(F_Custom1_Q="(None)",F_Custom1_Q="",ISBLANK(F_Custom1_Q),F_Custom1_V="(All)",F_Custom1_V="",ISBLANK(F_Custom1_V)),1,IFERROR(IF(ISNUMBER(SEARCH("|"&amp;INDEX(INDIRECT(F_Custom1_resolved_column),2860)&amp;"|",F_Custom1_wrapped)),1,0),0))</f>
        <v>1</v>
      </c>
      <c r="E2861">
        <f>IF(OR(F_Custom2_Q="(None)",F_Custom2_Q="",ISBLANK(F_Custom2_Q),F_Custom2_V="(All)",F_Custom2_V="",ISBLANK(F_Custom2_V)),1,IFERROR(IF(ISNUMBER(SEARCH("|"&amp;INDEX(INDIRECT(F_Custom2_resolved_column),2860)&amp;"|",F_Custom2_wrapped)),1,0),0))</f>
        <v>1</v>
      </c>
      <c r="F2861">
        <f>D2861*E2861*1</f>
        <v>1</v>
      </c>
      <c r="G2861">
        <f>1</f>
        <v>1</v>
      </c>
      <c r="H28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2860)&amp;"|",All_Questions_Q_STREAM_F_wrapped)),1,0),0))*1</f>
        <v>1</v>
      </c>
    </row>
    <row r="2862">
      <c r="A2862" t="n">
        <v>2861</v>
      </c>
      <c r="B2862" t="inlineStr">
        <is>
          <t>A</t>
        </is>
      </c>
      <c r="C2862">
        <f>1</f>
        <v>1</v>
      </c>
      <c r="D2862">
        <f>IF(OR(F_Custom1_Q="(None)",F_Custom1_Q="",ISBLANK(F_Custom1_Q),F_Custom1_V="(All)",F_Custom1_V="",ISBLANK(F_Custom1_V)),1,IFERROR(IF(ISNUMBER(SEARCH("|"&amp;INDEX(INDIRECT(F_Custom1_resolved_column),2861)&amp;"|",F_Custom1_wrapped)),1,0),0))</f>
        <v>1</v>
      </c>
      <c r="E2862">
        <f>IF(OR(F_Custom2_Q="(None)",F_Custom2_Q="",ISBLANK(F_Custom2_Q),F_Custom2_V="(All)",F_Custom2_V="",ISBLANK(F_Custom2_V)),1,IFERROR(IF(ISNUMBER(SEARCH("|"&amp;INDEX(INDIRECT(F_Custom2_resolved_column),2861)&amp;"|",F_Custom2_wrapped)),1,0),0))</f>
        <v>1</v>
      </c>
      <c r="F2862">
        <f>D2862*E2862*1</f>
        <v>1</v>
      </c>
      <c r="G2862">
        <f>1</f>
        <v>1</v>
      </c>
      <c r="H28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2861)&amp;"|",All_Questions_Q_STREAM_F_wrapped)),1,0),0))*1</f>
        <v>1</v>
      </c>
    </row>
    <row r="2863">
      <c r="A2863" t="n">
        <v>2862</v>
      </c>
      <c r="B2863" t="inlineStr">
        <is>
          <t>B</t>
        </is>
      </c>
      <c r="C2863">
        <f>1</f>
        <v>1</v>
      </c>
      <c r="D2863">
        <f>IF(OR(F_Custom1_Q="(None)",F_Custom1_Q="",ISBLANK(F_Custom1_Q),F_Custom1_V="(All)",F_Custom1_V="",ISBLANK(F_Custom1_V)),1,IFERROR(IF(ISNUMBER(SEARCH("|"&amp;INDEX(INDIRECT(F_Custom1_resolved_column),2862)&amp;"|",F_Custom1_wrapped)),1,0),0))</f>
        <v>1</v>
      </c>
      <c r="E2863">
        <f>IF(OR(F_Custom2_Q="(None)",F_Custom2_Q="",ISBLANK(F_Custom2_Q),F_Custom2_V="(All)",F_Custom2_V="",ISBLANK(F_Custom2_V)),1,IFERROR(IF(ISNUMBER(SEARCH("|"&amp;INDEX(INDIRECT(F_Custom2_resolved_column),2862)&amp;"|",F_Custom2_wrapped)),1,0),0))</f>
        <v>1</v>
      </c>
      <c r="F2863">
        <f>D2863*E2863*1</f>
        <v>1</v>
      </c>
      <c r="G2863">
        <f>1</f>
        <v>1</v>
      </c>
      <c r="H28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2862)&amp;"|",All_Questions_Q_STREAM_F_wrapped)),1,0),0))*1</f>
        <v>1</v>
      </c>
    </row>
    <row r="2864">
      <c r="A2864" t="n">
        <v>2863</v>
      </c>
      <c r="B2864" t="inlineStr">
        <is>
          <t>A</t>
        </is>
      </c>
      <c r="C2864">
        <f>1</f>
        <v>1</v>
      </c>
      <c r="D2864">
        <f>IF(OR(F_Custom1_Q="(None)",F_Custom1_Q="",ISBLANK(F_Custom1_Q),F_Custom1_V="(All)",F_Custom1_V="",ISBLANK(F_Custom1_V)),1,IFERROR(IF(ISNUMBER(SEARCH("|"&amp;INDEX(INDIRECT(F_Custom1_resolved_column),2863)&amp;"|",F_Custom1_wrapped)),1,0),0))</f>
        <v>1</v>
      </c>
      <c r="E2864">
        <f>IF(OR(F_Custom2_Q="(None)",F_Custom2_Q="",ISBLANK(F_Custom2_Q),F_Custom2_V="(All)",F_Custom2_V="",ISBLANK(F_Custom2_V)),1,IFERROR(IF(ISNUMBER(SEARCH("|"&amp;INDEX(INDIRECT(F_Custom2_resolved_column),2863)&amp;"|",F_Custom2_wrapped)),1,0),0))</f>
        <v>1</v>
      </c>
      <c r="F2864">
        <f>D2864*E2864*1</f>
        <v>1</v>
      </c>
      <c r="G2864">
        <f>1</f>
        <v>1</v>
      </c>
      <c r="H28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2863)&amp;"|",All_Questions_Q_STREAM_F_wrapped)),1,0),0))*1</f>
        <v>1</v>
      </c>
    </row>
    <row r="2865">
      <c r="A2865" t="n">
        <v>2864</v>
      </c>
      <c r="B2865" t="inlineStr">
        <is>
          <t>B</t>
        </is>
      </c>
      <c r="C2865">
        <f>1</f>
        <v>1</v>
      </c>
      <c r="D2865">
        <f>IF(OR(F_Custom1_Q="(None)",F_Custom1_Q="",ISBLANK(F_Custom1_Q),F_Custom1_V="(All)",F_Custom1_V="",ISBLANK(F_Custom1_V)),1,IFERROR(IF(ISNUMBER(SEARCH("|"&amp;INDEX(INDIRECT(F_Custom1_resolved_column),2864)&amp;"|",F_Custom1_wrapped)),1,0),0))</f>
        <v>1</v>
      </c>
      <c r="E2865">
        <f>IF(OR(F_Custom2_Q="(None)",F_Custom2_Q="",ISBLANK(F_Custom2_Q),F_Custom2_V="(All)",F_Custom2_V="",ISBLANK(F_Custom2_V)),1,IFERROR(IF(ISNUMBER(SEARCH("|"&amp;INDEX(INDIRECT(F_Custom2_resolved_column),2864)&amp;"|",F_Custom2_wrapped)),1,0),0))</f>
        <v>1</v>
      </c>
      <c r="F2865">
        <f>D2865*E2865*1</f>
        <v>1</v>
      </c>
      <c r="G2865">
        <f>1</f>
        <v>1</v>
      </c>
      <c r="H28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2864)&amp;"|",All_Questions_Q_STREAM_F_wrapped)),1,0),0))*1</f>
        <v>1</v>
      </c>
    </row>
    <row r="2866">
      <c r="A2866" t="n">
        <v>2865</v>
      </c>
      <c r="B2866" t="inlineStr">
        <is>
          <t>A</t>
        </is>
      </c>
      <c r="C2866">
        <f>1</f>
        <v>1</v>
      </c>
      <c r="D2866">
        <f>IF(OR(F_Custom1_Q="(None)",F_Custom1_Q="",ISBLANK(F_Custom1_Q),F_Custom1_V="(All)",F_Custom1_V="",ISBLANK(F_Custom1_V)),1,IFERROR(IF(ISNUMBER(SEARCH("|"&amp;INDEX(INDIRECT(F_Custom1_resolved_column),2865)&amp;"|",F_Custom1_wrapped)),1,0),0))</f>
        <v>1</v>
      </c>
      <c r="E2866">
        <f>IF(OR(F_Custom2_Q="(None)",F_Custom2_Q="",ISBLANK(F_Custom2_Q),F_Custom2_V="(All)",F_Custom2_V="",ISBLANK(F_Custom2_V)),1,IFERROR(IF(ISNUMBER(SEARCH("|"&amp;INDEX(INDIRECT(F_Custom2_resolved_column),2865)&amp;"|",F_Custom2_wrapped)),1,0),0))</f>
        <v>1</v>
      </c>
      <c r="F2866">
        <f>D2866*E2866*1</f>
        <v>1</v>
      </c>
      <c r="G2866">
        <f>1</f>
        <v>1</v>
      </c>
      <c r="H28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2865)&amp;"|",All_Questions_Q_STREAM_F_wrapped)),1,0),0))*1</f>
        <v>1</v>
      </c>
    </row>
    <row r="2867">
      <c r="A2867" t="n">
        <v>2866</v>
      </c>
      <c r="B2867" t="inlineStr">
        <is>
          <t>B</t>
        </is>
      </c>
      <c r="C2867">
        <f>1</f>
        <v>1</v>
      </c>
      <c r="D2867">
        <f>IF(OR(F_Custom1_Q="(None)",F_Custom1_Q="",ISBLANK(F_Custom1_Q),F_Custom1_V="(All)",F_Custom1_V="",ISBLANK(F_Custom1_V)),1,IFERROR(IF(ISNUMBER(SEARCH("|"&amp;INDEX(INDIRECT(F_Custom1_resolved_column),2866)&amp;"|",F_Custom1_wrapped)),1,0),0))</f>
        <v>1</v>
      </c>
      <c r="E2867">
        <f>IF(OR(F_Custom2_Q="(None)",F_Custom2_Q="",ISBLANK(F_Custom2_Q),F_Custom2_V="(All)",F_Custom2_V="",ISBLANK(F_Custom2_V)),1,IFERROR(IF(ISNUMBER(SEARCH("|"&amp;INDEX(INDIRECT(F_Custom2_resolved_column),2866)&amp;"|",F_Custom2_wrapped)),1,0),0))</f>
        <v>1</v>
      </c>
      <c r="F2867">
        <f>D2867*E2867*1</f>
        <v>1</v>
      </c>
      <c r="G2867">
        <f>1</f>
        <v>1</v>
      </c>
      <c r="H28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2866)&amp;"|",All_Questions_Q_STREAM_F_wrapped)),1,0),0))*1</f>
        <v>1</v>
      </c>
    </row>
    <row r="2868">
      <c r="A2868" t="n">
        <v>2867</v>
      </c>
      <c r="B2868" t="inlineStr">
        <is>
          <t>A</t>
        </is>
      </c>
      <c r="C2868">
        <f>1</f>
        <v>1</v>
      </c>
      <c r="D2868">
        <f>IF(OR(F_Custom1_Q="(None)",F_Custom1_Q="",ISBLANK(F_Custom1_Q),F_Custom1_V="(All)",F_Custom1_V="",ISBLANK(F_Custom1_V)),1,IFERROR(IF(ISNUMBER(SEARCH("|"&amp;INDEX(INDIRECT(F_Custom1_resolved_column),2867)&amp;"|",F_Custom1_wrapped)),1,0),0))</f>
        <v>1</v>
      </c>
      <c r="E2868">
        <f>IF(OR(F_Custom2_Q="(None)",F_Custom2_Q="",ISBLANK(F_Custom2_Q),F_Custom2_V="(All)",F_Custom2_V="",ISBLANK(F_Custom2_V)),1,IFERROR(IF(ISNUMBER(SEARCH("|"&amp;INDEX(INDIRECT(F_Custom2_resolved_column),2867)&amp;"|",F_Custom2_wrapped)),1,0),0))</f>
        <v>1</v>
      </c>
      <c r="F2868">
        <f>D2868*E2868*1</f>
        <v>1</v>
      </c>
      <c r="G2868">
        <f>1</f>
        <v>1</v>
      </c>
      <c r="H28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2867)&amp;"|",All_Questions_Q_STREAM_F_wrapped)),1,0),0))*1</f>
        <v>1</v>
      </c>
    </row>
    <row r="2869">
      <c r="A2869" t="n">
        <v>2868</v>
      </c>
      <c r="B2869" t="inlineStr">
        <is>
          <t>B</t>
        </is>
      </c>
      <c r="C2869">
        <f>1</f>
        <v>1</v>
      </c>
      <c r="D2869">
        <f>IF(OR(F_Custom1_Q="(None)",F_Custom1_Q="",ISBLANK(F_Custom1_Q),F_Custom1_V="(All)",F_Custom1_V="",ISBLANK(F_Custom1_V)),1,IFERROR(IF(ISNUMBER(SEARCH("|"&amp;INDEX(INDIRECT(F_Custom1_resolved_column),2868)&amp;"|",F_Custom1_wrapped)),1,0),0))</f>
        <v>1</v>
      </c>
      <c r="E2869">
        <f>IF(OR(F_Custom2_Q="(None)",F_Custom2_Q="",ISBLANK(F_Custom2_Q),F_Custom2_V="(All)",F_Custom2_V="",ISBLANK(F_Custom2_V)),1,IFERROR(IF(ISNUMBER(SEARCH("|"&amp;INDEX(INDIRECT(F_Custom2_resolved_column),2868)&amp;"|",F_Custom2_wrapped)),1,0),0))</f>
        <v>1</v>
      </c>
      <c r="F2869">
        <f>D2869*E2869*1</f>
        <v>1</v>
      </c>
      <c r="G2869">
        <f>1</f>
        <v>1</v>
      </c>
      <c r="H28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2868)&amp;"|",All_Questions_Q_STREAM_F_wrapped)),1,0),0))*1</f>
        <v>1</v>
      </c>
    </row>
    <row r="2870">
      <c r="A2870" t="n">
        <v>2869</v>
      </c>
      <c r="B2870" t="inlineStr">
        <is>
          <t>A</t>
        </is>
      </c>
      <c r="C2870">
        <f>1</f>
        <v>1</v>
      </c>
      <c r="D2870">
        <f>IF(OR(F_Custom1_Q="(None)",F_Custom1_Q="",ISBLANK(F_Custom1_Q),F_Custom1_V="(All)",F_Custom1_V="",ISBLANK(F_Custom1_V)),1,IFERROR(IF(ISNUMBER(SEARCH("|"&amp;INDEX(INDIRECT(F_Custom1_resolved_column),2869)&amp;"|",F_Custom1_wrapped)),1,0),0))</f>
        <v>1</v>
      </c>
      <c r="E2870">
        <f>IF(OR(F_Custom2_Q="(None)",F_Custom2_Q="",ISBLANK(F_Custom2_Q),F_Custom2_V="(All)",F_Custom2_V="",ISBLANK(F_Custom2_V)),1,IFERROR(IF(ISNUMBER(SEARCH("|"&amp;INDEX(INDIRECT(F_Custom2_resolved_column),2869)&amp;"|",F_Custom2_wrapped)),1,0),0))</f>
        <v>1</v>
      </c>
      <c r="F2870">
        <f>D2870*E2870*1</f>
        <v>1</v>
      </c>
      <c r="G2870">
        <f>1</f>
        <v>1</v>
      </c>
      <c r="H28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2869)&amp;"|",All_Questions_Q_STREAM_F_wrapped)),1,0),0))*1</f>
        <v>1</v>
      </c>
    </row>
    <row r="2871">
      <c r="A2871" t="n">
        <v>2870</v>
      </c>
      <c r="B2871" t="inlineStr">
        <is>
          <t>B</t>
        </is>
      </c>
      <c r="C2871">
        <f>1</f>
        <v>1</v>
      </c>
      <c r="D2871">
        <f>IF(OR(F_Custom1_Q="(None)",F_Custom1_Q="",ISBLANK(F_Custom1_Q),F_Custom1_V="(All)",F_Custom1_V="",ISBLANK(F_Custom1_V)),1,IFERROR(IF(ISNUMBER(SEARCH("|"&amp;INDEX(INDIRECT(F_Custom1_resolved_column),2870)&amp;"|",F_Custom1_wrapped)),1,0),0))</f>
        <v>1</v>
      </c>
      <c r="E2871">
        <f>IF(OR(F_Custom2_Q="(None)",F_Custom2_Q="",ISBLANK(F_Custom2_Q),F_Custom2_V="(All)",F_Custom2_V="",ISBLANK(F_Custom2_V)),1,IFERROR(IF(ISNUMBER(SEARCH("|"&amp;INDEX(INDIRECT(F_Custom2_resolved_column),2870)&amp;"|",F_Custom2_wrapped)),1,0),0))</f>
        <v>1</v>
      </c>
      <c r="F2871">
        <f>D2871*E2871*1</f>
        <v>1</v>
      </c>
      <c r="G2871">
        <f>1</f>
        <v>1</v>
      </c>
      <c r="H28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2870)&amp;"|",All_Questions_Q_STREAM_F_wrapped)),1,0),0))*1</f>
        <v>1</v>
      </c>
    </row>
    <row r="2872">
      <c r="A2872" t="n">
        <v>2871</v>
      </c>
      <c r="B2872" t="inlineStr">
        <is>
          <t>A</t>
        </is>
      </c>
      <c r="C2872">
        <f>1</f>
        <v>1</v>
      </c>
      <c r="D2872">
        <f>IF(OR(F_Custom1_Q="(None)",F_Custom1_Q="",ISBLANK(F_Custom1_Q),F_Custom1_V="(All)",F_Custom1_V="",ISBLANK(F_Custom1_V)),1,IFERROR(IF(ISNUMBER(SEARCH("|"&amp;INDEX(INDIRECT(F_Custom1_resolved_column),2871)&amp;"|",F_Custom1_wrapped)),1,0),0))</f>
        <v>1</v>
      </c>
      <c r="E2872">
        <f>IF(OR(F_Custom2_Q="(None)",F_Custom2_Q="",ISBLANK(F_Custom2_Q),F_Custom2_V="(All)",F_Custom2_V="",ISBLANK(F_Custom2_V)),1,IFERROR(IF(ISNUMBER(SEARCH("|"&amp;INDEX(INDIRECT(F_Custom2_resolved_column),2871)&amp;"|",F_Custom2_wrapped)),1,0),0))</f>
        <v>1</v>
      </c>
      <c r="F2872">
        <f>D2872*E2872*1</f>
        <v>1</v>
      </c>
      <c r="G2872">
        <f>1</f>
        <v>1</v>
      </c>
      <c r="H28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2871)&amp;"|",All_Questions_Q_STREAM_F_wrapped)),1,0),0))*1</f>
        <v>1</v>
      </c>
    </row>
    <row r="2873">
      <c r="A2873" t="n">
        <v>2872</v>
      </c>
      <c r="B2873" t="inlineStr">
        <is>
          <t>B</t>
        </is>
      </c>
      <c r="C2873">
        <f>1</f>
        <v>1</v>
      </c>
      <c r="D2873">
        <f>IF(OR(F_Custom1_Q="(None)",F_Custom1_Q="",ISBLANK(F_Custom1_Q),F_Custom1_V="(All)",F_Custom1_V="",ISBLANK(F_Custom1_V)),1,IFERROR(IF(ISNUMBER(SEARCH("|"&amp;INDEX(INDIRECT(F_Custom1_resolved_column),2872)&amp;"|",F_Custom1_wrapped)),1,0),0))</f>
        <v>1</v>
      </c>
      <c r="E2873">
        <f>IF(OR(F_Custom2_Q="(None)",F_Custom2_Q="",ISBLANK(F_Custom2_Q),F_Custom2_V="(All)",F_Custom2_V="",ISBLANK(F_Custom2_V)),1,IFERROR(IF(ISNUMBER(SEARCH("|"&amp;INDEX(INDIRECT(F_Custom2_resolved_column),2872)&amp;"|",F_Custom2_wrapped)),1,0),0))</f>
        <v>1</v>
      </c>
      <c r="F2873">
        <f>D2873*E2873*1</f>
        <v>1</v>
      </c>
      <c r="G2873">
        <f>1</f>
        <v>1</v>
      </c>
      <c r="H28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2872)&amp;"|",All_Questions_Q_STREAM_F_wrapped)),1,0),0))*1</f>
        <v>1</v>
      </c>
    </row>
    <row r="2874">
      <c r="A2874" t="n">
        <v>2873</v>
      </c>
      <c r="B2874" t="inlineStr">
        <is>
          <t>A</t>
        </is>
      </c>
      <c r="C2874">
        <f>1</f>
        <v>1</v>
      </c>
      <c r="D2874">
        <f>IF(OR(F_Custom1_Q="(None)",F_Custom1_Q="",ISBLANK(F_Custom1_Q),F_Custom1_V="(All)",F_Custom1_V="",ISBLANK(F_Custom1_V)),1,IFERROR(IF(ISNUMBER(SEARCH("|"&amp;INDEX(INDIRECT(F_Custom1_resolved_column),2873)&amp;"|",F_Custom1_wrapped)),1,0),0))</f>
        <v>1</v>
      </c>
      <c r="E2874">
        <f>IF(OR(F_Custom2_Q="(None)",F_Custom2_Q="",ISBLANK(F_Custom2_Q),F_Custom2_V="(All)",F_Custom2_V="",ISBLANK(F_Custom2_V)),1,IFERROR(IF(ISNUMBER(SEARCH("|"&amp;INDEX(INDIRECT(F_Custom2_resolved_column),2873)&amp;"|",F_Custom2_wrapped)),1,0),0))</f>
        <v>1</v>
      </c>
      <c r="F2874">
        <f>D2874*E2874*1</f>
        <v>1</v>
      </c>
      <c r="G2874">
        <f>1</f>
        <v>1</v>
      </c>
      <c r="H28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2873)&amp;"|",All_Questions_Q_STREAM_F_wrapped)),1,0),0))*1</f>
        <v>1</v>
      </c>
    </row>
    <row r="2875">
      <c r="A2875" t="n">
        <v>2874</v>
      </c>
      <c r="B2875" t="inlineStr">
        <is>
          <t>B</t>
        </is>
      </c>
      <c r="C2875">
        <f>1</f>
        <v>1</v>
      </c>
      <c r="D2875">
        <f>IF(OR(F_Custom1_Q="(None)",F_Custom1_Q="",ISBLANK(F_Custom1_Q),F_Custom1_V="(All)",F_Custom1_V="",ISBLANK(F_Custom1_V)),1,IFERROR(IF(ISNUMBER(SEARCH("|"&amp;INDEX(INDIRECT(F_Custom1_resolved_column),2874)&amp;"|",F_Custom1_wrapped)),1,0),0))</f>
        <v>1</v>
      </c>
      <c r="E2875">
        <f>IF(OR(F_Custom2_Q="(None)",F_Custom2_Q="",ISBLANK(F_Custom2_Q),F_Custom2_V="(All)",F_Custom2_V="",ISBLANK(F_Custom2_V)),1,IFERROR(IF(ISNUMBER(SEARCH("|"&amp;INDEX(INDIRECT(F_Custom2_resolved_column),2874)&amp;"|",F_Custom2_wrapped)),1,0),0))</f>
        <v>1</v>
      </c>
      <c r="F2875">
        <f>D2875*E2875*1</f>
        <v>1</v>
      </c>
      <c r="G2875">
        <f>1</f>
        <v>1</v>
      </c>
      <c r="H28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2874)&amp;"|",All_Questions_Q_STREAM_F_wrapped)),1,0),0))*1</f>
        <v>1</v>
      </c>
    </row>
    <row r="2876">
      <c r="A2876" t="n">
        <v>2875</v>
      </c>
      <c r="B2876" t="inlineStr">
        <is>
          <t>A</t>
        </is>
      </c>
      <c r="C2876">
        <f>1</f>
        <v>1</v>
      </c>
      <c r="D2876">
        <f>IF(OR(F_Custom1_Q="(None)",F_Custom1_Q="",ISBLANK(F_Custom1_Q),F_Custom1_V="(All)",F_Custom1_V="",ISBLANK(F_Custom1_V)),1,IFERROR(IF(ISNUMBER(SEARCH("|"&amp;INDEX(INDIRECT(F_Custom1_resolved_column),2875)&amp;"|",F_Custom1_wrapped)),1,0),0))</f>
        <v>1</v>
      </c>
      <c r="E2876">
        <f>IF(OR(F_Custom2_Q="(None)",F_Custom2_Q="",ISBLANK(F_Custom2_Q),F_Custom2_V="(All)",F_Custom2_V="",ISBLANK(F_Custom2_V)),1,IFERROR(IF(ISNUMBER(SEARCH("|"&amp;INDEX(INDIRECT(F_Custom2_resolved_column),2875)&amp;"|",F_Custom2_wrapped)),1,0),0))</f>
        <v>1</v>
      </c>
      <c r="F2876">
        <f>D2876*E2876*1</f>
        <v>1</v>
      </c>
      <c r="G2876">
        <f>1</f>
        <v>1</v>
      </c>
      <c r="H28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2875)&amp;"|",All_Questions_Q_STREAM_F_wrapped)),1,0),0))*1</f>
        <v>1</v>
      </c>
    </row>
    <row r="2877">
      <c r="A2877" t="n">
        <v>2876</v>
      </c>
      <c r="B2877" t="inlineStr">
        <is>
          <t>B</t>
        </is>
      </c>
      <c r="C2877">
        <f>1</f>
        <v>1</v>
      </c>
      <c r="D2877">
        <f>IF(OR(F_Custom1_Q="(None)",F_Custom1_Q="",ISBLANK(F_Custom1_Q),F_Custom1_V="(All)",F_Custom1_V="",ISBLANK(F_Custom1_V)),1,IFERROR(IF(ISNUMBER(SEARCH("|"&amp;INDEX(INDIRECT(F_Custom1_resolved_column),2876)&amp;"|",F_Custom1_wrapped)),1,0),0))</f>
        <v>1</v>
      </c>
      <c r="E2877">
        <f>IF(OR(F_Custom2_Q="(None)",F_Custom2_Q="",ISBLANK(F_Custom2_Q),F_Custom2_V="(All)",F_Custom2_V="",ISBLANK(F_Custom2_V)),1,IFERROR(IF(ISNUMBER(SEARCH("|"&amp;INDEX(INDIRECT(F_Custom2_resolved_column),2876)&amp;"|",F_Custom2_wrapped)),1,0),0))</f>
        <v>1</v>
      </c>
      <c r="F2877">
        <f>D2877*E2877*1</f>
        <v>1</v>
      </c>
      <c r="G2877">
        <f>1</f>
        <v>1</v>
      </c>
      <c r="H28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2876)&amp;"|",All_Questions_Q_STREAM_F_wrapped)),1,0),0))*1</f>
        <v>1</v>
      </c>
    </row>
    <row r="2878">
      <c r="A2878" t="n">
        <v>2877</v>
      </c>
      <c r="B2878" t="inlineStr">
        <is>
          <t>A</t>
        </is>
      </c>
      <c r="C2878">
        <f>1</f>
        <v>1</v>
      </c>
      <c r="D2878">
        <f>IF(OR(F_Custom1_Q="(None)",F_Custom1_Q="",ISBLANK(F_Custom1_Q),F_Custom1_V="(All)",F_Custom1_V="",ISBLANK(F_Custom1_V)),1,IFERROR(IF(ISNUMBER(SEARCH("|"&amp;INDEX(INDIRECT(F_Custom1_resolved_column),2877)&amp;"|",F_Custom1_wrapped)),1,0),0))</f>
        <v>1</v>
      </c>
      <c r="E2878">
        <f>IF(OR(F_Custom2_Q="(None)",F_Custom2_Q="",ISBLANK(F_Custom2_Q),F_Custom2_V="(All)",F_Custom2_V="",ISBLANK(F_Custom2_V)),1,IFERROR(IF(ISNUMBER(SEARCH("|"&amp;INDEX(INDIRECT(F_Custom2_resolved_column),2877)&amp;"|",F_Custom2_wrapped)),1,0),0))</f>
        <v>1</v>
      </c>
      <c r="F2878">
        <f>D2878*E2878*1</f>
        <v>1</v>
      </c>
      <c r="G2878">
        <f>1</f>
        <v>1</v>
      </c>
      <c r="H28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2877)&amp;"|",All_Questions_Q_STREAM_F_wrapped)),1,0),0))*1</f>
        <v>1</v>
      </c>
    </row>
    <row r="2879">
      <c r="A2879" t="n">
        <v>2878</v>
      </c>
      <c r="B2879" t="inlineStr">
        <is>
          <t>B</t>
        </is>
      </c>
      <c r="C2879">
        <f>1</f>
        <v>1</v>
      </c>
      <c r="D2879">
        <f>IF(OR(F_Custom1_Q="(None)",F_Custom1_Q="",ISBLANK(F_Custom1_Q),F_Custom1_V="(All)",F_Custom1_V="",ISBLANK(F_Custom1_V)),1,IFERROR(IF(ISNUMBER(SEARCH("|"&amp;INDEX(INDIRECT(F_Custom1_resolved_column),2878)&amp;"|",F_Custom1_wrapped)),1,0),0))</f>
        <v>1</v>
      </c>
      <c r="E2879">
        <f>IF(OR(F_Custom2_Q="(None)",F_Custom2_Q="",ISBLANK(F_Custom2_Q),F_Custom2_V="(All)",F_Custom2_V="",ISBLANK(F_Custom2_V)),1,IFERROR(IF(ISNUMBER(SEARCH("|"&amp;INDEX(INDIRECT(F_Custom2_resolved_column),2878)&amp;"|",F_Custom2_wrapped)),1,0),0))</f>
        <v>1</v>
      </c>
      <c r="F2879">
        <f>D2879*E2879*1</f>
        <v>1</v>
      </c>
      <c r="G2879">
        <f>1</f>
        <v>1</v>
      </c>
      <c r="H28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2878)&amp;"|",All_Questions_Q_STREAM_F_wrapped)),1,0),0))*1</f>
        <v>1</v>
      </c>
    </row>
    <row r="2880">
      <c r="A2880" t="n">
        <v>2879</v>
      </c>
      <c r="B2880" t="inlineStr">
        <is>
          <t>A</t>
        </is>
      </c>
      <c r="C2880">
        <f>1</f>
        <v>1</v>
      </c>
      <c r="D2880">
        <f>IF(OR(F_Custom1_Q="(None)",F_Custom1_Q="",ISBLANK(F_Custom1_Q),F_Custom1_V="(All)",F_Custom1_V="",ISBLANK(F_Custom1_V)),1,IFERROR(IF(ISNUMBER(SEARCH("|"&amp;INDEX(INDIRECT(F_Custom1_resolved_column),2879)&amp;"|",F_Custom1_wrapped)),1,0),0))</f>
        <v>1</v>
      </c>
      <c r="E2880">
        <f>IF(OR(F_Custom2_Q="(None)",F_Custom2_Q="",ISBLANK(F_Custom2_Q),F_Custom2_V="(All)",F_Custom2_V="",ISBLANK(F_Custom2_V)),1,IFERROR(IF(ISNUMBER(SEARCH("|"&amp;INDEX(INDIRECT(F_Custom2_resolved_column),2879)&amp;"|",F_Custom2_wrapped)),1,0),0))</f>
        <v>1</v>
      </c>
      <c r="F2880">
        <f>D2880*E2880*1</f>
        <v>1</v>
      </c>
      <c r="G2880">
        <f>1</f>
        <v>1</v>
      </c>
      <c r="H28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2879)&amp;"|",All_Questions_Q_STREAM_F_wrapped)),1,0),0))*1</f>
        <v>1</v>
      </c>
    </row>
    <row r="2881">
      <c r="A2881" t="n">
        <v>2880</v>
      </c>
      <c r="B2881" t="inlineStr">
        <is>
          <t>B</t>
        </is>
      </c>
      <c r="C2881">
        <f>1</f>
        <v>1</v>
      </c>
      <c r="D2881">
        <f>IF(OR(F_Custom1_Q="(None)",F_Custom1_Q="",ISBLANK(F_Custom1_Q),F_Custom1_V="(All)",F_Custom1_V="",ISBLANK(F_Custom1_V)),1,IFERROR(IF(ISNUMBER(SEARCH("|"&amp;INDEX(INDIRECT(F_Custom1_resolved_column),2880)&amp;"|",F_Custom1_wrapped)),1,0),0))</f>
        <v>1</v>
      </c>
      <c r="E2881">
        <f>IF(OR(F_Custom2_Q="(None)",F_Custom2_Q="",ISBLANK(F_Custom2_Q),F_Custom2_V="(All)",F_Custom2_V="",ISBLANK(F_Custom2_V)),1,IFERROR(IF(ISNUMBER(SEARCH("|"&amp;INDEX(INDIRECT(F_Custom2_resolved_column),2880)&amp;"|",F_Custom2_wrapped)),1,0),0))</f>
        <v>1</v>
      </c>
      <c r="F2881">
        <f>D2881*E2881*1</f>
        <v>1</v>
      </c>
      <c r="G2881">
        <f>1</f>
        <v>1</v>
      </c>
      <c r="H28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2880)&amp;"|",All_Questions_Q_STREAM_F_wrapped)),1,0),0))*1</f>
        <v>1</v>
      </c>
    </row>
    <row r="2882">
      <c r="A2882" t="n">
        <v>2881</v>
      </c>
      <c r="B2882" t="inlineStr">
        <is>
          <t>A</t>
        </is>
      </c>
      <c r="C2882">
        <f>1</f>
        <v>1</v>
      </c>
      <c r="D2882">
        <f>IF(OR(F_Custom1_Q="(None)",F_Custom1_Q="",ISBLANK(F_Custom1_Q),F_Custom1_V="(All)",F_Custom1_V="",ISBLANK(F_Custom1_V)),1,IFERROR(IF(ISNUMBER(SEARCH("|"&amp;INDEX(INDIRECT(F_Custom1_resolved_column),2881)&amp;"|",F_Custom1_wrapped)),1,0),0))</f>
        <v>1</v>
      </c>
      <c r="E2882">
        <f>IF(OR(F_Custom2_Q="(None)",F_Custom2_Q="",ISBLANK(F_Custom2_Q),F_Custom2_V="(All)",F_Custom2_V="",ISBLANK(F_Custom2_V)),1,IFERROR(IF(ISNUMBER(SEARCH("|"&amp;INDEX(INDIRECT(F_Custom2_resolved_column),2881)&amp;"|",F_Custom2_wrapped)),1,0),0))</f>
        <v>1</v>
      </c>
      <c r="F2882">
        <f>D2882*E2882*1</f>
        <v>1</v>
      </c>
      <c r="G2882">
        <f>1</f>
        <v>1</v>
      </c>
      <c r="H28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2881)&amp;"|",All_Questions_Q_STREAM_F_wrapped)),1,0),0))*1</f>
        <v>1</v>
      </c>
    </row>
    <row r="2883">
      <c r="A2883" t="n">
        <v>2882</v>
      </c>
      <c r="B2883" t="inlineStr">
        <is>
          <t>B</t>
        </is>
      </c>
      <c r="C2883">
        <f>1</f>
        <v>1</v>
      </c>
      <c r="D2883">
        <f>IF(OR(F_Custom1_Q="(None)",F_Custom1_Q="",ISBLANK(F_Custom1_Q),F_Custom1_V="(All)",F_Custom1_V="",ISBLANK(F_Custom1_V)),1,IFERROR(IF(ISNUMBER(SEARCH("|"&amp;INDEX(INDIRECT(F_Custom1_resolved_column),2882)&amp;"|",F_Custom1_wrapped)),1,0),0))</f>
        <v>1</v>
      </c>
      <c r="E2883">
        <f>IF(OR(F_Custom2_Q="(None)",F_Custom2_Q="",ISBLANK(F_Custom2_Q),F_Custom2_V="(All)",F_Custom2_V="",ISBLANK(F_Custom2_V)),1,IFERROR(IF(ISNUMBER(SEARCH("|"&amp;INDEX(INDIRECT(F_Custom2_resolved_column),2882)&amp;"|",F_Custom2_wrapped)),1,0),0))</f>
        <v>1</v>
      </c>
      <c r="F2883">
        <f>D2883*E2883*1</f>
        <v>1</v>
      </c>
      <c r="G2883">
        <f>1</f>
        <v>1</v>
      </c>
      <c r="H28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2882)&amp;"|",All_Questions_Q_STREAM_F_wrapped)),1,0),0))*1</f>
        <v>1</v>
      </c>
    </row>
    <row r="2884">
      <c r="A2884" t="n">
        <v>2883</v>
      </c>
      <c r="B2884" t="inlineStr">
        <is>
          <t>A</t>
        </is>
      </c>
      <c r="C2884">
        <f>1</f>
        <v>1</v>
      </c>
      <c r="D2884">
        <f>IF(OR(F_Custom1_Q="(None)",F_Custom1_Q="",ISBLANK(F_Custom1_Q),F_Custom1_V="(All)",F_Custom1_V="",ISBLANK(F_Custom1_V)),1,IFERROR(IF(ISNUMBER(SEARCH("|"&amp;INDEX(INDIRECT(F_Custom1_resolved_column),2883)&amp;"|",F_Custom1_wrapped)),1,0),0))</f>
        <v>1</v>
      </c>
      <c r="E2884">
        <f>IF(OR(F_Custom2_Q="(None)",F_Custom2_Q="",ISBLANK(F_Custom2_Q),F_Custom2_V="(All)",F_Custom2_V="",ISBLANK(F_Custom2_V)),1,IFERROR(IF(ISNUMBER(SEARCH("|"&amp;INDEX(INDIRECT(F_Custom2_resolved_column),2883)&amp;"|",F_Custom2_wrapped)),1,0),0))</f>
        <v>1</v>
      </c>
      <c r="F2884">
        <f>D2884*E2884*1</f>
        <v>1</v>
      </c>
      <c r="G2884">
        <f>1</f>
        <v>1</v>
      </c>
      <c r="H28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2883)&amp;"|",All_Questions_Q_STREAM_F_wrapped)),1,0),0))*1</f>
        <v>1</v>
      </c>
    </row>
    <row r="2885">
      <c r="A2885" t="n">
        <v>2884</v>
      </c>
      <c r="B2885" t="inlineStr">
        <is>
          <t>B</t>
        </is>
      </c>
      <c r="C2885">
        <f>1</f>
        <v>1</v>
      </c>
      <c r="D2885">
        <f>IF(OR(F_Custom1_Q="(None)",F_Custom1_Q="",ISBLANK(F_Custom1_Q),F_Custom1_V="(All)",F_Custom1_V="",ISBLANK(F_Custom1_V)),1,IFERROR(IF(ISNUMBER(SEARCH("|"&amp;INDEX(INDIRECT(F_Custom1_resolved_column),2884)&amp;"|",F_Custom1_wrapped)),1,0),0))</f>
        <v>1</v>
      </c>
      <c r="E2885">
        <f>IF(OR(F_Custom2_Q="(None)",F_Custom2_Q="",ISBLANK(F_Custom2_Q),F_Custom2_V="(All)",F_Custom2_V="",ISBLANK(F_Custom2_V)),1,IFERROR(IF(ISNUMBER(SEARCH("|"&amp;INDEX(INDIRECT(F_Custom2_resolved_column),2884)&amp;"|",F_Custom2_wrapped)),1,0),0))</f>
        <v>1</v>
      </c>
      <c r="F2885">
        <f>D2885*E2885*1</f>
        <v>1</v>
      </c>
      <c r="G2885">
        <f>1</f>
        <v>1</v>
      </c>
      <c r="H28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2884)&amp;"|",All_Questions_Q_STREAM_F_wrapped)),1,0),0))*1</f>
        <v>1</v>
      </c>
    </row>
    <row r="2886">
      <c r="A2886" t="n">
        <v>2885</v>
      </c>
      <c r="B2886" t="inlineStr">
        <is>
          <t>A</t>
        </is>
      </c>
      <c r="C2886">
        <f>1</f>
        <v>1</v>
      </c>
      <c r="D2886">
        <f>IF(OR(F_Custom1_Q="(None)",F_Custom1_Q="",ISBLANK(F_Custom1_Q),F_Custom1_V="(All)",F_Custom1_V="",ISBLANK(F_Custom1_V)),1,IFERROR(IF(ISNUMBER(SEARCH("|"&amp;INDEX(INDIRECT(F_Custom1_resolved_column),2885)&amp;"|",F_Custom1_wrapped)),1,0),0))</f>
        <v>1</v>
      </c>
      <c r="E2886">
        <f>IF(OR(F_Custom2_Q="(None)",F_Custom2_Q="",ISBLANK(F_Custom2_Q),F_Custom2_V="(All)",F_Custom2_V="",ISBLANK(F_Custom2_V)),1,IFERROR(IF(ISNUMBER(SEARCH("|"&amp;INDEX(INDIRECT(F_Custom2_resolved_column),2885)&amp;"|",F_Custom2_wrapped)),1,0),0))</f>
        <v>1</v>
      </c>
      <c r="F2886">
        <f>D2886*E2886*1</f>
        <v>1</v>
      </c>
      <c r="G2886">
        <f>1</f>
        <v>1</v>
      </c>
      <c r="H28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2885)&amp;"|",All_Questions_Q_STREAM_F_wrapped)),1,0),0))*1</f>
        <v>1</v>
      </c>
    </row>
    <row r="2887">
      <c r="A2887" t="n">
        <v>2886</v>
      </c>
      <c r="B2887" t="inlineStr">
        <is>
          <t>B</t>
        </is>
      </c>
      <c r="C2887">
        <f>1</f>
        <v>1</v>
      </c>
      <c r="D2887">
        <f>IF(OR(F_Custom1_Q="(None)",F_Custom1_Q="",ISBLANK(F_Custom1_Q),F_Custom1_V="(All)",F_Custom1_V="",ISBLANK(F_Custom1_V)),1,IFERROR(IF(ISNUMBER(SEARCH("|"&amp;INDEX(INDIRECT(F_Custom1_resolved_column),2886)&amp;"|",F_Custom1_wrapped)),1,0),0))</f>
        <v>1</v>
      </c>
      <c r="E2887">
        <f>IF(OR(F_Custom2_Q="(None)",F_Custom2_Q="",ISBLANK(F_Custom2_Q),F_Custom2_V="(All)",F_Custom2_V="",ISBLANK(F_Custom2_V)),1,IFERROR(IF(ISNUMBER(SEARCH("|"&amp;INDEX(INDIRECT(F_Custom2_resolved_column),2886)&amp;"|",F_Custom2_wrapped)),1,0),0))</f>
        <v>1</v>
      </c>
      <c r="F2887">
        <f>D2887*E2887*1</f>
        <v>1</v>
      </c>
      <c r="G2887">
        <f>1</f>
        <v>1</v>
      </c>
      <c r="H28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2886)&amp;"|",All_Questions_Q_STREAM_F_wrapped)),1,0),0))*1</f>
        <v>1</v>
      </c>
    </row>
    <row r="2888">
      <c r="A2888" t="n">
        <v>2887</v>
      </c>
      <c r="B2888" t="inlineStr">
        <is>
          <t>A</t>
        </is>
      </c>
      <c r="C2888">
        <f>1</f>
        <v>1</v>
      </c>
      <c r="D2888">
        <f>IF(OR(F_Custom1_Q="(None)",F_Custom1_Q="",ISBLANK(F_Custom1_Q),F_Custom1_V="(All)",F_Custom1_V="",ISBLANK(F_Custom1_V)),1,IFERROR(IF(ISNUMBER(SEARCH("|"&amp;INDEX(INDIRECT(F_Custom1_resolved_column),2887)&amp;"|",F_Custom1_wrapped)),1,0),0))</f>
        <v>1</v>
      </c>
      <c r="E2888">
        <f>IF(OR(F_Custom2_Q="(None)",F_Custom2_Q="",ISBLANK(F_Custom2_Q),F_Custom2_V="(All)",F_Custom2_V="",ISBLANK(F_Custom2_V)),1,IFERROR(IF(ISNUMBER(SEARCH("|"&amp;INDEX(INDIRECT(F_Custom2_resolved_column),2887)&amp;"|",F_Custom2_wrapped)),1,0),0))</f>
        <v>1</v>
      </c>
      <c r="F2888">
        <f>D2888*E2888*1</f>
        <v>1</v>
      </c>
      <c r="G2888">
        <f>1</f>
        <v>1</v>
      </c>
      <c r="H28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2887)&amp;"|",All_Questions_Q_STREAM_F_wrapped)),1,0),0))*1</f>
        <v>1</v>
      </c>
    </row>
    <row r="2889">
      <c r="A2889" t="n">
        <v>2888</v>
      </c>
      <c r="B2889" t="inlineStr">
        <is>
          <t>B</t>
        </is>
      </c>
      <c r="C2889">
        <f>1</f>
        <v>1</v>
      </c>
      <c r="D2889">
        <f>IF(OR(F_Custom1_Q="(None)",F_Custom1_Q="",ISBLANK(F_Custom1_Q),F_Custom1_V="(All)",F_Custom1_V="",ISBLANK(F_Custom1_V)),1,IFERROR(IF(ISNUMBER(SEARCH("|"&amp;INDEX(INDIRECT(F_Custom1_resolved_column),2888)&amp;"|",F_Custom1_wrapped)),1,0),0))</f>
        <v>1</v>
      </c>
      <c r="E2889">
        <f>IF(OR(F_Custom2_Q="(None)",F_Custom2_Q="",ISBLANK(F_Custom2_Q),F_Custom2_V="(All)",F_Custom2_V="",ISBLANK(F_Custom2_V)),1,IFERROR(IF(ISNUMBER(SEARCH("|"&amp;INDEX(INDIRECT(F_Custom2_resolved_column),2888)&amp;"|",F_Custom2_wrapped)),1,0),0))</f>
        <v>1</v>
      </c>
      <c r="F2889">
        <f>D2889*E2889*1</f>
        <v>1</v>
      </c>
      <c r="G2889">
        <f>1</f>
        <v>1</v>
      </c>
      <c r="H28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2888)&amp;"|",All_Questions_Q_STREAM_F_wrapped)),1,0),0))*1</f>
        <v>1</v>
      </c>
    </row>
    <row r="2890">
      <c r="A2890" t="n">
        <v>2889</v>
      </c>
      <c r="B2890" t="inlineStr">
        <is>
          <t>A</t>
        </is>
      </c>
      <c r="C2890">
        <f>1</f>
        <v>1</v>
      </c>
      <c r="D2890">
        <f>IF(OR(F_Custom1_Q="(None)",F_Custom1_Q="",ISBLANK(F_Custom1_Q),F_Custom1_V="(All)",F_Custom1_V="",ISBLANK(F_Custom1_V)),1,IFERROR(IF(ISNUMBER(SEARCH("|"&amp;INDEX(INDIRECT(F_Custom1_resolved_column),2889)&amp;"|",F_Custom1_wrapped)),1,0),0))</f>
        <v>1</v>
      </c>
      <c r="E2890">
        <f>IF(OR(F_Custom2_Q="(None)",F_Custom2_Q="",ISBLANK(F_Custom2_Q),F_Custom2_V="(All)",F_Custom2_V="",ISBLANK(F_Custom2_V)),1,IFERROR(IF(ISNUMBER(SEARCH("|"&amp;INDEX(INDIRECT(F_Custom2_resolved_column),2889)&amp;"|",F_Custom2_wrapped)),1,0),0))</f>
        <v>1</v>
      </c>
      <c r="F2890">
        <f>D2890*E2890*1</f>
        <v>1</v>
      </c>
      <c r="G2890">
        <f>1</f>
        <v>1</v>
      </c>
      <c r="H28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2889)&amp;"|",All_Questions_Q_STREAM_F_wrapped)),1,0),0))*1</f>
        <v>1</v>
      </c>
    </row>
    <row r="2891">
      <c r="A2891" t="n">
        <v>2890</v>
      </c>
      <c r="B2891" t="inlineStr">
        <is>
          <t>B</t>
        </is>
      </c>
      <c r="C2891">
        <f>1</f>
        <v>1</v>
      </c>
      <c r="D2891">
        <f>IF(OR(F_Custom1_Q="(None)",F_Custom1_Q="",ISBLANK(F_Custom1_Q),F_Custom1_V="(All)",F_Custom1_V="",ISBLANK(F_Custom1_V)),1,IFERROR(IF(ISNUMBER(SEARCH("|"&amp;INDEX(INDIRECT(F_Custom1_resolved_column),2890)&amp;"|",F_Custom1_wrapped)),1,0),0))</f>
        <v>1</v>
      </c>
      <c r="E2891">
        <f>IF(OR(F_Custom2_Q="(None)",F_Custom2_Q="",ISBLANK(F_Custom2_Q),F_Custom2_V="(All)",F_Custom2_V="",ISBLANK(F_Custom2_V)),1,IFERROR(IF(ISNUMBER(SEARCH("|"&amp;INDEX(INDIRECT(F_Custom2_resolved_column),2890)&amp;"|",F_Custom2_wrapped)),1,0),0))</f>
        <v>1</v>
      </c>
      <c r="F2891">
        <f>D2891*E2891*1</f>
        <v>1</v>
      </c>
      <c r="G2891">
        <f>1</f>
        <v>1</v>
      </c>
      <c r="H28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2890)&amp;"|",All_Questions_Q_STREAM_F_wrapped)),1,0),0))*1</f>
        <v>1</v>
      </c>
    </row>
    <row r="2892">
      <c r="A2892" t="n">
        <v>2891</v>
      </c>
      <c r="B2892" t="inlineStr">
        <is>
          <t>A</t>
        </is>
      </c>
      <c r="C2892">
        <f>1</f>
        <v>1</v>
      </c>
      <c r="D2892">
        <f>IF(OR(F_Custom1_Q="(None)",F_Custom1_Q="",ISBLANK(F_Custom1_Q),F_Custom1_V="(All)",F_Custom1_V="",ISBLANK(F_Custom1_V)),1,IFERROR(IF(ISNUMBER(SEARCH("|"&amp;INDEX(INDIRECT(F_Custom1_resolved_column),2891)&amp;"|",F_Custom1_wrapped)),1,0),0))</f>
        <v>1</v>
      </c>
      <c r="E2892">
        <f>IF(OR(F_Custom2_Q="(None)",F_Custom2_Q="",ISBLANK(F_Custom2_Q),F_Custom2_V="(All)",F_Custom2_V="",ISBLANK(F_Custom2_V)),1,IFERROR(IF(ISNUMBER(SEARCH("|"&amp;INDEX(INDIRECT(F_Custom2_resolved_column),2891)&amp;"|",F_Custom2_wrapped)),1,0),0))</f>
        <v>1</v>
      </c>
      <c r="F2892">
        <f>D2892*E2892*1</f>
        <v>1</v>
      </c>
      <c r="G2892">
        <f>1</f>
        <v>1</v>
      </c>
      <c r="H28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2891)&amp;"|",All_Questions_Q_STREAM_F_wrapped)),1,0),0))*1</f>
        <v>1</v>
      </c>
    </row>
    <row r="2893">
      <c r="A2893" t="n">
        <v>2892</v>
      </c>
      <c r="B2893" t="inlineStr">
        <is>
          <t>B</t>
        </is>
      </c>
      <c r="C2893">
        <f>1</f>
        <v>1</v>
      </c>
      <c r="D2893">
        <f>IF(OR(F_Custom1_Q="(None)",F_Custom1_Q="",ISBLANK(F_Custom1_Q),F_Custom1_V="(All)",F_Custom1_V="",ISBLANK(F_Custom1_V)),1,IFERROR(IF(ISNUMBER(SEARCH("|"&amp;INDEX(INDIRECT(F_Custom1_resolved_column),2892)&amp;"|",F_Custom1_wrapped)),1,0),0))</f>
        <v>1</v>
      </c>
      <c r="E2893">
        <f>IF(OR(F_Custom2_Q="(None)",F_Custom2_Q="",ISBLANK(F_Custom2_Q),F_Custom2_V="(All)",F_Custom2_V="",ISBLANK(F_Custom2_V)),1,IFERROR(IF(ISNUMBER(SEARCH("|"&amp;INDEX(INDIRECT(F_Custom2_resolved_column),2892)&amp;"|",F_Custom2_wrapped)),1,0),0))</f>
        <v>1</v>
      </c>
      <c r="F2893">
        <f>D2893*E2893*1</f>
        <v>1</v>
      </c>
      <c r="G2893">
        <f>1</f>
        <v>1</v>
      </c>
      <c r="H28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2892)&amp;"|",All_Questions_Q_STREAM_F_wrapped)),1,0),0))*1</f>
        <v>1</v>
      </c>
    </row>
    <row r="2894">
      <c r="A2894" t="n">
        <v>2893</v>
      </c>
      <c r="B2894" t="inlineStr">
        <is>
          <t>A</t>
        </is>
      </c>
      <c r="C2894">
        <f>1</f>
        <v>1</v>
      </c>
      <c r="D2894">
        <f>IF(OR(F_Custom1_Q="(None)",F_Custom1_Q="",ISBLANK(F_Custom1_Q),F_Custom1_V="(All)",F_Custom1_V="",ISBLANK(F_Custom1_V)),1,IFERROR(IF(ISNUMBER(SEARCH("|"&amp;INDEX(INDIRECT(F_Custom1_resolved_column),2893)&amp;"|",F_Custom1_wrapped)),1,0),0))</f>
        <v>1</v>
      </c>
      <c r="E2894">
        <f>IF(OR(F_Custom2_Q="(None)",F_Custom2_Q="",ISBLANK(F_Custom2_Q),F_Custom2_V="(All)",F_Custom2_V="",ISBLANK(F_Custom2_V)),1,IFERROR(IF(ISNUMBER(SEARCH("|"&amp;INDEX(INDIRECT(F_Custom2_resolved_column),2893)&amp;"|",F_Custom2_wrapped)),1,0),0))</f>
        <v>1</v>
      </c>
      <c r="F2894">
        <f>D2894*E2894*1</f>
        <v>1</v>
      </c>
      <c r="G2894">
        <f>1</f>
        <v>1</v>
      </c>
      <c r="H28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2893)&amp;"|",All_Questions_Q_STREAM_F_wrapped)),1,0),0))*1</f>
        <v>1</v>
      </c>
    </row>
    <row r="2895">
      <c r="A2895" t="n">
        <v>2894</v>
      </c>
      <c r="B2895" t="inlineStr">
        <is>
          <t>B</t>
        </is>
      </c>
      <c r="C2895">
        <f>1</f>
        <v>1</v>
      </c>
      <c r="D2895">
        <f>IF(OR(F_Custom1_Q="(None)",F_Custom1_Q="",ISBLANK(F_Custom1_Q),F_Custom1_V="(All)",F_Custom1_V="",ISBLANK(F_Custom1_V)),1,IFERROR(IF(ISNUMBER(SEARCH("|"&amp;INDEX(INDIRECT(F_Custom1_resolved_column),2894)&amp;"|",F_Custom1_wrapped)),1,0),0))</f>
        <v>1</v>
      </c>
      <c r="E2895">
        <f>IF(OR(F_Custom2_Q="(None)",F_Custom2_Q="",ISBLANK(F_Custom2_Q),F_Custom2_V="(All)",F_Custom2_V="",ISBLANK(F_Custom2_V)),1,IFERROR(IF(ISNUMBER(SEARCH("|"&amp;INDEX(INDIRECT(F_Custom2_resolved_column),2894)&amp;"|",F_Custom2_wrapped)),1,0),0))</f>
        <v>1</v>
      </c>
      <c r="F2895">
        <f>D2895*E2895*1</f>
        <v>1</v>
      </c>
      <c r="G2895">
        <f>1</f>
        <v>1</v>
      </c>
      <c r="H28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2894)&amp;"|",All_Questions_Q_STREAM_F_wrapped)),1,0),0))*1</f>
        <v>1</v>
      </c>
    </row>
    <row r="2896">
      <c r="A2896" t="n">
        <v>2895</v>
      </c>
      <c r="B2896" t="inlineStr">
        <is>
          <t>A</t>
        </is>
      </c>
      <c r="C2896">
        <f>1</f>
        <v>1</v>
      </c>
      <c r="D2896">
        <f>IF(OR(F_Custom1_Q="(None)",F_Custom1_Q="",ISBLANK(F_Custom1_Q),F_Custom1_V="(All)",F_Custom1_V="",ISBLANK(F_Custom1_V)),1,IFERROR(IF(ISNUMBER(SEARCH("|"&amp;INDEX(INDIRECT(F_Custom1_resolved_column),2895)&amp;"|",F_Custom1_wrapped)),1,0),0))</f>
        <v>1</v>
      </c>
      <c r="E2896">
        <f>IF(OR(F_Custom2_Q="(None)",F_Custom2_Q="",ISBLANK(F_Custom2_Q),F_Custom2_V="(All)",F_Custom2_V="",ISBLANK(F_Custom2_V)),1,IFERROR(IF(ISNUMBER(SEARCH("|"&amp;INDEX(INDIRECT(F_Custom2_resolved_column),2895)&amp;"|",F_Custom2_wrapped)),1,0),0))</f>
        <v>1</v>
      </c>
      <c r="F2896">
        <f>D2896*E2896*1</f>
        <v>1</v>
      </c>
      <c r="G2896">
        <f>1</f>
        <v>1</v>
      </c>
      <c r="H28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2895)&amp;"|",All_Questions_Q_STREAM_F_wrapped)),1,0),0))*1</f>
        <v>1</v>
      </c>
    </row>
    <row r="2897">
      <c r="A2897" t="n">
        <v>2896</v>
      </c>
      <c r="B2897" t="inlineStr">
        <is>
          <t>B</t>
        </is>
      </c>
      <c r="C2897">
        <f>1</f>
        <v>1</v>
      </c>
      <c r="D2897">
        <f>IF(OR(F_Custom1_Q="(None)",F_Custom1_Q="",ISBLANK(F_Custom1_Q),F_Custom1_V="(All)",F_Custom1_V="",ISBLANK(F_Custom1_V)),1,IFERROR(IF(ISNUMBER(SEARCH("|"&amp;INDEX(INDIRECT(F_Custom1_resolved_column),2896)&amp;"|",F_Custom1_wrapped)),1,0),0))</f>
        <v>1</v>
      </c>
      <c r="E2897">
        <f>IF(OR(F_Custom2_Q="(None)",F_Custom2_Q="",ISBLANK(F_Custom2_Q),F_Custom2_V="(All)",F_Custom2_V="",ISBLANK(F_Custom2_V)),1,IFERROR(IF(ISNUMBER(SEARCH("|"&amp;INDEX(INDIRECT(F_Custom2_resolved_column),2896)&amp;"|",F_Custom2_wrapped)),1,0),0))</f>
        <v>1</v>
      </c>
      <c r="F2897">
        <f>D2897*E2897*1</f>
        <v>1</v>
      </c>
      <c r="G2897">
        <f>1</f>
        <v>1</v>
      </c>
      <c r="H28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2896)&amp;"|",All_Questions_Q_STREAM_F_wrapped)),1,0),0))*1</f>
        <v>1</v>
      </c>
    </row>
    <row r="2898">
      <c r="A2898" t="n">
        <v>2897</v>
      </c>
      <c r="B2898" t="inlineStr">
        <is>
          <t>A</t>
        </is>
      </c>
      <c r="C2898">
        <f>1</f>
        <v>1</v>
      </c>
      <c r="D2898">
        <f>IF(OR(F_Custom1_Q="(None)",F_Custom1_Q="",ISBLANK(F_Custom1_Q),F_Custom1_V="(All)",F_Custom1_V="",ISBLANK(F_Custom1_V)),1,IFERROR(IF(ISNUMBER(SEARCH("|"&amp;INDEX(INDIRECT(F_Custom1_resolved_column),2897)&amp;"|",F_Custom1_wrapped)),1,0),0))</f>
        <v>1</v>
      </c>
      <c r="E2898">
        <f>IF(OR(F_Custom2_Q="(None)",F_Custom2_Q="",ISBLANK(F_Custom2_Q),F_Custom2_V="(All)",F_Custom2_V="",ISBLANK(F_Custom2_V)),1,IFERROR(IF(ISNUMBER(SEARCH("|"&amp;INDEX(INDIRECT(F_Custom2_resolved_column),2897)&amp;"|",F_Custom2_wrapped)),1,0),0))</f>
        <v>1</v>
      </c>
      <c r="F2898">
        <f>D2898*E2898*1</f>
        <v>1</v>
      </c>
      <c r="G2898">
        <f>1</f>
        <v>1</v>
      </c>
      <c r="H28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2897)&amp;"|",All_Questions_Q_STREAM_F_wrapped)),1,0),0))*1</f>
        <v>1</v>
      </c>
    </row>
    <row r="2899">
      <c r="A2899" t="n">
        <v>2898</v>
      </c>
      <c r="B2899" t="inlineStr">
        <is>
          <t>B</t>
        </is>
      </c>
      <c r="C2899">
        <f>1</f>
        <v>1</v>
      </c>
      <c r="D2899">
        <f>IF(OR(F_Custom1_Q="(None)",F_Custom1_Q="",ISBLANK(F_Custom1_Q),F_Custom1_V="(All)",F_Custom1_V="",ISBLANK(F_Custom1_V)),1,IFERROR(IF(ISNUMBER(SEARCH("|"&amp;INDEX(INDIRECT(F_Custom1_resolved_column),2898)&amp;"|",F_Custom1_wrapped)),1,0),0))</f>
        <v>1</v>
      </c>
      <c r="E2899">
        <f>IF(OR(F_Custom2_Q="(None)",F_Custom2_Q="",ISBLANK(F_Custom2_Q),F_Custom2_V="(All)",F_Custom2_V="",ISBLANK(F_Custom2_V)),1,IFERROR(IF(ISNUMBER(SEARCH("|"&amp;INDEX(INDIRECT(F_Custom2_resolved_column),2898)&amp;"|",F_Custom2_wrapped)),1,0),0))</f>
        <v>1</v>
      </c>
      <c r="F2899">
        <f>D2899*E2899*1</f>
        <v>1</v>
      </c>
      <c r="G2899">
        <f>1</f>
        <v>1</v>
      </c>
      <c r="H28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2898)&amp;"|",All_Questions_Q_STREAM_F_wrapped)),1,0),0))*1</f>
        <v>1</v>
      </c>
    </row>
    <row r="2900">
      <c r="A2900" t="n">
        <v>2899</v>
      </c>
      <c r="B2900" t="inlineStr">
        <is>
          <t>A</t>
        </is>
      </c>
      <c r="C2900">
        <f>1</f>
        <v>1</v>
      </c>
      <c r="D2900">
        <f>IF(OR(F_Custom1_Q="(None)",F_Custom1_Q="",ISBLANK(F_Custom1_Q),F_Custom1_V="(All)",F_Custom1_V="",ISBLANK(F_Custom1_V)),1,IFERROR(IF(ISNUMBER(SEARCH("|"&amp;INDEX(INDIRECT(F_Custom1_resolved_column),2899)&amp;"|",F_Custom1_wrapped)),1,0),0))</f>
        <v>1</v>
      </c>
      <c r="E2900">
        <f>IF(OR(F_Custom2_Q="(None)",F_Custom2_Q="",ISBLANK(F_Custom2_Q),F_Custom2_V="(All)",F_Custom2_V="",ISBLANK(F_Custom2_V)),1,IFERROR(IF(ISNUMBER(SEARCH("|"&amp;INDEX(INDIRECT(F_Custom2_resolved_column),2899)&amp;"|",F_Custom2_wrapped)),1,0),0))</f>
        <v>1</v>
      </c>
      <c r="F2900">
        <f>D2900*E2900*1</f>
        <v>1</v>
      </c>
      <c r="G2900">
        <f>1</f>
        <v>1</v>
      </c>
      <c r="H29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2899)&amp;"|",All_Questions_Q_STREAM_F_wrapped)),1,0),0))*1</f>
        <v>1</v>
      </c>
    </row>
    <row r="2901">
      <c r="A2901" t="n">
        <v>2900</v>
      </c>
      <c r="B2901" t="inlineStr">
        <is>
          <t>B</t>
        </is>
      </c>
      <c r="C2901">
        <f>1</f>
        <v>1</v>
      </c>
      <c r="D2901">
        <f>IF(OR(F_Custom1_Q="(None)",F_Custom1_Q="",ISBLANK(F_Custom1_Q),F_Custom1_V="(All)",F_Custom1_V="",ISBLANK(F_Custom1_V)),1,IFERROR(IF(ISNUMBER(SEARCH("|"&amp;INDEX(INDIRECT(F_Custom1_resolved_column),2900)&amp;"|",F_Custom1_wrapped)),1,0),0))</f>
        <v>1</v>
      </c>
      <c r="E2901">
        <f>IF(OR(F_Custom2_Q="(None)",F_Custom2_Q="",ISBLANK(F_Custom2_Q),F_Custom2_V="(All)",F_Custom2_V="",ISBLANK(F_Custom2_V)),1,IFERROR(IF(ISNUMBER(SEARCH("|"&amp;INDEX(INDIRECT(F_Custom2_resolved_column),2900)&amp;"|",F_Custom2_wrapped)),1,0),0))</f>
        <v>1</v>
      </c>
      <c r="F2901">
        <f>D2901*E2901*1</f>
        <v>1</v>
      </c>
      <c r="G2901">
        <f>1</f>
        <v>1</v>
      </c>
      <c r="H29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2900)&amp;"|",All_Questions_Q_STREAM_F_wrapped)),1,0),0))*1</f>
        <v>1</v>
      </c>
    </row>
    <row r="2902">
      <c r="A2902" t="n">
        <v>2901</v>
      </c>
      <c r="B2902" t="inlineStr">
        <is>
          <t>A</t>
        </is>
      </c>
      <c r="C2902">
        <f>1</f>
        <v>1</v>
      </c>
      <c r="D2902">
        <f>IF(OR(F_Custom1_Q="(None)",F_Custom1_Q="",ISBLANK(F_Custom1_Q),F_Custom1_V="(All)",F_Custom1_V="",ISBLANK(F_Custom1_V)),1,IFERROR(IF(ISNUMBER(SEARCH("|"&amp;INDEX(INDIRECT(F_Custom1_resolved_column),2901)&amp;"|",F_Custom1_wrapped)),1,0),0))</f>
        <v>1</v>
      </c>
      <c r="E2902">
        <f>IF(OR(F_Custom2_Q="(None)",F_Custom2_Q="",ISBLANK(F_Custom2_Q),F_Custom2_V="(All)",F_Custom2_V="",ISBLANK(F_Custom2_V)),1,IFERROR(IF(ISNUMBER(SEARCH("|"&amp;INDEX(INDIRECT(F_Custom2_resolved_column),2901)&amp;"|",F_Custom2_wrapped)),1,0),0))</f>
        <v>1</v>
      </c>
      <c r="F2902">
        <f>D2902*E2902*1</f>
        <v>1</v>
      </c>
      <c r="G2902">
        <f>1</f>
        <v>1</v>
      </c>
      <c r="H29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2901)&amp;"|",All_Questions_Q_STREAM_F_wrapped)),1,0),0))*1</f>
        <v>1</v>
      </c>
    </row>
    <row r="2903">
      <c r="A2903" t="n">
        <v>2902</v>
      </c>
      <c r="B2903" t="inlineStr">
        <is>
          <t>B</t>
        </is>
      </c>
      <c r="C2903">
        <f>1</f>
        <v>1</v>
      </c>
      <c r="D2903">
        <f>IF(OR(F_Custom1_Q="(None)",F_Custom1_Q="",ISBLANK(F_Custom1_Q),F_Custom1_V="(All)",F_Custom1_V="",ISBLANK(F_Custom1_V)),1,IFERROR(IF(ISNUMBER(SEARCH("|"&amp;INDEX(INDIRECT(F_Custom1_resolved_column),2902)&amp;"|",F_Custom1_wrapped)),1,0),0))</f>
        <v>1</v>
      </c>
      <c r="E2903">
        <f>IF(OR(F_Custom2_Q="(None)",F_Custom2_Q="",ISBLANK(F_Custom2_Q),F_Custom2_V="(All)",F_Custom2_V="",ISBLANK(F_Custom2_V)),1,IFERROR(IF(ISNUMBER(SEARCH("|"&amp;INDEX(INDIRECT(F_Custom2_resolved_column),2902)&amp;"|",F_Custom2_wrapped)),1,0),0))</f>
        <v>1</v>
      </c>
      <c r="F2903">
        <f>D2903*E2903*1</f>
        <v>1</v>
      </c>
      <c r="G2903">
        <f>1</f>
        <v>1</v>
      </c>
      <c r="H29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2902)&amp;"|",All_Questions_Q_STREAM_F_wrapped)),1,0),0))*1</f>
        <v>1</v>
      </c>
    </row>
    <row r="2904">
      <c r="A2904" t="n">
        <v>2903</v>
      </c>
      <c r="B2904" t="inlineStr">
        <is>
          <t>A</t>
        </is>
      </c>
      <c r="C2904">
        <f>1</f>
        <v>1</v>
      </c>
      <c r="D2904">
        <f>IF(OR(F_Custom1_Q="(None)",F_Custom1_Q="",ISBLANK(F_Custom1_Q),F_Custom1_V="(All)",F_Custom1_V="",ISBLANK(F_Custom1_V)),1,IFERROR(IF(ISNUMBER(SEARCH("|"&amp;INDEX(INDIRECT(F_Custom1_resolved_column),2903)&amp;"|",F_Custom1_wrapped)),1,0),0))</f>
        <v>1</v>
      </c>
      <c r="E2904">
        <f>IF(OR(F_Custom2_Q="(None)",F_Custom2_Q="",ISBLANK(F_Custom2_Q),F_Custom2_V="(All)",F_Custom2_V="",ISBLANK(F_Custom2_V)),1,IFERROR(IF(ISNUMBER(SEARCH("|"&amp;INDEX(INDIRECT(F_Custom2_resolved_column),2903)&amp;"|",F_Custom2_wrapped)),1,0),0))</f>
        <v>1</v>
      </c>
      <c r="F2904">
        <f>D2904*E2904*1</f>
        <v>1</v>
      </c>
      <c r="G2904">
        <f>1</f>
        <v>1</v>
      </c>
      <c r="H29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2903)&amp;"|",All_Questions_Q_STREAM_F_wrapped)),1,0),0))*1</f>
        <v>1</v>
      </c>
    </row>
    <row r="2905">
      <c r="A2905" t="n">
        <v>2904</v>
      </c>
      <c r="B2905" t="inlineStr">
        <is>
          <t>B</t>
        </is>
      </c>
      <c r="C2905">
        <f>1</f>
        <v>1</v>
      </c>
      <c r="D2905">
        <f>IF(OR(F_Custom1_Q="(None)",F_Custom1_Q="",ISBLANK(F_Custom1_Q),F_Custom1_V="(All)",F_Custom1_V="",ISBLANK(F_Custom1_V)),1,IFERROR(IF(ISNUMBER(SEARCH("|"&amp;INDEX(INDIRECT(F_Custom1_resolved_column),2904)&amp;"|",F_Custom1_wrapped)),1,0),0))</f>
        <v>1</v>
      </c>
      <c r="E2905">
        <f>IF(OR(F_Custom2_Q="(None)",F_Custom2_Q="",ISBLANK(F_Custom2_Q),F_Custom2_V="(All)",F_Custom2_V="",ISBLANK(F_Custom2_V)),1,IFERROR(IF(ISNUMBER(SEARCH("|"&amp;INDEX(INDIRECT(F_Custom2_resolved_column),2904)&amp;"|",F_Custom2_wrapped)),1,0),0))</f>
        <v>1</v>
      </c>
      <c r="F2905">
        <f>D2905*E2905*1</f>
        <v>1</v>
      </c>
      <c r="G2905">
        <f>1</f>
        <v>1</v>
      </c>
      <c r="H29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2904)&amp;"|",All_Questions_Q_STREAM_F_wrapped)),1,0),0))*1</f>
        <v>1</v>
      </c>
    </row>
    <row r="2906">
      <c r="A2906" t="n">
        <v>2905</v>
      </c>
      <c r="B2906" t="inlineStr">
        <is>
          <t>A</t>
        </is>
      </c>
      <c r="C2906">
        <f>1</f>
        <v>1</v>
      </c>
      <c r="D2906">
        <f>IF(OR(F_Custom1_Q="(None)",F_Custom1_Q="",ISBLANK(F_Custom1_Q),F_Custom1_V="(All)",F_Custom1_V="",ISBLANK(F_Custom1_V)),1,IFERROR(IF(ISNUMBER(SEARCH("|"&amp;INDEX(INDIRECT(F_Custom1_resolved_column),2905)&amp;"|",F_Custom1_wrapped)),1,0),0))</f>
        <v>1</v>
      </c>
      <c r="E2906">
        <f>IF(OR(F_Custom2_Q="(None)",F_Custom2_Q="",ISBLANK(F_Custom2_Q),F_Custom2_V="(All)",F_Custom2_V="",ISBLANK(F_Custom2_V)),1,IFERROR(IF(ISNUMBER(SEARCH("|"&amp;INDEX(INDIRECT(F_Custom2_resolved_column),2905)&amp;"|",F_Custom2_wrapped)),1,0),0))</f>
        <v>1</v>
      </c>
      <c r="F2906">
        <f>D2906*E2906*1</f>
        <v>1</v>
      </c>
      <c r="G2906">
        <f>1</f>
        <v>1</v>
      </c>
      <c r="H29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2905)&amp;"|",All_Questions_Q_STREAM_F_wrapped)),1,0),0))*1</f>
        <v>1</v>
      </c>
    </row>
    <row r="2907">
      <c r="A2907" t="n">
        <v>2906</v>
      </c>
      <c r="B2907" t="inlineStr">
        <is>
          <t>B</t>
        </is>
      </c>
      <c r="C2907">
        <f>1</f>
        <v>1</v>
      </c>
      <c r="D2907">
        <f>IF(OR(F_Custom1_Q="(None)",F_Custom1_Q="",ISBLANK(F_Custom1_Q),F_Custom1_V="(All)",F_Custom1_V="",ISBLANK(F_Custom1_V)),1,IFERROR(IF(ISNUMBER(SEARCH("|"&amp;INDEX(INDIRECT(F_Custom1_resolved_column),2906)&amp;"|",F_Custom1_wrapped)),1,0),0))</f>
        <v>1</v>
      </c>
      <c r="E2907">
        <f>IF(OR(F_Custom2_Q="(None)",F_Custom2_Q="",ISBLANK(F_Custom2_Q),F_Custom2_V="(All)",F_Custom2_V="",ISBLANK(F_Custom2_V)),1,IFERROR(IF(ISNUMBER(SEARCH("|"&amp;INDEX(INDIRECT(F_Custom2_resolved_column),2906)&amp;"|",F_Custom2_wrapped)),1,0),0))</f>
        <v>1</v>
      </c>
      <c r="F2907">
        <f>D2907*E2907*1</f>
        <v>1</v>
      </c>
      <c r="G2907">
        <f>1</f>
        <v>1</v>
      </c>
      <c r="H29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2906)&amp;"|",All_Questions_Q_STREAM_F_wrapped)),1,0),0))*1</f>
        <v>1</v>
      </c>
    </row>
    <row r="2908">
      <c r="A2908" t="n">
        <v>2907</v>
      </c>
      <c r="B2908" t="inlineStr">
        <is>
          <t>A</t>
        </is>
      </c>
      <c r="C2908">
        <f>1</f>
        <v>1</v>
      </c>
      <c r="D2908">
        <f>IF(OR(F_Custom1_Q="(None)",F_Custom1_Q="",ISBLANK(F_Custom1_Q),F_Custom1_V="(All)",F_Custom1_V="",ISBLANK(F_Custom1_V)),1,IFERROR(IF(ISNUMBER(SEARCH("|"&amp;INDEX(INDIRECT(F_Custom1_resolved_column),2907)&amp;"|",F_Custom1_wrapped)),1,0),0))</f>
        <v>1</v>
      </c>
      <c r="E2908">
        <f>IF(OR(F_Custom2_Q="(None)",F_Custom2_Q="",ISBLANK(F_Custom2_Q),F_Custom2_V="(All)",F_Custom2_V="",ISBLANK(F_Custom2_V)),1,IFERROR(IF(ISNUMBER(SEARCH("|"&amp;INDEX(INDIRECT(F_Custom2_resolved_column),2907)&amp;"|",F_Custom2_wrapped)),1,0),0))</f>
        <v>1</v>
      </c>
      <c r="F2908">
        <f>D2908*E2908*1</f>
        <v>1</v>
      </c>
      <c r="G2908">
        <f>1</f>
        <v>1</v>
      </c>
      <c r="H29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2907)&amp;"|",All_Questions_Q_STREAM_F_wrapped)),1,0),0))*1</f>
        <v>1</v>
      </c>
    </row>
    <row r="2909">
      <c r="A2909" t="n">
        <v>2908</v>
      </c>
      <c r="B2909" t="inlineStr">
        <is>
          <t>B</t>
        </is>
      </c>
      <c r="C2909">
        <f>1</f>
        <v>1</v>
      </c>
      <c r="D2909">
        <f>IF(OR(F_Custom1_Q="(None)",F_Custom1_Q="",ISBLANK(F_Custom1_Q),F_Custom1_V="(All)",F_Custom1_V="",ISBLANK(F_Custom1_V)),1,IFERROR(IF(ISNUMBER(SEARCH("|"&amp;INDEX(INDIRECT(F_Custom1_resolved_column),2908)&amp;"|",F_Custom1_wrapped)),1,0),0))</f>
        <v>1</v>
      </c>
      <c r="E2909">
        <f>IF(OR(F_Custom2_Q="(None)",F_Custom2_Q="",ISBLANK(F_Custom2_Q),F_Custom2_V="(All)",F_Custom2_V="",ISBLANK(F_Custom2_V)),1,IFERROR(IF(ISNUMBER(SEARCH("|"&amp;INDEX(INDIRECT(F_Custom2_resolved_column),2908)&amp;"|",F_Custom2_wrapped)),1,0),0))</f>
        <v>1</v>
      </c>
      <c r="F2909">
        <f>D2909*E2909*1</f>
        <v>1</v>
      </c>
      <c r="G2909">
        <f>1</f>
        <v>1</v>
      </c>
      <c r="H29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2908)&amp;"|",All_Questions_Q_STREAM_F_wrapped)),1,0),0))*1</f>
        <v>1</v>
      </c>
    </row>
    <row r="2910">
      <c r="A2910" t="n">
        <v>2909</v>
      </c>
      <c r="B2910" t="inlineStr">
        <is>
          <t>A</t>
        </is>
      </c>
      <c r="C2910">
        <f>1</f>
        <v>1</v>
      </c>
      <c r="D2910">
        <f>IF(OR(F_Custom1_Q="(None)",F_Custom1_Q="",ISBLANK(F_Custom1_Q),F_Custom1_V="(All)",F_Custom1_V="",ISBLANK(F_Custom1_V)),1,IFERROR(IF(ISNUMBER(SEARCH("|"&amp;INDEX(INDIRECT(F_Custom1_resolved_column),2909)&amp;"|",F_Custom1_wrapped)),1,0),0))</f>
        <v>1</v>
      </c>
      <c r="E2910">
        <f>IF(OR(F_Custom2_Q="(None)",F_Custom2_Q="",ISBLANK(F_Custom2_Q),F_Custom2_V="(All)",F_Custom2_V="",ISBLANK(F_Custom2_V)),1,IFERROR(IF(ISNUMBER(SEARCH("|"&amp;INDEX(INDIRECT(F_Custom2_resolved_column),2909)&amp;"|",F_Custom2_wrapped)),1,0),0))</f>
        <v>1</v>
      </c>
      <c r="F2910">
        <f>D2910*E2910*1</f>
        <v>1</v>
      </c>
      <c r="G2910">
        <f>1</f>
        <v>1</v>
      </c>
      <c r="H29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2909)&amp;"|",All_Questions_Q_STREAM_F_wrapped)),1,0),0))*1</f>
        <v>1</v>
      </c>
    </row>
    <row r="2911">
      <c r="A2911" t="n">
        <v>2910</v>
      </c>
      <c r="B2911" t="inlineStr">
        <is>
          <t>B</t>
        </is>
      </c>
      <c r="C2911">
        <f>1</f>
        <v>1</v>
      </c>
      <c r="D2911">
        <f>IF(OR(F_Custom1_Q="(None)",F_Custom1_Q="",ISBLANK(F_Custom1_Q),F_Custom1_V="(All)",F_Custom1_V="",ISBLANK(F_Custom1_V)),1,IFERROR(IF(ISNUMBER(SEARCH("|"&amp;INDEX(INDIRECT(F_Custom1_resolved_column),2910)&amp;"|",F_Custom1_wrapped)),1,0),0))</f>
        <v>1</v>
      </c>
      <c r="E2911">
        <f>IF(OR(F_Custom2_Q="(None)",F_Custom2_Q="",ISBLANK(F_Custom2_Q),F_Custom2_V="(All)",F_Custom2_V="",ISBLANK(F_Custom2_V)),1,IFERROR(IF(ISNUMBER(SEARCH("|"&amp;INDEX(INDIRECT(F_Custom2_resolved_column),2910)&amp;"|",F_Custom2_wrapped)),1,0),0))</f>
        <v>1</v>
      </c>
      <c r="F2911">
        <f>D2911*E2911*1</f>
        <v>1</v>
      </c>
      <c r="G2911">
        <f>1</f>
        <v>1</v>
      </c>
      <c r="H29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2910)&amp;"|",All_Questions_Q_STREAM_F_wrapped)),1,0),0))*1</f>
        <v>1</v>
      </c>
    </row>
    <row r="2912">
      <c r="A2912" t="n">
        <v>2911</v>
      </c>
      <c r="B2912" t="inlineStr">
        <is>
          <t>A</t>
        </is>
      </c>
      <c r="C2912">
        <f>1</f>
        <v>1</v>
      </c>
      <c r="D2912">
        <f>IF(OR(F_Custom1_Q="(None)",F_Custom1_Q="",ISBLANK(F_Custom1_Q),F_Custom1_V="(All)",F_Custom1_V="",ISBLANK(F_Custom1_V)),1,IFERROR(IF(ISNUMBER(SEARCH("|"&amp;INDEX(INDIRECT(F_Custom1_resolved_column),2911)&amp;"|",F_Custom1_wrapped)),1,0),0))</f>
        <v>1</v>
      </c>
      <c r="E2912">
        <f>IF(OR(F_Custom2_Q="(None)",F_Custom2_Q="",ISBLANK(F_Custom2_Q),F_Custom2_V="(All)",F_Custom2_V="",ISBLANK(F_Custom2_V)),1,IFERROR(IF(ISNUMBER(SEARCH("|"&amp;INDEX(INDIRECT(F_Custom2_resolved_column),2911)&amp;"|",F_Custom2_wrapped)),1,0),0))</f>
        <v>1</v>
      </c>
      <c r="F2912">
        <f>D2912*E2912*1</f>
        <v>1</v>
      </c>
      <c r="G2912">
        <f>1</f>
        <v>1</v>
      </c>
      <c r="H29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2911)&amp;"|",All_Questions_Q_STREAM_F_wrapped)),1,0),0))*1</f>
        <v>1</v>
      </c>
    </row>
    <row r="2913">
      <c r="A2913" t="n">
        <v>2912</v>
      </c>
      <c r="B2913" t="inlineStr">
        <is>
          <t>B</t>
        </is>
      </c>
      <c r="C2913">
        <f>1</f>
        <v>1</v>
      </c>
      <c r="D2913">
        <f>IF(OR(F_Custom1_Q="(None)",F_Custom1_Q="",ISBLANK(F_Custom1_Q),F_Custom1_V="(All)",F_Custom1_V="",ISBLANK(F_Custom1_V)),1,IFERROR(IF(ISNUMBER(SEARCH("|"&amp;INDEX(INDIRECT(F_Custom1_resolved_column),2912)&amp;"|",F_Custom1_wrapped)),1,0),0))</f>
        <v>1</v>
      </c>
      <c r="E2913">
        <f>IF(OR(F_Custom2_Q="(None)",F_Custom2_Q="",ISBLANK(F_Custom2_Q),F_Custom2_V="(All)",F_Custom2_V="",ISBLANK(F_Custom2_V)),1,IFERROR(IF(ISNUMBER(SEARCH("|"&amp;INDEX(INDIRECT(F_Custom2_resolved_column),2912)&amp;"|",F_Custom2_wrapped)),1,0),0))</f>
        <v>1</v>
      </c>
      <c r="F2913">
        <f>D2913*E2913*1</f>
        <v>1</v>
      </c>
      <c r="G2913">
        <f>1</f>
        <v>1</v>
      </c>
      <c r="H29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2912)&amp;"|",All_Questions_Q_STREAM_F_wrapped)),1,0),0))*1</f>
        <v>1</v>
      </c>
    </row>
    <row r="2914">
      <c r="A2914" t="n">
        <v>2913</v>
      </c>
      <c r="B2914" t="inlineStr">
        <is>
          <t>A</t>
        </is>
      </c>
      <c r="C2914">
        <f>1</f>
        <v>1</v>
      </c>
      <c r="D2914">
        <f>IF(OR(F_Custom1_Q="(None)",F_Custom1_Q="",ISBLANK(F_Custom1_Q),F_Custom1_V="(All)",F_Custom1_V="",ISBLANK(F_Custom1_V)),1,IFERROR(IF(ISNUMBER(SEARCH("|"&amp;INDEX(INDIRECT(F_Custom1_resolved_column),2913)&amp;"|",F_Custom1_wrapped)),1,0),0))</f>
        <v>1</v>
      </c>
      <c r="E2914">
        <f>IF(OR(F_Custom2_Q="(None)",F_Custom2_Q="",ISBLANK(F_Custom2_Q),F_Custom2_V="(All)",F_Custom2_V="",ISBLANK(F_Custom2_V)),1,IFERROR(IF(ISNUMBER(SEARCH("|"&amp;INDEX(INDIRECT(F_Custom2_resolved_column),2913)&amp;"|",F_Custom2_wrapped)),1,0),0))</f>
        <v>1</v>
      </c>
      <c r="F2914">
        <f>D2914*E2914*1</f>
        <v>1</v>
      </c>
      <c r="G2914">
        <f>1</f>
        <v>1</v>
      </c>
      <c r="H29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2913)&amp;"|",All_Questions_Q_STREAM_F_wrapped)),1,0),0))*1</f>
        <v>1</v>
      </c>
    </row>
    <row r="2915">
      <c r="A2915" t="n">
        <v>2914</v>
      </c>
      <c r="B2915" t="inlineStr">
        <is>
          <t>B</t>
        </is>
      </c>
      <c r="C2915">
        <f>1</f>
        <v>1</v>
      </c>
      <c r="D2915">
        <f>IF(OR(F_Custom1_Q="(None)",F_Custom1_Q="",ISBLANK(F_Custom1_Q),F_Custom1_V="(All)",F_Custom1_V="",ISBLANK(F_Custom1_V)),1,IFERROR(IF(ISNUMBER(SEARCH("|"&amp;INDEX(INDIRECT(F_Custom1_resolved_column),2914)&amp;"|",F_Custom1_wrapped)),1,0),0))</f>
        <v>1</v>
      </c>
      <c r="E2915">
        <f>IF(OR(F_Custom2_Q="(None)",F_Custom2_Q="",ISBLANK(F_Custom2_Q),F_Custom2_V="(All)",F_Custom2_V="",ISBLANK(F_Custom2_V)),1,IFERROR(IF(ISNUMBER(SEARCH("|"&amp;INDEX(INDIRECT(F_Custom2_resolved_column),2914)&amp;"|",F_Custom2_wrapped)),1,0),0))</f>
        <v>1</v>
      </c>
      <c r="F2915">
        <f>D2915*E2915*1</f>
        <v>1</v>
      </c>
      <c r="G2915">
        <f>1</f>
        <v>1</v>
      </c>
      <c r="H29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2914)&amp;"|",All_Questions_Q_STREAM_F_wrapped)),1,0),0))*1</f>
        <v>1</v>
      </c>
    </row>
    <row r="2916">
      <c r="A2916" t="n">
        <v>2915</v>
      </c>
      <c r="B2916" t="inlineStr">
        <is>
          <t>A</t>
        </is>
      </c>
      <c r="C2916">
        <f>1</f>
        <v>1</v>
      </c>
      <c r="D2916">
        <f>IF(OR(F_Custom1_Q="(None)",F_Custom1_Q="",ISBLANK(F_Custom1_Q),F_Custom1_V="(All)",F_Custom1_V="",ISBLANK(F_Custom1_V)),1,IFERROR(IF(ISNUMBER(SEARCH("|"&amp;INDEX(INDIRECT(F_Custom1_resolved_column),2915)&amp;"|",F_Custom1_wrapped)),1,0),0))</f>
        <v>1</v>
      </c>
      <c r="E2916">
        <f>IF(OR(F_Custom2_Q="(None)",F_Custom2_Q="",ISBLANK(F_Custom2_Q),F_Custom2_V="(All)",F_Custom2_V="",ISBLANK(F_Custom2_V)),1,IFERROR(IF(ISNUMBER(SEARCH("|"&amp;INDEX(INDIRECT(F_Custom2_resolved_column),2915)&amp;"|",F_Custom2_wrapped)),1,0),0))</f>
        <v>1</v>
      </c>
      <c r="F2916">
        <f>D2916*E2916*1</f>
        <v>1</v>
      </c>
      <c r="G2916">
        <f>1</f>
        <v>1</v>
      </c>
      <c r="H29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2915)&amp;"|",All_Questions_Q_STREAM_F_wrapped)),1,0),0))*1</f>
        <v>1</v>
      </c>
    </row>
    <row r="2917">
      <c r="A2917" t="n">
        <v>2916</v>
      </c>
      <c r="B2917" t="inlineStr">
        <is>
          <t>B</t>
        </is>
      </c>
      <c r="C2917">
        <f>1</f>
        <v>1</v>
      </c>
      <c r="D2917">
        <f>IF(OR(F_Custom1_Q="(None)",F_Custom1_Q="",ISBLANK(F_Custom1_Q),F_Custom1_V="(All)",F_Custom1_V="",ISBLANK(F_Custom1_V)),1,IFERROR(IF(ISNUMBER(SEARCH("|"&amp;INDEX(INDIRECT(F_Custom1_resolved_column),2916)&amp;"|",F_Custom1_wrapped)),1,0),0))</f>
        <v>1</v>
      </c>
      <c r="E2917">
        <f>IF(OR(F_Custom2_Q="(None)",F_Custom2_Q="",ISBLANK(F_Custom2_Q),F_Custom2_V="(All)",F_Custom2_V="",ISBLANK(F_Custom2_V)),1,IFERROR(IF(ISNUMBER(SEARCH("|"&amp;INDEX(INDIRECT(F_Custom2_resolved_column),2916)&amp;"|",F_Custom2_wrapped)),1,0),0))</f>
        <v>1</v>
      </c>
      <c r="F2917">
        <f>D2917*E2917*1</f>
        <v>1</v>
      </c>
      <c r="G2917">
        <f>1</f>
        <v>1</v>
      </c>
      <c r="H29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2916)&amp;"|",All_Questions_Q_STREAM_F_wrapped)),1,0),0))*1</f>
        <v>1</v>
      </c>
    </row>
    <row r="2918">
      <c r="A2918" t="n">
        <v>2917</v>
      </c>
      <c r="B2918" t="inlineStr">
        <is>
          <t>A</t>
        </is>
      </c>
      <c r="C2918">
        <f>1</f>
        <v>1</v>
      </c>
      <c r="D2918">
        <f>IF(OR(F_Custom1_Q="(None)",F_Custom1_Q="",ISBLANK(F_Custom1_Q),F_Custom1_V="(All)",F_Custom1_V="",ISBLANK(F_Custom1_V)),1,IFERROR(IF(ISNUMBER(SEARCH("|"&amp;INDEX(INDIRECT(F_Custom1_resolved_column),2917)&amp;"|",F_Custom1_wrapped)),1,0),0))</f>
        <v>1</v>
      </c>
      <c r="E2918">
        <f>IF(OR(F_Custom2_Q="(None)",F_Custom2_Q="",ISBLANK(F_Custom2_Q),F_Custom2_V="(All)",F_Custom2_V="",ISBLANK(F_Custom2_V)),1,IFERROR(IF(ISNUMBER(SEARCH("|"&amp;INDEX(INDIRECT(F_Custom2_resolved_column),2917)&amp;"|",F_Custom2_wrapped)),1,0),0))</f>
        <v>1</v>
      </c>
      <c r="F2918">
        <f>D2918*E2918*1</f>
        <v>1</v>
      </c>
      <c r="G2918">
        <f>1</f>
        <v>1</v>
      </c>
      <c r="H29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2917)&amp;"|",All_Questions_Q_STREAM_F_wrapped)),1,0),0))*1</f>
        <v>1</v>
      </c>
    </row>
    <row r="2919">
      <c r="A2919" t="n">
        <v>2918</v>
      </c>
      <c r="B2919" t="inlineStr">
        <is>
          <t>B</t>
        </is>
      </c>
      <c r="C2919">
        <f>1</f>
        <v>1</v>
      </c>
      <c r="D2919">
        <f>IF(OR(F_Custom1_Q="(None)",F_Custom1_Q="",ISBLANK(F_Custom1_Q),F_Custom1_V="(All)",F_Custom1_V="",ISBLANK(F_Custom1_V)),1,IFERROR(IF(ISNUMBER(SEARCH("|"&amp;INDEX(INDIRECT(F_Custom1_resolved_column),2918)&amp;"|",F_Custom1_wrapped)),1,0),0))</f>
        <v>1</v>
      </c>
      <c r="E2919">
        <f>IF(OR(F_Custom2_Q="(None)",F_Custom2_Q="",ISBLANK(F_Custom2_Q),F_Custom2_V="(All)",F_Custom2_V="",ISBLANK(F_Custom2_V)),1,IFERROR(IF(ISNUMBER(SEARCH("|"&amp;INDEX(INDIRECT(F_Custom2_resolved_column),2918)&amp;"|",F_Custom2_wrapped)),1,0),0))</f>
        <v>1</v>
      </c>
      <c r="F2919">
        <f>D2919*E2919*1</f>
        <v>1</v>
      </c>
      <c r="G2919">
        <f>1</f>
        <v>1</v>
      </c>
      <c r="H29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2918)&amp;"|",All_Questions_Q_STREAM_F_wrapped)),1,0),0))*1</f>
        <v>1</v>
      </c>
    </row>
    <row r="2920">
      <c r="A2920" t="n">
        <v>2919</v>
      </c>
      <c r="B2920" t="inlineStr">
        <is>
          <t>A</t>
        </is>
      </c>
      <c r="C2920">
        <f>1</f>
        <v>1</v>
      </c>
      <c r="D2920">
        <f>IF(OR(F_Custom1_Q="(None)",F_Custom1_Q="",ISBLANK(F_Custom1_Q),F_Custom1_V="(All)",F_Custom1_V="",ISBLANK(F_Custom1_V)),1,IFERROR(IF(ISNUMBER(SEARCH("|"&amp;INDEX(INDIRECT(F_Custom1_resolved_column),2919)&amp;"|",F_Custom1_wrapped)),1,0),0))</f>
        <v>1</v>
      </c>
      <c r="E2920">
        <f>IF(OR(F_Custom2_Q="(None)",F_Custom2_Q="",ISBLANK(F_Custom2_Q),F_Custom2_V="(All)",F_Custom2_V="",ISBLANK(F_Custom2_V)),1,IFERROR(IF(ISNUMBER(SEARCH("|"&amp;INDEX(INDIRECT(F_Custom2_resolved_column),2919)&amp;"|",F_Custom2_wrapped)),1,0),0))</f>
        <v>1</v>
      </c>
      <c r="F2920">
        <f>D2920*E2920*1</f>
        <v>1</v>
      </c>
      <c r="G2920">
        <f>1</f>
        <v>1</v>
      </c>
      <c r="H29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2919)&amp;"|",All_Questions_Q_STREAM_F_wrapped)),1,0),0))*1</f>
        <v>1</v>
      </c>
    </row>
    <row r="2921">
      <c r="A2921" t="n">
        <v>2920</v>
      </c>
      <c r="B2921" t="inlineStr">
        <is>
          <t>B</t>
        </is>
      </c>
      <c r="C2921">
        <f>1</f>
        <v>1</v>
      </c>
      <c r="D2921">
        <f>IF(OR(F_Custom1_Q="(None)",F_Custom1_Q="",ISBLANK(F_Custom1_Q),F_Custom1_V="(All)",F_Custom1_V="",ISBLANK(F_Custom1_V)),1,IFERROR(IF(ISNUMBER(SEARCH("|"&amp;INDEX(INDIRECT(F_Custom1_resolved_column),2920)&amp;"|",F_Custom1_wrapped)),1,0),0))</f>
        <v>1</v>
      </c>
      <c r="E2921">
        <f>IF(OR(F_Custom2_Q="(None)",F_Custom2_Q="",ISBLANK(F_Custom2_Q),F_Custom2_V="(All)",F_Custom2_V="",ISBLANK(F_Custom2_V)),1,IFERROR(IF(ISNUMBER(SEARCH("|"&amp;INDEX(INDIRECT(F_Custom2_resolved_column),2920)&amp;"|",F_Custom2_wrapped)),1,0),0))</f>
        <v>1</v>
      </c>
      <c r="F2921">
        <f>D2921*E2921*1</f>
        <v>1</v>
      </c>
      <c r="G2921">
        <f>1</f>
        <v>1</v>
      </c>
      <c r="H29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2920)&amp;"|",All_Questions_Q_STREAM_F_wrapped)),1,0),0))*1</f>
        <v>1</v>
      </c>
    </row>
    <row r="2922">
      <c r="A2922" t="n">
        <v>2921</v>
      </c>
      <c r="B2922" t="inlineStr">
        <is>
          <t>A</t>
        </is>
      </c>
      <c r="C2922">
        <f>1</f>
        <v>1</v>
      </c>
      <c r="D2922">
        <f>IF(OR(F_Custom1_Q="(None)",F_Custom1_Q="",ISBLANK(F_Custom1_Q),F_Custom1_V="(All)",F_Custom1_V="",ISBLANK(F_Custom1_V)),1,IFERROR(IF(ISNUMBER(SEARCH("|"&amp;INDEX(INDIRECT(F_Custom1_resolved_column),2921)&amp;"|",F_Custom1_wrapped)),1,0),0))</f>
        <v>1</v>
      </c>
      <c r="E2922">
        <f>IF(OR(F_Custom2_Q="(None)",F_Custom2_Q="",ISBLANK(F_Custom2_Q),F_Custom2_V="(All)",F_Custom2_V="",ISBLANK(F_Custom2_V)),1,IFERROR(IF(ISNUMBER(SEARCH("|"&amp;INDEX(INDIRECT(F_Custom2_resolved_column),2921)&amp;"|",F_Custom2_wrapped)),1,0),0))</f>
        <v>1</v>
      </c>
      <c r="F2922">
        <f>D2922*E2922*1</f>
        <v>1</v>
      </c>
      <c r="G2922">
        <f>1</f>
        <v>1</v>
      </c>
      <c r="H29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2921)&amp;"|",All_Questions_Q_STREAM_F_wrapped)),1,0),0))*1</f>
        <v>1</v>
      </c>
    </row>
    <row r="2923">
      <c r="A2923" t="n">
        <v>2922</v>
      </c>
      <c r="B2923" t="inlineStr">
        <is>
          <t>B</t>
        </is>
      </c>
      <c r="C2923">
        <f>1</f>
        <v>1</v>
      </c>
      <c r="D2923">
        <f>IF(OR(F_Custom1_Q="(None)",F_Custom1_Q="",ISBLANK(F_Custom1_Q),F_Custom1_V="(All)",F_Custom1_V="",ISBLANK(F_Custom1_V)),1,IFERROR(IF(ISNUMBER(SEARCH("|"&amp;INDEX(INDIRECT(F_Custom1_resolved_column),2922)&amp;"|",F_Custom1_wrapped)),1,0),0))</f>
        <v>1</v>
      </c>
      <c r="E2923">
        <f>IF(OR(F_Custom2_Q="(None)",F_Custom2_Q="",ISBLANK(F_Custom2_Q),F_Custom2_V="(All)",F_Custom2_V="",ISBLANK(F_Custom2_V)),1,IFERROR(IF(ISNUMBER(SEARCH("|"&amp;INDEX(INDIRECT(F_Custom2_resolved_column),2922)&amp;"|",F_Custom2_wrapped)),1,0),0))</f>
        <v>1</v>
      </c>
      <c r="F2923">
        <f>D2923*E2923*1</f>
        <v>1</v>
      </c>
      <c r="G2923">
        <f>1</f>
        <v>1</v>
      </c>
      <c r="H29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2922)&amp;"|",All_Questions_Q_STREAM_F_wrapped)),1,0),0))*1</f>
        <v>1</v>
      </c>
    </row>
    <row r="2924">
      <c r="A2924" t="n">
        <v>2923</v>
      </c>
      <c r="B2924" t="inlineStr">
        <is>
          <t>A</t>
        </is>
      </c>
      <c r="C2924">
        <f>1</f>
        <v>1</v>
      </c>
      <c r="D2924">
        <f>IF(OR(F_Custom1_Q="(None)",F_Custom1_Q="",ISBLANK(F_Custom1_Q),F_Custom1_V="(All)",F_Custom1_V="",ISBLANK(F_Custom1_V)),1,IFERROR(IF(ISNUMBER(SEARCH("|"&amp;INDEX(INDIRECT(F_Custom1_resolved_column),2923)&amp;"|",F_Custom1_wrapped)),1,0),0))</f>
        <v>1</v>
      </c>
      <c r="E2924">
        <f>IF(OR(F_Custom2_Q="(None)",F_Custom2_Q="",ISBLANK(F_Custom2_Q),F_Custom2_V="(All)",F_Custom2_V="",ISBLANK(F_Custom2_V)),1,IFERROR(IF(ISNUMBER(SEARCH("|"&amp;INDEX(INDIRECT(F_Custom2_resolved_column),2923)&amp;"|",F_Custom2_wrapped)),1,0),0))</f>
        <v>1</v>
      </c>
      <c r="F2924">
        <f>D2924*E2924*1</f>
        <v>1</v>
      </c>
      <c r="G2924">
        <f>1</f>
        <v>1</v>
      </c>
      <c r="H29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2923)&amp;"|",All_Questions_Q_STREAM_F_wrapped)),1,0),0))*1</f>
        <v>1</v>
      </c>
    </row>
    <row r="2925">
      <c r="A2925" t="n">
        <v>2924</v>
      </c>
      <c r="B2925" t="inlineStr">
        <is>
          <t>B</t>
        </is>
      </c>
      <c r="C2925">
        <f>1</f>
        <v>1</v>
      </c>
      <c r="D2925">
        <f>IF(OR(F_Custom1_Q="(None)",F_Custom1_Q="",ISBLANK(F_Custom1_Q),F_Custom1_V="(All)",F_Custom1_V="",ISBLANK(F_Custom1_V)),1,IFERROR(IF(ISNUMBER(SEARCH("|"&amp;INDEX(INDIRECT(F_Custom1_resolved_column),2924)&amp;"|",F_Custom1_wrapped)),1,0),0))</f>
        <v>1</v>
      </c>
      <c r="E2925">
        <f>IF(OR(F_Custom2_Q="(None)",F_Custom2_Q="",ISBLANK(F_Custom2_Q),F_Custom2_V="(All)",F_Custom2_V="",ISBLANK(F_Custom2_V)),1,IFERROR(IF(ISNUMBER(SEARCH("|"&amp;INDEX(INDIRECT(F_Custom2_resolved_column),2924)&amp;"|",F_Custom2_wrapped)),1,0),0))</f>
        <v>1</v>
      </c>
      <c r="F2925">
        <f>D2925*E2925*1</f>
        <v>1</v>
      </c>
      <c r="G2925">
        <f>1</f>
        <v>1</v>
      </c>
      <c r="H29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2924)&amp;"|",All_Questions_Q_STREAM_F_wrapped)),1,0),0))*1</f>
        <v>1</v>
      </c>
    </row>
    <row r="2926">
      <c r="A2926" t="n">
        <v>2925</v>
      </c>
      <c r="B2926" t="inlineStr">
        <is>
          <t>A</t>
        </is>
      </c>
      <c r="C2926">
        <f>1</f>
        <v>1</v>
      </c>
      <c r="D2926">
        <f>IF(OR(F_Custom1_Q="(None)",F_Custom1_Q="",ISBLANK(F_Custom1_Q),F_Custom1_V="(All)",F_Custom1_V="",ISBLANK(F_Custom1_V)),1,IFERROR(IF(ISNUMBER(SEARCH("|"&amp;INDEX(INDIRECT(F_Custom1_resolved_column),2925)&amp;"|",F_Custom1_wrapped)),1,0),0))</f>
        <v>1</v>
      </c>
      <c r="E2926">
        <f>IF(OR(F_Custom2_Q="(None)",F_Custom2_Q="",ISBLANK(F_Custom2_Q),F_Custom2_V="(All)",F_Custom2_V="",ISBLANK(F_Custom2_V)),1,IFERROR(IF(ISNUMBER(SEARCH("|"&amp;INDEX(INDIRECT(F_Custom2_resolved_column),2925)&amp;"|",F_Custom2_wrapped)),1,0),0))</f>
        <v>1</v>
      </c>
      <c r="F2926">
        <f>D2926*E2926*1</f>
        <v>1</v>
      </c>
      <c r="G2926">
        <f>1</f>
        <v>1</v>
      </c>
      <c r="H29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2925)&amp;"|",All_Questions_Q_STREAM_F_wrapped)),1,0),0))*1</f>
        <v>1</v>
      </c>
    </row>
    <row r="2927">
      <c r="A2927" t="n">
        <v>2926</v>
      </c>
      <c r="B2927" t="inlineStr">
        <is>
          <t>B</t>
        </is>
      </c>
      <c r="C2927">
        <f>1</f>
        <v>1</v>
      </c>
      <c r="D2927">
        <f>IF(OR(F_Custom1_Q="(None)",F_Custom1_Q="",ISBLANK(F_Custom1_Q),F_Custom1_V="(All)",F_Custom1_V="",ISBLANK(F_Custom1_V)),1,IFERROR(IF(ISNUMBER(SEARCH("|"&amp;INDEX(INDIRECT(F_Custom1_resolved_column),2926)&amp;"|",F_Custom1_wrapped)),1,0),0))</f>
        <v>1</v>
      </c>
      <c r="E2927">
        <f>IF(OR(F_Custom2_Q="(None)",F_Custom2_Q="",ISBLANK(F_Custom2_Q),F_Custom2_V="(All)",F_Custom2_V="",ISBLANK(F_Custom2_V)),1,IFERROR(IF(ISNUMBER(SEARCH("|"&amp;INDEX(INDIRECT(F_Custom2_resolved_column),2926)&amp;"|",F_Custom2_wrapped)),1,0),0))</f>
        <v>1</v>
      </c>
      <c r="F2927">
        <f>D2927*E2927*1</f>
        <v>1</v>
      </c>
      <c r="G2927">
        <f>1</f>
        <v>1</v>
      </c>
      <c r="H29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2926)&amp;"|",All_Questions_Q_STREAM_F_wrapped)),1,0),0))*1</f>
        <v>1</v>
      </c>
    </row>
    <row r="2928">
      <c r="A2928" t="n">
        <v>2927</v>
      </c>
      <c r="B2928" t="inlineStr">
        <is>
          <t>A</t>
        </is>
      </c>
      <c r="C2928">
        <f>1</f>
        <v>1</v>
      </c>
      <c r="D2928">
        <f>IF(OR(F_Custom1_Q="(None)",F_Custom1_Q="",ISBLANK(F_Custom1_Q),F_Custom1_V="(All)",F_Custom1_V="",ISBLANK(F_Custom1_V)),1,IFERROR(IF(ISNUMBER(SEARCH("|"&amp;INDEX(INDIRECT(F_Custom1_resolved_column),2927)&amp;"|",F_Custom1_wrapped)),1,0),0))</f>
        <v>1</v>
      </c>
      <c r="E2928">
        <f>IF(OR(F_Custom2_Q="(None)",F_Custom2_Q="",ISBLANK(F_Custom2_Q),F_Custom2_V="(All)",F_Custom2_V="",ISBLANK(F_Custom2_V)),1,IFERROR(IF(ISNUMBER(SEARCH("|"&amp;INDEX(INDIRECT(F_Custom2_resolved_column),2927)&amp;"|",F_Custom2_wrapped)),1,0),0))</f>
        <v>1</v>
      </c>
      <c r="F2928">
        <f>D2928*E2928*1</f>
        <v>1</v>
      </c>
      <c r="G2928">
        <f>1</f>
        <v>1</v>
      </c>
      <c r="H29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2927)&amp;"|",All_Questions_Q_STREAM_F_wrapped)),1,0),0))*1</f>
        <v>1</v>
      </c>
    </row>
    <row r="2929">
      <c r="A2929" t="n">
        <v>2928</v>
      </c>
      <c r="B2929" t="inlineStr">
        <is>
          <t>B</t>
        </is>
      </c>
      <c r="C2929">
        <f>1</f>
        <v>1</v>
      </c>
      <c r="D2929">
        <f>IF(OR(F_Custom1_Q="(None)",F_Custom1_Q="",ISBLANK(F_Custom1_Q),F_Custom1_V="(All)",F_Custom1_V="",ISBLANK(F_Custom1_V)),1,IFERROR(IF(ISNUMBER(SEARCH("|"&amp;INDEX(INDIRECT(F_Custom1_resolved_column),2928)&amp;"|",F_Custom1_wrapped)),1,0),0))</f>
        <v>1</v>
      </c>
      <c r="E2929">
        <f>IF(OR(F_Custom2_Q="(None)",F_Custom2_Q="",ISBLANK(F_Custom2_Q),F_Custom2_V="(All)",F_Custom2_V="",ISBLANK(F_Custom2_V)),1,IFERROR(IF(ISNUMBER(SEARCH("|"&amp;INDEX(INDIRECT(F_Custom2_resolved_column),2928)&amp;"|",F_Custom2_wrapped)),1,0),0))</f>
        <v>1</v>
      </c>
      <c r="F2929">
        <f>D2929*E2929*1</f>
        <v>1</v>
      </c>
      <c r="G2929">
        <f>1</f>
        <v>1</v>
      </c>
      <c r="H29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2928)&amp;"|",All_Questions_Q_STREAM_F_wrapped)),1,0),0))*1</f>
        <v>1</v>
      </c>
    </row>
    <row r="2930">
      <c r="A2930" t="n">
        <v>2929</v>
      </c>
      <c r="B2930" t="inlineStr">
        <is>
          <t>A</t>
        </is>
      </c>
      <c r="C2930">
        <f>1</f>
        <v>1</v>
      </c>
      <c r="D2930">
        <f>IF(OR(F_Custom1_Q="(None)",F_Custom1_Q="",ISBLANK(F_Custom1_Q),F_Custom1_V="(All)",F_Custom1_V="",ISBLANK(F_Custom1_V)),1,IFERROR(IF(ISNUMBER(SEARCH("|"&amp;INDEX(INDIRECT(F_Custom1_resolved_column),2929)&amp;"|",F_Custom1_wrapped)),1,0),0))</f>
        <v>1</v>
      </c>
      <c r="E2930">
        <f>IF(OR(F_Custom2_Q="(None)",F_Custom2_Q="",ISBLANK(F_Custom2_Q),F_Custom2_V="(All)",F_Custom2_V="",ISBLANK(F_Custom2_V)),1,IFERROR(IF(ISNUMBER(SEARCH("|"&amp;INDEX(INDIRECT(F_Custom2_resolved_column),2929)&amp;"|",F_Custom2_wrapped)),1,0),0))</f>
        <v>1</v>
      </c>
      <c r="F2930">
        <f>D2930*E2930*1</f>
        <v>1</v>
      </c>
      <c r="G2930">
        <f>1</f>
        <v>1</v>
      </c>
      <c r="H29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2929)&amp;"|",All_Questions_Q_STREAM_F_wrapped)),1,0),0))*1</f>
        <v>1</v>
      </c>
    </row>
    <row r="2931">
      <c r="A2931" t="n">
        <v>2930</v>
      </c>
      <c r="B2931" t="inlineStr">
        <is>
          <t>B</t>
        </is>
      </c>
      <c r="C2931">
        <f>1</f>
        <v>1</v>
      </c>
      <c r="D2931">
        <f>IF(OR(F_Custom1_Q="(None)",F_Custom1_Q="",ISBLANK(F_Custom1_Q),F_Custom1_V="(All)",F_Custom1_V="",ISBLANK(F_Custom1_V)),1,IFERROR(IF(ISNUMBER(SEARCH("|"&amp;INDEX(INDIRECT(F_Custom1_resolved_column),2930)&amp;"|",F_Custom1_wrapped)),1,0),0))</f>
        <v>1</v>
      </c>
      <c r="E2931">
        <f>IF(OR(F_Custom2_Q="(None)",F_Custom2_Q="",ISBLANK(F_Custom2_Q),F_Custom2_V="(All)",F_Custom2_V="",ISBLANK(F_Custom2_V)),1,IFERROR(IF(ISNUMBER(SEARCH("|"&amp;INDEX(INDIRECT(F_Custom2_resolved_column),2930)&amp;"|",F_Custom2_wrapped)),1,0),0))</f>
        <v>1</v>
      </c>
      <c r="F2931">
        <f>D2931*E2931*1</f>
        <v>1</v>
      </c>
      <c r="G2931">
        <f>1</f>
        <v>1</v>
      </c>
      <c r="H29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2930)&amp;"|",All_Questions_Q_STREAM_F_wrapped)),1,0),0))*1</f>
        <v>1</v>
      </c>
    </row>
    <row r="2932">
      <c r="A2932" t="n">
        <v>2931</v>
      </c>
      <c r="B2932" t="inlineStr">
        <is>
          <t>A</t>
        </is>
      </c>
      <c r="C2932">
        <f>1</f>
        <v>1</v>
      </c>
      <c r="D2932">
        <f>IF(OR(F_Custom1_Q="(None)",F_Custom1_Q="",ISBLANK(F_Custom1_Q),F_Custom1_V="(All)",F_Custom1_V="",ISBLANK(F_Custom1_V)),1,IFERROR(IF(ISNUMBER(SEARCH("|"&amp;INDEX(INDIRECT(F_Custom1_resolved_column),2931)&amp;"|",F_Custom1_wrapped)),1,0),0))</f>
        <v>1</v>
      </c>
      <c r="E2932">
        <f>IF(OR(F_Custom2_Q="(None)",F_Custom2_Q="",ISBLANK(F_Custom2_Q),F_Custom2_V="(All)",F_Custom2_V="",ISBLANK(F_Custom2_V)),1,IFERROR(IF(ISNUMBER(SEARCH("|"&amp;INDEX(INDIRECT(F_Custom2_resolved_column),2931)&amp;"|",F_Custom2_wrapped)),1,0),0))</f>
        <v>1</v>
      </c>
      <c r="F2932">
        <f>D2932*E2932*1</f>
        <v>1</v>
      </c>
      <c r="G2932">
        <f>1</f>
        <v>1</v>
      </c>
      <c r="H29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2931)&amp;"|",All_Questions_Q_STREAM_F_wrapped)),1,0),0))*1</f>
        <v>1</v>
      </c>
    </row>
    <row r="2933">
      <c r="A2933" t="n">
        <v>2932</v>
      </c>
      <c r="B2933" t="inlineStr">
        <is>
          <t>B</t>
        </is>
      </c>
      <c r="C2933">
        <f>1</f>
        <v>1</v>
      </c>
      <c r="D2933">
        <f>IF(OR(F_Custom1_Q="(None)",F_Custom1_Q="",ISBLANK(F_Custom1_Q),F_Custom1_V="(All)",F_Custom1_V="",ISBLANK(F_Custom1_V)),1,IFERROR(IF(ISNUMBER(SEARCH("|"&amp;INDEX(INDIRECT(F_Custom1_resolved_column),2932)&amp;"|",F_Custom1_wrapped)),1,0),0))</f>
        <v>1</v>
      </c>
      <c r="E2933">
        <f>IF(OR(F_Custom2_Q="(None)",F_Custom2_Q="",ISBLANK(F_Custom2_Q),F_Custom2_V="(All)",F_Custom2_V="",ISBLANK(F_Custom2_V)),1,IFERROR(IF(ISNUMBER(SEARCH("|"&amp;INDEX(INDIRECT(F_Custom2_resolved_column),2932)&amp;"|",F_Custom2_wrapped)),1,0),0))</f>
        <v>1</v>
      </c>
      <c r="F2933">
        <f>D2933*E2933*1</f>
        <v>1</v>
      </c>
      <c r="G2933">
        <f>1</f>
        <v>1</v>
      </c>
      <c r="H29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2932)&amp;"|",All_Questions_Q_STREAM_F_wrapped)),1,0),0))*1</f>
        <v>1</v>
      </c>
    </row>
    <row r="2934">
      <c r="A2934" t="n">
        <v>2933</v>
      </c>
      <c r="B2934" t="inlineStr">
        <is>
          <t>A</t>
        </is>
      </c>
      <c r="C2934">
        <f>1</f>
        <v>1</v>
      </c>
      <c r="D2934">
        <f>IF(OR(F_Custom1_Q="(None)",F_Custom1_Q="",ISBLANK(F_Custom1_Q),F_Custom1_V="(All)",F_Custom1_V="",ISBLANK(F_Custom1_V)),1,IFERROR(IF(ISNUMBER(SEARCH("|"&amp;INDEX(INDIRECT(F_Custom1_resolved_column),2933)&amp;"|",F_Custom1_wrapped)),1,0),0))</f>
        <v>1</v>
      </c>
      <c r="E2934">
        <f>IF(OR(F_Custom2_Q="(None)",F_Custom2_Q="",ISBLANK(F_Custom2_Q),F_Custom2_V="(All)",F_Custom2_V="",ISBLANK(F_Custom2_V)),1,IFERROR(IF(ISNUMBER(SEARCH("|"&amp;INDEX(INDIRECT(F_Custom2_resolved_column),2933)&amp;"|",F_Custom2_wrapped)),1,0),0))</f>
        <v>1</v>
      </c>
      <c r="F2934">
        <f>D2934*E2934*1</f>
        <v>1</v>
      </c>
      <c r="G2934">
        <f>1</f>
        <v>1</v>
      </c>
      <c r="H29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2933)&amp;"|",All_Questions_Q_STREAM_F_wrapped)),1,0),0))*1</f>
        <v>1</v>
      </c>
    </row>
    <row r="2935">
      <c r="A2935" t="n">
        <v>2934</v>
      </c>
      <c r="B2935" t="inlineStr">
        <is>
          <t>B</t>
        </is>
      </c>
      <c r="C2935">
        <f>1</f>
        <v>1</v>
      </c>
      <c r="D2935">
        <f>IF(OR(F_Custom1_Q="(None)",F_Custom1_Q="",ISBLANK(F_Custom1_Q),F_Custom1_V="(All)",F_Custom1_V="",ISBLANK(F_Custom1_V)),1,IFERROR(IF(ISNUMBER(SEARCH("|"&amp;INDEX(INDIRECT(F_Custom1_resolved_column),2934)&amp;"|",F_Custom1_wrapped)),1,0),0))</f>
        <v>1</v>
      </c>
      <c r="E2935">
        <f>IF(OR(F_Custom2_Q="(None)",F_Custom2_Q="",ISBLANK(F_Custom2_Q),F_Custom2_V="(All)",F_Custom2_V="",ISBLANK(F_Custom2_V)),1,IFERROR(IF(ISNUMBER(SEARCH("|"&amp;INDEX(INDIRECT(F_Custom2_resolved_column),2934)&amp;"|",F_Custom2_wrapped)),1,0),0))</f>
        <v>1</v>
      </c>
      <c r="F2935">
        <f>D2935*E2935*1</f>
        <v>1</v>
      </c>
      <c r="G2935">
        <f>1</f>
        <v>1</v>
      </c>
      <c r="H29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2934)&amp;"|",All_Questions_Q_STREAM_F_wrapped)),1,0),0))*1</f>
        <v>1</v>
      </c>
    </row>
    <row r="2936">
      <c r="A2936" t="n">
        <v>2935</v>
      </c>
      <c r="B2936" t="inlineStr">
        <is>
          <t>A</t>
        </is>
      </c>
      <c r="C2936">
        <f>1</f>
        <v>1</v>
      </c>
      <c r="D2936">
        <f>IF(OR(F_Custom1_Q="(None)",F_Custom1_Q="",ISBLANK(F_Custom1_Q),F_Custom1_V="(All)",F_Custom1_V="",ISBLANK(F_Custom1_V)),1,IFERROR(IF(ISNUMBER(SEARCH("|"&amp;INDEX(INDIRECT(F_Custom1_resolved_column),2935)&amp;"|",F_Custom1_wrapped)),1,0),0))</f>
        <v>1</v>
      </c>
      <c r="E2936">
        <f>IF(OR(F_Custom2_Q="(None)",F_Custom2_Q="",ISBLANK(F_Custom2_Q),F_Custom2_V="(All)",F_Custom2_V="",ISBLANK(F_Custom2_V)),1,IFERROR(IF(ISNUMBER(SEARCH("|"&amp;INDEX(INDIRECT(F_Custom2_resolved_column),2935)&amp;"|",F_Custom2_wrapped)),1,0),0))</f>
        <v>1</v>
      </c>
      <c r="F2936">
        <f>D2936*E2936*1</f>
        <v>1</v>
      </c>
      <c r="G2936">
        <f>1</f>
        <v>1</v>
      </c>
      <c r="H29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2935)&amp;"|",All_Questions_Q_STREAM_F_wrapped)),1,0),0))*1</f>
        <v>1</v>
      </c>
    </row>
    <row r="2937">
      <c r="A2937" t="n">
        <v>2936</v>
      </c>
      <c r="B2937" t="inlineStr">
        <is>
          <t>B</t>
        </is>
      </c>
      <c r="C2937">
        <f>1</f>
        <v>1</v>
      </c>
      <c r="D2937">
        <f>IF(OR(F_Custom1_Q="(None)",F_Custom1_Q="",ISBLANK(F_Custom1_Q),F_Custom1_V="(All)",F_Custom1_V="",ISBLANK(F_Custom1_V)),1,IFERROR(IF(ISNUMBER(SEARCH("|"&amp;INDEX(INDIRECT(F_Custom1_resolved_column),2936)&amp;"|",F_Custom1_wrapped)),1,0),0))</f>
        <v>1</v>
      </c>
      <c r="E2937">
        <f>IF(OR(F_Custom2_Q="(None)",F_Custom2_Q="",ISBLANK(F_Custom2_Q),F_Custom2_V="(All)",F_Custom2_V="",ISBLANK(F_Custom2_V)),1,IFERROR(IF(ISNUMBER(SEARCH("|"&amp;INDEX(INDIRECT(F_Custom2_resolved_column),2936)&amp;"|",F_Custom2_wrapped)),1,0),0))</f>
        <v>1</v>
      </c>
      <c r="F2937">
        <f>D2937*E2937*1</f>
        <v>1</v>
      </c>
      <c r="G2937">
        <f>1</f>
        <v>1</v>
      </c>
      <c r="H29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2936)&amp;"|",All_Questions_Q_STREAM_F_wrapped)),1,0),0))*1</f>
        <v>1</v>
      </c>
    </row>
    <row r="2938">
      <c r="A2938" t="n">
        <v>2937</v>
      </c>
      <c r="B2938" t="inlineStr">
        <is>
          <t>A</t>
        </is>
      </c>
      <c r="C2938">
        <f>1</f>
        <v>1</v>
      </c>
      <c r="D2938">
        <f>IF(OR(F_Custom1_Q="(None)",F_Custom1_Q="",ISBLANK(F_Custom1_Q),F_Custom1_V="(All)",F_Custom1_V="",ISBLANK(F_Custom1_V)),1,IFERROR(IF(ISNUMBER(SEARCH("|"&amp;INDEX(INDIRECT(F_Custom1_resolved_column),2937)&amp;"|",F_Custom1_wrapped)),1,0),0))</f>
        <v>1</v>
      </c>
      <c r="E2938">
        <f>IF(OR(F_Custom2_Q="(None)",F_Custom2_Q="",ISBLANK(F_Custom2_Q),F_Custom2_V="(All)",F_Custom2_V="",ISBLANK(F_Custom2_V)),1,IFERROR(IF(ISNUMBER(SEARCH("|"&amp;INDEX(INDIRECT(F_Custom2_resolved_column),2937)&amp;"|",F_Custom2_wrapped)),1,0),0))</f>
        <v>1</v>
      </c>
      <c r="F2938">
        <f>D2938*E2938*1</f>
        <v>1</v>
      </c>
      <c r="G2938">
        <f>1</f>
        <v>1</v>
      </c>
      <c r="H29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2937)&amp;"|",All_Questions_Q_STREAM_F_wrapped)),1,0),0))*1</f>
        <v>1</v>
      </c>
    </row>
    <row r="2939">
      <c r="A2939" t="n">
        <v>2938</v>
      </c>
      <c r="B2939" t="inlineStr">
        <is>
          <t>B</t>
        </is>
      </c>
      <c r="C2939">
        <f>1</f>
        <v>1</v>
      </c>
      <c r="D2939">
        <f>IF(OR(F_Custom1_Q="(None)",F_Custom1_Q="",ISBLANK(F_Custom1_Q),F_Custom1_V="(All)",F_Custom1_V="",ISBLANK(F_Custom1_V)),1,IFERROR(IF(ISNUMBER(SEARCH("|"&amp;INDEX(INDIRECT(F_Custom1_resolved_column),2938)&amp;"|",F_Custom1_wrapped)),1,0),0))</f>
        <v>1</v>
      </c>
      <c r="E2939">
        <f>IF(OR(F_Custom2_Q="(None)",F_Custom2_Q="",ISBLANK(F_Custom2_Q),F_Custom2_V="(All)",F_Custom2_V="",ISBLANK(F_Custom2_V)),1,IFERROR(IF(ISNUMBER(SEARCH("|"&amp;INDEX(INDIRECT(F_Custom2_resolved_column),2938)&amp;"|",F_Custom2_wrapped)),1,0),0))</f>
        <v>1</v>
      </c>
      <c r="F2939">
        <f>D2939*E2939*1</f>
        <v>1</v>
      </c>
      <c r="G2939">
        <f>1</f>
        <v>1</v>
      </c>
      <c r="H29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2938)&amp;"|",All_Questions_Q_STREAM_F_wrapped)),1,0),0))*1</f>
        <v>1</v>
      </c>
    </row>
    <row r="2940">
      <c r="A2940" t="n">
        <v>2939</v>
      </c>
      <c r="B2940" t="inlineStr">
        <is>
          <t>A</t>
        </is>
      </c>
      <c r="C2940">
        <f>1</f>
        <v>1</v>
      </c>
      <c r="D2940">
        <f>IF(OR(F_Custom1_Q="(None)",F_Custom1_Q="",ISBLANK(F_Custom1_Q),F_Custom1_V="(All)",F_Custom1_V="",ISBLANK(F_Custom1_V)),1,IFERROR(IF(ISNUMBER(SEARCH("|"&amp;INDEX(INDIRECT(F_Custom1_resolved_column),2939)&amp;"|",F_Custom1_wrapped)),1,0),0))</f>
        <v>1</v>
      </c>
      <c r="E2940">
        <f>IF(OR(F_Custom2_Q="(None)",F_Custom2_Q="",ISBLANK(F_Custom2_Q),F_Custom2_V="(All)",F_Custom2_V="",ISBLANK(F_Custom2_V)),1,IFERROR(IF(ISNUMBER(SEARCH("|"&amp;INDEX(INDIRECT(F_Custom2_resolved_column),2939)&amp;"|",F_Custom2_wrapped)),1,0),0))</f>
        <v>1</v>
      </c>
      <c r="F2940">
        <f>D2940*E2940*1</f>
        <v>1</v>
      </c>
      <c r="G2940">
        <f>1</f>
        <v>1</v>
      </c>
      <c r="H29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2939)&amp;"|",All_Questions_Q_STREAM_F_wrapped)),1,0),0))*1</f>
        <v>1</v>
      </c>
    </row>
    <row r="2941">
      <c r="A2941" t="n">
        <v>2940</v>
      </c>
      <c r="B2941" t="inlineStr">
        <is>
          <t>B</t>
        </is>
      </c>
      <c r="C2941">
        <f>1</f>
        <v>1</v>
      </c>
      <c r="D2941">
        <f>IF(OR(F_Custom1_Q="(None)",F_Custom1_Q="",ISBLANK(F_Custom1_Q),F_Custom1_V="(All)",F_Custom1_V="",ISBLANK(F_Custom1_V)),1,IFERROR(IF(ISNUMBER(SEARCH("|"&amp;INDEX(INDIRECT(F_Custom1_resolved_column),2940)&amp;"|",F_Custom1_wrapped)),1,0),0))</f>
        <v>1</v>
      </c>
      <c r="E2941">
        <f>IF(OR(F_Custom2_Q="(None)",F_Custom2_Q="",ISBLANK(F_Custom2_Q),F_Custom2_V="(All)",F_Custom2_V="",ISBLANK(F_Custom2_V)),1,IFERROR(IF(ISNUMBER(SEARCH("|"&amp;INDEX(INDIRECT(F_Custom2_resolved_column),2940)&amp;"|",F_Custom2_wrapped)),1,0),0))</f>
        <v>1</v>
      </c>
      <c r="F2941">
        <f>D2941*E2941*1</f>
        <v>1</v>
      </c>
      <c r="G2941">
        <f>1</f>
        <v>1</v>
      </c>
      <c r="H29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2940)&amp;"|",All_Questions_Q_STREAM_F_wrapped)),1,0),0))*1</f>
        <v>1</v>
      </c>
    </row>
    <row r="2942">
      <c r="A2942" t="n">
        <v>2941</v>
      </c>
      <c r="B2942" t="inlineStr">
        <is>
          <t>A</t>
        </is>
      </c>
      <c r="C2942">
        <f>1</f>
        <v>1</v>
      </c>
      <c r="D2942">
        <f>IF(OR(F_Custom1_Q="(None)",F_Custom1_Q="",ISBLANK(F_Custom1_Q),F_Custom1_V="(All)",F_Custom1_V="",ISBLANK(F_Custom1_V)),1,IFERROR(IF(ISNUMBER(SEARCH("|"&amp;INDEX(INDIRECT(F_Custom1_resolved_column),2941)&amp;"|",F_Custom1_wrapped)),1,0),0))</f>
        <v>1</v>
      </c>
      <c r="E2942">
        <f>IF(OR(F_Custom2_Q="(None)",F_Custom2_Q="",ISBLANK(F_Custom2_Q),F_Custom2_V="(All)",F_Custom2_V="",ISBLANK(F_Custom2_V)),1,IFERROR(IF(ISNUMBER(SEARCH("|"&amp;INDEX(INDIRECT(F_Custom2_resolved_column),2941)&amp;"|",F_Custom2_wrapped)),1,0),0))</f>
        <v>1</v>
      </c>
      <c r="F2942">
        <f>D2942*E2942*1</f>
        <v>1</v>
      </c>
      <c r="G2942">
        <f>1</f>
        <v>1</v>
      </c>
      <c r="H29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2941)&amp;"|",All_Questions_Q_STREAM_F_wrapped)),1,0),0))*1</f>
        <v>1</v>
      </c>
    </row>
    <row r="2943">
      <c r="A2943" t="n">
        <v>2942</v>
      </c>
      <c r="B2943" t="inlineStr">
        <is>
          <t>B</t>
        </is>
      </c>
      <c r="C2943">
        <f>1</f>
        <v>1</v>
      </c>
      <c r="D2943">
        <f>IF(OR(F_Custom1_Q="(None)",F_Custom1_Q="",ISBLANK(F_Custom1_Q),F_Custom1_V="(All)",F_Custom1_V="",ISBLANK(F_Custom1_V)),1,IFERROR(IF(ISNUMBER(SEARCH("|"&amp;INDEX(INDIRECT(F_Custom1_resolved_column),2942)&amp;"|",F_Custom1_wrapped)),1,0),0))</f>
        <v>1</v>
      </c>
      <c r="E2943">
        <f>IF(OR(F_Custom2_Q="(None)",F_Custom2_Q="",ISBLANK(F_Custom2_Q),F_Custom2_V="(All)",F_Custom2_V="",ISBLANK(F_Custom2_V)),1,IFERROR(IF(ISNUMBER(SEARCH("|"&amp;INDEX(INDIRECT(F_Custom2_resolved_column),2942)&amp;"|",F_Custom2_wrapped)),1,0),0))</f>
        <v>1</v>
      </c>
      <c r="F2943">
        <f>D2943*E2943*1</f>
        <v>1</v>
      </c>
      <c r="G2943">
        <f>1</f>
        <v>1</v>
      </c>
      <c r="H29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2942)&amp;"|",All_Questions_Q_STREAM_F_wrapped)),1,0),0))*1</f>
        <v>1</v>
      </c>
    </row>
    <row r="2944">
      <c r="A2944" t="n">
        <v>2943</v>
      </c>
      <c r="B2944" t="inlineStr">
        <is>
          <t>A</t>
        </is>
      </c>
      <c r="C2944">
        <f>1</f>
        <v>1</v>
      </c>
      <c r="D2944">
        <f>IF(OR(F_Custom1_Q="(None)",F_Custom1_Q="",ISBLANK(F_Custom1_Q),F_Custom1_V="(All)",F_Custom1_V="",ISBLANK(F_Custom1_V)),1,IFERROR(IF(ISNUMBER(SEARCH("|"&amp;INDEX(INDIRECT(F_Custom1_resolved_column),2943)&amp;"|",F_Custom1_wrapped)),1,0),0))</f>
        <v>1</v>
      </c>
      <c r="E2944">
        <f>IF(OR(F_Custom2_Q="(None)",F_Custom2_Q="",ISBLANK(F_Custom2_Q),F_Custom2_V="(All)",F_Custom2_V="",ISBLANK(F_Custom2_V)),1,IFERROR(IF(ISNUMBER(SEARCH("|"&amp;INDEX(INDIRECT(F_Custom2_resolved_column),2943)&amp;"|",F_Custom2_wrapped)),1,0),0))</f>
        <v>1</v>
      </c>
      <c r="F2944">
        <f>D2944*E2944*1</f>
        <v>1</v>
      </c>
      <c r="G2944">
        <f>1</f>
        <v>1</v>
      </c>
      <c r="H29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2943)&amp;"|",All_Questions_Q_STREAM_F_wrapped)),1,0),0))*1</f>
        <v>1</v>
      </c>
    </row>
    <row r="2945">
      <c r="A2945" t="n">
        <v>2944</v>
      </c>
      <c r="B2945" t="inlineStr">
        <is>
          <t>B</t>
        </is>
      </c>
      <c r="C2945">
        <f>1</f>
        <v>1</v>
      </c>
      <c r="D2945">
        <f>IF(OR(F_Custom1_Q="(None)",F_Custom1_Q="",ISBLANK(F_Custom1_Q),F_Custom1_V="(All)",F_Custom1_V="",ISBLANK(F_Custom1_V)),1,IFERROR(IF(ISNUMBER(SEARCH("|"&amp;INDEX(INDIRECT(F_Custom1_resolved_column),2944)&amp;"|",F_Custom1_wrapped)),1,0),0))</f>
        <v>1</v>
      </c>
      <c r="E2945">
        <f>IF(OR(F_Custom2_Q="(None)",F_Custom2_Q="",ISBLANK(F_Custom2_Q),F_Custom2_V="(All)",F_Custom2_V="",ISBLANK(F_Custom2_V)),1,IFERROR(IF(ISNUMBER(SEARCH("|"&amp;INDEX(INDIRECT(F_Custom2_resolved_column),2944)&amp;"|",F_Custom2_wrapped)),1,0),0))</f>
        <v>1</v>
      </c>
      <c r="F2945">
        <f>D2945*E2945*1</f>
        <v>1</v>
      </c>
      <c r="G2945">
        <f>1</f>
        <v>1</v>
      </c>
      <c r="H29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2944)&amp;"|",All_Questions_Q_STREAM_F_wrapped)),1,0),0))*1</f>
        <v>1</v>
      </c>
    </row>
    <row r="2946">
      <c r="A2946" t="n">
        <v>2945</v>
      </c>
      <c r="B2946" t="inlineStr">
        <is>
          <t>A</t>
        </is>
      </c>
      <c r="C2946">
        <f>1</f>
        <v>1</v>
      </c>
      <c r="D2946">
        <f>IF(OR(F_Custom1_Q="(None)",F_Custom1_Q="",ISBLANK(F_Custom1_Q),F_Custom1_V="(All)",F_Custom1_V="",ISBLANK(F_Custom1_V)),1,IFERROR(IF(ISNUMBER(SEARCH("|"&amp;INDEX(INDIRECT(F_Custom1_resolved_column),2945)&amp;"|",F_Custom1_wrapped)),1,0),0))</f>
        <v>1</v>
      </c>
      <c r="E2946">
        <f>IF(OR(F_Custom2_Q="(None)",F_Custom2_Q="",ISBLANK(F_Custom2_Q),F_Custom2_V="(All)",F_Custom2_V="",ISBLANK(F_Custom2_V)),1,IFERROR(IF(ISNUMBER(SEARCH("|"&amp;INDEX(INDIRECT(F_Custom2_resolved_column),2945)&amp;"|",F_Custom2_wrapped)),1,0),0))</f>
        <v>1</v>
      </c>
      <c r="F2946">
        <f>D2946*E2946*1</f>
        <v>1</v>
      </c>
      <c r="G2946">
        <f>1</f>
        <v>1</v>
      </c>
      <c r="H29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2945)&amp;"|",All_Questions_Q_STREAM_F_wrapped)),1,0),0))*1</f>
        <v>1</v>
      </c>
    </row>
    <row r="2947">
      <c r="A2947" t="n">
        <v>2946</v>
      </c>
      <c r="B2947" t="inlineStr">
        <is>
          <t>B</t>
        </is>
      </c>
      <c r="C2947">
        <f>1</f>
        <v>1</v>
      </c>
      <c r="D2947">
        <f>IF(OR(F_Custom1_Q="(None)",F_Custom1_Q="",ISBLANK(F_Custom1_Q),F_Custom1_V="(All)",F_Custom1_V="",ISBLANK(F_Custom1_V)),1,IFERROR(IF(ISNUMBER(SEARCH("|"&amp;INDEX(INDIRECT(F_Custom1_resolved_column),2946)&amp;"|",F_Custom1_wrapped)),1,0),0))</f>
        <v>1</v>
      </c>
      <c r="E2947">
        <f>IF(OR(F_Custom2_Q="(None)",F_Custom2_Q="",ISBLANK(F_Custom2_Q),F_Custom2_V="(All)",F_Custom2_V="",ISBLANK(F_Custom2_V)),1,IFERROR(IF(ISNUMBER(SEARCH("|"&amp;INDEX(INDIRECT(F_Custom2_resolved_column),2946)&amp;"|",F_Custom2_wrapped)),1,0),0))</f>
        <v>1</v>
      </c>
      <c r="F2947">
        <f>D2947*E2947*1</f>
        <v>1</v>
      </c>
      <c r="G2947">
        <f>1</f>
        <v>1</v>
      </c>
      <c r="H29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2946)&amp;"|",All_Questions_Q_STREAM_F_wrapped)),1,0),0))*1</f>
        <v>1</v>
      </c>
    </row>
    <row r="2948">
      <c r="A2948" t="n">
        <v>2947</v>
      </c>
      <c r="B2948" t="inlineStr">
        <is>
          <t>A</t>
        </is>
      </c>
      <c r="C2948">
        <f>1</f>
        <v>1</v>
      </c>
      <c r="D2948">
        <f>IF(OR(F_Custom1_Q="(None)",F_Custom1_Q="",ISBLANK(F_Custom1_Q),F_Custom1_V="(All)",F_Custom1_V="",ISBLANK(F_Custom1_V)),1,IFERROR(IF(ISNUMBER(SEARCH("|"&amp;INDEX(INDIRECT(F_Custom1_resolved_column),2947)&amp;"|",F_Custom1_wrapped)),1,0),0))</f>
        <v>1</v>
      </c>
      <c r="E2948">
        <f>IF(OR(F_Custom2_Q="(None)",F_Custom2_Q="",ISBLANK(F_Custom2_Q),F_Custom2_V="(All)",F_Custom2_V="",ISBLANK(F_Custom2_V)),1,IFERROR(IF(ISNUMBER(SEARCH("|"&amp;INDEX(INDIRECT(F_Custom2_resolved_column),2947)&amp;"|",F_Custom2_wrapped)),1,0),0))</f>
        <v>1</v>
      </c>
      <c r="F2948">
        <f>D2948*E2948*1</f>
        <v>1</v>
      </c>
      <c r="G2948">
        <f>1</f>
        <v>1</v>
      </c>
      <c r="H29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2947)&amp;"|",All_Questions_Q_STREAM_F_wrapped)),1,0),0))*1</f>
        <v>1</v>
      </c>
    </row>
    <row r="2949">
      <c r="A2949" t="n">
        <v>2948</v>
      </c>
      <c r="B2949" t="inlineStr">
        <is>
          <t>B</t>
        </is>
      </c>
      <c r="C2949">
        <f>1</f>
        <v>1</v>
      </c>
      <c r="D2949">
        <f>IF(OR(F_Custom1_Q="(None)",F_Custom1_Q="",ISBLANK(F_Custom1_Q),F_Custom1_V="(All)",F_Custom1_V="",ISBLANK(F_Custom1_V)),1,IFERROR(IF(ISNUMBER(SEARCH("|"&amp;INDEX(INDIRECT(F_Custom1_resolved_column),2948)&amp;"|",F_Custom1_wrapped)),1,0),0))</f>
        <v>1</v>
      </c>
      <c r="E2949">
        <f>IF(OR(F_Custom2_Q="(None)",F_Custom2_Q="",ISBLANK(F_Custom2_Q),F_Custom2_V="(All)",F_Custom2_V="",ISBLANK(F_Custom2_V)),1,IFERROR(IF(ISNUMBER(SEARCH("|"&amp;INDEX(INDIRECT(F_Custom2_resolved_column),2948)&amp;"|",F_Custom2_wrapped)),1,0),0))</f>
        <v>1</v>
      </c>
      <c r="F2949">
        <f>D2949*E2949*1</f>
        <v>1</v>
      </c>
      <c r="G2949">
        <f>1</f>
        <v>1</v>
      </c>
      <c r="H29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2948)&amp;"|",All_Questions_Q_STREAM_F_wrapped)),1,0),0))*1</f>
        <v>1</v>
      </c>
    </row>
    <row r="2950">
      <c r="A2950" t="n">
        <v>2949</v>
      </c>
      <c r="B2950" t="inlineStr">
        <is>
          <t>A</t>
        </is>
      </c>
      <c r="C2950">
        <f>1</f>
        <v>1</v>
      </c>
      <c r="D2950">
        <f>IF(OR(F_Custom1_Q="(None)",F_Custom1_Q="",ISBLANK(F_Custom1_Q),F_Custom1_V="(All)",F_Custom1_V="",ISBLANK(F_Custom1_V)),1,IFERROR(IF(ISNUMBER(SEARCH("|"&amp;INDEX(INDIRECT(F_Custom1_resolved_column),2949)&amp;"|",F_Custom1_wrapped)),1,0),0))</f>
        <v>1</v>
      </c>
      <c r="E2950">
        <f>IF(OR(F_Custom2_Q="(None)",F_Custom2_Q="",ISBLANK(F_Custom2_Q),F_Custom2_V="(All)",F_Custom2_V="",ISBLANK(F_Custom2_V)),1,IFERROR(IF(ISNUMBER(SEARCH("|"&amp;INDEX(INDIRECT(F_Custom2_resolved_column),2949)&amp;"|",F_Custom2_wrapped)),1,0),0))</f>
        <v>1</v>
      </c>
      <c r="F2950">
        <f>D2950*E2950*1</f>
        <v>1</v>
      </c>
      <c r="G2950">
        <f>1</f>
        <v>1</v>
      </c>
      <c r="H29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2949)&amp;"|",All_Questions_Q_STREAM_F_wrapped)),1,0),0))*1</f>
        <v>1</v>
      </c>
    </row>
    <row r="2951">
      <c r="A2951" t="n">
        <v>2950</v>
      </c>
      <c r="B2951" t="inlineStr">
        <is>
          <t>B</t>
        </is>
      </c>
      <c r="C2951">
        <f>1</f>
        <v>1</v>
      </c>
      <c r="D2951">
        <f>IF(OR(F_Custom1_Q="(None)",F_Custom1_Q="",ISBLANK(F_Custom1_Q),F_Custom1_V="(All)",F_Custom1_V="",ISBLANK(F_Custom1_V)),1,IFERROR(IF(ISNUMBER(SEARCH("|"&amp;INDEX(INDIRECT(F_Custom1_resolved_column),2950)&amp;"|",F_Custom1_wrapped)),1,0),0))</f>
        <v>1</v>
      </c>
      <c r="E2951">
        <f>IF(OR(F_Custom2_Q="(None)",F_Custom2_Q="",ISBLANK(F_Custom2_Q),F_Custom2_V="(All)",F_Custom2_V="",ISBLANK(F_Custom2_V)),1,IFERROR(IF(ISNUMBER(SEARCH("|"&amp;INDEX(INDIRECT(F_Custom2_resolved_column),2950)&amp;"|",F_Custom2_wrapped)),1,0),0))</f>
        <v>1</v>
      </c>
      <c r="F2951">
        <f>D2951*E2951*1</f>
        <v>1</v>
      </c>
      <c r="G2951">
        <f>1</f>
        <v>1</v>
      </c>
      <c r="H29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2950)&amp;"|",All_Questions_Q_STREAM_F_wrapped)),1,0),0))*1</f>
        <v>1</v>
      </c>
    </row>
    <row r="2952">
      <c r="A2952" t="n">
        <v>2951</v>
      </c>
      <c r="B2952" t="inlineStr">
        <is>
          <t>A</t>
        </is>
      </c>
      <c r="C2952">
        <f>1</f>
        <v>1</v>
      </c>
      <c r="D2952">
        <f>IF(OR(F_Custom1_Q="(None)",F_Custom1_Q="",ISBLANK(F_Custom1_Q),F_Custom1_V="(All)",F_Custom1_V="",ISBLANK(F_Custom1_V)),1,IFERROR(IF(ISNUMBER(SEARCH("|"&amp;INDEX(INDIRECT(F_Custom1_resolved_column),2951)&amp;"|",F_Custom1_wrapped)),1,0),0))</f>
        <v>1</v>
      </c>
      <c r="E2952">
        <f>IF(OR(F_Custom2_Q="(None)",F_Custom2_Q="",ISBLANK(F_Custom2_Q),F_Custom2_V="(All)",F_Custom2_V="",ISBLANK(F_Custom2_V)),1,IFERROR(IF(ISNUMBER(SEARCH("|"&amp;INDEX(INDIRECT(F_Custom2_resolved_column),2951)&amp;"|",F_Custom2_wrapped)),1,0),0))</f>
        <v>1</v>
      </c>
      <c r="F2952">
        <f>D2952*E2952*1</f>
        <v>1</v>
      </c>
      <c r="G2952">
        <f>1</f>
        <v>1</v>
      </c>
      <c r="H29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2951)&amp;"|",All_Questions_Q_STREAM_F_wrapped)),1,0),0))*1</f>
        <v>1</v>
      </c>
    </row>
    <row r="2953">
      <c r="A2953" t="n">
        <v>2952</v>
      </c>
      <c r="B2953" t="inlineStr">
        <is>
          <t>B</t>
        </is>
      </c>
      <c r="C2953">
        <f>1</f>
        <v>1</v>
      </c>
      <c r="D2953">
        <f>IF(OR(F_Custom1_Q="(None)",F_Custom1_Q="",ISBLANK(F_Custom1_Q),F_Custom1_V="(All)",F_Custom1_V="",ISBLANK(F_Custom1_V)),1,IFERROR(IF(ISNUMBER(SEARCH("|"&amp;INDEX(INDIRECT(F_Custom1_resolved_column),2952)&amp;"|",F_Custom1_wrapped)),1,0),0))</f>
        <v>1</v>
      </c>
      <c r="E2953">
        <f>IF(OR(F_Custom2_Q="(None)",F_Custom2_Q="",ISBLANK(F_Custom2_Q),F_Custom2_V="(All)",F_Custom2_V="",ISBLANK(F_Custom2_V)),1,IFERROR(IF(ISNUMBER(SEARCH("|"&amp;INDEX(INDIRECT(F_Custom2_resolved_column),2952)&amp;"|",F_Custom2_wrapped)),1,0),0))</f>
        <v>1</v>
      </c>
      <c r="F2953">
        <f>D2953*E2953*1</f>
        <v>1</v>
      </c>
      <c r="G2953">
        <f>1</f>
        <v>1</v>
      </c>
      <c r="H29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2952)&amp;"|",All_Questions_Q_STREAM_F_wrapped)),1,0),0))*1</f>
        <v>1</v>
      </c>
    </row>
    <row r="2954">
      <c r="A2954" t="n">
        <v>2953</v>
      </c>
      <c r="B2954" t="inlineStr">
        <is>
          <t>A</t>
        </is>
      </c>
      <c r="C2954">
        <f>1</f>
        <v>1</v>
      </c>
      <c r="D2954">
        <f>IF(OR(F_Custom1_Q="(None)",F_Custom1_Q="",ISBLANK(F_Custom1_Q),F_Custom1_V="(All)",F_Custom1_V="",ISBLANK(F_Custom1_V)),1,IFERROR(IF(ISNUMBER(SEARCH("|"&amp;INDEX(INDIRECT(F_Custom1_resolved_column),2953)&amp;"|",F_Custom1_wrapped)),1,0),0))</f>
        <v>1</v>
      </c>
      <c r="E2954">
        <f>IF(OR(F_Custom2_Q="(None)",F_Custom2_Q="",ISBLANK(F_Custom2_Q),F_Custom2_V="(All)",F_Custom2_V="",ISBLANK(F_Custom2_V)),1,IFERROR(IF(ISNUMBER(SEARCH("|"&amp;INDEX(INDIRECT(F_Custom2_resolved_column),2953)&amp;"|",F_Custom2_wrapped)),1,0),0))</f>
        <v>1</v>
      </c>
      <c r="F2954">
        <f>D2954*E2954*1</f>
        <v>1</v>
      </c>
      <c r="G2954">
        <f>1</f>
        <v>1</v>
      </c>
      <c r="H29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2953)&amp;"|",All_Questions_Q_STREAM_F_wrapped)),1,0),0))*1</f>
        <v>1</v>
      </c>
    </row>
    <row r="2955">
      <c r="A2955" t="n">
        <v>2954</v>
      </c>
      <c r="B2955" t="inlineStr">
        <is>
          <t>B</t>
        </is>
      </c>
      <c r="C2955">
        <f>1</f>
        <v>1</v>
      </c>
      <c r="D2955">
        <f>IF(OR(F_Custom1_Q="(None)",F_Custom1_Q="",ISBLANK(F_Custom1_Q),F_Custom1_V="(All)",F_Custom1_V="",ISBLANK(F_Custom1_V)),1,IFERROR(IF(ISNUMBER(SEARCH("|"&amp;INDEX(INDIRECT(F_Custom1_resolved_column),2954)&amp;"|",F_Custom1_wrapped)),1,0),0))</f>
        <v>1</v>
      </c>
      <c r="E2955">
        <f>IF(OR(F_Custom2_Q="(None)",F_Custom2_Q="",ISBLANK(F_Custom2_Q),F_Custom2_V="(All)",F_Custom2_V="",ISBLANK(F_Custom2_V)),1,IFERROR(IF(ISNUMBER(SEARCH("|"&amp;INDEX(INDIRECT(F_Custom2_resolved_column),2954)&amp;"|",F_Custom2_wrapped)),1,0),0))</f>
        <v>1</v>
      </c>
      <c r="F2955">
        <f>D2955*E2955*1</f>
        <v>1</v>
      </c>
      <c r="G2955">
        <f>1</f>
        <v>1</v>
      </c>
      <c r="H29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2954)&amp;"|",All_Questions_Q_STREAM_F_wrapped)),1,0),0))*1</f>
        <v>1</v>
      </c>
    </row>
    <row r="2956">
      <c r="A2956" t="n">
        <v>2955</v>
      </c>
      <c r="B2956" t="inlineStr">
        <is>
          <t>A</t>
        </is>
      </c>
      <c r="C2956">
        <f>1</f>
        <v>1</v>
      </c>
      <c r="D2956">
        <f>IF(OR(F_Custom1_Q="(None)",F_Custom1_Q="",ISBLANK(F_Custom1_Q),F_Custom1_V="(All)",F_Custom1_V="",ISBLANK(F_Custom1_V)),1,IFERROR(IF(ISNUMBER(SEARCH("|"&amp;INDEX(INDIRECT(F_Custom1_resolved_column),2955)&amp;"|",F_Custom1_wrapped)),1,0),0))</f>
        <v>1</v>
      </c>
      <c r="E2956">
        <f>IF(OR(F_Custom2_Q="(None)",F_Custom2_Q="",ISBLANK(F_Custom2_Q),F_Custom2_V="(All)",F_Custom2_V="",ISBLANK(F_Custom2_V)),1,IFERROR(IF(ISNUMBER(SEARCH("|"&amp;INDEX(INDIRECT(F_Custom2_resolved_column),2955)&amp;"|",F_Custom2_wrapped)),1,0),0))</f>
        <v>1</v>
      </c>
      <c r="F2956">
        <f>D2956*E2956*1</f>
        <v>1</v>
      </c>
      <c r="G2956">
        <f>1</f>
        <v>1</v>
      </c>
      <c r="H29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2955)&amp;"|",All_Questions_Q_STREAM_F_wrapped)),1,0),0))*1</f>
        <v>1</v>
      </c>
    </row>
    <row r="2957">
      <c r="A2957" t="n">
        <v>2956</v>
      </c>
      <c r="B2957" t="inlineStr">
        <is>
          <t>B</t>
        </is>
      </c>
      <c r="C2957">
        <f>1</f>
        <v>1</v>
      </c>
      <c r="D2957">
        <f>IF(OR(F_Custom1_Q="(None)",F_Custom1_Q="",ISBLANK(F_Custom1_Q),F_Custom1_V="(All)",F_Custom1_V="",ISBLANK(F_Custom1_V)),1,IFERROR(IF(ISNUMBER(SEARCH("|"&amp;INDEX(INDIRECT(F_Custom1_resolved_column),2956)&amp;"|",F_Custom1_wrapped)),1,0),0))</f>
        <v>1</v>
      </c>
      <c r="E2957">
        <f>IF(OR(F_Custom2_Q="(None)",F_Custom2_Q="",ISBLANK(F_Custom2_Q),F_Custom2_V="(All)",F_Custom2_V="",ISBLANK(F_Custom2_V)),1,IFERROR(IF(ISNUMBER(SEARCH("|"&amp;INDEX(INDIRECT(F_Custom2_resolved_column),2956)&amp;"|",F_Custom2_wrapped)),1,0),0))</f>
        <v>1</v>
      </c>
      <c r="F2957">
        <f>D2957*E2957*1</f>
        <v>1</v>
      </c>
      <c r="G2957">
        <f>1</f>
        <v>1</v>
      </c>
      <c r="H29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2956)&amp;"|",All_Questions_Q_STREAM_F_wrapped)),1,0),0))*1</f>
        <v>1</v>
      </c>
    </row>
    <row r="2958">
      <c r="A2958" t="n">
        <v>2957</v>
      </c>
      <c r="B2958" t="inlineStr">
        <is>
          <t>A</t>
        </is>
      </c>
      <c r="C2958">
        <f>1</f>
        <v>1</v>
      </c>
      <c r="D2958">
        <f>IF(OR(F_Custom1_Q="(None)",F_Custom1_Q="",ISBLANK(F_Custom1_Q),F_Custom1_V="(All)",F_Custom1_V="",ISBLANK(F_Custom1_V)),1,IFERROR(IF(ISNUMBER(SEARCH("|"&amp;INDEX(INDIRECT(F_Custom1_resolved_column),2957)&amp;"|",F_Custom1_wrapped)),1,0),0))</f>
        <v>1</v>
      </c>
      <c r="E2958">
        <f>IF(OR(F_Custom2_Q="(None)",F_Custom2_Q="",ISBLANK(F_Custom2_Q),F_Custom2_V="(All)",F_Custom2_V="",ISBLANK(F_Custom2_V)),1,IFERROR(IF(ISNUMBER(SEARCH("|"&amp;INDEX(INDIRECT(F_Custom2_resolved_column),2957)&amp;"|",F_Custom2_wrapped)),1,0),0))</f>
        <v>1</v>
      </c>
      <c r="F2958">
        <f>D2958*E2958*1</f>
        <v>1</v>
      </c>
      <c r="G2958">
        <f>1</f>
        <v>1</v>
      </c>
      <c r="H29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2957)&amp;"|",All_Questions_Q_STREAM_F_wrapped)),1,0),0))*1</f>
        <v>1</v>
      </c>
    </row>
    <row r="2959">
      <c r="A2959" t="n">
        <v>2958</v>
      </c>
      <c r="B2959" t="inlineStr">
        <is>
          <t>B</t>
        </is>
      </c>
      <c r="C2959">
        <f>1</f>
        <v>1</v>
      </c>
      <c r="D2959">
        <f>IF(OR(F_Custom1_Q="(None)",F_Custom1_Q="",ISBLANK(F_Custom1_Q),F_Custom1_V="(All)",F_Custom1_V="",ISBLANK(F_Custom1_V)),1,IFERROR(IF(ISNUMBER(SEARCH("|"&amp;INDEX(INDIRECT(F_Custom1_resolved_column),2958)&amp;"|",F_Custom1_wrapped)),1,0),0))</f>
        <v>1</v>
      </c>
      <c r="E2959">
        <f>IF(OR(F_Custom2_Q="(None)",F_Custom2_Q="",ISBLANK(F_Custom2_Q),F_Custom2_V="(All)",F_Custom2_V="",ISBLANK(F_Custom2_V)),1,IFERROR(IF(ISNUMBER(SEARCH("|"&amp;INDEX(INDIRECT(F_Custom2_resolved_column),2958)&amp;"|",F_Custom2_wrapped)),1,0),0))</f>
        <v>1</v>
      </c>
      <c r="F2959">
        <f>D2959*E2959*1</f>
        <v>1</v>
      </c>
      <c r="G2959">
        <f>1</f>
        <v>1</v>
      </c>
      <c r="H29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2958)&amp;"|",All_Questions_Q_STREAM_F_wrapped)),1,0),0))*1</f>
        <v>1</v>
      </c>
    </row>
    <row r="2960">
      <c r="A2960" t="n">
        <v>2959</v>
      </c>
      <c r="B2960" t="inlineStr">
        <is>
          <t>A</t>
        </is>
      </c>
      <c r="C2960">
        <f>1</f>
        <v>1</v>
      </c>
      <c r="D2960">
        <f>IF(OR(F_Custom1_Q="(None)",F_Custom1_Q="",ISBLANK(F_Custom1_Q),F_Custom1_V="(All)",F_Custom1_V="",ISBLANK(F_Custom1_V)),1,IFERROR(IF(ISNUMBER(SEARCH("|"&amp;INDEX(INDIRECT(F_Custom1_resolved_column),2959)&amp;"|",F_Custom1_wrapped)),1,0),0))</f>
        <v>1</v>
      </c>
      <c r="E2960">
        <f>IF(OR(F_Custom2_Q="(None)",F_Custom2_Q="",ISBLANK(F_Custom2_Q),F_Custom2_V="(All)",F_Custom2_V="",ISBLANK(F_Custom2_V)),1,IFERROR(IF(ISNUMBER(SEARCH("|"&amp;INDEX(INDIRECT(F_Custom2_resolved_column),2959)&amp;"|",F_Custom2_wrapped)),1,0),0))</f>
        <v>1</v>
      </c>
      <c r="F2960">
        <f>D2960*E2960*1</f>
        <v>1</v>
      </c>
      <c r="G2960">
        <f>1</f>
        <v>1</v>
      </c>
      <c r="H29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2959)&amp;"|",All_Questions_Q_STREAM_F_wrapped)),1,0),0))*1</f>
        <v>1</v>
      </c>
    </row>
    <row r="2961">
      <c r="A2961" t="n">
        <v>2960</v>
      </c>
      <c r="B2961" t="inlineStr">
        <is>
          <t>B</t>
        </is>
      </c>
      <c r="C2961">
        <f>1</f>
        <v>1</v>
      </c>
      <c r="D2961">
        <f>IF(OR(F_Custom1_Q="(None)",F_Custom1_Q="",ISBLANK(F_Custom1_Q),F_Custom1_V="(All)",F_Custom1_V="",ISBLANK(F_Custom1_V)),1,IFERROR(IF(ISNUMBER(SEARCH("|"&amp;INDEX(INDIRECT(F_Custom1_resolved_column),2960)&amp;"|",F_Custom1_wrapped)),1,0),0))</f>
        <v>1</v>
      </c>
      <c r="E2961">
        <f>IF(OR(F_Custom2_Q="(None)",F_Custom2_Q="",ISBLANK(F_Custom2_Q),F_Custom2_V="(All)",F_Custom2_V="",ISBLANK(F_Custom2_V)),1,IFERROR(IF(ISNUMBER(SEARCH("|"&amp;INDEX(INDIRECT(F_Custom2_resolved_column),2960)&amp;"|",F_Custom2_wrapped)),1,0),0))</f>
        <v>1</v>
      </c>
      <c r="F2961">
        <f>D2961*E2961*1</f>
        <v>1</v>
      </c>
      <c r="G2961">
        <f>1</f>
        <v>1</v>
      </c>
      <c r="H29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2960)&amp;"|",All_Questions_Q_STREAM_F_wrapped)),1,0),0))*1</f>
        <v>1</v>
      </c>
    </row>
    <row r="2962">
      <c r="A2962" t="n">
        <v>2961</v>
      </c>
      <c r="B2962" t="inlineStr">
        <is>
          <t>A</t>
        </is>
      </c>
      <c r="C2962">
        <f>1</f>
        <v>1</v>
      </c>
      <c r="D2962">
        <f>IF(OR(F_Custom1_Q="(None)",F_Custom1_Q="",ISBLANK(F_Custom1_Q),F_Custom1_V="(All)",F_Custom1_V="",ISBLANK(F_Custom1_V)),1,IFERROR(IF(ISNUMBER(SEARCH("|"&amp;INDEX(INDIRECT(F_Custom1_resolved_column),2961)&amp;"|",F_Custom1_wrapped)),1,0),0))</f>
        <v>1</v>
      </c>
      <c r="E2962">
        <f>IF(OR(F_Custom2_Q="(None)",F_Custom2_Q="",ISBLANK(F_Custom2_Q),F_Custom2_V="(All)",F_Custom2_V="",ISBLANK(F_Custom2_V)),1,IFERROR(IF(ISNUMBER(SEARCH("|"&amp;INDEX(INDIRECT(F_Custom2_resolved_column),2961)&amp;"|",F_Custom2_wrapped)),1,0),0))</f>
        <v>1</v>
      </c>
      <c r="F2962">
        <f>D2962*E2962*1</f>
        <v>1</v>
      </c>
      <c r="G2962">
        <f>1</f>
        <v>1</v>
      </c>
      <c r="H29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2961)&amp;"|",All_Questions_Q_STREAM_F_wrapped)),1,0),0))*1</f>
        <v>1</v>
      </c>
    </row>
    <row r="2963">
      <c r="A2963" t="n">
        <v>2962</v>
      </c>
      <c r="B2963" t="inlineStr">
        <is>
          <t>B</t>
        </is>
      </c>
      <c r="C2963">
        <f>1</f>
        <v>1</v>
      </c>
      <c r="D2963">
        <f>IF(OR(F_Custom1_Q="(None)",F_Custom1_Q="",ISBLANK(F_Custom1_Q),F_Custom1_V="(All)",F_Custom1_V="",ISBLANK(F_Custom1_V)),1,IFERROR(IF(ISNUMBER(SEARCH("|"&amp;INDEX(INDIRECT(F_Custom1_resolved_column),2962)&amp;"|",F_Custom1_wrapped)),1,0),0))</f>
        <v>1</v>
      </c>
      <c r="E2963">
        <f>IF(OR(F_Custom2_Q="(None)",F_Custom2_Q="",ISBLANK(F_Custom2_Q),F_Custom2_V="(All)",F_Custom2_V="",ISBLANK(F_Custom2_V)),1,IFERROR(IF(ISNUMBER(SEARCH("|"&amp;INDEX(INDIRECT(F_Custom2_resolved_column),2962)&amp;"|",F_Custom2_wrapped)),1,0),0))</f>
        <v>1</v>
      </c>
      <c r="F2963">
        <f>D2963*E2963*1</f>
        <v>1</v>
      </c>
      <c r="G2963">
        <f>1</f>
        <v>1</v>
      </c>
      <c r="H29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2962)&amp;"|",All_Questions_Q_STREAM_F_wrapped)),1,0),0))*1</f>
        <v>1</v>
      </c>
    </row>
    <row r="2964">
      <c r="A2964" t="n">
        <v>2963</v>
      </c>
      <c r="B2964" t="inlineStr">
        <is>
          <t>A</t>
        </is>
      </c>
      <c r="C2964">
        <f>1</f>
        <v>1</v>
      </c>
      <c r="D2964">
        <f>IF(OR(F_Custom1_Q="(None)",F_Custom1_Q="",ISBLANK(F_Custom1_Q),F_Custom1_V="(All)",F_Custom1_V="",ISBLANK(F_Custom1_V)),1,IFERROR(IF(ISNUMBER(SEARCH("|"&amp;INDEX(INDIRECT(F_Custom1_resolved_column),2963)&amp;"|",F_Custom1_wrapped)),1,0),0))</f>
        <v>1</v>
      </c>
      <c r="E2964">
        <f>IF(OR(F_Custom2_Q="(None)",F_Custom2_Q="",ISBLANK(F_Custom2_Q),F_Custom2_V="(All)",F_Custom2_V="",ISBLANK(F_Custom2_V)),1,IFERROR(IF(ISNUMBER(SEARCH("|"&amp;INDEX(INDIRECT(F_Custom2_resolved_column),2963)&amp;"|",F_Custom2_wrapped)),1,0),0))</f>
        <v>1</v>
      </c>
      <c r="F2964">
        <f>D2964*E2964*1</f>
        <v>1</v>
      </c>
      <c r="G2964">
        <f>1</f>
        <v>1</v>
      </c>
      <c r="H29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2963)&amp;"|",All_Questions_Q_STREAM_F_wrapped)),1,0),0))*1</f>
        <v>1</v>
      </c>
    </row>
    <row r="2965">
      <c r="A2965" t="n">
        <v>2964</v>
      </c>
      <c r="B2965" t="inlineStr">
        <is>
          <t>B</t>
        </is>
      </c>
      <c r="C2965">
        <f>1</f>
        <v>1</v>
      </c>
      <c r="D2965">
        <f>IF(OR(F_Custom1_Q="(None)",F_Custom1_Q="",ISBLANK(F_Custom1_Q),F_Custom1_V="(All)",F_Custom1_V="",ISBLANK(F_Custom1_V)),1,IFERROR(IF(ISNUMBER(SEARCH("|"&amp;INDEX(INDIRECT(F_Custom1_resolved_column),2964)&amp;"|",F_Custom1_wrapped)),1,0),0))</f>
        <v>1</v>
      </c>
      <c r="E2965">
        <f>IF(OR(F_Custom2_Q="(None)",F_Custom2_Q="",ISBLANK(F_Custom2_Q),F_Custom2_V="(All)",F_Custom2_V="",ISBLANK(F_Custom2_V)),1,IFERROR(IF(ISNUMBER(SEARCH("|"&amp;INDEX(INDIRECT(F_Custom2_resolved_column),2964)&amp;"|",F_Custom2_wrapped)),1,0),0))</f>
        <v>1</v>
      </c>
      <c r="F2965">
        <f>D2965*E2965*1</f>
        <v>1</v>
      </c>
      <c r="G2965">
        <f>1</f>
        <v>1</v>
      </c>
      <c r="H29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2964)&amp;"|",All_Questions_Q_STREAM_F_wrapped)),1,0),0))*1</f>
        <v>1</v>
      </c>
    </row>
    <row r="2966">
      <c r="A2966" t="n">
        <v>2965</v>
      </c>
      <c r="B2966" t="inlineStr">
        <is>
          <t>A</t>
        </is>
      </c>
      <c r="C2966">
        <f>1</f>
        <v>1</v>
      </c>
      <c r="D2966">
        <f>IF(OR(F_Custom1_Q="(None)",F_Custom1_Q="",ISBLANK(F_Custom1_Q),F_Custom1_V="(All)",F_Custom1_V="",ISBLANK(F_Custom1_V)),1,IFERROR(IF(ISNUMBER(SEARCH("|"&amp;INDEX(INDIRECT(F_Custom1_resolved_column),2965)&amp;"|",F_Custom1_wrapped)),1,0),0))</f>
        <v>1</v>
      </c>
      <c r="E2966">
        <f>IF(OR(F_Custom2_Q="(None)",F_Custom2_Q="",ISBLANK(F_Custom2_Q),F_Custom2_V="(All)",F_Custom2_V="",ISBLANK(F_Custom2_V)),1,IFERROR(IF(ISNUMBER(SEARCH("|"&amp;INDEX(INDIRECT(F_Custom2_resolved_column),2965)&amp;"|",F_Custom2_wrapped)),1,0),0))</f>
        <v>1</v>
      </c>
      <c r="F2966">
        <f>D2966*E2966*1</f>
        <v>1</v>
      </c>
      <c r="G2966">
        <f>1</f>
        <v>1</v>
      </c>
      <c r="H29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2965)&amp;"|",All_Questions_Q_STREAM_F_wrapped)),1,0),0))*1</f>
        <v>1</v>
      </c>
    </row>
    <row r="2967">
      <c r="A2967" t="n">
        <v>2966</v>
      </c>
      <c r="B2967" t="inlineStr">
        <is>
          <t>B</t>
        </is>
      </c>
      <c r="C2967">
        <f>1</f>
        <v>1</v>
      </c>
      <c r="D2967">
        <f>IF(OR(F_Custom1_Q="(None)",F_Custom1_Q="",ISBLANK(F_Custom1_Q),F_Custom1_V="(All)",F_Custom1_V="",ISBLANK(F_Custom1_V)),1,IFERROR(IF(ISNUMBER(SEARCH("|"&amp;INDEX(INDIRECT(F_Custom1_resolved_column),2966)&amp;"|",F_Custom1_wrapped)),1,0),0))</f>
        <v>1</v>
      </c>
      <c r="E2967">
        <f>IF(OR(F_Custom2_Q="(None)",F_Custom2_Q="",ISBLANK(F_Custom2_Q),F_Custom2_V="(All)",F_Custom2_V="",ISBLANK(F_Custom2_V)),1,IFERROR(IF(ISNUMBER(SEARCH("|"&amp;INDEX(INDIRECT(F_Custom2_resolved_column),2966)&amp;"|",F_Custom2_wrapped)),1,0),0))</f>
        <v>1</v>
      </c>
      <c r="F2967">
        <f>D2967*E2967*1</f>
        <v>1</v>
      </c>
      <c r="G2967">
        <f>1</f>
        <v>1</v>
      </c>
      <c r="H29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2966)&amp;"|",All_Questions_Q_STREAM_F_wrapped)),1,0),0))*1</f>
        <v>1</v>
      </c>
    </row>
    <row r="2968">
      <c r="A2968" t="n">
        <v>2967</v>
      </c>
      <c r="B2968" t="inlineStr">
        <is>
          <t>A</t>
        </is>
      </c>
      <c r="C2968">
        <f>1</f>
        <v>1</v>
      </c>
      <c r="D2968">
        <f>IF(OR(F_Custom1_Q="(None)",F_Custom1_Q="",ISBLANK(F_Custom1_Q),F_Custom1_V="(All)",F_Custom1_V="",ISBLANK(F_Custom1_V)),1,IFERROR(IF(ISNUMBER(SEARCH("|"&amp;INDEX(INDIRECT(F_Custom1_resolved_column),2967)&amp;"|",F_Custom1_wrapped)),1,0),0))</f>
        <v>1</v>
      </c>
      <c r="E2968">
        <f>IF(OR(F_Custom2_Q="(None)",F_Custom2_Q="",ISBLANK(F_Custom2_Q),F_Custom2_V="(All)",F_Custom2_V="",ISBLANK(F_Custom2_V)),1,IFERROR(IF(ISNUMBER(SEARCH("|"&amp;INDEX(INDIRECT(F_Custom2_resolved_column),2967)&amp;"|",F_Custom2_wrapped)),1,0),0))</f>
        <v>1</v>
      </c>
      <c r="F2968">
        <f>D2968*E2968*1</f>
        <v>1</v>
      </c>
      <c r="G2968">
        <f>1</f>
        <v>1</v>
      </c>
      <c r="H29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2967)&amp;"|",All_Questions_Q_STREAM_F_wrapped)),1,0),0))*1</f>
        <v>1</v>
      </c>
    </row>
    <row r="2969">
      <c r="A2969" t="n">
        <v>2968</v>
      </c>
      <c r="B2969" t="inlineStr">
        <is>
          <t>B</t>
        </is>
      </c>
      <c r="C2969">
        <f>1</f>
        <v>1</v>
      </c>
      <c r="D2969">
        <f>IF(OR(F_Custom1_Q="(None)",F_Custom1_Q="",ISBLANK(F_Custom1_Q),F_Custom1_V="(All)",F_Custom1_V="",ISBLANK(F_Custom1_V)),1,IFERROR(IF(ISNUMBER(SEARCH("|"&amp;INDEX(INDIRECT(F_Custom1_resolved_column),2968)&amp;"|",F_Custom1_wrapped)),1,0),0))</f>
        <v>1</v>
      </c>
      <c r="E2969">
        <f>IF(OR(F_Custom2_Q="(None)",F_Custom2_Q="",ISBLANK(F_Custom2_Q),F_Custom2_V="(All)",F_Custom2_V="",ISBLANK(F_Custom2_V)),1,IFERROR(IF(ISNUMBER(SEARCH("|"&amp;INDEX(INDIRECT(F_Custom2_resolved_column),2968)&amp;"|",F_Custom2_wrapped)),1,0),0))</f>
        <v>1</v>
      </c>
      <c r="F2969">
        <f>D2969*E2969*1</f>
        <v>1</v>
      </c>
      <c r="G2969">
        <f>1</f>
        <v>1</v>
      </c>
      <c r="H29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2968)&amp;"|",All_Questions_Q_STREAM_F_wrapped)),1,0),0))*1</f>
        <v>1</v>
      </c>
    </row>
    <row r="2970">
      <c r="A2970" t="n">
        <v>2969</v>
      </c>
      <c r="B2970" t="inlineStr">
        <is>
          <t>A</t>
        </is>
      </c>
      <c r="C2970">
        <f>1</f>
        <v>1</v>
      </c>
      <c r="D2970">
        <f>IF(OR(F_Custom1_Q="(None)",F_Custom1_Q="",ISBLANK(F_Custom1_Q),F_Custom1_V="(All)",F_Custom1_V="",ISBLANK(F_Custom1_V)),1,IFERROR(IF(ISNUMBER(SEARCH("|"&amp;INDEX(INDIRECT(F_Custom1_resolved_column),2969)&amp;"|",F_Custom1_wrapped)),1,0),0))</f>
        <v>1</v>
      </c>
      <c r="E2970">
        <f>IF(OR(F_Custom2_Q="(None)",F_Custom2_Q="",ISBLANK(F_Custom2_Q),F_Custom2_V="(All)",F_Custom2_V="",ISBLANK(F_Custom2_V)),1,IFERROR(IF(ISNUMBER(SEARCH("|"&amp;INDEX(INDIRECT(F_Custom2_resolved_column),2969)&amp;"|",F_Custom2_wrapped)),1,0),0))</f>
        <v>1</v>
      </c>
      <c r="F2970">
        <f>D2970*E2970*1</f>
        <v>1</v>
      </c>
      <c r="G2970">
        <f>1</f>
        <v>1</v>
      </c>
      <c r="H29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2969)&amp;"|",All_Questions_Q_STREAM_F_wrapped)),1,0),0))*1</f>
        <v>1</v>
      </c>
    </row>
    <row r="2971">
      <c r="A2971" t="n">
        <v>2970</v>
      </c>
      <c r="B2971" t="inlineStr">
        <is>
          <t>B</t>
        </is>
      </c>
      <c r="C2971">
        <f>1</f>
        <v>1</v>
      </c>
      <c r="D2971">
        <f>IF(OR(F_Custom1_Q="(None)",F_Custom1_Q="",ISBLANK(F_Custom1_Q),F_Custom1_V="(All)",F_Custom1_V="",ISBLANK(F_Custom1_V)),1,IFERROR(IF(ISNUMBER(SEARCH("|"&amp;INDEX(INDIRECT(F_Custom1_resolved_column),2970)&amp;"|",F_Custom1_wrapped)),1,0),0))</f>
        <v>1</v>
      </c>
      <c r="E2971">
        <f>IF(OR(F_Custom2_Q="(None)",F_Custom2_Q="",ISBLANK(F_Custom2_Q),F_Custom2_V="(All)",F_Custom2_V="",ISBLANK(F_Custom2_V)),1,IFERROR(IF(ISNUMBER(SEARCH("|"&amp;INDEX(INDIRECT(F_Custom2_resolved_column),2970)&amp;"|",F_Custom2_wrapped)),1,0),0))</f>
        <v>1</v>
      </c>
      <c r="F2971">
        <f>D2971*E2971*1</f>
        <v>1</v>
      </c>
      <c r="G2971">
        <f>1</f>
        <v>1</v>
      </c>
      <c r="H29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2970)&amp;"|",All_Questions_Q_STREAM_F_wrapped)),1,0),0))*1</f>
        <v>1</v>
      </c>
    </row>
    <row r="2972">
      <c r="A2972" t="n">
        <v>2971</v>
      </c>
      <c r="B2972" t="inlineStr">
        <is>
          <t>A</t>
        </is>
      </c>
      <c r="C2972">
        <f>1</f>
        <v>1</v>
      </c>
      <c r="D2972">
        <f>IF(OR(F_Custom1_Q="(None)",F_Custom1_Q="",ISBLANK(F_Custom1_Q),F_Custom1_V="(All)",F_Custom1_V="",ISBLANK(F_Custom1_V)),1,IFERROR(IF(ISNUMBER(SEARCH("|"&amp;INDEX(INDIRECT(F_Custom1_resolved_column),2971)&amp;"|",F_Custom1_wrapped)),1,0),0))</f>
        <v>1</v>
      </c>
      <c r="E2972">
        <f>IF(OR(F_Custom2_Q="(None)",F_Custom2_Q="",ISBLANK(F_Custom2_Q),F_Custom2_V="(All)",F_Custom2_V="",ISBLANK(F_Custom2_V)),1,IFERROR(IF(ISNUMBER(SEARCH("|"&amp;INDEX(INDIRECT(F_Custom2_resolved_column),2971)&amp;"|",F_Custom2_wrapped)),1,0),0))</f>
        <v>1</v>
      </c>
      <c r="F2972">
        <f>D2972*E2972*1</f>
        <v>1</v>
      </c>
      <c r="G2972">
        <f>1</f>
        <v>1</v>
      </c>
      <c r="H29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2971)&amp;"|",All_Questions_Q_STREAM_F_wrapped)),1,0),0))*1</f>
        <v>1</v>
      </c>
    </row>
    <row r="2973">
      <c r="A2973" t="n">
        <v>2972</v>
      </c>
      <c r="B2973" t="inlineStr">
        <is>
          <t>B</t>
        </is>
      </c>
      <c r="C2973">
        <f>1</f>
        <v>1</v>
      </c>
      <c r="D2973">
        <f>IF(OR(F_Custom1_Q="(None)",F_Custom1_Q="",ISBLANK(F_Custom1_Q),F_Custom1_V="(All)",F_Custom1_V="",ISBLANK(F_Custom1_V)),1,IFERROR(IF(ISNUMBER(SEARCH("|"&amp;INDEX(INDIRECT(F_Custom1_resolved_column),2972)&amp;"|",F_Custom1_wrapped)),1,0),0))</f>
        <v>1</v>
      </c>
      <c r="E2973">
        <f>IF(OR(F_Custom2_Q="(None)",F_Custom2_Q="",ISBLANK(F_Custom2_Q),F_Custom2_V="(All)",F_Custom2_V="",ISBLANK(F_Custom2_V)),1,IFERROR(IF(ISNUMBER(SEARCH("|"&amp;INDEX(INDIRECT(F_Custom2_resolved_column),2972)&amp;"|",F_Custom2_wrapped)),1,0),0))</f>
        <v>1</v>
      </c>
      <c r="F2973">
        <f>D2973*E2973*1</f>
        <v>1</v>
      </c>
      <c r="G2973">
        <f>1</f>
        <v>1</v>
      </c>
      <c r="H29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2972)&amp;"|",All_Questions_Q_STREAM_F_wrapped)),1,0),0))*1</f>
        <v>1</v>
      </c>
    </row>
    <row r="2974">
      <c r="A2974" t="n">
        <v>2973</v>
      </c>
      <c r="B2974" t="inlineStr">
        <is>
          <t>A</t>
        </is>
      </c>
      <c r="C2974">
        <f>1</f>
        <v>1</v>
      </c>
      <c r="D2974">
        <f>IF(OR(F_Custom1_Q="(None)",F_Custom1_Q="",ISBLANK(F_Custom1_Q),F_Custom1_V="(All)",F_Custom1_V="",ISBLANK(F_Custom1_V)),1,IFERROR(IF(ISNUMBER(SEARCH("|"&amp;INDEX(INDIRECT(F_Custom1_resolved_column),2973)&amp;"|",F_Custom1_wrapped)),1,0),0))</f>
        <v>1</v>
      </c>
      <c r="E2974">
        <f>IF(OR(F_Custom2_Q="(None)",F_Custom2_Q="",ISBLANK(F_Custom2_Q),F_Custom2_V="(All)",F_Custom2_V="",ISBLANK(F_Custom2_V)),1,IFERROR(IF(ISNUMBER(SEARCH("|"&amp;INDEX(INDIRECT(F_Custom2_resolved_column),2973)&amp;"|",F_Custom2_wrapped)),1,0),0))</f>
        <v>1</v>
      </c>
      <c r="F2974">
        <f>D2974*E2974*1</f>
        <v>1</v>
      </c>
      <c r="G2974">
        <f>1</f>
        <v>1</v>
      </c>
      <c r="H29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2973)&amp;"|",All_Questions_Q_STREAM_F_wrapped)),1,0),0))*1</f>
        <v>1</v>
      </c>
    </row>
    <row r="2975">
      <c r="A2975" t="n">
        <v>2974</v>
      </c>
      <c r="B2975" t="inlineStr">
        <is>
          <t>B</t>
        </is>
      </c>
      <c r="C2975">
        <f>1</f>
        <v>1</v>
      </c>
      <c r="D2975">
        <f>IF(OR(F_Custom1_Q="(None)",F_Custom1_Q="",ISBLANK(F_Custom1_Q),F_Custom1_V="(All)",F_Custom1_V="",ISBLANK(F_Custom1_V)),1,IFERROR(IF(ISNUMBER(SEARCH("|"&amp;INDEX(INDIRECT(F_Custom1_resolved_column),2974)&amp;"|",F_Custom1_wrapped)),1,0),0))</f>
        <v>1</v>
      </c>
      <c r="E2975">
        <f>IF(OR(F_Custom2_Q="(None)",F_Custom2_Q="",ISBLANK(F_Custom2_Q),F_Custom2_V="(All)",F_Custom2_V="",ISBLANK(F_Custom2_V)),1,IFERROR(IF(ISNUMBER(SEARCH("|"&amp;INDEX(INDIRECT(F_Custom2_resolved_column),2974)&amp;"|",F_Custom2_wrapped)),1,0),0))</f>
        <v>1</v>
      </c>
      <c r="F2975">
        <f>D2975*E2975*1</f>
        <v>1</v>
      </c>
      <c r="G2975">
        <f>1</f>
        <v>1</v>
      </c>
      <c r="H29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2974)&amp;"|",All_Questions_Q_STREAM_F_wrapped)),1,0),0))*1</f>
        <v>1</v>
      </c>
    </row>
    <row r="2976">
      <c r="A2976" t="n">
        <v>2975</v>
      </c>
      <c r="B2976" t="inlineStr">
        <is>
          <t>A</t>
        </is>
      </c>
      <c r="C2976">
        <f>1</f>
        <v>1</v>
      </c>
      <c r="D2976">
        <f>IF(OR(F_Custom1_Q="(None)",F_Custom1_Q="",ISBLANK(F_Custom1_Q),F_Custom1_V="(All)",F_Custom1_V="",ISBLANK(F_Custom1_V)),1,IFERROR(IF(ISNUMBER(SEARCH("|"&amp;INDEX(INDIRECT(F_Custom1_resolved_column),2975)&amp;"|",F_Custom1_wrapped)),1,0),0))</f>
        <v>1</v>
      </c>
      <c r="E2976">
        <f>IF(OR(F_Custom2_Q="(None)",F_Custom2_Q="",ISBLANK(F_Custom2_Q),F_Custom2_V="(All)",F_Custom2_V="",ISBLANK(F_Custom2_V)),1,IFERROR(IF(ISNUMBER(SEARCH("|"&amp;INDEX(INDIRECT(F_Custom2_resolved_column),2975)&amp;"|",F_Custom2_wrapped)),1,0),0))</f>
        <v>1</v>
      </c>
      <c r="F2976">
        <f>D2976*E2976*1</f>
        <v>1</v>
      </c>
      <c r="G2976">
        <f>1</f>
        <v>1</v>
      </c>
      <c r="H29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2975)&amp;"|",All_Questions_Q_STREAM_F_wrapped)),1,0),0))*1</f>
        <v>1</v>
      </c>
    </row>
    <row r="2977">
      <c r="A2977" t="n">
        <v>2976</v>
      </c>
      <c r="B2977" t="inlineStr">
        <is>
          <t>B</t>
        </is>
      </c>
      <c r="C2977">
        <f>1</f>
        <v>1</v>
      </c>
      <c r="D2977">
        <f>IF(OR(F_Custom1_Q="(None)",F_Custom1_Q="",ISBLANK(F_Custom1_Q),F_Custom1_V="(All)",F_Custom1_V="",ISBLANK(F_Custom1_V)),1,IFERROR(IF(ISNUMBER(SEARCH("|"&amp;INDEX(INDIRECT(F_Custom1_resolved_column),2976)&amp;"|",F_Custom1_wrapped)),1,0),0))</f>
        <v>1</v>
      </c>
      <c r="E2977">
        <f>IF(OR(F_Custom2_Q="(None)",F_Custom2_Q="",ISBLANK(F_Custom2_Q),F_Custom2_V="(All)",F_Custom2_V="",ISBLANK(F_Custom2_V)),1,IFERROR(IF(ISNUMBER(SEARCH("|"&amp;INDEX(INDIRECT(F_Custom2_resolved_column),2976)&amp;"|",F_Custom2_wrapped)),1,0),0))</f>
        <v>1</v>
      </c>
      <c r="F2977">
        <f>D2977*E2977*1</f>
        <v>1</v>
      </c>
      <c r="G2977">
        <f>1</f>
        <v>1</v>
      </c>
      <c r="H29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2976)&amp;"|",All_Questions_Q_STREAM_F_wrapped)),1,0),0))*1</f>
        <v>1</v>
      </c>
    </row>
    <row r="2978">
      <c r="A2978" t="n">
        <v>2977</v>
      </c>
      <c r="B2978" t="inlineStr">
        <is>
          <t>A</t>
        </is>
      </c>
      <c r="C2978">
        <f>1</f>
        <v>1</v>
      </c>
      <c r="D2978">
        <f>IF(OR(F_Custom1_Q="(None)",F_Custom1_Q="",ISBLANK(F_Custom1_Q),F_Custom1_V="(All)",F_Custom1_V="",ISBLANK(F_Custom1_V)),1,IFERROR(IF(ISNUMBER(SEARCH("|"&amp;INDEX(INDIRECT(F_Custom1_resolved_column),2977)&amp;"|",F_Custom1_wrapped)),1,0),0))</f>
        <v>1</v>
      </c>
      <c r="E2978">
        <f>IF(OR(F_Custom2_Q="(None)",F_Custom2_Q="",ISBLANK(F_Custom2_Q),F_Custom2_V="(All)",F_Custom2_V="",ISBLANK(F_Custom2_V)),1,IFERROR(IF(ISNUMBER(SEARCH("|"&amp;INDEX(INDIRECT(F_Custom2_resolved_column),2977)&amp;"|",F_Custom2_wrapped)),1,0),0))</f>
        <v>1</v>
      </c>
      <c r="F2978">
        <f>D2978*E2978*1</f>
        <v>1</v>
      </c>
      <c r="G2978">
        <f>1</f>
        <v>1</v>
      </c>
      <c r="H29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2977)&amp;"|",All_Questions_Q_STREAM_F_wrapped)),1,0),0))*1</f>
        <v>1</v>
      </c>
    </row>
    <row r="2979">
      <c r="A2979" t="n">
        <v>2978</v>
      </c>
      <c r="B2979" t="inlineStr">
        <is>
          <t>B</t>
        </is>
      </c>
      <c r="C2979">
        <f>1</f>
        <v>1</v>
      </c>
      <c r="D2979">
        <f>IF(OR(F_Custom1_Q="(None)",F_Custom1_Q="",ISBLANK(F_Custom1_Q),F_Custom1_V="(All)",F_Custom1_V="",ISBLANK(F_Custom1_V)),1,IFERROR(IF(ISNUMBER(SEARCH("|"&amp;INDEX(INDIRECT(F_Custom1_resolved_column),2978)&amp;"|",F_Custom1_wrapped)),1,0),0))</f>
        <v>1</v>
      </c>
      <c r="E2979">
        <f>IF(OR(F_Custom2_Q="(None)",F_Custom2_Q="",ISBLANK(F_Custom2_Q),F_Custom2_V="(All)",F_Custom2_V="",ISBLANK(F_Custom2_V)),1,IFERROR(IF(ISNUMBER(SEARCH("|"&amp;INDEX(INDIRECT(F_Custom2_resolved_column),2978)&amp;"|",F_Custom2_wrapped)),1,0),0))</f>
        <v>1</v>
      </c>
      <c r="F2979">
        <f>D2979*E2979*1</f>
        <v>1</v>
      </c>
      <c r="G2979">
        <f>1</f>
        <v>1</v>
      </c>
      <c r="H29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2978)&amp;"|",All_Questions_Q_STREAM_F_wrapped)),1,0),0))*1</f>
        <v>1</v>
      </c>
    </row>
    <row r="2980">
      <c r="A2980" t="n">
        <v>2979</v>
      </c>
      <c r="B2980" t="inlineStr">
        <is>
          <t>A</t>
        </is>
      </c>
      <c r="C2980">
        <f>1</f>
        <v>1</v>
      </c>
      <c r="D2980">
        <f>IF(OR(F_Custom1_Q="(None)",F_Custom1_Q="",ISBLANK(F_Custom1_Q),F_Custom1_V="(All)",F_Custom1_V="",ISBLANK(F_Custom1_V)),1,IFERROR(IF(ISNUMBER(SEARCH("|"&amp;INDEX(INDIRECT(F_Custom1_resolved_column),2979)&amp;"|",F_Custom1_wrapped)),1,0),0))</f>
        <v>1</v>
      </c>
      <c r="E2980">
        <f>IF(OR(F_Custom2_Q="(None)",F_Custom2_Q="",ISBLANK(F_Custom2_Q),F_Custom2_V="(All)",F_Custom2_V="",ISBLANK(F_Custom2_V)),1,IFERROR(IF(ISNUMBER(SEARCH("|"&amp;INDEX(INDIRECT(F_Custom2_resolved_column),2979)&amp;"|",F_Custom2_wrapped)),1,0),0))</f>
        <v>1</v>
      </c>
      <c r="F2980">
        <f>D2980*E2980*1</f>
        <v>1</v>
      </c>
      <c r="G2980">
        <f>1</f>
        <v>1</v>
      </c>
      <c r="H29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2979)&amp;"|",All_Questions_Q_STREAM_F_wrapped)),1,0),0))*1</f>
        <v>1</v>
      </c>
    </row>
    <row r="2981">
      <c r="A2981" t="n">
        <v>2980</v>
      </c>
      <c r="B2981" t="inlineStr">
        <is>
          <t>B</t>
        </is>
      </c>
      <c r="C2981">
        <f>1</f>
        <v>1</v>
      </c>
      <c r="D2981">
        <f>IF(OR(F_Custom1_Q="(None)",F_Custom1_Q="",ISBLANK(F_Custom1_Q),F_Custom1_V="(All)",F_Custom1_V="",ISBLANK(F_Custom1_V)),1,IFERROR(IF(ISNUMBER(SEARCH("|"&amp;INDEX(INDIRECT(F_Custom1_resolved_column),2980)&amp;"|",F_Custom1_wrapped)),1,0),0))</f>
        <v>1</v>
      </c>
      <c r="E2981">
        <f>IF(OR(F_Custom2_Q="(None)",F_Custom2_Q="",ISBLANK(F_Custom2_Q),F_Custom2_V="(All)",F_Custom2_V="",ISBLANK(F_Custom2_V)),1,IFERROR(IF(ISNUMBER(SEARCH("|"&amp;INDEX(INDIRECT(F_Custom2_resolved_column),2980)&amp;"|",F_Custom2_wrapped)),1,0),0))</f>
        <v>1</v>
      </c>
      <c r="F2981">
        <f>D2981*E2981*1</f>
        <v>1</v>
      </c>
      <c r="G2981">
        <f>1</f>
        <v>1</v>
      </c>
      <c r="H29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2980)&amp;"|",All_Questions_Q_STREAM_F_wrapped)),1,0),0))*1</f>
        <v>1</v>
      </c>
    </row>
    <row r="2982">
      <c r="A2982" t="n">
        <v>2981</v>
      </c>
      <c r="B2982" t="inlineStr">
        <is>
          <t>A</t>
        </is>
      </c>
      <c r="C2982">
        <f>1</f>
        <v>1</v>
      </c>
      <c r="D2982">
        <f>IF(OR(F_Custom1_Q="(None)",F_Custom1_Q="",ISBLANK(F_Custom1_Q),F_Custom1_V="(All)",F_Custom1_V="",ISBLANK(F_Custom1_V)),1,IFERROR(IF(ISNUMBER(SEARCH("|"&amp;INDEX(INDIRECT(F_Custom1_resolved_column),2981)&amp;"|",F_Custom1_wrapped)),1,0),0))</f>
        <v>1</v>
      </c>
      <c r="E2982">
        <f>IF(OR(F_Custom2_Q="(None)",F_Custom2_Q="",ISBLANK(F_Custom2_Q),F_Custom2_V="(All)",F_Custom2_V="",ISBLANK(F_Custom2_V)),1,IFERROR(IF(ISNUMBER(SEARCH("|"&amp;INDEX(INDIRECT(F_Custom2_resolved_column),2981)&amp;"|",F_Custom2_wrapped)),1,0),0))</f>
        <v>1</v>
      </c>
      <c r="F2982">
        <f>D2982*E2982*1</f>
        <v>1</v>
      </c>
      <c r="G2982">
        <f>1</f>
        <v>1</v>
      </c>
      <c r="H29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2981)&amp;"|",All_Questions_Q_STREAM_F_wrapped)),1,0),0))*1</f>
        <v>1</v>
      </c>
    </row>
    <row r="2983">
      <c r="A2983" t="n">
        <v>2982</v>
      </c>
      <c r="B2983" t="inlineStr">
        <is>
          <t>B</t>
        </is>
      </c>
      <c r="C2983">
        <f>1</f>
        <v>1</v>
      </c>
      <c r="D2983">
        <f>IF(OR(F_Custom1_Q="(None)",F_Custom1_Q="",ISBLANK(F_Custom1_Q),F_Custom1_V="(All)",F_Custom1_V="",ISBLANK(F_Custom1_V)),1,IFERROR(IF(ISNUMBER(SEARCH("|"&amp;INDEX(INDIRECT(F_Custom1_resolved_column),2982)&amp;"|",F_Custom1_wrapped)),1,0),0))</f>
        <v>1</v>
      </c>
      <c r="E2983">
        <f>IF(OR(F_Custom2_Q="(None)",F_Custom2_Q="",ISBLANK(F_Custom2_Q),F_Custom2_V="(All)",F_Custom2_V="",ISBLANK(F_Custom2_V)),1,IFERROR(IF(ISNUMBER(SEARCH("|"&amp;INDEX(INDIRECT(F_Custom2_resolved_column),2982)&amp;"|",F_Custom2_wrapped)),1,0),0))</f>
        <v>1</v>
      </c>
      <c r="F2983">
        <f>D2983*E2983*1</f>
        <v>1</v>
      </c>
      <c r="G2983">
        <f>1</f>
        <v>1</v>
      </c>
      <c r="H29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2982)&amp;"|",All_Questions_Q_STREAM_F_wrapped)),1,0),0))*1</f>
        <v>1</v>
      </c>
    </row>
    <row r="2984">
      <c r="A2984" t="n">
        <v>2983</v>
      </c>
      <c r="B2984" t="inlineStr">
        <is>
          <t>A</t>
        </is>
      </c>
      <c r="C2984">
        <f>1</f>
        <v>1</v>
      </c>
      <c r="D2984">
        <f>IF(OR(F_Custom1_Q="(None)",F_Custom1_Q="",ISBLANK(F_Custom1_Q),F_Custom1_V="(All)",F_Custom1_V="",ISBLANK(F_Custom1_V)),1,IFERROR(IF(ISNUMBER(SEARCH("|"&amp;INDEX(INDIRECT(F_Custom1_resolved_column),2983)&amp;"|",F_Custom1_wrapped)),1,0),0))</f>
        <v>1</v>
      </c>
      <c r="E2984">
        <f>IF(OR(F_Custom2_Q="(None)",F_Custom2_Q="",ISBLANK(F_Custom2_Q),F_Custom2_V="(All)",F_Custom2_V="",ISBLANK(F_Custom2_V)),1,IFERROR(IF(ISNUMBER(SEARCH("|"&amp;INDEX(INDIRECT(F_Custom2_resolved_column),2983)&amp;"|",F_Custom2_wrapped)),1,0),0))</f>
        <v>1</v>
      </c>
      <c r="F2984">
        <f>D2984*E2984*1</f>
        <v>1</v>
      </c>
      <c r="G2984">
        <f>1</f>
        <v>1</v>
      </c>
      <c r="H29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2983)&amp;"|",All_Questions_Q_STREAM_F_wrapped)),1,0),0))*1</f>
        <v>1</v>
      </c>
    </row>
    <row r="2985">
      <c r="A2985" t="n">
        <v>2984</v>
      </c>
      <c r="B2985" t="inlineStr">
        <is>
          <t>B</t>
        </is>
      </c>
      <c r="C2985">
        <f>1</f>
        <v>1</v>
      </c>
      <c r="D2985">
        <f>IF(OR(F_Custom1_Q="(None)",F_Custom1_Q="",ISBLANK(F_Custom1_Q),F_Custom1_V="(All)",F_Custom1_V="",ISBLANK(F_Custom1_V)),1,IFERROR(IF(ISNUMBER(SEARCH("|"&amp;INDEX(INDIRECT(F_Custom1_resolved_column),2984)&amp;"|",F_Custom1_wrapped)),1,0),0))</f>
        <v>1</v>
      </c>
      <c r="E2985">
        <f>IF(OR(F_Custom2_Q="(None)",F_Custom2_Q="",ISBLANK(F_Custom2_Q),F_Custom2_V="(All)",F_Custom2_V="",ISBLANK(F_Custom2_V)),1,IFERROR(IF(ISNUMBER(SEARCH("|"&amp;INDEX(INDIRECT(F_Custom2_resolved_column),2984)&amp;"|",F_Custom2_wrapped)),1,0),0))</f>
        <v>1</v>
      </c>
      <c r="F2985">
        <f>D2985*E2985*1</f>
        <v>1</v>
      </c>
      <c r="G2985">
        <f>1</f>
        <v>1</v>
      </c>
      <c r="H29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2984)&amp;"|",All_Questions_Q_STREAM_F_wrapped)),1,0),0))*1</f>
        <v>1</v>
      </c>
    </row>
    <row r="2986">
      <c r="A2986" t="n">
        <v>2985</v>
      </c>
      <c r="B2986" t="inlineStr">
        <is>
          <t>A</t>
        </is>
      </c>
      <c r="C2986">
        <f>1</f>
        <v>1</v>
      </c>
      <c r="D2986">
        <f>IF(OR(F_Custom1_Q="(None)",F_Custom1_Q="",ISBLANK(F_Custom1_Q),F_Custom1_V="(All)",F_Custom1_V="",ISBLANK(F_Custom1_V)),1,IFERROR(IF(ISNUMBER(SEARCH("|"&amp;INDEX(INDIRECT(F_Custom1_resolved_column),2985)&amp;"|",F_Custom1_wrapped)),1,0),0))</f>
        <v>1</v>
      </c>
      <c r="E2986">
        <f>IF(OR(F_Custom2_Q="(None)",F_Custom2_Q="",ISBLANK(F_Custom2_Q),F_Custom2_V="(All)",F_Custom2_V="",ISBLANK(F_Custom2_V)),1,IFERROR(IF(ISNUMBER(SEARCH("|"&amp;INDEX(INDIRECT(F_Custom2_resolved_column),2985)&amp;"|",F_Custom2_wrapped)),1,0),0))</f>
        <v>1</v>
      </c>
      <c r="F2986">
        <f>D2986*E2986*1</f>
        <v>1</v>
      </c>
      <c r="G2986">
        <f>1</f>
        <v>1</v>
      </c>
      <c r="H29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2985)&amp;"|",All_Questions_Q_STREAM_F_wrapped)),1,0),0))*1</f>
        <v>1</v>
      </c>
    </row>
    <row r="2987">
      <c r="A2987" t="n">
        <v>2986</v>
      </c>
      <c r="B2987" t="inlineStr">
        <is>
          <t>B</t>
        </is>
      </c>
      <c r="C2987">
        <f>1</f>
        <v>1</v>
      </c>
      <c r="D2987">
        <f>IF(OR(F_Custom1_Q="(None)",F_Custom1_Q="",ISBLANK(F_Custom1_Q),F_Custom1_V="(All)",F_Custom1_V="",ISBLANK(F_Custom1_V)),1,IFERROR(IF(ISNUMBER(SEARCH("|"&amp;INDEX(INDIRECT(F_Custom1_resolved_column),2986)&amp;"|",F_Custom1_wrapped)),1,0),0))</f>
        <v>1</v>
      </c>
      <c r="E2987">
        <f>IF(OR(F_Custom2_Q="(None)",F_Custom2_Q="",ISBLANK(F_Custom2_Q),F_Custom2_V="(All)",F_Custom2_V="",ISBLANK(F_Custom2_V)),1,IFERROR(IF(ISNUMBER(SEARCH("|"&amp;INDEX(INDIRECT(F_Custom2_resolved_column),2986)&amp;"|",F_Custom2_wrapped)),1,0),0))</f>
        <v>1</v>
      </c>
      <c r="F2987">
        <f>D2987*E2987*1</f>
        <v>1</v>
      </c>
      <c r="G2987">
        <f>1</f>
        <v>1</v>
      </c>
      <c r="H29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2986)&amp;"|",All_Questions_Q_STREAM_F_wrapped)),1,0),0))*1</f>
        <v>1</v>
      </c>
    </row>
    <row r="2988">
      <c r="A2988" t="n">
        <v>2987</v>
      </c>
      <c r="B2988" t="inlineStr">
        <is>
          <t>A</t>
        </is>
      </c>
      <c r="C2988">
        <f>1</f>
        <v>1</v>
      </c>
      <c r="D2988">
        <f>IF(OR(F_Custom1_Q="(None)",F_Custom1_Q="",ISBLANK(F_Custom1_Q),F_Custom1_V="(All)",F_Custom1_V="",ISBLANK(F_Custom1_V)),1,IFERROR(IF(ISNUMBER(SEARCH("|"&amp;INDEX(INDIRECT(F_Custom1_resolved_column),2987)&amp;"|",F_Custom1_wrapped)),1,0),0))</f>
        <v>1</v>
      </c>
      <c r="E2988">
        <f>IF(OR(F_Custom2_Q="(None)",F_Custom2_Q="",ISBLANK(F_Custom2_Q),F_Custom2_V="(All)",F_Custom2_V="",ISBLANK(F_Custom2_V)),1,IFERROR(IF(ISNUMBER(SEARCH("|"&amp;INDEX(INDIRECT(F_Custom2_resolved_column),2987)&amp;"|",F_Custom2_wrapped)),1,0),0))</f>
        <v>1</v>
      </c>
      <c r="F2988">
        <f>D2988*E2988*1</f>
        <v>1</v>
      </c>
      <c r="G2988">
        <f>1</f>
        <v>1</v>
      </c>
      <c r="H29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2987)&amp;"|",All_Questions_Q_STREAM_F_wrapped)),1,0),0))*1</f>
        <v>1</v>
      </c>
    </row>
    <row r="2989">
      <c r="A2989" t="n">
        <v>2988</v>
      </c>
      <c r="B2989" t="inlineStr">
        <is>
          <t>B</t>
        </is>
      </c>
      <c r="C2989">
        <f>1</f>
        <v>1</v>
      </c>
      <c r="D2989">
        <f>IF(OR(F_Custom1_Q="(None)",F_Custom1_Q="",ISBLANK(F_Custom1_Q),F_Custom1_V="(All)",F_Custom1_V="",ISBLANK(F_Custom1_V)),1,IFERROR(IF(ISNUMBER(SEARCH("|"&amp;INDEX(INDIRECT(F_Custom1_resolved_column),2988)&amp;"|",F_Custom1_wrapped)),1,0),0))</f>
        <v>1</v>
      </c>
      <c r="E2989">
        <f>IF(OR(F_Custom2_Q="(None)",F_Custom2_Q="",ISBLANK(F_Custom2_Q),F_Custom2_V="(All)",F_Custom2_V="",ISBLANK(F_Custom2_V)),1,IFERROR(IF(ISNUMBER(SEARCH("|"&amp;INDEX(INDIRECT(F_Custom2_resolved_column),2988)&amp;"|",F_Custom2_wrapped)),1,0),0))</f>
        <v>1</v>
      </c>
      <c r="F2989">
        <f>D2989*E2989*1</f>
        <v>1</v>
      </c>
      <c r="G2989">
        <f>1</f>
        <v>1</v>
      </c>
      <c r="H29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2988)&amp;"|",All_Questions_Q_STREAM_F_wrapped)),1,0),0))*1</f>
        <v>1</v>
      </c>
    </row>
    <row r="2990">
      <c r="A2990" t="n">
        <v>2989</v>
      </c>
      <c r="B2990" t="inlineStr">
        <is>
          <t>A</t>
        </is>
      </c>
      <c r="C2990">
        <f>1</f>
        <v>1</v>
      </c>
      <c r="D2990">
        <f>IF(OR(F_Custom1_Q="(None)",F_Custom1_Q="",ISBLANK(F_Custom1_Q),F_Custom1_V="(All)",F_Custom1_V="",ISBLANK(F_Custom1_V)),1,IFERROR(IF(ISNUMBER(SEARCH("|"&amp;INDEX(INDIRECT(F_Custom1_resolved_column),2989)&amp;"|",F_Custom1_wrapped)),1,0),0))</f>
        <v>1</v>
      </c>
      <c r="E2990">
        <f>IF(OR(F_Custom2_Q="(None)",F_Custom2_Q="",ISBLANK(F_Custom2_Q),F_Custom2_V="(All)",F_Custom2_V="",ISBLANK(F_Custom2_V)),1,IFERROR(IF(ISNUMBER(SEARCH("|"&amp;INDEX(INDIRECT(F_Custom2_resolved_column),2989)&amp;"|",F_Custom2_wrapped)),1,0),0))</f>
        <v>1</v>
      </c>
      <c r="F2990">
        <f>D2990*E2990*1</f>
        <v>1</v>
      </c>
      <c r="G2990">
        <f>1</f>
        <v>1</v>
      </c>
      <c r="H29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2989)&amp;"|",All_Questions_Q_STREAM_F_wrapped)),1,0),0))*1</f>
        <v>1</v>
      </c>
    </row>
    <row r="2991">
      <c r="A2991" t="n">
        <v>2990</v>
      </c>
      <c r="B2991" t="inlineStr">
        <is>
          <t>B</t>
        </is>
      </c>
      <c r="C2991">
        <f>1</f>
        <v>1</v>
      </c>
      <c r="D2991">
        <f>IF(OR(F_Custom1_Q="(None)",F_Custom1_Q="",ISBLANK(F_Custom1_Q),F_Custom1_V="(All)",F_Custom1_V="",ISBLANK(F_Custom1_V)),1,IFERROR(IF(ISNUMBER(SEARCH("|"&amp;INDEX(INDIRECT(F_Custom1_resolved_column),2990)&amp;"|",F_Custom1_wrapped)),1,0),0))</f>
        <v>1</v>
      </c>
      <c r="E2991">
        <f>IF(OR(F_Custom2_Q="(None)",F_Custom2_Q="",ISBLANK(F_Custom2_Q),F_Custom2_V="(All)",F_Custom2_V="",ISBLANK(F_Custom2_V)),1,IFERROR(IF(ISNUMBER(SEARCH("|"&amp;INDEX(INDIRECT(F_Custom2_resolved_column),2990)&amp;"|",F_Custom2_wrapped)),1,0),0))</f>
        <v>1</v>
      </c>
      <c r="F2991">
        <f>D2991*E2991*1</f>
        <v>1</v>
      </c>
      <c r="G2991">
        <f>1</f>
        <v>1</v>
      </c>
      <c r="H29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2990)&amp;"|",All_Questions_Q_STREAM_F_wrapped)),1,0),0))*1</f>
        <v>1</v>
      </c>
    </row>
    <row r="2992">
      <c r="A2992" t="n">
        <v>2991</v>
      </c>
      <c r="B2992" t="inlineStr">
        <is>
          <t>A</t>
        </is>
      </c>
      <c r="C2992">
        <f>1</f>
        <v>1</v>
      </c>
      <c r="D2992">
        <f>IF(OR(F_Custom1_Q="(None)",F_Custom1_Q="",ISBLANK(F_Custom1_Q),F_Custom1_V="(All)",F_Custom1_V="",ISBLANK(F_Custom1_V)),1,IFERROR(IF(ISNUMBER(SEARCH("|"&amp;INDEX(INDIRECT(F_Custom1_resolved_column),2991)&amp;"|",F_Custom1_wrapped)),1,0),0))</f>
        <v>1</v>
      </c>
      <c r="E2992">
        <f>IF(OR(F_Custom2_Q="(None)",F_Custom2_Q="",ISBLANK(F_Custom2_Q),F_Custom2_V="(All)",F_Custom2_V="",ISBLANK(F_Custom2_V)),1,IFERROR(IF(ISNUMBER(SEARCH("|"&amp;INDEX(INDIRECT(F_Custom2_resolved_column),2991)&amp;"|",F_Custom2_wrapped)),1,0),0))</f>
        <v>1</v>
      </c>
      <c r="F2992">
        <f>D2992*E2992*1</f>
        <v>1</v>
      </c>
      <c r="G2992">
        <f>1</f>
        <v>1</v>
      </c>
      <c r="H29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2991)&amp;"|",All_Questions_Q_STREAM_F_wrapped)),1,0),0))*1</f>
        <v>1</v>
      </c>
    </row>
    <row r="2993">
      <c r="A2993" t="n">
        <v>2992</v>
      </c>
      <c r="B2993" t="inlineStr">
        <is>
          <t>B</t>
        </is>
      </c>
      <c r="C2993">
        <f>1</f>
        <v>1</v>
      </c>
      <c r="D2993">
        <f>IF(OR(F_Custom1_Q="(None)",F_Custom1_Q="",ISBLANK(F_Custom1_Q),F_Custom1_V="(All)",F_Custom1_V="",ISBLANK(F_Custom1_V)),1,IFERROR(IF(ISNUMBER(SEARCH("|"&amp;INDEX(INDIRECT(F_Custom1_resolved_column),2992)&amp;"|",F_Custom1_wrapped)),1,0),0))</f>
        <v>1</v>
      </c>
      <c r="E2993">
        <f>IF(OR(F_Custom2_Q="(None)",F_Custom2_Q="",ISBLANK(F_Custom2_Q),F_Custom2_V="(All)",F_Custom2_V="",ISBLANK(F_Custom2_V)),1,IFERROR(IF(ISNUMBER(SEARCH("|"&amp;INDEX(INDIRECT(F_Custom2_resolved_column),2992)&amp;"|",F_Custom2_wrapped)),1,0),0))</f>
        <v>1</v>
      </c>
      <c r="F2993">
        <f>D2993*E2993*1</f>
        <v>1</v>
      </c>
      <c r="G2993">
        <f>1</f>
        <v>1</v>
      </c>
      <c r="H29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2992)&amp;"|",All_Questions_Q_STREAM_F_wrapped)),1,0),0))*1</f>
        <v>1</v>
      </c>
    </row>
    <row r="2994">
      <c r="A2994" t="n">
        <v>2993</v>
      </c>
      <c r="B2994" t="inlineStr">
        <is>
          <t>A</t>
        </is>
      </c>
      <c r="C2994">
        <f>1</f>
        <v>1</v>
      </c>
      <c r="D2994">
        <f>IF(OR(F_Custom1_Q="(None)",F_Custom1_Q="",ISBLANK(F_Custom1_Q),F_Custom1_V="(All)",F_Custom1_V="",ISBLANK(F_Custom1_V)),1,IFERROR(IF(ISNUMBER(SEARCH("|"&amp;INDEX(INDIRECT(F_Custom1_resolved_column),2993)&amp;"|",F_Custom1_wrapped)),1,0),0))</f>
        <v>1</v>
      </c>
      <c r="E2994">
        <f>IF(OR(F_Custom2_Q="(None)",F_Custom2_Q="",ISBLANK(F_Custom2_Q),F_Custom2_V="(All)",F_Custom2_V="",ISBLANK(F_Custom2_V)),1,IFERROR(IF(ISNUMBER(SEARCH("|"&amp;INDEX(INDIRECT(F_Custom2_resolved_column),2993)&amp;"|",F_Custom2_wrapped)),1,0),0))</f>
        <v>1</v>
      </c>
      <c r="F2994">
        <f>D2994*E2994*1</f>
        <v>1</v>
      </c>
      <c r="G2994">
        <f>1</f>
        <v>1</v>
      </c>
      <c r="H29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2993)&amp;"|",All_Questions_Q_STREAM_F_wrapped)),1,0),0))*1</f>
        <v>1</v>
      </c>
    </row>
    <row r="2995">
      <c r="A2995" t="n">
        <v>2994</v>
      </c>
      <c r="B2995" t="inlineStr">
        <is>
          <t>B</t>
        </is>
      </c>
      <c r="C2995">
        <f>1</f>
        <v>1</v>
      </c>
      <c r="D2995">
        <f>IF(OR(F_Custom1_Q="(None)",F_Custom1_Q="",ISBLANK(F_Custom1_Q),F_Custom1_V="(All)",F_Custom1_V="",ISBLANK(F_Custom1_V)),1,IFERROR(IF(ISNUMBER(SEARCH("|"&amp;INDEX(INDIRECT(F_Custom1_resolved_column),2994)&amp;"|",F_Custom1_wrapped)),1,0),0))</f>
        <v>1</v>
      </c>
      <c r="E2995">
        <f>IF(OR(F_Custom2_Q="(None)",F_Custom2_Q="",ISBLANK(F_Custom2_Q),F_Custom2_V="(All)",F_Custom2_V="",ISBLANK(F_Custom2_V)),1,IFERROR(IF(ISNUMBER(SEARCH("|"&amp;INDEX(INDIRECT(F_Custom2_resolved_column),2994)&amp;"|",F_Custom2_wrapped)),1,0),0))</f>
        <v>1</v>
      </c>
      <c r="F2995">
        <f>D2995*E2995*1</f>
        <v>1</v>
      </c>
      <c r="G2995">
        <f>1</f>
        <v>1</v>
      </c>
      <c r="H29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2994)&amp;"|",All_Questions_Q_STREAM_F_wrapped)),1,0),0))*1</f>
        <v>1</v>
      </c>
    </row>
    <row r="2996">
      <c r="A2996" t="n">
        <v>2995</v>
      </c>
      <c r="B2996" t="inlineStr">
        <is>
          <t>A</t>
        </is>
      </c>
      <c r="C2996">
        <f>1</f>
        <v>1</v>
      </c>
      <c r="D2996">
        <f>IF(OR(F_Custom1_Q="(None)",F_Custom1_Q="",ISBLANK(F_Custom1_Q),F_Custom1_V="(All)",F_Custom1_V="",ISBLANK(F_Custom1_V)),1,IFERROR(IF(ISNUMBER(SEARCH("|"&amp;INDEX(INDIRECT(F_Custom1_resolved_column),2995)&amp;"|",F_Custom1_wrapped)),1,0),0))</f>
        <v>1</v>
      </c>
      <c r="E2996">
        <f>IF(OR(F_Custom2_Q="(None)",F_Custom2_Q="",ISBLANK(F_Custom2_Q),F_Custom2_V="(All)",F_Custom2_V="",ISBLANK(F_Custom2_V)),1,IFERROR(IF(ISNUMBER(SEARCH("|"&amp;INDEX(INDIRECT(F_Custom2_resolved_column),2995)&amp;"|",F_Custom2_wrapped)),1,0),0))</f>
        <v>1</v>
      </c>
      <c r="F2996">
        <f>D2996*E2996*1</f>
        <v>1</v>
      </c>
      <c r="G2996">
        <f>1</f>
        <v>1</v>
      </c>
      <c r="H29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2995)&amp;"|",All_Questions_Q_STREAM_F_wrapped)),1,0),0))*1</f>
        <v>1</v>
      </c>
    </row>
    <row r="2997">
      <c r="A2997" t="n">
        <v>2996</v>
      </c>
      <c r="B2997" t="inlineStr">
        <is>
          <t>B</t>
        </is>
      </c>
      <c r="C2997">
        <f>1</f>
        <v>1</v>
      </c>
      <c r="D2997">
        <f>IF(OR(F_Custom1_Q="(None)",F_Custom1_Q="",ISBLANK(F_Custom1_Q),F_Custom1_V="(All)",F_Custom1_V="",ISBLANK(F_Custom1_V)),1,IFERROR(IF(ISNUMBER(SEARCH("|"&amp;INDEX(INDIRECT(F_Custom1_resolved_column),2996)&amp;"|",F_Custom1_wrapped)),1,0),0))</f>
        <v>1</v>
      </c>
      <c r="E2997">
        <f>IF(OR(F_Custom2_Q="(None)",F_Custom2_Q="",ISBLANK(F_Custom2_Q),F_Custom2_V="(All)",F_Custom2_V="",ISBLANK(F_Custom2_V)),1,IFERROR(IF(ISNUMBER(SEARCH("|"&amp;INDEX(INDIRECT(F_Custom2_resolved_column),2996)&amp;"|",F_Custom2_wrapped)),1,0),0))</f>
        <v>1</v>
      </c>
      <c r="F2997">
        <f>D2997*E2997*1</f>
        <v>1</v>
      </c>
      <c r="G2997">
        <f>1</f>
        <v>1</v>
      </c>
      <c r="H29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2996)&amp;"|",All_Questions_Q_STREAM_F_wrapped)),1,0),0))*1</f>
        <v>1</v>
      </c>
    </row>
    <row r="2998">
      <c r="A2998" t="n">
        <v>2997</v>
      </c>
      <c r="B2998" t="inlineStr">
        <is>
          <t>A</t>
        </is>
      </c>
      <c r="C2998">
        <f>1</f>
        <v>1</v>
      </c>
      <c r="D2998">
        <f>IF(OR(F_Custom1_Q="(None)",F_Custom1_Q="",ISBLANK(F_Custom1_Q),F_Custom1_V="(All)",F_Custom1_V="",ISBLANK(F_Custom1_V)),1,IFERROR(IF(ISNUMBER(SEARCH("|"&amp;INDEX(INDIRECT(F_Custom1_resolved_column),2997)&amp;"|",F_Custom1_wrapped)),1,0),0))</f>
        <v>1</v>
      </c>
      <c r="E2998">
        <f>IF(OR(F_Custom2_Q="(None)",F_Custom2_Q="",ISBLANK(F_Custom2_Q),F_Custom2_V="(All)",F_Custom2_V="",ISBLANK(F_Custom2_V)),1,IFERROR(IF(ISNUMBER(SEARCH("|"&amp;INDEX(INDIRECT(F_Custom2_resolved_column),2997)&amp;"|",F_Custom2_wrapped)),1,0),0))</f>
        <v>1</v>
      </c>
      <c r="F2998">
        <f>D2998*E2998*1</f>
        <v>1</v>
      </c>
      <c r="G2998">
        <f>1</f>
        <v>1</v>
      </c>
      <c r="H29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2997)&amp;"|",All_Questions_Q_STREAM_F_wrapped)),1,0),0))*1</f>
        <v>1</v>
      </c>
    </row>
    <row r="2999">
      <c r="A2999" t="n">
        <v>2998</v>
      </c>
      <c r="B2999" t="inlineStr">
        <is>
          <t>B</t>
        </is>
      </c>
      <c r="C2999">
        <f>1</f>
        <v>1</v>
      </c>
      <c r="D2999">
        <f>IF(OR(F_Custom1_Q="(None)",F_Custom1_Q="",ISBLANK(F_Custom1_Q),F_Custom1_V="(All)",F_Custom1_V="",ISBLANK(F_Custom1_V)),1,IFERROR(IF(ISNUMBER(SEARCH("|"&amp;INDEX(INDIRECT(F_Custom1_resolved_column),2998)&amp;"|",F_Custom1_wrapped)),1,0),0))</f>
        <v>1</v>
      </c>
      <c r="E2999">
        <f>IF(OR(F_Custom2_Q="(None)",F_Custom2_Q="",ISBLANK(F_Custom2_Q),F_Custom2_V="(All)",F_Custom2_V="",ISBLANK(F_Custom2_V)),1,IFERROR(IF(ISNUMBER(SEARCH("|"&amp;INDEX(INDIRECT(F_Custom2_resolved_column),2998)&amp;"|",F_Custom2_wrapped)),1,0),0))</f>
        <v>1</v>
      </c>
      <c r="F2999">
        <f>D2999*E2999*1</f>
        <v>1</v>
      </c>
      <c r="G2999">
        <f>1</f>
        <v>1</v>
      </c>
      <c r="H29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2998)&amp;"|",All_Questions_Q_STREAM_F_wrapped)),1,0),0))*1</f>
        <v>1</v>
      </c>
    </row>
    <row r="3000">
      <c r="A3000" t="n">
        <v>2999</v>
      </c>
      <c r="B3000" t="inlineStr">
        <is>
          <t>A</t>
        </is>
      </c>
      <c r="C3000">
        <f>1</f>
        <v>1</v>
      </c>
      <c r="D3000">
        <f>IF(OR(F_Custom1_Q="(None)",F_Custom1_Q="",ISBLANK(F_Custom1_Q),F_Custom1_V="(All)",F_Custom1_V="",ISBLANK(F_Custom1_V)),1,IFERROR(IF(ISNUMBER(SEARCH("|"&amp;INDEX(INDIRECT(F_Custom1_resolved_column),2999)&amp;"|",F_Custom1_wrapped)),1,0),0))</f>
        <v>1</v>
      </c>
      <c r="E3000">
        <f>IF(OR(F_Custom2_Q="(None)",F_Custom2_Q="",ISBLANK(F_Custom2_Q),F_Custom2_V="(All)",F_Custom2_V="",ISBLANK(F_Custom2_V)),1,IFERROR(IF(ISNUMBER(SEARCH("|"&amp;INDEX(INDIRECT(F_Custom2_resolved_column),2999)&amp;"|",F_Custom2_wrapped)),1,0),0))</f>
        <v>1</v>
      </c>
      <c r="F3000">
        <f>D3000*E3000*1</f>
        <v>1</v>
      </c>
      <c r="G3000">
        <f>1</f>
        <v>1</v>
      </c>
      <c r="H30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2999)&amp;"|",All_Questions_Q_STREAM_F_wrapped)),1,0),0))*1</f>
        <v>1</v>
      </c>
    </row>
    <row r="3001">
      <c r="A3001" t="n">
        <v>3000</v>
      </c>
      <c r="B3001" t="inlineStr">
        <is>
          <t>B</t>
        </is>
      </c>
      <c r="C3001">
        <f>1</f>
        <v>1</v>
      </c>
      <c r="D3001">
        <f>IF(OR(F_Custom1_Q="(None)",F_Custom1_Q="",ISBLANK(F_Custom1_Q),F_Custom1_V="(All)",F_Custom1_V="",ISBLANK(F_Custom1_V)),1,IFERROR(IF(ISNUMBER(SEARCH("|"&amp;INDEX(INDIRECT(F_Custom1_resolved_column),3000)&amp;"|",F_Custom1_wrapped)),1,0),0))</f>
        <v>1</v>
      </c>
      <c r="E3001">
        <f>IF(OR(F_Custom2_Q="(None)",F_Custom2_Q="",ISBLANK(F_Custom2_Q),F_Custom2_V="(All)",F_Custom2_V="",ISBLANK(F_Custom2_V)),1,IFERROR(IF(ISNUMBER(SEARCH("|"&amp;INDEX(INDIRECT(F_Custom2_resolved_column),3000)&amp;"|",F_Custom2_wrapped)),1,0),0))</f>
        <v>1</v>
      </c>
      <c r="F3001">
        <f>D3001*E3001*1</f>
        <v>1</v>
      </c>
      <c r="G3001">
        <f>1</f>
        <v>1</v>
      </c>
      <c r="H30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3000)&amp;"|",All_Questions_Q_STREAM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Q_STREAM_options</t>
        </is>
      </c>
      <c r="G1" t="inlineStr">
        <is>
          <t>Q_STREAM_local_options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'_RawData'!$A$2:$A$3001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(Inherit)</t>
        </is>
      </c>
    </row>
    <row r="3">
      <c r="A3" t="inlineStr">
        <is>
          <t>Q_STREAM - Streaming Raw Data Question</t>
        </is>
      </c>
      <c r="B3" t="inlineStr">
        <is>
          <t>(None)</t>
        </is>
      </c>
      <c r="C3" t="inlineStr">
        <is>
          <t>'_RawData'!$B$2:$B$3001</t>
        </is>
      </c>
      <c r="D3" t="inlineStr">
        <is>
          <t>'_Options'!$F$2:$F$4</t>
        </is>
      </c>
      <c r="F3" t="inlineStr">
        <is>
          <t>A</t>
        </is>
      </c>
      <c r="G3" t="inlineStr">
        <is>
          <t>(All)</t>
        </is>
      </c>
    </row>
    <row r="4">
      <c r="B4" t="inlineStr">
        <is>
          <t>Q_STREAM - Streaming Raw Data Question</t>
        </is>
      </c>
      <c r="F4" t="inlineStr">
        <is>
          <t>B</t>
        </is>
      </c>
      <c r="G4" t="inlineStr">
        <is>
          <t>A</t>
        </is>
      </c>
    </row>
    <row r="5">
      <c r="G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4"/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3000</v>
      </c>
    </row>
    <row r="5">
      <c r="A5" s="5" t="inlineStr">
        <is>
          <t>Total questions:</t>
        </is>
      </c>
      <c r="B5" t="n">
        <v>1</v>
      </c>
    </row>
    <row r="6">
      <c r="A6" s="5" t="inlineStr">
        <is>
          <t>Results produced:</t>
        </is>
      </c>
      <c r="B6" t="n">
        <v>1</v>
      </c>
    </row>
    <row r="7">
      <c r="A7" s="5" t="inlineStr">
        <is>
          <t>Questions skipped:</t>
        </is>
      </c>
      <c r="B7" t="n">
        <v>0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0</v>
      </c>
    </row>
    <row r="11">
      <c r="A11" s="5" t="inlineStr">
        <is>
          <t>Quality warnings:</t>
        </is>
      </c>
      <c r="B1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29" customWidth="1" min="3" max="3"/>
    <col width="15" customWidth="1" min="4" max="4"/>
    <col width="13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[Q_STREAM]</t>
        </is>
      </c>
      <c r="B2" t="inlineStr">
        <is>
          <t>Q_STREAM</t>
        </is>
      </c>
      <c r="C2" t="inlineStr">
        <is>
          <t>Streaming raw data question</t>
        </is>
      </c>
      <c r="D2" t="inlineStr">
        <is>
          <t>SINGLE_SELECT</t>
        </is>
      </c>
      <c r="E2" t="inlineStr">
        <is>
          <t>Q_STREAM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15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0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Q_STREAM</t>
        </is>
      </c>
      <c r="B2" t="inlineStr">
        <is>
          <t>Q_STREAM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3000</v>
      </c>
      <c r="G2" t="n">
        <v>0</v>
      </c>
      <c r="H2" s="7" t="n">
        <v>0</v>
      </c>
      <c r="I2" t="inlineStr"/>
    </row>
  </sheetData>
  <hyperlinks>
    <hyperlink xmlns:r="http://schemas.openxmlformats.org/officeDocument/2006/relationships" ref="E2" r:id="rId1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2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9"/>
    <row r="10"/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Q_STREAM - Streaming raw data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IFERROR(INDEX(All_Questions_Data_Names,MATCH(All_Questions_Q_STREAM_F_Q,All_Questions,0)),"'_RawData'!$A:$A")</f>
        <v>respondent_id_data</v>
      </c>
      <c r="G13" t="str">
        <f>"|" &amp; SUBSTITUTE(All_Questions_Q_STREAM_F_V,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5"/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IF(All_Questions_Q_STREAM_CT="(None)","",IFERROR(INDEX(INDIRECT(IFERROR(INDEX(All_Questions_Options_Names,MATCH(All_Questions_Q_STREAM_CT,All_Questions,0)),"'_Options'!$E$2:$E$2")),2),""))</f>
        <v/>
      </c>
      <c r="H16" s="2" t="str">
        <f>IF(All_Questions_Q_STREAM_CT="(None)","",IFERROR(INDEX(INDIRECT(IFERROR(INDEX(All_Questions_Options_Names,MATCH(All_Questions_Q_STREAM_CT,All_Questions,0)),"'_Options'!$E$2:$E$2")),3),""))</f>
        <v/>
      </c>
      <c r="I16" s="2" t="str">
        <f>IF(All_Questions_Q_STREAM_CT="(None)","",IFERROR(INDEX(INDIRECT(IFERROR(INDEX(All_Questions_Options_Names,MATCH(All_Questions_Q_STREAM_CT,All_Questions,0)),"'_Options'!$E$2:$E$2")),4),""))</f>
        <v/>
      </c>
      <c r="J16" s="2" t="str">
        <f>IF(All_Questions_Q_STREAM_CT="(None)","",IFERROR(INDEX(INDIRECT(IFERROR(INDEX(All_Questions_Options_Names,MATCH(All_Questions_Q_STREAM_CT,All_Questions,0)),"'_Options'!$E$2:$E$2")),5),""))</f>
        <v/>
      </c>
      <c r="K16" s="2" t="str">
        <f>IF(All_Questions_Q_STREAM_CT="(None)","",IFERROR(INDEX(INDIRECT(IFERROR(INDEX(All_Questions_Options_Names,MATCH(All_Questions_Q_STREAM_CT,All_Questions,0)),"'_Options'!$E$2:$E$2")),6),""))</f>
        <v/>
      </c>
      <c r="L16" s="2" t="str">
        <f>IF(All_Questions_Q_STREAM_CT="(None)","",IFERROR(INDEX(INDIRECT(IFERROR(INDEX(All_Questions_Options_Names,MATCH(All_Questions_Q_STREAM_CT,All_Questions,0)),"'_Options'!$E$2:$E$2")),7),""))</f>
        <v/>
      </c>
      <c r="M16" s="2" t="str">
        <f>IF(All_Questions_Q_STREAM_CT="(None)","",IFERROR(INDEX(INDIRECT(IFERROR(INDEX(All_Questions_Options_Names,MATCH(All_Questions_Q_STREAM_CT,All_Questions,0)),"'_Options'!$E$2:$E$2")),8),""))</f>
        <v/>
      </c>
      <c r="N16" s="2" t="str">
        <f>IF(All_Questions_Q_STREAM_CT="(None)","",IFERROR(INDEX(INDIRECT(IFERROR(INDEX(All_Questions_Options_Names,MATCH(All_Questions_Q_STREAM_CT,All_Questions,0)),"'_Options'!$E$2:$E$2")),9),""))</f>
        <v/>
      </c>
      <c r="O16" s="2" t="str">
        <f>IF(All_Questions_Q_STREAM_CT="(None)","",IFERROR(INDEX(INDIRECT(IFERROR(INDEX(All_Questions_Options_Names,MATCH(All_Questions_Q_STREAM_CT,All_Questions,0)),"'_Options'!$E$2:$E$2")),10),""))</f>
        <v/>
      </c>
      <c r="P16" s="2" t="str">
        <f>IF(All_Questions_Q_STREAM_CT="(None)","",IFERROR(INDEX(INDIRECT(IFERROR(INDEX(All_Questions_Options_Names,MATCH(All_Questions_Q_STREAM_CT,All_Questions,0)),"'_Options'!$E$2:$E$2")),11),""))</f>
        <v/>
      </c>
      <c r="Q16" s="2" t="str">
        <f>IF(All_Questions_Q_STREAM_CT="(None)","",IFERROR(INDEX(INDIRECT(IFERROR(INDEX(All_Questions_Options_Names,MATCH(All_Questions_Q_STREAM_CT,All_Questions,0)),"'_Options'!$E$2:$E$2")),12),""))</f>
        <v/>
      </c>
      <c r="R16" s="2" t="str">
        <f>IF(All_Questions_Q_STREAM_CT="(None)","",IF(COUNTA(INDIRECT(IFERROR(INDEX(All_Questions_Options_Names,MATCH(All_Questions_Q_STREAM_CT,All_Questions,0)),"'_Options'!$E$2:$E$2")))-1&gt;11,"Other",IFERROR(INDEX(INDIRECT(IFERROR(INDEX(All_Questions_Options_Names,MATCH(All_Questions_Q_STREAM_CT,All_Questions,0)),"'_Options'!$E$2:$E$2")),13),"")))</f>
        <v/>
      </c>
      <c r="S16" s="4" t="inlineStr">
        <is>
          <t>Total</t>
        </is>
      </c>
    </row>
    <row r="17">
      <c r="A17" t="inlineStr">
        <is>
          <t>A</t>
        </is>
      </c>
      <c r="B17">
        <f>COUNTIFS(Q_STREAM_data,"A",passes_workbook_filters_data,1,passes_workbook_custom_filters_data,1,All_Questions_passes_local_filters_data,1,All_Questions_Q_STREAM_F_passes_per_q_filter_data,1)</f>
        <v>1500</v>
      </c>
      <c r="C17" s="7">
        <f>IFERROR(B17/SUBTOTAL(9,B17:B18),0)</f>
        <v>0.5</v>
      </c>
      <c r="D17" s="14">
        <f>SUBTOTAL(9,B17:B18)</f>
        <v>3000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B</t>
        </is>
      </c>
      <c r="B18">
        <f>COUNTIFS(Q_STREAM_data,"B",passes_workbook_filters_data,1,passes_workbook_custom_filters_data,1,All_Questions_passes_local_filters_data,1,All_Questions_Q_STREAM_F_passes_per_q_filter_data,1)</f>
        <v>1500</v>
      </c>
      <c r="C18" s="7">
        <f>IFERROR(B18/SUBTOTAL(9,B17:B18),0)</f>
        <v>0.5</v>
      </c>
      <c r="D18" s="14">
        <f>SUBTOTAL(9,B17:B18)</f>
        <v>3000</v>
      </c>
      <c r="F18" t="inlineStr">
        <is>
          <t>A</t>
        </is>
      </c>
      <c r="G18">
        <f>IF(OR(All_Questions_Q_STREAM_CT="(None)",G$16=""),"",COUNTIFS(Q_STREAM_data,"A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G$16))</f>
        <v>0</v>
      </c>
      <c r="H18">
        <f>IF(OR(All_Questions_Q_STREAM_CT="(None)",H$16=""),"",COUNTIFS(Q_STREAM_data,"A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H$16))</f>
        <v>0</v>
      </c>
      <c r="I18">
        <f>IF(OR(All_Questions_Q_STREAM_CT="(None)",I$16=""),"",COUNTIFS(Q_STREAM_data,"A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I$16))</f>
        <v>0</v>
      </c>
      <c r="J18">
        <f>IF(OR(All_Questions_Q_STREAM_CT="(None)",J$16=""),"",COUNTIFS(Q_STREAM_data,"A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J$16))</f>
        <v>0</v>
      </c>
      <c r="K18">
        <f>IF(OR(All_Questions_Q_STREAM_CT="(None)",K$16=""),"",COUNTIFS(Q_STREAM_data,"A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K$16))</f>
        <v>0</v>
      </c>
      <c r="L18">
        <f>IF(OR(All_Questions_Q_STREAM_CT="(None)",L$16=""),"",COUNTIFS(Q_STREAM_data,"A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L$16))</f>
        <v>0</v>
      </c>
      <c r="M18">
        <f>IF(OR(All_Questions_Q_STREAM_CT="(None)",M$16=""),"",COUNTIFS(Q_STREAM_data,"A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M$16))</f>
        <v>0</v>
      </c>
      <c r="N18">
        <f>IF(OR(All_Questions_Q_STREAM_CT="(None)",N$16=""),"",COUNTIFS(Q_STREAM_data,"A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N$16))</f>
        <v>0</v>
      </c>
      <c r="O18">
        <f>IF(OR(All_Questions_Q_STREAM_CT="(None)",O$16=""),"",COUNTIFS(Q_STREAM_data,"A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O$16))</f>
        <v>0</v>
      </c>
      <c r="P18">
        <f>IF(OR(All_Questions_Q_STREAM_CT="(None)",P$16=""),"",COUNTIFS(Q_STREAM_data,"A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P$16))</f>
        <v>0</v>
      </c>
      <c r="Q18">
        <f>IF(OR(All_Questions_Q_STREAM_CT="(None)",Q$16=""),"",COUNTIFS(Q_STREAM_data,"A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Q$16))</f>
        <v>0</v>
      </c>
      <c r="R18">
        <f>IF(OR(All_Questions_Q_STREAM_CT="(None)",R$16=""),"",IF(R$16="Other",COUNTIFS(Q_STREAM_data,"A",passes_workbook_filters_data,1,passes_workbook_custom_filters_data,1,All_Questions_passes_local_filters_data,1,All_Questions_Q_STREAM_F_passes_per_q_filter_data,1)-SUM(G18,H18,I18,J18,K18,L18,M18,N18,O18,P18,Q18),COUNTIFS(Q_STREAM_data,"A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R$16)))</f>
        <v>0</v>
      </c>
      <c r="S18">
        <f>IF(All_Questions_Q_STREAM_CT="(None)","",COUNTIFS(Q_STREAM_data,"A",passes_workbook_filters_data,1,passes_workbook_custom_filters_data,1,All_Questions_passes_local_filters_data,1,All_Questions_Q_STREAM_F_passes_per_q_filter_data,1))</f>
        <v>0</v>
      </c>
    </row>
    <row r="19">
      <c r="A19" s="15" t="inlineStr">
        <is>
          <t>Total respondents</t>
        </is>
      </c>
      <c r="B19" s="15" t="n">
        <v>3000</v>
      </c>
      <c r="C19" s="15" t="n"/>
      <c r="D19" s="15" t="n"/>
      <c r="F19" t="inlineStr">
        <is>
          <t>B</t>
        </is>
      </c>
      <c r="G19">
        <f>IF(OR(All_Questions_Q_STREAM_CT="(None)",G$16=""),"",COUNTIFS(Q_STREAM_data,"B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G$16))</f>
        <v>0</v>
      </c>
      <c r="H19">
        <f>IF(OR(All_Questions_Q_STREAM_CT="(None)",H$16=""),"",COUNTIFS(Q_STREAM_data,"B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H$16))</f>
        <v>0</v>
      </c>
      <c r="I19">
        <f>IF(OR(All_Questions_Q_STREAM_CT="(None)",I$16=""),"",COUNTIFS(Q_STREAM_data,"B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I$16))</f>
        <v>0</v>
      </c>
      <c r="J19">
        <f>IF(OR(All_Questions_Q_STREAM_CT="(None)",J$16=""),"",COUNTIFS(Q_STREAM_data,"B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J$16))</f>
        <v>0</v>
      </c>
      <c r="K19">
        <f>IF(OR(All_Questions_Q_STREAM_CT="(None)",K$16=""),"",COUNTIFS(Q_STREAM_data,"B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K$16))</f>
        <v>0</v>
      </c>
      <c r="L19">
        <f>IF(OR(All_Questions_Q_STREAM_CT="(None)",L$16=""),"",COUNTIFS(Q_STREAM_data,"B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L$16))</f>
        <v>0</v>
      </c>
      <c r="M19">
        <f>IF(OR(All_Questions_Q_STREAM_CT="(None)",M$16=""),"",COUNTIFS(Q_STREAM_data,"B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M$16))</f>
        <v>0</v>
      </c>
      <c r="N19">
        <f>IF(OR(All_Questions_Q_STREAM_CT="(None)",N$16=""),"",COUNTIFS(Q_STREAM_data,"B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N$16))</f>
        <v>0</v>
      </c>
      <c r="O19">
        <f>IF(OR(All_Questions_Q_STREAM_CT="(None)",O$16=""),"",COUNTIFS(Q_STREAM_data,"B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O$16))</f>
        <v>0</v>
      </c>
      <c r="P19">
        <f>IF(OR(All_Questions_Q_STREAM_CT="(None)",P$16=""),"",COUNTIFS(Q_STREAM_data,"B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P$16))</f>
        <v>0</v>
      </c>
      <c r="Q19">
        <f>IF(OR(All_Questions_Q_STREAM_CT="(None)",Q$16=""),"",COUNTIFS(Q_STREAM_data,"B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Q$16))</f>
        <v>0</v>
      </c>
      <c r="R19">
        <f>IF(OR(All_Questions_Q_STREAM_CT="(None)",R$16=""),"",IF(R$16="Other",COUNTIFS(Q_STREAM_data,"B",passes_workbook_filters_data,1,passes_workbook_custom_filters_data,1,All_Questions_passes_local_filters_data,1,All_Questions_Q_STREAM_F_passes_per_q_filter_data,1)-SUM(G19,H19,I19,J19,K19,L19,M19,N19,O19,P19,Q19),COUNTIFS(Q_STREAM_data,"B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R$16)))</f>
        <v>0</v>
      </c>
      <c r="S19">
        <f>IF(All_Questions_Q_STREAM_CT="(None)","",COUNTIFS(Q_STREAM_data,"B",passes_workbook_filters_data,1,passes_workbook_custom_filters_data,1,All_Questions_passes_local_filters_data,1,All_Questions_Q_STREAM_F_passes_per_q_filter_data,1))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IF(All_Questions_Q_STREAM_CT="(None)","",COUNTIFS(respondent_id_data,"&lt;&gt;",passes_workbook_filters_data,1,passes_workbook_custom_filters_data,1,All_Questions_passes_local_filters_data,1,All_Questions_Q_STREAM_F_passes_per_q_filter_data,1))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7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=INDIRECT(IFERROR(INDEX(All_Questions_Options_Names,MATCH(All_Questions_Q_STREAM_F_Q,All_Questions,0)),"'_Options'!$E$2:$E$2"))</formula1>
    </dataValidation>
    <dataValidation sqref="C14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3" customWidth="1" min="2" max="2"/>
    <col width="17" customWidth="1" min="3" max="3"/>
    <col width="16" customWidth="1" min="4" max="4"/>
    <col width="8" customWidth="1" min="5" max="5"/>
    <col width="11" customWidth="1" min="6" max="6"/>
    <col width="13" customWidth="1" min="7" max="7"/>
    <col width="9" customWidth="1" min="8" max="8"/>
    <col width="11" customWidth="1" min="9" max="9"/>
    <col width="9" customWidth="1" min="10" max="10"/>
    <col width="11" customWidth="1" min="11" max="11"/>
    <col width="11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cols>
    <col width="8" customWidth="1" min="1" max="1"/>
    <col width="9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2026-06-06T20:48:20Z</dcterms:created>
  <dcterms:modified xmlns:dcterms="http://purl.org/dc/terms/" xmlns:xsi="http://www.w3.org/2001/XMLSchema-instance" xsi:type="dcterms:W3CDTF">2026-06-06T20:48:23Z</dcterms:modified>
</cp:coreProperties>
</file>