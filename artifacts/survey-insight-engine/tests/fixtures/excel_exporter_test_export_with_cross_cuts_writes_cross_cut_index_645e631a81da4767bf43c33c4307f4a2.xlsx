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'_Options'!$A$2:$A$14</definedName>
    <definedName name="All_Questions_Local">'_Options'!$B$2:$B$15</definedName>
    <definedName name="None_options">'_Options'!$C$2:$C$2</definedName>
    <definedName name="Q_SS_EXPORT_options">'_Options'!$D$2:$D$4</definedName>
    <definedName name="Q_SS_EXPORT_local_options">'_Options'!$P$2:$P$5</definedName>
    <definedName name="Q_MS_EXPORTr1_options">'_Options'!$E$2:$E$3</definedName>
    <definedName name="Q_MS_EXPORTr1_local_options">'_Options'!$Q$2:$Q$4</definedName>
    <definedName name="Q_MS_EXPORTr2_options">'_Options'!$F$2:$F$3</definedName>
    <definedName name="Q_MS_EXPORTr2_local_options">'_Options'!$R$2:$R$4</definedName>
    <definedName name="Q_NUM_EXPORT_options">'_Options'!$G$2:$G$3</definedName>
    <definedName name="Q_NUM_EXPORT_local_options">'_Options'!$S$2:$S$4</definedName>
    <definedName name="Q_GRID_EXPORTr1_options">'_Options'!$H$2:$H$3</definedName>
    <definedName name="Q_GRID_EXPORTr1_local_options">'_Options'!$T$2:$T$4</definedName>
    <definedName name="Q_GRID_EXPORTr2_options">'_Options'!$I$2:$I$3</definedName>
    <definedName name="Q_GRID_EXPORTr2_local_options">'_Options'!$U$2:$U$4</definedName>
    <definedName name="Q_VERY_LONG_SINGLE_SELECT_EXPOR_options">'_Options'!$J$2:$J$4</definedName>
    <definedName name="Q_VERY_LONG_SINGLE_SELECT_EXPOR_local_options">'_Options'!$V$2:$V$5</definedName>
    <definedName name="Q_SEG_1_options">'_Options'!$K$2:$K$5</definedName>
    <definedName name="Q_SEG_1_local_options">'_Options'!$W$2:$W$6</definedName>
    <definedName name="Q_TGT_1_options">'_Options'!$L$2:$L$6</definedName>
    <definedName name="Q_TGT_1_local_options">'_Options'!$X$2:$X$7</definedName>
    <definedName name="Q_NUM_3_options">'_Options'!$M$2:$M$2</definedName>
    <definedName name="Q_NUM_3_local_options">'_Options'!$Y$2:$Y$3</definedName>
    <definedName name="Q_EXP_1_options">'_Options'!$N$2:$N$2</definedName>
    <definedName name="Q_EXP_1_local_options">'_Options'!$Z$2:$Z$3</definedName>
    <definedName name="Q_REAL_1_options">'_Options'!$O$2:$O$2</definedName>
    <definedName name="Q_REAL_1_local_options">'_Options'!$AA$2:$AA$3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CT">'All Questions'!$C$53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Q_SEG_1_options</t>
        </is>
      </c>
      <c r="L1" t="inlineStr">
        <is>
          <t>Q_TGT_1_options</t>
        </is>
      </c>
      <c r="M1" t="inlineStr">
        <is>
          <t>Q_NUM_3_options</t>
        </is>
      </c>
      <c r="N1" t="inlineStr">
        <is>
          <t>Q_EXP_1_options</t>
        </is>
      </c>
      <c r="O1" t="inlineStr">
        <is>
          <t>Q_REAL_1_options</t>
        </is>
      </c>
      <c r="P1" t="inlineStr">
        <is>
          <t>Q_SS_EXPORT_local_options</t>
        </is>
      </c>
      <c r="Q1" t="inlineStr">
        <is>
          <t>Q_MS_EXPORTr1_local_options</t>
        </is>
      </c>
      <c r="R1" t="inlineStr">
        <is>
          <t>Q_MS_EXPORTr2_local_options</t>
        </is>
      </c>
      <c r="S1" t="inlineStr">
        <is>
          <t>Q_NUM_EXPORT_local_options</t>
        </is>
      </c>
      <c r="T1" t="inlineStr">
        <is>
          <t>Q_GRID_EXPORTr1_local_options</t>
        </is>
      </c>
      <c r="U1" t="inlineStr">
        <is>
          <t>Q_GRID_EXPORTr2_local_options</t>
        </is>
      </c>
      <c r="V1" t="inlineStr">
        <is>
          <t>Q_VERY_LONG_SINGLE_SELECT_EXPOR_local_options</t>
        </is>
      </c>
      <c r="W1" t="inlineStr">
        <is>
          <t>Q_SEG_1_local_options</t>
        </is>
      </c>
      <c r="X1" t="inlineStr">
        <is>
          <t>Q_TGT_1_local_options</t>
        </is>
      </c>
      <c r="Y1" t="inlineStr">
        <is>
          <t>Q_NUM_3_local_options</t>
        </is>
      </c>
      <c r="Z1" t="inlineStr">
        <is>
          <t>Q_EXP_1_local_options</t>
        </is>
      </c>
      <c r="AA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Segment 1</t>
        </is>
      </c>
      <c r="L3" t="inlineStr">
        <is>
          <t>A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Segment 2</t>
        </is>
      </c>
      <c r="L4" t="inlineStr">
        <is>
          <t>B</t>
        </is>
      </c>
      <c r="P4" t="inlineStr">
        <is>
          <t>Yes</t>
        </is>
      </c>
      <c r="Q4" t="inlineStr">
        <is>
          <t>Selected</t>
        </is>
      </c>
      <c r="R4" t="inlineStr">
        <is>
          <t>Selected</t>
        </is>
      </c>
      <c r="S4" t="inlineStr">
        <is>
          <t>5.5</t>
        </is>
      </c>
      <c r="T4" t="inlineStr">
        <is>
          <t>Selected</t>
        </is>
      </c>
      <c r="U4" t="inlineStr">
        <is>
          <t>Selected</t>
        </is>
      </c>
      <c r="V4" t="inlineStr">
        <is>
          <t>A</t>
        </is>
      </c>
      <c r="W4" t="inlineStr">
        <is>
          <t>Segment 1</t>
        </is>
      </c>
      <c r="X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Segment 3</t>
        </is>
      </c>
      <c r="L5" t="inlineStr">
        <is>
          <t>C</t>
        </is>
      </c>
      <c r="P5" t="inlineStr">
        <is>
          <t>No</t>
        </is>
      </c>
      <c r="V5" t="inlineStr">
        <is>
          <t>B</t>
        </is>
      </c>
      <c r="W5" t="inlineStr">
        <is>
          <t>Segment 2</t>
        </is>
      </c>
      <c r="X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  <c r="L6" t="inlineStr">
        <is>
          <t>D</t>
        </is>
      </c>
      <c r="W6" t="inlineStr">
        <is>
          <t>Segment 3</t>
        </is>
      </c>
      <c r="X6" t="inlineStr">
        <is>
          <t>C</t>
        </is>
      </c>
    </row>
    <row r="7">
      <c r="A7" t="inlineStr">
        <is>
          <t>Q_GRID_EXPORTr1</t>
        </is>
      </c>
      <c r="B7" t="inlineStr">
        <is>
          <t>Q_NUM_EXPORT</t>
        </is>
      </c>
      <c r="X7" t="inlineStr">
        <is>
          <t>D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A10" t="inlineStr">
        <is>
          <t>Q_SEG_1</t>
        </is>
      </c>
      <c r="B10" t="inlineStr">
        <is>
          <t>Q_VERY_LONG_SINGLE_SELECT_EXPOR</t>
        </is>
      </c>
    </row>
    <row r="11">
      <c r="A11" t="inlineStr">
        <is>
          <t>Q_TGT_1</t>
        </is>
      </c>
      <c r="B11" t="inlineStr">
        <is>
          <t>Q_SEG_1</t>
        </is>
      </c>
    </row>
    <row r="12">
      <c r="A12" t="inlineStr">
        <is>
          <t>Q_NUM_3</t>
        </is>
      </c>
      <c r="B12" t="inlineStr">
        <is>
          <t>Q_TGT_1</t>
        </is>
      </c>
    </row>
    <row r="13">
      <c r="A13" t="inlineStr">
        <is>
          <t>Q_EXP_1</t>
        </is>
      </c>
      <c r="B13" t="inlineStr">
        <is>
          <t>Q_NUM_3</t>
        </is>
      </c>
    </row>
    <row r="14">
      <c r="A14" t="inlineStr">
        <is>
          <t>Q_REAL_1</t>
        </is>
      </c>
      <c r="B14" t="inlineStr">
        <is>
          <t>Q_EXP_1</t>
        </is>
      </c>
    </row>
    <row r="15">
      <c r="B15" t="inlineStr">
        <is>
          <t>Q_REAL_1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>
        <f>IF(F_Custom1_Q="(None)","respondent_id_data",F_Custom1_Q &amp; "_data")</f>
        <v/>
      </c>
      <c r="F6">
        <f>"|" &amp; SUBSTITUTE(F_Custom1_V, ", ", "|") &amp; "|"</f>
        <v/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>
        <f>IF(F_Custom2_Q="(None)","respondent_id_data",F_Custom2_Q &amp; "_data")</f>
        <v/>
      </c>
      <c r="F7">
        <f>"|" &amp; SUBSTITUTE(F_Custom2_V, ", ", "|") &amp; "|"</f>
        <v/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>
        <f>IF(All_Questions_F_Custom1_Q="(Inherit)",F_Custom1_Q,All_Questions_F_Custom1_Q)</f>
        <v/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>
        <f>IF(All_Questions_F_Custom1_V="(Inherit)",F_Custom1_V,All_Questions_F_Custom1_V)</f>
        <v/>
      </c>
      <c r="D6">
        <f>"|" &amp; SUBSTITUTE(All_Questions_F_Custom1_V_resolved, ", ", "|") &amp; "|"</f>
        <v/>
      </c>
      <c r="E6" t="inlineStr">
        <is>
          <t>Choose one value or type comma-separated values</t>
        </is>
      </c>
      <c r="F6">
        <f>IF(All_Questions_F_Custom1_Q_resolved="(None)","respondent_id_data",All_Questions_F_Custom1_Q_resolved &amp; "_data")</f>
        <v/>
      </c>
    </row>
    <row r="7">
      <c r="A7" t="inlineStr">
        <is>
          <t>Custom 2 question</t>
        </is>
      </c>
      <c r="B7" t="inlineStr">
        <is>
          <t>(Inherit)</t>
        </is>
      </c>
      <c r="C7">
        <f>IF(All_Questions_F_Custom2_Q="(Inherit)",F_Custom2_Q,All_Questions_F_Custom2_Q)</f>
        <v/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>
        <f>IF(All_Questions_F_Custom2_V="(Inherit)",F_Custom2_V,All_Questions_F_Custom2_V)</f>
        <v/>
      </c>
      <c r="D8">
        <f>"|" &amp; SUBSTITUTE(All_Questions_F_Custom2_V_resolved, ", ", "|") &amp; "|"</f>
        <v/>
      </c>
      <c r="E8" t="inlineStr">
        <is>
          <t>Choose one value or type comma-separated values</t>
        </is>
      </c>
      <c r="F8">
        <f>IF(All_Questions_F_Custom2_Q_resolved="(None)","respondent_id_data",All_Questions_F_Custom2_Q_resolved &amp; "_data")</f>
        <v/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>
        <f>IF(All_Questions_Q_SS_EXPORT_F_Q="(None)","respondent_id_data",All_Questions_Q_SS_EXPORT_F_Q &amp; "_data")</f>
        <v/>
      </c>
      <c r="G13">
        <f>"|" &amp; SUBSTITUTE(All_Questions_Q_SS_EXPORT_F_V, ", ", "|") &amp; "|"</f>
        <v/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>
        <f>IFERROR(INDEX(INDIRECT(All_Questions_Q_SS_EXPORT_CT &amp; "_options"),2),"")</f>
        <v/>
      </c>
      <c r="H16">
        <f>IFERROR(INDEX(INDIRECT(All_Questions_Q_SS_EXPORT_CT &amp; "_options"),3),"")</f>
        <v/>
      </c>
      <c r="I16">
        <f>IFERROR(INDEX(INDIRECT(All_Questions_Q_SS_EXPORT_CT &amp; "_options"),4),"")</f>
        <v/>
      </c>
      <c r="J16">
        <f>IFERROR(INDEX(INDIRECT(All_Questions_Q_SS_EXPORT_CT &amp; "_options"),5),"")</f>
        <v/>
      </c>
      <c r="K16">
        <f>IFERROR(INDEX(INDIRECT(All_Questions_Q_SS_EXPORT_CT &amp; "_options"),6),"")</f>
        <v/>
      </c>
      <c r="L16">
        <f>IFERROR(INDEX(INDIRECT(All_Questions_Q_SS_EXPORT_CT &amp; "_options"),7),"")</f>
        <v/>
      </c>
      <c r="M16">
        <f>IFERROR(INDEX(INDIRECT(All_Questions_Q_SS_EXPORT_CT &amp; "_options"),8),"")</f>
        <v/>
      </c>
      <c r="N16">
        <f>IFERROR(INDEX(INDIRECT(All_Questions_Q_SS_EXPORT_CT &amp; "_options"),9),"")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1)</f>
        <v/>
      </c>
      <c r="C17" s="7">
        <f>IFERROR(B17/SUBTOTAL(9,B17:B18),0)</f>
        <v/>
      </c>
      <c r="D17" s="14">
        <f>SUBTOTAL(9,B17:B18)</f>
        <v/>
      </c>
      <c r="F17" t="inlineStr">
        <is>
          <t>Yes</t>
        </is>
      </c>
      <c r="G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"_data")=G$16)*1)</f>
        <v/>
      </c>
      <c r="H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"_data")=H$16)*1)</f>
        <v/>
      </c>
      <c r="I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"_data")=I$16)*1)</f>
        <v/>
      </c>
      <c r="J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"_data")=J$16)*1)</f>
        <v/>
      </c>
      <c r="K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"_data")=K$16)*1)</f>
        <v/>
      </c>
      <c r="L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"_data")=L$16)*1)</f>
        <v/>
      </c>
      <c r="M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"_data")=M$16)*1)</f>
        <v/>
      </c>
      <c r="N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"_data")=N$16)*1)</f>
        <v/>
      </c>
      <c r="O17">
        <f>SUM(G17:N17)</f>
        <v/>
      </c>
    </row>
    <row r="18">
      <c r="A18" t="inlineStr">
        <is>
          <t>No</t>
        </is>
      </c>
      <c r="B18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1)</f>
        <v/>
      </c>
      <c r="C18" s="7">
        <f>IFERROR(B18/SUBTOTAL(9,B17:B18),0)</f>
        <v/>
      </c>
      <c r="D18" s="14">
        <f>SUBTOTAL(9,B17:B18)</f>
        <v/>
      </c>
      <c r="F18" t="inlineStr">
        <is>
          <t>No</t>
        </is>
      </c>
      <c r="G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"_data")=G$16)*1)</f>
        <v/>
      </c>
      <c r="H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"_data")=H$16)*1)</f>
        <v/>
      </c>
      <c r="I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"_data")=I$16)*1)</f>
        <v/>
      </c>
      <c r="J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"_data")=J$16)*1)</f>
        <v/>
      </c>
      <c r="K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"_data")=K$16)*1)</f>
        <v/>
      </c>
      <c r="L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"_data")=L$16)*1)</f>
        <v/>
      </c>
      <c r="M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"_data")=M$16)*1)</f>
        <v/>
      </c>
      <c r="N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"_data")=N$16)*1)</f>
        <v/>
      </c>
      <c r="O18">
        <f>SUM(G18:N18)</f>
        <v/>
      </c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2" t="inlineStr">
        <is>
          <t>Q_MS_EXPORT - Multi select export question</t>
        </is>
      </c>
    </row>
    <row r="22">
      <c r="A22" s="13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>
        <f>IF(All_Questions_Q_MS_EXPORT_F_Q="(None)","respondent_id_data",All_Questions_Q_MS_EXPORT_F_Q &amp; "_data")</f>
        <v/>
      </c>
      <c r="G22">
        <f>"|" &amp; SUBSTITUTE(All_Questions_Q_MS_EXPORT_F_V, ", ", "|") &amp; "|"</f>
        <v/>
      </c>
    </row>
    <row r="23">
      <c r="A23" s="13" t="inlineStr">
        <is>
          <t>Cross-tab by</t>
        </is>
      </c>
      <c r="C23" t="inlineStr">
        <is>
          <t>(None)</t>
        </is>
      </c>
    </row>
    <row r="25">
      <c r="A25" s="4" t="inlineStr">
        <is>
          <t>Option</t>
        </is>
      </c>
      <c r="B25" s="4" t="inlineStr">
        <is>
          <t>Count</t>
        </is>
      </c>
      <c r="C25" s="4" t="inlineStr">
        <is>
          <t>%</t>
        </is>
      </c>
      <c r="D25" s="4" t="inlineStr">
        <is>
          <t>Denominator</t>
        </is>
      </c>
      <c r="F25" s="5" t="inlineStr">
        <is>
          <t>Option \ Cross-tab</t>
        </is>
      </c>
      <c r="G25">
        <f>IFERROR(INDEX(INDIRECT(All_Questions_Q_MS_EXPORT_CT &amp; "_options"),2),"")</f>
        <v/>
      </c>
      <c r="H25">
        <f>IFERROR(INDEX(INDIRECT(All_Questions_Q_MS_EXPORT_CT &amp; "_options"),3),"")</f>
        <v/>
      </c>
      <c r="I25">
        <f>IFERROR(INDEX(INDIRECT(All_Questions_Q_MS_EXPORT_CT &amp; "_options"),4),"")</f>
        <v/>
      </c>
      <c r="J25">
        <f>IFERROR(INDEX(INDIRECT(All_Questions_Q_MS_EXPORT_CT &amp; "_options"),5),"")</f>
        <v/>
      </c>
      <c r="K25">
        <f>IFERROR(INDEX(INDIRECT(All_Questions_Q_MS_EXPORT_CT &amp; "_options"),6),"")</f>
        <v/>
      </c>
      <c r="L25">
        <f>IFERROR(INDEX(INDIRECT(All_Questions_Q_MS_EXPORT_CT &amp; "_options"),7),"")</f>
        <v/>
      </c>
      <c r="M25">
        <f>IFERROR(INDEX(INDIRECT(All_Questions_Q_MS_EXPORT_CT &amp; "_options"),8),"")</f>
        <v/>
      </c>
      <c r="N25">
        <f>IFERROR(INDEX(INDIRECT(All_Questions_Q_MS_EXPORT_CT &amp; "_options"),9),"")</f>
        <v/>
      </c>
      <c r="O25" s="5" t="inlineStr">
        <is>
          <t>TOTAL</t>
        </is>
      </c>
    </row>
    <row r="26">
      <c r="A26" t="inlineStr">
        <is>
          <t>First</t>
        </is>
      </c>
      <c r="B26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1)</f>
        <v/>
      </c>
      <c r="C26" s="7">
        <f>IFERROR(B26/SUBTOTAL(9,B26:B27),0)</f>
        <v/>
      </c>
      <c r="D26" s="14">
        <f>SUBTOTAL(9,B26:B27)</f>
        <v/>
      </c>
      <c r="F26" t="inlineStr">
        <is>
          <t>First</t>
        </is>
      </c>
      <c r="G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"_data")=G$25)*1)</f>
        <v/>
      </c>
      <c r="H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"_data")=H$25)*1)</f>
        <v/>
      </c>
      <c r="I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"_data")=I$25)*1)</f>
        <v/>
      </c>
      <c r="J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"_data")=J$25)*1)</f>
        <v/>
      </c>
      <c r="K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"_data")=K$25)*1)</f>
        <v/>
      </c>
      <c r="L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"_data")=L$25)*1)</f>
        <v/>
      </c>
      <c r="M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"_data")=M$25)*1)</f>
        <v/>
      </c>
      <c r="N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"_data")=N$25)*1)</f>
        <v/>
      </c>
      <c r="O26">
        <f>SUM(G26:N26)</f>
        <v/>
      </c>
    </row>
    <row r="27">
      <c r="A27" t="inlineStr">
        <is>
          <t>Second</t>
        </is>
      </c>
      <c r="B27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1)</f>
        <v/>
      </c>
      <c r="C27" s="7">
        <f>IFERROR(B27/SUBTOTAL(9,B26:B27),0)</f>
        <v/>
      </c>
      <c r="D27" s="14">
        <f>SUBTOTAL(9,B26:B27)</f>
        <v/>
      </c>
      <c r="F27" t="inlineStr">
        <is>
          <t>Second</t>
        </is>
      </c>
      <c r="G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"_data")=G$25)*1)</f>
        <v/>
      </c>
      <c r="H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"_data")=H$25)*1)</f>
        <v/>
      </c>
      <c r="I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"_data")=I$25)*1)</f>
        <v/>
      </c>
      <c r="J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"_data")=J$25)*1)</f>
        <v/>
      </c>
      <c r="K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"_data")=K$25)*1)</f>
        <v/>
      </c>
      <c r="L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"_data")=L$25)*1)</f>
        <v/>
      </c>
      <c r="M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"_data")=M$25)*1)</f>
        <v/>
      </c>
      <c r="N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"_data")=N$25)*1)</f>
        <v/>
      </c>
      <c r="O27">
        <f>SUM(G27:N27)</f>
        <v/>
      </c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A30" s="12" t="inlineStr">
        <is>
          <t>Q_NUM_EXPORT - Numeric export question</t>
        </is>
      </c>
    </row>
    <row r="31">
      <c r="A31" s="13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>
        <f>IF(All_Questions_Q_NUM_EXPORT_F_Q="(None)","respondent_id_data",All_Questions_Q_NUM_EXPORT_F_Q &amp; "_data")</f>
        <v/>
      </c>
      <c r="G31">
        <f>"|" &amp; SUBSTITUTE(All_Questions_Q_NUM_EXPORT_F_V, ", ", "|") &amp; "|"</f>
        <v/>
      </c>
    </row>
    <row r="32">
      <c r="A32" s="13" t="inlineStr">
        <is>
          <t>Cross-tab by</t>
        </is>
      </c>
      <c r="C32" t="inlineStr">
        <is>
          <t>(None)</t>
        </is>
      </c>
    </row>
    <row r="34">
      <c r="A34" s="4" t="inlineStr">
        <is>
          <t>Metric</t>
        </is>
      </c>
      <c r="B34" s="4" t="inlineStr">
        <is>
          <t>Value</t>
        </is>
      </c>
      <c r="C34" s="4" t="inlineStr">
        <is>
          <t>Note</t>
        </is>
      </c>
      <c r="D34" s="4" t="inlineStr">
        <is>
          <t>Denominator</t>
        </is>
      </c>
    </row>
    <row r="35">
      <c r="A35" t="inlineStr">
        <is>
          <t>Mean</t>
        </is>
      </c>
      <c r="B35">
        <f>IFERROR(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*Q_NUM_EXPORT_data)/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,0)</f>
        <v/>
      </c>
      <c r="D35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</f>
        <v/>
      </c>
    </row>
    <row r="36">
      <c r="A36" t="inlineStr">
        <is>
          <t>Min</t>
        </is>
      </c>
      <c r="B36">
        <f>IFERROR(AGGREGATE(15,6,Q_NUM_EXPORT_data/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,1),0)</f>
        <v/>
      </c>
      <c r="D36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</f>
        <v/>
      </c>
    </row>
    <row r="37">
      <c r="A37" t="inlineStr">
        <is>
          <t>Max</t>
        </is>
      </c>
      <c r="B37">
        <f>IFERROR(AGGREGATE(14,6,Q_NUM_EXPORT_data/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,1),0)</f>
        <v/>
      </c>
      <c r="D37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</f>
        <v/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</f>
        <v/>
      </c>
    </row>
    <row r="39">
      <c r="A39" s="10" t="inlineStr">
        <is>
          <t>Median not available in filtered view - see static baseline in audit log.</t>
        </is>
      </c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</row>
    <row r="42">
      <c r="A42" s="12" t="inlineStr">
        <is>
          <t>Q_GRID_EXPORT - Grid export question</t>
        </is>
      </c>
    </row>
    <row r="43">
      <c r="A43" s="13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>
        <f>IF(All_Questions_Q_GRID_EXPORT_F_Q="(None)","respondent_id_data",All_Questions_Q_GRID_EXPORT_F_Q &amp; "_data")</f>
        <v/>
      </c>
      <c r="G43">
        <f>"|" &amp; SUBSTITUTE(All_Questions_Q_GRID_EXPORT_F_V, ", ", "|") &amp; "|"</f>
        <v/>
      </c>
    </row>
    <row r="44">
      <c r="A44" s="13" t="inlineStr">
        <is>
          <t>Cross-tab by</t>
        </is>
      </c>
      <c r="C44" t="inlineStr">
        <is>
          <t>(None)</t>
        </is>
      </c>
    </row>
    <row r="46">
      <c r="A46" s="4" t="inlineStr">
        <is>
          <t>Option</t>
        </is>
      </c>
      <c r="B46" s="4" t="inlineStr">
        <is>
          <t>Count</t>
        </is>
      </c>
      <c r="C46" s="4" t="inlineStr">
        <is>
          <t>%</t>
        </is>
      </c>
      <c r="D46" s="4" t="inlineStr">
        <is>
          <t>Denominator</t>
        </is>
      </c>
      <c r="F46" s="5" t="inlineStr">
        <is>
          <t>Option \ Cross-tab</t>
        </is>
      </c>
      <c r="G46">
        <f>IFERROR(INDEX(INDIRECT(All_Questions_Q_GRID_EXPORT_CT &amp; "_options"),2),"")</f>
        <v/>
      </c>
      <c r="H46">
        <f>IFERROR(INDEX(INDIRECT(All_Questions_Q_GRID_EXPORT_CT &amp; "_options"),3),"")</f>
        <v/>
      </c>
      <c r="I46">
        <f>IFERROR(INDEX(INDIRECT(All_Questions_Q_GRID_EXPORT_CT &amp; "_options"),4),"")</f>
        <v/>
      </c>
      <c r="J46">
        <f>IFERROR(INDEX(INDIRECT(All_Questions_Q_GRID_EXPORT_CT &amp; "_options"),5),"")</f>
        <v/>
      </c>
      <c r="K46">
        <f>IFERROR(INDEX(INDIRECT(All_Questions_Q_GRID_EXPORT_CT &amp; "_options"),6),"")</f>
        <v/>
      </c>
      <c r="L46">
        <f>IFERROR(INDEX(INDIRECT(All_Questions_Q_GRID_EXPORT_CT &amp; "_options"),7),"")</f>
        <v/>
      </c>
      <c r="M46">
        <f>IFERROR(INDEX(INDIRECT(All_Questions_Q_GRID_EXPORT_CT &amp; "_options"),8),"")</f>
        <v/>
      </c>
      <c r="N46">
        <f>IFERROR(INDEX(INDIRECT(All_Questions_Q_GRID_EXPORT_CT &amp; "_options"),9),"")</f>
        <v/>
      </c>
      <c r="O46" s="5" t="inlineStr">
        <is>
          <t>TOTAL</t>
        </is>
      </c>
    </row>
    <row r="47">
      <c r="A47" t="inlineStr">
        <is>
          <t>Grid first row</t>
        </is>
      </c>
      <c r="B47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1)</f>
        <v/>
      </c>
      <c r="C47" s="7">
        <f>IFERROR(B47/SUBTOTAL(9,B47:B48),0)</f>
        <v/>
      </c>
      <c r="D47" s="14">
        <f>SUBTOTAL(9,B47:B48)</f>
        <v/>
      </c>
      <c r="F47" t="inlineStr">
        <is>
          <t>Grid first row</t>
        </is>
      </c>
      <c r="G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"_data")=G$46)*1)</f>
        <v/>
      </c>
      <c r="H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"_data")=H$46)*1)</f>
        <v/>
      </c>
      <c r="I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"_data")=I$46)*1)</f>
        <v/>
      </c>
      <c r="J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"_data")=J$46)*1)</f>
        <v/>
      </c>
      <c r="K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"_data")=K$46)*1)</f>
        <v/>
      </c>
      <c r="L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"_data")=L$46)*1)</f>
        <v/>
      </c>
      <c r="M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"_data")=M$46)*1)</f>
        <v/>
      </c>
      <c r="N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"_data")=N$46)*1)</f>
        <v/>
      </c>
      <c r="O47">
        <f>SUM(G47:N47)</f>
        <v/>
      </c>
    </row>
    <row r="48">
      <c r="A48" t="inlineStr">
        <is>
          <t>Grid second row</t>
        </is>
      </c>
      <c r="B48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1)</f>
        <v/>
      </c>
      <c r="C48" s="7">
        <f>IFERROR(B48/SUBTOTAL(9,B47:B48),0)</f>
        <v/>
      </c>
      <c r="D48" s="14">
        <f>SUBTOTAL(9,B47:B48)</f>
        <v/>
      </c>
      <c r="F48" t="inlineStr">
        <is>
          <t>Grid second row</t>
        </is>
      </c>
      <c r="G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"_data")=G$46)*1)</f>
        <v/>
      </c>
      <c r="H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"_data")=H$46)*1)</f>
        <v/>
      </c>
      <c r="I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"_data")=I$46)*1)</f>
        <v/>
      </c>
      <c r="J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"_data")=J$46)*1)</f>
        <v/>
      </c>
      <c r="K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"_data")=K$46)*1)</f>
        <v/>
      </c>
      <c r="L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"_data")=L$46)*1)</f>
        <v/>
      </c>
      <c r="M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"_data")=M$46)*1)</f>
        <v/>
      </c>
      <c r="N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"_data")=N$46)*1)</f>
        <v/>
      </c>
      <c r="O48">
        <f>SUM(G48:N48)</f>
        <v/>
      </c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Q_VERY_LONG_SINGLE_SELECT_EXPORT_NAME - Long sheet name export question</t>
        </is>
      </c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>
        <f>IF(All_Questions_Q_VERY_LONG_SINGLE_SELECT_EXPORT_NAME_F_Q="(None)","respondent_id_data",All_Questions_Q_VERY_LONG_SINGLE_SELECT_EXPORT_NAME_F_Q &amp; "_data")</f>
        <v/>
      </c>
      <c r="G52">
        <f>"|" &amp; SUBSTITUTE(All_Questions_Q_VERY_LONG_SINGLE_SELECT_EXPORT_NAME_F_V, ", ", "|") &amp; "|"</f>
        <v/>
      </c>
    </row>
    <row r="53">
      <c r="A53" s="13" t="inlineStr">
        <is>
          <t>Cross-tab by</t>
        </is>
      </c>
      <c r="C53" t="inlineStr">
        <is>
          <t>(None)</t>
        </is>
      </c>
    </row>
    <row r="55">
      <c r="A55" s="4" t="inlineStr">
        <is>
          <t>Option</t>
        </is>
      </c>
      <c r="B55" s="4" t="inlineStr">
        <is>
          <t>Count</t>
        </is>
      </c>
      <c r="C55" s="4" t="inlineStr">
        <is>
          <t>%</t>
        </is>
      </c>
      <c r="D55" s="4" t="inlineStr">
        <is>
          <t>Denominator</t>
        </is>
      </c>
      <c r="F55" s="5" t="inlineStr">
        <is>
          <t>Option \ Cross-tab</t>
        </is>
      </c>
      <c r="G55">
        <f>IFERROR(INDEX(INDIRECT(All_Questions_Q_VERY_LONG_SINGLE_SELECT_EXPORT_NAME_CT &amp; "_options"),2),"")</f>
        <v/>
      </c>
      <c r="H55">
        <f>IFERROR(INDEX(INDIRECT(All_Questions_Q_VERY_LONG_SINGLE_SELECT_EXPORT_NAME_CT &amp; "_options"),3),"")</f>
        <v/>
      </c>
      <c r="I55">
        <f>IFERROR(INDEX(INDIRECT(All_Questions_Q_VERY_LONG_SINGLE_SELECT_EXPORT_NAME_CT &amp; "_options"),4),"")</f>
        <v/>
      </c>
      <c r="J55">
        <f>IFERROR(INDEX(INDIRECT(All_Questions_Q_VERY_LONG_SINGLE_SELECT_EXPORT_NAME_CT &amp; "_options"),5),"")</f>
        <v/>
      </c>
      <c r="K55">
        <f>IFERROR(INDEX(INDIRECT(All_Questions_Q_VERY_LONG_SINGLE_SELECT_EXPORT_NAME_CT &amp; "_options"),6),"")</f>
        <v/>
      </c>
      <c r="L55">
        <f>IFERROR(INDEX(INDIRECT(All_Questions_Q_VERY_LONG_SINGLE_SELECT_EXPORT_NAME_CT &amp; "_options"),7),"")</f>
        <v/>
      </c>
      <c r="M55">
        <f>IFERROR(INDEX(INDIRECT(All_Questions_Q_VERY_LONG_SINGLE_SELECT_EXPORT_NAME_CT &amp; "_options"),8),"")</f>
        <v/>
      </c>
      <c r="N55">
        <f>IFERROR(INDEX(INDIRECT(All_Questions_Q_VERY_LONG_SINGLE_SELECT_EXPORT_NAME_CT &amp; "_options"),9),"")</f>
        <v/>
      </c>
      <c r="O55" s="5" t="inlineStr">
        <is>
          <t>TOTAL</t>
        </is>
      </c>
    </row>
    <row r="56">
      <c r="A56" t="inlineStr">
        <is>
          <t>A</t>
        </is>
      </c>
      <c r="B56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1)</f>
        <v/>
      </c>
      <c r="C56" s="7">
        <f>IFERROR(B56/SUBTOTAL(9,B56:B57),0)</f>
        <v/>
      </c>
      <c r="D56" s="14">
        <f>SUBTOTAL(9,B56:B57)</f>
        <v/>
      </c>
      <c r="F56" t="inlineStr">
        <is>
          <t>A</t>
        </is>
      </c>
      <c r="G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"_data")=G$55)*1)</f>
        <v/>
      </c>
      <c r="H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"_data")=H$55)*1)</f>
        <v/>
      </c>
      <c r="I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"_data")=I$55)*1)</f>
        <v/>
      </c>
      <c r="J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"_data")=J$55)*1)</f>
        <v/>
      </c>
      <c r="K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"_data")=K$55)*1)</f>
        <v/>
      </c>
      <c r="L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"_data")=L$55)*1)</f>
        <v/>
      </c>
      <c r="M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"_data")=M$55)*1)</f>
        <v/>
      </c>
      <c r="N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"_data")=N$55)*1)</f>
        <v/>
      </c>
      <c r="O56">
        <f>SUM(G56:N56)</f>
        <v/>
      </c>
    </row>
    <row r="57">
      <c r="A57" t="inlineStr">
        <is>
          <t>B</t>
        </is>
      </c>
      <c r="B57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1)</f>
        <v/>
      </c>
      <c r="C57" s="7">
        <f>IFERROR(B57/SUBTOTAL(9,B56:B57),0)</f>
        <v/>
      </c>
      <c r="D57" s="14">
        <f>SUBTOTAL(9,B56:B57)</f>
        <v/>
      </c>
      <c r="F57" t="inlineStr">
        <is>
          <t>B</t>
        </is>
      </c>
      <c r="G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"_data")=G$55)*1)</f>
        <v/>
      </c>
      <c r="H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"_data")=H$55)*1)</f>
        <v/>
      </c>
      <c r="I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"_data")=I$55)*1)</f>
        <v/>
      </c>
      <c r="J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"_data")=J$55)*1)</f>
        <v/>
      </c>
      <c r="K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"_data")=K$55)*1)</f>
        <v/>
      </c>
      <c r="L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"_data")=L$55)*1)</f>
        <v/>
      </c>
      <c r="M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"_data")=M$55)*1)</f>
        <v/>
      </c>
      <c r="N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"_data")=N$55)*1)</f>
        <v/>
      </c>
      <c r="O57">
        <f>SUM(G57:N57)</f>
        <v/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2026-05-14T10:18:39.688581+00:00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2026-05-14T10:18:39.689169+00:00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2026-05-14T10:18:39.689211+00:00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2026-05-14T10:18:39.690309+00:00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2026-05-14T10:18:39.691203+00:00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2026-05-14T10:18:39.692008+00:00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2026-05-14T10:18:39.692723+00:00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2026-05-14T10:18:39.692743+00:00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2026-05-14T10:18:39.693632+00:00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2026-05-14T10:18:39.694320+00:00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2026-05-14T10:18:39.694951+00:00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2026-05-14T10:18:39.695069+00:00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2026-05-14T10:18:39Z</dcterms:created>
  <dcterms:modified xmlns:dcterms="http://purl.org/dc/terms/" xmlns:xsi="http://www.w3.org/2001/XMLSchema-instance" xsi:type="dcterms:W3CDTF">2026-05-14T10:18:39Z</dcterms:modified>
</cp:coreProperties>
</file>