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F_passes_per_q_filter_data">'_RawData'!$O$2:$O$11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F_passes_per_q_filter_data">'_RawData'!$T$2:$T$11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$A2:$H2,1,MATCH(Theme_One_Q_MS_EXPORT_F_Q,$A$1:$H$1,0)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$A3:$H3,1,MATCH(Theme_One_Q_MS_EXPORT_F_Q,$A$1:$H$1,0)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$A4:$H4,1,MATCH(Theme_One_Q_MS_EXPORT_F_Q,$A$1:$H$1,0)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$A5:$H5,1,MATCH(Theme_One_Q_MS_EXPORT_F_Q,$A$1:$H$1,0)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$A6:$H6,1,MATCH(Theme_One_Q_MS_EXPORT_F_Q,$A$1:$H$1,0)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$A7:$H7,1,MATCH(Theme_One_Q_MS_EXPORT_F_Q,$A$1:$H$1,0)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$A8:$H8,1,MATCH(Theme_One_Q_MS_EXPORT_F_Q,$A$1:$H$1,0)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$A9:$H9,1,MATCH(Theme_One_Q_MS_EXPORT_F_Q,$A$1:$H$1,0)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$A10:$H10,1,MATCH(Theme_One_Q_MS_EXPORT_F_Q,$A$1:$H$1,0)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$A11:$H11,1,MATCH(Theme_One_Q_MS_EXPORT_F_Q,$A$1:$H$1,0)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IFERROR(INDEX(INDIRECT(Theme_One_Q_MS_EXPORT_CT &amp; "_options"),2),"")</f>
        <v/>
      </c>
      <c r="H25" t="str">
        <f>IFERROR(INDEX(INDIRECT(Theme_One_Q_MS_EXPORT_CT &amp; "_options"),3),"")</f>
        <v/>
      </c>
      <c r="I25" t="str">
        <f>IFERROR(INDEX(INDIRECT(Theme_One_Q_MS_EXPORT_CT &amp; "_options"),4),"")</f>
        <v/>
      </c>
      <c r="J25" t="str">
        <f>IFERROR(INDEX(INDIRECT(Theme_One_Q_MS_EXPORT_CT &amp; "_options"),5),"")</f>
        <v/>
      </c>
      <c r="K25" t="str">
        <f>IFERROR(INDEX(INDIRECT(Theme_One_Q_MS_EXPORT_CT &amp; "_options"),6),"")</f>
        <v/>
      </c>
      <c r="L25" t="str">
        <f>IFERROR(INDEX(INDIRECT(Theme_One_Q_MS_EXPORT_CT &amp; "_options"),7),"")</f>
        <v/>
      </c>
      <c r="M25" t="str">
        <f>IFERROR(INDEX(INDIRECT(Theme_One_Q_MS_EXPORT_CT &amp; "_options"),8),"")</f>
        <v/>
      </c>
      <c r="N25" t="str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COUNTIFS(Q_MS_EXPORTr1_data,"Selected",passes_workbook_filters_data,1,passes_workbook_custom_filters_data,1,Theme_One_passes_local_filters_data,1,Theme_One_Q_MS_EXPORT_F_passes_per_q_filter_data,1)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"_data"),G$25)</f>
        <v>0</v>
      </c>
      <c r="H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"_data"),H$25)</f>
        <v>0</v>
      </c>
      <c r="I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"_data"),I$25)</f>
        <v>0</v>
      </c>
      <c r="J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"_data"),J$25)</f>
        <v>0</v>
      </c>
      <c r="K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"_data"),K$25)</f>
        <v>0</v>
      </c>
      <c r="L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"_data"),L$25)</f>
        <v>0</v>
      </c>
      <c r="M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"_data"),M$25)</f>
        <v>0</v>
      </c>
      <c r="N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COUNTIFS(Q_MS_EXPORTr2_data,"Selected",passes_workbook_filters_data,1,passes_workbook_custom_filters_data,1,Theme_One_passes_local_filters_data,1,Theme_One_Q_MS_EXPORT_F_passes_per_q_filter_data,1)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"_data"),G$25)</f>
        <v>0</v>
      </c>
      <c r="H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"_data"),H$25)</f>
        <v>0</v>
      </c>
      <c r="I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"_data"),I$25)</f>
        <v>0</v>
      </c>
      <c r="J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"_data"),J$25)</f>
        <v>0</v>
      </c>
      <c r="K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"_data"),K$25)</f>
        <v>0</v>
      </c>
      <c r="L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"_data"),L$25)</f>
        <v>0</v>
      </c>
      <c r="M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"_data"),M$25)</f>
        <v>0</v>
      </c>
      <c r="N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IFERROR(INDEX(INDIRECT(All_Questions_Q_GRID_EXPORT_CT &amp; "_options"),2),"")</f>
        <v/>
      </c>
      <c r="H16" t="str">
        <f>IFERROR(INDEX(INDIRECT(All_Questions_Q_GRID_EXPORT_CT &amp; "_options"),3),"")</f>
        <v/>
      </c>
      <c r="I16" t="str">
        <f>IFERROR(INDEX(INDIRECT(All_Questions_Q_GRID_EXPORT_CT &amp; "_options"),4),"")</f>
        <v/>
      </c>
      <c r="J16" t="str">
        <f>IFERROR(INDEX(INDIRECT(All_Questions_Q_GRID_EXPORT_CT &amp; "_options"),5),"")</f>
        <v/>
      </c>
      <c r="K16" t="str">
        <f>IFERROR(INDEX(INDIRECT(All_Questions_Q_GRID_EXPORT_CT &amp; "_options"),6),"")</f>
        <v/>
      </c>
      <c r="L16" t="str">
        <f>IFERROR(INDEX(INDIRECT(All_Questions_Q_GRID_EXPORT_CT &amp; "_options"),7),"")</f>
        <v/>
      </c>
      <c r="M16" t="str">
        <f>IFERROR(INDEX(INDIRECT(All_Questions_Q_GRID_EXPORT_CT &amp; "_options"),8),"")</f>
        <v/>
      </c>
      <c r="N16" t="str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IFERROR(INDEX(INDIRECT(All_Questions_Q_VERY_LONG_SINGLE_SELECT_EXPORT_NAME_CT &amp; "_options"),2),"")</f>
        <v/>
      </c>
      <c r="H25" t="str">
        <f>IFERROR(INDEX(INDIRECT(All_Questions_Q_VERY_LONG_SINGLE_SELECT_EXPORT_NAME_CT &amp; "_options"),3),"")</f>
        <v/>
      </c>
      <c r="I25" t="str">
        <f>IFERROR(INDEX(INDIRECT(All_Questions_Q_VERY_LONG_SINGLE_SELECT_EXPORT_NAME_CT &amp; "_options"),4),"")</f>
        <v/>
      </c>
      <c r="J25" t="str">
        <f>IFERROR(INDEX(INDIRECT(All_Questions_Q_VERY_LONG_SINGLE_SELECT_EXPORT_NAME_CT &amp; "_options"),5),"")</f>
        <v/>
      </c>
      <c r="K25" t="str">
        <f>IFERROR(INDEX(INDIRECT(All_Questions_Q_VERY_LONG_SINGLE_SELECT_EXPORT_NAME_CT &amp; "_options"),6),"")</f>
        <v/>
      </c>
      <c r="L25" t="str">
        <f>IFERROR(INDEX(INDIRECT(All_Questions_Q_VERY_LONG_SINGLE_SELECT_EXPORT_NAME_CT &amp; "_options"),7),"")</f>
        <v/>
      </c>
      <c r="M25" t="str">
        <f>IFERROR(INDEX(INDIRECT(All_Questions_Q_VERY_LONG_SINGLE_SELECT_EXPORT_NAME_CT &amp; "_options"),8),"")</f>
        <v/>
      </c>
      <c r="N25" t="str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2026-05-15T06:09:26Z</dcterms:created>
  <dcterms:modified xmlns:dcterms="http://purl.org/dc/terms/" xmlns:xsi="http://www.w3.org/2001/XMLSchema-instance" xsi:type="dcterms:W3CDTF">2026-05-15T06:09:26Z</dcterms:modified>
</cp:coreProperties>
</file>