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14_Expected_2025_Gross_margin_data">'_RawData'!$B$2:$B$7</definedName>
    <definedName name="Q56_Expected_2025_Gross_margin_data">'_RawData'!$C$2:$C$7</definedName>
    <definedName name="Q102_Expected_2025_EBITDA_margi_data">'_RawData'!$D$2:$D$7</definedName>
    <definedName name="All_Questions">'_Options'!$A$2:$A$5</definedName>
    <definedName name="All_Questions_Local">'_Options'!$B$2:$B$6</definedName>
    <definedName name="Cross_Tab_Questions">'_Options'!$L$2:$L$5</definedName>
    <definedName name="Cross_Tab_Questions_Data_Names">'_Options'!$M$2:$M$5</definedName>
    <definedName name="None_options">'_Options'!$E$2:$E$2</definedName>
    <definedName name="Q14_Expected_2025_Gross_margin_options">'_Options'!$F$2:$F$4</definedName>
    <definedName name="Q14_Expected_2025_Gross_margin_local_options">'_Options'!$I$2:$I$5</definedName>
    <definedName name="Q56_Expected_2025_Gross_margin_options">'_Options'!$G$2:$G$4</definedName>
    <definedName name="Q56_Expected_2025_Gross_margin_local_options">'_Options'!$J$2:$J$5</definedName>
    <definedName name="Q102_Expected_2025_EBITDA_margi_options">'_Options'!$H$2:$H$4</definedName>
    <definedName name="Q102_Expected_2025_EBITDA_margi_local_options">'_Options'!$K$2:$K$5</definedName>
    <definedName name="All_Questions_Data_Names">'_Options'!$C$2:$C$5</definedName>
    <definedName name="All_Questions_Options_Names">'_Options'!$D$2:$D$5</definedName>
    <definedName name="Cross_Tab_Questions_Options_Names">'_Options'!$N$2:$N$5</definedName>
    <definedName name="All_Questions_Value_Keys">'_Options'!$V$2:$V$2</definedName>
    <definedName name="All_Questions_Value_Data_Names">'_Options'!$W$2:$W$2</definedName>
    <definedName name="All_Questions_Value_Criteria">'_Options'!$X$2:$X$2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'_RawData'!$E$2:$E$7</definedName>
    <definedName name="F_Custom1_match_data">'_RawData'!$F$2:$F$7</definedName>
    <definedName name="F_Custom2_match_data">'_RawData'!$G$2:$G$7</definedName>
    <definedName name="passes_workbook_custom_filters_data">'_RawData'!$H$2:$H$7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'_RawData'!$I$2:$I$7</definedName>
    <definedName name="All_Questions_Q14_Expected_2025_Gross_margin_growth_outlook_F_Q">'All Questions'!$C$13</definedName>
    <definedName name="All_Questions_Q14_Expected_2025_Gross_margin_growth_outlook_F_V">'All Questions'!$E$13</definedName>
    <definedName name="All_Questions_Q14_Expected_2025_Gross_margin_growth_outlook_F_resolved_column">'All Questions'!$F$13</definedName>
    <definedName name="All_Questions_Q14_Expected_2025_Gross_margin_growth_outlook_F_wrapped">'All Questions'!$G$13</definedName>
    <definedName name="All_Questions_Q14_Expected_2025_Gross_margin_growth_outlook_F_resolved_criteria">'All Questions'!$H$13</definedName>
    <definedName name="All_Questions_Q14_Expected_2025_Gross_margin_growth_outlook_F_passes_per_q_filter_data">'_RawData'!$J$2:$J$7</definedName>
    <definedName name="All_Questions_Q14_Expected_2025_Gross_margin_growth_outlook_CT">'All Questions'!$C$14</definedName>
    <definedName name="All_Questions_Q56_Expected_2025_Gross_margin_growth_outlook_F_Q">'All Questions'!$C$24</definedName>
    <definedName name="All_Questions_Q56_Expected_2025_Gross_margin_growth_outlook_F_V">'All Questions'!$E$24</definedName>
    <definedName name="All_Questions_Q56_Expected_2025_Gross_margin_growth_outlook_F_resolved_column">'All Questions'!$F$24</definedName>
    <definedName name="All_Questions_Q56_Expected_2025_Gross_margin_growth_outlook_F_wrapped">'All Questions'!$G$24</definedName>
    <definedName name="All_Questions_Q56_Expected_2025_Gross_margin_growth_outlook_F_resolved_criteria">'All Questions'!$H$24</definedName>
    <definedName name="All_Questions_Q56_Expected_2025_Gross_margin_growth_outlook_F_passes_per_q_filter_data">'_RawData'!$K$2:$K$7</definedName>
    <definedName name="All_Questions_Q56_Expected_2025_Gross_margin_growth_outlook_CT">'All Questions'!$C$25</definedName>
    <definedName name="All_Questions_Q102_Expected_2025_EBITDA_margin_growth_outlook_F_Q">'All Questions'!$C$35</definedName>
    <definedName name="All_Questions_Q102_Expected_2025_EBITDA_margin_growth_outlook_F_V">'All Questions'!$E$35</definedName>
    <definedName name="All_Questions_Q102_Expected_2025_EBITDA_margin_growth_outlook_F_resolved_column">'All Questions'!$F$35</definedName>
    <definedName name="All_Questions_Q102_Expected_2025_EBITDA_margin_growth_outlook_F_wrapped">'All Questions'!$G$35</definedName>
    <definedName name="All_Questions_Q102_Expected_2025_EBITDA_margin_growth_outlook_F_resolved_criteria">'All Questions'!$H$35</definedName>
    <definedName name="All_Questions_Q102_Expected_2025_EBITDA_margin_growth_outlook_F_passes_per_q_filter_data">'_RawData'!$L$2:$L$7</definedName>
    <definedName name="All_Questions_Q102_Expected_2025_EBITDA_margin_growth_outlook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1"/>
  <c r="F6" i="1"/>
  <c r="G6" i="1"/>
  <c r="H6" i="1"/>
  <c r="I6" i="1"/>
  <c r="J6" i="1"/>
  <c r="K6" i="1"/>
  <c r="L6" i="1"/>
  <c r="E7" i="1"/>
  <c r="F7" i="1"/>
  <c r="G7" i="1"/>
  <c r="H7" i="1"/>
  <c r="I7" i="1"/>
  <c r="J7" i="1"/>
  <c r="K7" i="1"/>
  <c r="L7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G38" i="7"/>
  <c r="H38" i="7"/>
  <c r="I38" i="7"/>
  <c r="J38" i="7"/>
  <c r="K38" i="7"/>
  <c r="L38" i="7"/>
  <c r="M38" i="7"/>
  <c r="N38" i="7"/>
  <c r="O38" i="7"/>
  <c r="P38" i="7"/>
  <c r="Q38" i="7"/>
  <c r="R38" i="7"/>
  <c r="B39" i="7"/>
  <c r="C39" i="7"/>
  <c r="D39" i="7"/>
  <c r="B40" i="7"/>
  <c r="C40" i="7"/>
  <c r="D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S4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Q14_Expected_2025_Gross_margin_</t>
        </is>
      </c>
      <c r="C1" t="inlineStr">
        <is>
          <t>Q56_Expected_2025_Gross_margin_</t>
        </is>
      </c>
      <c r="D1" t="inlineStr">
        <is>
          <t>Q102_Expected_2025_EBITDA_margi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All_Questions_Q14_Expected_2025_Gross_margin_growth_outlook_F_passes_per_q_filter</t>
        </is>
      </c>
      <c r="K1" t="inlineStr">
        <is>
          <t>All_Questions_Q56_Expected_2025_Gross_margin_growth_outlook_F_passes_per_q_filter</t>
        </is>
      </c>
      <c r="L1" t="inlineStr">
        <is>
          <t>All_Questions_Q102_Expected_2025_EBITDA_margin_growth_outlook_F_passes_per_q_filter</t>
        </is>
      </c>
    </row>
    <row r="2">
      <c r="A2" t="n">
        <v>1</v>
      </c>
      <c r="B2" t="inlineStr">
        <is>
          <t>Higher</t>
        </is>
      </c>
      <c r="C2" t="inlineStr">
        <is>
          <t>Higher</t>
        </is>
      </c>
      <c r="D2" t="inlineStr">
        <is>
          <t>Higher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1)&amp;"|",("|" &amp; SUBSTITUTE(All_Questions_Q14_Expected_2025_Gross_margin_growth_outlook_F_resolved_criteria, ", ", "|") &amp; "|"))),1,0),0))*1</f>
        <v>1</v>
      </c>
      <c r="K2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1)&amp;"|",("|" &amp; SUBSTITUTE(All_Questions_Q56_Expected_2025_Gross_margin_growth_outlook_F_resolved_criteria, ", ", "|") &amp; "|"))),1,0),0))*1</f>
        <v>1</v>
      </c>
      <c r="L2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1)&amp;"|",("|" &amp; SUBSTITUTE(All_Questions_Q102_Expected_2025_EBITDA_margin_growth_outlook_F_resolved_criteria, ", ", "|") &amp; "|"))),1,0),0))*1</f>
        <v>1</v>
      </c>
    </row>
    <row r="3">
      <c r="A3" t="n">
        <v>2</v>
      </c>
      <c r="B3" t="inlineStr">
        <is>
          <t>Lower</t>
        </is>
      </c>
      <c r="C3" t="inlineStr">
        <is>
          <t>Lower</t>
        </is>
      </c>
      <c r="D3" t="inlineStr">
        <is>
          <t>Lower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2)&amp;"|",("|" &amp; SUBSTITUTE(All_Questions_Q14_Expected_2025_Gross_margin_growth_outlook_F_resolved_criteria, ", ", "|") &amp; "|"))),1,0),0))*1</f>
        <v>1</v>
      </c>
      <c r="K3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2)&amp;"|",("|" &amp; SUBSTITUTE(All_Questions_Q56_Expected_2025_Gross_margin_growth_outlook_F_resolved_criteria, ", ", "|") &amp; "|"))),1,0),0))*1</f>
        <v>1</v>
      </c>
      <c r="L3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2)&amp;"|",("|" &amp; SUBSTITUTE(All_Questions_Q102_Expected_2025_EBITDA_margin_growth_outlook_F_resolved_criteria, ", ", "|") &amp; "|"))),1,0),0))*1</f>
        <v>1</v>
      </c>
    </row>
    <row r="4">
      <c r="A4" t="n">
        <v>3</v>
      </c>
      <c r="B4" t="inlineStr">
        <is>
          <t>Higher</t>
        </is>
      </c>
      <c r="C4" t="inlineStr">
        <is>
          <t>Higher</t>
        </is>
      </c>
      <c r="D4" t="inlineStr">
        <is>
          <t>Higher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3)&amp;"|",("|" &amp; SUBSTITUTE(All_Questions_Q14_Expected_2025_Gross_margin_growth_outlook_F_resolved_criteria, ", ", "|") &amp; "|"))),1,0),0))*1</f>
        <v>1</v>
      </c>
      <c r="K4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3)&amp;"|",("|" &amp; SUBSTITUTE(All_Questions_Q56_Expected_2025_Gross_margin_growth_outlook_F_resolved_criteria, ", ", "|") &amp; "|"))),1,0),0))*1</f>
        <v>1</v>
      </c>
      <c r="L4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3)&amp;"|",("|" &amp; SUBSTITUTE(All_Questions_Q102_Expected_2025_EBITDA_margin_growth_outlook_F_resolved_criteria, ", ", "|") &amp; "|"))),1,0),0))*1</f>
        <v>1</v>
      </c>
    </row>
    <row r="5">
      <c r="A5" t="n">
        <v>4</v>
      </c>
      <c r="B5" t="inlineStr">
        <is>
          <t>Lower</t>
        </is>
      </c>
      <c r="C5" t="inlineStr">
        <is>
          <t>Lower</t>
        </is>
      </c>
      <c r="D5" t="inlineStr">
        <is>
          <t>Lower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4)&amp;"|",("|" &amp; SUBSTITUTE(All_Questions_Q14_Expected_2025_Gross_margin_growth_outlook_F_resolved_criteria, ", ", "|") &amp; "|"))),1,0),0))*1</f>
        <v>1</v>
      </c>
      <c r="K5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4)&amp;"|",("|" &amp; SUBSTITUTE(All_Questions_Q56_Expected_2025_Gross_margin_growth_outlook_F_resolved_criteria, ", ", "|") &amp; "|"))),1,0),0))*1</f>
        <v>1</v>
      </c>
      <c r="L5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4)&amp;"|",("|" &amp; SUBSTITUTE(All_Questions_Q102_Expected_2025_EBITDA_margin_growth_outlook_F_resolved_criteria, ", ", "|") &amp; "|"))),1,0),0))*1</f>
        <v>1</v>
      </c>
    </row>
    <row r="6">
      <c r="A6" t="n">
        <v>5</v>
      </c>
      <c r="B6" t="inlineStr">
        <is>
          <t>Higher</t>
        </is>
      </c>
      <c r="C6" t="inlineStr">
        <is>
          <t>Higher</t>
        </is>
      </c>
      <c r="D6" t="inlineStr">
        <is>
          <t>Higher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5)&amp;"|",("|" &amp; SUBSTITUTE(All_Questions_Q14_Expected_2025_Gross_margin_growth_outlook_F_resolved_criteria, ", ", "|") &amp; "|"))),1,0),0))*1</f>
        <v>1</v>
      </c>
      <c r="K6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5)&amp;"|",("|" &amp; SUBSTITUTE(All_Questions_Q56_Expected_2025_Gross_margin_growth_outlook_F_resolved_criteria, ", ", "|") &amp; "|"))),1,0),0))*1</f>
        <v>1</v>
      </c>
      <c r="L6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5)&amp;"|",("|" &amp; SUBSTITUTE(All_Questions_Q102_Expected_2025_EBITDA_margin_growth_outlook_F_resolved_criteria, ", ", "|") &amp; "|"))),1,0),0))*1</f>
        <v>1</v>
      </c>
    </row>
    <row r="7">
      <c r="A7" t="n">
        <v>6</v>
      </c>
      <c r="B7" t="inlineStr">
        <is>
          <t>Lower</t>
        </is>
      </c>
      <c r="C7" t="inlineStr">
        <is>
          <t>Lower</t>
        </is>
      </c>
      <c r="D7" t="inlineStr">
        <is>
          <t>Lower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6)&amp;"|",("|" &amp; SUBSTITUTE(All_Questions_Q14_Expected_2025_Gross_margin_growth_outlook_F_resolved_criteria, ", ", "|") &amp; "|"))),1,0),0))*1</f>
        <v>1</v>
      </c>
      <c r="K7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6)&amp;"|",("|" &amp; SUBSTITUTE(All_Questions_Q56_Expected_2025_Gross_margin_growth_outlook_F_resolved_criteria, ", ", "|") &amp; "|"))),1,0),0))*1</f>
        <v>1</v>
      </c>
      <c r="L7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6)&amp;"|",("|" &amp; SUBSTITUTE(All_Questions_Q102_Expected_2025_EBITDA_margin_growth_outlook_F_resolved_criteria,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Q14_Expected_2025_Gross_margin__options</t>
        </is>
      </c>
      <c r="G1" t="inlineStr">
        <is>
          <t>Q56_Expected_2025_Gross_margin__options</t>
        </is>
      </c>
      <c r="H1" t="inlineStr">
        <is>
          <t>Q102_Expected_2025_EBITDA_margi_options</t>
        </is>
      </c>
      <c r="I1" t="inlineStr">
        <is>
          <t>Q14_Expected_2025_Gross_margin__local_options</t>
        </is>
      </c>
      <c r="J1" t="inlineStr">
        <is>
          <t>Q56_Expected_2025_Gross_margin__local_options</t>
        </is>
      </c>
      <c r="K1" t="inlineStr">
        <is>
          <t>Q102_Expected_2025_EBITDA_margi_local_options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V1" t="inlineStr">
        <is>
          <t>All_Questions_Value_Keys</t>
        </is>
      </c>
      <c r="W1" t="inlineStr">
        <is>
          <t>All_Questions_Value_Data_Names</t>
        </is>
      </c>
      <c r="X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'_RawData'!$A$2:$A$7</t>
        </is>
      </c>
      <c r="N2" t="inlineStr">
        <is>
          <t>'_Options'!$E$2:$E$2</t>
        </is>
      </c>
    </row>
    <row r="3">
      <c r="A3" t="inlineStr">
        <is>
          <t>Q14 Expected 2025 Gross margin growth outlook - Expected 2025 Gross Margin Growth Outlook Question Text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'_Options'!$F$2:$F$4</t>
        </is>
      </c>
      <c r="F3" t="inlineStr">
        <is>
          <t>Higher</t>
        </is>
      </c>
      <c r="G3" t="inlineStr">
        <is>
          <t>Higher</t>
        </is>
      </c>
      <c r="H3" t="inlineStr">
        <is>
          <t>Higher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L3" t="inlineStr">
        <is>
          <t>Q14 Expected 2025 Gross margin growth outlook - Expected 2025 Gross Margin Growth Outlook Question Text</t>
        </is>
      </c>
      <c r="M3" t="inlineStr">
        <is>
          <t>'_RawData'!$B$2:$B$7</t>
        </is>
      </c>
      <c r="N3" t="inlineStr">
        <is>
          <t>'_Options'!$F$2:$F$4</t>
        </is>
      </c>
    </row>
    <row r="4">
      <c r="A4" t="inlineStr">
        <is>
          <t>Q56 Expected 2025 Gross margin growth outlook - Expected 2025 Gross Margin Growth Outlook Question Text</t>
        </is>
      </c>
      <c r="B4" t="inlineStr">
        <is>
          <t>Q14 Expected 2025 Gross margin growth outlook - Expected 2025 Gross Margin Growth Outlook Question Text</t>
        </is>
      </c>
      <c r="C4" t="inlineStr">
        <is>
          <t>'_RawData'!$C$2:$C$7</t>
        </is>
      </c>
      <c r="D4" t="inlineStr">
        <is>
          <t>'_Options'!$G$2:$G$4</t>
        </is>
      </c>
      <c r="F4" t="inlineStr">
        <is>
          <t>Lower</t>
        </is>
      </c>
      <c r="G4" t="inlineStr">
        <is>
          <t>Lower</t>
        </is>
      </c>
      <c r="H4" t="inlineStr">
        <is>
          <t>Lower</t>
        </is>
      </c>
      <c r="I4" t="inlineStr">
        <is>
          <t>Higher</t>
        </is>
      </c>
      <c r="J4" t="inlineStr">
        <is>
          <t>Higher</t>
        </is>
      </c>
      <c r="K4" t="inlineStr">
        <is>
          <t>Higher</t>
        </is>
      </c>
      <c r="L4" t="inlineStr">
        <is>
          <t>Q56 Expected 2025 Gross margin growth outlook - Expected 2025 Gross Margin Growth Outlook Question Text</t>
        </is>
      </c>
      <c r="M4" t="inlineStr">
        <is>
          <t>'_RawData'!$C$2:$C$7</t>
        </is>
      </c>
      <c r="N4" t="inlineStr">
        <is>
          <t>'_Options'!$G$2:$G$4</t>
        </is>
      </c>
    </row>
    <row r="5">
      <c r="A5" t="inlineStr">
        <is>
          <t>Q102 Expected 2025 EBITDA margin growth outlook - Expected 2025 Ebitda Margin Growth ...</t>
        </is>
      </c>
      <c r="B5" t="inlineStr">
        <is>
          <t>Q56 Expected 2025 Gross margin growth outlook - Expected 2025 Gross Margin Growth Outlook Question Text</t>
        </is>
      </c>
      <c r="C5" t="inlineStr">
        <is>
          <t>'_RawData'!$D$2:$D$7</t>
        </is>
      </c>
      <c r="D5" t="inlineStr">
        <is>
          <t>'_Options'!$H$2:$H$4</t>
        </is>
      </c>
      <c r="I5" t="inlineStr">
        <is>
          <t>Lower</t>
        </is>
      </c>
      <c r="J5" t="inlineStr">
        <is>
          <t>Lower</t>
        </is>
      </c>
      <c r="K5" t="inlineStr">
        <is>
          <t>Lower</t>
        </is>
      </c>
      <c r="L5" t="inlineStr">
        <is>
          <t>Q102 Expected 2025 EBITDA margin growth outlook - Expected 2025 Ebitda Margin Growth ...</t>
        </is>
      </c>
      <c r="M5" t="inlineStr">
        <is>
          <t>'_RawData'!$D$2:$D$7</t>
        </is>
      </c>
      <c r="N5" t="inlineStr">
        <is>
          <t>'_Options'!$H$2:$H$4</t>
        </is>
      </c>
    </row>
    <row r="6">
      <c r="B6" t="inlineStr">
        <is>
          <t>Q102 Expected 2025 EBITDA margin growth outlook - Expected 2025 Ebitda Margin Growth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3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3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9" customWidth="1" min="2" max="2"/>
    <col width="60" customWidth="1" min="3" max="3"/>
    <col width="15" customWidth="1" min="4" max="4"/>
    <col width="4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[Q14 Expected 2025 Gross margin growth outlook]</t>
        </is>
      </c>
      <c r="B2" t="inlineStr">
        <is>
          <t>Q14 Expected 2025 Gross margin growth outlook</t>
        </is>
      </c>
      <c r="C2" t="inlineStr">
        <is>
          <t>Q14 Expected 2025 Gross margin growth outlook question text</t>
        </is>
      </c>
      <c r="D2" t="inlineStr">
        <is>
          <t>SINGLE_SELECT</t>
        </is>
      </c>
      <c r="E2" t="inlineStr">
        <is>
          <t>Q14 Expected 2025 Gross margin growth outlook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[Q56 Expected 2025 Gross margin growth outlook]</t>
        </is>
      </c>
      <c r="B3" t="inlineStr">
        <is>
          <t>Q56 Expected 2025 Gross margin growth outlook</t>
        </is>
      </c>
      <c r="C3" t="inlineStr">
        <is>
          <t>Q56 Expected 2025 Gross margin growth outlook question text</t>
        </is>
      </c>
      <c r="D3" t="inlineStr">
        <is>
          <t>SINGLE_SELECT</t>
        </is>
      </c>
      <c r="E3" t="inlineStr">
        <is>
          <t>Q56 Expected 2025 Gross margin growth outlook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[Q102 Expected 2025 EBITDA margin growth outlook]</t>
        </is>
      </c>
      <c r="B4" t="inlineStr">
        <is>
          <t>Q102 Expected 2025 EBITDA margin growth outlook</t>
        </is>
      </c>
      <c r="C4" t="inlineStr">
        <is>
          <t>Q102 Expected 2025 EBITDA margin growth outlook question text</t>
        </is>
      </c>
      <c r="D4" t="inlineStr">
        <is>
          <t>SINGLE_SELECT</t>
        </is>
      </c>
      <c r="E4" t="inlineStr">
        <is>
          <t>Q102 Expected 2025 EBITDA margin growth outlook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9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Q14 Expected 2025 Gross margin growth outlook</t>
        </is>
      </c>
      <c r="B2" t="inlineStr">
        <is>
          <t>Q14 Expected 2025 Gross margin growth outlook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  <row r="3">
      <c r="A3" t="inlineStr">
        <is>
          <t>Q56 Expected 2025 Gross margin growth outlook</t>
        </is>
      </c>
      <c r="B3" t="inlineStr">
        <is>
          <t>Q56 Expected 2025 Gross margin growth outlook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6</v>
      </c>
      <c r="G3" t="n">
        <v>0</v>
      </c>
      <c r="H3" s="7" t="n">
        <v>0</v>
      </c>
      <c r="I3" t="inlineStr"/>
    </row>
    <row r="4">
      <c r="A4" t="inlineStr">
        <is>
          <t>Q102 Expected 2025 EBITDA margin growth outlook</t>
        </is>
      </c>
      <c r="B4" t="inlineStr">
        <is>
          <t>Q102 Expected 2025 EBITDA margin growth outlook</t>
        </is>
      </c>
      <c r="C4" t="inlineStr">
        <is>
          <t>SINGLE_SELECT</t>
        </is>
      </c>
      <c r="D4" t="inlineStr">
        <is>
          <t>All Questions</t>
        </is>
      </c>
      <c r="E4" s="6" t="inlineStr">
        <is>
          <t>All Questions</t>
        </is>
      </c>
      <c r="F4" t="n">
        <v>6</v>
      </c>
      <c r="G4" t="n">
        <v>0</v>
      </c>
      <c r="H4" s="7" t="n">
        <v>0</v>
      </c>
      <c r="I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Q14 Expected 2025 Gross margin growth outlook question text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14_Expected_2025_Gross_margin_growth_outlook_F_Q&amp;"|"&amp;All_Questions_Q14_Expected_2025_Gross_margin_growth_outlook_F_V,All_Questions_Value_Keys,0)),IFERROR(INDEX(All_Questions_Data_Names,MATCH(All_Questions_Q14_Expected_2025_Gross_margin_growth_outlook_F_Q,All_Questions,0)),"'_RawData'!$A:$A"))</f>
        <v>respondent_id_data</v>
      </c>
      <c r="G13" t="str">
        <f>"|" &amp; SUBSTITUTE(All_Questions_Q14_Expected_2025_Gross_margin_growth_outlook_F_V, ", ", "|") &amp; "|"</f>
        <v>|(All)|</v>
      </c>
      <c r="H13" t="str">
        <f>IFERROR(INDEX(All_Questions_Value_Criteria,MATCH(All_Questions_Q14_Expected_2025_Gross_margin_growth_outlook_F_Q&amp;"|"&amp;All_Questions_Q14_Expected_2025_Gross_margin_growth_outlook_F_V,All_Questions_Value_Keys,0)),All_Questions_Q14_Expected_2025_Gross_margin_growth_outlook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IF(All_Questions_Q14_Expected_2025_Gross_margin_growth_outlook_CT="(None)","",IFERROR(INDEX(INDIRECT(IFERROR(INDEX(Cross_Tab_Questions_Options_Names,MATCH(All_Questions_Q14_Expected_2025_Gross_margin_growth_outlook_CT,Cross_Tab_Questions,0)),"'_Options'!$E$2:$E$2")),2),""))</f>
        <v/>
      </c>
      <c r="H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IF(All_Questions_Q14_Expected_2025_Gross_margin_growth_outlook_CT="(None)","",IFERROR(INDEX(INDIRECT(IFERROR(INDEX(Cross_Tab_Questions_Options_Names,MATCH(All_Questions_Q14_Expected_2025_Gross_margin_growth_outlook_CT,Cross_Tab_Questions,0)),"'_Options'!$E$2:$E$2")),3),""))</f>
        <v/>
      </c>
      <c r="I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IF(All_Questions_Q14_Expected_2025_Gross_margin_growth_outlook_CT="(None)","",IFERROR(INDEX(INDIRECT(IFERROR(INDEX(Cross_Tab_Questions_Options_Names,MATCH(All_Questions_Q14_Expected_2025_Gross_margin_growth_outlook_CT,Cross_Tab_Questions,0)),"'_Options'!$E$2:$E$2")),4),""))</f>
        <v/>
      </c>
      <c r="J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IF(All_Questions_Q14_Expected_2025_Gross_margin_growth_outlook_CT="(None)","",IFERROR(INDEX(INDIRECT(IFERROR(INDEX(Cross_Tab_Questions_Options_Names,MATCH(All_Questions_Q14_Expected_2025_Gross_margin_growth_outlook_CT,Cross_Tab_Questions,0)),"'_Options'!$E$2:$E$2")),5),""))</f>
        <v/>
      </c>
      <c r="K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IF(All_Questions_Q14_Expected_2025_Gross_margin_growth_outlook_CT="(None)","",IFERROR(INDEX(INDIRECT(IFERROR(INDEX(Cross_Tab_Questions_Options_Names,MATCH(All_Questions_Q14_Expected_2025_Gross_margin_growth_outlook_CT,Cross_Tab_Questions,0)),"'_Options'!$E$2:$E$2")),6),""))</f>
        <v/>
      </c>
      <c r="L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IF(All_Questions_Q14_Expected_2025_Gross_margin_growth_outlook_CT="(None)","",IFERROR(INDEX(INDIRECT(IFERROR(INDEX(Cross_Tab_Questions_Options_Names,MATCH(All_Questions_Q14_Expected_2025_Gross_margin_growth_outlook_CT,Cross_Tab_Questions,0)),"'_Options'!$E$2:$E$2")),7),""))</f>
        <v/>
      </c>
      <c r="M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IF(All_Questions_Q14_Expected_2025_Gross_margin_growth_outlook_CT="(None)","",IFERROR(INDEX(INDIRECT(IFERROR(INDEX(Cross_Tab_Questions_Options_Names,MATCH(All_Questions_Q14_Expected_2025_Gross_margin_growth_outlook_CT,Cross_Tab_Questions,0)),"'_Options'!$E$2:$E$2")),8),""))</f>
        <v/>
      </c>
      <c r="N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IF(All_Questions_Q14_Expected_2025_Gross_margin_growth_outlook_CT="(None)","",IFERROR(INDEX(INDIRECT(IFERROR(INDEX(Cross_Tab_Questions_Options_Names,MATCH(All_Questions_Q14_Expected_2025_Gross_margin_growth_outlook_CT,Cross_Tab_Questions,0)),"'_Options'!$E$2:$E$2")),9),""))</f>
        <v/>
      </c>
      <c r="O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IF(All_Questions_Q14_Expected_2025_Gross_margin_growth_outlook_CT="(None)","",IFERROR(INDEX(INDIRECT(IFERROR(INDEX(Cross_Tab_Questions_Options_Names,MATCH(All_Questions_Q14_Expected_2025_Gross_margin_growth_outlook_CT,Cross_Tab_Questions,0)),"'_Options'!$E$2:$E$2")),10),""))</f>
        <v/>
      </c>
      <c r="P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IF(All_Questions_Q14_Expected_2025_Gross_margin_growth_outlook_CT="(None)","",IFERROR(INDEX(INDIRECT(IFERROR(INDEX(Cross_Tab_Questions_Options_Names,MATCH(All_Questions_Q14_Expected_2025_Gross_margin_growth_outlook_CT,Cross_Tab_Questions,0)),"'_Options'!$E$2:$E$2")),11),""))</f>
        <v/>
      </c>
      <c r="Q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IF(All_Questions_Q14_Expected_2025_Gross_margin_growth_outlook_CT="(None)","",IFERROR(INDEX(INDIRECT(IFERROR(INDEX(Cross_Tab_Questions_Options_Names,MATCH(All_Questions_Q14_Expected_2025_Gross_margin_growth_outlook_CT,Cross_Tab_Questions,0)),"'_Options'!$E$2:$E$2")),12),""))</f>
        <v/>
      </c>
      <c r="R16" s="2" t="str">
        <f>IF(All_Questions_Q14_Expected_2025_Gross_margin_growth_outlook_CT="(None)","",IF(COUNTA(INDIRECT(IFERROR(INDEX(Cross_Tab_Questions_Options_Names,MATCH(All_Questions_Q14_Expected_2025_Gross_margin_growth_outlook_CT,Cross_Tab_Questions,0)),"'_Options'!$E$2:$E$2")))-1&gt;11,"Other",IFERROR(INDEX(INDIRECT(IFERROR(INDEX(Cross_Tab_Questions_Options_Names,MATCH(All_Questions_Q14_Expected_2025_Gross_margin_growth_outlook_CT,Cross_Tab_Questions,0)),"'_Options'!$E$2:$E$2")),13),"")))</f>
        <v/>
      </c>
      <c r="S16" s="4" t="inlineStr">
        <is>
          <t>Total</t>
        </is>
      </c>
    </row>
    <row r="17">
      <c r="A17" t="inlineStr">
        <is>
          <t>Higher</t>
        </is>
      </c>
      <c r="B17">
        <f>COUNTIFS(Q14_Expected_2025_Gross_margin_data,"Higher",passes_workbook_filters_data,1,passes_workbook_custom_filters_data,1,All_Questions_passes_local_filters_data,1,All_Questions_Q14_Expected_2025_Gross_margin_growth_outlook_F_passes_per_q_filter_data,1)</f>
        <v>3</v>
      </c>
      <c r="C17" s="7">
        <f>IFERROR(B17/SUBTOTAL(9,B17:B18),0)</f>
        <v>0.5</v>
      </c>
      <c r="D17" s="14">
        <f>SUBTOTAL(9,B17:B18)</f>
        <v>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Lower</t>
        </is>
      </c>
      <c r="B18">
        <f>COUNTIFS(Q14_Expected_2025_Gross_margin_data,"Lower",passes_workbook_filters_data,1,passes_workbook_custom_filters_data,1,All_Questions_passes_local_filters_data,1,All_Questions_Q14_Expected_2025_Gross_margin_growth_outlook_F_passes_per_q_filter_data,1)</f>
        <v>3</v>
      </c>
      <c r="C18" s="7">
        <f>IFERROR(B18/SUBTOTAL(9,B17:B18),0)</f>
        <v>0.5</v>
      </c>
      <c r="D18" s="14">
        <f>SUBTOTAL(9,B17:B18)</f>
        <v>6</v>
      </c>
      <c r="F18" t="inlineStr">
        <is>
          <t>Higher</t>
        </is>
      </c>
      <c r="G18" s="14">
        <f>IF(OR(All_Questions_Q14_Expected_2025_Gross_margin_growth_outlook_CT="(None)",G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G$16))</f>
        <v>0</v>
      </c>
      <c r="H18" s="14">
        <f>IF(OR(All_Questions_Q14_Expected_2025_Gross_margin_growth_outlook_CT="(None)",H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H$16))</f>
        <v>0</v>
      </c>
      <c r="I18" s="14">
        <f>IF(OR(All_Questions_Q14_Expected_2025_Gross_margin_growth_outlook_CT="(None)",I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I$16))</f>
        <v>0</v>
      </c>
      <c r="J18" s="14">
        <f>IF(OR(All_Questions_Q14_Expected_2025_Gross_margin_growth_outlook_CT="(None)",J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J$16))</f>
        <v>0</v>
      </c>
      <c r="K18" s="14">
        <f>IF(OR(All_Questions_Q14_Expected_2025_Gross_margin_growth_outlook_CT="(None)",K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K$16))</f>
        <v>0</v>
      </c>
      <c r="L18" s="14">
        <f>IF(OR(All_Questions_Q14_Expected_2025_Gross_margin_growth_outlook_CT="(None)",L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L$16))</f>
        <v>0</v>
      </c>
      <c r="M18" s="14">
        <f>IF(OR(All_Questions_Q14_Expected_2025_Gross_margin_growth_outlook_CT="(None)",M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M$16))</f>
        <v>0</v>
      </c>
      <c r="N18" s="14">
        <f>IF(OR(All_Questions_Q14_Expected_2025_Gross_margin_growth_outlook_CT="(None)",N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N$16))</f>
        <v>0</v>
      </c>
      <c r="O18" s="14">
        <f>IF(OR(All_Questions_Q14_Expected_2025_Gross_margin_growth_outlook_CT="(None)",O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O$16))</f>
        <v>0</v>
      </c>
      <c r="P18" s="14">
        <f>IF(OR(All_Questions_Q14_Expected_2025_Gross_margin_growth_outlook_CT="(None)",P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P$16))</f>
        <v>0</v>
      </c>
      <c r="Q18" s="14">
        <f>IF(OR(All_Questions_Q14_Expected_2025_Gross_margin_growth_outlook_CT="(None)",Q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Q$16))</f>
        <v>0</v>
      </c>
      <c r="R18" s="14">
        <f>IF(OR(All_Questions_Q14_Expected_2025_Gross_margin_growth_outlook_CT="(None)",R$16=""),"",IF(R$16="Other",COUNTIFS(Q14_Expected_2025_Gross_margin_data,"Higher",passes_workbook_filters_data,1,passes_workbook_custom_filters_data,1,All_Questions_passes_local_filters_data,1,All_Questions_Q14_Expected_2025_Gross_margin_growth_outlook_F_passes_per_q_filter_data,1)-SUM(G18,H18,I18,J18,K18,L18,M18,N18,O18,P18,Q18)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R$16)))</f>
        <v>0</v>
      </c>
      <c r="S18" s="14">
        <f>IF(All_Questions_Q14_Expected_2025_Gross_margin_growth_outlook_CT="(None)","",COUNTIFS(Q14_Expected_2025_Gross_margin_data,"Higher",passes_workbook_filters_data,1,passes_workbook_custom_filters_data,1,All_Questions_passes_local_filters_data,1,All_Questions_Q14_Expected_2025_Gross_margin_growth_outlook_F_passes_per_q_filter_data,1))</f>
        <v>0</v>
      </c>
    </row>
    <row r="19">
      <c r="A19" s="15" t="inlineStr">
        <is>
          <t>Total respondents</t>
        </is>
      </c>
      <c r="B19" s="15" t="n">
        <v>6</v>
      </c>
      <c r="C19" s="15" t="n"/>
      <c r="D19" s="15" t="n"/>
      <c r="F19" t="inlineStr">
        <is>
          <t>Lower</t>
        </is>
      </c>
      <c r="G19" s="14">
        <f>IF(OR(All_Questions_Q14_Expected_2025_Gross_margin_growth_outlook_CT="(None)",G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G$16))</f>
        <v>0</v>
      </c>
      <c r="H19" s="14">
        <f>IF(OR(All_Questions_Q14_Expected_2025_Gross_margin_growth_outlook_CT="(None)",H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H$16))</f>
        <v>0</v>
      </c>
      <c r="I19" s="14">
        <f>IF(OR(All_Questions_Q14_Expected_2025_Gross_margin_growth_outlook_CT="(None)",I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I$16))</f>
        <v>0</v>
      </c>
      <c r="J19" s="14">
        <f>IF(OR(All_Questions_Q14_Expected_2025_Gross_margin_growth_outlook_CT="(None)",J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J$16))</f>
        <v>0</v>
      </c>
      <c r="K19" s="14">
        <f>IF(OR(All_Questions_Q14_Expected_2025_Gross_margin_growth_outlook_CT="(None)",K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K$16))</f>
        <v>0</v>
      </c>
      <c r="L19" s="14">
        <f>IF(OR(All_Questions_Q14_Expected_2025_Gross_margin_growth_outlook_CT="(None)",L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L$16))</f>
        <v>0</v>
      </c>
      <c r="M19" s="14">
        <f>IF(OR(All_Questions_Q14_Expected_2025_Gross_margin_growth_outlook_CT="(None)",M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M$16))</f>
        <v>0</v>
      </c>
      <c r="N19" s="14">
        <f>IF(OR(All_Questions_Q14_Expected_2025_Gross_margin_growth_outlook_CT="(None)",N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N$16))</f>
        <v>0</v>
      </c>
      <c r="O19" s="14">
        <f>IF(OR(All_Questions_Q14_Expected_2025_Gross_margin_growth_outlook_CT="(None)",O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O$16))</f>
        <v>0</v>
      </c>
      <c r="P19" s="14">
        <f>IF(OR(All_Questions_Q14_Expected_2025_Gross_margin_growth_outlook_CT="(None)",P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P$16))</f>
        <v>0</v>
      </c>
      <c r="Q19" s="14">
        <f>IF(OR(All_Questions_Q14_Expected_2025_Gross_margin_growth_outlook_CT="(None)",Q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Q$16))</f>
        <v>0</v>
      </c>
      <c r="R19" s="14">
        <f>IF(OR(All_Questions_Q14_Expected_2025_Gross_margin_growth_outlook_CT="(None)",R$16=""),"",IF(R$16="Other",COUNTIFS(Q14_Expected_2025_Gross_margin_data,"Lower",passes_workbook_filters_data,1,passes_workbook_custom_filters_data,1,All_Questions_passes_local_filters_data,1,All_Questions_Q14_Expected_2025_Gross_margin_growth_outlook_F_passes_per_q_filter_data,1)-SUM(G19,H19,I19,J19,K19,L19,M19,N19,O19,P19,Q19)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R$16)))</f>
        <v>0</v>
      </c>
      <c r="S19" s="14">
        <f>IF(All_Questions_Q14_Expected_2025_Gross_margin_growth_outlook_CT="(None)","",COUNTIFS(Q14_Expected_2025_Gross_margin_data,"Lower",passes_workbook_filters_data,1,passes_workbook_custom_filters_data,1,All_Questions_passes_local_filters_data,1,All_Questions_Q14_Expected_2025_Gross_margin_growth_outlook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14_Expected_2025_Gross_margin_growth_outlook_CT="(None)","",COUNTIFS(respondent_id_data,"&lt;&gt;",passes_workbook_filters_data,1,passes_workbook_custom_filters_data,1,All_Questions_passes_local_filters_data,1,All_Questions_Q14_Expected_2025_Gross_margin_growth_outlook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Q56 Expected 2025 Gross margin growth outlook question text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56_Expected_2025_Gross_margin_growth_outlook_F_Q&amp;"|"&amp;All_Questions_Q56_Expected_2025_Gross_margin_growth_outlook_F_V,All_Questions_Value_Keys,0)),IFERROR(INDEX(All_Questions_Data_Names,MATCH(All_Questions_Q56_Expected_2025_Gross_margin_growth_outlook_F_Q,All_Questions,0)),"'_RawData'!$A:$A"))</f>
        <v>respondent_id_data</v>
      </c>
      <c r="G24" t="str">
        <f>"|" &amp; SUBSTITUTE(All_Questions_Q56_Expected_2025_Gross_margin_growth_outlook_F_V, ", ", "|") &amp; "|"</f>
        <v>|(All)|</v>
      </c>
      <c r="H24" t="str">
        <f>IFERROR(INDEX(All_Questions_Value_Criteria,MATCH(All_Questions_Q56_Expected_2025_Gross_margin_growth_outlook_F_Q&amp;"|"&amp;All_Questions_Q56_Expected_2025_Gross_margin_growth_outlook_F_V,All_Questions_Value_Keys,0)),All_Questions_Q56_Expected_2025_Gross_margin_growth_outlook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IF(All_Questions_Q56_Expected_2025_Gross_margin_growth_outlook_CT="(None)","",IFERROR(INDEX(INDIRECT(IFERROR(INDEX(Cross_Tab_Questions_Options_Names,MATCH(All_Questions_Q56_Expected_2025_Gross_margin_growth_outlook_CT,Cross_Tab_Questions,0)),"'_Options'!$E$2:$E$2")),2),""))</f>
        <v/>
      </c>
      <c r="H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IF(All_Questions_Q56_Expected_2025_Gross_margin_growth_outlook_CT="(None)","",IFERROR(INDEX(INDIRECT(IFERROR(INDEX(Cross_Tab_Questions_Options_Names,MATCH(All_Questions_Q56_Expected_2025_Gross_margin_growth_outlook_CT,Cross_Tab_Questions,0)),"'_Options'!$E$2:$E$2")),3),""))</f>
        <v/>
      </c>
      <c r="I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IF(All_Questions_Q56_Expected_2025_Gross_margin_growth_outlook_CT="(None)","",IFERROR(INDEX(INDIRECT(IFERROR(INDEX(Cross_Tab_Questions_Options_Names,MATCH(All_Questions_Q56_Expected_2025_Gross_margin_growth_outlook_CT,Cross_Tab_Questions,0)),"'_Options'!$E$2:$E$2")),4),""))</f>
        <v/>
      </c>
      <c r="J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IF(All_Questions_Q56_Expected_2025_Gross_margin_growth_outlook_CT="(None)","",IFERROR(INDEX(INDIRECT(IFERROR(INDEX(Cross_Tab_Questions_Options_Names,MATCH(All_Questions_Q56_Expected_2025_Gross_margin_growth_outlook_CT,Cross_Tab_Questions,0)),"'_Options'!$E$2:$E$2")),5),""))</f>
        <v/>
      </c>
      <c r="K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IF(All_Questions_Q56_Expected_2025_Gross_margin_growth_outlook_CT="(None)","",IFERROR(INDEX(INDIRECT(IFERROR(INDEX(Cross_Tab_Questions_Options_Names,MATCH(All_Questions_Q56_Expected_2025_Gross_margin_growth_outlook_CT,Cross_Tab_Questions,0)),"'_Options'!$E$2:$E$2")),6),""))</f>
        <v/>
      </c>
      <c r="L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IF(All_Questions_Q56_Expected_2025_Gross_margin_growth_outlook_CT="(None)","",IFERROR(INDEX(INDIRECT(IFERROR(INDEX(Cross_Tab_Questions_Options_Names,MATCH(All_Questions_Q56_Expected_2025_Gross_margin_growth_outlook_CT,Cross_Tab_Questions,0)),"'_Options'!$E$2:$E$2")),7),""))</f>
        <v/>
      </c>
      <c r="M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IF(All_Questions_Q56_Expected_2025_Gross_margin_growth_outlook_CT="(None)","",IFERROR(INDEX(INDIRECT(IFERROR(INDEX(Cross_Tab_Questions_Options_Names,MATCH(All_Questions_Q56_Expected_2025_Gross_margin_growth_outlook_CT,Cross_Tab_Questions,0)),"'_Options'!$E$2:$E$2")),8),""))</f>
        <v/>
      </c>
      <c r="N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IF(All_Questions_Q56_Expected_2025_Gross_margin_growth_outlook_CT="(None)","",IFERROR(INDEX(INDIRECT(IFERROR(INDEX(Cross_Tab_Questions_Options_Names,MATCH(All_Questions_Q56_Expected_2025_Gross_margin_growth_outlook_CT,Cross_Tab_Questions,0)),"'_Options'!$E$2:$E$2")),9),""))</f>
        <v/>
      </c>
      <c r="O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IF(All_Questions_Q56_Expected_2025_Gross_margin_growth_outlook_CT="(None)","",IFERROR(INDEX(INDIRECT(IFERROR(INDEX(Cross_Tab_Questions_Options_Names,MATCH(All_Questions_Q56_Expected_2025_Gross_margin_growth_outlook_CT,Cross_Tab_Questions,0)),"'_Options'!$E$2:$E$2")),10),""))</f>
        <v/>
      </c>
      <c r="P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IF(All_Questions_Q56_Expected_2025_Gross_margin_growth_outlook_CT="(None)","",IFERROR(INDEX(INDIRECT(IFERROR(INDEX(Cross_Tab_Questions_Options_Names,MATCH(All_Questions_Q56_Expected_2025_Gross_margin_growth_outlook_CT,Cross_Tab_Questions,0)),"'_Options'!$E$2:$E$2")),11),""))</f>
        <v/>
      </c>
      <c r="Q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IF(All_Questions_Q56_Expected_2025_Gross_margin_growth_outlook_CT="(None)","",IFERROR(INDEX(INDIRECT(IFERROR(INDEX(Cross_Tab_Questions_Options_Names,MATCH(All_Questions_Q56_Expected_2025_Gross_margin_growth_outlook_CT,Cross_Tab_Questions,0)),"'_Options'!$E$2:$E$2")),12),""))</f>
        <v/>
      </c>
      <c r="R27" s="2" t="str">
        <f>IF(All_Questions_Q56_Expected_2025_Gross_margin_growth_outlook_CT="(None)","",IF(COUNTA(INDIRECT(IFERROR(INDEX(Cross_Tab_Questions_Options_Names,MATCH(All_Questions_Q56_Expected_2025_Gross_margin_growth_outlook_CT,Cross_Tab_Questions,0)),"'_Options'!$E$2:$E$2")))-1&gt;11,"Other",IFERROR(INDEX(INDIRECT(IFERROR(INDEX(Cross_Tab_Questions_Options_Names,MATCH(All_Questions_Q56_Expected_2025_Gross_margin_growth_outlook_CT,Cross_Tab_Questions,0)),"'_Options'!$E$2:$E$2")),13),"")))</f>
        <v/>
      </c>
      <c r="S27" s="4" t="inlineStr">
        <is>
          <t>Total</t>
        </is>
      </c>
    </row>
    <row r="28">
      <c r="A28" t="inlineStr">
        <is>
          <t>Higher</t>
        </is>
      </c>
      <c r="B28">
        <f>COUNTIFS(Q56_Expected_2025_Gross_margin_data,"Higher",passes_workbook_filters_data,1,passes_workbook_custom_filters_data,1,All_Questions_passes_local_filters_data,1,All_Questions_Q56_Expected_2025_Gross_margin_growth_outlook_F_passes_per_q_filter_data,1)</f>
        <v>3</v>
      </c>
      <c r="C28" s="7">
        <f>IFERROR(B28/SUBTOTAL(9,B28:B29),0)</f>
        <v>0.5</v>
      </c>
      <c r="D28" s="14">
        <f>SUBTOTAL(9,B28:B29)</f>
        <v>6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Lower</t>
        </is>
      </c>
      <c r="B29">
        <f>COUNTIFS(Q56_Expected_2025_Gross_margin_data,"Lower",passes_workbook_filters_data,1,passes_workbook_custom_filters_data,1,All_Questions_passes_local_filters_data,1,All_Questions_Q56_Expected_2025_Gross_margin_growth_outlook_F_passes_per_q_filter_data,1)</f>
        <v>3</v>
      </c>
      <c r="C29" s="7">
        <f>IFERROR(B29/SUBTOTAL(9,B28:B29),0)</f>
        <v>0.5</v>
      </c>
      <c r="D29" s="14">
        <f>SUBTOTAL(9,B28:B29)</f>
        <v>6</v>
      </c>
      <c r="F29" t="inlineStr">
        <is>
          <t>Higher</t>
        </is>
      </c>
      <c r="G29" s="14">
        <f>IF(OR(All_Questions_Q56_Expected_2025_Gross_margin_growth_outlook_CT="(None)",G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G$27))</f>
        <v>0</v>
      </c>
      <c r="H29" s="14">
        <f>IF(OR(All_Questions_Q56_Expected_2025_Gross_margin_growth_outlook_CT="(None)",H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H$27))</f>
        <v>0</v>
      </c>
      <c r="I29" s="14">
        <f>IF(OR(All_Questions_Q56_Expected_2025_Gross_margin_growth_outlook_CT="(None)",I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I$27))</f>
        <v>0</v>
      </c>
      <c r="J29" s="14">
        <f>IF(OR(All_Questions_Q56_Expected_2025_Gross_margin_growth_outlook_CT="(None)",J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J$27))</f>
        <v>0</v>
      </c>
      <c r="K29" s="14">
        <f>IF(OR(All_Questions_Q56_Expected_2025_Gross_margin_growth_outlook_CT="(None)",K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K$27))</f>
        <v>0</v>
      </c>
      <c r="L29" s="14">
        <f>IF(OR(All_Questions_Q56_Expected_2025_Gross_margin_growth_outlook_CT="(None)",L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L$27))</f>
        <v>0</v>
      </c>
      <c r="M29" s="14">
        <f>IF(OR(All_Questions_Q56_Expected_2025_Gross_margin_growth_outlook_CT="(None)",M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M$27))</f>
        <v>0</v>
      </c>
      <c r="N29" s="14">
        <f>IF(OR(All_Questions_Q56_Expected_2025_Gross_margin_growth_outlook_CT="(None)",N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N$27))</f>
        <v>0</v>
      </c>
      <c r="O29" s="14">
        <f>IF(OR(All_Questions_Q56_Expected_2025_Gross_margin_growth_outlook_CT="(None)",O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O$27))</f>
        <v>0</v>
      </c>
      <c r="P29" s="14">
        <f>IF(OR(All_Questions_Q56_Expected_2025_Gross_margin_growth_outlook_CT="(None)",P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P$27))</f>
        <v>0</v>
      </c>
      <c r="Q29" s="14">
        <f>IF(OR(All_Questions_Q56_Expected_2025_Gross_margin_growth_outlook_CT="(None)",Q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Q$27))</f>
        <v>0</v>
      </c>
      <c r="R29" s="14">
        <f>IF(OR(All_Questions_Q56_Expected_2025_Gross_margin_growth_outlook_CT="(None)",R$27=""),"",IF(R$27="Other",COUNTIFS(Q56_Expected_2025_Gross_margin_data,"Higher",passes_workbook_filters_data,1,passes_workbook_custom_filters_data,1,All_Questions_passes_local_filters_data,1,All_Questions_Q56_Expected_2025_Gross_margin_growth_outlook_F_passes_per_q_filter_data,1)-SUM(G29,H29,I29,J29,K29,L29,M29,N29,O29,P29,Q29)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R$27)))</f>
        <v>0</v>
      </c>
      <c r="S29" s="14">
        <f>IF(All_Questions_Q56_Expected_2025_Gross_margin_growth_outlook_CT="(None)","",COUNTIFS(Q56_Expected_2025_Gross_margin_data,"Higher",passes_workbook_filters_data,1,passes_workbook_custom_filters_data,1,All_Questions_passes_local_filters_data,1,All_Questions_Q56_Expected_2025_Gross_margin_growth_outlook_F_passes_per_q_filter_data,1))</f>
        <v>0</v>
      </c>
    </row>
    <row r="30">
      <c r="A30" s="15" t="inlineStr">
        <is>
          <t>Total respondents</t>
        </is>
      </c>
      <c r="B30" s="15" t="n">
        <v>6</v>
      </c>
      <c r="C30" s="15" t="n"/>
      <c r="D30" s="15" t="n"/>
      <c r="F30" t="inlineStr">
        <is>
          <t>Lower</t>
        </is>
      </c>
      <c r="G30" s="14">
        <f>IF(OR(All_Questions_Q56_Expected_2025_Gross_margin_growth_outlook_CT="(None)",G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G$27))</f>
        <v>0</v>
      </c>
      <c r="H30" s="14">
        <f>IF(OR(All_Questions_Q56_Expected_2025_Gross_margin_growth_outlook_CT="(None)",H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H$27))</f>
        <v>0</v>
      </c>
      <c r="I30" s="14">
        <f>IF(OR(All_Questions_Q56_Expected_2025_Gross_margin_growth_outlook_CT="(None)",I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I$27))</f>
        <v>0</v>
      </c>
      <c r="J30" s="14">
        <f>IF(OR(All_Questions_Q56_Expected_2025_Gross_margin_growth_outlook_CT="(None)",J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J$27))</f>
        <v>0</v>
      </c>
      <c r="K30" s="14">
        <f>IF(OR(All_Questions_Q56_Expected_2025_Gross_margin_growth_outlook_CT="(None)",K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K$27))</f>
        <v>0</v>
      </c>
      <c r="L30" s="14">
        <f>IF(OR(All_Questions_Q56_Expected_2025_Gross_margin_growth_outlook_CT="(None)",L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L$27))</f>
        <v>0</v>
      </c>
      <c r="M30" s="14">
        <f>IF(OR(All_Questions_Q56_Expected_2025_Gross_margin_growth_outlook_CT="(None)",M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M$27))</f>
        <v>0</v>
      </c>
      <c r="N30" s="14">
        <f>IF(OR(All_Questions_Q56_Expected_2025_Gross_margin_growth_outlook_CT="(None)",N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N$27))</f>
        <v>0</v>
      </c>
      <c r="O30" s="14">
        <f>IF(OR(All_Questions_Q56_Expected_2025_Gross_margin_growth_outlook_CT="(None)",O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O$27))</f>
        <v>0</v>
      </c>
      <c r="P30" s="14">
        <f>IF(OR(All_Questions_Q56_Expected_2025_Gross_margin_growth_outlook_CT="(None)",P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P$27))</f>
        <v>0</v>
      </c>
      <c r="Q30" s="14">
        <f>IF(OR(All_Questions_Q56_Expected_2025_Gross_margin_growth_outlook_CT="(None)",Q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Q$27))</f>
        <v>0</v>
      </c>
      <c r="R30" s="14">
        <f>IF(OR(All_Questions_Q56_Expected_2025_Gross_margin_growth_outlook_CT="(None)",R$27=""),"",IF(R$27="Other",COUNTIFS(Q56_Expected_2025_Gross_margin_data,"Lower",passes_workbook_filters_data,1,passes_workbook_custom_filters_data,1,All_Questions_passes_local_filters_data,1,All_Questions_Q56_Expected_2025_Gross_margin_growth_outlook_F_passes_per_q_filter_data,1)-SUM(G30,H30,I30,J30,K30,L30,M30,N30,O30,P30,Q30)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R$27)))</f>
        <v>0</v>
      </c>
      <c r="S30" s="14">
        <f>IF(All_Questions_Q56_Expected_2025_Gross_margin_growth_outlook_CT="(None)","",COUNTIFS(Q56_Expected_2025_Gross_margin_data,"Lower",passes_workbook_filters_data,1,passes_workbook_custom_filters_data,1,All_Questions_passes_local_filters_data,1,All_Questions_Q56_Expected_2025_Gross_margin_growth_outlook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56_Expected_2025_Gross_margin_growth_outlook_CT="(None)","",COUNTIFS(respondent_id_data,"&lt;&gt;",passes_workbook_filters_data,1,passes_workbook_custom_filters_data,1,All_Questions_passes_local_filters_data,1,All_Questions_Q56_Expected_2025_Gross_margin_growth_outlook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Q102 Expected 2025 EBITDA margin growth outlook question text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102_Expected_2025_EBITDA_margin_growth_outlook_F_Q&amp;"|"&amp;All_Questions_Q102_Expected_2025_EBITDA_margin_growth_outlook_F_V,All_Questions_Value_Keys,0)),IFERROR(INDEX(All_Questions_Data_Names,MATCH(All_Questions_Q102_Expected_2025_EBITDA_margin_growth_outlook_F_Q,All_Questions,0)),"'_RawData'!$A:$A"))</f>
        <v>respondent_id_data</v>
      </c>
      <c r="G35" t="str">
        <f>"|" &amp; SUBSTITUTE(All_Questions_Q102_Expected_2025_EBITDA_margin_growth_outlook_F_V, ", ", "|") &amp; "|"</f>
        <v>|(All)|</v>
      </c>
      <c r="H35" t="str">
        <f>IFERROR(INDEX(All_Questions_Value_Criteria,MATCH(All_Questions_Q102_Expected_2025_EBITDA_margin_growth_outlook_F_Q&amp;"|"&amp;All_Questions_Q102_Expected_2025_EBITDA_margin_growth_outlook_F_V,All_Questions_Value_Keys,0)),All_Questions_Q102_Expected_2025_EBITDA_margin_growth_outlook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IF(All_Questions_Q102_Expected_2025_EBITDA_margin_growth_outlook_CT="(None)","",IFERROR(INDEX(INDIRECT(IFERROR(INDEX(Cross_Tab_Questions_Options_Names,MATCH(All_Questions_Q102_Expected_2025_EBITDA_margin_growth_outlook_CT,Cross_Tab_Questions,0)),"'_Options'!$E$2:$E$2")),2),""))</f>
        <v/>
      </c>
      <c r="H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IF(All_Questions_Q102_Expected_2025_EBITDA_margin_growth_outlook_CT="(None)","",IFERROR(INDEX(INDIRECT(IFERROR(INDEX(Cross_Tab_Questions_Options_Names,MATCH(All_Questions_Q102_Expected_2025_EBITDA_margin_growth_outlook_CT,Cross_Tab_Questions,0)),"'_Options'!$E$2:$E$2")),3),""))</f>
        <v/>
      </c>
      <c r="I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IF(All_Questions_Q102_Expected_2025_EBITDA_margin_growth_outlook_CT="(None)","",IFERROR(INDEX(INDIRECT(IFERROR(INDEX(Cross_Tab_Questions_Options_Names,MATCH(All_Questions_Q102_Expected_2025_EBITDA_margin_growth_outlook_CT,Cross_Tab_Questions,0)),"'_Options'!$E$2:$E$2")),4),""))</f>
        <v/>
      </c>
      <c r="J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IF(All_Questions_Q102_Expected_2025_EBITDA_margin_growth_outlook_CT="(None)","",IFERROR(INDEX(INDIRECT(IFERROR(INDEX(Cross_Tab_Questions_Options_Names,MATCH(All_Questions_Q102_Expected_2025_EBITDA_margin_growth_outlook_CT,Cross_Tab_Questions,0)),"'_Options'!$E$2:$E$2")),5),""))</f>
        <v/>
      </c>
      <c r="K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IF(All_Questions_Q102_Expected_2025_EBITDA_margin_growth_outlook_CT="(None)","",IFERROR(INDEX(INDIRECT(IFERROR(INDEX(Cross_Tab_Questions_Options_Names,MATCH(All_Questions_Q102_Expected_2025_EBITDA_margin_growth_outlook_CT,Cross_Tab_Questions,0)),"'_Options'!$E$2:$E$2")),6),""))</f>
        <v/>
      </c>
      <c r="L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IF(All_Questions_Q102_Expected_2025_EBITDA_margin_growth_outlook_CT="(None)","",IFERROR(INDEX(INDIRECT(IFERROR(INDEX(Cross_Tab_Questions_Options_Names,MATCH(All_Questions_Q102_Expected_2025_EBITDA_margin_growth_outlook_CT,Cross_Tab_Questions,0)),"'_Options'!$E$2:$E$2")),7),""))</f>
        <v/>
      </c>
      <c r="M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IF(All_Questions_Q102_Expected_2025_EBITDA_margin_growth_outlook_CT="(None)","",IFERROR(INDEX(INDIRECT(IFERROR(INDEX(Cross_Tab_Questions_Options_Names,MATCH(All_Questions_Q102_Expected_2025_EBITDA_margin_growth_outlook_CT,Cross_Tab_Questions,0)),"'_Options'!$E$2:$E$2")),8),""))</f>
        <v/>
      </c>
      <c r="N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IF(All_Questions_Q102_Expected_2025_EBITDA_margin_growth_outlook_CT="(None)","",IFERROR(INDEX(INDIRECT(IFERROR(INDEX(Cross_Tab_Questions_Options_Names,MATCH(All_Questions_Q102_Expected_2025_EBITDA_margin_growth_outlook_CT,Cross_Tab_Questions,0)),"'_Options'!$E$2:$E$2")),9),""))</f>
        <v/>
      </c>
      <c r="O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IF(All_Questions_Q102_Expected_2025_EBITDA_margin_growth_outlook_CT="(None)","",IFERROR(INDEX(INDIRECT(IFERROR(INDEX(Cross_Tab_Questions_Options_Names,MATCH(All_Questions_Q102_Expected_2025_EBITDA_margin_growth_outlook_CT,Cross_Tab_Questions,0)),"'_Options'!$E$2:$E$2")),10),""))</f>
        <v/>
      </c>
      <c r="P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IF(All_Questions_Q102_Expected_2025_EBITDA_margin_growth_outlook_CT="(None)","",IFERROR(INDEX(INDIRECT(IFERROR(INDEX(Cross_Tab_Questions_Options_Names,MATCH(All_Questions_Q102_Expected_2025_EBITDA_margin_growth_outlook_CT,Cross_Tab_Questions,0)),"'_Options'!$E$2:$E$2")),11),""))</f>
        <v/>
      </c>
      <c r="Q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IF(All_Questions_Q102_Expected_2025_EBITDA_margin_growth_outlook_CT="(None)","",IFERROR(INDEX(INDIRECT(IFERROR(INDEX(Cross_Tab_Questions_Options_Names,MATCH(All_Questions_Q102_Expected_2025_EBITDA_margin_growth_outlook_CT,Cross_Tab_Questions,0)),"'_Options'!$E$2:$E$2")),12),""))</f>
        <v/>
      </c>
      <c r="R38" s="2" t="str">
        <f>IF(All_Questions_Q102_Expected_2025_EBITDA_margin_growth_outlook_CT="(None)","",IF(COUNTA(INDIRECT(IFERROR(INDEX(Cross_Tab_Questions_Options_Names,MATCH(All_Questions_Q102_Expected_2025_EBITDA_margin_growth_outlook_CT,Cross_Tab_Questions,0)),"'_Options'!$E$2:$E$2")))-1&gt;11,"Other",IFERROR(INDEX(INDIRECT(IFERROR(INDEX(Cross_Tab_Questions_Options_Names,MATCH(All_Questions_Q102_Expected_2025_EBITDA_margin_growth_outlook_CT,Cross_Tab_Questions,0)),"'_Options'!$E$2:$E$2")),13),"")))</f>
        <v/>
      </c>
      <c r="S38" s="4" t="inlineStr">
        <is>
          <t>Total</t>
        </is>
      </c>
    </row>
    <row r="39">
      <c r="A39" t="inlineStr">
        <is>
          <t>Higher</t>
        </is>
      </c>
      <c r="B39">
        <f>COUNTIFS(Q102_Expected_2025_EBITDA_margi_data,"Higher",passes_workbook_filters_data,1,passes_workbook_custom_filters_data,1,All_Questions_passes_local_filters_data,1,All_Questions_Q102_Expected_2025_EBITDA_margin_growth_outlook_F_passes_per_q_filter_data,1)</f>
        <v>3</v>
      </c>
      <c r="C39" s="7">
        <f>IFERROR(B39/SUBTOTAL(9,B39:B40),0)</f>
        <v>0.5</v>
      </c>
      <c r="D39" s="14">
        <f>SUBTOTAL(9,B39:B40)</f>
        <v>6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Lower</t>
        </is>
      </c>
      <c r="B40">
        <f>COUNTIFS(Q102_Expected_2025_EBITDA_margi_data,"Lower",passes_workbook_filters_data,1,passes_workbook_custom_filters_data,1,All_Questions_passes_local_filters_data,1,All_Questions_Q102_Expected_2025_EBITDA_margin_growth_outlook_F_passes_per_q_filter_data,1)</f>
        <v>3</v>
      </c>
      <c r="C40" s="7">
        <f>IFERROR(B40/SUBTOTAL(9,B39:B40),0)</f>
        <v>0.5</v>
      </c>
      <c r="D40" s="14">
        <f>SUBTOTAL(9,B39:B40)</f>
        <v>6</v>
      </c>
      <c r="F40" t="inlineStr">
        <is>
          <t>Higher</t>
        </is>
      </c>
      <c r="G40" s="14">
        <f>IF(OR(All_Questions_Q102_Expected_2025_EBITDA_margin_growth_outlook_CT="(None)",G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G$38))</f>
        <v>0</v>
      </c>
      <c r="H40" s="14">
        <f>IF(OR(All_Questions_Q102_Expected_2025_EBITDA_margin_growth_outlook_CT="(None)",H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H$38))</f>
        <v>0</v>
      </c>
      <c r="I40" s="14">
        <f>IF(OR(All_Questions_Q102_Expected_2025_EBITDA_margin_growth_outlook_CT="(None)",I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I$38))</f>
        <v>0</v>
      </c>
      <c r="J40" s="14">
        <f>IF(OR(All_Questions_Q102_Expected_2025_EBITDA_margin_growth_outlook_CT="(None)",J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J$38))</f>
        <v>0</v>
      </c>
      <c r="K40" s="14">
        <f>IF(OR(All_Questions_Q102_Expected_2025_EBITDA_margin_growth_outlook_CT="(None)",K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K$38))</f>
        <v>0</v>
      </c>
      <c r="L40" s="14">
        <f>IF(OR(All_Questions_Q102_Expected_2025_EBITDA_margin_growth_outlook_CT="(None)",L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L$38))</f>
        <v>0</v>
      </c>
      <c r="M40" s="14">
        <f>IF(OR(All_Questions_Q102_Expected_2025_EBITDA_margin_growth_outlook_CT="(None)",M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M$38))</f>
        <v>0</v>
      </c>
      <c r="N40" s="14">
        <f>IF(OR(All_Questions_Q102_Expected_2025_EBITDA_margin_growth_outlook_CT="(None)",N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N$38))</f>
        <v>0</v>
      </c>
      <c r="O40" s="14">
        <f>IF(OR(All_Questions_Q102_Expected_2025_EBITDA_margin_growth_outlook_CT="(None)",O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O$38))</f>
        <v>0</v>
      </c>
      <c r="P40" s="14">
        <f>IF(OR(All_Questions_Q102_Expected_2025_EBITDA_margin_growth_outlook_CT="(None)",P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P$38))</f>
        <v>0</v>
      </c>
      <c r="Q40" s="14">
        <f>IF(OR(All_Questions_Q102_Expected_2025_EBITDA_margin_growth_outlook_CT="(None)",Q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Q$38))</f>
        <v>0</v>
      </c>
      <c r="R40" s="14">
        <f>IF(OR(All_Questions_Q102_Expected_2025_EBITDA_margin_growth_outlook_CT="(None)",R$38=""),"",IF(R$38="Other",COUNTIFS(Q102_Expected_2025_EBITDA_margi_data,"Higher",passes_workbook_filters_data,1,passes_workbook_custom_filters_data,1,All_Questions_passes_local_filters_data,1,All_Questions_Q102_Expected_2025_EBITDA_margin_growth_outlook_F_passes_per_q_filter_data,1)-SUM(G40,H40,I40,J40,K40,L40,M40,N40,O40,P40,Q40)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R$38)))</f>
        <v>0</v>
      </c>
      <c r="S40" s="14">
        <f>IF(All_Questions_Q102_Expected_2025_EBITDA_margin_growth_outlook_CT="(None)","",COUNTIFS(Q102_Expected_2025_EBITDA_margi_data,"Higher",passes_workbook_filters_data,1,passes_workbook_custom_filters_data,1,All_Questions_passes_local_filters_data,1,All_Questions_Q102_Expected_2025_EBITDA_margin_growth_outlook_F_passes_per_q_filter_data,1))</f>
        <v>0</v>
      </c>
    </row>
    <row r="41">
      <c r="A41" s="15" t="inlineStr">
        <is>
          <t>Total respondents</t>
        </is>
      </c>
      <c r="B41" s="15" t="n">
        <v>6</v>
      </c>
      <c r="C41" s="15" t="n"/>
      <c r="D41" s="15" t="n"/>
      <c r="F41" t="inlineStr">
        <is>
          <t>Lower</t>
        </is>
      </c>
      <c r="G41" s="14">
        <f>IF(OR(All_Questions_Q102_Expected_2025_EBITDA_margin_growth_outlook_CT="(None)",G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G$38))</f>
        <v>0</v>
      </c>
      <c r="H41" s="14">
        <f>IF(OR(All_Questions_Q102_Expected_2025_EBITDA_margin_growth_outlook_CT="(None)",H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H$38))</f>
        <v>0</v>
      </c>
      <c r="I41" s="14">
        <f>IF(OR(All_Questions_Q102_Expected_2025_EBITDA_margin_growth_outlook_CT="(None)",I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I$38))</f>
        <v>0</v>
      </c>
      <c r="J41" s="14">
        <f>IF(OR(All_Questions_Q102_Expected_2025_EBITDA_margin_growth_outlook_CT="(None)",J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J$38))</f>
        <v>0</v>
      </c>
      <c r="K41" s="14">
        <f>IF(OR(All_Questions_Q102_Expected_2025_EBITDA_margin_growth_outlook_CT="(None)",K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K$38))</f>
        <v>0</v>
      </c>
      <c r="L41" s="14">
        <f>IF(OR(All_Questions_Q102_Expected_2025_EBITDA_margin_growth_outlook_CT="(None)",L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L$38))</f>
        <v>0</v>
      </c>
      <c r="M41" s="14">
        <f>IF(OR(All_Questions_Q102_Expected_2025_EBITDA_margin_growth_outlook_CT="(None)",M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M$38))</f>
        <v>0</v>
      </c>
      <c r="N41" s="14">
        <f>IF(OR(All_Questions_Q102_Expected_2025_EBITDA_margin_growth_outlook_CT="(None)",N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N$38))</f>
        <v>0</v>
      </c>
      <c r="O41" s="14">
        <f>IF(OR(All_Questions_Q102_Expected_2025_EBITDA_margin_growth_outlook_CT="(None)",O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O$38))</f>
        <v>0</v>
      </c>
      <c r="P41" s="14">
        <f>IF(OR(All_Questions_Q102_Expected_2025_EBITDA_margin_growth_outlook_CT="(None)",P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P$38))</f>
        <v>0</v>
      </c>
      <c r="Q41" s="14">
        <f>IF(OR(All_Questions_Q102_Expected_2025_EBITDA_margin_growth_outlook_CT="(None)",Q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Q$38))</f>
        <v>0</v>
      </c>
      <c r="R41" s="14">
        <f>IF(OR(All_Questions_Q102_Expected_2025_EBITDA_margin_growth_outlook_CT="(None)",R$38=""),"",IF(R$38="Other",COUNTIFS(Q102_Expected_2025_EBITDA_margi_data,"Lower",passes_workbook_filters_data,1,passes_workbook_custom_filters_data,1,All_Questions_passes_local_filters_data,1,All_Questions_Q102_Expected_2025_EBITDA_margin_growth_outlook_F_passes_per_q_filter_data,1)-SUM(G41,H41,I41,J41,K41,L41,M41,N41,O41,P41,Q41)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R$38)))</f>
        <v>0</v>
      </c>
      <c r="S41" s="14">
        <f>IF(All_Questions_Q102_Expected_2025_EBITDA_margin_growth_outlook_CT="(None)","",COUNTIFS(Q102_Expected_2025_EBITDA_margi_data,"Lower",passes_workbook_filters_data,1,passes_workbook_custom_filters_data,1,All_Questions_passes_local_filters_data,1,All_Questions_Q102_Expected_2025_EBITDA_margin_growth_outlook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102_Expected_2025_EBITDA_margin_growth_outlook_CT="(None)","",COUNTIFS(respondent_id_data,"&lt;&gt;",passes_workbook_filters_data,1,passes_workbook_custom_filters_data,1,All_Questions_passes_local_filters_data,1,All_Questions_Q102_Expected_2025_EBITDA_margin_growth_outlook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=INDIRECT(IFERROR(INDEX(All_Questions_Options_Names,MATCH(All_Questions_Q14_Expected_2025_Gross_margin_growth_outlook_F_Q,All_Questions,0)),"'_Options'!$E$2:$E$2"))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=INDIRECT(IFERROR(INDEX(All_Questions_Options_Names,MATCH(All_Questions_Q56_Expected_2025_Gross_margin_growth_outlook_F_Q,All_Questions,0)),"'_Options'!$E$2:$E$2"))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=INDIRECT(IFERROR(INDEX(All_Questions_Options_Names,MATCH(All_Questions_Q102_Expected_2025_EBITDA_margin_growth_outlook_F_Q,All_Questions,0)),"'_Options'!$E$2:$E$2"))</formula1>
    </dataValidation>
    <dataValidation sqref="C36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49" customWidth="1" min="3" max="3"/>
    <col width="49" customWidth="1" min="4" max="4"/>
    <col width="8" customWidth="1" min="5" max="5"/>
    <col width="11" customWidth="1" min="6" max="6"/>
    <col width="13" customWidth="1" min="7" max="7"/>
    <col width="24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SC_Q14 Expected 2025 Gross margin growth outlook</t>
        </is>
      </c>
      <c r="B2" t="inlineStr">
        <is>
          <t>rate_per_value</t>
        </is>
      </c>
      <c r="C2" t="inlineStr">
        <is>
          <t>Q14 Expected 2025 Gross margin growth outlook</t>
        </is>
      </c>
      <c r="D2" t="inlineStr">
        <is>
          <t>Q14 Expected 2025 Gross margin growth outlook</t>
        </is>
      </c>
      <c r="E2" t="inlineStr"/>
      <c r="G2" t="n">
        <v>6</v>
      </c>
      <c r="H2" t="inlineStr">
        <is>
          <t>rate_per_value formula</t>
        </is>
      </c>
      <c r="I2" t="n">
        <v>0.5</v>
      </c>
      <c r="J2" t="n">
        <v>6</v>
      </c>
      <c r="K2" t="n">
        <v>0</v>
      </c>
      <c r="L2" t="inlineStr">
        <is>
          <t>2026-05-04T12:00:00+00:00</t>
        </is>
      </c>
    </row>
    <row r="3">
      <c r="A3" t="inlineStr">
        <is>
          <t>SC_Q56 Expected 2025 Gross margin growth outlook</t>
        </is>
      </c>
      <c r="B3" t="inlineStr">
        <is>
          <t>rate_per_value</t>
        </is>
      </c>
      <c r="C3" t="inlineStr">
        <is>
          <t>Q56 Expected 2025 Gross margin growth outlook</t>
        </is>
      </c>
      <c r="D3" t="inlineStr">
        <is>
          <t>Q56 Expected 2025 Gross margin growth outlook</t>
        </is>
      </c>
      <c r="E3" t="inlineStr"/>
      <c r="G3" t="n">
        <v>6</v>
      </c>
      <c r="H3" t="inlineStr">
        <is>
          <t>rate_per_value formula</t>
        </is>
      </c>
      <c r="I3" t="n">
        <v>0.5</v>
      </c>
      <c r="J3" t="n">
        <v>6</v>
      </c>
      <c r="K3" t="n">
        <v>0</v>
      </c>
      <c r="L3" t="inlineStr">
        <is>
          <t>2026-05-04T12:00:00+00:00</t>
        </is>
      </c>
    </row>
    <row r="4">
      <c r="A4" t="inlineStr">
        <is>
          <t>SC_Q102 Expected 2025 EBITDA margin growth outlook</t>
        </is>
      </c>
      <c r="B4" t="inlineStr">
        <is>
          <t>rate_per_value</t>
        </is>
      </c>
      <c r="C4" t="inlineStr">
        <is>
          <t>Q102 Expected 2025 EBITDA margin growth outlook</t>
        </is>
      </c>
      <c r="D4" t="inlineStr">
        <is>
          <t>Q102 Expected 2025 EBITDA margin growth outlook</t>
        </is>
      </c>
      <c r="E4" t="inlineStr"/>
      <c r="G4" t="n">
        <v>6</v>
      </c>
      <c r="H4" t="inlineStr">
        <is>
          <t>rate_per_value formula</t>
        </is>
      </c>
      <c r="I4" t="n">
        <v>0.5</v>
      </c>
      <c r="J4" t="n">
        <v>6</v>
      </c>
      <c r="K4" t="n">
        <v>0</v>
      </c>
      <c r="L4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2026-06-08T13:43:02Z</dcterms:created>
  <dcterms:modified xmlns:dcterms="http://purl.org/dc/terms/" xmlns:xsi="http://www.w3.org/2001/XMLSchema-instance" xsi:type="dcterms:W3CDTF">2026-06-08T13:43:02Z</dcterms:modified>
</cp:coreProperties>
</file>