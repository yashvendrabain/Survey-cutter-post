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F_passes_per_q_filter_data">'_RawData'!$S$2:$S$11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'_RawData'!$Y$2:$Y$11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M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2:$H2,1,MATCH(Demographics_Q_MS_EXPORT_F_Q,$A$1:$H$1,0)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M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3:$H3,1,MATCH(Demographics_Q_MS_EXPORT_F_Q,$A$1:$H$1,0)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M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4:$H4,1,MATCH(Demographics_Q_MS_EXPORT_F_Q,$A$1:$H$1,0)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M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5:$H5,1,MATCH(Demographics_Q_MS_EXPORT_F_Q,$A$1:$H$1,0)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M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6:$H6,1,MATCH(Demographics_Q_MS_EXPORT_F_Q,$A$1:$H$1,0)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M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7:$H7,1,MATCH(Demographics_Q_MS_EXPORT_F_Q,$A$1:$H$1,0)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M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8:$H8,1,MATCH(Demographics_Q_MS_EXPORT_F_Q,$A$1:$H$1,0)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M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9:$H9,1,MATCH(Demographics_Q_MS_EXPORT_F_Q,$A$1:$H$1,0)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M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10:$H10,1,MATCH(Demographics_Q_MS_EXPORT_F_Q,$A$1:$H$1,0)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M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$A11:$H11,1,MATCH(Demographics_Q_MS_EXPORT_F_Q,$A$1:$H$1,0)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IF(F_Custom1_Q="(None)","respondent_id_data",F_Custom1_Q &amp; "_data")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IF(F_Custom2_Q="(None)","respondent_id_data",F_Custom2_Q &amp; "_data")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IF(Demographics_F_Custom1_Q_resolved="(None)","respondent_id_data",Demographics_F_Custom1_Q_resolved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IF(Demographics_F_Custom2_Q_resolved="(None)","respondent_id_data",Demographics_F_Custom2_Q_resolved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IF(Demographics_Q_SS_EXPORT_F_Q="(None)","respondent_id_data",Demographics_Q_SS_EXPORT_F_Q &amp; "_data")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IFERROR(INDEX(INDIRECT(Demographics_Q_SS_EXPORT_CT &amp; "_options"),2),"")</f>
        <v/>
      </c>
      <c r="H18" t="str">
        <f>IFERROR(INDEX(INDIRECT(Demographics_Q_SS_EXPORT_CT &amp; "_options"),3),"")</f>
        <v/>
      </c>
      <c r="I18" t="str">
        <f>IFERROR(INDEX(INDIRECT(Demographics_Q_SS_EXPORT_CT &amp; "_options"),4),"")</f>
        <v/>
      </c>
      <c r="J18" t="str">
        <f>IFERROR(INDEX(INDIRECT(Demographics_Q_SS_EXPORT_CT &amp; "_options"),5),"")</f>
        <v/>
      </c>
      <c r="K18" t="str">
        <f>IFERROR(INDEX(INDIRECT(Demographics_Q_SS_EXPORT_CT &amp; "_options"),6),"")</f>
        <v/>
      </c>
      <c r="L18" t="str">
        <f>IFERROR(INDEX(INDIRECT(Demographics_Q_SS_EXPORT_CT &amp; "_options"),7),"")</f>
        <v/>
      </c>
      <c r="M18" t="str">
        <f>IFERROR(INDEX(INDIRECT(Demographics_Q_SS_EXPORT_CT &amp; "_options"),8),"")</f>
        <v/>
      </c>
      <c r="N18" t="str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"_data"),N$18)</f>
        <v>0</v>
      </c>
      <c r="O20">
        <f>SUM(G20:N20)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IF(Demographics_Q_MS_EXPORT_F_Q="(None)","respondent_id_data",Demographics_Q_MS_EXPORT_F_Q &amp; "_data")</f>
        <v>respondent_id_data</v>
      </c>
      <c r="G24" t="str">
        <f>"|" &amp; SUBSTITUTE(Demographics_Q_MS_EXPORT_F_V,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IFERROR(INDEX(INDIRECT(Demographics_Q_MS_EXPORT_CT &amp; "_options"),2),"")</f>
        <v/>
      </c>
      <c r="H27" t="str">
        <f>IFERROR(INDEX(INDIRECT(Demographics_Q_MS_EXPORT_CT &amp; "_options"),3),"")</f>
        <v/>
      </c>
      <c r="I27" t="str">
        <f>IFERROR(INDEX(INDIRECT(Demographics_Q_MS_EXPORT_CT &amp; "_options"),4),"")</f>
        <v/>
      </c>
      <c r="J27" t="str">
        <f>IFERROR(INDEX(INDIRECT(Demographics_Q_MS_EXPORT_CT &amp; "_options"),5),"")</f>
        <v/>
      </c>
      <c r="K27" t="str">
        <f>IFERROR(INDEX(INDIRECT(Demographics_Q_MS_EXPORT_CT &amp; "_options"),6),"")</f>
        <v/>
      </c>
      <c r="L27" t="str">
        <f>IFERROR(INDEX(INDIRECT(Demographics_Q_MS_EXPORT_CT &amp; "_options"),7),"")</f>
        <v/>
      </c>
      <c r="M27" t="str">
        <f>IFERROR(INDEX(INDIRECT(Demographics_Q_MS_EXPORT_CT &amp; "_options"),8),"")</f>
        <v/>
      </c>
      <c r="N27" t="str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COUNTIFS(Q_MS_EXPORTr1_data,"Selected",passes_workbook_filters_data,1,passes_workbook_custom_filters_data,1,Demographics_passes_local_filters_data,1,Demographics_Q_MS_EXPORT_F_passes_per_q_filter_data,1)</f>
        <v>5</v>
      </c>
      <c r="C28" s="7">
        <f>IFERROR(B28/SUBTOTAL(9,B28:B29),0)</f>
        <v>0.7142857142857143</v>
      </c>
      <c r="D28" s="14">
        <f>SUBTOTAL(9,B28:B29)</f>
        <v>7</v>
      </c>
      <c r="F28" t="inlineStr">
        <is>
          <t>First</t>
        </is>
      </c>
      <c r="G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8">
        <f>(Demographics_Q_MS_EXPORT_CT&lt;&gt;"(None)")*COUNTIFS(Q_MS_EXPORTr1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COUNTIFS(Q_MS_EXPORTr2_data,"Selected",passes_workbook_filters_data,1,passes_workbook_custom_filters_data,1,Demographics_passes_local_filters_data,1,Demographics_Q_MS_EXPORT_F_passes_per_q_filter_data,1)</f>
        <v>2</v>
      </c>
      <c r="C29" s="7">
        <f>IFERROR(B29/SUBTOTAL(9,B28:B29),0)</f>
        <v>0.2857142857142857</v>
      </c>
      <c r="D29" s="14">
        <f>SUBTOTAL(9,B28:B29)</f>
        <v>7</v>
      </c>
      <c r="F29" t="inlineStr">
        <is>
          <t>Second</t>
        </is>
      </c>
      <c r="G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"_data"),G$27)</f>
        <v>0</v>
      </c>
      <c r="H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"_data"),H$27)</f>
        <v>0</v>
      </c>
      <c r="I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"_data"),I$27)</f>
        <v>0</v>
      </c>
      <c r="J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"_data"),J$27)</f>
        <v>0</v>
      </c>
      <c r="K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"_data"),K$27)</f>
        <v>0</v>
      </c>
      <c r="L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"_data"),L$27)</f>
        <v>0</v>
      </c>
      <c r="M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"_data"),M$27)</f>
        <v>0</v>
      </c>
      <c r="N29">
        <f>(Demographics_Q_MS_EXPORT_CT&lt;&gt;"(None)")*COUNTIFS(Q_MS_EXPORTr2_data,"Selected",passes_workbook_filters_data,1,passes_workbook_custom_filters_data,1,Demographics_passes_local_filters_data,1,Demographics_Q_MS_EXPORT_F_passes_per_q_filter_data,1,INDIRECT(Demographics_Q_MS_EXPORT_CT &amp; "_data"),N$27)</f>
        <v>0</v>
      </c>
      <c r="O29">
        <f>SUM(G29:N29)</f>
        <v>0</v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IF(All_Questions_F_Custom1_Q_resolved="(None)","respondent_id_data",All_Questions_F_Custom1_Q_resolved &amp; "_data")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IF(All_Questions_F_Custom2_Q_resolved="(None)","respondent_id_data",All_Questions_F_Custom2_Q_resolved &amp; "_data")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IF(All_Questions_Q_NUM_EXPORT_F_Q="(None)","respondent_id_data",All_Questions_Q_NUM_EXPORT_F_Q &amp; "_data")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IF(All_Questions_Q_GRID_EXPORT_F_Q="(None)","respondent_id_data",All_Questions_Q_GRID_EXPORT_F_Q &amp; "_data")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IFERROR(INDEX(INDIRECT(All_Questions_Q_GRID_EXPORT_CT &amp; "_options"),2),"")</f>
        <v/>
      </c>
      <c r="H30" t="str">
        <f>IFERROR(INDEX(INDIRECT(All_Questions_Q_GRID_EXPORT_CT &amp; "_options"),3),"")</f>
        <v/>
      </c>
      <c r="I30" t="str">
        <f>IFERROR(INDEX(INDIRECT(All_Questions_Q_GRID_EXPORT_CT &amp; "_options"),4),"")</f>
        <v/>
      </c>
      <c r="J30" t="str">
        <f>IFERROR(INDEX(INDIRECT(All_Questions_Q_GRID_EXPORT_CT &amp; "_options"),5),"")</f>
        <v/>
      </c>
      <c r="K30" t="str">
        <f>IFERROR(INDEX(INDIRECT(All_Questions_Q_GRID_EXPORT_CT &amp; "_options"),6),"")</f>
        <v/>
      </c>
      <c r="L30" t="str">
        <f>IFERROR(INDEX(INDIRECT(All_Questions_Q_GRID_EXPORT_CT &amp; "_options"),7),"")</f>
        <v/>
      </c>
      <c r="M30" t="str">
        <f>IFERROR(INDEX(INDIRECT(All_Questions_Q_GRID_EXPORT_CT &amp; "_options"),8),"")</f>
        <v/>
      </c>
      <c r="N30" t="str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"_data"),N$30)</f>
        <v>0</v>
      </c>
      <c r="O32">
        <f>SUM(G32:N32)</f>
        <v>0</v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IF(All_Questions_Q_VERY_LONG_SINGLE_SELECT_EXPORT_NAME_F_Q="(None)","respondent_id_data",All_Questions_Q_VERY_LONG_SINGLE_SELECT_EXPORT_NAME_F_Q &amp; "_data")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IFERROR(INDEX(INDIRECT(All_Questions_Q_VERY_LONG_SINGLE_SELECT_EXPORT_NAME_CT &amp; "_options"),2),"")</f>
        <v/>
      </c>
      <c r="H39" t="str">
        <f>IFERROR(INDEX(INDIRECT(All_Questions_Q_VERY_LONG_SINGLE_SELECT_EXPORT_NAME_CT &amp; "_options"),3),"")</f>
        <v/>
      </c>
      <c r="I39" t="str">
        <f>IFERROR(INDEX(INDIRECT(All_Questions_Q_VERY_LONG_SINGLE_SELECT_EXPORT_NAME_CT &amp; "_options"),4),"")</f>
        <v/>
      </c>
      <c r="J39" t="str">
        <f>IFERROR(INDEX(INDIRECT(All_Questions_Q_VERY_LONG_SINGLE_SELECT_EXPORT_NAME_CT &amp; "_options"),5),"")</f>
        <v/>
      </c>
      <c r="K39" t="str">
        <f>IFERROR(INDEX(INDIRECT(All_Questions_Q_VERY_LONG_SINGLE_SELECT_EXPORT_NAME_CT &amp; "_options"),6),"")</f>
        <v/>
      </c>
      <c r="L39" t="str">
        <f>IFERROR(INDEX(INDIRECT(All_Questions_Q_VERY_LONG_SINGLE_SELECT_EXPORT_NAME_CT &amp; "_options"),7),"")</f>
        <v/>
      </c>
      <c r="M39" t="str">
        <f>IFERROR(INDEX(INDIRECT(All_Questions_Q_VERY_LONG_SINGLE_SELECT_EXPORT_NAME_CT &amp; "_options"),8),"")</f>
        <v/>
      </c>
      <c r="N39" t="str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0">
        <f>SUM(G40:N40)</f>
        <v>0</v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"_data"),G$39)</f>
        <v>0</v>
      </c>
      <c r="H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"_data"),H$39)</f>
        <v>0</v>
      </c>
      <c r="I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"_data"),I$39)</f>
        <v>0</v>
      </c>
      <c r="J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"_data"),J$39)</f>
        <v>0</v>
      </c>
      <c r="K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"_data"),K$39)</f>
        <v>0</v>
      </c>
      <c r="L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"_data"),L$39)</f>
        <v>0</v>
      </c>
      <c r="M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"_data"),M$39)</f>
        <v>0</v>
      </c>
      <c r="N4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"_data"),N$39)</f>
        <v>0</v>
      </c>
      <c r="O41">
        <f>SUM(G41:N41)</f>
        <v>0</v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2026-05-15T06:08:48Z</dcterms:created>
  <dcterms:modified xmlns:dcterms="http://purl.org/dc/terms/" xmlns:xsi="http://www.w3.org/2001/XMLSchema-instance" xsi:type="dcterms:W3CDTF">2026-05-15T06:08:48Z</dcterms:modified>
</cp:coreProperties>
</file>