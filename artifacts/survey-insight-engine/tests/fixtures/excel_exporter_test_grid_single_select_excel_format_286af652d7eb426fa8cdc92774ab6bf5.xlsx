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'_Options'!$A$2:$A$2</definedName>
    <definedName name="All_Questions_Local">'_Options'!$B$2:$B$3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*1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*1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*1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*1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*1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*1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*1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*1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*1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*1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*1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*1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*1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*1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*1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*1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*1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*1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*1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*1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*1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*1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*1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*1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*1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*1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*1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*1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*1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*1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*1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*1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*1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*1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*1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*1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*1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*1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*1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*1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*1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*1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*1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*1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*1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*1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*1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*1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*1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*1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*1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*1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*1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*1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*1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*1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*1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*1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*1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*1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*1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*1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*1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*1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*1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*1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*1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*1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*1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*1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*1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*1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*1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*1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*1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*1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*1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*1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IFERROR(INDEX(All_Questions_Data_Names,MATCH(All_Questions_Q_GRID_FORMAT_F_Q,All_Questions,0)),"'_RawData'!$A:$A")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IF(All_Questions_Q_GRID_FORMAT_CT="(None)","",IFERROR(INDEX(INDIRECT(IFERROR(INDEX(All_Questions_Options_Names,MATCH(All_Questions_Q_GRID_FORMAT_CT,All_Questions,0)),"'_Options'!$E$2:$E$2")),2),""))</f>
        <v/>
      </c>
      <c r="H16" s="2" t="str">
        <f>IF(All_Questions_Q_GRID_FORMAT_CT="(None)","",IFERROR(INDEX(INDIRECT(IFERROR(INDEX(All_Questions_Options_Names,MATCH(All_Questions_Q_GRID_FORMAT_CT,All_Questions,0)),"'_Options'!$E$2:$E$2")),3),""))</f>
        <v/>
      </c>
      <c r="I16" s="2" t="str">
        <f>IF(All_Questions_Q_GRID_FORMAT_CT="(None)","",IFERROR(INDEX(INDIRECT(IFERROR(INDEX(All_Questions_Options_Names,MATCH(All_Questions_Q_GRID_FORMAT_CT,All_Questions,0)),"'_Options'!$E$2:$E$2")),4),""))</f>
        <v/>
      </c>
      <c r="J16" s="2" t="str">
        <f>IF(All_Questions_Q_GRID_FORMAT_CT="(None)","",IFERROR(INDEX(INDIRECT(IFERROR(INDEX(All_Questions_Options_Names,MATCH(All_Questions_Q_GRID_FORMAT_CT,All_Questions,0)),"'_Options'!$E$2:$E$2")),5),""))</f>
        <v/>
      </c>
      <c r="K16" s="2" t="str">
        <f>IF(All_Questions_Q_GRID_FORMAT_CT="(None)","",IFERROR(INDEX(INDIRECT(IFERROR(INDEX(All_Questions_Options_Names,MATCH(All_Questions_Q_GRID_FORMAT_CT,All_Questions,0)),"'_Options'!$E$2:$E$2")),6),""))</f>
        <v/>
      </c>
      <c r="L16" s="2" t="str">
        <f>IF(All_Questions_Q_GRID_FORMAT_CT="(None)","",IFERROR(INDEX(INDIRECT(IFERROR(INDEX(All_Questions_Options_Names,MATCH(All_Questions_Q_GRID_FORMAT_CT,All_Questions,0)),"'_Options'!$E$2:$E$2")),7),""))</f>
        <v/>
      </c>
      <c r="M16" s="2" t="str">
        <f>IF(All_Questions_Q_GRID_FORMAT_CT="(None)","",IFERROR(INDEX(INDIRECT(IFERROR(INDEX(All_Questions_Options_Names,MATCH(All_Questions_Q_GRID_FORMAT_CT,All_Questions,0)),"'_Options'!$E$2:$E$2")),8),""))</f>
        <v/>
      </c>
      <c r="N16" s="2" t="str">
        <f>IF(All_Questions_Q_GRID_FORMAT_CT="(None)","",IFERROR(INDEX(INDIRECT(IFERROR(INDEX(All_Questions_Options_Names,MATCH(All_Questions_Q_GRID_FORMAT_CT,All_Questions,0)),"'_Options'!$E$2:$E$2")),9),""))</f>
        <v/>
      </c>
      <c r="O16" s="2" t="str">
        <f>IF(All_Questions_Q_GRID_FORMAT_CT="(None)","",IFERROR(INDEX(INDIRECT(IFERROR(INDEX(All_Questions_Options_Names,MATCH(All_Questions_Q_GRID_FORMAT_CT,All_Questions,0)),"'_Options'!$E$2:$E$2")),10),""))</f>
        <v/>
      </c>
      <c r="P16" s="2" t="str">
        <f>IF(All_Questions_Q_GRID_FORMAT_CT="(None)","",IFERROR(INDEX(INDIRECT(IFERROR(INDEX(All_Questions_Options_Names,MATCH(All_Questions_Q_GRID_FORMAT_CT,All_Questions,0)),"'_Options'!$E$2:$E$2")),11),""))</f>
        <v/>
      </c>
      <c r="Q16" s="2" t="str">
        <f>IF(All_Questions_Q_GRID_FORMAT_CT="(None)","",IFERROR(INDEX(INDIRECT(IFERROR(INDEX(All_Questions_Options_Names,MATCH(All_Questions_Q_GRID_FORMAT_CT,All_Questions,0)),"'_Options'!$E$2:$E$2")),12),""))</f>
        <v/>
      </c>
      <c r="R16" s="2" t="str">
        <f>IF(All_Questions_Q_GRID_FORMAT_CT="(None)","",IF(COUNTA(INDIRECT(IFERROR(INDEX(All_Questions_Options_Names,MATCH(All_Questions_Q_GRID_FORMAT_CT,All_Questions,0)),"'_Options'!$E$2:$E$2")))-1&gt;11,"Other",IFERROR(INDEX(INDIRECT(IFERROR(INDEX(All_Questions_Options_Names,MATCH(All_Questions_Q_GRID_FORMAT_CT,All_Questions,0)),"'_Options'!$E$2:$E$2")),13),"")))</f>
        <v/>
      </c>
      <c r="S16" s="4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A</t>
        </is>
      </c>
      <c r="G18">
        <f>IF(OR(All_Questions_Q_GRID_FORMAT_CT="(None)",G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8">
        <f>IF(OR(All_Questions_Q_GRID_FORMAT_CT="(None)",H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8">
        <f>IF(OR(All_Questions_Q_GRID_FORMAT_CT="(None)",I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8">
        <f>IF(OR(All_Questions_Q_GRID_FORMAT_CT="(None)",J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8">
        <f>IF(OR(All_Questions_Q_GRID_FORMAT_CT="(None)",K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8">
        <f>IF(OR(All_Questions_Q_GRID_FORMAT_CT="(None)",L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8">
        <f>IF(OR(All_Questions_Q_GRID_FORMAT_CT="(None)",M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8">
        <f>IF(OR(All_Questions_Q_GRID_FORMAT_CT="(None)",N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8">
        <f>IF(OR(All_Questions_Q_GRID_FORMAT_CT="(None)",O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8">
        <f>IF(OR(All_Questions_Q_GRID_FORMAT_CT="(None)",P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8">
        <f>IF(OR(All_Questions_Q_GRID_FORMAT_CT="(None)",Q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8">
        <f>IF(OR(All_Questions_Q_GRID_FORMAT_CT="(None)",R$16=""),"",IF(R$16="Other",COUNTIFS(r1_data,"Selected",passes_workbook_filters_data,1,passes_workbook_custom_filters_data,1,All_Questions_passes_local_filters_data,1,All_Questions_Q_GRID_FORMAT_F_passes_per_q_filter_data,1)-SUM(G18,H18,I18,J18,K18,L18,M18,N18,O18,P18,Q18)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8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Option B</t>
        </is>
      </c>
      <c r="G19">
        <f>IF(OR(All_Questions_Q_GRID_FORMAT_CT="(None)",G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9">
        <f>IF(OR(All_Questions_Q_GRID_FORMAT_CT="(None)",H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9">
        <f>IF(OR(All_Questions_Q_GRID_FORMAT_CT="(None)",I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9">
        <f>IF(OR(All_Questions_Q_GRID_FORMAT_CT="(None)",J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9">
        <f>IF(OR(All_Questions_Q_GRID_FORMAT_CT="(None)",K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9">
        <f>IF(OR(All_Questions_Q_GRID_FORMAT_CT="(None)",L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9">
        <f>IF(OR(All_Questions_Q_GRID_FORMAT_CT="(None)",M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9">
        <f>IF(OR(All_Questions_Q_GRID_FORMAT_CT="(None)",N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9">
        <f>IF(OR(All_Questions_Q_GRID_FORMAT_CT="(None)",O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9">
        <f>IF(OR(All_Questions_Q_GRID_FORMAT_CT="(None)",P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9">
        <f>IF(OR(All_Questions_Q_GRID_FORMAT_CT="(None)",Q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9">
        <f>IF(OR(All_Questions_Q_GRID_FORMAT_CT="(None)",R$16=""),"",IF(R$16="Other",COUNTIFS(r2_data,"Selected",passes_workbook_filters_data,1,passes_workbook_custom_filters_data,1,All_Questions_passes_local_filters_data,1,All_Questions_Q_GRID_FORMAT_F_passes_per_q_filter_data,1)-SUM(G19,H19,I19,J19,K19,L19,M19,N19,O19,P19,Q19)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9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0">
      <c r="A20" s="4" t="inlineStr">
        <is>
          <t>Total responses</t>
        </is>
      </c>
      <c r="B20" s="4" t="n">
        <v>80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9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2026-06-01T10:31:30Z</dcterms:created>
  <dcterms:modified xmlns:dcterms="http://purl.org/dc/terms/" xmlns:xsi="http://www.w3.org/2001/XMLSchema-instance" xsi:type="dcterms:W3CDTF">2026-06-01T10:31:30Z</dcterms:modified>
</cp:coreProperties>
</file>