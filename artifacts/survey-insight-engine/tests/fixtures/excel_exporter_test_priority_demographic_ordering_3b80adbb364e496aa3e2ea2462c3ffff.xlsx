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I18" i="7"/>
  <c r="K18" i="7"/>
  <c r="M18" i="7"/>
  <c r="O18" i="7"/>
  <c r="Q18" i="7"/>
  <c r="S18" i="7"/>
  <c r="U18" i="7"/>
  <c r="W18" i="7"/>
  <c r="Y18" i="7"/>
  <c r="AA18" i="7"/>
  <c r="AC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E22" i="7"/>
  <c r="F25" i="7"/>
  <c r="G25" i="7"/>
  <c r="G28" i="7"/>
  <c r="I28" i="7"/>
  <c r="K28" i="7"/>
  <c r="M28" i="7"/>
  <c r="O28" i="7"/>
  <c r="Q28" i="7"/>
  <c r="S28" i="7"/>
  <c r="U28" i="7"/>
  <c r="W28" i="7"/>
  <c r="Y28" i="7"/>
  <c r="AA28" i="7"/>
  <c r="AC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E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I30" i="8"/>
  <c r="K30" i="8"/>
  <c r="M30" i="8"/>
  <c r="O30" i="8"/>
  <c r="Q30" i="8"/>
  <c r="S30" i="8"/>
  <c r="U30" i="8"/>
  <c r="W30" i="8"/>
  <c r="Y30" i="8"/>
  <c r="AA30" i="8"/>
  <c r="AC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E34" i="8"/>
  <c r="F37" i="8"/>
  <c r="G37" i="8"/>
  <c r="G40" i="8"/>
  <c r="I40" i="8"/>
  <c r="K40" i="8"/>
  <c r="M40" i="8"/>
  <c r="O40" i="8"/>
  <c r="Q40" i="8"/>
  <c r="S40" i="8"/>
  <c r="U40" i="8"/>
  <c r="W40" i="8"/>
  <c r="Y40" i="8"/>
  <c r="AA40" i="8"/>
  <c r="AC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E44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IF(Demographics_Q_SS_EXPORT_CT="(None)","",IFERROR(INDEX(INDIRECT(XLOOKUP(Demographics_Q_SS_EXPORT_CT,All_Questions,All_Questions_Options_Names,"None_options")),2),""))</f>
        <v/>
      </c>
      <c r="H18" s="2" t="n"/>
      <c r="I18" s="2" t="str">
        <f>IF(Demographics_Q_SS_EXPORT_CT="(None)","",IFERROR(INDEX(INDIRECT(XLOOKUP(Demographics_Q_SS_EXPORT_CT,All_Questions,All_Questions_Options_Names,"None_options")),3),""))</f>
        <v/>
      </c>
      <c r="J18" s="2" t="n"/>
      <c r="K18" s="2" t="str">
        <f>IF(Demographics_Q_SS_EXPORT_CT="(None)","",IFERROR(INDEX(INDIRECT(XLOOKUP(Demographics_Q_SS_EXPORT_CT,All_Questions,All_Questions_Options_Names,"None_options")),4),""))</f>
        <v/>
      </c>
      <c r="L18" s="2" t="n"/>
      <c r="M18" s="2" t="str">
        <f>IF(Demographics_Q_SS_EXPORT_CT="(None)","",IFERROR(INDEX(INDIRECT(XLOOKUP(Demographics_Q_SS_EXPORT_CT,All_Questions,All_Questions_Options_Names,"None_options")),5),""))</f>
        <v/>
      </c>
      <c r="N18" s="2" t="n"/>
      <c r="O18" s="2" t="str">
        <f>IF(Demographics_Q_SS_EXPORT_CT="(None)","",IFERROR(INDEX(INDIRECT(XLOOKUP(Demographics_Q_SS_EXPORT_CT,All_Questions,All_Questions_Options_Names,"None_options")),6),""))</f>
        <v/>
      </c>
      <c r="P18" s="2" t="n"/>
      <c r="Q18" s="2" t="str">
        <f>IF(Demographics_Q_SS_EXPORT_CT="(None)","",IFERROR(INDEX(INDIRECT(XLOOKUP(Demographics_Q_SS_EXPORT_CT,All_Questions,All_Questions_Options_Names,"None_options")),7),""))</f>
        <v/>
      </c>
      <c r="R18" s="2" t="n"/>
      <c r="S18" s="2" t="str">
        <f>IF(Demographics_Q_SS_EXPORT_CT="(None)","",IFERROR(INDEX(INDIRECT(XLOOKUP(Demographics_Q_SS_EXPORT_CT,All_Questions,All_Questions_Options_Names,"None_options")),8),""))</f>
        <v/>
      </c>
      <c r="T18" s="2" t="n"/>
      <c r="U18" s="2" t="str">
        <f>IF(Demographics_Q_SS_EXPORT_CT="(None)","",IFERROR(INDEX(INDIRECT(XLOOKUP(Demographics_Q_SS_EXPORT_CT,All_Questions,All_Questions_Options_Names,"None_options")),9),""))</f>
        <v/>
      </c>
      <c r="V18" s="2" t="n"/>
      <c r="W18" s="2" t="str">
        <f>IF(Demographics_Q_SS_EXPORT_CT="(None)","",IFERROR(INDEX(INDIRECT(XLOOKUP(Demographics_Q_SS_EXPORT_CT,All_Questions,All_Questions_Options_Names,"None_options")),10),""))</f>
        <v/>
      </c>
      <c r="X18" s="2" t="n"/>
      <c r="Y18" s="2" t="str">
        <f>IF(Demographics_Q_SS_EXPORT_CT="(None)","",IFERROR(INDEX(INDIRECT(XLOOKUP(Demographics_Q_SS_EXPORT_CT,All_Questions,All_Questions_Options_Names,"None_options")),11),""))</f>
        <v/>
      </c>
      <c r="Z18" s="2" t="n"/>
      <c r="AA18" s="2" t="str">
        <f>IF(Demographics_Q_SS_EXPORT_CT="(None)","",IFERROR(INDEX(INDIRECT(XLOOKUP(Demographics_Q_SS_EXPORT_CT,All_Questions,All_Questions_Options_Names,"None_options")),12),""))</f>
        <v/>
      </c>
      <c r="AB18" s="2" t="n"/>
      <c r="AC18" s="2" t="str">
        <f>IF(Demographics_Q_SS_EXPORT_CT="(None)","",IF(COUNTA(INDIRECT(XLOOKUP(Demographics_Q_SS_EXPORT_CT,All_Questions,All_Questions_Options_Names,"None_options")))-1&gt;11,"Other",IFERROR(INDEX(INDIRECT(XLOOKUP(Demographics_Q_SS_EXPORT_CT,All_Questions,All_Questions_Options_Names,"None_options")),13),"")))</f>
        <v/>
      </c>
      <c r="AD18" s="2" t="n"/>
      <c r="AE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% of resp</t>
        </is>
      </c>
      <c r="I19" s="4" t="inlineStr">
        <is>
          <t># of resp</t>
        </is>
      </c>
      <c r="J19" s="4" t="inlineStr">
        <is>
          <t>% of resp</t>
        </is>
      </c>
      <c r="K19" s="4" t="inlineStr">
        <is>
          <t># of resp</t>
        </is>
      </c>
      <c r="L19" s="4" t="inlineStr">
        <is>
          <t>% of resp</t>
        </is>
      </c>
      <c r="M19" s="4" t="inlineStr">
        <is>
          <t># of resp</t>
        </is>
      </c>
      <c r="N19" s="4" t="inlineStr">
        <is>
          <t>% of resp</t>
        </is>
      </c>
      <c r="O19" s="4" t="inlineStr">
        <is>
          <t># of resp</t>
        </is>
      </c>
      <c r="P19" s="4" t="inlineStr">
        <is>
          <t>% of resp</t>
        </is>
      </c>
      <c r="Q19" s="4" t="inlineStr">
        <is>
          <t># of resp</t>
        </is>
      </c>
      <c r="R19" s="4" t="inlineStr">
        <is>
          <t>% of resp</t>
        </is>
      </c>
      <c r="S19" s="4" t="inlineStr">
        <is>
          <t># of resp</t>
        </is>
      </c>
      <c r="T19" s="4" t="inlineStr">
        <is>
          <t>% of resp</t>
        </is>
      </c>
      <c r="U19" s="4" t="inlineStr">
        <is>
          <t># of resp</t>
        </is>
      </c>
      <c r="V19" s="4" t="inlineStr">
        <is>
          <t>% of resp</t>
        </is>
      </c>
      <c r="W19" s="4" t="inlineStr">
        <is>
          <t># of resp</t>
        </is>
      </c>
      <c r="X19" s="4" t="inlineStr">
        <is>
          <t>% of resp</t>
        </is>
      </c>
      <c r="Y19" s="4" t="inlineStr">
        <is>
          <t># of resp</t>
        </is>
      </c>
      <c r="Z19" s="4" t="inlineStr">
        <is>
          <t>% of resp</t>
        </is>
      </c>
      <c r="AA19" s="4" t="inlineStr">
        <is>
          <t># of resp</t>
        </is>
      </c>
      <c r="AB19" s="4" t="inlineStr">
        <is>
          <t>% of resp</t>
        </is>
      </c>
      <c r="AC19" s="4" t="inlineStr">
        <is>
          <t># of resp</t>
        </is>
      </c>
      <c r="AD19" s="4" t="inlineStr">
        <is>
          <t>% of resp</t>
        </is>
      </c>
      <c r="AE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)</f>
        <v>0</v>
      </c>
      <c r="H20" s="7">
        <f>IFERROR(G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$18)),0)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)</f>
        <v>0</v>
      </c>
      <c r="J20" s="7">
        <f>IFERROR(I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$18)),0)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)</f>
        <v>0</v>
      </c>
      <c r="L20" s="7">
        <f>IFERROR(K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$18)),0)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)</f>
        <v>0</v>
      </c>
      <c r="N20" s="7">
        <f>IFERROR(M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$18)),0)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O$18))</f>
        <v>0</v>
      </c>
      <c r="P20" s="7">
        <f>IFERROR(O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$18)),0)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Q$18))</f>
        <v>0</v>
      </c>
      <c r="R20" s="7">
        <f>IFERROR(Q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$18)),0)</f>
        <v>0</v>
      </c>
      <c r="S20">
        <f>IF(OR(Demographics_Q_SS_EXPORT_CT="(None)",S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S$18))</f>
        <v>0</v>
      </c>
      <c r="T20" s="7">
        <f>IFERROR(S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$18)),0)</f>
        <v>0</v>
      </c>
      <c r="U20">
        <f>IF(OR(Demographics_Q_SS_EXPORT_CT="(None)",U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U$18))</f>
        <v>0</v>
      </c>
      <c r="V20" s="7">
        <f>IFERROR(U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$18)),0)</f>
        <v>0</v>
      </c>
      <c r="W20">
        <f>IF(OR(Demographics_Q_SS_EXPORT_CT="(None)",W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W$18))</f>
        <v>0</v>
      </c>
      <c r="X20" s="7">
        <f>IFERROR(W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$18)),0)</f>
        <v>0</v>
      </c>
      <c r="Y20">
        <f>IF(OR(Demographics_Q_SS_EXPORT_CT="(None)",Y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Y$18))</f>
        <v>0</v>
      </c>
      <c r="Z20" s="7">
        <f>IFERROR(Y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$18)),0)</f>
        <v>0</v>
      </c>
      <c r="AA20">
        <f>IF(OR(Demographics_Q_SS_EXPORT_CT="(None)",AA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</f>
        <v>0</v>
      </c>
      <c r="AB20" s="7">
        <f>IFERROR(AA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,0)</f>
        <v>0</v>
      </c>
      <c r="AC20">
        <f>IF(OR(Demographics_Q_SS_EXPORT_CT="(None)",AC$18=""),"",IF(AC$18="Other",COUNTIFS(Q_SS_EXPORT_data,"Yes",passes_workbook_filters_data,1,passes_workbook_custom_filters_data,1,Demographics_passes_local_filters_data,1,Demographics_Q_SS_EXPORT_F_passes_per_q_filter_data,1)-SUM(G20,I20,K20,M20,O20,Q20,S20,U20,W20,Y20,AA20)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C$18)))</f>
        <v>0</v>
      </c>
      <c r="AD20" s="7">
        <f>IFERROR(AC20/(IF(AC$18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$18))),0)</f>
        <v>0</v>
      </c>
      <c r="AE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)</f>
        <v>0</v>
      </c>
      <c r="H21" s="7">
        <f>IFERROR(G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$18)),0)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)</f>
        <v>0</v>
      </c>
      <c r="J21" s="7">
        <f>IFERROR(I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$18)),0)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)</f>
        <v>0</v>
      </c>
      <c r="L21" s="7">
        <f>IFERROR(K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$18)),0)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)</f>
        <v>0</v>
      </c>
      <c r="N21" s="7">
        <f>IFERROR(M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$18)),0)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O$18))</f>
        <v>0</v>
      </c>
      <c r="P21" s="7">
        <f>IFERROR(O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$18)),0)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Q$18))</f>
        <v>0</v>
      </c>
      <c r="R21" s="7">
        <f>IFERROR(Q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$18)),0)</f>
        <v>0</v>
      </c>
      <c r="S21">
        <f>IF(OR(Demographics_Q_SS_EXPORT_CT="(None)",S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S$18))</f>
        <v>0</v>
      </c>
      <c r="T21" s="7">
        <f>IFERROR(S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$18)),0)</f>
        <v>0</v>
      </c>
      <c r="U21">
        <f>IF(OR(Demographics_Q_SS_EXPORT_CT="(None)",U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U$18))</f>
        <v>0</v>
      </c>
      <c r="V21" s="7">
        <f>IFERROR(U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$18)),0)</f>
        <v>0</v>
      </c>
      <c r="W21">
        <f>IF(OR(Demographics_Q_SS_EXPORT_CT="(None)",W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W$18))</f>
        <v>0</v>
      </c>
      <c r="X21" s="7">
        <f>IFERROR(W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$18)),0)</f>
        <v>0</v>
      </c>
      <c r="Y21">
        <f>IF(OR(Demographics_Q_SS_EXPORT_CT="(None)",Y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Y$18))</f>
        <v>0</v>
      </c>
      <c r="Z21" s="7">
        <f>IFERROR(Y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$18)),0)</f>
        <v>0</v>
      </c>
      <c r="AA21">
        <f>IF(OR(Demographics_Q_SS_EXPORT_CT="(None)",AA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</f>
        <v>0</v>
      </c>
      <c r="AB21" s="7">
        <f>IFERROR(AA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,0)</f>
        <v>0</v>
      </c>
      <c r="AC21">
        <f>IF(OR(Demographics_Q_SS_EXPORT_CT="(None)",AC$18=""),"",IF(AC$18="Other",COUNTIFS(Q_SS_EXPORT_data,"No",passes_workbook_filters_data,1,passes_workbook_custom_filters_data,1,Demographics_passes_local_filters_data,1,Demographics_Q_SS_EXPORT_F_passes_per_q_filter_data,1)-SUM(G21,I21,K21,M21,O21,Q21,S21,U21,W21,Y21,AA21)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C$18)))</f>
        <v>0</v>
      </c>
      <c r="AD21" s="7">
        <f>IFERROR(AC21/(IF(AC$18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$18))),0)</f>
        <v>0</v>
      </c>
      <c r="AE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IF(Demographics_Q_MS_EXPORT_CT="(None)","",IFERROR(INDEX(INDIRECT(XLOOKUP(Demographics_Q_MS_EXPORT_CT,All_Questions,All_Questions_Options_Names,"None_options")),2),""))</f>
        <v/>
      </c>
      <c r="H28" s="2" t="n"/>
      <c r="I28" s="2" t="str">
        <f>IF(Demographics_Q_MS_EXPORT_CT="(None)","",IFERROR(INDEX(INDIRECT(XLOOKUP(Demographics_Q_MS_EXPORT_CT,All_Questions,All_Questions_Options_Names,"None_options")),3),""))</f>
        <v/>
      </c>
      <c r="J28" s="2" t="n"/>
      <c r="K28" s="2" t="str">
        <f>IF(Demographics_Q_MS_EXPORT_CT="(None)","",IFERROR(INDEX(INDIRECT(XLOOKUP(Demographics_Q_MS_EXPORT_CT,All_Questions,All_Questions_Options_Names,"None_options")),4),""))</f>
        <v/>
      </c>
      <c r="L28" s="2" t="n"/>
      <c r="M28" s="2" t="str">
        <f>IF(Demographics_Q_MS_EXPORT_CT="(None)","",IFERROR(INDEX(INDIRECT(XLOOKUP(Demographics_Q_MS_EXPORT_CT,All_Questions,All_Questions_Options_Names,"None_options")),5),""))</f>
        <v/>
      </c>
      <c r="N28" s="2" t="n"/>
      <c r="O28" s="2" t="str">
        <f>IF(Demographics_Q_MS_EXPORT_CT="(None)","",IFERROR(INDEX(INDIRECT(XLOOKUP(Demographics_Q_MS_EXPORT_CT,All_Questions,All_Questions_Options_Names,"None_options")),6),""))</f>
        <v/>
      </c>
      <c r="P28" s="2" t="n"/>
      <c r="Q28" s="2" t="str">
        <f>IF(Demographics_Q_MS_EXPORT_CT="(None)","",IFERROR(INDEX(INDIRECT(XLOOKUP(Demographics_Q_MS_EXPORT_CT,All_Questions,All_Questions_Options_Names,"None_options")),7),""))</f>
        <v/>
      </c>
      <c r="R28" s="2" t="n"/>
      <c r="S28" s="2" t="str">
        <f>IF(Demographics_Q_MS_EXPORT_CT="(None)","",IFERROR(INDEX(INDIRECT(XLOOKUP(Demographics_Q_MS_EXPORT_CT,All_Questions,All_Questions_Options_Names,"None_options")),8),""))</f>
        <v/>
      </c>
      <c r="T28" s="2" t="n"/>
      <c r="U28" s="2" t="str">
        <f>IF(Demographics_Q_MS_EXPORT_CT="(None)","",IFERROR(INDEX(INDIRECT(XLOOKUP(Demographics_Q_MS_EXPORT_CT,All_Questions,All_Questions_Options_Names,"None_options")),9),""))</f>
        <v/>
      </c>
      <c r="V28" s="2" t="n"/>
      <c r="W28" s="2" t="str">
        <f>IF(Demographics_Q_MS_EXPORT_CT="(None)","",IFERROR(INDEX(INDIRECT(XLOOKUP(Demographics_Q_MS_EXPORT_CT,All_Questions,All_Questions_Options_Names,"None_options")),10),""))</f>
        <v/>
      </c>
      <c r="X28" s="2" t="n"/>
      <c r="Y28" s="2" t="str">
        <f>IF(Demographics_Q_MS_EXPORT_CT="(None)","",IFERROR(INDEX(INDIRECT(XLOOKUP(Demographics_Q_MS_EXPORT_CT,All_Questions,All_Questions_Options_Names,"None_options")),11),""))</f>
        <v/>
      </c>
      <c r="Z28" s="2" t="n"/>
      <c r="AA28" s="2" t="str">
        <f>IF(Demographics_Q_MS_EXPORT_CT="(None)","",IFERROR(INDEX(INDIRECT(XLOOKUP(Demographics_Q_MS_EXPORT_CT,All_Questions,All_Questions_Options_Names,"None_options")),12),""))</f>
        <v/>
      </c>
      <c r="AB28" s="2" t="n"/>
      <c r="AC28" s="2" t="str">
        <f>IF(Demographics_Q_MS_EXPORT_CT="(None)","",IF(COUNTA(INDIRECT(XLOOKUP(Demographics_Q_MS_EXPORT_CT,All_Questions,All_Questions_Options_Names,"None_options")))-1&gt;11,"Other",IFERROR(INDEX(INDIRECT(XLOOKUP(Demographics_Q_MS_EXPORT_CT,All_Questions,All_Questions_Options_Names,"None_options")),13),"")))</f>
        <v/>
      </c>
      <c r="AD28" s="2" t="n"/>
      <c r="AE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% of resp</t>
        </is>
      </c>
      <c r="I29" s="4" t="inlineStr">
        <is>
          <t># of resp</t>
        </is>
      </c>
      <c r="J29" s="4" t="inlineStr">
        <is>
          <t>% of resp</t>
        </is>
      </c>
      <c r="K29" s="4" t="inlineStr">
        <is>
          <t># of resp</t>
        </is>
      </c>
      <c r="L29" s="4" t="inlineStr">
        <is>
          <t>% of resp</t>
        </is>
      </c>
      <c r="M29" s="4" t="inlineStr">
        <is>
          <t># of resp</t>
        </is>
      </c>
      <c r="N29" s="4" t="inlineStr">
        <is>
          <t>% of resp</t>
        </is>
      </c>
      <c r="O29" s="4" t="inlineStr">
        <is>
          <t># of resp</t>
        </is>
      </c>
      <c r="P29" s="4" t="inlineStr">
        <is>
          <t>% of resp</t>
        </is>
      </c>
      <c r="Q29" s="4" t="inlineStr">
        <is>
          <t># of resp</t>
        </is>
      </c>
      <c r="R29" s="4" t="inlineStr">
        <is>
          <t>% of resp</t>
        </is>
      </c>
      <c r="S29" s="4" t="inlineStr">
        <is>
          <t># of resp</t>
        </is>
      </c>
      <c r="T29" s="4" t="inlineStr">
        <is>
          <t>% of resp</t>
        </is>
      </c>
      <c r="U29" s="4" t="inlineStr">
        <is>
          <t># of resp</t>
        </is>
      </c>
      <c r="V29" s="4" t="inlineStr">
        <is>
          <t>% of resp</t>
        </is>
      </c>
      <c r="W29" s="4" t="inlineStr">
        <is>
          <t># of resp</t>
        </is>
      </c>
      <c r="X29" s="4" t="inlineStr">
        <is>
          <t>% of resp</t>
        </is>
      </c>
      <c r="Y29" s="4" t="inlineStr">
        <is>
          <t># of resp</t>
        </is>
      </c>
      <c r="Z29" s="4" t="inlineStr">
        <is>
          <t>% of resp</t>
        </is>
      </c>
      <c r="AA29" s="4" t="inlineStr">
        <is>
          <t># of resp</t>
        </is>
      </c>
      <c r="AB29" s="4" t="inlineStr">
        <is>
          <t>% of resp</t>
        </is>
      </c>
      <c r="AC29" s="4" t="inlineStr">
        <is>
          <t># of resp</t>
        </is>
      </c>
      <c r="AD29" s="4" t="inlineStr">
        <is>
          <t>% of resp</t>
        </is>
      </c>
      <c r="AE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)</f>
        <v>0</v>
      </c>
      <c r="H30" s="7">
        <f>IFERROR(G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G$28)),0)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)</f>
        <v>0</v>
      </c>
      <c r="J30" s="7">
        <f>IFERROR(I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I$28)),0)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)</f>
        <v>0</v>
      </c>
      <c r="L30" s="7">
        <f>IFERROR(K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K$28)),0)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)</f>
        <v>0</v>
      </c>
      <c r="N30" s="7">
        <f>IFERROR(M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M$28)),0)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O$28))</f>
        <v>0</v>
      </c>
      <c r="P30" s="7">
        <f>IFERROR(O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O$28)),0)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Q$28))</f>
        <v>0</v>
      </c>
      <c r="R30" s="7">
        <f>IFERROR(Q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Q$28)),0)</f>
        <v>0</v>
      </c>
      <c r="S30">
        <f>IF(OR(Demographics_Q_MS_EXPORT_CT="(None)",S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S$28))</f>
        <v>0</v>
      </c>
      <c r="T30" s="7">
        <f>IFERROR(S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S$28)),0)</f>
        <v>0</v>
      </c>
      <c r="U30">
        <f>IF(OR(Demographics_Q_MS_EXPORT_CT="(None)",U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U$28))</f>
        <v>0</v>
      </c>
      <c r="V30" s="7">
        <f>IFERROR(U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U$28)),0)</f>
        <v>0</v>
      </c>
      <c r="W30">
        <f>IF(OR(Demographics_Q_MS_EXPORT_CT="(None)",W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W$28))</f>
        <v>0</v>
      </c>
      <c r="X30" s="7">
        <f>IFERROR(W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W$28)),0)</f>
        <v>0</v>
      </c>
      <c r="Y30">
        <f>IF(OR(Demographics_Q_MS_EXPORT_CT="(None)",Y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Y$28))</f>
        <v>0</v>
      </c>
      <c r="Z30" s="7">
        <f>IFERROR(Y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Y$28)),0)</f>
        <v>0</v>
      </c>
      <c r="AA30">
        <f>IF(OR(Demographics_Q_MS_EXPORT_CT="(None)",AA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</f>
        <v>0</v>
      </c>
      <c r="AB30" s="7">
        <f>IFERROR(AA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,0)</f>
        <v>0</v>
      </c>
      <c r="AC30">
        <f>IF(OR(Demographics_Q_MS_EXPORT_CT="(None)",AC$28=""),"",IF(AC$28="Other",COUNTIFS(Q_MS_EXPORTr1_data,"Selected",passes_workbook_filters_data,1,passes_workbook_custom_filters_data,1,Demographics_passes_local_filters_data,1,Demographics_Q_MS_EXPORT_F_passes_per_q_filter_data,1)-SUM(G30,I30,K30,M30,O30,Q30,S30,U30,W30,Y30,AA30)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AC$28)))</f>
        <v>0</v>
      </c>
      <c r="AD30" s="7">
        <f>IFERROR(AC30/(IF(AC$28="Other",COUNTIFS(respondent_id_data,"&lt;&gt;",passes_workbook_filters_data,1,passes_workbook_custom_filters_data,1,Demographics_passes_local_filters_data,1,Demographics_Q_MS_EXPORT_F_passes_per_q_filter_data,1)-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G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I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K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M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O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Q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S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U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W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Y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,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C$28))),0)</f>
        <v>0</v>
      </c>
      <c r="AE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)</f>
        <v>0</v>
      </c>
      <c r="H31" s="7">
        <f>IFERROR(G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G$28)),0)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)</f>
        <v>0</v>
      </c>
      <c r="J31" s="7">
        <f>IFERROR(I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I$28)),0)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)</f>
        <v>0</v>
      </c>
      <c r="L31" s="7">
        <f>IFERROR(K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K$28)),0)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)</f>
        <v>0</v>
      </c>
      <c r="N31" s="7">
        <f>IFERROR(M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M$28)),0)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O$28))</f>
        <v>0</v>
      </c>
      <c r="P31" s="7">
        <f>IFERROR(O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O$28)),0)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Q$28))</f>
        <v>0</v>
      </c>
      <c r="R31" s="7">
        <f>IFERROR(Q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Q$28)),0)</f>
        <v>0</v>
      </c>
      <c r="S31">
        <f>IF(OR(Demographics_Q_MS_EXPORT_CT="(None)",S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S$28))</f>
        <v>0</v>
      </c>
      <c r="T31" s="7">
        <f>IFERROR(S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S$28)),0)</f>
        <v>0</v>
      </c>
      <c r="U31">
        <f>IF(OR(Demographics_Q_MS_EXPORT_CT="(None)",U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U$28))</f>
        <v>0</v>
      </c>
      <c r="V31" s="7">
        <f>IFERROR(U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U$28)),0)</f>
        <v>0</v>
      </c>
      <c r="W31">
        <f>IF(OR(Demographics_Q_MS_EXPORT_CT="(None)",W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W$28))</f>
        <v>0</v>
      </c>
      <c r="X31" s="7">
        <f>IFERROR(W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W$28)),0)</f>
        <v>0</v>
      </c>
      <c r="Y31">
        <f>IF(OR(Demographics_Q_MS_EXPORT_CT="(None)",Y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Y$28))</f>
        <v>0</v>
      </c>
      <c r="Z31" s="7">
        <f>IFERROR(Y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Y$28)),0)</f>
        <v>0</v>
      </c>
      <c r="AA31">
        <f>IF(OR(Demographics_Q_MS_EXPORT_CT="(None)",AA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</f>
        <v>0</v>
      </c>
      <c r="AB31" s="7">
        <f>IFERROR(AA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,0)</f>
        <v>0</v>
      </c>
      <c r="AC31">
        <f>IF(OR(Demographics_Q_MS_EXPORT_CT="(None)",AC$28=""),"",IF(AC$28="Other",COUNTIFS(Q_MS_EXPORTr2_data,"Selected",passes_workbook_filters_data,1,passes_workbook_custom_filters_data,1,Demographics_passes_local_filters_data,1,Demographics_Q_MS_EXPORT_F_passes_per_q_filter_data,1)-SUM(G31,I31,K31,M31,O31,Q31,S31,U31,W31,Y31,AA31)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AC$28)))</f>
        <v>0</v>
      </c>
      <c r="AD31" s="7">
        <f>IFERROR(AC31/(IF(AC$28="Other",COUNTIFS(respondent_id_data,"&lt;&gt;",passes_workbook_filters_data,1,passes_workbook_custom_filters_data,1,Demographics_passes_local_filters_data,1,Demographics_Q_MS_EXPORT_F_passes_per_q_filter_data,1)-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G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I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K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M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O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Q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S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U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W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Y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,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C$28))),0)</f>
        <v>0</v>
      </c>
      <c r="AE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25">
    <mergeCell ref="O28:P28"/>
    <mergeCell ref="AA28:AB28"/>
    <mergeCell ref="Q28:R28"/>
    <mergeCell ref="O18:P18"/>
    <mergeCell ref="AC28:AD28"/>
    <mergeCell ref="Q18:R18"/>
    <mergeCell ref="S18:T18"/>
    <mergeCell ref="AC18:AD18"/>
    <mergeCell ref="G28:H28"/>
    <mergeCell ref="S28:T28"/>
    <mergeCell ref="I28:J28"/>
    <mergeCell ref="G18:H18"/>
    <mergeCell ref="I18:J18"/>
    <mergeCell ref="A1:J1"/>
    <mergeCell ref="M28:N28"/>
    <mergeCell ref="Y28:Z28"/>
    <mergeCell ref="U28:V28"/>
    <mergeCell ref="M18:N18"/>
    <mergeCell ref="U18:V18"/>
    <mergeCell ref="W18:X18"/>
    <mergeCell ref="Y18:Z18"/>
    <mergeCell ref="AA18:AB18"/>
    <mergeCell ref="K28:L28"/>
    <mergeCell ref="W28:X28"/>
    <mergeCell ref="K18:L18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0:T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0:V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0:X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0:Z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0:AB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0:AD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30:T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30:V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30:X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30:Z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30:AB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30:AD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IF(All_Questions_Q_GRID_EXPORT_CT="(None)","",IFERROR(INDEX(INDIRECT(XLOOKUP(All_Questions_Q_GRID_EXPORT_CT,All_Questions,All_Questions_Options_Names,"None_options")),2),""))</f>
        <v/>
      </c>
      <c r="H30" s="2" t="n"/>
      <c r="I30" s="2" t="str">
        <f>IF(All_Questions_Q_GRID_EXPORT_CT="(None)","",IFERROR(INDEX(INDIRECT(XLOOKUP(All_Questions_Q_GRID_EXPORT_CT,All_Questions,All_Questions_Options_Names,"None_options")),3),""))</f>
        <v/>
      </c>
      <c r="J30" s="2" t="n"/>
      <c r="K30" s="2" t="str">
        <f>IF(All_Questions_Q_GRID_EXPORT_CT="(None)","",IFERROR(INDEX(INDIRECT(XLOOKUP(All_Questions_Q_GRID_EXPORT_CT,All_Questions,All_Questions_Options_Names,"None_options")),4),""))</f>
        <v/>
      </c>
      <c r="L30" s="2" t="n"/>
      <c r="M30" s="2" t="str">
        <f>IF(All_Questions_Q_GRID_EXPORT_CT="(None)","",IFERROR(INDEX(INDIRECT(XLOOKUP(All_Questions_Q_GRID_EXPORT_CT,All_Questions,All_Questions_Options_Names,"None_options")),5),""))</f>
        <v/>
      </c>
      <c r="N30" s="2" t="n"/>
      <c r="O30" s="2" t="str">
        <f>IF(All_Questions_Q_GRID_EXPORT_CT="(None)","",IFERROR(INDEX(INDIRECT(XLOOKUP(All_Questions_Q_GRID_EXPORT_CT,All_Questions,All_Questions_Options_Names,"None_options")),6),""))</f>
        <v/>
      </c>
      <c r="P30" s="2" t="n"/>
      <c r="Q30" s="2" t="str">
        <f>IF(All_Questions_Q_GRID_EXPORT_CT="(None)","",IFERROR(INDEX(INDIRECT(XLOOKUP(All_Questions_Q_GRID_EXPORT_CT,All_Questions,All_Questions_Options_Names,"None_options")),7),""))</f>
        <v/>
      </c>
      <c r="R30" s="2" t="n"/>
      <c r="S30" s="2" t="str">
        <f>IF(All_Questions_Q_GRID_EXPORT_CT="(None)","",IFERROR(INDEX(INDIRECT(XLOOKUP(All_Questions_Q_GRID_EXPORT_CT,All_Questions,All_Questions_Options_Names,"None_options")),8),""))</f>
        <v/>
      </c>
      <c r="T30" s="2" t="n"/>
      <c r="U30" s="2" t="str">
        <f>IF(All_Questions_Q_GRID_EXPORT_CT="(None)","",IFERROR(INDEX(INDIRECT(XLOOKUP(All_Questions_Q_GRID_EXPORT_CT,All_Questions,All_Questions_Options_Names,"None_options")),9),""))</f>
        <v/>
      </c>
      <c r="V30" s="2" t="n"/>
      <c r="W30" s="2" t="str">
        <f>IF(All_Questions_Q_GRID_EXPORT_CT="(None)","",IFERROR(INDEX(INDIRECT(XLOOKUP(All_Questions_Q_GRID_EXPORT_CT,All_Questions,All_Questions_Options_Names,"None_options")),10),""))</f>
        <v/>
      </c>
      <c r="X30" s="2" t="n"/>
      <c r="Y30" s="2" t="str">
        <f>IF(All_Questions_Q_GRID_EXPORT_CT="(None)","",IFERROR(INDEX(INDIRECT(XLOOKUP(All_Questions_Q_GRID_EXPORT_CT,All_Questions,All_Questions_Options_Names,"None_options")),11),""))</f>
        <v/>
      </c>
      <c r="Z30" s="2" t="n"/>
      <c r="AA30" s="2" t="str">
        <f>IF(All_Questions_Q_GRID_EXPORT_CT="(None)","",IFERROR(INDEX(INDIRECT(XLOOKUP(All_Questions_Q_GRID_EXPORT_CT,All_Questions,All_Questions_Options_Names,"None_options")),12),""))</f>
        <v/>
      </c>
      <c r="AB30" s="2" t="n"/>
      <c r="AC30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30" s="2" t="n"/>
      <c r="AE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% of resp</t>
        </is>
      </c>
      <c r="I31" s="4" t="inlineStr">
        <is>
          <t># of resp</t>
        </is>
      </c>
      <c r="J31" s="4" t="inlineStr">
        <is>
          <t>% of resp</t>
        </is>
      </c>
      <c r="K31" s="4" t="inlineStr">
        <is>
          <t># of resp</t>
        </is>
      </c>
      <c r="L31" s="4" t="inlineStr">
        <is>
          <t>% of resp</t>
        </is>
      </c>
      <c r="M31" s="4" t="inlineStr">
        <is>
          <t># of resp</t>
        </is>
      </c>
      <c r="N31" s="4" t="inlineStr">
        <is>
          <t>% of resp</t>
        </is>
      </c>
      <c r="O31" s="4" t="inlineStr">
        <is>
          <t># of resp</t>
        </is>
      </c>
      <c r="P31" s="4" t="inlineStr">
        <is>
          <t>% of resp</t>
        </is>
      </c>
      <c r="Q31" s="4" t="inlineStr">
        <is>
          <t># of resp</t>
        </is>
      </c>
      <c r="R31" s="4" t="inlineStr">
        <is>
          <t>% of resp</t>
        </is>
      </c>
      <c r="S31" s="4" t="inlineStr">
        <is>
          <t># of resp</t>
        </is>
      </c>
      <c r="T31" s="4" t="inlineStr">
        <is>
          <t>% of resp</t>
        </is>
      </c>
      <c r="U31" s="4" t="inlineStr">
        <is>
          <t># of resp</t>
        </is>
      </c>
      <c r="V31" s="4" t="inlineStr">
        <is>
          <t>% of resp</t>
        </is>
      </c>
      <c r="W31" s="4" t="inlineStr">
        <is>
          <t># of resp</t>
        </is>
      </c>
      <c r="X31" s="4" t="inlineStr">
        <is>
          <t>% of resp</t>
        </is>
      </c>
      <c r="Y31" s="4" t="inlineStr">
        <is>
          <t># of resp</t>
        </is>
      </c>
      <c r="Z31" s="4" t="inlineStr">
        <is>
          <t>% of resp</t>
        </is>
      </c>
      <c r="AA31" s="4" t="inlineStr">
        <is>
          <t># of resp</t>
        </is>
      </c>
      <c r="AB31" s="4" t="inlineStr">
        <is>
          <t>% of resp</t>
        </is>
      </c>
      <c r="AC31" s="4" t="inlineStr">
        <is>
          <t># of resp</t>
        </is>
      </c>
      <c r="AD31" s="4" t="inlineStr">
        <is>
          <t>% of resp</t>
        </is>
      </c>
      <c r="AE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)</f>
        <v>0</v>
      </c>
      <c r="H32" s="7">
        <f>IFERROR(G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),0)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)</f>
        <v>0</v>
      </c>
      <c r="J32" s="7">
        <f>IFERROR(I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),0)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)</f>
        <v>0</v>
      </c>
      <c r="L32" s="7">
        <f>IFERROR(K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),0)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)</f>
        <v>0</v>
      </c>
      <c r="N32" s="7">
        <f>IFERROR(M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),0)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)</f>
        <v>0</v>
      </c>
      <c r="P32" s="7">
        <f>IFERROR(O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),0)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)</f>
        <v>0</v>
      </c>
      <c r="R32" s="7">
        <f>IFERROR(Q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),0)</f>
        <v>0</v>
      </c>
      <c r="S32">
        <f>IF(OR(All_Questions_Q_GRID_EXPORT_CT="(None)",S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)</f>
        <v>0</v>
      </c>
      <c r="T32" s="7">
        <f>IFERROR(S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),0)</f>
        <v>0</v>
      </c>
      <c r="U32">
        <f>IF(OR(All_Questions_Q_GRID_EXPORT_CT="(None)",U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)</f>
        <v>0</v>
      </c>
      <c r="V32" s="7">
        <f>IFERROR(U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),0)</f>
        <v>0</v>
      </c>
      <c r="W32">
        <f>IF(OR(All_Questions_Q_GRID_EXPORT_CT="(None)",W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)</f>
        <v>0</v>
      </c>
      <c r="X32" s="7">
        <f>IFERROR(W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),0)</f>
        <v>0</v>
      </c>
      <c r="Y32">
        <f>IF(OR(All_Questions_Q_GRID_EXPORT_CT="(None)",Y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)</f>
        <v>0</v>
      </c>
      <c r="Z32" s="7">
        <f>IFERROR(Y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),0)</f>
        <v>0</v>
      </c>
      <c r="AA32">
        <f>IF(OR(All_Questions_Q_GRID_EXPORT_CT="(None)",AA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</f>
        <v>0</v>
      </c>
      <c r="AB32" s="7">
        <f>IFERROR(AA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,0)</f>
        <v>0</v>
      </c>
      <c r="AC32">
        <f>IF(OR(All_Questions_Q_GRID_EXPORT_CT="(None)",AC$30=""),"",IF(AC$30="Other",COUNTIFS(Q_GRID_EXPORTr1_data,"Selected",passes_workbook_filters_data,1,passes_workbook_custom_filters_data,1,All_Questions_passes_local_filters_data,1,All_Questions_Q_GRID_EXPORT_F_passes_per_q_filter_data,1)-SUM(G32,I32,K32,M32,O32,Q32,S32,U32,W32,Y32,AA32)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$30)))</f>
        <v>0</v>
      </c>
      <c r="AD32" s="7">
        <f>IFERROR(AC32/(IF(AC$30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$30))),0)</f>
        <v>0</v>
      </c>
      <c r="AE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)</f>
        <v>0</v>
      </c>
      <c r="H33" s="7">
        <f>IFERROR(G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),0)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)</f>
        <v>0</v>
      </c>
      <c r="J33" s="7">
        <f>IFERROR(I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),0)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)</f>
        <v>0</v>
      </c>
      <c r="L33" s="7">
        <f>IFERROR(K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),0)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)</f>
        <v>0</v>
      </c>
      <c r="N33" s="7">
        <f>IFERROR(M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),0)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)</f>
        <v>0</v>
      </c>
      <c r="P33" s="7">
        <f>IFERROR(O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),0)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)</f>
        <v>0</v>
      </c>
      <c r="R33" s="7">
        <f>IFERROR(Q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),0)</f>
        <v>0</v>
      </c>
      <c r="S33">
        <f>IF(OR(All_Questions_Q_GRID_EXPORT_CT="(None)",S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)</f>
        <v>0</v>
      </c>
      <c r="T33" s="7">
        <f>IFERROR(S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),0)</f>
        <v>0</v>
      </c>
      <c r="U33">
        <f>IF(OR(All_Questions_Q_GRID_EXPORT_CT="(None)",U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)</f>
        <v>0</v>
      </c>
      <c r="V33" s="7">
        <f>IFERROR(U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),0)</f>
        <v>0</v>
      </c>
      <c r="W33">
        <f>IF(OR(All_Questions_Q_GRID_EXPORT_CT="(None)",W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)</f>
        <v>0</v>
      </c>
      <c r="X33" s="7">
        <f>IFERROR(W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),0)</f>
        <v>0</v>
      </c>
      <c r="Y33">
        <f>IF(OR(All_Questions_Q_GRID_EXPORT_CT="(None)",Y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)</f>
        <v>0</v>
      </c>
      <c r="Z33" s="7">
        <f>IFERROR(Y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),0)</f>
        <v>0</v>
      </c>
      <c r="AA33">
        <f>IF(OR(All_Questions_Q_GRID_EXPORT_CT="(None)",AA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</f>
        <v>0</v>
      </c>
      <c r="AB33" s="7">
        <f>IFERROR(AA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,0)</f>
        <v>0</v>
      </c>
      <c r="AC33">
        <f>IF(OR(All_Questions_Q_GRID_EXPORT_CT="(None)",AC$30=""),"",IF(AC$30="Other",COUNTIFS(Q_GRID_EXPORTr2_data,"Selected",passes_workbook_filters_data,1,passes_workbook_custom_filters_data,1,All_Questions_passes_local_filters_data,1,All_Questions_Q_GRID_EXPORT_F_passes_per_q_filter_data,1)-SUM(G33,I33,K33,M33,O33,Q33,S33,U33,W33,Y33,AA33)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$30)))</f>
        <v>0</v>
      </c>
      <c r="AD33" s="7">
        <f>IFERROR(AC33/(IF(AC$30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$30))),0)</f>
        <v>0</v>
      </c>
      <c r="AE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sheet name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40" s="2" t="n"/>
      <c r="I40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40" s="2" t="n"/>
      <c r="K40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40" s="2" t="n"/>
      <c r="M40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40" s="2" t="n"/>
      <c r="O40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40" s="2" t="n"/>
      <c r="Q40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40" s="2" t="n"/>
      <c r="S40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40" s="2" t="n"/>
      <c r="U40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40" s="2" t="n"/>
      <c r="W40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40" s="2" t="n"/>
      <c r="Y40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40" s="2" t="n"/>
      <c r="AA40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40" s="2" t="n"/>
      <c r="AC40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40" s="2" t="n"/>
      <c r="AE40" s="4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s="4" t="inlineStr"/>
      <c r="G41" s="4" t="inlineStr">
        <is>
          <t># of resp</t>
        </is>
      </c>
      <c r="H41" s="4" t="inlineStr">
        <is>
          <t>% of resp</t>
        </is>
      </c>
      <c r="I41" s="4" t="inlineStr">
        <is>
          <t># of resp</t>
        </is>
      </c>
      <c r="J41" s="4" t="inlineStr">
        <is>
          <t>% of resp</t>
        </is>
      </c>
      <c r="K41" s="4" t="inlineStr">
        <is>
          <t># of resp</t>
        </is>
      </c>
      <c r="L41" s="4" t="inlineStr">
        <is>
          <t>% of resp</t>
        </is>
      </c>
      <c r="M41" s="4" t="inlineStr">
        <is>
          <t># of resp</t>
        </is>
      </c>
      <c r="N41" s="4" t="inlineStr">
        <is>
          <t>% of resp</t>
        </is>
      </c>
      <c r="O41" s="4" t="inlineStr">
        <is>
          <t># of resp</t>
        </is>
      </c>
      <c r="P41" s="4" t="inlineStr">
        <is>
          <t>% of resp</t>
        </is>
      </c>
      <c r="Q41" s="4" t="inlineStr">
        <is>
          <t># of resp</t>
        </is>
      </c>
      <c r="R41" s="4" t="inlineStr">
        <is>
          <t>% of resp</t>
        </is>
      </c>
      <c r="S41" s="4" t="inlineStr">
        <is>
          <t># of resp</t>
        </is>
      </c>
      <c r="T41" s="4" t="inlineStr">
        <is>
          <t>% of resp</t>
        </is>
      </c>
      <c r="U41" s="4" t="inlineStr">
        <is>
          <t># of resp</t>
        </is>
      </c>
      <c r="V41" s="4" t="inlineStr">
        <is>
          <t>% of resp</t>
        </is>
      </c>
      <c r="W41" s="4" t="inlineStr">
        <is>
          <t># of resp</t>
        </is>
      </c>
      <c r="X41" s="4" t="inlineStr">
        <is>
          <t>% of resp</t>
        </is>
      </c>
      <c r="Y41" s="4" t="inlineStr">
        <is>
          <t># of resp</t>
        </is>
      </c>
      <c r="Z41" s="4" t="inlineStr">
        <is>
          <t>% of resp</t>
        </is>
      </c>
      <c r="AA41" s="4" t="inlineStr">
        <is>
          <t># of resp</t>
        </is>
      </c>
      <c r="AB41" s="4" t="inlineStr">
        <is>
          <t>% of resp</t>
        </is>
      </c>
      <c r="AC41" s="4" t="inlineStr">
        <is>
          <t># of resp</t>
        </is>
      </c>
      <c r="AD41" s="4" t="inlineStr">
        <is>
          <t>% of resp</t>
        </is>
      </c>
      <c r="AE41" s="4" t="inlineStr">
        <is>
          <t># of resp</t>
        </is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A</t>
        </is>
      </c>
      <c r="G42">
        <f>IF(OR(All_Questions_Q_VERY_LONG_SINGLE_SELECT_EXPORT_NAME_CT="(None)",G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)</f>
        <v>0</v>
      </c>
      <c r="H42" s="7">
        <f>IFERROR(G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),0)</f>
        <v>0</v>
      </c>
      <c r="I42">
        <f>IF(OR(All_Questions_Q_VERY_LONG_SINGLE_SELECT_EXPORT_NAME_CT="(None)",I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)</f>
        <v>0</v>
      </c>
      <c r="J42" s="7">
        <f>IFERROR(I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),0)</f>
        <v>0</v>
      </c>
      <c r="K42">
        <f>IF(OR(All_Questions_Q_VERY_LONG_SINGLE_SELECT_EXPORT_NAME_CT="(None)",K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)</f>
        <v>0</v>
      </c>
      <c r="L42" s="7">
        <f>IFERROR(K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),0)</f>
        <v>0</v>
      </c>
      <c r="M42">
        <f>IF(OR(All_Questions_Q_VERY_LONG_SINGLE_SELECT_EXPORT_NAME_CT="(None)",M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)</f>
        <v>0</v>
      </c>
      <c r="N42" s="7">
        <f>IFERROR(M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),0)</f>
        <v>0</v>
      </c>
      <c r="O42">
        <f>IF(OR(All_Questions_Q_VERY_LONG_SINGLE_SELECT_EXPORT_NAME_CT="(None)",O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)</f>
        <v>0</v>
      </c>
      <c r="P42" s="7">
        <f>IFERROR(O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),0)</f>
        <v>0</v>
      </c>
      <c r="Q42">
        <f>IF(OR(All_Questions_Q_VERY_LONG_SINGLE_SELECT_EXPORT_NAME_CT="(None)",Q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)</f>
        <v>0</v>
      </c>
      <c r="R42" s="7">
        <f>IFERROR(Q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),0)</f>
        <v>0</v>
      </c>
      <c r="S42">
        <f>IF(OR(All_Questions_Q_VERY_LONG_SINGLE_SELECT_EXPORT_NAME_CT="(None)",S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)</f>
        <v>0</v>
      </c>
      <c r="T42" s="7">
        <f>IFERROR(S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),0)</f>
        <v>0</v>
      </c>
      <c r="U42">
        <f>IF(OR(All_Questions_Q_VERY_LONG_SINGLE_SELECT_EXPORT_NAME_CT="(None)",U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)</f>
        <v>0</v>
      </c>
      <c r="V42" s="7">
        <f>IFERROR(U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),0)</f>
        <v>0</v>
      </c>
      <c r="W42">
        <f>IF(OR(All_Questions_Q_VERY_LONG_SINGLE_SELECT_EXPORT_NAME_CT="(None)",W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)</f>
        <v>0</v>
      </c>
      <c r="X42" s="7">
        <f>IFERROR(W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),0)</f>
        <v>0</v>
      </c>
      <c r="Y42">
        <f>IF(OR(All_Questions_Q_VERY_LONG_SINGLE_SELECT_EXPORT_NAME_CT="(None)",Y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)</f>
        <v>0</v>
      </c>
      <c r="Z42" s="7">
        <f>IFERROR(Y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),0)</f>
        <v>0</v>
      </c>
      <c r="AA42">
        <f>IF(OR(All_Questions_Q_VERY_LONG_SINGLE_SELECT_EXPORT_NAME_CT="(None)",AA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</f>
        <v>0</v>
      </c>
      <c r="AB42" s="7">
        <f>IFERROR(AA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,0)</f>
        <v>0</v>
      </c>
      <c r="AC42">
        <f>IF(OR(All_Questions_Q_VERY_LONG_SINGLE_SELECT_EXPORT_NAME_CT="(None)",AC$40=""),"",IF(AC$40="Other",COUNTIFS(Q_VERY_LONG_SINGLE_SELECT_EXPOR_data,"A",passes_workbook_filters_data,1,passes_workbook_custom_filters_data,1,All_Questions_passes_local_filters_data,1,All_Questions_Q_VERY_LONG_SINGLE_SELECT_EXPORT_NAME_F_passes_per_q_filter_data,1)-SUM(G42,I42,K42,M42,O42,Q42,S42,U42,W42,Y42,AA42)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$40)))</f>
        <v>0</v>
      </c>
      <c r="AD42" s="7">
        <f>IFERROR(AC42/(IF(AC$40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$40))),0)</f>
        <v>0</v>
      </c>
      <c r="AE4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B</t>
        </is>
      </c>
      <c r="G43">
        <f>IF(OR(All_Questions_Q_VERY_LONG_SINGLE_SELECT_EXPORT_NAME_CT="(None)",G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)</f>
        <v>0</v>
      </c>
      <c r="H43" s="7">
        <f>IFERROR(G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),0)</f>
        <v>0</v>
      </c>
      <c r="I43">
        <f>IF(OR(All_Questions_Q_VERY_LONG_SINGLE_SELECT_EXPORT_NAME_CT="(None)",I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)</f>
        <v>0</v>
      </c>
      <c r="J43" s="7">
        <f>IFERROR(I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),0)</f>
        <v>0</v>
      </c>
      <c r="K43">
        <f>IF(OR(All_Questions_Q_VERY_LONG_SINGLE_SELECT_EXPORT_NAME_CT="(None)",K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)</f>
        <v>0</v>
      </c>
      <c r="L43" s="7">
        <f>IFERROR(K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),0)</f>
        <v>0</v>
      </c>
      <c r="M43">
        <f>IF(OR(All_Questions_Q_VERY_LONG_SINGLE_SELECT_EXPORT_NAME_CT="(None)",M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)</f>
        <v>0</v>
      </c>
      <c r="N43" s="7">
        <f>IFERROR(M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),0)</f>
        <v>0</v>
      </c>
      <c r="O43">
        <f>IF(OR(All_Questions_Q_VERY_LONG_SINGLE_SELECT_EXPORT_NAME_CT="(None)",O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)</f>
        <v>0</v>
      </c>
      <c r="P43" s="7">
        <f>IFERROR(O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),0)</f>
        <v>0</v>
      </c>
      <c r="Q43">
        <f>IF(OR(All_Questions_Q_VERY_LONG_SINGLE_SELECT_EXPORT_NAME_CT="(None)",Q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)</f>
        <v>0</v>
      </c>
      <c r="R43" s="7">
        <f>IFERROR(Q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),0)</f>
        <v>0</v>
      </c>
      <c r="S43">
        <f>IF(OR(All_Questions_Q_VERY_LONG_SINGLE_SELECT_EXPORT_NAME_CT="(None)",S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)</f>
        <v>0</v>
      </c>
      <c r="T43" s="7">
        <f>IFERROR(S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),0)</f>
        <v>0</v>
      </c>
      <c r="U43">
        <f>IF(OR(All_Questions_Q_VERY_LONG_SINGLE_SELECT_EXPORT_NAME_CT="(None)",U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)</f>
        <v>0</v>
      </c>
      <c r="V43" s="7">
        <f>IFERROR(U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),0)</f>
        <v>0</v>
      </c>
      <c r="W43">
        <f>IF(OR(All_Questions_Q_VERY_LONG_SINGLE_SELECT_EXPORT_NAME_CT="(None)",W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)</f>
        <v>0</v>
      </c>
      <c r="X43" s="7">
        <f>IFERROR(W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),0)</f>
        <v>0</v>
      </c>
      <c r="Y43">
        <f>IF(OR(All_Questions_Q_VERY_LONG_SINGLE_SELECT_EXPORT_NAME_CT="(None)",Y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)</f>
        <v>0</v>
      </c>
      <c r="Z43" s="7">
        <f>IFERROR(Y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),0)</f>
        <v>0</v>
      </c>
      <c r="AA43">
        <f>IF(OR(All_Questions_Q_VERY_LONG_SINGLE_SELECT_EXPORT_NAME_CT="(None)",AA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</f>
        <v>0</v>
      </c>
      <c r="AB43" s="7">
        <f>IFERROR(AA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,0)</f>
        <v>0</v>
      </c>
      <c r="AC43">
        <f>IF(OR(All_Questions_Q_VERY_LONG_SINGLE_SELECT_EXPORT_NAME_CT="(None)",AC$40=""),"",IF(AC$40="Other",COUNTIFS(Q_VERY_LONG_SINGLE_SELECT_EXPOR_data,"B",passes_workbook_filters_data,1,passes_workbook_custom_filters_data,1,All_Questions_passes_local_filters_data,1,All_Questions_Q_VERY_LONG_SINGLE_SELECT_EXPORT_NAME_F_passes_per_q_filter_data,1)-SUM(G43,I43,K43,M43,O43,Q43,S43,U43,W43,Y43,AA43)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$40)))</f>
        <v>0</v>
      </c>
      <c r="AD43" s="7">
        <f>IFERROR(AC43/(IF(AC$40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$40))),0)</f>
        <v>0</v>
      </c>
      <c r="AE4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4"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25">
    <mergeCell ref="I30:J30"/>
    <mergeCell ref="K30:L30"/>
    <mergeCell ref="U40:V40"/>
    <mergeCell ref="W40:X40"/>
    <mergeCell ref="U30:V30"/>
    <mergeCell ref="W30:X30"/>
    <mergeCell ref="AA40:AB40"/>
    <mergeCell ref="O30:P30"/>
    <mergeCell ref="Y30:Z30"/>
    <mergeCell ref="AA30:AB30"/>
    <mergeCell ref="AC30:AD30"/>
    <mergeCell ref="K40:L40"/>
    <mergeCell ref="M40:N40"/>
    <mergeCell ref="M30:N30"/>
    <mergeCell ref="A1:J1"/>
    <mergeCell ref="Q40:R40"/>
    <mergeCell ref="S40:T40"/>
    <mergeCell ref="Y40:Z40"/>
    <mergeCell ref="G30:H30"/>
    <mergeCell ref="O40:P40"/>
    <mergeCell ref="AC40:AD40"/>
    <mergeCell ref="Q30:R30"/>
    <mergeCell ref="S30:T30"/>
    <mergeCell ref="G40:H40"/>
    <mergeCell ref="I40:J40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32:T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32:V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32:X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32:Z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32:AB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32:AD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42:T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42:V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42:X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42:Z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42:AB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42:AD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2026-05-18T10:56:52Z</dcterms:created>
  <dcterms:modified xmlns:dcterms="http://purl.org/dc/terms/" xmlns:xsi="http://www.w3.org/2001/XMLSchema-instance" xsi:type="dcterms:W3CDTF">2026-05-18T10:56:53Z</dcterms:modified>
</cp:coreProperties>
</file>