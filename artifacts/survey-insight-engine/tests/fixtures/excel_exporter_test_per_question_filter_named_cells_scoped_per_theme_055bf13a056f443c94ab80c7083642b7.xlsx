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resolved_criteria">'All Questions'!$H$24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resolved_criteria">'All Questions'!$H$42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H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H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IF(Theme_One_Q_SS_EXPORT_CT="(None)","",IFERROR(INDEX(INDIRECT(IFERROR(INDEX(Cross_Tab_Questions_Options_Names,MATCH(Theme_One_Q_SS_EXPORT_CT,Cross_Tab_Questions,0)),"'_Options'!$E$2:$E$2")),2),""))</f>
        <v/>
      </c>
      <c r="H16" s="2" t="str">
        <f>IF(Theme_One_Q_SS_EXPORT_CT="(None)","",IFERROR(INDEX(INDIRECT(IFERROR(INDEX(Cross_Tab_Questions_Options_Names,MATCH(Theme_One_Q_SS_EXPORT_CT,Cross_Tab_Questions,0)),"'_Options'!$E$2:$E$2")),3),""))</f>
        <v/>
      </c>
      <c r="I16" s="2" t="str">
        <f>IF(Theme_One_Q_SS_EXPORT_CT="(None)","",IFERROR(INDEX(INDIRECT(IFERROR(INDEX(Cross_Tab_Questions_Options_Names,MATCH(Theme_One_Q_SS_EXPORT_CT,Cross_Tab_Questions,0)),"'_Options'!$E$2:$E$2")),4),""))</f>
        <v/>
      </c>
      <c r="J16" s="2" t="str">
        <f>IF(Theme_One_Q_SS_EXPORT_CT="(None)","",IFERROR(INDEX(INDIRECT(IFERROR(INDEX(Cross_Tab_Questions_Options_Names,MATCH(Theme_One_Q_SS_EXPORT_CT,Cross_Tab_Questions,0)),"'_Options'!$E$2:$E$2")),5),""))</f>
        <v/>
      </c>
      <c r="K16" s="2" t="str">
        <f>IF(Theme_One_Q_SS_EXPORT_CT="(None)","",IFERROR(INDEX(INDIRECT(IFERROR(INDEX(Cross_Tab_Questions_Options_Names,MATCH(Theme_One_Q_SS_EXPORT_CT,Cross_Tab_Questions,0)),"'_Options'!$E$2:$E$2")),6),""))</f>
        <v/>
      </c>
      <c r="L16" s="2" t="str">
        <f>IF(Theme_One_Q_SS_EXPORT_CT="(None)","",IFERROR(INDEX(INDIRECT(IFERROR(INDEX(Cross_Tab_Questions_Options_Names,MATCH(Theme_One_Q_SS_EXPORT_CT,Cross_Tab_Questions,0)),"'_Options'!$E$2:$E$2")),7),""))</f>
        <v/>
      </c>
      <c r="M16" s="2" t="str">
        <f>IF(Theme_One_Q_SS_EXPORT_CT="(None)","",IFERROR(INDEX(INDIRECT(IFERROR(INDEX(Cross_Tab_Questions_Options_Names,MATCH(Theme_One_Q_SS_EXPORT_CT,Cross_Tab_Questions,0)),"'_Options'!$E$2:$E$2")),8),""))</f>
        <v/>
      </c>
      <c r="N16" s="2" t="str">
        <f>IF(Theme_One_Q_SS_EXPORT_CT="(None)","",IFERROR(INDEX(INDIRECT(IFERROR(INDEX(Cross_Tab_Questions_Options_Names,MATCH(Theme_One_Q_SS_EXPORT_CT,Cross_Tab_Questions,0)),"'_Options'!$E$2:$E$2")),9),""))</f>
        <v/>
      </c>
      <c r="O16" s="2" t="str">
        <f>IF(Theme_One_Q_SS_EXPORT_CT="(None)","",IFERROR(INDEX(INDIRECT(IFERROR(INDEX(Cross_Tab_Questions_Options_Names,MATCH(Theme_One_Q_SS_EXPORT_CT,Cross_Tab_Questions,0)),"'_Options'!$E$2:$E$2")),10),""))</f>
        <v/>
      </c>
      <c r="P16" s="2" t="str">
        <f>IF(Theme_One_Q_SS_EXPORT_CT="(None)","",IFERROR(INDEX(INDIRECT(IFERROR(INDEX(Cross_Tab_Questions_Options_Names,MATCH(Theme_One_Q_SS_EXPORT_CT,Cross_Tab_Questions,0)),"'_Options'!$E$2:$E$2")),11),""))</f>
        <v/>
      </c>
      <c r="Q16" s="2" t="str">
        <f>IF(Theme_One_Q_SS_EXPORT_CT="(None)","",IFERROR(INDEX(INDIRECT(IFERROR(INDEX(Cross_Tab_Questions_Options_Names,MATCH(Theme_One_Q_SS_EXPORT_CT,Cross_Tab_Questions,0)),"'_Options'!$E$2:$E$2")),12),""))</f>
        <v/>
      </c>
      <c r="R16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IF(Theme_Two_Q_NUM_EXPORT_CT="(None)","",IFERROR(INDEX(INDIRECT(IFERROR(INDEX(Cross_Tab_Questions_Options_Names,MATCH(Theme_Two_Q_NUM_EXPORT_CT,Cross_Tab_Questions,0)),"'_Options'!$E$2:$E$2")),2),""))</f>
        <v/>
      </c>
      <c r="H23" s="2" t="str">
        <f>IF(Theme_Two_Q_NUM_EXPORT_CT="(None)","",IFERROR(INDEX(INDIRECT(IFERROR(INDEX(Cross_Tab_Questions_Options_Names,MATCH(Theme_Two_Q_NUM_EXPORT_CT,Cross_Tab_Questions,0)),"'_Options'!$E$2:$E$2")),3),""))</f>
        <v/>
      </c>
      <c r="I23" s="2" t="str">
        <f>IF(Theme_Two_Q_NUM_EXPORT_CT="(None)","",IFERROR(INDEX(INDIRECT(IFERROR(INDEX(Cross_Tab_Questions_Options_Names,MATCH(Theme_Two_Q_NUM_EXPORT_CT,Cross_Tab_Questions,0)),"'_Options'!$E$2:$E$2")),4),""))</f>
        <v/>
      </c>
      <c r="J23" s="2" t="str">
        <f>IF(Theme_Two_Q_NUM_EXPORT_CT="(None)","",IFERROR(INDEX(INDIRECT(IFERROR(INDEX(Cross_Tab_Questions_Options_Names,MATCH(Theme_Two_Q_NUM_EXPORT_CT,Cross_Tab_Questions,0)),"'_Options'!$E$2:$E$2")),5),""))</f>
        <v/>
      </c>
      <c r="K23" s="2" t="str">
        <f>IF(Theme_Two_Q_NUM_EXPORT_CT="(None)","",IFERROR(INDEX(INDIRECT(IFERROR(INDEX(Cross_Tab_Questions_Options_Names,MATCH(Theme_Two_Q_NUM_EXPORT_CT,Cross_Tab_Questions,0)),"'_Options'!$E$2:$E$2")),6),""))</f>
        <v/>
      </c>
      <c r="L23" s="2" t="str">
        <f>IF(Theme_Two_Q_NUM_EXPORT_CT="(None)","",IFERROR(INDEX(INDIRECT(IFERROR(INDEX(Cross_Tab_Questions_Options_Names,MATCH(Theme_Two_Q_NUM_EXPORT_CT,Cross_Tab_Questions,0)),"'_Options'!$E$2:$E$2")),7),""))</f>
        <v/>
      </c>
      <c r="M23" s="2" t="str">
        <f>IF(Theme_Two_Q_NUM_EXPORT_CT="(None)","",IFERROR(INDEX(INDIRECT(IFERROR(INDEX(Cross_Tab_Questions_Options_Names,MATCH(Theme_Two_Q_NUM_EXPORT_CT,Cross_Tab_Questions,0)),"'_Options'!$E$2:$E$2")),8),""))</f>
        <v/>
      </c>
      <c r="N23" s="2" t="str">
        <f>IF(Theme_Two_Q_NUM_EXPORT_CT="(None)","",IFERROR(INDEX(INDIRECT(IFERROR(INDEX(Cross_Tab_Questions_Options_Names,MATCH(Theme_Two_Q_NUM_EXPORT_CT,Cross_Tab_Questions,0)),"'_Options'!$E$2:$E$2")),9),""))</f>
        <v/>
      </c>
      <c r="O23" s="2" t="str">
        <f>IF(Theme_Two_Q_NUM_EXPORT_CT="(None)","",IFERROR(INDEX(INDIRECT(IFERROR(INDEX(Cross_Tab_Questions_Options_Names,MATCH(Theme_Two_Q_NUM_EXPORT_CT,Cross_Tab_Questions,0)),"'_Options'!$E$2:$E$2")),10),""))</f>
        <v/>
      </c>
      <c r="P23" s="2" t="str">
        <f>IF(Theme_Two_Q_NUM_EXPORT_CT="(None)","",IFERROR(INDEX(INDIRECT(IFERROR(INDEX(Cross_Tab_Questions_Options_Names,MATCH(Theme_Two_Q_NUM_EXPORT_CT,Cross_Tab_Questions,0)),"'_Options'!$E$2:$E$2")),11),""))</f>
        <v/>
      </c>
      <c r="Q23" s="2" t="str">
        <f>IF(Theme_Two_Q_NUM_EXPORT_CT="(None)","",IFERROR(INDEX(INDIRECT(IFERROR(INDEX(Cross_Tab_Questions_Options_Names,MATCH(Theme_Two_Q_NUM_EXPORT_CT,Cross_Tab_Questions,0)),"'_Options'!$E$2:$E$2")),12),""))</f>
        <v/>
      </c>
      <c r="R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IF(All_Questions_Q_MS_EXPORT_CT="(None)","",IFERROR(INDEX(INDIRECT(IFERROR(INDEX(Cross_Tab_Questions_Options_Names,MATCH(All_Questions_Q_MS_EXPORT_CT,Cross_Tab_Questions,0)),"'_Options'!$E$2:$E$2")),2),""))</f>
        <v/>
      </c>
      <c r="H16" s="2" t="str">
        <f>IF(All_Questions_Q_MS_EXPORT_CT="(None)","",IFERROR(INDEX(INDIRECT(IFERROR(INDEX(Cross_Tab_Questions_Options_Names,MATCH(All_Questions_Q_MS_EXPORT_CT,Cross_Tab_Questions,0)),"'_Options'!$E$2:$E$2")),3),""))</f>
        <v/>
      </c>
      <c r="I16" s="2" t="str">
        <f>IF(All_Questions_Q_MS_EXPORT_CT="(None)","",IFERROR(INDEX(INDIRECT(IFERROR(INDEX(Cross_Tab_Questions_Options_Names,MATCH(All_Questions_Q_MS_EXPORT_CT,Cross_Tab_Questions,0)),"'_Options'!$E$2:$E$2")),4),""))</f>
        <v/>
      </c>
      <c r="J16" s="2" t="str">
        <f>IF(All_Questions_Q_MS_EXPORT_CT="(None)","",IFERROR(INDEX(INDIRECT(IFERROR(INDEX(Cross_Tab_Questions_Options_Names,MATCH(All_Questions_Q_MS_EXPORT_CT,Cross_Tab_Questions,0)),"'_Options'!$E$2:$E$2")),5),""))</f>
        <v/>
      </c>
      <c r="K16" s="2" t="str">
        <f>IF(All_Questions_Q_MS_EXPORT_CT="(None)","",IFERROR(INDEX(INDIRECT(IFERROR(INDEX(Cross_Tab_Questions_Options_Names,MATCH(All_Questions_Q_MS_EXPORT_CT,Cross_Tab_Questions,0)),"'_Options'!$E$2:$E$2")),6),""))</f>
        <v/>
      </c>
      <c r="L16" s="2" t="str">
        <f>IF(All_Questions_Q_MS_EXPORT_CT="(None)","",IFERROR(INDEX(INDIRECT(IFERROR(INDEX(Cross_Tab_Questions_Options_Names,MATCH(All_Questions_Q_MS_EXPORT_CT,Cross_Tab_Questions,0)),"'_Options'!$E$2:$E$2")),7),""))</f>
        <v/>
      </c>
      <c r="M16" s="2" t="str">
        <f>IF(All_Questions_Q_MS_EXPORT_CT="(None)","",IFERROR(INDEX(INDIRECT(IFERROR(INDEX(Cross_Tab_Questions_Options_Names,MATCH(All_Questions_Q_MS_EXPORT_CT,Cross_Tab_Questions,0)),"'_Options'!$E$2:$E$2")),8),""))</f>
        <v/>
      </c>
      <c r="N16" s="2" t="str">
        <f>IF(All_Questions_Q_MS_EXPORT_CT="(None)","",IFERROR(INDEX(INDIRECT(IFERROR(INDEX(Cross_Tab_Questions_Options_Names,MATCH(All_Questions_Q_MS_EXPORT_CT,Cross_Tab_Questions,0)),"'_Options'!$E$2:$E$2")),9),""))</f>
        <v/>
      </c>
      <c r="O16" s="2" t="str">
        <f>IF(All_Questions_Q_MS_EXPORT_CT="(None)","",IFERROR(INDEX(INDIRECT(IFERROR(INDEX(Cross_Tab_Questions_Options_Names,MATCH(All_Questions_Q_MS_EXPORT_CT,Cross_Tab_Questions,0)),"'_Options'!$E$2:$E$2")),10),""))</f>
        <v/>
      </c>
      <c r="P16" s="2" t="str">
        <f>IF(All_Questions_Q_MS_EXPORT_CT="(None)","",IFERROR(INDEX(INDIRECT(IFERROR(INDEX(Cross_Tab_Questions_Options_Names,MATCH(All_Questions_Q_MS_EXPORT_CT,Cross_Tab_Questions,0)),"'_Options'!$E$2:$E$2")),11),""))</f>
        <v/>
      </c>
      <c r="Q16" s="2" t="str">
        <f>IF(All_Questions_Q_MS_EXPORT_CT="(None)","",IFERROR(INDEX(INDIRECT(IFERROR(INDEX(Cross_Tab_Questions_Options_Names,MATCH(All_Questions_Q_MS_EXPORT_CT,Cross_Tab_Questions,0)),"'_Options'!$E$2:$E$2")),12),""))</f>
        <v/>
      </c>
      <c r="R16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24" t="str">
        <f>"|" &amp; SUBSTITUTE(All_Questions_Q_GRID_EXPORT_F_V, ", ", "|") &amp; "|"</f>
        <v>|(All)|</v>
      </c>
      <c r="H24" t="str">
        <f>IFERROR(INDEX(All_Questions_Value_Criteria,MATCH(All_Questions_Q_GRID_EXPORT_F_Q&amp;"|"&amp;All_Questions_Q_GRID_EXPORT_F_V,All_Questions_Value_Keys,0)),All_Questions_Q_GRID_EXPORT_F_V)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34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34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34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34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34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34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34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34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34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34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34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2" t="str">
        <f>"|" &amp; SUBSTITUTE(All_Questions_Q_VERY_LONG_SINGLE_SELECT_EXPORT_NAME_F_V, ", ", "|") &amp; "|"</f>
        <v>|(All)|</v>
      </c>
      <c r="H42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45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45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2026-06-09T06:56:06.215400+00:00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2026-06-09T06:56:06.215615+00:00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2026-06-09T06:56:06.215805+00:00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2026-06-09T06:56:06.216059+00:00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2026-06-09T06:56:06.216289+00:00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2026-06-09T06:56:06.216500+00:00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2026-06-09T06:56:06.216692+00:00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2026-06-09T06:56:06.216876+00:00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2026-06-09T06:56:06.217113+00:00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2026-06-09T06:56:06.217305+00:00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2026-06-09T06:56:06.217494+00:00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2026-06-09T06:56:06.217761+00:00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2026-06-09T06:56:06.256220+00:00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2026-06-09T06:56:06.256556+00:00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2026-06-09T06:56:06.256832+00:00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2026-06-09T06:56:06.257162+00:00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2026-06-09T06:56:06.257437+00:00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2026-06-09T06:56:06.257707+00:00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2026-06-09T06:56:06.258024+00:00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2026-06-09T06:56:06.258304+00:00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2026-06-09T06:56:06.258572+00:00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2026-06-09T06:56:06.258840+00:00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2026-06-09T06:56:06.259159+00:00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2026-06-09T06:56:06.259510+00:00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2026-06-09T06:56:06.260038+00:00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2026-06-09T06:56:06.260318+00:00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2026-06-09T06:56:06.260589+00:00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2026-06-09T06:56:06.260862+00:00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2026-06-09T06:56:06.261194+00:00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2026-06-09T06:56:06.261467+00:00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2026-06-09T06:56:06.261734+00:00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2026-06-09T06:56:06.262047+00:00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2026-06-09T06:56:06.262324+00:00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2026-06-09T06:56:06.262594+00:00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2026-06-09T06:56:06.262859+00:00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2026-06-09T06:56:06.263257+00:00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2026-06-09T06:56:06Z</dcterms:created>
  <dcterms:modified xmlns:dcterms="http://purl.org/dc/terms/" xmlns:xsi="http://www.w3.org/2001/XMLSchema-instance" xsi:type="dcterms:W3CDTF">2026-06-09T06:56:06Z</dcterms:modified>
</cp:coreProperties>
</file>