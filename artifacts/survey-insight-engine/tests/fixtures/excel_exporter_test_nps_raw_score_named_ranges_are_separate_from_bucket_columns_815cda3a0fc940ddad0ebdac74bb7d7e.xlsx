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B8" i="8"/>
  <c r="C8" i="8"/>
  <c r="D8" i="8"/>
  <c r="E8" i="8"/>
  <c r="F8" i="8"/>
  <c r="G8" i="8"/>
  <c r="H8" i="8"/>
  <c r="I8" i="8"/>
  <c r="J8" i="8"/>
  <c r="K8" i="8"/>
  <c r="L8" i="8"/>
  <c r="M8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N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A21" s="4" t="inlineStr">
        <is>
          <t>Option</t>
        </is>
      </c>
      <c r="B21" s="2" t="str">
        <f>IF(All_Questions_Q_NPS_CT="(None)","",IFERROR(INDEX(INDIRECT(IFERROR(INDEX(Cross_Tab_Questions_Options_Names,MATCH(All_Questions_Q_NPS_CT,Cross_Tab_Questions,0)),"'_Options'!$E$2:$E$2")),2),""))</f>
        <v/>
      </c>
      <c r="C21" s="2" t="str">
        <f>IF(All_Questions_Q_NPS_CT="(None)","",IFERROR(INDEX(INDIRECT(IFERROR(INDEX(Cross_Tab_Questions_Options_Names,MATCH(All_Questions_Q_NPS_CT,Cross_Tab_Questions,0)),"'_Options'!$E$2:$E$2")),3),""))</f>
        <v/>
      </c>
      <c r="D21" s="2" t="str">
        <f>IF(All_Questions_Q_NPS_CT="(None)","",IFERROR(INDEX(INDIRECT(IFERROR(INDEX(Cross_Tab_Questions_Options_Names,MATCH(All_Questions_Q_NPS_CT,Cross_Tab_Questions,0)),"'_Options'!$E$2:$E$2")),4),""))</f>
        <v/>
      </c>
      <c r="E21" s="2" t="str">
        <f>IF(All_Questions_Q_NPS_CT="(None)","",IFERROR(INDEX(INDIRECT(IFERROR(INDEX(Cross_Tab_Questions_Options_Names,MATCH(All_Questions_Q_NPS_CT,Cross_Tab_Questions,0)),"'_Options'!$E$2:$E$2")),5),""))</f>
        <v/>
      </c>
      <c r="F21" s="2" t="str">
        <f>IF(All_Questions_Q_NPS_CT="(None)","",IFERROR(INDEX(INDIRECT(IFERROR(INDEX(Cross_Tab_Questions_Options_Names,MATCH(All_Questions_Q_NPS_CT,Cross_Tab_Questions,0)),"'_Options'!$E$2:$E$2")),6),""))</f>
        <v/>
      </c>
      <c r="G21" s="2" t="str">
        <f>IF(All_Questions_Q_NPS_CT="(None)","",IFERROR(INDEX(INDIRECT(IFERROR(INDEX(Cross_Tab_Questions_Options_Names,MATCH(All_Questions_Q_NPS_CT,Cross_Tab_Questions,0)),"'_Options'!$E$2:$E$2")),7),""))</f>
        <v/>
      </c>
      <c r="H21" s="2" t="str">
        <f>IF(All_Questions_Q_NPS_CT="(None)","",IFERROR(INDEX(INDIRECT(IFERROR(INDEX(Cross_Tab_Questions_Options_Names,MATCH(All_Questions_Q_NPS_CT,Cross_Tab_Questions,0)),"'_Options'!$E$2:$E$2")),8),""))</f>
        <v/>
      </c>
      <c r="I21" s="2" t="str">
        <f>IF(All_Questions_Q_NPS_CT="(None)","",IFERROR(INDEX(INDIRECT(IFERROR(INDEX(Cross_Tab_Questions_Options_Names,MATCH(All_Questions_Q_NPS_CT,Cross_Tab_Questions,0)),"'_Options'!$E$2:$E$2")),9),""))</f>
        <v/>
      </c>
      <c r="J21" s="2" t="str">
        <f>IF(All_Questions_Q_NPS_CT="(None)","",IFERROR(INDEX(INDIRECT(IFERROR(INDEX(Cross_Tab_Questions_Options_Names,MATCH(All_Questions_Q_NPS_CT,Cross_Tab_Questions,0)),"'_Options'!$E$2:$E$2")),10),""))</f>
        <v/>
      </c>
      <c r="K21" s="2" t="str">
        <f>IF(All_Questions_Q_NPS_CT="(None)","",IFERROR(INDEX(INDIRECT(IFERROR(INDEX(Cross_Tab_Questions_Options_Names,MATCH(All_Questions_Q_NPS_CT,Cross_Tab_Questions,0)),"'_Options'!$E$2:$E$2")),11),""))</f>
        <v/>
      </c>
      <c r="L21" s="2" t="str">
        <f>IF(All_Questions_Q_NPS_CT="(None)","",IFERROR(INDEX(INDIRECT(IFERROR(INDEX(Cross_Tab_Questions_Options_Names,MATCH(All_Questions_Q_NPS_CT,Cross_Tab_Questions,0)),"'_Options'!$E$2:$E$2")),12),""))</f>
        <v/>
      </c>
      <c r="M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NPS</t>
        </is>
      </c>
      <c r="C22" s="4" t="inlineStr">
        <is>
          <t>NPS</t>
        </is>
      </c>
      <c r="D22" s="4" t="inlineStr">
        <is>
          <t>NPS</t>
        </is>
      </c>
      <c r="E22" s="4" t="inlineStr">
        <is>
          <t>NPS</t>
        </is>
      </c>
      <c r="F22" s="4" t="inlineStr">
        <is>
          <t>NPS</t>
        </is>
      </c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</row>
    <row r="23">
      <c r="A23" t="inlineStr">
        <is>
          <t>Vendor B</t>
        </is>
      </c>
      <c r="B23" s="16">
        <f>IF(OR(All_Questions_Q_NPS_CT="(None)",B$21=""),"",IF(B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-25</v>
      </c>
      <c r="C23" s="16">
        <f>IF(OR(All_Questions_Q_NPS_CT="(None)",C$21=""),"",IF(C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-25</v>
      </c>
      <c r="D23" s="16">
        <f>IF(OR(All_Questions_Q_NPS_CT="(None)",D$21=""),"",IF(D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-25</v>
      </c>
      <c r="E23" s="16">
        <f>IF(OR(All_Questions_Q_NPS_CT="(None)",E$21=""),"",IF(E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-25</v>
      </c>
      <c r="F23" s="16">
        <f>IF(OR(All_Questions_Q_NPS_CT="(None)",F$21=""),"",IF(F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-25</v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A24" t="inlineStr">
        <is>
          <t>Vendor A</t>
        </is>
      </c>
      <c r="B24" s="16">
        <f>IF(OR(All_Questions_Q_NPS_CT="(None)",B$21=""),"",IF(B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67</v>
      </c>
      <c r="C24" s="16">
        <f>IF(OR(All_Questions_Q_NPS_CT="(None)",C$21=""),"",IF(C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67</v>
      </c>
      <c r="D24" s="16">
        <f>IF(OR(All_Questions_Q_NPS_CT="(None)",D$21=""),"",IF(D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67</v>
      </c>
      <c r="E24" s="16">
        <f>IF(OR(All_Questions_Q_NPS_CT="(None)",E$21=""),"",IF(E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67</v>
      </c>
      <c r="F24" s="16">
        <f>IF(OR(All_Questions_Q_NPS_CT="(None)",F$21=""),"",IF(F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67</v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A8" s="4" t="inlineStr">
        <is>
          <t>Option</t>
        </is>
      </c>
      <c r="B8" s="2" t="str">
        <f>IF(SC_Q_NPS_Q_NPS_CT="(None)","",IFERROR(INDEX(INDIRECT(IFERROR(INDEX(Cross_Tab_Questions_Options_Names,MATCH(SC_Q_NPS_Q_NPS_CT,Cross_Tab_Questions,0)),"'_Options'!$E$2:$E$2")),2),""))</f>
        <v/>
      </c>
      <c r="C8" s="2" t="str">
        <f>IF(SC_Q_NPS_Q_NPS_CT="(None)","",IFERROR(INDEX(INDIRECT(IFERROR(INDEX(Cross_Tab_Questions_Options_Names,MATCH(SC_Q_NPS_Q_NPS_CT,Cross_Tab_Questions,0)),"'_Options'!$E$2:$E$2")),3),""))</f>
        <v/>
      </c>
      <c r="D8" s="2" t="str">
        <f>IF(SC_Q_NPS_Q_NPS_CT="(None)","",IFERROR(INDEX(INDIRECT(IFERROR(INDEX(Cross_Tab_Questions_Options_Names,MATCH(SC_Q_NPS_Q_NPS_CT,Cross_Tab_Questions,0)),"'_Options'!$E$2:$E$2")),4),""))</f>
        <v/>
      </c>
      <c r="E8" s="2" t="str">
        <f>IF(SC_Q_NPS_Q_NPS_CT="(None)","",IFERROR(INDEX(INDIRECT(IFERROR(INDEX(Cross_Tab_Questions_Options_Names,MATCH(SC_Q_NPS_Q_NPS_CT,Cross_Tab_Questions,0)),"'_Options'!$E$2:$E$2")),5),""))</f>
        <v/>
      </c>
      <c r="F8" s="2" t="str">
        <f>IF(SC_Q_NPS_Q_NPS_CT="(None)","",IFERROR(INDEX(INDIRECT(IFERROR(INDEX(Cross_Tab_Questions_Options_Names,MATCH(SC_Q_NPS_Q_NPS_CT,Cross_Tab_Questions,0)),"'_Options'!$E$2:$E$2")),6),""))</f>
        <v/>
      </c>
      <c r="G8" s="2" t="str">
        <f>IF(SC_Q_NPS_Q_NPS_CT="(None)","",IFERROR(INDEX(INDIRECT(IFERROR(INDEX(Cross_Tab_Questions_Options_Names,MATCH(SC_Q_NPS_Q_NPS_CT,Cross_Tab_Questions,0)),"'_Options'!$E$2:$E$2")),7),""))</f>
        <v/>
      </c>
      <c r="H8" s="2" t="str">
        <f>IF(SC_Q_NPS_Q_NPS_CT="(None)","",IFERROR(INDEX(INDIRECT(IFERROR(INDEX(Cross_Tab_Questions_Options_Names,MATCH(SC_Q_NPS_Q_NPS_CT,Cross_Tab_Questions,0)),"'_Options'!$E$2:$E$2")),8),""))</f>
        <v/>
      </c>
      <c r="I8" s="2" t="str">
        <f>IF(SC_Q_NPS_Q_NPS_CT="(None)","",IFERROR(INDEX(INDIRECT(IFERROR(INDEX(Cross_Tab_Questions_Options_Names,MATCH(SC_Q_NPS_Q_NPS_CT,Cross_Tab_Questions,0)),"'_Options'!$E$2:$E$2")),9),""))</f>
        <v/>
      </c>
      <c r="J8" s="2" t="str">
        <f>IF(SC_Q_NPS_Q_NPS_CT="(None)","",IFERROR(INDEX(INDIRECT(IFERROR(INDEX(Cross_Tab_Questions_Options_Names,MATCH(SC_Q_NPS_Q_NPS_CT,Cross_Tab_Questions,0)),"'_Options'!$E$2:$E$2")),10),""))</f>
        <v/>
      </c>
      <c r="K8" s="2" t="str">
        <f>IF(SC_Q_NPS_Q_NPS_CT="(None)","",IFERROR(INDEX(INDIRECT(IFERROR(INDEX(Cross_Tab_Questions_Options_Names,MATCH(SC_Q_NPS_Q_NPS_CT,Cross_Tab_Questions,0)),"'_Options'!$E$2:$E$2")),11),""))</f>
        <v/>
      </c>
      <c r="L8" s="2" t="str">
        <f>IF(SC_Q_NPS_Q_NPS_CT="(None)","",IFERROR(INDEX(INDIRECT(IFERROR(INDEX(Cross_Tab_Questions_Options_Names,MATCH(SC_Q_NPS_Q_NPS_CT,Cross_Tab_Questions,0)),"'_Options'!$E$2:$E$2")),12),""))</f>
        <v/>
      </c>
      <c r="M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N8" s="4" t="inlineStr">
        <is>
          <t>Total</t>
        </is>
      </c>
    </row>
    <row r="9">
      <c r="A9" s="4" t="inlineStr"/>
      <c r="B9" s="4" t="inlineStr">
        <is>
          <t>NPS</t>
        </is>
      </c>
      <c r="C9" s="4" t="inlineStr">
        <is>
          <t>NPS</t>
        </is>
      </c>
      <c r="D9" s="4" t="inlineStr">
        <is>
          <t>NPS</t>
        </is>
      </c>
      <c r="E9" s="4" t="inlineStr">
        <is>
          <t>NPS</t>
        </is>
      </c>
      <c r="F9" s="4" t="inlineStr">
        <is>
          <t>NPS</t>
        </is>
      </c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</row>
    <row r="10">
      <c r="A10" t="inlineStr">
        <is>
          <t>Vendor B</t>
        </is>
      </c>
      <c r="B10" s="16">
        <f>IF(OR(SC_Q_NPS_Q_NPS_CT="(None)",B$8=""),"",IF(B$8="Other","",IFERROR(((COUNTIFS(Q_NPS_B_data,"&gt;=9",Q_NPS_B_data,"&lt;=10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-(COUNTIFS(Q_NPS_B_data,"&gt;=0",Q_NPS_B_data,"&lt;=6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)*100,"")))</f>
        <v>-25</v>
      </c>
      <c r="C10" s="16">
        <f>IF(OR(SC_Q_NPS_Q_NPS_CT="(None)",C$8=""),"",IF(C$8="Other","",IFERROR(((COUNTIFS(Q_NPS_B_data,"&gt;=9",Q_NPS_B_data,"&lt;=10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-(COUNTIFS(Q_NPS_B_data,"&gt;=0",Q_NPS_B_data,"&lt;=6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)*100,"")))</f>
        <v>-25</v>
      </c>
      <c r="D10" s="16">
        <f>IF(OR(SC_Q_NPS_Q_NPS_CT="(None)",D$8=""),"",IF(D$8="Other","",IFERROR(((COUNTIFS(Q_NPS_B_data,"&gt;=9",Q_NPS_B_data,"&lt;=10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-(COUNTIFS(Q_NPS_B_data,"&gt;=0",Q_NPS_B_data,"&lt;=6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)*100,"")))</f>
        <v>-25</v>
      </c>
      <c r="E10" s="16">
        <f>IF(OR(SC_Q_NPS_Q_NPS_CT="(None)",E$8=""),"",IF(E$8="Other","",IFERROR(((COUNTIFS(Q_NPS_B_data,"&gt;=9",Q_NPS_B_data,"&lt;=10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-(COUNTIFS(Q_NPS_B_data,"&gt;=0",Q_NPS_B_data,"&lt;=6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)*100,"")))</f>
        <v>-25</v>
      </c>
      <c r="F10" s="16">
        <f>IF(OR(SC_Q_NPS_Q_NPS_CT="(None)",F$8=""),"",IF(F$8="Other","",IFERROR(((COUNTIFS(Q_NPS_B_data,"&gt;=9",Q_NPS_B_data,"&lt;=10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-(COUNTIFS(Q_NPS_B_data,"&gt;=0",Q_NPS_B_data,"&lt;=6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)*100,"")))</f>
        <v>-25</v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A11" t="inlineStr">
        <is>
          <t>Vendor A</t>
        </is>
      </c>
      <c r="B11" s="16">
        <f>IF(OR(SC_Q_NPS_Q_NPS_CT="(None)",B$8=""),"",IF(B$8="Other","",IFERROR(((COUNTIFS(Q_NPS_A_data,"&gt;=9",Q_NPS_A_data,"&lt;=10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-(COUNTIFS(Q_NPS_A_data,"&gt;=0",Q_NPS_A_data,"&lt;=6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)*100,"")))</f>
        <v>67</v>
      </c>
      <c r="C11" s="16">
        <f>IF(OR(SC_Q_NPS_Q_NPS_CT="(None)",C$8=""),"",IF(C$8="Other","",IFERROR(((COUNTIFS(Q_NPS_A_data,"&gt;=9",Q_NPS_A_data,"&lt;=10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-(COUNTIFS(Q_NPS_A_data,"&gt;=0",Q_NPS_A_data,"&lt;=6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)*100,"")))</f>
        <v>67</v>
      </c>
      <c r="D11" s="16">
        <f>IF(OR(SC_Q_NPS_Q_NPS_CT="(None)",D$8=""),"",IF(D$8="Other","",IFERROR(((COUNTIFS(Q_NPS_A_data,"&gt;=9",Q_NPS_A_data,"&lt;=10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-(COUNTIFS(Q_NPS_A_data,"&gt;=0",Q_NPS_A_data,"&lt;=6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)*100,"")))</f>
        <v>67</v>
      </c>
      <c r="E11" s="16">
        <f>IF(OR(SC_Q_NPS_Q_NPS_CT="(None)",E$8=""),"",IF(E$8="Other","",IFERROR(((COUNTIFS(Q_NPS_A_data,"&gt;=9",Q_NPS_A_data,"&lt;=10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-(COUNTIFS(Q_NPS_A_data,"&gt;=0",Q_NPS_A_data,"&lt;=6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)*100,"")))</f>
        <v>67</v>
      </c>
      <c r="F11" s="16">
        <f>IF(OR(SC_Q_NPS_Q_NPS_CT="(None)",F$8=""),"",IF(F$8="Other","",IFERROR(((COUNTIFS(Q_NPS_A_data,"&gt;=9",Q_NPS_A_data,"&lt;=10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-(COUNTIFS(Q_NPS_A_data,"&gt;=0",Q_NPS_A_data,"&lt;=6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)*100,"")))</f>
        <v>67</v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A12" s="4" t="inlineStr">
        <is>
          <t>Total respondents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B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C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D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:E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:F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2026-06-09T11:19:26.972342+00:00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2026-06-09T11:19:26.972385+00:00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2026-06-09T11:19:26.972418+00:00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2026-06-09T11:19:26.972448+00:00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2026-06-09T11:19:26.972487+00:00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2026-06-09T11:19:26.972519+00:00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2026-06-09T11:19:26.972552+00:00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2026-06-09T11:19:26.972586+00:00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2026-06-09T11:19:26.975233+00:00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2026-06-09T11:19:26.975285+00:00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2026-06-09T11:19:26.975320+00:00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2026-06-09T11:19:26.975351+00:00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2026-06-09T11:19:26.975390+00:00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2026-06-09T11:19:26.975422+00:00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2026-06-09T11:19:26.975454+00:00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2026-06-09T11:19:26.975487+00:00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B$21</t>
        </is>
      </c>
      <c r="H18">
        <f>IF(OR(All_Questions_Q_NPS_CT="(None)",B$21=""),"",IF(B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0</v>
      </c>
      <c r="I18" t="n">
        <v>-25</v>
      </c>
      <c r="J18" t="n">
        <v>0</v>
      </c>
      <c r="K18" t="n">
        <v>0</v>
      </c>
      <c r="L18" t="inlineStr">
        <is>
          <t>2026-06-09T11:19:27.862857+00:00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C$21</t>
        </is>
      </c>
      <c r="H19">
        <f>IF(OR(All_Questions_Q_NPS_CT="(None)",C$21=""),"",IF(C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0</v>
      </c>
      <c r="I19" t="n">
        <v>-25</v>
      </c>
      <c r="J19" t="n">
        <v>0</v>
      </c>
      <c r="K19" t="n">
        <v>0</v>
      </c>
      <c r="L19" t="inlineStr">
        <is>
          <t>2026-06-09T11:19:27.863314+00:00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D$21</t>
        </is>
      </c>
      <c r="H20">
        <f>IF(OR(All_Questions_Q_NPS_CT="(None)",D$21=""),"",IF(D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0</v>
      </c>
      <c r="I20" t="n">
        <v>-25</v>
      </c>
      <c r="J20" t="n">
        <v>0</v>
      </c>
      <c r="K20" t="n">
        <v>0</v>
      </c>
      <c r="L20" t="inlineStr">
        <is>
          <t>2026-06-09T11:19:27.863593+00:00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E$21</t>
        </is>
      </c>
      <c r="H21">
        <f>IF(OR(All_Questions_Q_NPS_CT="(None)",E$21=""),"",IF(E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0</v>
      </c>
      <c r="I21" t="n">
        <v>-25</v>
      </c>
      <c r="J21" t="n">
        <v>0</v>
      </c>
      <c r="K21" t="n">
        <v>0</v>
      </c>
      <c r="L21" t="inlineStr">
        <is>
          <t>2026-06-09T11:19:27.863857+00:00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F$21</t>
        </is>
      </c>
      <c r="H22">
        <f>IF(OR(All_Questions_Q_NPS_CT="(None)",F$21=""),"",IF(F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0</v>
      </c>
      <c r="I22" t="n">
        <v>-25</v>
      </c>
      <c r="J22" t="n">
        <v>0</v>
      </c>
      <c r="K22" t="n">
        <v>0</v>
      </c>
      <c r="L22" t="inlineStr">
        <is>
          <t>2026-06-09T11:19:27.864264+00:00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G$21</t>
        </is>
      </c>
      <c r="H23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23" t="n">
        <v>-25</v>
      </c>
      <c r="J23" t="n">
        <v>0</v>
      </c>
      <c r="K23" t="n">
        <v>0</v>
      </c>
      <c r="L23" t="inlineStr">
        <is>
          <t>2026-06-09T11:19:27.864541+00:00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H$21</t>
        </is>
      </c>
      <c r="H24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24" t="n">
        <v>-25</v>
      </c>
      <c r="J24" t="n">
        <v>0</v>
      </c>
      <c r="K24" t="n">
        <v>0</v>
      </c>
      <c r="L24" t="inlineStr">
        <is>
          <t>2026-06-09T11:19:27.864801+00:00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I$21</t>
        </is>
      </c>
      <c r="H25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5" t="n">
        <v>-25</v>
      </c>
      <c r="J25" t="n">
        <v>0</v>
      </c>
      <c r="K25" t="n">
        <v>0</v>
      </c>
      <c r="L25" t="inlineStr">
        <is>
          <t>2026-06-09T11:19:27.865184+00:00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J$21</t>
        </is>
      </c>
      <c r="H2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6" t="n">
        <v>-25</v>
      </c>
      <c r="J26" t="n">
        <v>0</v>
      </c>
      <c r="K26" t="n">
        <v>0</v>
      </c>
      <c r="L26" t="inlineStr">
        <is>
          <t>2026-06-09T11:19:27.865483+00:00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K$21</t>
        </is>
      </c>
      <c r="H27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7" t="n">
        <v>-25</v>
      </c>
      <c r="J27" t="n">
        <v>0</v>
      </c>
      <c r="K27" t="n">
        <v>0</v>
      </c>
      <c r="L27" t="inlineStr">
        <is>
          <t>2026-06-09T11:19:27.865745+00:00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L$21</t>
        </is>
      </c>
      <c r="H28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8" t="n">
        <v>-25</v>
      </c>
      <c r="J28" t="n">
        <v>0</v>
      </c>
      <c r="K28" t="n">
        <v>0</v>
      </c>
      <c r="L28" t="inlineStr">
        <is>
          <t>2026-06-09T11:19:27.866104+00:00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M$21</t>
        </is>
      </c>
      <c r="H29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9" t="n">
        <v>-25</v>
      </c>
      <c r="J29" t="n">
        <v>0</v>
      </c>
      <c r="K29" t="n">
        <v>0</v>
      </c>
      <c r="L29" t="inlineStr">
        <is>
          <t>2026-06-09T11:19:27.866500+00:00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B$21</t>
        </is>
      </c>
      <c r="H30">
        <f>IF(OR(All_Questions_Q_NPS_CT="(None)",B$21=""),"",IF(B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B$21)))*100,"")))</f>
        <v>0</v>
      </c>
      <c r="I30" t="n">
        <v>67</v>
      </c>
      <c r="J30" t="n">
        <v>0</v>
      </c>
      <c r="K30" t="n">
        <v>0</v>
      </c>
      <c r="L30" t="inlineStr">
        <is>
          <t>2026-06-09T11:19:27.867042+00:00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C$21</t>
        </is>
      </c>
      <c r="H31">
        <f>IF(OR(All_Questions_Q_NPS_CT="(None)",C$21=""),"",IF(C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C$21)))*100,"")))</f>
        <v>0</v>
      </c>
      <c r="I31" t="n">
        <v>67</v>
      </c>
      <c r="J31" t="n">
        <v>0</v>
      </c>
      <c r="K31" t="n">
        <v>0</v>
      </c>
      <c r="L31" t="inlineStr">
        <is>
          <t>2026-06-09T11:19:27.867387+00:00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D$21</t>
        </is>
      </c>
      <c r="H32">
        <f>IF(OR(All_Questions_Q_NPS_CT="(None)",D$21=""),"",IF(D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D$21)))*100,"")))</f>
        <v>0</v>
      </c>
      <c r="I32" t="n">
        <v>67</v>
      </c>
      <c r="J32" t="n">
        <v>0</v>
      </c>
      <c r="K32" t="n">
        <v>0</v>
      </c>
      <c r="L32" t="inlineStr">
        <is>
          <t>2026-06-09T11:19:27.867652+00:00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E$21</t>
        </is>
      </c>
      <c r="H33">
        <f>IF(OR(All_Questions_Q_NPS_CT="(None)",E$21=""),"",IF(E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E$21)))*100,"")))</f>
        <v>0</v>
      </c>
      <c r="I33" t="n">
        <v>67</v>
      </c>
      <c r="J33" t="n">
        <v>0</v>
      </c>
      <c r="K33" t="n">
        <v>0</v>
      </c>
      <c r="L33" t="inlineStr">
        <is>
          <t>2026-06-09T11:19:27.867939+00:00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F$21</t>
        </is>
      </c>
      <c r="H34">
        <f>IF(OR(All_Questions_Q_NPS_CT="(None)",F$21=""),"",IF(F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F$21)))*100,"")))</f>
        <v>0</v>
      </c>
      <c r="I34" t="n">
        <v>67</v>
      </c>
      <c r="J34" t="n">
        <v>0</v>
      </c>
      <c r="K34" t="n">
        <v>0</v>
      </c>
      <c r="L34" t="inlineStr">
        <is>
          <t>2026-06-09T11:19:27.868320+00:00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G$21</t>
        </is>
      </c>
      <c r="H35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5" t="n">
        <v>67</v>
      </c>
      <c r="J35" t="n">
        <v>0</v>
      </c>
      <c r="K35" t="n">
        <v>0</v>
      </c>
      <c r="L35" t="inlineStr">
        <is>
          <t>2026-06-09T11:19:27.868590+00:00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H$21</t>
        </is>
      </c>
      <c r="H3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6" t="n">
        <v>67</v>
      </c>
      <c r="J36" t="n">
        <v>0</v>
      </c>
      <c r="K36" t="n">
        <v>0</v>
      </c>
      <c r="L36" t="inlineStr">
        <is>
          <t>2026-06-09T11:19:27.868852+00:00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I$21</t>
        </is>
      </c>
      <c r="H37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7" t="n">
        <v>67</v>
      </c>
      <c r="J37" t="n">
        <v>0</v>
      </c>
      <c r="K37" t="n">
        <v>0</v>
      </c>
      <c r="L37" t="inlineStr">
        <is>
          <t>2026-06-09T11:19:27.869245+00:00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J$21</t>
        </is>
      </c>
      <c r="H38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8" t="n">
        <v>67</v>
      </c>
      <c r="J38" t="n">
        <v>0</v>
      </c>
      <c r="K38" t="n">
        <v>0</v>
      </c>
      <c r="L38" t="inlineStr">
        <is>
          <t>2026-06-09T11:19:27.869526+00:00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K$21</t>
        </is>
      </c>
      <c r="H39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9" t="n">
        <v>67</v>
      </c>
      <c r="J39" t="n">
        <v>0</v>
      </c>
      <c r="K39" t="n">
        <v>0</v>
      </c>
      <c r="L39" t="inlineStr">
        <is>
          <t>2026-06-09T11:19:27.869789+00:00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L$21</t>
        </is>
      </c>
      <c r="H40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40" t="n">
        <v>67</v>
      </c>
      <c r="J40" t="n">
        <v>0</v>
      </c>
      <c r="K40" t="n">
        <v>0</v>
      </c>
      <c r="L40" t="inlineStr">
        <is>
          <t>2026-06-09T11:19:27.870163+00:00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M$21</t>
        </is>
      </c>
      <c r="H41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41" t="n">
        <v>67</v>
      </c>
      <c r="J41" t="n">
        <v>0</v>
      </c>
      <c r="K41" t="n">
        <v>0</v>
      </c>
      <c r="L41" t="inlineStr">
        <is>
          <t>2026-06-09T11:19:27.870544+00:00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B$8</t>
        </is>
      </c>
      <c r="H42">
        <f>IF(OR(SC_Q_NPS_Q_NPS_CT="(None)",B$8=""),"",IF(B$8="Other","",IFERROR(((COUNTIFS(Q_NPS_B_data,"&gt;=9",Q_NPS_B_data,"&lt;=10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-(COUNTIFS(Q_NPS_B_data,"&gt;=0",Q_NPS_B_data,"&lt;=6",passes_workbook_filters_data,1,passes_workbook_custom_filters_data,1,INDIRECT(IFERROR(INDEX(Cross_Tab_Questions_Data_Names,MATCH(SC_Q_NPS_Q_NPS_CT,Cross_Tab_Questions,0)),"'_RawData'!$A:$A")),B$8)/COUNTIFS(Q_NPS_B_data,"&gt;=0",Q_NPS_B_data,"&lt;=10",passes_workbook_filters_data,1,passes_workbook_custom_filters_data,1,INDIRECT(IFERROR(INDEX(Cross_Tab_Questions_Data_Names,MATCH(SC_Q_NPS_Q_NPS_CT,Cross_Tab_Questions,0)),"'_RawData'!$A:$A")),B$8)))*100,"")))</f>
        <v>0</v>
      </c>
      <c r="I42" t="n">
        <v>-25</v>
      </c>
      <c r="J42" t="n">
        <v>0</v>
      </c>
      <c r="K42" t="n">
        <v>0</v>
      </c>
      <c r="L42" t="inlineStr">
        <is>
          <t>2026-06-09T11:19:27.897023+00:00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C$8</t>
        </is>
      </c>
      <c r="H43">
        <f>IF(OR(SC_Q_NPS_Q_NPS_CT="(None)",C$8=""),"",IF(C$8="Other","",IFERROR(((COUNTIFS(Q_NPS_B_data,"&gt;=9",Q_NPS_B_data,"&lt;=10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-(COUNTIFS(Q_NPS_B_data,"&gt;=0",Q_NPS_B_data,"&lt;=6",passes_workbook_filters_data,1,passes_workbook_custom_filters_data,1,INDIRECT(IFERROR(INDEX(Cross_Tab_Questions_Data_Names,MATCH(SC_Q_NPS_Q_NPS_CT,Cross_Tab_Questions,0)),"'_RawData'!$A:$A")),C$8)/COUNTIFS(Q_NPS_B_data,"&gt;=0",Q_NPS_B_data,"&lt;=10",passes_workbook_filters_data,1,passes_workbook_custom_filters_data,1,INDIRECT(IFERROR(INDEX(Cross_Tab_Questions_Data_Names,MATCH(SC_Q_NPS_Q_NPS_CT,Cross_Tab_Questions,0)),"'_RawData'!$A:$A")),C$8)))*100,"")))</f>
        <v>0</v>
      </c>
      <c r="I43" t="n">
        <v>-25</v>
      </c>
      <c r="J43" t="n">
        <v>0</v>
      </c>
      <c r="K43" t="n">
        <v>0</v>
      </c>
      <c r="L43" t="inlineStr">
        <is>
          <t>2026-06-09T11:19:27.897334+00:00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D$8</t>
        </is>
      </c>
      <c r="H44">
        <f>IF(OR(SC_Q_NPS_Q_NPS_CT="(None)",D$8=""),"",IF(D$8="Other","",IFERROR(((COUNTIFS(Q_NPS_B_data,"&gt;=9",Q_NPS_B_data,"&lt;=10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-(COUNTIFS(Q_NPS_B_data,"&gt;=0",Q_NPS_B_data,"&lt;=6",passes_workbook_filters_data,1,passes_workbook_custom_filters_data,1,INDIRECT(IFERROR(INDEX(Cross_Tab_Questions_Data_Names,MATCH(SC_Q_NPS_Q_NPS_CT,Cross_Tab_Questions,0)),"'_RawData'!$A:$A")),D$8)/COUNTIFS(Q_NPS_B_data,"&gt;=0",Q_NPS_B_data,"&lt;=10",passes_workbook_filters_data,1,passes_workbook_custom_filters_data,1,INDIRECT(IFERROR(INDEX(Cross_Tab_Questions_Data_Names,MATCH(SC_Q_NPS_Q_NPS_CT,Cross_Tab_Questions,0)),"'_RawData'!$A:$A")),D$8)))*100,"")))</f>
        <v>0</v>
      </c>
      <c r="I44" t="n">
        <v>-25</v>
      </c>
      <c r="J44" t="n">
        <v>0</v>
      </c>
      <c r="K44" t="n">
        <v>0</v>
      </c>
      <c r="L44" t="inlineStr">
        <is>
          <t>2026-06-09T11:19:27.897548+00:00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E$8</t>
        </is>
      </c>
      <c r="H45">
        <f>IF(OR(SC_Q_NPS_Q_NPS_CT="(None)",E$8=""),"",IF(E$8="Other","",IFERROR(((COUNTIFS(Q_NPS_B_data,"&gt;=9",Q_NPS_B_data,"&lt;=10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-(COUNTIFS(Q_NPS_B_data,"&gt;=0",Q_NPS_B_data,"&lt;=6",passes_workbook_filters_data,1,passes_workbook_custom_filters_data,1,INDIRECT(IFERROR(INDEX(Cross_Tab_Questions_Data_Names,MATCH(SC_Q_NPS_Q_NPS_CT,Cross_Tab_Questions,0)),"'_RawData'!$A:$A")),E$8)/COUNTIFS(Q_NPS_B_data,"&gt;=0",Q_NPS_B_data,"&lt;=10",passes_workbook_filters_data,1,passes_workbook_custom_filters_data,1,INDIRECT(IFERROR(INDEX(Cross_Tab_Questions_Data_Names,MATCH(SC_Q_NPS_Q_NPS_CT,Cross_Tab_Questions,0)),"'_RawData'!$A:$A")),E$8)))*100,"")))</f>
        <v>0</v>
      </c>
      <c r="I45" t="n">
        <v>-25</v>
      </c>
      <c r="J45" t="n">
        <v>0</v>
      </c>
      <c r="K45" t="n">
        <v>0</v>
      </c>
      <c r="L45" t="inlineStr">
        <is>
          <t>2026-06-09T11:19:27.897754+00:00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F$8</t>
        </is>
      </c>
      <c r="H46">
        <f>IF(OR(SC_Q_NPS_Q_NPS_CT="(None)",F$8=""),"",IF(F$8="Other","",IFERROR(((COUNTIFS(Q_NPS_B_data,"&gt;=9",Q_NPS_B_data,"&lt;=10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-(COUNTIFS(Q_NPS_B_data,"&gt;=0",Q_NPS_B_data,"&lt;=6",passes_workbook_filters_data,1,passes_workbook_custom_filters_data,1,INDIRECT(IFERROR(INDEX(Cross_Tab_Questions_Data_Names,MATCH(SC_Q_NPS_Q_NPS_CT,Cross_Tab_Questions,0)),"'_RawData'!$A:$A")),F$8)/COUNTIFS(Q_NPS_B_data,"&gt;=0",Q_NPS_B_data,"&lt;=10",passes_workbook_filters_data,1,passes_workbook_custom_filters_data,1,INDIRECT(IFERROR(INDEX(Cross_Tab_Questions_Data_Names,MATCH(SC_Q_NPS_Q_NPS_CT,Cross_Tab_Questions,0)),"'_RawData'!$A:$A")),F$8)))*100,"")))</f>
        <v>0</v>
      </c>
      <c r="I46" t="n">
        <v>-25</v>
      </c>
      <c r="J46" t="n">
        <v>0</v>
      </c>
      <c r="K46" t="n">
        <v>0</v>
      </c>
      <c r="L46" t="inlineStr">
        <is>
          <t>2026-06-09T11:19:27.898034+00:00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G$8</t>
        </is>
      </c>
      <c r="H47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7" t="n">
        <v>-25</v>
      </c>
      <c r="J47" t="n">
        <v>0</v>
      </c>
      <c r="K47" t="n">
        <v>0</v>
      </c>
      <c r="L47" t="inlineStr">
        <is>
          <t>2026-06-09T11:19:27.898306+00:00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H$8</t>
        </is>
      </c>
      <c r="H48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8" t="n">
        <v>-25</v>
      </c>
      <c r="J48" t="n">
        <v>0</v>
      </c>
      <c r="K48" t="n">
        <v>0</v>
      </c>
      <c r="L48" t="inlineStr">
        <is>
          <t>2026-06-09T11:19:27.898514+00:00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I$8</t>
        </is>
      </c>
      <c r="H49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9" t="n">
        <v>-25</v>
      </c>
      <c r="J49" t="n">
        <v>0</v>
      </c>
      <c r="K49" t="n">
        <v>0</v>
      </c>
      <c r="L49" t="inlineStr">
        <is>
          <t>2026-06-09T11:19:27.898716+00:00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J$8</t>
        </is>
      </c>
      <c r="H50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50" t="n">
        <v>-25</v>
      </c>
      <c r="J50" t="n">
        <v>0</v>
      </c>
      <c r="K50" t="n">
        <v>0</v>
      </c>
      <c r="L50" t="inlineStr">
        <is>
          <t>2026-06-09T11:19:27.898964+00:00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K$8</t>
        </is>
      </c>
      <c r="H51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51" t="n">
        <v>-25</v>
      </c>
      <c r="J51" t="n">
        <v>0</v>
      </c>
      <c r="K51" t="n">
        <v>0</v>
      </c>
      <c r="L51" t="inlineStr">
        <is>
          <t>2026-06-09T11:19:27.899181+00:00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L$8</t>
        </is>
      </c>
      <c r="H52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52" t="n">
        <v>-25</v>
      </c>
      <c r="J52" t="n">
        <v>0</v>
      </c>
      <c r="K52" t="n">
        <v>0</v>
      </c>
      <c r="L52" t="inlineStr">
        <is>
          <t>2026-06-09T11:19:27.899383+00:00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M$8</t>
        </is>
      </c>
      <c r="H53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53" t="n">
        <v>-25</v>
      </c>
      <c r="J53" t="n">
        <v>0</v>
      </c>
      <c r="K53" t="n">
        <v>0</v>
      </c>
      <c r="L53" t="inlineStr">
        <is>
          <t>2026-06-09T11:19:27.899667+00:00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B$8</t>
        </is>
      </c>
      <c r="H54">
        <f>IF(OR(SC_Q_NPS_Q_NPS_CT="(None)",B$8=""),"",IF(B$8="Other","",IFERROR(((COUNTIFS(Q_NPS_A_data,"&gt;=9",Q_NPS_A_data,"&lt;=10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-(COUNTIFS(Q_NPS_A_data,"&gt;=0",Q_NPS_A_data,"&lt;=6",passes_workbook_filters_data,1,passes_workbook_custom_filters_data,1,INDIRECT(IFERROR(INDEX(Cross_Tab_Questions_Data_Names,MATCH(SC_Q_NPS_Q_NPS_CT,Cross_Tab_Questions,0)),"'_RawData'!$A:$A")),B$8)/COUNTIFS(Q_NPS_A_data,"&gt;=0",Q_NPS_A_data,"&lt;=10",passes_workbook_filters_data,1,passes_workbook_custom_filters_data,1,INDIRECT(IFERROR(INDEX(Cross_Tab_Questions_Data_Names,MATCH(SC_Q_NPS_Q_NPS_CT,Cross_Tab_Questions,0)),"'_RawData'!$A:$A")),B$8)))*100,"")))</f>
        <v>0</v>
      </c>
      <c r="I54" t="n">
        <v>67</v>
      </c>
      <c r="J54" t="n">
        <v>0</v>
      </c>
      <c r="K54" t="n">
        <v>0</v>
      </c>
      <c r="L54" t="inlineStr">
        <is>
          <t>2026-06-09T11:19:27.900073+00:00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C$8</t>
        </is>
      </c>
      <c r="H55">
        <f>IF(OR(SC_Q_NPS_Q_NPS_CT="(None)",C$8=""),"",IF(C$8="Other","",IFERROR(((COUNTIFS(Q_NPS_A_data,"&gt;=9",Q_NPS_A_data,"&lt;=10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-(COUNTIFS(Q_NPS_A_data,"&gt;=0",Q_NPS_A_data,"&lt;=6",passes_workbook_filters_data,1,passes_workbook_custom_filters_data,1,INDIRECT(IFERROR(INDEX(Cross_Tab_Questions_Data_Names,MATCH(SC_Q_NPS_Q_NPS_CT,Cross_Tab_Questions,0)),"'_RawData'!$A:$A")),C$8)/COUNTIFS(Q_NPS_A_data,"&gt;=0",Q_NPS_A_data,"&lt;=10",passes_workbook_filters_data,1,passes_workbook_custom_filters_data,1,INDIRECT(IFERROR(INDEX(Cross_Tab_Questions_Data_Names,MATCH(SC_Q_NPS_Q_NPS_CT,Cross_Tab_Questions,0)),"'_RawData'!$A:$A")),C$8)))*100,"")))</f>
        <v>0</v>
      </c>
      <c r="I55" t="n">
        <v>67</v>
      </c>
      <c r="J55" t="n">
        <v>0</v>
      </c>
      <c r="K55" t="n">
        <v>0</v>
      </c>
      <c r="L55" t="inlineStr">
        <is>
          <t>2026-06-09T11:19:27.900281+00:00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D$8</t>
        </is>
      </c>
      <c r="H56">
        <f>IF(OR(SC_Q_NPS_Q_NPS_CT="(None)",D$8=""),"",IF(D$8="Other","",IFERROR(((COUNTIFS(Q_NPS_A_data,"&gt;=9",Q_NPS_A_data,"&lt;=10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-(COUNTIFS(Q_NPS_A_data,"&gt;=0",Q_NPS_A_data,"&lt;=6",passes_workbook_filters_data,1,passes_workbook_custom_filters_data,1,INDIRECT(IFERROR(INDEX(Cross_Tab_Questions_Data_Names,MATCH(SC_Q_NPS_Q_NPS_CT,Cross_Tab_Questions,0)),"'_RawData'!$A:$A")),D$8)/COUNTIFS(Q_NPS_A_data,"&gt;=0",Q_NPS_A_data,"&lt;=10",passes_workbook_filters_data,1,passes_workbook_custom_filters_data,1,INDIRECT(IFERROR(INDEX(Cross_Tab_Questions_Data_Names,MATCH(SC_Q_NPS_Q_NPS_CT,Cross_Tab_Questions,0)),"'_RawData'!$A:$A")),D$8)))*100,"")))</f>
        <v>0</v>
      </c>
      <c r="I56" t="n">
        <v>67</v>
      </c>
      <c r="J56" t="n">
        <v>0</v>
      </c>
      <c r="K56" t="n">
        <v>0</v>
      </c>
      <c r="L56" t="inlineStr">
        <is>
          <t>2026-06-09T11:19:27.900486+00:00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E$8</t>
        </is>
      </c>
      <c r="H57">
        <f>IF(OR(SC_Q_NPS_Q_NPS_CT="(None)",E$8=""),"",IF(E$8="Other","",IFERROR(((COUNTIFS(Q_NPS_A_data,"&gt;=9",Q_NPS_A_data,"&lt;=10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-(COUNTIFS(Q_NPS_A_data,"&gt;=0",Q_NPS_A_data,"&lt;=6",passes_workbook_filters_data,1,passes_workbook_custom_filters_data,1,INDIRECT(IFERROR(INDEX(Cross_Tab_Questions_Data_Names,MATCH(SC_Q_NPS_Q_NPS_CT,Cross_Tab_Questions,0)),"'_RawData'!$A:$A")),E$8)/COUNTIFS(Q_NPS_A_data,"&gt;=0",Q_NPS_A_data,"&lt;=10",passes_workbook_filters_data,1,passes_workbook_custom_filters_data,1,INDIRECT(IFERROR(INDEX(Cross_Tab_Questions_Data_Names,MATCH(SC_Q_NPS_Q_NPS_CT,Cross_Tab_Questions,0)),"'_RawData'!$A:$A")),E$8)))*100,"")))</f>
        <v>0</v>
      </c>
      <c r="I57" t="n">
        <v>67</v>
      </c>
      <c r="J57" t="n">
        <v>0</v>
      </c>
      <c r="K57" t="n">
        <v>0</v>
      </c>
      <c r="L57" t="inlineStr">
        <is>
          <t>2026-06-09T11:19:27.900694+00:00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F$8</t>
        </is>
      </c>
      <c r="H58">
        <f>IF(OR(SC_Q_NPS_Q_NPS_CT="(None)",F$8=""),"",IF(F$8="Other","",IFERROR(((COUNTIFS(Q_NPS_A_data,"&gt;=9",Q_NPS_A_data,"&lt;=10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-(COUNTIFS(Q_NPS_A_data,"&gt;=0",Q_NPS_A_data,"&lt;=6",passes_workbook_filters_data,1,passes_workbook_custom_filters_data,1,INDIRECT(IFERROR(INDEX(Cross_Tab_Questions_Data_Names,MATCH(SC_Q_NPS_Q_NPS_CT,Cross_Tab_Questions,0)),"'_RawData'!$A:$A")),F$8)/COUNTIFS(Q_NPS_A_data,"&gt;=0",Q_NPS_A_data,"&lt;=10",passes_workbook_filters_data,1,passes_workbook_custom_filters_data,1,INDIRECT(IFERROR(INDEX(Cross_Tab_Questions_Data_Names,MATCH(SC_Q_NPS_Q_NPS_CT,Cross_Tab_Questions,0)),"'_RawData'!$A:$A")),F$8)))*100,"")))</f>
        <v>0</v>
      </c>
      <c r="I58" t="n">
        <v>67</v>
      </c>
      <c r="J58" t="n">
        <v>0</v>
      </c>
      <c r="K58" t="n">
        <v>0</v>
      </c>
      <c r="L58" t="inlineStr">
        <is>
          <t>2026-06-09T11:19:27.900901+00:00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G$8</t>
        </is>
      </c>
      <c r="H59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9" t="n">
        <v>67</v>
      </c>
      <c r="J59" t="n">
        <v>0</v>
      </c>
      <c r="K59" t="n">
        <v>0</v>
      </c>
      <c r="L59" t="inlineStr">
        <is>
          <t>2026-06-09T11:19:27.901223+00:00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H$8</t>
        </is>
      </c>
      <c r="H60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60" t="n">
        <v>67</v>
      </c>
      <c r="J60" t="n">
        <v>0</v>
      </c>
      <c r="K60" t="n">
        <v>0</v>
      </c>
      <c r="L60" t="inlineStr">
        <is>
          <t>2026-06-09T11:19:27.901471+00:00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I$8</t>
        </is>
      </c>
      <c r="H61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61" t="n">
        <v>67</v>
      </c>
      <c r="J61" t="n">
        <v>0</v>
      </c>
      <c r="K61" t="n">
        <v>0</v>
      </c>
      <c r="L61" t="inlineStr">
        <is>
          <t>2026-06-09T11:19:27.901675+00:00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J$8</t>
        </is>
      </c>
      <c r="H62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62" t="n">
        <v>67</v>
      </c>
      <c r="J62" t="n">
        <v>0</v>
      </c>
      <c r="K62" t="n">
        <v>0</v>
      </c>
      <c r="L62" t="inlineStr">
        <is>
          <t>2026-06-09T11:19:27.901878+00:00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K$8</t>
        </is>
      </c>
      <c r="H63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63" t="n">
        <v>67</v>
      </c>
      <c r="J63" t="n">
        <v>0</v>
      </c>
      <c r="K63" t="n">
        <v>0</v>
      </c>
      <c r="L63" t="inlineStr">
        <is>
          <t>2026-06-09T11:19:27.902195+00:00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L$8</t>
        </is>
      </c>
      <c r="H64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64" t="n">
        <v>67</v>
      </c>
      <c r="J64" t="n">
        <v>0</v>
      </c>
      <c r="K64" t="n">
        <v>0</v>
      </c>
      <c r="L64" t="inlineStr">
        <is>
          <t>2026-06-09T11:19:27.902407+00:00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M$8</t>
        </is>
      </c>
      <c r="H65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5" t="n">
        <v>67</v>
      </c>
      <c r="J65" t="n">
        <v>0</v>
      </c>
      <c r="K65" t="n">
        <v>0</v>
      </c>
      <c r="L65" t="inlineStr">
        <is>
          <t>2026-06-09T11:19:27.902693+00:00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2026-06-09T11:19:26Z</dcterms:created>
  <dcterms:modified xmlns:dcterms="http://purl.org/dc/terms/" xmlns:xsi="http://www.w3.org/2001/XMLSchema-instance" xsi:type="dcterms:W3CDTF">2026-06-09T11:19:27Z</dcterms:modified>
</cp:coreProperties>
</file>