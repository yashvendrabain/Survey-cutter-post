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ountry_match_data">'_RawData'!$I$2:$I$11</definedName>
    <definedName name="passes_workbook_filters_data">'_RawData'!$J$2:$J$11</definedName>
    <definedName name="F_Custom1_match_data">'_RawData'!$K$2:$K$11</definedName>
    <definedName name="F_Custom2_match_data">'_RawData'!$L$2:$L$11</definedName>
    <definedName name="passes_workbook_custom_filters_data">'_RawData'!$M$2:$M$11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ountry_local_match_data">'_RawData'!$N$2:$N$11</definedName>
    <definedName name="Demographics_passes_local_filters_data">'_RawData'!$O$2:$O$11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'_RawData'!$P$2:$P$11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ountry_local_match_data">'_RawData'!$Q$2:$Q$11</definedName>
    <definedName name="All_Questions_passes_local_filters_data">'_RawData'!$R$2:$R$11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'_RawData'!$S$2:$S$11</definedName>
    <definedName name="All_Questions_Q_MS_EXPORT_CT">'All Questions'!$C$15</definedName>
    <definedName name="All_Questions_Q_NUM_EXPORT_F_Q">'All Questions'!$C$24</definedName>
    <definedName name="All_Questions_Q_NUM_EXPORT_F_V">'All Questions'!$E$24</definedName>
    <definedName name="All_Questions_Q_NUM_EXPORT_F_resolved_column">'All Questions'!$F$24</definedName>
    <definedName name="All_Questions_Q_NUM_EXPORT_F_wrapped">'All Questions'!$G$24</definedName>
    <definedName name="All_Questions_Q_NUM_EXPORT_F_passes_per_q_filter_data">'_RawData'!$T$2:$T$11</definedName>
    <definedName name="All_Questions_Q_NUM_EXPORT_CT">'All Questions'!$C$25</definedName>
    <definedName name="All_Questions_Q_GRID_EXPORT_F_Q">'All Questions'!$C$36</definedName>
    <definedName name="All_Questions_Q_GRID_EXPORT_F_V">'All Questions'!$E$36</definedName>
    <definedName name="All_Questions_Q_GRID_EXPORT_F_resolved_column">'All Questions'!$F$36</definedName>
    <definedName name="All_Questions_Q_GRID_EXPORT_F_wrapped">'All Questions'!$G$36</definedName>
    <definedName name="All_Questions_Q_GRID_EXPORT_F_passes_per_q_filter_data">'_RawData'!$U$2:$U$11</definedName>
    <definedName name="All_Questions_Q_GRID_EXPORT_CT">'All Questions'!$C$37</definedName>
    <definedName name="All_Questions_Q_VERY_LONG_SINGLE_SELECT_EXPORT_NAME_F_Q">'All Questions'!$C$46</definedName>
    <definedName name="All_Questions_Q_VERY_LONG_SINGLE_SELECT_EXPORT_NAME_F_V">'All Questions'!$E$46</definedName>
    <definedName name="All_Questions_Q_VERY_LONG_SINGLE_SELECT_EXPORT_NAME_F_resolved_column">'All Questions'!$F$46</definedName>
    <definedName name="All_Questions_Q_VERY_LONG_SINGLE_SELECT_EXPORT_NAME_F_wrapped">'All Questions'!$G$46</definedName>
    <definedName name="All_Questions_Q_VERY_LONG_SINGLE_SELECT_EXPORT_NAME_F_passes_per_q_filter_data">'_RawData'!$V$2:$V$11</definedName>
    <definedName name="All_Questions_Q_VERY_LONG_SINGLE_SELECT_EXPORT_NAME_CT">'All Questions'!$C$47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I17" i="7"/>
  <c r="K17" i="7"/>
  <c r="M17" i="7"/>
  <c r="O17" i="7"/>
  <c r="Q17" i="7"/>
  <c r="S17" i="7"/>
  <c r="U17" i="7"/>
  <c r="W17" i="7"/>
  <c r="Y17" i="7"/>
  <c r="AA17" i="7"/>
  <c r="AC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T19" i="7"/>
  <c r="U19" i="7"/>
  <c r="V19" i="7"/>
  <c r="W19" i="7"/>
  <c r="X19" i="7"/>
  <c r="Y19" i="7"/>
  <c r="Z19" i="7"/>
  <c r="AA19" i="7"/>
  <c r="AB19" i="7"/>
  <c r="AC19" i="7"/>
  <c r="AD19" i="7"/>
  <c r="AE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T20" i="7"/>
  <c r="U20" i="7"/>
  <c r="V20" i="7"/>
  <c r="W20" i="7"/>
  <c r="X20" i="7"/>
  <c r="Y20" i="7"/>
  <c r="Z20" i="7"/>
  <c r="AA20" i="7"/>
  <c r="AB20" i="7"/>
  <c r="AC20" i="7"/>
  <c r="AD20" i="7"/>
  <c r="AE20" i="7"/>
  <c r="AE21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I17" i="8"/>
  <c r="K17" i="8"/>
  <c r="M17" i="8"/>
  <c r="O17" i="8"/>
  <c r="Q17" i="8"/>
  <c r="S17" i="8"/>
  <c r="U17" i="8"/>
  <c r="W17" i="8"/>
  <c r="Y17" i="8"/>
  <c r="AA17" i="8"/>
  <c r="AC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E21" i="8"/>
  <c r="F24" i="8"/>
  <c r="G24" i="8"/>
  <c r="B28" i="8"/>
  <c r="D28" i="8"/>
  <c r="B29" i="8"/>
  <c r="D29" i="8"/>
  <c r="B30" i="8"/>
  <c r="D30" i="8"/>
  <c r="D31" i="8"/>
  <c r="F36" i="8"/>
  <c r="G36" i="8"/>
  <c r="G39" i="8"/>
  <c r="I39" i="8"/>
  <c r="K39" i="8"/>
  <c r="M39" i="8"/>
  <c r="O39" i="8"/>
  <c r="Q39" i="8"/>
  <c r="S39" i="8"/>
  <c r="U39" i="8"/>
  <c r="W39" i="8"/>
  <c r="Y39" i="8"/>
  <c r="AA39" i="8"/>
  <c r="AC39" i="8"/>
  <c r="B40" i="8"/>
  <c r="C40" i="8"/>
  <c r="D40" i="8"/>
  <c r="B41" i="8"/>
  <c r="C41" i="8"/>
  <c r="D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E43" i="8"/>
  <c r="F46" i="8"/>
  <c r="G46" i="8"/>
  <c r="G49" i="8"/>
  <c r="I49" i="8"/>
  <c r="K49" i="8"/>
  <c r="M49" i="8"/>
  <c r="O49" i="8"/>
  <c r="Q49" i="8"/>
  <c r="S49" i="8"/>
  <c r="U49" i="8"/>
  <c r="W49" i="8"/>
  <c r="Y49" i="8"/>
  <c r="AA49" i="8"/>
  <c r="AC49" i="8"/>
  <c r="B50" i="8"/>
  <c r="C50" i="8"/>
  <c r="D50" i="8"/>
  <c r="B51" i="8"/>
  <c r="C51" i="8"/>
  <c r="D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E53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Q14 - In which country are you based?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Q14 - In which country are you based?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Q14 - In which country are you based?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7_1" displayName="T_All_Questions_27_1" ref="A27:D31" headerRowCount="1">
  <autoFilter ref="A27:D3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39_1" displayName="T_All_Questions_39_1" ref="A39:D42" headerRowCount="1">
  <autoFilter ref="A39:D4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49_1" displayName="T_All_Questions_49_1" ref="A49:D52" headerRowCount="1">
  <autoFilter ref="A49:D5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Demographics_F_Country_local_match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All_Questions_F_Country_local_match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(((Demographics_F_Country_resolved="(All)")+(Demographics_F_Country_resolved="")+ISBLANK(Demographics_F_Country_resolved)+ISNUMBER(SEARCH("|"&amp;B2&amp;"|",Demographics_F_Country_wrapped)))&gt;0)*1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</f>
        <v>1</v>
      </c>
      <c r="Q2">
        <f>(((All_Questions_F_Country_resolved="(All)")+(All_Questions_F_Country_resolved="")+ISBLANK(All_Questions_F_Country_resolved)+ISNUMBER(SEARCH("|"&amp;B2&amp;"|",All_Questions_F_Country_wrapped)))&gt;0)*1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(((Demographics_F_Country_resolved="(All)")+(Demographics_F_Country_resolved="")+ISBLANK(Demographics_F_Country_resolved)+ISNUMBER(SEARCH("|"&amp;B3&amp;"|",Demographics_F_Country_wrapped)))&gt;0)*1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</f>
        <v>1</v>
      </c>
      <c r="Q3">
        <f>(((All_Questions_F_Country_resolved="(All)")+(All_Questions_F_Country_resolved="")+ISBLANK(All_Questions_F_Country_resolved)+ISNUMBER(SEARCH("|"&amp;B3&amp;"|",All_Questions_F_Country_wrapped)))&gt;0)*1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(((Demographics_F_Country_resolved="(All)")+(Demographics_F_Country_resolved="")+ISBLANK(Demographics_F_Country_resolved)+ISNUMBER(SEARCH("|"&amp;B4&amp;"|",Demographics_F_Country_wrapped)))&gt;0)*1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</f>
        <v>1</v>
      </c>
      <c r="Q4">
        <f>(((All_Questions_F_Country_resolved="(All)")+(All_Questions_F_Country_resolved="")+ISBLANK(All_Questions_F_Country_resolved)+ISNUMBER(SEARCH("|"&amp;B4&amp;"|",All_Questions_F_Country_wrapped)))&gt;0)*1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I5*1</f>
        <v>1</v>
      </c>
      <c r="K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L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M5">
        <f>K5*L5*1</f>
        <v>1</v>
      </c>
      <c r="N5">
        <f>(((Demographics_F_Country_resolved="(All)")+(Demographics_F_Country_resolved="")+ISBLANK(Demographics_F_Country_resolved)+ISNUMBER(SEARCH("|"&amp;B5&amp;"|",Demographics_F_Country_wrapped)))&gt;0)*1</f>
        <v>1</v>
      </c>
      <c r="O5">
        <f>N5*1</f>
        <v>1</v>
      </c>
      <c r="P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</f>
        <v>1</v>
      </c>
      <c r="Q5">
        <f>(((All_Questions_F_Country_resolved="(All)")+(All_Questions_F_Country_resolved="")+ISBLANK(All_Questions_F_Country_resolved)+ISNUMBER(SEARCH("|"&amp;B5&amp;"|",All_Questions_F_Country_wrapped)))&gt;0)*1</f>
        <v>1</v>
      </c>
      <c r="R5">
        <f>Q5*1</f>
        <v>1</v>
      </c>
      <c r="S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T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U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V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I6*1</f>
        <v>1</v>
      </c>
      <c r="K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L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M6">
        <f>K6*L6*1</f>
        <v>1</v>
      </c>
      <c r="N6">
        <f>(((Demographics_F_Country_resolved="(All)")+(Demographics_F_Country_resolved="")+ISBLANK(Demographics_F_Country_resolved)+ISNUMBER(SEARCH("|"&amp;B6&amp;"|",Demographics_F_Country_wrapped)))&gt;0)*1</f>
        <v>1</v>
      </c>
      <c r="O6">
        <f>N6*1</f>
        <v>1</v>
      </c>
      <c r="P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</f>
        <v>1</v>
      </c>
      <c r="Q6">
        <f>(((All_Questions_F_Country_resolved="(All)")+(All_Questions_F_Country_resolved="")+ISBLANK(All_Questions_F_Country_resolved)+ISNUMBER(SEARCH("|"&amp;B6&amp;"|",All_Questions_F_Country_wrapped)))&gt;0)*1</f>
        <v>1</v>
      </c>
      <c r="R6">
        <f>Q6*1</f>
        <v>1</v>
      </c>
      <c r="S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T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U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V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I7*1</f>
        <v>1</v>
      </c>
      <c r="K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L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M7">
        <f>K7*L7*1</f>
        <v>1</v>
      </c>
      <c r="N7">
        <f>(((Demographics_F_Country_resolved="(All)")+(Demographics_F_Country_resolved="")+ISBLANK(Demographics_F_Country_resolved)+ISNUMBER(SEARCH("|"&amp;B7&amp;"|",Demographics_F_Country_wrapped)))&gt;0)*1</f>
        <v>1</v>
      </c>
      <c r="O7">
        <f>N7*1</f>
        <v>1</v>
      </c>
      <c r="P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</f>
        <v>1</v>
      </c>
      <c r="Q7">
        <f>(((All_Questions_F_Country_resolved="(All)")+(All_Questions_F_Country_resolved="")+ISBLANK(All_Questions_F_Country_resolved)+ISNUMBER(SEARCH("|"&amp;B7&amp;"|",All_Questions_F_Country_wrapped)))&gt;0)*1</f>
        <v>1</v>
      </c>
      <c r="R7">
        <f>Q7*1</f>
        <v>1</v>
      </c>
      <c r="S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T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U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V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I8*1</f>
        <v>1</v>
      </c>
      <c r="K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L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M8">
        <f>K8*L8*1</f>
        <v>1</v>
      </c>
      <c r="N8">
        <f>(((Demographics_F_Country_resolved="(All)")+(Demographics_F_Country_resolved="")+ISBLANK(Demographics_F_Country_resolved)+ISNUMBER(SEARCH("|"&amp;B8&amp;"|",Demographics_F_Country_wrapped)))&gt;0)*1</f>
        <v>1</v>
      </c>
      <c r="O8">
        <f>N8*1</f>
        <v>1</v>
      </c>
      <c r="P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</f>
        <v>1</v>
      </c>
      <c r="Q8">
        <f>(((All_Questions_F_Country_resolved="(All)")+(All_Questions_F_Country_resolved="")+ISBLANK(All_Questions_F_Country_resolved)+ISNUMBER(SEARCH("|"&amp;B8&amp;"|",All_Questions_F_Country_wrapped)))&gt;0)*1</f>
        <v>1</v>
      </c>
      <c r="R8">
        <f>Q8*1</f>
        <v>1</v>
      </c>
      <c r="S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T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U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V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I9*1</f>
        <v>1</v>
      </c>
      <c r="K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L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M9">
        <f>K9*L9*1</f>
        <v>1</v>
      </c>
      <c r="N9">
        <f>(((Demographics_F_Country_resolved="(All)")+(Demographics_F_Country_resolved="")+ISBLANK(Demographics_F_Country_resolved)+ISNUMBER(SEARCH("|"&amp;B9&amp;"|",Demographics_F_Country_wrapped)))&gt;0)*1</f>
        <v>1</v>
      </c>
      <c r="O9">
        <f>N9*1</f>
        <v>1</v>
      </c>
      <c r="P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</f>
        <v>1</v>
      </c>
      <c r="Q9">
        <f>(((All_Questions_F_Country_resolved="(All)")+(All_Questions_F_Country_resolved="")+ISBLANK(All_Questions_F_Country_resolved)+ISNUMBER(SEARCH("|"&amp;B9&amp;"|",All_Questions_F_Country_wrapped)))&gt;0)*1</f>
        <v>1</v>
      </c>
      <c r="R9">
        <f>Q9*1</f>
        <v>1</v>
      </c>
      <c r="S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T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U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V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I10*1</f>
        <v>1</v>
      </c>
      <c r="K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L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M10">
        <f>K10*L10*1</f>
        <v>1</v>
      </c>
      <c r="N10">
        <f>(((Demographics_F_Country_resolved="(All)")+(Demographics_F_Country_resolved="")+ISBLANK(Demographics_F_Country_resolved)+ISNUMBER(SEARCH("|"&amp;B10&amp;"|",Demographics_F_Country_wrapped)))&gt;0)*1</f>
        <v>1</v>
      </c>
      <c r="O10">
        <f>N10*1</f>
        <v>1</v>
      </c>
      <c r="P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</f>
        <v>1</v>
      </c>
      <c r="Q10">
        <f>(((All_Questions_F_Country_resolved="(All)")+(All_Questions_F_Country_resolved="")+ISBLANK(All_Questions_F_Country_resolved)+ISNUMBER(SEARCH("|"&amp;B10&amp;"|",All_Questions_F_Country_wrapped)))&gt;0)*1</f>
        <v>1</v>
      </c>
      <c r="R10">
        <f>Q10*1</f>
        <v>1</v>
      </c>
      <c r="S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T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U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V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I11*1</f>
        <v>1</v>
      </c>
      <c r="K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L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M11">
        <f>K11*L11*1</f>
        <v>1</v>
      </c>
      <c r="N11">
        <f>(((Demographics_F_Country_resolved="(All)")+(Demographics_F_Country_resolved="")+ISBLANK(Demographics_F_Country_resolved)+ISNUMBER(SEARCH("|"&amp;B11&amp;"|",Demographics_F_Country_wrapped)))&gt;0)*1</f>
        <v>1</v>
      </c>
      <c r="O11">
        <f>N11*1</f>
        <v>1</v>
      </c>
      <c r="P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</f>
        <v>1</v>
      </c>
      <c r="Q11">
        <f>(((All_Questions_F_Country_resolved="(All)")+(All_Questions_F_Country_resolved="")+ISBLANK(All_Questions_F_Country_resolved)+ISNUMBER(SEARCH("|"&amp;B11&amp;"|",All_Questions_F_Country_wrapped)))&gt;0)*1</f>
        <v>1</v>
      </c>
      <c r="R11">
        <f>Q11*1</f>
        <v>1</v>
      </c>
      <c r="S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T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U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V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In Which Country Are You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In Which Country Are You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Country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XLOOKUP(F_Custom1_Q,All_Questions,All_Questions_Data_Names,"respondent_id_data")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XLOOKUP(F_Custom2_Q,All_Questions,All_Questions_Data_Names,"respondent_id_data")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=INDIRECT(XLOOKUP(F_Custom1_Q,All_Questions,All_Questions_Options_Names,"None_options"))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9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Q14 - In which country are you based?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E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Country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XLOOKUP(Demographics_F_Custom1_Q_resolved,All_Questions,All_Questions_Data_Names,"respondent_id_data")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XLOOKUP(Demographics_F_Custom2_Q_resolved,All_Questions,All_Questions_Data_Names,"respondent_id_data")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Q14 - In which country are you based?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XLOOKUP(Demographics_Q_SS_EXPORT_F_Q,All_Questions,All_Questions_Data_Names,"respondent_id_data")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IF(Demographics_Q_SS_EXPORT_CT="(None)","",IFERROR(INDEX(INDIRECT(XLOOKUP(Demographics_Q_SS_EXPORT_CT,All_Questions,All_Questions_Options_Names,"None_options")),2),""))</f>
        <v/>
      </c>
      <c r="H17" s="2" t="n"/>
      <c r="I17" s="2" t="str">
        <f>IF(Demographics_Q_SS_EXPORT_CT="(None)","",IFERROR(INDEX(INDIRECT(XLOOKUP(Demographics_Q_SS_EXPORT_CT,All_Questions,All_Questions_Options_Names,"None_options")),3),""))</f>
        <v/>
      </c>
      <c r="J17" s="2" t="n"/>
      <c r="K17" s="2" t="str">
        <f>IF(Demographics_Q_SS_EXPORT_CT="(None)","",IFERROR(INDEX(INDIRECT(XLOOKUP(Demographics_Q_SS_EXPORT_CT,All_Questions,All_Questions_Options_Names,"None_options")),4),""))</f>
        <v/>
      </c>
      <c r="L17" s="2" t="n"/>
      <c r="M17" s="2" t="str">
        <f>IF(Demographics_Q_SS_EXPORT_CT="(None)","",IFERROR(INDEX(INDIRECT(XLOOKUP(Demographics_Q_SS_EXPORT_CT,All_Questions,All_Questions_Options_Names,"None_options")),5),""))</f>
        <v/>
      </c>
      <c r="N17" s="2" t="n"/>
      <c r="O17" s="2" t="str">
        <f>IF(Demographics_Q_SS_EXPORT_CT="(None)","",IFERROR(INDEX(INDIRECT(XLOOKUP(Demographics_Q_SS_EXPORT_CT,All_Questions,All_Questions_Options_Names,"None_options")),6),""))</f>
        <v/>
      </c>
      <c r="P17" s="2" t="n"/>
      <c r="Q17" s="2" t="str">
        <f>IF(Demographics_Q_SS_EXPORT_CT="(None)","",IFERROR(INDEX(INDIRECT(XLOOKUP(Demographics_Q_SS_EXPORT_CT,All_Questions,All_Questions_Options_Names,"None_options")),7),""))</f>
        <v/>
      </c>
      <c r="R17" s="2" t="n"/>
      <c r="S17" s="2" t="str">
        <f>IF(Demographics_Q_SS_EXPORT_CT="(None)","",IFERROR(INDEX(INDIRECT(XLOOKUP(Demographics_Q_SS_EXPORT_CT,All_Questions,All_Questions_Options_Names,"None_options")),8),""))</f>
        <v/>
      </c>
      <c r="T17" s="2" t="n"/>
      <c r="U17" s="2" t="str">
        <f>IF(Demographics_Q_SS_EXPORT_CT="(None)","",IFERROR(INDEX(INDIRECT(XLOOKUP(Demographics_Q_SS_EXPORT_CT,All_Questions,All_Questions_Options_Names,"None_options")),9),""))</f>
        <v/>
      </c>
      <c r="V17" s="2" t="n"/>
      <c r="W17" s="2" t="str">
        <f>IF(Demographics_Q_SS_EXPORT_CT="(None)","",IFERROR(INDEX(INDIRECT(XLOOKUP(Demographics_Q_SS_EXPORT_CT,All_Questions,All_Questions_Options_Names,"None_options")),10),""))</f>
        <v/>
      </c>
      <c r="X17" s="2" t="n"/>
      <c r="Y17" s="2" t="str">
        <f>IF(Demographics_Q_SS_EXPORT_CT="(None)","",IFERROR(INDEX(INDIRECT(XLOOKUP(Demographics_Q_SS_EXPORT_CT,All_Questions,All_Questions_Options_Names,"None_options")),11),""))</f>
        <v/>
      </c>
      <c r="Z17" s="2" t="n"/>
      <c r="AA17" s="2" t="str">
        <f>IF(Demographics_Q_SS_EXPORT_CT="(None)","",IFERROR(INDEX(INDIRECT(XLOOKUP(Demographics_Q_SS_EXPORT_CT,All_Questions,All_Questions_Options_Names,"None_options")),12),""))</f>
        <v/>
      </c>
      <c r="AB17" s="2" t="n"/>
      <c r="AC17" s="2" t="str">
        <f>IF(Demographics_Q_SS_EXPORT_CT="(None)","",IF(COUNTA(INDIRECT(XLOOKUP(Demographics_Q_SS_EXPORT_CT,All_Questions,All_Questions_Options_Names,"None_options")))-1&gt;11,"Other",IFERROR(INDEX(INDIRECT(XLOOKUP(Demographics_Q_SS_EXPORT_CT,All_Questions,All_Questions_Options_Names,"None_options")),13),"")))</f>
        <v/>
      </c>
      <c r="AD17" s="2" t="n"/>
      <c r="AE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s="4" t="inlineStr"/>
      <c r="G18" s="4" t="inlineStr">
        <is>
          <t># of resp</t>
        </is>
      </c>
      <c r="H18" s="4" t="inlineStr">
        <is>
          <t>% of resp</t>
        </is>
      </c>
      <c r="I18" s="4" t="inlineStr">
        <is>
          <t># of resp</t>
        </is>
      </c>
      <c r="J18" s="4" t="inlineStr">
        <is>
          <t>% of resp</t>
        </is>
      </c>
      <c r="K18" s="4" t="inlineStr">
        <is>
          <t># of resp</t>
        </is>
      </c>
      <c r="L18" s="4" t="inlineStr">
        <is>
          <t>% of resp</t>
        </is>
      </c>
      <c r="M18" s="4" t="inlineStr">
        <is>
          <t># of resp</t>
        </is>
      </c>
      <c r="N18" s="4" t="inlineStr">
        <is>
          <t>% of resp</t>
        </is>
      </c>
      <c r="O18" s="4" t="inlineStr">
        <is>
          <t># of resp</t>
        </is>
      </c>
      <c r="P18" s="4" t="inlineStr">
        <is>
          <t>% of resp</t>
        </is>
      </c>
      <c r="Q18" s="4" t="inlineStr">
        <is>
          <t># of resp</t>
        </is>
      </c>
      <c r="R18" s="4" t="inlineStr">
        <is>
          <t>% of resp</t>
        </is>
      </c>
      <c r="S18" s="4" t="inlineStr">
        <is>
          <t># of resp</t>
        </is>
      </c>
      <c r="T18" s="4" t="inlineStr">
        <is>
          <t>% of resp</t>
        </is>
      </c>
      <c r="U18" s="4" t="inlineStr">
        <is>
          <t># of resp</t>
        </is>
      </c>
      <c r="V18" s="4" t="inlineStr">
        <is>
          <t>% of resp</t>
        </is>
      </c>
      <c r="W18" s="4" t="inlineStr">
        <is>
          <t># of resp</t>
        </is>
      </c>
      <c r="X18" s="4" t="inlineStr">
        <is>
          <t>% of resp</t>
        </is>
      </c>
      <c r="Y18" s="4" t="inlineStr">
        <is>
          <t># of resp</t>
        </is>
      </c>
      <c r="Z18" s="4" t="inlineStr">
        <is>
          <t>% of resp</t>
        </is>
      </c>
      <c r="AA18" s="4" t="inlineStr">
        <is>
          <t># of resp</t>
        </is>
      </c>
      <c r="AB18" s="4" t="inlineStr">
        <is>
          <t>% of resp</t>
        </is>
      </c>
      <c r="AC18" s="4" t="inlineStr">
        <is>
          <t># of resp</t>
        </is>
      </c>
      <c r="AD18" s="4" t="inlineStr">
        <is>
          <t>% of resp</t>
        </is>
      </c>
      <c r="AE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Yes</t>
        </is>
      </c>
      <c r="G19">
        <f>IF(OR(Demographics_Q_SS_EXPORT_CT="(None)",G$17=""),"",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G$17))</f>
        <v>0</v>
      </c>
      <c r="H19" s="7">
        <f>IFERROR(G19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G$17)),0)</f>
        <v>0</v>
      </c>
      <c r="I19">
        <f>IF(OR(Demographics_Q_SS_EXPORT_CT="(None)",I$17=""),"",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I$17))</f>
        <v>0</v>
      </c>
      <c r="J19" s="7">
        <f>IFERROR(I19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I$17)),0)</f>
        <v>0</v>
      </c>
      <c r="K19">
        <f>IF(OR(Demographics_Q_SS_EXPORT_CT="(None)",K$17=""),"",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K$17))</f>
        <v>0</v>
      </c>
      <c r="L19" s="7">
        <f>IFERROR(K19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K$17)),0)</f>
        <v>0</v>
      </c>
      <c r="M19">
        <f>IF(OR(Demographics_Q_SS_EXPORT_CT="(None)",M$17=""),"",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M$17))</f>
        <v>0</v>
      </c>
      <c r="N19" s="7">
        <f>IFERROR(M19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M$17)),0)</f>
        <v>0</v>
      </c>
      <c r="O19">
        <f>IF(OR(Demographics_Q_SS_EXPORT_CT="(None)",O$17=""),"",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O$17))</f>
        <v>0</v>
      </c>
      <c r="P19" s="7">
        <f>IFERROR(O19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O$17)),0)</f>
        <v>0</v>
      </c>
      <c r="Q19">
        <f>IF(OR(Demographics_Q_SS_EXPORT_CT="(None)",Q$17=""),"",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Q$17))</f>
        <v>0</v>
      </c>
      <c r="R19" s="7">
        <f>IFERROR(Q19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Q$17)),0)</f>
        <v>0</v>
      </c>
      <c r="S19">
        <f>IF(OR(Demographics_Q_SS_EXPORT_CT="(None)",S$17=""),"",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S$17))</f>
        <v>0</v>
      </c>
      <c r="T19" s="7">
        <f>IFERROR(S19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S$17)),0)</f>
        <v>0</v>
      </c>
      <c r="U19">
        <f>IF(OR(Demographics_Q_SS_EXPORT_CT="(None)",U$17=""),"",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U$17))</f>
        <v>0</v>
      </c>
      <c r="V19" s="7">
        <f>IFERROR(U19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U$17)),0)</f>
        <v>0</v>
      </c>
      <c r="W19">
        <f>IF(OR(Demographics_Q_SS_EXPORT_CT="(None)",W$17=""),"",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W$17))</f>
        <v>0</v>
      </c>
      <c r="X19" s="7">
        <f>IFERROR(W19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W$17)),0)</f>
        <v>0</v>
      </c>
      <c r="Y19">
        <f>IF(OR(Demographics_Q_SS_EXPORT_CT="(None)",Y$17=""),"",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Y$17))</f>
        <v>0</v>
      </c>
      <c r="Z19" s="7">
        <f>IFERROR(Y19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Y$17)),0)</f>
        <v>0</v>
      </c>
      <c r="AA19">
        <f>IF(OR(Demographics_Q_SS_EXPORT_CT="(None)",AA$17=""),"",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AA$17))</f>
        <v>0</v>
      </c>
      <c r="AB19" s="7">
        <f>IFERROR(AA19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AA$17)),0)</f>
        <v>0</v>
      </c>
      <c r="AC19">
        <f>IF(OR(Demographics_Q_SS_EXPORT_CT="(None)",AC$17=""),"",IF(AC$17="Other",COUNTIFS(Q_SS_EXPORT_data,"Yes",passes_workbook_filters_data,1,passes_workbook_custom_filters_data,1,Demographics_passes_local_filters_data,1,Demographics_Q_SS_EXPORT_F_passes_per_q_filter_data,1)-SUM(G19,I19,K19,M19,O19,Q19,S19,U19,W19,Y19,AA19),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AC$17)))</f>
        <v>0</v>
      </c>
      <c r="AD19" s="7">
        <f>IFERROR(AC19/(IF(AC$17="Other",COUNTIFS(respondent_id_data,"&lt;&gt;",passes_workbook_filters_data,1,passes_workbook_custom_filters_data,1,Demographics_passes_local_filters_data,1,Demographics_Q_SS_EXPORT_F_passes_per_q_filter_data,1)-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G$17)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I$17)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K$17)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M$17)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O$17)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Q$17)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S$17)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U$17)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W$17)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Y$17)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AA$17)),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AC$17))),0)</f>
        <v>0</v>
      </c>
      <c r="AE19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No</t>
        </is>
      </c>
      <c r="G20">
        <f>IF(OR(Demographics_Q_SS_EXPORT_CT="(None)",G$17=""),"",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G$17))</f>
        <v>0</v>
      </c>
      <c r="H20" s="7">
        <f>IFERROR(G20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G$17)),0)</f>
        <v>0</v>
      </c>
      <c r="I20">
        <f>IF(OR(Demographics_Q_SS_EXPORT_CT="(None)",I$17=""),"",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I$17))</f>
        <v>0</v>
      </c>
      <c r="J20" s="7">
        <f>IFERROR(I20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I$17)),0)</f>
        <v>0</v>
      </c>
      <c r="K20">
        <f>IF(OR(Demographics_Q_SS_EXPORT_CT="(None)",K$17=""),"",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K$17))</f>
        <v>0</v>
      </c>
      <c r="L20" s="7">
        <f>IFERROR(K20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K$17)),0)</f>
        <v>0</v>
      </c>
      <c r="M20">
        <f>IF(OR(Demographics_Q_SS_EXPORT_CT="(None)",M$17=""),"",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M$17))</f>
        <v>0</v>
      </c>
      <c r="N20" s="7">
        <f>IFERROR(M20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M$17)),0)</f>
        <v>0</v>
      </c>
      <c r="O20">
        <f>IF(OR(Demographics_Q_SS_EXPORT_CT="(None)",O$17=""),"",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O$17))</f>
        <v>0</v>
      </c>
      <c r="P20" s="7">
        <f>IFERROR(O20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O$17)),0)</f>
        <v>0</v>
      </c>
      <c r="Q20">
        <f>IF(OR(Demographics_Q_SS_EXPORT_CT="(None)",Q$17=""),"",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Q$17))</f>
        <v>0</v>
      </c>
      <c r="R20" s="7">
        <f>IFERROR(Q20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Q$17)),0)</f>
        <v>0</v>
      </c>
      <c r="S20">
        <f>IF(OR(Demographics_Q_SS_EXPORT_CT="(None)",S$17=""),"",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S$17))</f>
        <v>0</v>
      </c>
      <c r="T20" s="7">
        <f>IFERROR(S20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S$17)),0)</f>
        <v>0</v>
      </c>
      <c r="U20">
        <f>IF(OR(Demographics_Q_SS_EXPORT_CT="(None)",U$17=""),"",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U$17))</f>
        <v>0</v>
      </c>
      <c r="V20" s="7">
        <f>IFERROR(U20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U$17)),0)</f>
        <v>0</v>
      </c>
      <c r="W20">
        <f>IF(OR(Demographics_Q_SS_EXPORT_CT="(None)",W$17=""),"",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W$17))</f>
        <v>0</v>
      </c>
      <c r="X20" s="7">
        <f>IFERROR(W20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W$17)),0)</f>
        <v>0</v>
      </c>
      <c r="Y20">
        <f>IF(OR(Demographics_Q_SS_EXPORT_CT="(None)",Y$17=""),"",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Y$17))</f>
        <v>0</v>
      </c>
      <c r="Z20" s="7">
        <f>IFERROR(Y20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Y$17)),0)</f>
        <v>0</v>
      </c>
      <c r="AA20">
        <f>IF(OR(Demographics_Q_SS_EXPORT_CT="(None)",AA$17=""),"",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AA$17))</f>
        <v>0</v>
      </c>
      <c r="AB20" s="7">
        <f>IFERROR(AA20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AA$17)),0)</f>
        <v>0</v>
      </c>
      <c r="AC20">
        <f>IF(OR(Demographics_Q_SS_EXPORT_CT="(None)",AC$17=""),"",IF(AC$17="Other",COUNTIFS(Q_SS_EXPORT_data,"No",passes_workbook_filters_data,1,passes_workbook_custom_filters_data,1,Demographics_passes_local_filters_data,1,Demographics_Q_SS_EXPORT_F_passes_per_q_filter_data,1)-SUM(G20,I20,K20,M20,O20,Q20,S20,U20,W20,Y20,AA20),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AC$17)))</f>
        <v>0</v>
      </c>
      <c r="AD20" s="7">
        <f>IFERROR(AC20/(IF(AC$17="Other",COUNTIFS(respondent_id_data,"&lt;&gt;",passes_workbook_filters_data,1,passes_workbook_custom_filters_data,1,Demographics_passes_local_filters_data,1,Demographics_Q_SS_EXPORT_F_passes_per_q_filter_data,1)-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G$17)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I$17)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K$17)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M$17)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O$17)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Q$17)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S$17)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U$17)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W$17)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Y$17)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AA$17)),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AC$17))),0)</f>
        <v>0</v>
      </c>
      <c r="AE20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3">
    <mergeCell ref="M17:N17"/>
    <mergeCell ref="AA17:AB17"/>
    <mergeCell ref="A1:J1"/>
    <mergeCell ref="O17:P17"/>
    <mergeCell ref="AC17:AD17"/>
    <mergeCell ref="S17:T17"/>
    <mergeCell ref="Q17:R17"/>
    <mergeCell ref="W17:X17"/>
    <mergeCell ref="U17:V17"/>
    <mergeCell ref="I17:J17"/>
    <mergeCell ref="G17:H17"/>
    <mergeCell ref="K17:L17"/>
    <mergeCell ref="Y17:Z17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19:T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19:V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19:X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19:Z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19:AB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19:AD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=INDIRECT(XLOOKUP(Demographics_F_Custom1_Q_resolved,All_Questions,All_Questions_Options_Names,"None_options"))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=INDIRECT(XLOOKUP(Demographics_F_Custom2_Q_resolved,All_Questions,All_Questions_Options_Names,"None_options"))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=INDIRECT(XLOOKUP(Demographics_Q_SS_EXPORT_F_Q,All_Questions,All_Questions_Options_Names,"None_options"))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E5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Country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XLOOKUP(All_Questions_F_Custom1_Q_resolved,All_Questions,All_Questions_Data_Names,"respondent_id_data")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XLOOKUP(All_Questions_F_Custom2_Q_resolved,All_Questions,All_Questions_Data_Names,"respondent_id_data")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XLOOKUP(All_Questions_Q_MS_EXPORT_F_Q,All_Questions,All_Questions_Data_Names,"respondent_id_data")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IF(All_Questions_Q_MS_EXPORT_CT="(None)","",IFERROR(INDEX(INDIRECT(XLOOKUP(All_Questions_Q_MS_EXPORT_CT,All_Questions,All_Questions_Options_Names,"None_options")),2),""))</f>
        <v/>
      </c>
      <c r="H17" s="2" t="n"/>
      <c r="I17" s="2" t="str">
        <f>IF(All_Questions_Q_MS_EXPORT_CT="(None)","",IFERROR(INDEX(INDIRECT(XLOOKUP(All_Questions_Q_MS_EXPORT_CT,All_Questions,All_Questions_Options_Names,"None_options")),3),""))</f>
        <v/>
      </c>
      <c r="J17" s="2" t="n"/>
      <c r="K17" s="2" t="str">
        <f>IF(All_Questions_Q_MS_EXPORT_CT="(None)","",IFERROR(INDEX(INDIRECT(XLOOKUP(All_Questions_Q_MS_EXPORT_CT,All_Questions,All_Questions_Options_Names,"None_options")),4),""))</f>
        <v/>
      </c>
      <c r="L17" s="2" t="n"/>
      <c r="M17" s="2" t="str">
        <f>IF(All_Questions_Q_MS_EXPORT_CT="(None)","",IFERROR(INDEX(INDIRECT(XLOOKUP(All_Questions_Q_MS_EXPORT_CT,All_Questions,All_Questions_Options_Names,"None_options")),5),""))</f>
        <v/>
      </c>
      <c r="N17" s="2" t="n"/>
      <c r="O17" s="2" t="str">
        <f>IF(All_Questions_Q_MS_EXPORT_CT="(None)","",IFERROR(INDEX(INDIRECT(XLOOKUP(All_Questions_Q_MS_EXPORT_CT,All_Questions,All_Questions_Options_Names,"None_options")),6),""))</f>
        <v/>
      </c>
      <c r="P17" s="2" t="n"/>
      <c r="Q17" s="2" t="str">
        <f>IF(All_Questions_Q_MS_EXPORT_CT="(None)","",IFERROR(INDEX(INDIRECT(XLOOKUP(All_Questions_Q_MS_EXPORT_CT,All_Questions,All_Questions_Options_Names,"None_options")),7),""))</f>
        <v/>
      </c>
      <c r="R17" s="2" t="n"/>
      <c r="S17" s="2" t="str">
        <f>IF(All_Questions_Q_MS_EXPORT_CT="(None)","",IFERROR(INDEX(INDIRECT(XLOOKUP(All_Questions_Q_MS_EXPORT_CT,All_Questions,All_Questions_Options_Names,"None_options")),8),""))</f>
        <v/>
      </c>
      <c r="T17" s="2" t="n"/>
      <c r="U17" s="2" t="str">
        <f>IF(All_Questions_Q_MS_EXPORT_CT="(None)","",IFERROR(INDEX(INDIRECT(XLOOKUP(All_Questions_Q_MS_EXPORT_CT,All_Questions,All_Questions_Options_Names,"None_options")),9),""))</f>
        <v/>
      </c>
      <c r="V17" s="2" t="n"/>
      <c r="W17" s="2" t="str">
        <f>IF(All_Questions_Q_MS_EXPORT_CT="(None)","",IFERROR(INDEX(INDIRECT(XLOOKUP(All_Questions_Q_MS_EXPORT_CT,All_Questions,All_Questions_Options_Names,"None_options")),10),""))</f>
        <v/>
      </c>
      <c r="X17" s="2" t="n"/>
      <c r="Y17" s="2" t="str">
        <f>IF(All_Questions_Q_MS_EXPORT_CT="(None)","",IFERROR(INDEX(INDIRECT(XLOOKUP(All_Questions_Q_MS_EXPORT_CT,All_Questions,All_Questions_Options_Names,"None_options")),11),""))</f>
        <v/>
      </c>
      <c r="Z17" s="2" t="n"/>
      <c r="AA17" s="2" t="str">
        <f>IF(All_Questions_Q_MS_EXPORT_CT="(None)","",IFERROR(INDEX(INDIRECT(XLOOKUP(All_Questions_Q_MS_EXPORT_CT,All_Questions,All_Questions_Options_Names,"None_options")),12),""))</f>
        <v/>
      </c>
      <c r="AB17" s="2" t="n"/>
      <c r="AC17" s="2" t="str">
        <f>IF(All_Questions_Q_MS_EXPORT_CT="(None)","",IF(COUNTA(INDIRECT(XLOOKUP(All_Questions_Q_MS_EXPORT_CT,All_Questions,All_Questions_Options_Names,"None_options")))-1&gt;11,"Other",IFERROR(INDEX(INDIRECT(XLOOKUP(All_Questions_Q_MS_EXPORT_CT,All_Questions,All_Questions_Options_Names,"None_options")),13),"")))</f>
        <v/>
      </c>
      <c r="AD17" s="2" t="n"/>
      <c r="AE17" s="4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s="4" t="inlineStr"/>
      <c r="G18" s="4" t="inlineStr">
        <is>
          <t># of resp</t>
        </is>
      </c>
      <c r="H18" s="4" t="inlineStr">
        <is>
          <t>% of resp</t>
        </is>
      </c>
      <c r="I18" s="4" t="inlineStr">
        <is>
          <t># of resp</t>
        </is>
      </c>
      <c r="J18" s="4" t="inlineStr">
        <is>
          <t>% of resp</t>
        </is>
      </c>
      <c r="K18" s="4" t="inlineStr">
        <is>
          <t># of resp</t>
        </is>
      </c>
      <c r="L18" s="4" t="inlineStr">
        <is>
          <t>% of resp</t>
        </is>
      </c>
      <c r="M18" s="4" t="inlineStr">
        <is>
          <t># of resp</t>
        </is>
      </c>
      <c r="N18" s="4" t="inlineStr">
        <is>
          <t>% of resp</t>
        </is>
      </c>
      <c r="O18" s="4" t="inlineStr">
        <is>
          <t># of resp</t>
        </is>
      </c>
      <c r="P18" s="4" t="inlineStr">
        <is>
          <t>% of resp</t>
        </is>
      </c>
      <c r="Q18" s="4" t="inlineStr">
        <is>
          <t># of resp</t>
        </is>
      </c>
      <c r="R18" s="4" t="inlineStr">
        <is>
          <t>% of resp</t>
        </is>
      </c>
      <c r="S18" s="4" t="inlineStr">
        <is>
          <t># of resp</t>
        </is>
      </c>
      <c r="T18" s="4" t="inlineStr">
        <is>
          <t>% of resp</t>
        </is>
      </c>
      <c r="U18" s="4" t="inlineStr">
        <is>
          <t># of resp</t>
        </is>
      </c>
      <c r="V18" s="4" t="inlineStr">
        <is>
          <t>% of resp</t>
        </is>
      </c>
      <c r="W18" s="4" t="inlineStr">
        <is>
          <t># of resp</t>
        </is>
      </c>
      <c r="X18" s="4" t="inlineStr">
        <is>
          <t>% of resp</t>
        </is>
      </c>
      <c r="Y18" s="4" t="inlineStr">
        <is>
          <t># of resp</t>
        </is>
      </c>
      <c r="Z18" s="4" t="inlineStr">
        <is>
          <t>% of resp</t>
        </is>
      </c>
      <c r="AA18" s="4" t="inlineStr">
        <is>
          <t># of resp</t>
        </is>
      </c>
      <c r="AB18" s="4" t="inlineStr">
        <is>
          <t>% of resp</t>
        </is>
      </c>
      <c r="AC18" s="4" t="inlineStr">
        <is>
          <t># of resp</t>
        </is>
      </c>
      <c r="AD18" s="4" t="inlineStr">
        <is>
          <t>% of resp</t>
        </is>
      </c>
      <c r="AE18" s="4" t="inlineStr">
        <is>
          <t># of resp</t>
        </is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First</t>
        </is>
      </c>
      <c r="G19">
        <f>IF(OR(All_Questions_Q_MS_EXPORT_CT="(None)",G$17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$17))</f>
        <v>0</v>
      </c>
      <c r="H19" s="7">
        <f>IFERROR(G19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$17)),0)</f>
        <v>0</v>
      </c>
      <c r="I19">
        <f>IF(OR(All_Questions_Q_MS_EXPORT_CT="(None)",I$17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$17))</f>
        <v>0</v>
      </c>
      <c r="J19" s="7">
        <f>IFERROR(I19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$17)),0)</f>
        <v>0</v>
      </c>
      <c r="K19">
        <f>IF(OR(All_Questions_Q_MS_EXPORT_CT="(None)",K$17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$17))</f>
        <v>0</v>
      </c>
      <c r="L19" s="7">
        <f>IFERROR(K19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$17)),0)</f>
        <v>0</v>
      </c>
      <c r="M19">
        <f>IF(OR(All_Questions_Q_MS_EXPORT_CT="(None)",M$17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$17))</f>
        <v>0</v>
      </c>
      <c r="N19" s="7">
        <f>IFERROR(M19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$17)),0)</f>
        <v>0</v>
      </c>
      <c r="O19">
        <f>IF(OR(All_Questions_Q_MS_EXPORT_CT="(None)",O$17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O$17))</f>
        <v>0</v>
      </c>
      <c r="P19" s="7">
        <f>IFERROR(O19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$17)),0)</f>
        <v>0</v>
      </c>
      <c r="Q19">
        <f>IF(OR(All_Questions_Q_MS_EXPORT_CT="(None)",Q$17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Q$17))</f>
        <v>0</v>
      </c>
      <c r="R19" s="7">
        <f>IFERROR(Q19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$17)),0)</f>
        <v>0</v>
      </c>
      <c r="S19">
        <f>IF(OR(All_Questions_Q_MS_EXPORT_CT="(None)",S$17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S$17))</f>
        <v>0</v>
      </c>
      <c r="T19" s="7">
        <f>IFERROR(S19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$17)),0)</f>
        <v>0</v>
      </c>
      <c r="U19">
        <f>IF(OR(All_Questions_Q_MS_EXPORT_CT="(None)",U$17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U$17))</f>
        <v>0</v>
      </c>
      <c r="V19" s="7">
        <f>IFERROR(U19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$17)),0)</f>
        <v>0</v>
      </c>
      <c r="W19">
        <f>IF(OR(All_Questions_Q_MS_EXPORT_CT="(None)",W$17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W$17))</f>
        <v>0</v>
      </c>
      <c r="X19" s="7">
        <f>IFERROR(W19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$17)),0)</f>
        <v>0</v>
      </c>
      <c r="Y19">
        <f>IF(OR(All_Questions_Q_MS_EXPORT_CT="(None)",Y$17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Y$17))</f>
        <v>0</v>
      </c>
      <c r="Z19" s="7">
        <f>IFERROR(Y19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$17)),0)</f>
        <v>0</v>
      </c>
      <c r="AA19">
        <f>IF(OR(All_Questions_Q_MS_EXPORT_CT="(None)",AA$17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A$17))</f>
        <v>0</v>
      </c>
      <c r="AB19" s="7">
        <f>IFERROR(AA19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$17)),0)</f>
        <v>0</v>
      </c>
      <c r="AC19">
        <f>IF(OR(All_Questions_Q_MS_EXPORT_CT="(None)",AC$17=""),"",IF(AC$17="Other",COUNTIFS(Q_MS_EXPORTr1_data,"Selected",passes_workbook_filters_data,1,passes_workbook_custom_filters_data,1,All_Questions_passes_local_filters_data,1,All_Questions_Q_MS_EXPORT_F_passes_per_q_filter_data,1)-SUM(G19,I19,K19,M19,O19,Q19,S19,U19,W19,Y19,AA19)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C$17)))</f>
        <v>0</v>
      </c>
      <c r="AD19" s="7">
        <f>IFERROR(AC19/(IF(AC$17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$17)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$17)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$17)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$17)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$17)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$17)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$17)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$17)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$17)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$17)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$17)),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C$17))),0)</f>
        <v>0</v>
      </c>
      <c r="AE1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0">
      <c r="A20" s="15" t="inlineStr">
        <is>
          <t>Total respondents</t>
        </is>
      </c>
      <c r="B20" s="15" t="n">
        <v>7</v>
      </c>
      <c r="C20" s="15" t="n"/>
      <c r="D20" s="15" t="n"/>
      <c r="F20" t="inlineStr">
        <is>
          <t>Second</t>
        </is>
      </c>
      <c r="G20">
        <f>IF(OR(All_Questions_Q_MS_EXPORT_CT="(None)",G$17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$17))</f>
        <v>0</v>
      </c>
      <c r="H20" s="7">
        <f>IFERROR(G20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$17)),0)</f>
        <v>0</v>
      </c>
      <c r="I20">
        <f>IF(OR(All_Questions_Q_MS_EXPORT_CT="(None)",I$17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$17))</f>
        <v>0</v>
      </c>
      <c r="J20" s="7">
        <f>IFERROR(I20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$17)),0)</f>
        <v>0</v>
      </c>
      <c r="K20">
        <f>IF(OR(All_Questions_Q_MS_EXPORT_CT="(None)",K$17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$17))</f>
        <v>0</v>
      </c>
      <c r="L20" s="7">
        <f>IFERROR(K20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$17)),0)</f>
        <v>0</v>
      </c>
      <c r="M20">
        <f>IF(OR(All_Questions_Q_MS_EXPORT_CT="(None)",M$17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$17))</f>
        <v>0</v>
      </c>
      <c r="N20" s="7">
        <f>IFERROR(M20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$17)),0)</f>
        <v>0</v>
      </c>
      <c r="O20">
        <f>IF(OR(All_Questions_Q_MS_EXPORT_CT="(None)",O$17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O$17))</f>
        <v>0</v>
      </c>
      <c r="P20" s="7">
        <f>IFERROR(O20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$17)),0)</f>
        <v>0</v>
      </c>
      <c r="Q20">
        <f>IF(OR(All_Questions_Q_MS_EXPORT_CT="(None)",Q$17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Q$17))</f>
        <v>0</v>
      </c>
      <c r="R20" s="7">
        <f>IFERROR(Q20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$17)),0)</f>
        <v>0</v>
      </c>
      <c r="S20">
        <f>IF(OR(All_Questions_Q_MS_EXPORT_CT="(None)",S$17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S$17))</f>
        <v>0</v>
      </c>
      <c r="T20" s="7">
        <f>IFERROR(S20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$17)),0)</f>
        <v>0</v>
      </c>
      <c r="U20">
        <f>IF(OR(All_Questions_Q_MS_EXPORT_CT="(None)",U$17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U$17))</f>
        <v>0</v>
      </c>
      <c r="V20" s="7">
        <f>IFERROR(U20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$17)),0)</f>
        <v>0</v>
      </c>
      <c r="W20">
        <f>IF(OR(All_Questions_Q_MS_EXPORT_CT="(None)",W$17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W$17))</f>
        <v>0</v>
      </c>
      <c r="X20" s="7">
        <f>IFERROR(W20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$17)),0)</f>
        <v>0</v>
      </c>
      <c r="Y20">
        <f>IF(OR(All_Questions_Q_MS_EXPORT_CT="(None)",Y$17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Y$17))</f>
        <v>0</v>
      </c>
      <c r="Z20" s="7">
        <f>IFERROR(Y20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$17)),0)</f>
        <v>0</v>
      </c>
      <c r="AA20">
        <f>IF(OR(All_Questions_Q_MS_EXPORT_CT="(None)",AA$17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A$17))</f>
        <v>0</v>
      </c>
      <c r="AB20" s="7">
        <f>IFERROR(AA20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$17)),0)</f>
        <v>0</v>
      </c>
      <c r="AC20">
        <f>IF(OR(All_Questions_Q_MS_EXPORT_CT="(None)",AC$17=""),"",IF(AC$17="Other",COUNTIFS(Q_MS_EXPORTr2_data,"Selected",passes_workbook_filters_data,1,passes_workbook_custom_filters_data,1,All_Questions_passes_local_filters_data,1,All_Questions_Q_MS_EXPORT_F_passes_per_q_filter_data,1)-SUM(G20,I20,K20,M20,O20,Q20,S20,U20,W20,Y20,AA20)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C$17)))</f>
        <v>0</v>
      </c>
      <c r="AD20" s="7">
        <f>IFERROR(AC20/(IF(AC$17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$17)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$17)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$17)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$17)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$17)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$17)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$17)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$17)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$17)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$17)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$17)),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C$17))),0)</f>
        <v>0</v>
      </c>
      <c r="AE2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Q_NUM_EXPORT - Numeric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XLOOKUP(All_Questions_Q_NUM_EXPORT_F_Q,All_Questions,All_Questions_Data_Names,"respondent_id_data")</f>
        <v>respondent_id_data</v>
      </c>
      <c r="G24" t="str">
        <f>"|" &amp; SUBSTITUTE(All_Questions_Q_NUM_EXPORT_F_V,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7">
      <c r="A27" s="4" t="inlineStr">
        <is>
          <t>Metric</t>
        </is>
      </c>
      <c r="B27" s="4" t="inlineStr">
        <is>
          <t>Value</t>
        </is>
      </c>
      <c r="C27" s="4" t="inlineStr">
        <is>
          <t>Note</t>
        </is>
      </c>
      <c r="D27" s="4" t="inlineStr">
        <is>
          <t>Denominator</t>
        </is>
      </c>
    </row>
    <row r="28">
      <c r="A28" t="inlineStr">
        <is>
          <t>Mean</t>
        </is>
      </c>
      <c r="B28">
        <f>IFERROR(AVERAGEIFS(Q_NUM_EXPORT_data,passes_workbook_filters_data,1,passes_workbook_custom_filters_data,1,All_Questions_passes_local_filters_data,1,All_Questions_Q_NUM_EXPORT_F_passes_per_q_filter_data,1),0)</f>
        <v>5.5</v>
      </c>
      <c r="D28">
        <f>COUNTIFS(Q_NUM_EXPORT_data,"&lt;&gt;",passes_workbook_filters_data,1,passes_workbook_custom_filters_data,1,All_Questions_passes_local_filters_data,1,All_Questions_Q_NUM_EXPORT_F_passes_per_q_filter_data,1)</f>
        <v>10</v>
      </c>
    </row>
    <row r="29">
      <c r="A29" t="inlineStr">
        <is>
          <t>Min</t>
        </is>
      </c>
      <c r="B29">
        <f>IFERROR(MINIFS(Q_NUM_EXPORT_data,passes_workbook_filters_data,1,passes_workbook_custom_filters_data,1,All_Questions_passes_local_filters_data,1,All_Questions_Q_NUM_EXPORT_F_passes_per_q_filter_data,1),0)</f>
        <v>1.0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Max</t>
        </is>
      </c>
      <c r="B30">
        <f>IFERROR(MAXIFS(Q_NUM_EXPORT_data,passes_workbook_filters_data,1,passes_workbook_custom_filters_data,1,All_Questions_passes_local_filters_data,1,All_Questions_Q_NUM_EXPORT_F_passes_per_q_filter_data,1),0)</f>
        <v>10.0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Std</t>
        </is>
      </c>
      <c r="B31" t="n">
        <v>2.9</v>
      </c>
      <c r="C31" t="inlineStr">
        <is>
          <t>static baseline</t>
        </is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s="10" t="inlineStr">
        <is>
          <t>Median not available in filtered view - see static baseline in audit log.</t>
        </is>
      </c>
    </row>
    <row r="34">
      <c r="A34" s="11" t="n"/>
      <c r="B34" s="11" t="n"/>
      <c r="C34" s="11" t="n"/>
      <c r="D34" s="11" t="n"/>
      <c r="E34" s="11" t="n"/>
      <c r="F34" s="11" t="n"/>
      <c r="G34" s="11" t="n"/>
      <c r="H34" s="11" t="n"/>
      <c r="I34" s="11" t="n"/>
      <c r="J34" s="11" t="n"/>
    </row>
    <row r="35">
      <c r="A35" s="12" t="inlineStr">
        <is>
          <t>Q_GRID_EXPORT - Grid export question</t>
        </is>
      </c>
      <c r="B35" s="12" t="n"/>
      <c r="C35" s="12" t="n"/>
      <c r="D35" s="12" t="n"/>
      <c r="E35" s="12" t="n"/>
      <c r="F35" s="12" t="n"/>
      <c r="G35" s="12" t="n"/>
      <c r="H35" s="12" t="n"/>
      <c r="I35" s="12" t="n"/>
      <c r="J35" s="12" t="n"/>
      <c r="K35" s="12" t="n"/>
      <c r="L35" s="12" t="n"/>
      <c r="M35" s="12" t="n"/>
      <c r="N35" s="12" t="n"/>
    </row>
    <row r="36">
      <c r="A36" s="13" t="inlineStr">
        <is>
          <t>Per-question filter</t>
        </is>
      </c>
      <c r="B36" t="inlineStr">
        <is>
          <t>Filter Q</t>
        </is>
      </c>
      <c r="C36" t="inlineStr">
        <is>
          <t>(None)</t>
        </is>
      </c>
      <c r="D36" t="inlineStr">
        <is>
          <t>Value</t>
        </is>
      </c>
      <c r="E36" t="inlineStr">
        <is>
          <t>(All)</t>
        </is>
      </c>
      <c r="F36" t="str">
        <f>XLOOKUP(All_Questions_Q_GRID_EXPORT_F_Q,All_Questions,All_Questions_Data_Names,"respondent_id_data")</f>
        <v>respondent_id_data</v>
      </c>
      <c r="G36" t="str">
        <f>"|" &amp; SUBSTITUTE(All_Questions_Q_GRID_EXPORT_F_V, ", ", "|") &amp; "|"</f>
        <v>|(All)|</v>
      </c>
    </row>
    <row r="37">
      <c r="A37" s="13" t="inlineStr">
        <is>
          <t>Cross-tab by</t>
        </is>
      </c>
      <c r="C37" t="inlineStr">
        <is>
          <t>(None)</t>
        </is>
      </c>
    </row>
    <row r="39">
      <c r="A39" s="4" t="inlineStr">
        <is>
          <t>Option</t>
        </is>
      </c>
      <c r="B39" s="4" t="inlineStr">
        <is>
          <t>Count</t>
        </is>
      </c>
      <c r="C39" s="4" t="inlineStr">
        <is>
          <t>%</t>
        </is>
      </c>
      <c r="D39" s="4" t="inlineStr">
        <is>
          <t>Denominator</t>
        </is>
      </c>
      <c r="F39" s="4" t="inlineStr">
        <is>
          <t>Option</t>
        </is>
      </c>
      <c r="G39" s="2" t="str">
        <f>IF(All_Questions_Q_GRID_EXPORT_CT="(None)","",IFERROR(INDEX(INDIRECT(XLOOKUP(All_Questions_Q_GRID_EXPORT_CT,All_Questions,All_Questions_Options_Names,"None_options")),2),""))</f>
        <v/>
      </c>
      <c r="H39" s="2" t="n"/>
      <c r="I39" s="2" t="str">
        <f>IF(All_Questions_Q_GRID_EXPORT_CT="(None)","",IFERROR(INDEX(INDIRECT(XLOOKUP(All_Questions_Q_GRID_EXPORT_CT,All_Questions,All_Questions_Options_Names,"None_options")),3),""))</f>
        <v/>
      </c>
      <c r="J39" s="2" t="n"/>
      <c r="K39" s="2" t="str">
        <f>IF(All_Questions_Q_GRID_EXPORT_CT="(None)","",IFERROR(INDEX(INDIRECT(XLOOKUP(All_Questions_Q_GRID_EXPORT_CT,All_Questions,All_Questions_Options_Names,"None_options")),4),""))</f>
        <v/>
      </c>
      <c r="L39" s="2" t="n"/>
      <c r="M39" s="2" t="str">
        <f>IF(All_Questions_Q_GRID_EXPORT_CT="(None)","",IFERROR(INDEX(INDIRECT(XLOOKUP(All_Questions_Q_GRID_EXPORT_CT,All_Questions,All_Questions_Options_Names,"None_options")),5),""))</f>
        <v/>
      </c>
      <c r="N39" s="2" t="n"/>
      <c r="O39" s="2" t="str">
        <f>IF(All_Questions_Q_GRID_EXPORT_CT="(None)","",IFERROR(INDEX(INDIRECT(XLOOKUP(All_Questions_Q_GRID_EXPORT_CT,All_Questions,All_Questions_Options_Names,"None_options")),6),""))</f>
        <v/>
      </c>
      <c r="P39" s="2" t="n"/>
      <c r="Q39" s="2" t="str">
        <f>IF(All_Questions_Q_GRID_EXPORT_CT="(None)","",IFERROR(INDEX(INDIRECT(XLOOKUP(All_Questions_Q_GRID_EXPORT_CT,All_Questions,All_Questions_Options_Names,"None_options")),7),""))</f>
        <v/>
      </c>
      <c r="R39" s="2" t="n"/>
      <c r="S39" s="2" t="str">
        <f>IF(All_Questions_Q_GRID_EXPORT_CT="(None)","",IFERROR(INDEX(INDIRECT(XLOOKUP(All_Questions_Q_GRID_EXPORT_CT,All_Questions,All_Questions_Options_Names,"None_options")),8),""))</f>
        <v/>
      </c>
      <c r="T39" s="2" t="n"/>
      <c r="U39" s="2" t="str">
        <f>IF(All_Questions_Q_GRID_EXPORT_CT="(None)","",IFERROR(INDEX(INDIRECT(XLOOKUP(All_Questions_Q_GRID_EXPORT_CT,All_Questions,All_Questions_Options_Names,"None_options")),9),""))</f>
        <v/>
      </c>
      <c r="V39" s="2" t="n"/>
      <c r="W39" s="2" t="str">
        <f>IF(All_Questions_Q_GRID_EXPORT_CT="(None)","",IFERROR(INDEX(INDIRECT(XLOOKUP(All_Questions_Q_GRID_EXPORT_CT,All_Questions,All_Questions_Options_Names,"None_options")),10),""))</f>
        <v/>
      </c>
      <c r="X39" s="2" t="n"/>
      <c r="Y39" s="2" t="str">
        <f>IF(All_Questions_Q_GRID_EXPORT_CT="(None)","",IFERROR(INDEX(INDIRECT(XLOOKUP(All_Questions_Q_GRID_EXPORT_CT,All_Questions,All_Questions_Options_Names,"None_options")),11),""))</f>
        <v/>
      </c>
      <c r="Z39" s="2" t="n"/>
      <c r="AA39" s="2" t="str">
        <f>IF(All_Questions_Q_GRID_EXPORT_CT="(None)","",IFERROR(INDEX(INDIRECT(XLOOKUP(All_Questions_Q_GRID_EXPORT_CT,All_Questions,All_Questions_Options_Names,"None_options")),12),""))</f>
        <v/>
      </c>
      <c r="AB39" s="2" t="n"/>
      <c r="AC39" s="2" t="str">
        <f>IF(All_Questions_Q_GRID_EXPORT_CT="(None)","",IF(COUNTA(INDIRECT(XLOOKUP(All_Questions_Q_GRID_EXPORT_CT,All_Questions,All_Questions_Options_Names,"None_options")))-1&gt;11,"Other",IFERROR(INDEX(INDIRECT(XLOOKUP(All_Questions_Q_GRID_EXPORT_CT,All_Questions,All_Questions_Options_Names,"None_options")),13),"")))</f>
        <v/>
      </c>
      <c r="AD39" s="2" t="n"/>
      <c r="AE39" s="4" t="inlineStr">
        <is>
          <t>Total</t>
        </is>
      </c>
    </row>
    <row r="40">
      <c r="A40" t="inlineStr">
        <is>
          <t>Grid first row</t>
        </is>
      </c>
      <c r="B40">
        <f>COUNTIFS(Q_GRID_EXPORTr1_data,"Selected",passes_workbook_filters_data,1,passes_workbook_custom_filters_data,1,All_Questions_passes_local_filters_data,1,All_Questions_Q_GRID_EXPORT_F_passes_per_q_filter_data,1)</f>
        <v>10</v>
      </c>
      <c r="C40" s="7">
        <f>IFERROR(B40/SUBTOTAL(9,B40:B41),0)</f>
        <v>0.5</v>
      </c>
      <c r="D40" s="14">
        <f>SUBTOTAL(9,B40:B41)</f>
        <v>20</v>
      </c>
      <c r="F40" s="4" t="inlineStr"/>
      <c r="G40" s="4" t="inlineStr">
        <is>
          <t># of resp</t>
        </is>
      </c>
      <c r="H40" s="4" t="inlineStr">
        <is>
          <t>% of resp</t>
        </is>
      </c>
      <c r="I40" s="4" t="inlineStr">
        <is>
          <t># of resp</t>
        </is>
      </c>
      <c r="J40" s="4" t="inlineStr">
        <is>
          <t>% of resp</t>
        </is>
      </c>
      <c r="K40" s="4" t="inlineStr">
        <is>
          <t># of resp</t>
        </is>
      </c>
      <c r="L40" s="4" t="inlineStr">
        <is>
          <t>% of resp</t>
        </is>
      </c>
      <c r="M40" s="4" t="inlineStr">
        <is>
          <t># of resp</t>
        </is>
      </c>
      <c r="N40" s="4" t="inlineStr">
        <is>
          <t>% of resp</t>
        </is>
      </c>
      <c r="O40" s="4" t="inlineStr">
        <is>
          <t># of resp</t>
        </is>
      </c>
      <c r="P40" s="4" t="inlineStr">
        <is>
          <t>% of resp</t>
        </is>
      </c>
      <c r="Q40" s="4" t="inlineStr">
        <is>
          <t># of resp</t>
        </is>
      </c>
      <c r="R40" s="4" t="inlineStr">
        <is>
          <t>% of resp</t>
        </is>
      </c>
      <c r="S40" s="4" t="inlineStr">
        <is>
          <t># of resp</t>
        </is>
      </c>
      <c r="T40" s="4" t="inlineStr">
        <is>
          <t>% of resp</t>
        </is>
      </c>
      <c r="U40" s="4" t="inlineStr">
        <is>
          <t># of resp</t>
        </is>
      </c>
      <c r="V40" s="4" t="inlineStr">
        <is>
          <t>% of resp</t>
        </is>
      </c>
      <c r="W40" s="4" t="inlineStr">
        <is>
          <t># of resp</t>
        </is>
      </c>
      <c r="X40" s="4" t="inlineStr">
        <is>
          <t>% of resp</t>
        </is>
      </c>
      <c r="Y40" s="4" t="inlineStr">
        <is>
          <t># of resp</t>
        </is>
      </c>
      <c r="Z40" s="4" t="inlineStr">
        <is>
          <t>% of resp</t>
        </is>
      </c>
      <c r="AA40" s="4" t="inlineStr">
        <is>
          <t># of resp</t>
        </is>
      </c>
      <c r="AB40" s="4" t="inlineStr">
        <is>
          <t>% of resp</t>
        </is>
      </c>
      <c r="AC40" s="4" t="inlineStr">
        <is>
          <t># of resp</t>
        </is>
      </c>
      <c r="AD40" s="4" t="inlineStr">
        <is>
          <t>% of resp</t>
        </is>
      </c>
      <c r="AE40" s="4" t="inlineStr">
        <is>
          <t># of resp</t>
        </is>
      </c>
    </row>
    <row r="41">
      <c r="A41" t="inlineStr">
        <is>
          <t>Grid second row</t>
        </is>
      </c>
      <c r="B41">
        <f>COUNTIFS(Q_GRID_EXPORTr2_data,"Selected",passes_workbook_filters_data,1,passes_workbook_custom_filters_data,1,All_Questions_passes_local_filters_data,1,All_Questions_Q_GRID_EXPORT_F_passes_per_q_filter_data,1)</f>
        <v>10</v>
      </c>
      <c r="C41" s="7">
        <f>IFERROR(B41/SUBTOTAL(9,B40:B41),0)</f>
        <v>0.5</v>
      </c>
      <c r="D41" s="14">
        <f>SUBTOTAL(9,B40:B41)</f>
        <v>20</v>
      </c>
      <c r="F41" t="inlineStr">
        <is>
          <t>Grid first row</t>
        </is>
      </c>
      <c r="G41">
        <f>IF(OR(All_Questions_Q_GRID_EXPORT_CT="(None)",G$39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$39))</f>
        <v>0</v>
      </c>
      <c r="H41" s="7">
        <f>IFERROR(G41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$39)),0)</f>
        <v>0</v>
      </c>
      <c r="I41">
        <f>IF(OR(All_Questions_Q_GRID_EXPORT_CT="(None)",I$39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$39))</f>
        <v>0</v>
      </c>
      <c r="J41" s="7">
        <f>IFERROR(I41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$39)),0)</f>
        <v>0</v>
      </c>
      <c r="K41">
        <f>IF(OR(All_Questions_Q_GRID_EXPORT_CT="(None)",K$39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$39))</f>
        <v>0</v>
      </c>
      <c r="L41" s="7">
        <f>IFERROR(K41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$39)),0)</f>
        <v>0</v>
      </c>
      <c r="M41">
        <f>IF(OR(All_Questions_Q_GRID_EXPORT_CT="(None)",M$39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$39))</f>
        <v>0</v>
      </c>
      <c r="N41" s="7">
        <f>IFERROR(M41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$39)),0)</f>
        <v>0</v>
      </c>
      <c r="O41">
        <f>IF(OR(All_Questions_Q_GRID_EXPORT_CT="(None)",O$39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$39))</f>
        <v>0</v>
      </c>
      <c r="P41" s="7">
        <f>IFERROR(O41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$39)),0)</f>
        <v>0</v>
      </c>
      <c r="Q41">
        <f>IF(OR(All_Questions_Q_GRID_EXPORT_CT="(None)",Q$39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$39))</f>
        <v>0</v>
      </c>
      <c r="R41" s="7">
        <f>IFERROR(Q41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$39)),0)</f>
        <v>0</v>
      </c>
      <c r="S41">
        <f>IF(OR(All_Questions_Q_GRID_EXPORT_CT="(None)",S$39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$39))</f>
        <v>0</v>
      </c>
      <c r="T41" s="7">
        <f>IFERROR(S41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$39)),0)</f>
        <v>0</v>
      </c>
      <c r="U41">
        <f>IF(OR(All_Questions_Q_GRID_EXPORT_CT="(None)",U$39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$39))</f>
        <v>0</v>
      </c>
      <c r="V41" s="7">
        <f>IFERROR(U41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$39)),0)</f>
        <v>0</v>
      </c>
      <c r="W41">
        <f>IF(OR(All_Questions_Q_GRID_EXPORT_CT="(None)",W$39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$39))</f>
        <v>0</v>
      </c>
      <c r="X41" s="7">
        <f>IFERROR(W41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$39)),0)</f>
        <v>0</v>
      </c>
      <c r="Y41">
        <f>IF(OR(All_Questions_Q_GRID_EXPORT_CT="(None)",Y$39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$39))</f>
        <v>0</v>
      </c>
      <c r="Z41" s="7">
        <f>IFERROR(Y41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$39)),0)</f>
        <v>0</v>
      </c>
      <c r="AA41">
        <f>IF(OR(All_Questions_Q_GRID_EXPORT_CT="(None)",AA$39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$39))</f>
        <v>0</v>
      </c>
      <c r="AB41" s="7">
        <f>IFERROR(AA41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$39)),0)</f>
        <v>0</v>
      </c>
      <c r="AC41">
        <f>IF(OR(All_Questions_Q_GRID_EXPORT_CT="(None)",AC$39=""),"",IF(AC$39="Other",COUNTIFS(Q_GRID_EXPORTr1_data,"Selected",passes_workbook_filters_data,1,passes_workbook_custom_filters_data,1,All_Questions_passes_local_filters_data,1,All_Questions_Q_GRID_EXPORT_F_passes_per_q_filter_data,1)-SUM(G41,I41,K41,M41,O41,Q41,S41,U41,W41,Y41,AA41)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$39)))</f>
        <v>0</v>
      </c>
      <c r="AD41" s="7">
        <f>IFERROR(AC41/(IF(AC$39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$39)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$39)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$39)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$39)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$39)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$39)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$39)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$39)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$39)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$39)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$39)),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$39))),0)</f>
        <v>0</v>
      </c>
      <c r="AE4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42">
      <c r="A42" s="15" t="inlineStr">
        <is>
          <t>Total respondents</t>
        </is>
      </c>
      <c r="B42" s="15" t="n">
        <v>20</v>
      </c>
      <c r="C42" s="15" t="n"/>
      <c r="D42" s="15" t="n"/>
      <c r="F42" t="inlineStr">
        <is>
          <t>Grid second row</t>
        </is>
      </c>
      <c r="G42">
        <f>IF(OR(All_Questions_Q_GRID_EXPORT_CT="(None)",G$39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$39))</f>
        <v>0</v>
      </c>
      <c r="H42" s="7">
        <f>IFERROR(G42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$39)),0)</f>
        <v>0</v>
      </c>
      <c r="I42">
        <f>IF(OR(All_Questions_Q_GRID_EXPORT_CT="(None)",I$39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$39))</f>
        <v>0</v>
      </c>
      <c r="J42" s="7">
        <f>IFERROR(I42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$39)),0)</f>
        <v>0</v>
      </c>
      <c r="K42">
        <f>IF(OR(All_Questions_Q_GRID_EXPORT_CT="(None)",K$39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$39))</f>
        <v>0</v>
      </c>
      <c r="L42" s="7">
        <f>IFERROR(K42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$39)),0)</f>
        <v>0</v>
      </c>
      <c r="M42">
        <f>IF(OR(All_Questions_Q_GRID_EXPORT_CT="(None)",M$39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$39))</f>
        <v>0</v>
      </c>
      <c r="N42" s="7">
        <f>IFERROR(M42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$39)),0)</f>
        <v>0</v>
      </c>
      <c r="O42">
        <f>IF(OR(All_Questions_Q_GRID_EXPORT_CT="(None)",O$39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$39))</f>
        <v>0</v>
      </c>
      <c r="P42" s="7">
        <f>IFERROR(O42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$39)),0)</f>
        <v>0</v>
      </c>
      <c r="Q42">
        <f>IF(OR(All_Questions_Q_GRID_EXPORT_CT="(None)",Q$39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$39))</f>
        <v>0</v>
      </c>
      <c r="R42" s="7">
        <f>IFERROR(Q42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$39)),0)</f>
        <v>0</v>
      </c>
      <c r="S42">
        <f>IF(OR(All_Questions_Q_GRID_EXPORT_CT="(None)",S$39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$39))</f>
        <v>0</v>
      </c>
      <c r="T42" s="7">
        <f>IFERROR(S42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$39)),0)</f>
        <v>0</v>
      </c>
      <c r="U42">
        <f>IF(OR(All_Questions_Q_GRID_EXPORT_CT="(None)",U$39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$39))</f>
        <v>0</v>
      </c>
      <c r="V42" s="7">
        <f>IFERROR(U42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$39)),0)</f>
        <v>0</v>
      </c>
      <c r="W42">
        <f>IF(OR(All_Questions_Q_GRID_EXPORT_CT="(None)",W$39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$39))</f>
        <v>0</v>
      </c>
      <c r="X42" s="7">
        <f>IFERROR(W42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$39)),0)</f>
        <v>0</v>
      </c>
      <c r="Y42">
        <f>IF(OR(All_Questions_Q_GRID_EXPORT_CT="(None)",Y$39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$39))</f>
        <v>0</v>
      </c>
      <c r="Z42" s="7">
        <f>IFERROR(Y42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$39)),0)</f>
        <v>0</v>
      </c>
      <c r="AA42">
        <f>IF(OR(All_Questions_Q_GRID_EXPORT_CT="(None)",AA$39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$39))</f>
        <v>0</v>
      </c>
      <c r="AB42" s="7">
        <f>IFERROR(AA42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$39)),0)</f>
        <v>0</v>
      </c>
      <c r="AC42">
        <f>IF(OR(All_Questions_Q_GRID_EXPORT_CT="(None)",AC$39=""),"",IF(AC$39="Other",COUNTIFS(Q_GRID_EXPORTr2_data,"Selected",passes_workbook_filters_data,1,passes_workbook_custom_filters_data,1,All_Questions_passes_local_filters_data,1,All_Questions_Q_GRID_EXPORT_F_passes_per_q_filter_data,1)-SUM(G42,I42,K42,M42,O42,Q42,S42,U42,W42,Y42,AA42)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$39)))</f>
        <v>0</v>
      </c>
      <c r="AD42" s="7">
        <f>IFERROR(AC42/(IF(AC$39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$39)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$39)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$39)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$39)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$39)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$39)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$39)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$39)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$39)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$39)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$39)),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$39))),0)</f>
        <v>0</v>
      </c>
      <c r="AE4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43">
      <c r="F43" s="4" t="inlineStr">
        <is>
          <t>Total respondents</t>
        </is>
      </c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Q_VERY_LONG_SINGLE_SELECT_EXPORT_NAME - Long sheet name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XLOOKUP(All_Questions_Q_VERY_LONG_SINGLE_SELECT_EXPORT_NAME_F_Q,All_Questions,All_Questions_Data_Names,"respondent_id_data")</f>
        <v>respondent_id_data</v>
      </c>
      <c r="G46" t="str">
        <f>"|" &amp; SUBSTITUTE(All_Questions_Q_VERY_LONG_SINGLE_SELECT_EXPORT_NAME_F_V,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IF(All_Questions_Q_VERY_LONG_SINGLE_SELECT_EXPORT_NAME_CT="(None)","",IFERROR(INDEX(INDIRECT(XLOOKUP(All_Questions_Q_VERY_LONG_SINGLE_SELECT_EXPORT_NAME_CT,All_Questions,All_Questions_Options_Names,"None_options")),2),""))</f>
        <v/>
      </c>
      <c r="H49" s="2" t="n"/>
      <c r="I49" s="2" t="str">
        <f>IF(All_Questions_Q_VERY_LONG_SINGLE_SELECT_EXPORT_NAME_CT="(None)","",IFERROR(INDEX(INDIRECT(XLOOKUP(All_Questions_Q_VERY_LONG_SINGLE_SELECT_EXPORT_NAME_CT,All_Questions,All_Questions_Options_Names,"None_options")),3),""))</f>
        <v/>
      </c>
      <c r="J49" s="2" t="n"/>
      <c r="K49" s="2" t="str">
        <f>IF(All_Questions_Q_VERY_LONG_SINGLE_SELECT_EXPORT_NAME_CT="(None)","",IFERROR(INDEX(INDIRECT(XLOOKUP(All_Questions_Q_VERY_LONG_SINGLE_SELECT_EXPORT_NAME_CT,All_Questions,All_Questions_Options_Names,"None_options")),4),""))</f>
        <v/>
      </c>
      <c r="L49" s="2" t="n"/>
      <c r="M49" s="2" t="str">
        <f>IF(All_Questions_Q_VERY_LONG_SINGLE_SELECT_EXPORT_NAME_CT="(None)","",IFERROR(INDEX(INDIRECT(XLOOKUP(All_Questions_Q_VERY_LONG_SINGLE_SELECT_EXPORT_NAME_CT,All_Questions,All_Questions_Options_Names,"None_options")),5),""))</f>
        <v/>
      </c>
      <c r="N49" s="2" t="n"/>
      <c r="O49" s="2" t="str">
        <f>IF(All_Questions_Q_VERY_LONG_SINGLE_SELECT_EXPORT_NAME_CT="(None)","",IFERROR(INDEX(INDIRECT(XLOOKUP(All_Questions_Q_VERY_LONG_SINGLE_SELECT_EXPORT_NAME_CT,All_Questions,All_Questions_Options_Names,"None_options")),6),""))</f>
        <v/>
      </c>
      <c r="P49" s="2" t="n"/>
      <c r="Q49" s="2" t="str">
        <f>IF(All_Questions_Q_VERY_LONG_SINGLE_SELECT_EXPORT_NAME_CT="(None)","",IFERROR(INDEX(INDIRECT(XLOOKUP(All_Questions_Q_VERY_LONG_SINGLE_SELECT_EXPORT_NAME_CT,All_Questions,All_Questions_Options_Names,"None_options")),7),""))</f>
        <v/>
      </c>
      <c r="R49" s="2" t="n"/>
      <c r="S49" s="2" t="str">
        <f>IF(All_Questions_Q_VERY_LONG_SINGLE_SELECT_EXPORT_NAME_CT="(None)","",IFERROR(INDEX(INDIRECT(XLOOKUP(All_Questions_Q_VERY_LONG_SINGLE_SELECT_EXPORT_NAME_CT,All_Questions,All_Questions_Options_Names,"None_options")),8),""))</f>
        <v/>
      </c>
      <c r="T49" s="2" t="n"/>
      <c r="U49" s="2" t="str">
        <f>IF(All_Questions_Q_VERY_LONG_SINGLE_SELECT_EXPORT_NAME_CT="(None)","",IFERROR(INDEX(INDIRECT(XLOOKUP(All_Questions_Q_VERY_LONG_SINGLE_SELECT_EXPORT_NAME_CT,All_Questions,All_Questions_Options_Names,"None_options")),9),""))</f>
        <v/>
      </c>
      <c r="V49" s="2" t="n"/>
      <c r="W49" s="2" t="str">
        <f>IF(All_Questions_Q_VERY_LONG_SINGLE_SELECT_EXPORT_NAME_CT="(None)","",IFERROR(INDEX(INDIRECT(XLOOKUP(All_Questions_Q_VERY_LONG_SINGLE_SELECT_EXPORT_NAME_CT,All_Questions,All_Questions_Options_Names,"None_options")),10),""))</f>
        <v/>
      </c>
      <c r="X49" s="2" t="n"/>
      <c r="Y49" s="2" t="str">
        <f>IF(All_Questions_Q_VERY_LONG_SINGLE_SELECT_EXPORT_NAME_CT="(None)","",IFERROR(INDEX(INDIRECT(XLOOKUP(All_Questions_Q_VERY_LONG_SINGLE_SELECT_EXPORT_NAME_CT,All_Questions,All_Questions_Options_Names,"None_options")),11),""))</f>
        <v/>
      </c>
      <c r="Z49" s="2" t="n"/>
      <c r="AA49" s="2" t="str">
        <f>IF(All_Questions_Q_VERY_LONG_SINGLE_SELECT_EXPORT_NAME_CT="(None)","",IFERROR(INDEX(INDIRECT(XLOOKUP(All_Questions_Q_VERY_LONG_SINGLE_SELECT_EXPORT_NAME_CT,All_Questions,All_Questions_Options_Names,"None_options")),12),""))</f>
        <v/>
      </c>
      <c r="AB49" s="2" t="n"/>
      <c r="AC49" s="2" t="str">
        <f>IF(All_Questions_Q_VERY_LONG_SINGLE_SELECT_EXPORT_NAME_CT="(None)","",IF(COUNTA(INDIRECT(XLOOKUP(All_Questions_Q_VERY_LONG_SINGLE_SELECT_EXPORT_NAME_CT,All_Questions,All_Questions_Options_Names,"None_options")))-1&gt;11,"Other",IFERROR(INDEX(INDIRECT(XLOOKUP(All_Questions_Q_VERY_LONG_SINGLE_SELECT_EXPORT_NAME_CT,All_Questions,All_Questions_Options_Names,"None_options")),13),"")))</f>
        <v/>
      </c>
      <c r="AD49" s="2" t="n"/>
      <c r="AE49" s="4" t="inlineStr">
        <is>
          <t>Total</t>
        </is>
      </c>
    </row>
    <row r="50">
      <c r="A50" t="inlineStr">
        <is>
          <t>A</t>
        </is>
      </c>
      <c r="B50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0" s="7">
        <f>IFERROR(B50/SUBTOTAL(9,B50:B51),0)</f>
        <v>0.7</v>
      </c>
      <c r="D50" s="14">
        <f>SUBTOTAL(9,B50:B51)</f>
        <v>10</v>
      </c>
      <c r="F50" s="4" t="inlineStr"/>
      <c r="G50" s="4" t="inlineStr">
        <is>
          <t># of resp</t>
        </is>
      </c>
      <c r="H50" s="4" t="inlineStr">
        <is>
          <t>% of resp</t>
        </is>
      </c>
      <c r="I50" s="4" t="inlineStr">
        <is>
          <t># of resp</t>
        </is>
      </c>
      <c r="J50" s="4" t="inlineStr">
        <is>
          <t>% of resp</t>
        </is>
      </c>
      <c r="K50" s="4" t="inlineStr">
        <is>
          <t># of resp</t>
        </is>
      </c>
      <c r="L50" s="4" t="inlineStr">
        <is>
          <t>% of resp</t>
        </is>
      </c>
      <c r="M50" s="4" t="inlineStr">
        <is>
          <t># of resp</t>
        </is>
      </c>
      <c r="N50" s="4" t="inlineStr">
        <is>
          <t>% of resp</t>
        </is>
      </c>
      <c r="O50" s="4" t="inlineStr">
        <is>
          <t># of resp</t>
        </is>
      </c>
      <c r="P50" s="4" t="inlineStr">
        <is>
          <t>% of resp</t>
        </is>
      </c>
      <c r="Q50" s="4" t="inlineStr">
        <is>
          <t># of resp</t>
        </is>
      </c>
      <c r="R50" s="4" t="inlineStr">
        <is>
          <t>% of resp</t>
        </is>
      </c>
      <c r="S50" s="4" t="inlineStr">
        <is>
          <t># of resp</t>
        </is>
      </c>
      <c r="T50" s="4" t="inlineStr">
        <is>
          <t>% of resp</t>
        </is>
      </c>
      <c r="U50" s="4" t="inlineStr">
        <is>
          <t># of resp</t>
        </is>
      </c>
      <c r="V50" s="4" t="inlineStr">
        <is>
          <t>% of resp</t>
        </is>
      </c>
      <c r="W50" s="4" t="inlineStr">
        <is>
          <t># of resp</t>
        </is>
      </c>
      <c r="X50" s="4" t="inlineStr">
        <is>
          <t>% of resp</t>
        </is>
      </c>
      <c r="Y50" s="4" t="inlineStr">
        <is>
          <t># of resp</t>
        </is>
      </c>
      <c r="Z50" s="4" t="inlineStr">
        <is>
          <t>% of resp</t>
        </is>
      </c>
      <c r="AA50" s="4" t="inlineStr">
        <is>
          <t># of resp</t>
        </is>
      </c>
      <c r="AB50" s="4" t="inlineStr">
        <is>
          <t>% of resp</t>
        </is>
      </c>
      <c r="AC50" s="4" t="inlineStr">
        <is>
          <t># of resp</t>
        </is>
      </c>
      <c r="AD50" s="4" t="inlineStr">
        <is>
          <t>% of resp</t>
        </is>
      </c>
      <c r="AE50" s="4" t="inlineStr">
        <is>
          <t># of resp</t>
        </is>
      </c>
    </row>
    <row r="51">
      <c r="A51" t="inlineStr">
        <is>
          <t>B</t>
        </is>
      </c>
      <c r="B51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1" s="7">
        <f>IFERROR(B51/SUBTOTAL(9,B50:B51),0)</f>
        <v>0.3</v>
      </c>
      <c r="D51" s="14">
        <f>SUBTOTAL(9,B50:B51)</f>
        <v>10</v>
      </c>
      <c r="F51" t="inlineStr">
        <is>
          <t>A</t>
        </is>
      </c>
      <c r="G51">
        <f>IF(OR(All_Questions_Q_VERY_LONG_SINGLE_SELECT_EXPORT_NAME_CT="(None)",G$49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$49))</f>
        <v>0</v>
      </c>
      <c r="H51" s="7">
        <f>IFERROR(G51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$49)),0)</f>
        <v>0</v>
      </c>
      <c r="I51">
        <f>IF(OR(All_Questions_Q_VERY_LONG_SINGLE_SELECT_EXPORT_NAME_CT="(None)",I$49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$49))</f>
        <v>0</v>
      </c>
      <c r="J51" s="7">
        <f>IFERROR(I51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$49)),0)</f>
        <v>0</v>
      </c>
      <c r="K51">
        <f>IF(OR(All_Questions_Q_VERY_LONG_SINGLE_SELECT_EXPORT_NAME_CT="(None)",K$49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$49))</f>
        <v>0</v>
      </c>
      <c r="L51" s="7">
        <f>IFERROR(K51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$49)),0)</f>
        <v>0</v>
      </c>
      <c r="M51">
        <f>IF(OR(All_Questions_Q_VERY_LONG_SINGLE_SELECT_EXPORT_NAME_CT="(None)",M$49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$49))</f>
        <v>0</v>
      </c>
      <c r="N51" s="7">
        <f>IFERROR(M51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$49)),0)</f>
        <v>0</v>
      </c>
      <c r="O51">
        <f>IF(OR(All_Questions_Q_VERY_LONG_SINGLE_SELECT_EXPORT_NAME_CT="(None)",O$49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$49))</f>
        <v>0</v>
      </c>
      <c r="P51" s="7">
        <f>IFERROR(O51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$49)),0)</f>
        <v>0</v>
      </c>
      <c r="Q51">
        <f>IF(OR(All_Questions_Q_VERY_LONG_SINGLE_SELECT_EXPORT_NAME_CT="(None)",Q$49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$49))</f>
        <v>0</v>
      </c>
      <c r="R51" s="7">
        <f>IFERROR(Q51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$49)),0)</f>
        <v>0</v>
      </c>
      <c r="S51">
        <f>IF(OR(All_Questions_Q_VERY_LONG_SINGLE_SELECT_EXPORT_NAME_CT="(None)",S$49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$49))</f>
        <v>0</v>
      </c>
      <c r="T51" s="7">
        <f>IFERROR(S51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$49)),0)</f>
        <v>0</v>
      </c>
      <c r="U51">
        <f>IF(OR(All_Questions_Q_VERY_LONG_SINGLE_SELECT_EXPORT_NAME_CT="(None)",U$49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$49))</f>
        <v>0</v>
      </c>
      <c r="V51" s="7">
        <f>IFERROR(U51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$49)),0)</f>
        <v>0</v>
      </c>
      <c r="W51">
        <f>IF(OR(All_Questions_Q_VERY_LONG_SINGLE_SELECT_EXPORT_NAME_CT="(None)",W$49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$49))</f>
        <v>0</v>
      </c>
      <c r="X51" s="7">
        <f>IFERROR(W51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$49)),0)</f>
        <v>0</v>
      </c>
      <c r="Y51">
        <f>IF(OR(All_Questions_Q_VERY_LONG_SINGLE_SELECT_EXPORT_NAME_CT="(None)",Y$49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$49))</f>
        <v>0</v>
      </c>
      <c r="Z51" s="7">
        <f>IFERROR(Y51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$49)),0)</f>
        <v>0</v>
      </c>
      <c r="AA51">
        <f>IF(OR(All_Questions_Q_VERY_LONG_SINGLE_SELECT_EXPORT_NAME_CT="(None)",AA$49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$49))</f>
        <v>0</v>
      </c>
      <c r="AB51" s="7">
        <f>IFERROR(AA51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$49)),0)</f>
        <v>0</v>
      </c>
      <c r="AC51">
        <f>IF(OR(All_Questions_Q_VERY_LONG_SINGLE_SELECT_EXPORT_NAME_CT="(None)",AC$49=""),"",IF(AC$49="Other",COUNTIFS(Q_VERY_LONG_SINGLE_SELECT_EXPOR_data,"A",passes_workbook_filters_data,1,passes_workbook_custom_filters_data,1,All_Questions_passes_local_filters_data,1,All_Questions_Q_VERY_LONG_SINGLE_SELECT_EXPORT_NAME_F_passes_per_q_filter_data,1)-SUM(G51,I51,K51,M51,O51,Q51,S51,U51,W51,Y51,AA51)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$49)))</f>
        <v>0</v>
      </c>
      <c r="AD51" s="7">
        <f>IFERROR(AC51/(IF(AC$49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$49)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$49)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$49)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$49)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$49)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$49)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$49)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$49)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$49)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$49)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$49)),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$49))),0)</f>
        <v>0</v>
      </c>
      <c r="AE51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B</t>
        </is>
      </c>
      <c r="G52">
        <f>IF(OR(All_Questions_Q_VERY_LONG_SINGLE_SELECT_EXPORT_NAME_CT="(None)",G$49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$49))</f>
        <v>0</v>
      </c>
      <c r="H52" s="7">
        <f>IFERROR(G52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$49)),0)</f>
        <v>0</v>
      </c>
      <c r="I52">
        <f>IF(OR(All_Questions_Q_VERY_LONG_SINGLE_SELECT_EXPORT_NAME_CT="(None)",I$49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$49))</f>
        <v>0</v>
      </c>
      <c r="J52" s="7">
        <f>IFERROR(I52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$49)),0)</f>
        <v>0</v>
      </c>
      <c r="K52">
        <f>IF(OR(All_Questions_Q_VERY_LONG_SINGLE_SELECT_EXPORT_NAME_CT="(None)",K$49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$49))</f>
        <v>0</v>
      </c>
      <c r="L52" s="7">
        <f>IFERROR(K52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$49)),0)</f>
        <v>0</v>
      </c>
      <c r="M52">
        <f>IF(OR(All_Questions_Q_VERY_LONG_SINGLE_SELECT_EXPORT_NAME_CT="(None)",M$49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$49))</f>
        <v>0</v>
      </c>
      <c r="N52" s="7">
        <f>IFERROR(M52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$49)),0)</f>
        <v>0</v>
      </c>
      <c r="O52">
        <f>IF(OR(All_Questions_Q_VERY_LONG_SINGLE_SELECT_EXPORT_NAME_CT="(None)",O$49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$49))</f>
        <v>0</v>
      </c>
      <c r="P52" s="7">
        <f>IFERROR(O52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$49)),0)</f>
        <v>0</v>
      </c>
      <c r="Q52">
        <f>IF(OR(All_Questions_Q_VERY_LONG_SINGLE_SELECT_EXPORT_NAME_CT="(None)",Q$49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$49))</f>
        <v>0</v>
      </c>
      <c r="R52" s="7">
        <f>IFERROR(Q52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$49)),0)</f>
        <v>0</v>
      </c>
      <c r="S52">
        <f>IF(OR(All_Questions_Q_VERY_LONG_SINGLE_SELECT_EXPORT_NAME_CT="(None)",S$49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$49))</f>
        <v>0</v>
      </c>
      <c r="T52" s="7">
        <f>IFERROR(S52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$49)),0)</f>
        <v>0</v>
      </c>
      <c r="U52">
        <f>IF(OR(All_Questions_Q_VERY_LONG_SINGLE_SELECT_EXPORT_NAME_CT="(None)",U$49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$49))</f>
        <v>0</v>
      </c>
      <c r="V52" s="7">
        <f>IFERROR(U52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$49)),0)</f>
        <v>0</v>
      </c>
      <c r="W52">
        <f>IF(OR(All_Questions_Q_VERY_LONG_SINGLE_SELECT_EXPORT_NAME_CT="(None)",W$49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$49))</f>
        <v>0</v>
      </c>
      <c r="X52" s="7">
        <f>IFERROR(W52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$49)),0)</f>
        <v>0</v>
      </c>
      <c r="Y52">
        <f>IF(OR(All_Questions_Q_VERY_LONG_SINGLE_SELECT_EXPORT_NAME_CT="(None)",Y$49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$49))</f>
        <v>0</v>
      </c>
      <c r="Z52" s="7">
        <f>IFERROR(Y52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$49)),0)</f>
        <v>0</v>
      </c>
      <c r="AA52">
        <f>IF(OR(All_Questions_Q_VERY_LONG_SINGLE_SELECT_EXPORT_NAME_CT="(None)",AA$49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$49))</f>
        <v>0</v>
      </c>
      <c r="AB52" s="7">
        <f>IFERROR(AA52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$49)),0)</f>
        <v>0</v>
      </c>
      <c r="AC52">
        <f>IF(OR(All_Questions_Q_VERY_LONG_SINGLE_SELECT_EXPORT_NAME_CT="(None)",AC$49=""),"",IF(AC$49="Other",COUNTIFS(Q_VERY_LONG_SINGLE_SELECT_EXPOR_data,"B",passes_workbook_filters_data,1,passes_workbook_custom_filters_data,1,All_Questions_passes_local_filters_data,1,All_Questions_Q_VERY_LONG_SINGLE_SELECT_EXPORT_NAME_F_passes_per_q_filter_data,1)-SUM(G52,I52,K52,M52,O52,Q52,S52,U52,W52,Y52,AA52)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$49)))</f>
        <v>0</v>
      </c>
      <c r="AD52" s="7">
        <f>IFERROR(AC52/(IF(AC$49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$49)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$49)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$49)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$49)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$49)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$49)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$49)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$49)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$49)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$49)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$49)),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$49))),0)</f>
        <v>0</v>
      </c>
      <c r="AE52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53"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7">
    <mergeCell ref="AC17:AD17"/>
    <mergeCell ref="K49:L49"/>
    <mergeCell ref="W49:X49"/>
    <mergeCell ref="I49:J49"/>
    <mergeCell ref="U49:V49"/>
    <mergeCell ref="M49:N49"/>
    <mergeCell ref="M39:N39"/>
    <mergeCell ref="O39:P39"/>
    <mergeCell ref="G17:H17"/>
    <mergeCell ref="Q39:R39"/>
    <mergeCell ref="G39:H39"/>
    <mergeCell ref="S39:T39"/>
    <mergeCell ref="Y39:Z39"/>
    <mergeCell ref="AA39:AB39"/>
    <mergeCell ref="S17:T17"/>
    <mergeCell ref="U17:V17"/>
    <mergeCell ref="O49:P49"/>
    <mergeCell ref="AA49:AB49"/>
    <mergeCell ref="AC39:AD39"/>
    <mergeCell ref="Y17:Z17"/>
    <mergeCell ref="G49:H49"/>
    <mergeCell ref="A1:J1"/>
    <mergeCell ref="S49:T49"/>
    <mergeCell ref="Y49:Z49"/>
    <mergeCell ref="I39:J39"/>
    <mergeCell ref="Q49:R49"/>
    <mergeCell ref="K39:L39"/>
    <mergeCell ref="I17:J17"/>
    <mergeCell ref="K17:L17"/>
    <mergeCell ref="U39:V39"/>
    <mergeCell ref="M17:N17"/>
    <mergeCell ref="W39:X39"/>
    <mergeCell ref="O17:P17"/>
    <mergeCell ref="Q17:R17"/>
    <mergeCell ref="W17:X17"/>
    <mergeCell ref="AC49:AD49"/>
    <mergeCell ref="AA17:AB17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19:T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19:V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19:X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19:Z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19:AB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19:AD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0:B41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0:C41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1:H42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1:J42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1:L42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1:N42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1:P42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1:R42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41:T42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41:V42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41:X42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41:Z42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41:AB42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41:AD42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51:T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51:V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51:X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51:Z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51:AB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51:AD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=INDIRECT(XLOOKUP(All_Questions_F_Custom1_Q_resolved,All_Questions,All_Questions_Options_Names,"None_options"))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=INDIRECT(XLOOKUP(All_Questions_F_Custom2_Q_resolved,All_Questions,All_Questions_Options_Names,"None_options"))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=INDIRECT(XLOOKUP(All_Questions_Q_MS_EXPORT_F_Q,All_Questions,All_Questions_Options_Names,"None_options"))</formula1>
    </dataValidation>
    <dataValidation sqref="C15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=INDIRECT(XLOOKUP(All_Questions_Q_NUM_EXPORT_F_Q,All_Questions,All_Questions_Options_Names,"None_options"))</formula1>
    </dataValidation>
    <dataValidation sqref="C25" showDropDown="0" showInputMessage="0" showErrorMessage="0" allowBlank="1" type="list">
      <formula1>=All_Questions</formula1>
    </dataValidation>
    <dataValidation sqref="C36" showDropDown="0" showInputMessage="0" showErrorMessage="0" allowBlank="1" type="list">
      <formula1>=All_Questions</formula1>
    </dataValidation>
    <dataValidation sqref="E36" showDropDown="0" showInputMessage="0" showErrorMessage="0" allowBlank="1" type="list">
      <formula1>=INDIRECT(XLOOKUP(All_Questions_Q_GRID_EXPORT_F_Q,All_Questions,All_Questions_Options_Names,"None_options"))</formula1>
    </dataValidation>
    <dataValidation sqref="C37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47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2026-05-18T10:56:56Z</dcterms:created>
  <dcterms:modified xmlns:dcterms="http://purl.org/dc/terms/" xmlns:xsi="http://www.w3.org/2001/XMLSchema-instance" xsi:type="dcterms:W3CDTF">2026-05-18T10:56:56Z</dcterms:modified>
</cp:coreProperties>
</file>