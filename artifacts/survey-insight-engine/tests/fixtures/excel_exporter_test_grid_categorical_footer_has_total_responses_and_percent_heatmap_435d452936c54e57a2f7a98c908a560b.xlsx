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S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  <row r="23"/>
    <row r="24">
      <c r="F24" s="4" t="inlineStr">
        <is>
          <t>Option</t>
        </is>
      </c>
      <c r="G24" s="2" t="str">
        <f>IF(All_Questions_Q_CATGRID_CT="(None)","",IFERROR(INDEX(INDIRECT(IFERROR(INDEX(Cross_Tab_Questions_Options_Names,MATCH(All_Questions_Q_CATGRID_CT,Cross_Tab_Questions,0)),"'_Options'!$E$2:$E$2")),2),""))</f>
        <v/>
      </c>
      <c r="H24" s="2" t="str">
        <f>IF(All_Questions_Q_CATGRID_CT="(None)","",IFERROR(INDEX(INDIRECT(IFERROR(INDEX(Cross_Tab_Questions_Options_Names,MATCH(All_Questions_Q_CATGRID_CT,Cross_Tab_Questions,0)),"'_Options'!$E$2:$E$2")),3),""))</f>
        <v/>
      </c>
      <c r="I24" s="2" t="str">
        <f>IF(All_Questions_Q_CATGRID_CT="(None)","",IFERROR(INDEX(INDIRECT(IFERROR(INDEX(Cross_Tab_Questions_Options_Names,MATCH(All_Questions_Q_CATGRID_CT,Cross_Tab_Questions,0)),"'_Options'!$E$2:$E$2")),4),""))</f>
        <v/>
      </c>
      <c r="J24" s="2" t="str">
        <f>IF(All_Questions_Q_CATGRID_CT="(None)","",IFERROR(INDEX(INDIRECT(IFERROR(INDEX(Cross_Tab_Questions_Options_Names,MATCH(All_Questions_Q_CATGRID_CT,Cross_Tab_Questions,0)),"'_Options'!$E$2:$E$2")),5),""))</f>
        <v/>
      </c>
      <c r="K24" s="2" t="str">
        <f>IF(All_Questions_Q_CATGRID_CT="(None)","",IFERROR(INDEX(INDIRECT(IFERROR(INDEX(Cross_Tab_Questions_Options_Names,MATCH(All_Questions_Q_CATGRID_CT,Cross_Tab_Questions,0)),"'_Options'!$E$2:$E$2")),6),""))</f>
        <v/>
      </c>
      <c r="L24" s="2" t="str">
        <f>IF(All_Questions_Q_CATGRID_CT="(None)","",IFERROR(INDEX(INDIRECT(IFERROR(INDEX(Cross_Tab_Questions_Options_Names,MATCH(All_Questions_Q_CATGRID_CT,Cross_Tab_Questions,0)),"'_Options'!$E$2:$E$2")),7),""))</f>
        <v/>
      </c>
      <c r="M24" s="2" t="str">
        <f>IF(All_Questions_Q_CATGRID_CT="(None)","",IFERROR(INDEX(INDIRECT(IFERROR(INDEX(Cross_Tab_Questions_Options_Names,MATCH(All_Questions_Q_CATGRID_CT,Cross_Tab_Questions,0)),"'_Options'!$E$2:$E$2")),8),""))</f>
        <v/>
      </c>
      <c r="N24" s="2" t="str">
        <f>IF(All_Questions_Q_CATGRID_CT="(None)","",IFERROR(INDEX(INDIRECT(IFERROR(INDEX(Cross_Tab_Questions_Options_Names,MATCH(All_Questions_Q_CATGRID_CT,Cross_Tab_Questions,0)),"'_Options'!$E$2:$E$2")),9),""))</f>
        <v/>
      </c>
      <c r="O24" s="2" t="str">
        <f>IF(All_Questions_Q_CATGRID_CT="(None)","",IFERROR(INDEX(INDIRECT(IFERROR(INDEX(Cross_Tab_Questions_Options_Names,MATCH(All_Questions_Q_CATGRID_CT,Cross_Tab_Questions,0)),"'_Options'!$E$2:$E$2")),10),""))</f>
        <v/>
      </c>
      <c r="P24" s="2" t="str">
        <f>IF(All_Questions_Q_CATGRID_CT="(None)","",IFERROR(INDEX(INDIRECT(IFERROR(INDEX(Cross_Tab_Questions_Options_Names,MATCH(All_Questions_Q_CATGRID_CT,Cross_Tab_Questions,0)),"'_Options'!$E$2:$E$2")),11),""))</f>
        <v/>
      </c>
      <c r="Q24" s="2" t="str">
        <f>IF(All_Questions_Q_CATGRID_CT="(None)","",IFERROR(INDEX(INDIRECT(IFERROR(INDEX(Cross_Tab_Questions_Options_Names,MATCH(All_Questions_Q_CATGRID_CT,Cross_Tab_Questions,0)),"'_Options'!$E$2:$E$2")),12),""))</f>
        <v/>
      </c>
      <c r="R24" s="2" t="str">
        <f>IF(All_Questions_Q_CATGRID_CT="(None)","",IF(COUNTA(INDIRECT(IFERROR(INDEX(Cross_Tab_Questions_Options_Names,MATCH(All_Questions_Q_CATGRID_CT,Cross_Tab_Questions,0)),"'_Options'!$E$2:$E$2")))-1&gt;11,"Other",IFERROR(INDEX(INDIRECT(IFERROR(INDEX(Cross_Tab_Questions_Options_Names,MATCH(All_Questions_Q_CATGRID_CT,Cross_Tab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# of resp</t>
        </is>
      </c>
      <c r="H25" s="4" t="inlineStr">
        <is>
          <t># of resp</t>
        </is>
      </c>
      <c r="I25" s="4" t="inlineStr">
        <is>
          <t># of resp</t>
        </is>
      </c>
      <c r="J25" s="4" t="inlineStr">
        <is>
          <t># of resp</t>
        </is>
      </c>
      <c r="K25" s="4" t="inlineStr">
        <is>
          <t># of resp</t>
        </is>
      </c>
      <c r="L25" s="4" t="inlineStr">
        <is>
          <t># of resp</t>
        </is>
      </c>
      <c r="M25" s="4" t="inlineStr">
        <is>
          <t># of resp</t>
        </is>
      </c>
      <c r="N25" s="4" t="inlineStr">
        <is>
          <t># of resp</t>
        </is>
      </c>
      <c r="O25" s="4" t="inlineStr">
        <is>
          <t># of resp</t>
        </is>
      </c>
      <c r="P25" s="4" t="inlineStr">
        <is>
          <t># of resp</t>
        </is>
      </c>
      <c r="Q25" s="4" t="inlineStr">
        <is>
          <t># of resp</t>
        </is>
      </c>
      <c r="R25" s="4" t="inlineStr">
        <is>
          <t># of resp</t>
        </is>
      </c>
      <c r="S25" s="4" t="inlineStr">
        <is>
          <t># of resp</t>
        </is>
      </c>
    </row>
    <row r="26">
      <c r="F26" t="inlineStr">
        <is>
          <t>IT / Technical</t>
        </is>
      </c>
      <c r="G26" s="16">
        <f>IF(OR(All_Questions_Q_CATGRID_CT="(None)",G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6" s="16">
        <f>IF(OR(All_Questions_Q_CATGRID_CT="(None)",H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6" s="16">
        <f>IF(OR(All_Questions_Q_CATGRID_CT="(None)",I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6" s="16">
        <f>IF(OR(All_Questions_Q_CATGRID_CT="(None)",J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6" s="16">
        <f>IF(OR(All_Questions_Q_CATGRID_CT="(None)",K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6" s="16">
        <f>IF(OR(All_Questions_Q_CATGRID_CT="(None)",L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6" s="16">
        <f>IF(OR(All_Questions_Q_CATGRID_CT="(None)",M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6" s="16">
        <f>IF(OR(All_Questions_Q_CATGRID_CT="(None)",N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6" s="16">
        <f>IF(OR(All_Questions_Q_CATGRID_CT="(None)",O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6" s="16">
        <f>IF(OR(All_Questions_Q_CATGRID_CT="(None)",P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6" s="16">
        <f>IF(OR(All_Questions_Q_CATGRID_CT="(None)",Q$24=""),""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6" s="16">
        <f>IF(OR(All_Questions_Q_CATGRID_CT="(None)",R$24=""),"",IF(R$24="Other",COUNTIFS(Q_CATGRIDr1_data,"Selected",passes_workbook_filters_data,1,passes_workbook_custom_filters_data,1,All_Questions_passes_local_filters_data,1,All_Questions_Q_CATGRID_F_passes_per_q_filter_data,1)-SUM(G26,H26,I26,J26,K26,L26,M26,N26,O26,P26,Q26),COUNTIFS(Q_CATGRIDr1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6" s="16">
        <f>IF(All_Questions_Q_CATGRID_CT="(None)","",COUNTIFS(Q_CATGRIDr1_data,"Selected",passes_workbook_filters_data,1,passes_workbook_custom_filters_data,1,All_Questions_passes_local_filters_data,1,All_Questions_Q_CATGRID_F_passes_per_q_filter_data,1))</f>
        <v>0</v>
      </c>
    </row>
    <row r="27">
      <c r="F27" t="inlineStr">
        <is>
          <t>Security</t>
        </is>
      </c>
      <c r="G27" s="16">
        <f>IF(OR(All_Questions_Q_CATGRID_CT="(None)",G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7" s="16">
        <f>IF(OR(All_Questions_Q_CATGRID_CT="(None)",H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7" s="16">
        <f>IF(OR(All_Questions_Q_CATGRID_CT="(None)",I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7" s="16">
        <f>IF(OR(All_Questions_Q_CATGRID_CT="(None)",J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7" s="16">
        <f>IF(OR(All_Questions_Q_CATGRID_CT="(None)",K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7" s="16">
        <f>IF(OR(All_Questions_Q_CATGRID_CT="(None)",L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7" s="16">
        <f>IF(OR(All_Questions_Q_CATGRID_CT="(None)",M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7" s="16">
        <f>IF(OR(All_Questions_Q_CATGRID_CT="(None)",N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7" s="16">
        <f>IF(OR(All_Questions_Q_CATGRID_CT="(None)",O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7" s="16">
        <f>IF(OR(All_Questions_Q_CATGRID_CT="(None)",P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7" s="16">
        <f>IF(OR(All_Questions_Q_CATGRID_CT="(None)",Q$24=""),""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7" s="16">
        <f>IF(OR(All_Questions_Q_CATGRID_CT="(None)",R$24=""),"",IF(R$24="Other",COUNTIFS(Q_CATGRIDr2_data,"Selected",passes_workbook_filters_data,1,passes_workbook_custom_filters_data,1,All_Questions_passes_local_filters_data,1,All_Questions_Q_CATGRID_F_passes_per_q_filter_data,1)-SUM(G27,H27,I27,J27,K27,L27,M27,N27,O27,P27,Q27),COUNTIFS(Q_CATGRIDr2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7" s="16">
        <f>IF(All_Questions_Q_CATGRID_CT="(None)","",COUNTIFS(Q_CATGRIDr2_data,"Selected",passes_workbook_filters_data,1,passes_workbook_custom_filters_data,1,All_Questions_passes_local_filters_data,1,All_Questions_Q_CATGRID_F_passes_per_q_filter_data,1))</f>
        <v>0</v>
      </c>
    </row>
    <row r="28">
      <c r="F28" t="inlineStr">
        <is>
          <t>Human Resources</t>
        </is>
      </c>
      <c r="G28" s="16">
        <f>IF(OR(All_Questions_Q_CATGRID_CT="(None)",G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G$24))</f>
        <v>0</v>
      </c>
      <c r="H28" s="16">
        <f>IF(OR(All_Questions_Q_CATGRID_CT="(None)",H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H$24))</f>
        <v>0</v>
      </c>
      <c r="I28" s="16">
        <f>IF(OR(All_Questions_Q_CATGRID_CT="(None)",I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I$24))</f>
        <v>0</v>
      </c>
      <c r="J28" s="16">
        <f>IF(OR(All_Questions_Q_CATGRID_CT="(None)",J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J$24))</f>
        <v>0</v>
      </c>
      <c r="K28" s="16">
        <f>IF(OR(All_Questions_Q_CATGRID_CT="(None)",K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K$24))</f>
        <v>0</v>
      </c>
      <c r="L28" s="16">
        <f>IF(OR(All_Questions_Q_CATGRID_CT="(None)",L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L$24))</f>
        <v>0</v>
      </c>
      <c r="M28" s="16">
        <f>IF(OR(All_Questions_Q_CATGRID_CT="(None)",M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M$24))</f>
        <v>0</v>
      </c>
      <c r="N28" s="16">
        <f>IF(OR(All_Questions_Q_CATGRID_CT="(None)",N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N$24))</f>
        <v>0</v>
      </c>
      <c r="O28" s="16">
        <f>IF(OR(All_Questions_Q_CATGRID_CT="(None)",O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O$24))</f>
        <v>0</v>
      </c>
      <c r="P28" s="16">
        <f>IF(OR(All_Questions_Q_CATGRID_CT="(None)",P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P$24))</f>
        <v>0</v>
      </c>
      <c r="Q28" s="16">
        <f>IF(OR(All_Questions_Q_CATGRID_CT="(None)",Q$24=""),""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Q$24))</f>
        <v>0</v>
      </c>
      <c r="R28" s="16">
        <f>IF(OR(All_Questions_Q_CATGRID_CT="(None)",R$24=""),"",IF(R$24="Other",COUNTIFS(Q_CATGRIDr3_data,"Selected",passes_workbook_filters_data,1,passes_workbook_custom_filters_data,1,All_Questions_passes_local_filters_data,1,All_Questions_Q_CATGRID_F_passes_per_q_filter_data,1)-SUM(G28,H28,I28,J28,K28,L28,M28,N28,O28,P28,Q28),COUNTIFS(Q_CATGRIDr3_data,"Selected",passes_workbook_filters_data,1,passes_workbook_custom_filters_data,1,All_Questions_passes_local_filters_data,1,All_Questions_Q_CATGRID_F_passes_per_q_filter_data,1,INDIRECT(IFERROR(INDEX(Cross_Tab_Questions_Data_Names,MATCH(All_Questions_Q_CATGRID_CT,Cross_Tab_Questions,0)),"'_RawData'!$A:$A")),R$24)))</f>
        <v>0</v>
      </c>
      <c r="S28" s="16">
        <f>IF(All_Questions_Q_CATGRID_CT="(None)","",COUNTIFS(Q_CATGRIDr3_data,"Selected",passes_workbook_filters_data,1,passes_workbook_custom_filters_data,1,All_Questions_passes_local_filters_data,1,All_Questions_Q_CATGRID_F_passes_per_q_filter_data,1))</f>
        <v>0</v>
      </c>
    </row>
    <row r="29">
      <c r="F29" s="4" t="inlineStr">
        <is>
          <t>Total respondents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>
        <f>IF(All_Questions_Q_CATGRID_CT="(None)","",COUNTIFS(respondent_id_data,"&lt;&gt;",passes_workbook_filters_data,1,passes_workbook_custom_filters_data,1,All_Questions_passes_local_filters_data,1,All_Questions_Q_CATGRID_F_passes_per_q_filter_data,1))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2026-06-09T06:48:38Z</dcterms:created>
  <dcterms:modified xmlns:dcterms="http://purl.org/dc/terms/" xmlns:xsi="http://www.w3.org/2001/XMLSchema-instance" xsi:type="dcterms:W3CDTF">2026-06-09T06:48:39Z</dcterms:modified>
</cp:coreProperties>
</file>