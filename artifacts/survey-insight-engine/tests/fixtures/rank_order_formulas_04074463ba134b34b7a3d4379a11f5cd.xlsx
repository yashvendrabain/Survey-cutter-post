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C19" i="7"/>
  <c r="D19" i="7"/>
  <c r="E19" i="7"/>
  <c r="F19" i="7"/>
  <c r="G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IFERROR((SUM(D18*2,F18*1)/(2*$B$20))*100,0)</f>
        <v>0.0</v>
      </c>
      <c r="D18" s="16">
        <f>COUNTIFS(Q43r1_data,"1",passes_workbook_filters_data,1,passes_workbook_custom_filters_data,1,All_Questions_passes_local_filters_data,1,All_Questions_Q43_F_passes_per_q_filter_data,1)</f>
        <v>2</v>
      </c>
      <c r="E18" s="7">
        <f>IFERROR(D18/$B$20,0)</f>
        <v>0.5</v>
      </c>
      <c r="F18" s="16">
        <f>COUNTIFS(Q43r1_data,"2",passes_workbook_filters_data,1,passes_workbook_custom_filters_data,1,All_Questions_passes_local_filters_data,1,All_Questions_Q43_F_passes_per_q_filter_data,1)</f>
        <v>1</v>
      </c>
      <c r="G18" s="7">
        <f>IFERROR(F18/$B$20,0)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IFERROR((SUM(D19*2,F19*1)/(2*$B$20))*100,0)</f>
        <v>0.0</v>
      </c>
      <c r="D19" s="16">
        <f>COUNTIFS(Q43r2_data,"1",passes_workbook_filters_data,1,passes_workbook_custom_filters_data,1,All_Questions_passes_local_filters_data,1,All_Questions_Q43_F_passes_per_q_filter_data,1)</f>
        <v>2</v>
      </c>
      <c r="E19" s="7">
        <f>IFERROR(D19/$B$20,0)</f>
        <v>0.5</v>
      </c>
      <c r="F19" s="16">
        <f>COUNTIFS(Q43r2_data,"2",passes_workbook_filters_data,1,passes_workbook_custom_filters_data,1,All_Questions_passes_local_filters_data,1,All_Questions_Q43_F_passes_per_q_filter_data,1)</f>
        <v>1</v>
      </c>
      <c r="G19" s="7">
        <f>IFERROR(F19/$B$20,0)</f>
        <v>0.25</v>
      </c>
    </row>
    <row r="20">
      <c r="A20" s="17" t="inlineStr">
        <is>
          <t>Total respondents</t>
        </is>
      </c>
      <c r="B20" s="18">
        <f>COUNTIFS(Q43r1_data,"&lt;&gt;",passes_workbook_filters_data,1,passes_workbook_custom_filters_data,1,All_Questions_passes_local_filters_data,1,All_Questions_Q43_F_passes_per_q_filter_data,1)</f>
        <v>4</v>
      </c>
      <c r="C20" s="17" t="n"/>
      <c r="D20" s="17" t="n"/>
      <c r="E20" s="17" t="n"/>
      <c r="F20" s="17" t="n"/>
      <c r="G20" s="17" t="n"/>
    </row>
    <row r="21">
      <c r="A21" s="4" t="inlineStr">
        <is>
          <t>Total responses</t>
        </is>
      </c>
      <c r="B21" s="19">
        <f>SUM(D18,F18,D19,F19)</f>
        <v>6</v>
      </c>
      <c r="C21" s="4" t="n"/>
      <c r="D21" s="4" t="n"/>
      <c r="E21" s="4" t="n"/>
      <c r="F21" s="4" t="n"/>
      <c r="G21" s="4" t="n"/>
    </row>
    <row r="22">
      <c r="B22" s="5" t="inlineStr">
        <is>
          <t>QC check</t>
        </is>
      </c>
      <c r="C22">
        <f>B21=SUM(D18,F18,D19,F19)</f>
        <v>1</v>
      </c>
    </row>
    <row r="23"/>
    <row r="24">
      <c r="F24" s="4" t="inlineStr">
        <is>
          <t>Option</t>
        </is>
      </c>
      <c r="G24" s="2" t="str">
        <f>IF(All_Questions_Q43_CT="(None)","",IFERROR(INDEX(INDIRECT(IFERROR(INDEX(All_Questions_Options_Names,MATCH(All_Questions_Q43_CT,All_Questions,0)),"'_Options'!$E$2:$E$2")),2),""))</f>
        <v/>
      </c>
      <c r="H24" s="2" t="str">
        <f>IF(All_Questions_Q43_CT="(None)","",IFERROR(INDEX(INDIRECT(IFERROR(INDEX(All_Questions_Options_Names,MATCH(All_Questions_Q43_CT,All_Questions,0)),"'_Options'!$E$2:$E$2")),3),""))</f>
        <v/>
      </c>
      <c r="I24" s="2" t="str">
        <f>IF(All_Questions_Q43_CT="(None)","",IFERROR(INDEX(INDIRECT(IFERROR(INDEX(All_Questions_Options_Names,MATCH(All_Questions_Q43_CT,All_Questions,0)),"'_Options'!$E$2:$E$2")),4),""))</f>
        <v/>
      </c>
      <c r="J24" s="2" t="str">
        <f>IF(All_Questions_Q43_CT="(None)","",IFERROR(INDEX(INDIRECT(IFERROR(INDEX(All_Questions_Options_Names,MATCH(All_Questions_Q43_CT,All_Questions,0)),"'_Options'!$E$2:$E$2")),5),""))</f>
        <v/>
      </c>
      <c r="K24" s="2" t="str">
        <f>IF(All_Questions_Q43_CT="(None)","",IFERROR(INDEX(INDIRECT(IFERROR(INDEX(All_Questions_Options_Names,MATCH(All_Questions_Q43_CT,All_Questions,0)),"'_Options'!$E$2:$E$2")),6),""))</f>
        <v/>
      </c>
      <c r="L24" s="2" t="str">
        <f>IF(All_Questions_Q43_CT="(None)","",IFERROR(INDEX(INDIRECT(IFERROR(INDEX(All_Questions_Options_Names,MATCH(All_Questions_Q43_CT,All_Questions,0)),"'_Options'!$E$2:$E$2")),7),""))</f>
        <v/>
      </c>
      <c r="M24" s="2" t="str">
        <f>IF(All_Questions_Q43_CT="(None)","",IFERROR(INDEX(INDIRECT(IFERROR(INDEX(All_Questions_Options_Names,MATCH(All_Questions_Q43_CT,All_Questions,0)),"'_Options'!$E$2:$E$2")),8),""))</f>
        <v/>
      </c>
      <c r="N24" s="2" t="str">
        <f>IF(All_Questions_Q43_CT="(None)","",IFERROR(INDEX(INDIRECT(IFERROR(INDEX(All_Questions_Options_Names,MATCH(All_Questions_Q43_CT,All_Questions,0)),"'_Options'!$E$2:$E$2")),9),""))</f>
        <v/>
      </c>
      <c r="O24" s="2" t="str">
        <f>IF(All_Questions_Q43_CT="(None)","",IFERROR(INDEX(INDIRECT(IFERROR(INDEX(All_Questions_Options_Names,MATCH(All_Questions_Q43_CT,All_Questions,0)),"'_Options'!$E$2:$E$2")),10),""))</f>
        <v/>
      </c>
      <c r="P24" s="2" t="str">
        <f>IF(All_Questions_Q43_CT="(None)","",IFERROR(INDEX(INDIRECT(IFERROR(INDEX(All_Questions_Options_Names,MATCH(All_Questions_Q43_CT,All_Questions,0)),"'_Options'!$E$2:$E$2")),11),""))</f>
        <v/>
      </c>
      <c r="Q24" s="2" t="str">
        <f>IF(All_Questions_Q43_CT="(None)","",IFERROR(INDEX(INDIRECT(IFERROR(INDEX(All_Questions_Options_Names,MATCH(All_Questions_Q43_CT,All_Questions,0)),"'_Options'!$E$2:$E$2")),12),""))</f>
        <v/>
      </c>
      <c r="R24" s="2" t="str">
        <f>IF(All_Questions_Q43_CT="(None)","",IF(COUNTA(INDIRECT(IFERROR(INDEX(All_Questions_Options_Names,MATCH(All_Questions_Q43_CT,All_Questions,0)),"'_Options'!$E$2:$E$2")))-1&gt;11,"Other",IFERROR(INDEX(INDIRECT(IFERROR(INDEX(All_Questions_Options_Names,MATCH(All_Questions_Q43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Criterion A</t>
        </is>
      </c>
      <c r="G26" s="15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6" s="15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6" s="15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6" s="1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6" s="15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6" s="15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6" s="15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6" s="15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6" s="15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6" s="15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6" s="15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6" s="15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6" s="15">
        <f>IF(All_Questions_Q43_CT="(None)","",IFERROR((((3)*COUNTIFS(Q43r1_data,"&gt;=1",passes_workbook_filters_data,1,passes_workbook_custom_filters_data,1,All_Questions_passes_local_filters_data,1,All_Questions_Q43_F_passes_per_q_filter_data,1))-SUMIFS(Q43r1_data,Q43r1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7">
      <c r="F27" t="inlineStr">
        <is>
          <t>Criterion B</t>
        </is>
      </c>
      <c r="G27" s="15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7" s="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7" s="15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7" s="15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7" s="15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7" s="15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7" s="15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7" s="15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7" s="15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7" s="15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7" s="15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7" s="1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7" s="15">
        <f>IF(All_Questions_Q43_CT="(None)","",IFERROR((((3)*COUNTIFS(Q43r2_data,"&gt;=1",passes_workbook_filters_data,1,passes_workbook_custom_filters_data,1,All_Questions_passes_local_filters_data,1,All_Questions_Q43_F_passes_per_q_filter_data,1))-SUMIFS(Q43r2_data,Q43r2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F16:G16"/>
    <mergeCell ref="A1:J1"/>
    <mergeCell ref="D16:E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G$24</t>
        </is>
      </c>
      <c r="H2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2" t="n">
        <v>0</v>
      </c>
      <c r="J2" t="n">
        <v>0</v>
      </c>
      <c r="K2" t="n">
        <v>0</v>
      </c>
      <c r="L2" t="inlineStr">
        <is>
          <t>2026-06-08T13:16:47.807032+00:00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H$24</t>
        </is>
      </c>
      <c r="H3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3" t="n">
        <v>0</v>
      </c>
      <c r="J3" t="n">
        <v>0</v>
      </c>
      <c r="K3" t="n">
        <v>0</v>
      </c>
      <c r="L3" t="inlineStr">
        <is>
          <t>2026-06-08T13:16:47.807385+00:00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I$24</t>
        </is>
      </c>
      <c r="H4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4" t="n">
        <v>0</v>
      </c>
      <c r="J4" t="n">
        <v>0</v>
      </c>
      <c r="K4" t="n">
        <v>0</v>
      </c>
      <c r="L4" t="inlineStr">
        <is>
          <t>2026-06-08T13:16:47.807663+00:00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J$24</t>
        </is>
      </c>
      <c r="H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5" t="n">
        <v>0</v>
      </c>
      <c r="J5" t="n">
        <v>0</v>
      </c>
      <c r="K5" t="n">
        <v>0</v>
      </c>
      <c r="L5" t="inlineStr">
        <is>
          <t>2026-06-08T13:16:47.807933+00:00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K$24</t>
        </is>
      </c>
      <c r="H6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6" t="n">
        <v>0</v>
      </c>
      <c r="J6" t="n">
        <v>0</v>
      </c>
      <c r="K6" t="n">
        <v>0</v>
      </c>
      <c r="L6" t="inlineStr">
        <is>
          <t>2026-06-08T13:16:47.808229+00:00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L$24</t>
        </is>
      </c>
      <c r="H7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7" t="n">
        <v>0</v>
      </c>
      <c r="J7" t="n">
        <v>0</v>
      </c>
      <c r="K7" t="n">
        <v>0</v>
      </c>
      <c r="L7" t="inlineStr">
        <is>
          <t>2026-06-08T13:16:47.808532+00:00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M$24</t>
        </is>
      </c>
      <c r="H8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8" t="n">
        <v>0</v>
      </c>
      <c r="J8" t="n">
        <v>0</v>
      </c>
      <c r="K8" t="n">
        <v>0</v>
      </c>
      <c r="L8" t="inlineStr">
        <is>
          <t>2026-06-08T13:16:47.808800+00:00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N$24</t>
        </is>
      </c>
      <c r="H9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9" t="n">
        <v>0</v>
      </c>
      <c r="J9" t="n">
        <v>0</v>
      </c>
      <c r="K9" t="n">
        <v>0</v>
      </c>
      <c r="L9" t="inlineStr">
        <is>
          <t>2026-06-08T13:16:47.809096+00:00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O$24</t>
        </is>
      </c>
      <c r="H10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10" t="n">
        <v>0</v>
      </c>
      <c r="J10" t="n">
        <v>0</v>
      </c>
      <c r="K10" t="n">
        <v>0</v>
      </c>
      <c r="L10" t="inlineStr">
        <is>
          <t>2026-06-08T13:16:47.809394+00:00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P$24</t>
        </is>
      </c>
      <c r="H11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11" t="n">
        <v>0</v>
      </c>
      <c r="J11" t="n">
        <v>0</v>
      </c>
      <c r="K11" t="n">
        <v>0</v>
      </c>
      <c r="L11" t="inlineStr">
        <is>
          <t>2026-06-08T13:16:47.809664+00:00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Q$24</t>
        </is>
      </c>
      <c r="H12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12" t="n">
        <v>0</v>
      </c>
      <c r="J12" t="n">
        <v>0</v>
      </c>
      <c r="K12" t="n">
        <v>0</v>
      </c>
      <c r="L12" t="inlineStr">
        <is>
          <t>2026-06-08T13:16:47.809926+00:00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R$24</t>
        </is>
      </c>
      <c r="H13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13" t="n">
        <v>0</v>
      </c>
      <c r="J13" t="n">
        <v>0</v>
      </c>
      <c r="K13" t="n">
        <v>0</v>
      </c>
      <c r="L13" t="inlineStr">
        <is>
          <t>2026-06-08T13:16:47.810313+00:00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Q43</t>
        </is>
      </c>
      <c r="D14" t="inlineStr">
        <is>
          <t>Q43r2</t>
        </is>
      </c>
      <c r="E14" t="inlineStr">
        <is>
          <t>All_Questions_Q43_CT = G$24</t>
        </is>
      </c>
      <c r="H14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14" t="n">
        <v>0</v>
      </c>
      <c r="J14" t="n">
        <v>0</v>
      </c>
      <c r="K14" t="n">
        <v>0</v>
      </c>
      <c r="L14" t="inlineStr">
        <is>
          <t>2026-06-08T13:16:47.810795+00:00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Q43</t>
        </is>
      </c>
      <c r="D15" t="inlineStr">
        <is>
          <t>Q43r2</t>
        </is>
      </c>
      <c r="E15" t="inlineStr">
        <is>
          <t>All_Questions_Q43_CT = H$24</t>
        </is>
      </c>
      <c r="H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15" t="n">
        <v>0</v>
      </c>
      <c r="J15" t="n">
        <v>0</v>
      </c>
      <c r="K15" t="n">
        <v>0</v>
      </c>
      <c r="L15" t="inlineStr">
        <is>
          <t>2026-06-08T13:16:47.811085+00:00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Q43</t>
        </is>
      </c>
      <c r="D16" t="inlineStr">
        <is>
          <t>Q43r2</t>
        </is>
      </c>
      <c r="E16" t="inlineStr">
        <is>
          <t>All_Questions_Q43_CT = I$24</t>
        </is>
      </c>
      <c r="H16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16" t="n">
        <v>0</v>
      </c>
      <c r="J16" t="n">
        <v>0</v>
      </c>
      <c r="K16" t="n">
        <v>0</v>
      </c>
      <c r="L16" t="inlineStr">
        <is>
          <t>2026-06-08T13:16:47.811385+00:00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Q43</t>
        </is>
      </c>
      <c r="D17" t="inlineStr">
        <is>
          <t>Q43r2</t>
        </is>
      </c>
      <c r="E17" t="inlineStr">
        <is>
          <t>All_Questions_Q43_CT = J$24</t>
        </is>
      </c>
      <c r="H17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17" t="n">
        <v>0</v>
      </c>
      <c r="J17" t="n">
        <v>0</v>
      </c>
      <c r="K17" t="n">
        <v>0</v>
      </c>
      <c r="L17" t="inlineStr">
        <is>
          <t>2026-06-08T13:16:47.811656+00:00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Q43</t>
        </is>
      </c>
      <c r="D18" t="inlineStr">
        <is>
          <t>Q43r2</t>
        </is>
      </c>
      <c r="E18" t="inlineStr">
        <is>
          <t>All_Questions_Q43_CT = K$24</t>
        </is>
      </c>
      <c r="H18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18" t="n">
        <v>0</v>
      </c>
      <c r="J18" t="n">
        <v>0</v>
      </c>
      <c r="K18" t="n">
        <v>0</v>
      </c>
      <c r="L18" t="inlineStr">
        <is>
          <t>2026-06-08T13:16:47.811920+00:00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Q43</t>
        </is>
      </c>
      <c r="D19" t="inlineStr">
        <is>
          <t>Q43r2</t>
        </is>
      </c>
      <c r="E19" t="inlineStr">
        <is>
          <t>All_Questions_Q43_CT = L$24</t>
        </is>
      </c>
      <c r="H19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19" t="n">
        <v>0</v>
      </c>
      <c r="J19" t="n">
        <v>0</v>
      </c>
      <c r="K19" t="n">
        <v>0</v>
      </c>
      <c r="L19" t="inlineStr">
        <is>
          <t>2026-06-08T13:16:47.812210+00:00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Q43</t>
        </is>
      </c>
      <c r="D20" t="inlineStr">
        <is>
          <t>Q43r2</t>
        </is>
      </c>
      <c r="E20" t="inlineStr">
        <is>
          <t>All_Questions_Q43_CT = M$24</t>
        </is>
      </c>
      <c r="H20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20" t="n">
        <v>0</v>
      </c>
      <c r="J20" t="n">
        <v>0</v>
      </c>
      <c r="K20" t="n">
        <v>0</v>
      </c>
      <c r="L20" t="inlineStr">
        <is>
          <t>2026-06-08T13:16:47.812508+00:00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Q43</t>
        </is>
      </c>
      <c r="D21" t="inlineStr">
        <is>
          <t>Q43r2</t>
        </is>
      </c>
      <c r="E21" t="inlineStr">
        <is>
          <t>All_Questions_Q43_CT = N$24</t>
        </is>
      </c>
      <c r="H21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21" t="n">
        <v>0</v>
      </c>
      <c r="J21" t="n">
        <v>0</v>
      </c>
      <c r="K21" t="n">
        <v>0</v>
      </c>
      <c r="L21" t="inlineStr">
        <is>
          <t>2026-06-08T13:16:47.812773+00:00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Q43</t>
        </is>
      </c>
      <c r="D22" t="inlineStr">
        <is>
          <t>Q43r2</t>
        </is>
      </c>
      <c r="E22" t="inlineStr">
        <is>
          <t>All_Questions_Q43_CT = O$24</t>
        </is>
      </c>
      <c r="H22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22" t="n">
        <v>0</v>
      </c>
      <c r="J22" t="n">
        <v>0</v>
      </c>
      <c r="K22" t="n">
        <v>0</v>
      </c>
      <c r="L22" t="inlineStr">
        <is>
          <t>2026-06-08T13:16:47.813059+00:00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Q43</t>
        </is>
      </c>
      <c r="D23" t="inlineStr">
        <is>
          <t>Q43r2</t>
        </is>
      </c>
      <c r="E23" t="inlineStr">
        <is>
          <t>All_Questions_Q43_CT = P$24</t>
        </is>
      </c>
      <c r="H23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23" t="n">
        <v>0</v>
      </c>
      <c r="J23" t="n">
        <v>0</v>
      </c>
      <c r="K23" t="n">
        <v>0</v>
      </c>
      <c r="L23" t="inlineStr">
        <is>
          <t>2026-06-08T13:16:47.813355+00:00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Q43</t>
        </is>
      </c>
      <c r="D24" t="inlineStr">
        <is>
          <t>Q43r2</t>
        </is>
      </c>
      <c r="E24" t="inlineStr">
        <is>
          <t>All_Questions_Q43_CT = Q$24</t>
        </is>
      </c>
      <c r="H24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24" t="n">
        <v>0</v>
      </c>
      <c r="J24" t="n">
        <v>0</v>
      </c>
      <c r="K24" t="n">
        <v>0</v>
      </c>
      <c r="L24" t="inlineStr">
        <is>
          <t>2026-06-08T13:16:47.813629+00:00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Q43</t>
        </is>
      </c>
      <c r="D25" t="inlineStr">
        <is>
          <t>Q43r2</t>
        </is>
      </c>
      <c r="E25" t="inlineStr">
        <is>
          <t>All_Questions_Q43_CT = R$24</t>
        </is>
      </c>
      <c r="H2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25" t="n">
        <v>0</v>
      </c>
      <c r="J25" t="n">
        <v>0</v>
      </c>
      <c r="K25" t="n">
        <v>0</v>
      </c>
      <c r="L25" t="inlineStr">
        <is>
          <t>2026-06-08T13:16:47.814098+00:00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2026-06-08T13:16:46Z</dcterms:created>
  <dcterms:modified xmlns:dcterms="http://purl.org/dc/terms/" xmlns:xsi="http://www.w3.org/2001/XMLSchema-instance" xsi:type="dcterms:W3CDTF">2026-06-08T13:16:47Z</dcterms:modified>
</cp:coreProperties>
</file>