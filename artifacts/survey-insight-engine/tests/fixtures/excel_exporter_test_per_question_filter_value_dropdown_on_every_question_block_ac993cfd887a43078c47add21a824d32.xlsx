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IFERROR(INDEX(All_Questions_Data_Names,MATCH(All_Questions_Q_EXTRA_1_F_Q,All_Questions,0)),"'_RawData'!$A:$A")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IF(All_Questions_Q_EXTRA_1_CT="(None)","",IFERROR(INDEX(INDIRECT(IFERROR(INDEX(All_Questions_Options_Names,MATCH(All_Questions_Q_EXTRA_1_CT,All_Questions,0)),"'_Options'!$E$2:$E$2")),2),""))</f>
        <v/>
      </c>
      <c r="H68" s="2" t="n"/>
      <c r="I68" s="2" t="str">
        <f>IF(All_Questions_Q_EXTRA_1_CT="(None)","",IFERROR(INDEX(INDIRECT(IFERROR(INDEX(All_Questions_Options_Names,MATCH(All_Questions_Q_EXTRA_1_CT,All_Questions,0)),"'_Options'!$E$2:$E$2")),3),""))</f>
        <v/>
      </c>
      <c r="J68" s="2" t="n"/>
      <c r="K68" s="2" t="str">
        <f>IF(All_Questions_Q_EXTRA_1_CT="(None)","",IFERROR(INDEX(INDIRECT(IFERROR(INDEX(All_Questions_Options_Names,MATCH(All_Questions_Q_EXTRA_1_CT,All_Questions,0)),"'_Options'!$E$2:$E$2")),4),""))</f>
        <v/>
      </c>
      <c r="L68" s="2" t="n"/>
      <c r="M68" s="2" t="str">
        <f>IF(All_Questions_Q_EXTRA_1_CT="(None)","",IFERROR(INDEX(INDIRECT(IFERROR(INDEX(All_Questions_Options_Names,MATCH(All_Questions_Q_EXTRA_1_CT,All_Questions,0)),"'_Options'!$E$2:$E$2")),5),""))</f>
        <v/>
      </c>
      <c r="N68" s="2" t="n"/>
      <c r="O68" s="2" t="str">
        <f>IF(All_Questions_Q_EXTRA_1_CT="(None)","",IFERROR(INDEX(INDIRECT(IFERROR(INDEX(All_Questions_Options_Names,MATCH(All_Questions_Q_EXTRA_1_CT,All_Questions,0)),"'_Options'!$E$2:$E$2")),6),""))</f>
        <v/>
      </c>
      <c r="P68" s="2" t="n"/>
      <c r="Q68" s="2" t="str">
        <f>IF(All_Questions_Q_EXTRA_1_CT="(None)","",IFERROR(INDEX(INDIRECT(IFERROR(INDEX(All_Questions_Options_Names,MATCH(All_Questions_Q_EXTRA_1_CT,All_Questions,0)),"'_Options'!$E$2:$E$2")),7),""))</f>
        <v/>
      </c>
      <c r="R68" s="2" t="n"/>
      <c r="S68" s="2" t="str">
        <f>IF(All_Questions_Q_EXTRA_1_CT="(None)","",IFERROR(INDEX(INDIRECT(IFERROR(INDEX(All_Questions_Options_Names,MATCH(All_Questions_Q_EXTRA_1_CT,All_Questions,0)),"'_Options'!$E$2:$E$2")),8),""))</f>
        <v/>
      </c>
      <c r="T68" s="2" t="n"/>
      <c r="U68" s="2" t="str">
        <f>IF(All_Questions_Q_EXTRA_1_CT="(None)","",IFERROR(INDEX(INDIRECT(IFERROR(INDEX(All_Questions_Options_Names,MATCH(All_Questions_Q_EXTRA_1_CT,All_Questions,0)),"'_Options'!$E$2:$E$2")),9),""))</f>
        <v/>
      </c>
      <c r="V68" s="2" t="n"/>
      <c r="W68" s="2" t="str">
        <f>IF(All_Questions_Q_EXTRA_1_CT="(None)","",IFERROR(INDEX(INDIRECT(IFERROR(INDEX(All_Questions_Options_Names,MATCH(All_Questions_Q_EXTRA_1_CT,All_Questions,0)),"'_Options'!$E$2:$E$2")),10),""))</f>
        <v/>
      </c>
      <c r="X68" s="2" t="n"/>
      <c r="Y68" s="2" t="str">
        <f>IF(All_Questions_Q_EXTRA_1_CT="(None)","",IFERROR(INDEX(INDIRECT(IFERROR(INDEX(All_Questions_Options_Names,MATCH(All_Questions_Q_EXTRA_1_CT,All_Questions,0)),"'_Options'!$E$2:$E$2")),11),""))</f>
        <v/>
      </c>
      <c r="Z68" s="2" t="n"/>
      <c r="AA68" s="2" t="str">
        <f>IF(All_Questions_Q_EXTRA_1_CT="(None)","",IFERROR(INDEX(INDIRECT(IFERROR(INDEX(All_Questions_Options_Names,MATCH(All_Questions_Q_EXTRA_1_CT,All_Questions,0)),"'_Options'!$E$2:$E$2")),12),""))</f>
        <v/>
      </c>
      <c r="AB68" s="2" t="n"/>
      <c r="AC68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,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S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U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W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Y$68)+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A$68)),COUNTIFS(respondent_id_data,"&lt;&gt;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IFERROR(INDEX(All_Questions_Data_Names,MATCH(All_Questions_Q_EXTRA_2_F_Q,All_Questions,0)),"'_RawData'!$A:$A")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IF(All_Questions_Q_EXTRA_2_CT="(None)","",IFERROR(INDEX(INDIRECT(IFERROR(INDEX(All_Questions_Options_Names,MATCH(All_Questions_Q_EXTRA_2_CT,All_Questions,0)),"'_Options'!$E$2:$E$2")),2),""))</f>
        <v/>
      </c>
      <c r="H78" s="2" t="n"/>
      <c r="I78" s="2" t="str">
        <f>IF(All_Questions_Q_EXTRA_2_CT="(None)","",IFERROR(INDEX(INDIRECT(IFERROR(INDEX(All_Questions_Options_Names,MATCH(All_Questions_Q_EXTRA_2_CT,All_Questions,0)),"'_Options'!$E$2:$E$2")),3),""))</f>
        <v/>
      </c>
      <c r="J78" s="2" t="n"/>
      <c r="K78" s="2" t="str">
        <f>IF(All_Questions_Q_EXTRA_2_CT="(None)","",IFERROR(INDEX(INDIRECT(IFERROR(INDEX(All_Questions_Options_Names,MATCH(All_Questions_Q_EXTRA_2_CT,All_Questions,0)),"'_Options'!$E$2:$E$2")),4),""))</f>
        <v/>
      </c>
      <c r="L78" s="2" t="n"/>
      <c r="M78" s="2" t="str">
        <f>IF(All_Questions_Q_EXTRA_2_CT="(None)","",IFERROR(INDEX(INDIRECT(IFERROR(INDEX(All_Questions_Options_Names,MATCH(All_Questions_Q_EXTRA_2_CT,All_Questions,0)),"'_Options'!$E$2:$E$2")),5),""))</f>
        <v/>
      </c>
      <c r="N78" s="2" t="n"/>
      <c r="O78" s="2" t="str">
        <f>IF(All_Questions_Q_EXTRA_2_CT="(None)","",IFERROR(INDEX(INDIRECT(IFERROR(INDEX(All_Questions_Options_Names,MATCH(All_Questions_Q_EXTRA_2_CT,All_Questions,0)),"'_Options'!$E$2:$E$2")),6),""))</f>
        <v/>
      </c>
      <c r="P78" s="2" t="n"/>
      <c r="Q78" s="2" t="str">
        <f>IF(All_Questions_Q_EXTRA_2_CT="(None)","",IFERROR(INDEX(INDIRECT(IFERROR(INDEX(All_Questions_Options_Names,MATCH(All_Questions_Q_EXTRA_2_CT,All_Questions,0)),"'_Options'!$E$2:$E$2")),7),""))</f>
        <v/>
      </c>
      <c r="R78" s="2" t="n"/>
      <c r="S78" s="2" t="str">
        <f>IF(All_Questions_Q_EXTRA_2_CT="(None)","",IFERROR(INDEX(INDIRECT(IFERROR(INDEX(All_Questions_Options_Names,MATCH(All_Questions_Q_EXTRA_2_CT,All_Questions,0)),"'_Options'!$E$2:$E$2")),8),""))</f>
        <v/>
      </c>
      <c r="T78" s="2" t="n"/>
      <c r="U78" s="2" t="str">
        <f>IF(All_Questions_Q_EXTRA_2_CT="(None)","",IFERROR(INDEX(INDIRECT(IFERROR(INDEX(All_Questions_Options_Names,MATCH(All_Questions_Q_EXTRA_2_CT,All_Questions,0)),"'_Options'!$E$2:$E$2")),9),""))</f>
        <v/>
      </c>
      <c r="V78" s="2" t="n"/>
      <c r="W78" s="2" t="str">
        <f>IF(All_Questions_Q_EXTRA_2_CT="(None)","",IFERROR(INDEX(INDIRECT(IFERROR(INDEX(All_Questions_Options_Names,MATCH(All_Questions_Q_EXTRA_2_CT,All_Questions,0)),"'_Options'!$E$2:$E$2")),10),""))</f>
        <v/>
      </c>
      <c r="X78" s="2" t="n"/>
      <c r="Y78" s="2" t="str">
        <f>IF(All_Questions_Q_EXTRA_2_CT="(None)","",IFERROR(INDEX(INDIRECT(IFERROR(INDEX(All_Questions_Options_Names,MATCH(All_Questions_Q_EXTRA_2_CT,All_Questions,0)),"'_Options'!$E$2:$E$2")),11),""))</f>
        <v/>
      </c>
      <c r="Z78" s="2" t="n"/>
      <c r="AA78" s="2" t="str">
        <f>IF(All_Questions_Q_EXTRA_2_CT="(None)","",IFERROR(INDEX(INDIRECT(IFERROR(INDEX(All_Questions_Options_Names,MATCH(All_Questions_Q_EXTRA_2_CT,All_Questions,0)),"'_Options'!$E$2:$E$2")),12),""))</f>
        <v/>
      </c>
      <c r="AB78" s="2" t="n"/>
      <c r="AC78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,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S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U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W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Y$78)+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A$78)),COUNTIFS(respondent_id_data,"&lt;&gt;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IFERROR(INDEX(All_Questions_Data_Names,MATCH(All_Questions_Q_EXTRA_3_F_Q,All_Questions,0)),"'_RawData'!$A:$A")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IF(All_Questions_Q_EXTRA_3_CT="(None)","",IFERROR(INDEX(INDIRECT(IFERROR(INDEX(All_Questions_Options_Names,MATCH(All_Questions_Q_EXTRA_3_CT,All_Questions,0)),"'_Options'!$E$2:$E$2")),2),""))</f>
        <v/>
      </c>
      <c r="H88" s="2" t="n"/>
      <c r="I88" s="2" t="str">
        <f>IF(All_Questions_Q_EXTRA_3_CT="(None)","",IFERROR(INDEX(INDIRECT(IFERROR(INDEX(All_Questions_Options_Names,MATCH(All_Questions_Q_EXTRA_3_CT,All_Questions,0)),"'_Options'!$E$2:$E$2")),3),""))</f>
        <v/>
      </c>
      <c r="J88" s="2" t="n"/>
      <c r="K88" s="2" t="str">
        <f>IF(All_Questions_Q_EXTRA_3_CT="(None)","",IFERROR(INDEX(INDIRECT(IFERROR(INDEX(All_Questions_Options_Names,MATCH(All_Questions_Q_EXTRA_3_CT,All_Questions,0)),"'_Options'!$E$2:$E$2")),4),""))</f>
        <v/>
      </c>
      <c r="L88" s="2" t="n"/>
      <c r="M88" s="2" t="str">
        <f>IF(All_Questions_Q_EXTRA_3_CT="(None)","",IFERROR(INDEX(INDIRECT(IFERROR(INDEX(All_Questions_Options_Names,MATCH(All_Questions_Q_EXTRA_3_CT,All_Questions,0)),"'_Options'!$E$2:$E$2")),5),""))</f>
        <v/>
      </c>
      <c r="N88" s="2" t="n"/>
      <c r="O88" s="2" t="str">
        <f>IF(All_Questions_Q_EXTRA_3_CT="(None)","",IFERROR(INDEX(INDIRECT(IFERROR(INDEX(All_Questions_Options_Names,MATCH(All_Questions_Q_EXTRA_3_CT,All_Questions,0)),"'_Options'!$E$2:$E$2")),6),""))</f>
        <v/>
      </c>
      <c r="P88" s="2" t="n"/>
      <c r="Q88" s="2" t="str">
        <f>IF(All_Questions_Q_EXTRA_3_CT="(None)","",IFERROR(INDEX(INDIRECT(IFERROR(INDEX(All_Questions_Options_Names,MATCH(All_Questions_Q_EXTRA_3_CT,All_Questions,0)),"'_Options'!$E$2:$E$2")),7),""))</f>
        <v/>
      </c>
      <c r="R88" s="2" t="n"/>
      <c r="S88" s="2" t="str">
        <f>IF(All_Questions_Q_EXTRA_3_CT="(None)","",IFERROR(INDEX(INDIRECT(IFERROR(INDEX(All_Questions_Options_Names,MATCH(All_Questions_Q_EXTRA_3_CT,All_Questions,0)),"'_Options'!$E$2:$E$2")),8),""))</f>
        <v/>
      </c>
      <c r="T88" s="2" t="n"/>
      <c r="U88" s="2" t="str">
        <f>IF(All_Questions_Q_EXTRA_3_CT="(None)","",IFERROR(INDEX(INDIRECT(IFERROR(INDEX(All_Questions_Options_Names,MATCH(All_Questions_Q_EXTRA_3_CT,All_Questions,0)),"'_Options'!$E$2:$E$2")),9),""))</f>
        <v/>
      </c>
      <c r="V88" s="2" t="n"/>
      <c r="W88" s="2" t="str">
        <f>IF(All_Questions_Q_EXTRA_3_CT="(None)","",IFERROR(INDEX(INDIRECT(IFERROR(INDEX(All_Questions_Options_Names,MATCH(All_Questions_Q_EXTRA_3_CT,All_Questions,0)),"'_Options'!$E$2:$E$2")),10),""))</f>
        <v/>
      </c>
      <c r="X88" s="2" t="n"/>
      <c r="Y88" s="2" t="str">
        <f>IF(All_Questions_Q_EXTRA_3_CT="(None)","",IFERROR(INDEX(INDIRECT(IFERROR(INDEX(All_Questions_Options_Names,MATCH(All_Questions_Q_EXTRA_3_CT,All_Questions,0)),"'_Options'!$E$2:$E$2")),11),""))</f>
        <v/>
      </c>
      <c r="Z88" s="2" t="n"/>
      <c r="AA88" s="2" t="str">
        <f>IF(All_Questions_Q_EXTRA_3_CT="(None)","",IFERROR(INDEX(INDIRECT(IFERROR(INDEX(All_Questions_Options_Names,MATCH(All_Questions_Q_EXTRA_3_CT,All_Questions,0)),"'_Options'!$E$2:$E$2")),12),""))</f>
        <v/>
      </c>
      <c r="AB88" s="2" t="n"/>
      <c r="AC88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,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S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U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W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Y$88)+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A$88)),COUNTIFS(respondent_id_data,"&lt;&gt;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2026-05-18T12:48:41Z</dcterms:created>
  <dcterms:modified xmlns:dcterms="http://purl.org/dc/terms/" xmlns:xsi="http://www.w3.org/2001/XMLSchema-instance" xsi:type="dcterms:W3CDTF">2026-05-18T12:48:43Z</dcterms:modified>
</cp:coreProperties>
</file>