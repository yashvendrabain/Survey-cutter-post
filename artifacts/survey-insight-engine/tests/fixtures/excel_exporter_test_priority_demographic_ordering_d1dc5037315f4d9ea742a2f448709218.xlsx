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ountry">'Filters'!$B$4</definedName>
    <definedName name="F_Country_wrapped">'Filters'!$C$4</definedName>
    <definedName name="F_Industry">'Filters'!$B$5</definedName>
    <definedName name="F_Industry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untry_match_data">'_RawData'!$I$2:$I$11</definedName>
    <definedName name="F_Industry_match_data">'_RawData'!$J$2:$J$11</definedName>
    <definedName name="passes_workbook_filters_data">'_RawData'!$K$2:$K$11</definedName>
    <definedName name="F_Custom1_match_data">'_RawData'!$L$2:$L$11</definedName>
    <definedName name="F_Custom2_match_data">'_RawData'!$M$2:$M$11</definedName>
    <definedName name="passes_workbook_custom_filters_data">'_RawData'!$N$2:$N$11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Industry">'Demographics'!$B$6</definedName>
    <definedName name="Demographics_F_Industry_resolved">'Demographics'!$C$6</definedName>
    <definedName name="Demographics_F_Industry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untry_local_match_data">'_RawData'!$O$2:$O$11</definedName>
    <definedName name="Demographics_F_Industry_local_match_data">'_RawData'!$P$2:$P$11</definedName>
    <definedName name="Demographics_passes_local_filters_data">'_RawData'!$Q$2:$Q$11</definedName>
    <definedName name="Demographics_Q_SS_EXPORT_F_Q">'Demographics'!$C$15</definedName>
    <definedName name="Demographics_Q_SS_EXPORT_F_V">'Demographics'!$E$15</definedName>
    <definedName name="Demographics_Q_SS_EXPORT_F_resolved_column">'Demographics'!$F$15</definedName>
    <definedName name="Demographics_Q_SS_EXPORT_F_wrapped">'Demographics'!$G$15</definedName>
    <definedName name="Demographics_Q_SS_EXPORT_F_passes_per_q_filter_data">'_RawData'!$R$2:$R$11</definedName>
    <definedName name="Demographics_Q_SS_EXPORT_CT">'Demographics'!$C$16</definedName>
    <definedName name="Demographics_Q_MS_EXPORT_F_Q">'Demographics'!$C$25</definedName>
    <definedName name="Demographics_Q_MS_EXPORT_F_V">'Demographics'!$E$25</definedName>
    <definedName name="Demographics_Q_MS_EXPORT_F_resolved_column">'Demographics'!$F$25</definedName>
    <definedName name="Demographics_Q_MS_EXPORT_F_wrapped">'Demographics'!$G$25</definedName>
    <definedName name="Demographics_Q_MS_EXPORT_F_passes_per_q_filter_data">'_RawData'!$S$2:$S$11</definedName>
    <definedName name="Demographics_Q_MS_EXPORT_CT">'Demographics'!$C$26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Industry">'All Questions'!$B$6</definedName>
    <definedName name="All_Questions_F_Industry_resolved">'All Questions'!$C$6</definedName>
    <definedName name="All_Questions_F_Industry_wrapped">'All Questions'!$D$6</definedName>
    <definedName name="All_Questions_F_Custom1_Q">'All Questions'!$B$7</definedName>
    <definedName name="All_Questions_F_Custom1_Q_resolved">'All Questions'!$C$7</definedName>
    <definedName name="All_Questions_F_Custom1_V">'All Questions'!$B$8</definedName>
    <definedName name="All_Questions_F_Custom1_V_resolved">'All Questions'!$C$8</definedName>
    <definedName name="All_Questions_F_Custom1_wrapped">'All Questions'!$D$8</definedName>
    <definedName name="All_Questions_F_Custom1_resolved_column">'All Questions'!$F$8</definedName>
    <definedName name="All_Questions_F_Custom2_Q">'All Questions'!$B$9</definedName>
    <definedName name="All_Questions_F_Custom2_Q_resolved">'All Questions'!$C$9</definedName>
    <definedName name="All_Questions_F_Custom2_V">'All Questions'!$B$10</definedName>
    <definedName name="All_Questions_F_Custom2_V_resolved">'All Questions'!$C$10</definedName>
    <definedName name="All_Questions_F_Custom2_wrapped">'All Questions'!$D$10</definedName>
    <definedName name="All_Questions_F_Custom2_resolved_column">'All Questions'!$F$10</definedName>
    <definedName name="All_Questions_F_Country_local_match_data">'_RawData'!$T$2:$T$11</definedName>
    <definedName name="All_Questions_F_Industry_local_match_data">'_RawData'!$U$2:$U$11</definedName>
    <definedName name="All_Questions_passes_local_filters_data">'_RawData'!$V$2:$V$11</definedName>
    <definedName name="All_Questions_Q_NUM_EXPORT_F_Q">'All Questions'!$C$15</definedName>
    <definedName name="All_Questions_Q_NUM_EXPORT_F_V">'All Questions'!$E$15</definedName>
    <definedName name="All_Questions_Q_NUM_EXPORT_F_resolved_column">'All Questions'!$F$15</definedName>
    <definedName name="All_Questions_Q_NUM_EXPORT_F_wrapped">'All Questions'!$G$15</definedName>
    <definedName name="All_Questions_Q_NUM_EXPORT_F_passes_per_q_filter_data">'_RawData'!$W$2:$W$11</definedName>
    <definedName name="All_Questions_Q_NUM_EXPORT_CT">'All Questions'!$C$16</definedName>
    <definedName name="All_Questions_Q_GRID_EXPORT_F_Q">'All Questions'!$C$27</definedName>
    <definedName name="All_Questions_Q_GRID_EXPORT_F_V">'All Questions'!$E$27</definedName>
    <definedName name="All_Questions_Q_GRID_EXPORT_F_resolved_column">'All Questions'!$F$27</definedName>
    <definedName name="All_Questions_Q_GRID_EXPORT_F_wrapped">'All Questions'!$G$27</definedName>
    <definedName name="All_Questions_Q_GRID_EXPORT_F_passes_per_q_filter_data">'_RawData'!$X$2:$X$11</definedName>
    <definedName name="All_Questions_Q_GRID_EXPORT_CT">'All Questions'!$C$28</definedName>
    <definedName name="All_Questions_Q_VERY_LONG_SINGLE_SELECT_EXPORT_NAME_F_Q">'All Questions'!$C$37</definedName>
    <definedName name="All_Questions_Q_VERY_LONG_SINGLE_SELECT_EXPORT_NAME_F_V">'All Questions'!$E$37</definedName>
    <definedName name="All_Questions_Q_VERY_LONG_SINGLE_SELECT_EXPORT_NAME_F_resolved_column">'All Questions'!$F$37</definedName>
    <definedName name="All_Questions_Q_VERY_LONG_SINGLE_SELECT_EXPORT_NAME_F_wrapped">'All Questions'!$G$37</definedName>
    <definedName name="All_Questions_Q_VERY_LONG_SINGLE_SELECT_EXPORT_NAME_F_passes_per_q_filter_data">'_RawData'!$Y$2:$Y$11</definedName>
    <definedName name="All_Questions_Q_VERY_LONG_SINGLE_SELECT_EXPORT_NAME_CT">'All Questions'!$C$38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W2" i="1"/>
  <c r="X2" i="1"/>
  <c r="Y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H18" i="7"/>
  <c r="I18" i="7"/>
  <c r="J18" i="7"/>
  <c r="K18" i="7"/>
  <c r="L18" i="7"/>
  <c r="M18" i="7"/>
  <c r="N18" i="7"/>
  <c r="B19" i="7"/>
  <c r="C19" i="7"/>
  <c r="D19" i="7"/>
  <c r="G19" i="7"/>
  <c r="H19" i="7"/>
  <c r="I19" i="7"/>
  <c r="J19" i="7"/>
  <c r="K19" i="7"/>
  <c r="L19" i="7"/>
  <c r="M19" i="7"/>
  <c r="N19" i="7"/>
  <c r="O19" i="7"/>
  <c r="B20" i="7"/>
  <c r="C20" i="7"/>
  <c r="D20" i="7"/>
  <c r="G20" i="7"/>
  <c r="H20" i="7"/>
  <c r="I20" i="7"/>
  <c r="J20" i="7"/>
  <c r="K20" i="7"/>
  <c r="L20" i="7"/>
  <c r="M20" i="7"/>
  <c r="N20" i="7"/>
  <c r="O20" i="7"/>
  <c r="F25" i="7"/>
  <c r="G25" i="7"/>
  <c r="G28" i="7"/>
  <c r="H28" i="7"/>
  <c r="I28" i="7"/>
  <c r="J28" i="7"/>
  <c r="K28" i="7"/>
  <c r="L28" i="7"/>
  <c r="M28" i="7"/>
  <c r="N28" i="7"/>
  <c r="B29" i="7"/>
  <c r="C29" i="7"/>
  <c r="D29" i="7"/>
  <c r="G29" i="7"/>
  <c r="H29" i="7"/>
  <c r="I29" i="7"/>
  <c r="J29" i="7"/>
  <c r="K29" i="7"/>
  <c r="L29" i="7"/>
  <c r="M29" i="7"/>
  <c r="N29" i="7"/>
  <c r="O29" i="7"/>
  <c r="B30" i="7"/>
  <c r="C30" i="7"/>
  <c r="D30" i="7"/>
  <c r="G30" i="7"/>
  <c r="H30" i="7"/>
  <c r="I30" i="7"/>
  <c r="J30" i="7"/>
  <c r="K30" i="7"/>
  <c r="L30" i="7"/>
  <c r="M30" i="7"/>
  <c r="N30" i="7"/>
  <c r="O30" i="7"/>
  <c r="C5" i="8"/>
  <c r="D5" i="8"/>
  <c r="C6" i="8"/>
  <c r="D6" i="8"/>
  <c r="C7" i="8"/>
  <c r="C8" i="8"/>
  <c r="D8" i="8"/>
  <c r="F8" i="8"/>
  <c r="C9" i="8"/>
  <c r="C10" i="8"/>
  <c r="D10" i="8"/>
  <c r="F10" i="8"/>
  <c r="F15" i="8"/>
  <c r="G15" i="8"/>
  <c r="B19" i="8"/>
  <c r="D19" i="8"/>
  <c r="B20" i="8"/>
  <c r="D20" i="8"/>
  <c r="B21" i="8"/>
  <c r="D21" i="8"/>
  <c r="D22" i="8"/>
  <c r="F27" i="8"/>
  <c r="G27" i="8"/>
  <c r="G30" i="8"/>
  <c r="H30" i="8"/>
  <c r="I30" i="8"/>
  <c r="J30" i="8"/>
  <c r="K30" i="8"/>
  <c r="L30" i="8"/>
  <c r="M30" i="8"/>
  <c r="N30" i="8"/>
  <c r="B31" i="8"/>
  <c r="C31" i="8"/>
  <c r="D31" i="8"/>
  <c r="G31" i="8"/>
  <c r="H31" i="8"/>
  <c r="I31" i="8"/>
  <c r="J31" i="8"/>
  <c r="K31" i="8"/>
  <c r="L31" i="8"/>
  <c r="M31" i="8"/>
  <c r="N31" i="8"/>
  <c r="O31" i="8"/>
  <c r="B32" i="8"/>
  <c r="C32" i="8"/>
  <c r="D32" i="8"/>
  <c r="G32" i="8"/>
  <c r="H32" i="8"/>
  <c r="I32" i="8"/>
  <c r="J32" i="8"/>
  <c r="K32" i="8"/>
  <c r="L32" i="8"/>
  <c r="M32" i="8"/>
  <c r="N32" i="8"/>
  <c r="O32" i="8"/>
  <c r="F37" i="8"/>
  <c r="G37" i="8"/>
  <c r="G40" i="8"/>
  <c r="H40" i="8"/>
  <c r="I40" i="8"/>
  <c r="J40" i="8"/>
  <c r="K40" i="8"/>
  <c r="L40" i="8"/>
  <c r="M40" i="8"/>
  <c r="N40" i="8"/>
  <c r="B41" i="8"/>
  <c r="C41" i="8"/>
  <c r="D41" i="8"/>
  <c r="G41" i="8"/>
  <c r="H41" i="8"/>
  <c r="I41" i="8"/>
  <c r="J41" i="8"/>
  <c r="K41" i="8"/>
  <c r="L41" i="8"/>
  <c r="M41" i="8"/>
  <c r="N41" i="8"/>
  <c r="O41" i="8"/>
  <c r="B42" i="8"/>
  <c r="C42" i="8"/>
  <c r="D42" i="8"/>
  <c r="G42" i="8"/>
  <c r="H42" i="8"/>
  <c r="I42" i="8"/>
  <c r="J42" i="8"/>
  <c r="K42" i="8"/>
  <c r="L42" i="8"/>
  <c r="M42" i="8"/>
  <c r="N42" i="8"/>
  <c r="O42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  <comment ref="A5" authorId="0" shapeId="0">
      <text>
        <t>Multi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  <comment ref="A14" authorId="0" shapeId="0">
      <text>
        <t>Single select export question</t>
      </text>
    </comment>
    <comment ref="A24" authorId="0" shapeId="0">
      <text>
        <t>Multi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  <comment ref="A14" authorId="0" shapeId="0">
      <text>
        <t>Numeric export question</t>
      </text>
    </comment>
    <comment ref="A26" authorId="0" shapeId="0">
      <text>
        <t>Grid export question</t>
      </text>
    </comment>
    <comment ref="A36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8_1" displayName="T_Demographics_28_1" ref="A28:D31" headerRowCount="1">
  <autoFilter ref="A28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8_1" displayName="T_All_Questions_18_1" ref="A18:D22" headerRowCount="1">
  <autoFilter ref="A18:D2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0_1" displayName="T_All_Questions_30_1" ref="A30:D33" headerRowCount="1">
  <autoFilter ref="A30:D3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0_1" displayName="T_All_Questions_40_1" ref="A40:D43" headerRowCount="1">
  <autoFilter ref="A40:D4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F_Industry_match</t>
        </is>
      </c>
      <c r="K1" t="inlineStr">
        <is>
          <t>passes_workbook_filters</t>
        </is>
      </c>
      <c r="L1" t="inlineStr">
        <is>
          <t>F_Custom1_match</t>
        </is>
      </c>
      <c r="M1" t="inlineStr">
        <is>
          <t>F_Custom2_match</t>
        </is>
      </c>
      <c r="N1" t="inlineStr">
        <is>
          <t>passes_workbook_custom_filters</t>
        </is>
      </c>
      <c r="O1" t="inlineStr">
        <is>
          <t>Demographics_F_Country_local_match</t>
        </is>
      </c>
      <c r="P1" t="inlineStr">
        <is>
          <t>Demographics_F_Industry_local_match</t>
        </is>
      </c>
      <c r="Q1" t="inlineStr">
        <is>
          <t>Demographics_passes_local_filters</t>
        </is>
      </c>
      <c r="R1" t="inlineStr">
        <is>
          <t>Demographics_Q_SS_EXPORT_F_passes_per_q_filter</t>
        </is>
      </c>
      <c r="S1" t="inlineStr">
        <is>
          <t>Demographics_Q_MS_EXPORT_F_passes_per_q_filter</t>
        </is>
      </c>
      <c r="T1" t="inlineStr">
        <is>
          <t>All_Questions_F_Country_local_match</t>
        </is>
      </c>
      <c r="U1" t="inlineStr">
        <is>
          <t>All_Questions_F_Industry_local_match</t>
        </is>
      </c>
      <c r="V1" t="inlineStr">
        <is>
          <t>All_Questions_passes_local_filters</t>
        </is>
      </c>
      <c r="W1" t="inlineStr">
        <is>
          <t>All_Questions_Q_NUM_EXPORT_F_passes_per_q_filter</t>
        </is>
      </c>
      <c r="X1" t="inlineStr">
        <is>
          <t>All_Questions_Q_GRID_EXPORT_F_passes_per_q_filter</t>
        </is>
      </c>
      <c r="Y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(((F_Industry="(All)")+(F_Industry="")+ISBLANK(F_Industry)+ISNUMBER(SEARCH("|"&amp;C2&amp;"|",F_Industry_wrapped)))&gt;0)*1</f>
        <v>1</v>
      </c>
      <c r="K2">
        <f>I2*J2*1</f>
        <v>1</v>
      </c>
      <c r="L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M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N2">
        <f>L2*M2*1</f>
        <v>1</v>
      </c>
      <c r="O2">
        <f>(((Demographics_F_Country_resolved="(All)")+(Demographics_F_Country_resolved="")+ISBLANK(Demographics_F_Country_resolved)+ISNUMBER(SEARCH("|"&amp;B2&amp;"|",Demographics_F_Country_wrapped)))&gt;0)*1</f>
        <v>1</v>
      </c>
      <c r="P2">
        <f>(((Demographics_F_Industry_resolved="(All)")+(Demographics_F_Industry_resolved="")+ISBLANK(Demographics_F_Industry_resolved)+ISNUMBER(SEARCH("|"&amp;C2&amp;"|",Demographics_F_Industry_wrapped)))&gt;0)*1</f>
        <v>1</v>
      </c>
      <c r="Q2">
        <f>O2*P2*1</f>
        <v>1</v>
      </c>
      <c r="R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S2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1)&amp;"|",Demographics_Q_MS_EXPORT_F_wrapped)),1,0),0))</f>
        <v>1</v>
      </c>
      <c r="T2">
        <f>(((All_Questions_F_Country_resolved="(All)")+(All_Questions_F_Country_resolved="")+ISBLANK(All_Questions_F_Country_resolved)+ISNUMBER(SEARCH("|"&amp;B2&amp;"|",All_Questions_F_Country_wrapped)))&gt;0)*1</f>
        <v>1</v>
      </c>
      <c r="U2">
        <f>(((All_Questions_F_Industry_resolved="(All)")+(All_Questions_F_Industry_resolved="")+ISBLANK(All_Questions_F_Industry_resolved)+ISNUMBER(SEARCH("|"&amp;C2&amp;"|",All_Questions_F_Industry_wrapped)))&gt;0)*1</f>
        <v>1</v>
      </c>
      <c r="V2">
        <f>T2*U2*1</f>
        <v>1</v>
      </c>
      <c r="W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X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Y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(((F_Industry="(All)")+(F_Industry="")+ISBLANK(F_Industry)+ISNUMBER(SEARCH("|"&amp;C3&amp;"|",F_Industry_wrapped)))&gt;0)*1</f>
        <v>1</v>
      </c>
      <c r="K3">
        <f>I3*J3*1</f>
        <v>1</v>
      </c>
      <c r="L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M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N3">
        <f>L3*M3*1</f>
        <v>1</v>
      </c>
      <c r="O3">
        <f>(((Demographics_F_Country_resolved="(All)")+(Demographics_F_Country_resolved="")+ISBLANK(Demographics_F_Country_resolved)+ISNUMBER(SEARCH("|"&amp;B3&amp;"|",Demographics_F_Country_wrapped)))&gt;0)*1</f>
        <v>1</v>
      </c>
      <c r="P3">
        <f>(((Demographics_F_Industry_resolved="(All)")+(Demographics_F_Industry_resolved="")+ISBLANK(Demographics_F_Industry_resolved)+ISNUMBER(SEARCH("|"&amp;C3&amp;"|",Demographics_F_Industry_wrapped)))&gt;0)*1</f>
        <v>1</v>
      </c>
      <c r="Q3">
        <f>O3*P3*1</f>
        <v>1</v>
      </c>
      <c r="R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S3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2)&amp;"|",Demographics_Q_MS_EXPORT_F_wrapped)),1,0),0))</f>
        <v>1</v>
      </c>
      <c r="T3">
        <f>(((All_Questions_F_Country_resolved="(All)")+(All_Questions_F_Country_resolved="")+ISBLANK(All_Questions_F_Country_resolved)+ISNUMBER(SEARCH("|"&amp;B3&amp;"|",All_Questions_F_Country_wrapped)))&gt;0)*1</f>
        <v>1</v>
      </c>
      <c r="U3">
        <f>(((All_Questions_F_Industry_resolved="(All)")+(All_Questions_F_Industry_resolved="")+ISBLANK(All_Questions_F_Industry_resolved)+ISNUMBER(SEARCH("|"&amp;C3&amp;"|",All_Questions_F_Industry_wrapped)))&gt;0)*1</f>
        <v>1</v>
      </c>
      <c r="V3">
        <f>T3*U3*1</f>
        <v>1</v>
      </c>
      <c r="W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X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Y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(((F_Industry="(All)")+(F_Industry="")+ISBLANK(F_Industry)+ISNUMBER(SEARCH("|"&amp;C4&amp;"|",F_Industry_wrapped)))&gt;0)*1</f>
        <v>1</v>
      </c>
      <c r="K4">
        <f>I4*J4*1</f>
        <v>1</v>
      </c>
      <c r="L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M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N4">
        <f>L4*M4*1</f>
        <v>1</v>
      </c>
      <c r="O4">
        <f>(((Demographics_F_Country_resolved="(All)")+(Demographics_F_Country_resolved="")+ISBLANK(Demographics_F_Country_resolved)+ISNUMBER(SEARCH("|"&amp;B4&amp;"|",Demographics_F_Country_wrapped)))&gt;0)*1</f>
        <v>1</v>
      </c>
      <c r="P4">
        <f>(((Demographics_F_Industry_resolved="(All)")+(Demographics_F_Industry_resolved="")+ISBLANK(Demographics_F_Industry_resolved)+ISNUMBER(SEARCH("|"&amp;C4&amp;"|",Demographics_F_Industry_wrapped)))&gt;0)*1</f>
        <v>1</v>
      </c>
      <c r="Q4">
        <f>O4*P4*1</f>
        <v>1</v>
      </c>
      <c r="R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S4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3)&amp;"|",Demographics_Q_MS_EXPORT_F_wrapped)),1,0),0))</f>
        <v>1</v>
      </c>
      <c r="T4">
        <f>(((All_Questions_F_Country_resolved="(All)")+(All_Questions_F_Country_resolved="")+ISBLANK(All_Questions_F_Country_resolved)+ISNUMBER(SEARCH("|"&amp;B4&amp;"|",All_Questions_F_Country_wrapped)))&gt;0)*1</f>
        <v>1</v>
      </c>
      <c r="U4">
        <f>(((All_Questions_F_Industry_resolved="(All)")+(All_Questions_F_Industry_resolved="")+ISBLANK(All_Questions_F_Industry_resolved)+ISNUMBER(SEARCH("|"&amp;C4&amp;"|",All_Questions_F_Industry_wrapped)))&gt;0)*1</f>
        <v>1</v>
      </c>
      <c r="V4">
        <f>T4*U4*1</f>
        <v>1</v>
      </c>
      <c r="W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X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Y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(((F_Industry="(All)")+(F_Industry="")+ISBLANK(F_Industry)+ISNUMBER(SEARCH("|"&amp;C5&amp;"|",F_Industry_wrapped)))&gt;0)*1</f>
        <v>1</v>
      </c>
      <c r="K5">
        <f>I5*J5*1</f>
        <v>1</v>
      </c>
      <c r="L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M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N5">
        <f>L5*M5*1</f>
        <v>1</v>
      </c>
      <c r="O5">
        <f>(((Demographics_F_Country_resolved="(All)")+(Demographics_F_Country_resolved="")+ISBLANK(Demographics_F_Country_resolved)+ISNUMBER(SEARCH("|"&amp;B5&amp;"|",Demographics_F_Country_wrapped)))&gt;0)*1</f>
        <v>1</v>
      </c>
      <c r="P5">
        <f>(((Demographics_F_Industry_resolved="(All)")+(Demographics_F_Industry_resolved="")+ISBLANK(Demographics_F_Industry_resolved)+ISNUMBER(SEARCH("|"&amp;C5&amp;"|",Demographics_F_Industry_wrapped)))&gt;0)*1</f>
        <v>1</v>
      </c>
      <c r="Q5">
        <f>O5*P5*1</f>
        <v>1</v>
      </c>
      <c r="R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S5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4)&amp;"|",Demographics_Q_MS_EXPORT_F_wrapped)),1,0),0))</f>
        <v>1</v>
      </c>
      <c r="T5">
        <f>(((All_Questions_F_Country_resolved="(All)")+(All_Questions_F_Country_resolved="")+ISBLANK(All_Questions_F_Country_resolved)+ISNUMBER(SEARCH("|"&amp;B5&amp;"|",All_Questions_F_Country_wrapped)))&gt;0)*1</f>
        <v>1</v>
      </c>
      <c r="U5">
        <f>(((All_Questions_F_Industry_resolved="(All)")+(All_Questions_F_Industry_resolved="")+ISBLANK(All_Questions_F_Industry_resolved)+ISNUMBER(SEARCH("|"&amp;C5&amp;"|",All_Questions_F_Industry_wrapped)))&gt;0)*1</f>
        <v>1</v>
      </c>
      <c r="V5">
        <f>T5*U5*1</f>
        <v>1</v>
      </c>
      <c r="W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X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Y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(((F_Industry="(All)")+(F_Industry="")+ISBLANK(F_Industry)+ISNUMBER(SEARCH("|"&amp;C6&amp;"|",F_Industry_wrapped)))&gt;0)*1</f>
        <v>1</v>
      </c>
      <c r="K6">
        <f>I6*J6*1</f>
        <v>1</v>
      </c>
      <c r="L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M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N6">
        <f>L6*M6*1</f>
        <v>1</v>
      </c>
      <c r="O6">
        <f>(((Demographics_F_Country_resolved="(All)")+(Demographics_F_Country_resolved="")+ISBLANK(Demographics_F_Country_resolved)+ISNUMBER(SEARCH("|"&amp;B6&amp;"|",Demographics_F_Country_wrapped)))&gt;0)*1</f>
        <v>1</v>
      </c>
      <c r="P6">
        <f>(((Demographics_F_Industry_resolved="(All)")+(Demographics_F_Industry_resolved="")+ISBLANK(Demographics_F_Industry_resolved)+ISNUMBER(SEARCH("|"&amp;C6&amp;"|",Demographics_F_Industry_wrapped)))&gt;0)*1</f>
        <v>1</v>
      </c>
      <c r="Q6">
        <f>O6*P6*1</f>
        <v>1</v>
      </c>
      <c r="R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S6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5)&amp;"|",Demographics_Q_MS_EXPORT_F_wrapped)),1,0),0))</f>
        <v>1</v>
      </c>
      <c r="T6">
        <f>(((All_Questions_F_Country_resolved="(All)")+(All_Questions_F_Country_resolved="")+ISBLANK(All_Questions_F_Country_resolved)+ISNUMBER(SEARCH("|"&amp;B6&amp;"|",All_Questions_F_Country_wrapped)))&gt;0)*1</f>
        <v>1</v>
      </c>
      <c r="U6">
        <f>(((All_Questions_F_Industry_resolved="(All)")+(All_Questions_F_Industry_resolved="")+ISBLANK(All_Questions_F_Industry_resolved)+ISNUMBER(SEARCH("|"&amp;C6&amp;"|",All_Questions_F_Industry_wrapped)))&gt;0)*1</f>
        <v>1</v>
      </c>
      <c r="V6">
        <f>T6*U6*1</f>
        <v>1</v>
      </c>
      <c r="W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X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Y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(((F_Industry="(All)")+(F_Industry="")+ISBLANK(F_Industry)+ISNUMBER(SEARCH("|"&amp;C7&amp;"|",F_Industry_wrapped)))&gt;0)*1</f>
        <v>1</v>
      </c>
      <c r="K7">
        <f>I7*J7*1</f>
        <v>1</v>
      </c>
      <c r="L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M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N7">
        <f>L7*M7*1</f>
        <v>1</v>
      </c>
      <c r="O7">
        <f>(((Demographics_F_Country_resolved="(All)")+(Demographics_F_Country_resolved="")+ISBLANK(Demographics_F_Country_resolved)+ISNUMBER(SEARCH("|"&amp;B7&amp;"|",Demographics_F_Country_wrapped)))&gt;0)*1</f>
        <v>1</v>
      </c>
      <c r="P7">
        <f>(((Demographics_F_Industry_resolved="(All)")+(Demographics_F_Industry_resolved="")+ISBLANK(Demographics_F_Industry_resolved)+ISNUMBER(SEARCH("|"&amp;C7&amp;"|",Demographics_F_Industry_wrapped)))&gt;0)*1</f>
        <v>1</v>
      </c>
      <c r="Q7">
        <f>O7*P7*1</f>
        <v>1</v>
      </c>
      <c r="R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S7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6)&amp;"|",Demographics_Q_MS_EXPORT_F_wrapped)),1,0),0))</f>
        <v>1</v>
      </c>
      <c r="T7">
        <f>(((All_Questions_F_Country_resolved="(All)")+(All_Questions_F_Country_resolved="")+ISBLANK(All_Questions_F_Country_resolved)+ISNUMBER(SEARCH("|"&amp;B7&amp;"|",All_Questions_F_Country_wrapped)))&gt;0)*1</f>
        <v>1</v>
      </c>
      <c r="U7">
        <f>(((All_Questions_F_Industry_resolved="(All)")+(All_Questions_F_Industry_resolved="")+ISBLANK(All_Questions_F_Industry_resolved)+ISNUMBER(SEARCH("|"&amp;C7&amp;"|",All_Questions_F_Industry_wrapped)))&gt;0)*1</f>
        <v>1</v>
      </c>
      <c r="V7">
        <f>T7*U7*1</f>
        <v>1</v>
      </c>
      <c r="W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X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Y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(((F_Industry="(All)")+(F_Industry="")+ISBLANK(F_Industry)+ISNUMBER(SEARCH("|"&amp;C8&amp;"|",F_Industry_wrapped)))&gt;0)*1</f>
        <v>1</v>
      </c>
      <c r="K8">
        <f>I8*J8*1</f>
        <v>1</v>
      </c>
      <c r="L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M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N8">
        <f>L8*M8*1</f>
        <v>1</v>
      </c>
      <c r="O8">
        <f>(((Demographics_F_Country_resolved="(All)")+(Demographics_F_Country_resolved="")+ISBLANK(Demographics_F_Country_resolved)+ISNUMBER(SEARCH("|"&amp;B8&amp;"|",Demographics_F_Country_wrapped)))&gt;0)*1</f>
        <v>1</v>
      </c>
      <c r="P8">
        <f>(((Demographics_F_Industry_resolved="(All)")+(Demographics_F_Industry_resolved="")+ISBLANK(Demographics_F_Industry_resolved)+ISNUMBER(SEARCH("|"&amp;C8&amp;"|",Demographics_F_Industry_wrapped)))&gt;0)*1</f>
        <v>1</v>
      </c>
      <c r="Q8">
        <f>O8*P8*1</f>
        <v>1</v>
      </c>
      <c r="R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S8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7)&amp;"|",Demographics_Q_MS_EXPORT_F_wrapped)),1,0),0))</f>
        <v>1</v>
      </c>
      <c r="T8">
        <f>(((All_Questions_F_Country_resolved="(All)")+(All_Questions_F_Country_resolved="")+ISBLANK(All_Questions_F_Country_resolved)+ISNUMBER(SEARCH("|"&amp;B8&amp;"|",All_Questions_F_Country_wrapped)))&gt;0)*1</f>
        <v>1</v>
      </c>
      <c r="U8">
        <f>(((All_Questions_F_Industry_resolved="(All)")+(All_Questions_F_Industry_resolved="")+ISBLANK(All_Questions_F_Industry_resolved)+ISNUMBER(SEARCH("|"&amp;C8&amp;"|",All_Questions_F_Industry_wrapped)))&gt;0)*1</f>
        <v>1</v>
      </c>
      <c r="V8">
        <f>T8*U8*1</f>
        <v>1</v>
      </c>
      <c r="W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X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Y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(((F_Industry="(All)")+(F_Industry="")+ISBLANK(F_Industry)+ISNUMBER(SEARCH("|"&amp;C9&amp;"|",F_Industry_wrapped)))&gt;0)*1</f>
        <v>1</v>
      </c>
      <c r="K9">
        <f>I9*J9*1</f>
        <v>1</v>
      </c>
      <c r="L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M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N9">
        <f>L9*M9*1</f>
        <v>1</v>
      </c>
      <c r="O9">
        <f>(((Demographics_F_Country_resolved="(All)")+(Demographics_F_Country_resolved="")+ISBLANK(Demographics_F_Country_resolved)+ISNUMBER(SEARCH("|"&amp;B9&amp;"|",Demographics_F_Country_wrapped)))&gt;0)*1</f>
        <v>1</v>
      </c>
      <c r="P9">
        <f>(((Demographics_F_Industry_resolved="(All)")+(Demographics_F_Industry_resolved="")+ISBLANK(Demographics_F_Industry_resolved)+ISNUMBER(SEARCH("|"&amp;C9&amp;"|",Demographics_F_Industry_wrapped)))&gt;0)*1</f>
        <v>1</v>
      </c>
      <c r="Q9">
        <f>O9*P9*1</f>
        <v>1</v>
      </c>
      <c r="R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S9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8)&amp;"|",Demographics_Q_MS_EXPORT_F_wrapped)),1,0),0))</f>
        <v>1</v>
      </c>
      <c r="T9">
        <f>(((All_Questions_F_Country_resolved="(All)")+(All_Questions_F_Country_resolved="")+ISBLANK(All_Questions_F_Country_resolved)+ISNUMBER(SEARCH("|"&amp;B9&amp;"|",All_Questions_F_Country_wrapped)))&gt;0)*1</f>
        <v>1</v>
      </c>
      <c r="U9">
        <f>(((All_Questions_F_Industry_resolved="(All)")+(All_Questions_F_Industry_resolved="")+ISBLANK(All_Questions_F_Industry_resolved)+ISNUMBER(SEARCH("|"&amp;C9&amp;"|",All_Questions_F_Industry_wrapped)))&gt;0)*1</f>
        <v>1</v>
      </c>
      <c r="V9">
        <f>T9*U9*1</f>
        <v>1</v>
      </c>
      <c r="W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X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Y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(((F_Industry="(All)")+(F_Industry="")+ISBLANK(F_Industry)+ISNUMBER(SEARCH("|"&amp;C10&amp;"|",F_Industry_wrapped)))&gt;0)*1</f>
        <v>1</v>
      </c>
      <c r="K10">
        <f>I10*J10*1</f>
        <v>1</v>
      </c>
      <c r="L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M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N10">
        <f>L10*M10*1</f>
        <v>1</v>
      </c>
      <c r="O10">
        <f>(((Demographics_F_Country_resolved="(All)")+(Demographics_F_Country_resolved="")+ISBLANK(Demographics_F_Country_resolved)+ISNUMBER(SEARCH("|"&amp;B10&amp;"|",Demographics_F_Country_wrapped)))&gt;0)*1</f>
        <v>1</v>
      </c>
      <c r="P10">
        <f>(((Demographics_F_Industry_resolved="(All)")+(Demographics_F_Industry_resolved="")+ISBLANK(Demographics_F_Industry_resolved)+ISNUMBER(SEARCH("|"&amp;C10&amp;"|",Demographics_F_Industry_wrapped)))&gt;0)*1</f>
        <v>1</v>
      </c>
      <c r="Q10">
        <f>O10*P10*1</f>
        <v>1</v>
      </c>
      <c r="R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S10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9)&amp;"|",Demographics_Q_MS_EXPORT_F_wrapped)),1,0),0))</f>
        <v>1</v>
      </c>
      <c r="T10">
        <f>(((All_Questions_F_Country_resolved="(All)")+(All_Questions_F_Country_resolved="")+ISBLANK(All_Questions_F_Country_resolved)+ISNUMBER(SEARCH("|"&amp;B10&amp;"|",All_Questions_F_Country_wrapped)))&gt;0)*1</f>
        <v>1</v>
      </c>
      <c r="U10">
        <f>(((All_Questions_F_Industry_resolved="(All)")+(All_Questions_F_Industry_resolved="")+ISBLANK(All_Questions_F_Industry_resolved)+ISNUMBER(SEARCH("|"&amp;C10&amp;"|",All_Questions_F_Industry_wrapped)))&gt;0)*1</f>
        <v>1</v>
      </c>
      <c r="V10">
        <f>T10*U10*1</f>
        <v>1</v>
      </c>
      <c r="W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X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Y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(((F_Industry="(All)")+(F_Industry="")+ISBLANK(F_Industry)+ISNUMBER(SEARCH("|"&amp;C11&amp;"|",F_Industry_wrapped)))&gt;0)*1</f>
        <v>1</v>
      </c>
      <c r="K11">
        <f>I11*J11*1</f>
        <v>1</v>
      </c>
      <c r="L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M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N11">
        <f>L11*M11*1</f>
        <v>1</v>
      </c>
      <c r="O11">
        <f>(((Demographics_F_Country_resolved="(All)")+(Demographics_F_Country_resolved="")+ISBLANK(Demographics_F_Country_resolved)+ISNUMBER(SEARCH("|"&amp;B11&amp;"|",Demographics_F_Country_wrapped)))&gt;0)*1</f>
        <v>1</v>
      </c>
      <c r="P11">
        <f>(((Demographics_F_Industry_resolved="(All)")+(Demographics_F_Industry_resolved="")+ISBLANK(Demographics_F_Industry_resolved)+ISNUMBER(SEARCH("|"&amp;C11&amp;"|",Demographics_F_Industry_wrapped)))&gt;0)*1</f>
        <v>1</v>
      </c>
      <c r="Q11">
        <f>O11*P11*1</f>
        <v>1</v>
      </c>
      <c r="R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S11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10)&amp;"|",Demographics_Q_MS_EXPORT_F_wrapped)),1,0),0))</f>
        <v>1</v>
      </c>
      <c r="T11">
        <f>(((All_Questions_F_Country_resolved="(All)")+(All_Questions_F_Country_resolved="")+ISBLANK(All_Questions_F_Country_resolved)+ISNUMBER(SEARCH("|"&amp;B11&amp;"|",All_Questions_F_Country_wrapped)))&gt;0)*1</f>
        <v>1</v>
      </c>
      <c r="U11">
        <f>(((All_Questions_F_Industry_resolved="(All)")+(All_Questions_F_Industry_resolved="")+ISBLANK(All_Questions_F_Industry_resolved)+ISNUMBER(SEARCH("|"&amp;C11&amp;"|",All_Questions_F_Industry_wrapped)))&gt;0)*1</f>
        <v>1</v>
      </c>
      <c r="V11">
        <f>T11*U11*1</f>
        <v>1</v>
      </c>
      <c r="W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X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Y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5">
      <c r="A5" t="inlineStr">
        <is>
          <t>Multi Select Export Question</t>
        </is>
      </c>
      <c r="B5" t="inlineStr">
        <is>
          <t>(All)</t>
        </is>
      </c>
      <c r="C5" t="str">
        <f>"|" &amp; SUBSTITUTE(F_Industry, ", ", "|") &amp; "|"</f>
        <v>|(All)|</v>
      </c>
      <c r="D5" t="inlineStr">
        <is>
          <t>Selected</t>
        </is>
      </c>
    </row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XLOOKUP(F_Custom1_Q,All_Questions,All_Questions_Data_Names,"respondent_id_data")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XLOOKUP(F_Custom2_Q,All_Questions,All_Questions_Data_Names,"respondent_id_data")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=Q_SS_EXPORT_options</formula1>
    </dataValidation>
    <dataValidation sqref="B5" showDropDown="0" showInputMessage="0" showErrorMessage="0" allowBlank="1" type="list">
      <formula1>=Q_MS_EXPORTr1_options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=INDIRECT(XLOOKUP(F_Custom1_Q,All_Questions,All_Questions_Options_Names,"None_options"))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  <legacyDrawing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Demographics</t>
        </is>
      </c>
      <c r="E3" s="6" t="inlineStr">
        <is>
          <t>Demographics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3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IF(Demographics_F_Industry="(Inherit)",F_Industry,Demographics_F_Industry)</f>
        <v>(All)</v>
      </c>
      <c r="D6" t="str">
        <f>"|" &amp; SUBSTITUTE(Demographics_F_Industry_resolved,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XLOOKUP(Demographics_F_Custom1_Q_resolved,All_Questions,All_Questions_Data_Names,"respondent_id_data")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XLOOKUP(Demographics_F_Custom2_Q_resolved,All_Questions,All_Questions_Data_Names,"respondent_id_data")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Q_SS_EXPORT - Single Select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XLOOKUP(Demographics_Q_SS_EXPORT_F_Q,All_Questions,All_Questions_Data_Names,"respondent_id_data")</f>
        <v>respondent_id_data</v>
      </c>
      <c r="G15" t="str">
        <f>"|" &amp; SUBSTITUTE(Demographics_Q_SS_EXPORT_F_V,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5" t="inlineStr">
        <is>
          <t>Option \ Cross-tab</t>
        </is>
      </c>
      <c r="G18" t="str">
        <f>IFERROR(INDEX(INDIRECT(XLOOKUP(Demographics_Q_SS_EXPORT_CT,All_Questions,All_Questions_Options_Names,"None_options")),2),"")</f>
        <v/>
      </c>
      <c r="H18" t="str">
        <f>IFERROR(INDEX(INDIRECT(XLOOKUP(Demographics_Q_SS_EXPORT_CT,All_Questions,All_Questions_Options_Names,"None_options")),3),"")</f>
        <v/>
      </c>
      <c r="I18" t="str">
        <f>IFERROR(INDEX(INDIRECT(XLOOKUP(Demographics_Q_SS_EXPORT_CT,All_Questions,All_Questions_Options_Names,"None_options")),4),"")</f>
        <v/>
      </c>
      <c r="J18" t="str">
        <f>IFERROR(INDEX(INDIRECT(XLOOKUP(Demographics_Q_SS_EXPORT_CT,All_Questions,All_Questions_Options_Names,"None_options")),5),"")</f>
        <v/>
      </c>
      <c r="K18" t="str">
        <f>IFERROR(INDEX(INDIRECT(XLOOKUP(Demographics_Q_SS_EXPORT_CT,All_Questions,All_Questions_Options_Names,"None_options")),6),"")</f>
        <v/>
      </c>
      <c r="L18" t="str">
        <f>IFERROR(INDEX(INDIRECT(XLOOKUP(Demographics_Q_SS_EXPORT_CT,All_Questions,All_Questions_Options_Names,"None_options")),7),"")</f>
        <v/>
      </c>
      <c r="M18" t="str">
        <f>IFERROR(INDEX(INDIRECT(XLOOKUP(Demographics_Q_SS_EXPORT_CT,All_Questions,All_Questions_Options_Names,"None_options")),8),"")</f>
        <v/>
      </c>
      <c r="N18" t="str">
        <f>IFERROR(INDEX(INDIRECT(XLOOKUP(Demographics_Q_SS_EXPORT_CT,All_Questions,All_Questions_Options_Names,"None_options")),9),"")</f>
        <v/>
      </c>
      <c r="O18" s="5" t="inlineStr">
        <is>
          <t>TOTAL</t>
        </is>
      </c>
    </row>
    <row r="19">
      <c r="A19" t="inlineStr">
        <is>
          <t>Yes</t>
        </is>
      </c>
      <c r="B19">
        <f>COUNTIFS(Q_SS_EXPORT_data,"Yes",passes_workbook_filters_data,1,passes_workbook_custom_filters_data,1,Demographics_passes_local_filters_data,1,Demographics_Q_SS_EXPORT_F_passes_per_q_filter_data,1)</f>
        <v>6</v>
      </c>
      <c r="C19" s="7">
        <f>IFERROR(B19/SUBTOTAL(9,B19:B20),0)</f>
        <v>0.6</v>
      </c>
      <c r="D19" s="14">
        <f>SUBTOTAL(9,B19:B20)</f>
        <v>10</v>
      </c>
      <c r="F19" t="inlineStr">
        <is>
          <t>Yes</t>
        </is>
      </c>
      <c r="G19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G$18)</f>
        <v>0</v>
      </c>
      <c r="H19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H$18)</f>
        <v>0</v>
      </c>
      <c r="I19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I$18)</f>
        <v>0</v>
      </c>
      <c r="J19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J$18)</f>
        <v>0</v>
      </c>
      <c r="K19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K$18)</f>
        <v>0</v>
      </c>
      <c r="L19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L$18)</f>
        <v>0</v>
      </c>
      <c r="M19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M$18)</f>
        <v>0</v>
      </c>
      <c r="N19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N$18)</f>
        <v>0</v>
      </c>
      <c r="O19">
        <f>SUM(G19:N19)</f>
        <v>0</v>
      </c>
    </row>
    <row r="20">
      <c r="A20" t="inlineStr">
        <is>
          <t>No</t>
        </is>
      </c>
      <c r="B20">
        <f>COUNTIFS(Q_SS_EXPORT_data,"No",passes_workbook_filters_data,1,passes_workbook_custom_filters_data,1,Demographics_passes_local_filters_data,1,Demographics_Q_SS_EXPORT_F_passes_per_q_filter_data,1)</f>
        <v>4</v>
      </c>
      <c r="C20" s="7">
        <f>IFERROR(B20/SUBTOTAL(9,B19:B20),0)</f>
        <v>0.4</v>
      </c>
      <c r="D20" s="14">
        <f>SUBTOTAL(9,B19:B20)</f>
        <v>10</v>
      </c>
      <c r="F20" t="inlineStr">
        <is>
          <t>No</t>
        </is>
      </c>
      <c r="G20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G$18)</f>
        <v>0</v>
      </c>
      <c r="H20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H$18)</f>
        <v>0</v>
      </c>
      <c r="I20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I$18)</f>
        <v>0</v>
      </c>
      <c r="J20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J$18)</f>
        <v>0</v>
      </c>
      <c r="K20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K$18)</f>
        <v>0</v>
      </c>
      <c r="L20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L$18)</f>
        <v>0</v>
      </c>
      <c r="M20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M$18)</f>
        <v>0</v>
      </c>
      <c r="N20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N$18)</f>
        <v>0</v>
      </c>
      <c r="O20">
        <f>SUM(G20:N20)</f>
        <v>0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Q_MS_EXPORT - Multi Select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XLOOKUP(Demographics_Q_MS_EXPORT_F_Q,All_Questions,All_Questions_Data_Names,"respondent_id_data")</f>
        <v>respondent_id_data</v>
      </c>
      <c r="G25" t="str">
        <f>"|" &amp; SUBSTITUTE(Demographics_Q_MS_EXPORT_F_V,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5" t="inlineStr">
        <is>
          <t>Option \ Cross-tab</t>
        </is>
      </c>
      <c r="G28" t="str">
        <f>IFERROR(INDEX(INDIRECT(XLOOKUP(Demographics_Q_MS_EXPORT_CT,All_Questions,All_Questions_Options_Names,"None_options")),2),"")</f>
        <v/>
      </c>
      <c r="H28" t="str">
        <f>IFERROR(INDEX(INDIRECT(XLOOKUP(Demographics_Q_MS_EXPORT_CT,All_Questions,All_Questions_Options_Names,"None_options")),3),"")</f>
        <v/>
      </c>
      <c r="I28" t="str">
        <f>IFERROR(INDEX(INDIRECT(XLOOKUP(Demographics_Q_MS_EXPORT_CT,All_Questions,All_Questions_Options_Names,"None_options")),4),"")</f>
        <v/>
      </c>
      <c r="J28" t="str">
        <f>IFERROR(INDEX(INDIRECT(XLOOKUP(Demographics_Q_MS_EXPORT_CT,All_Questions,All_Questions_Options_Names,"None_options")),5),"")</f>
        <v/>
      </c>
      <c r="K28" t="str">
        <f>IFERROR(INDEX(INDIRECT(XLOOKUP(Demographics_Q_MS_EXPORT_CT,All_Questions,All_Questions_Options_Names,"None_options")),6),"")</f>
        <v/>
      </c>
      <c r="L28" t="str">
        <f>IFERROR(INDEX(INDIRECT(XLOOKUP(Demographics_Q_MS_EXPORT_CT,All_Questions,All_Questions_Options_Names,"None_options")),7),"")</f>
        <v/>
      </c>
      <c r="M28" t="str">
        <f>IFERROR(INDEX(INDIRECT(XLOOKUP(Demographics_Q_MS_EXPORT_CT,All_Questions,All_Questions_Options_Names,"None_options")),8),"")</f>
        <v/>
      </c>
      <c r="N28" t="str">
        <f>IFERROR(INDEX(INDIRECT(XLOOKUP(Demographics_Q_MS_EXPORT_CT,All_Questions,All_Questions_Options_Names,"None_options")),9),"")</f>
        <v/>
      </c>
      <c r="O28" s="5" t="inlineStr">
        <is>
          <t>TOTAL</t>
        </is>
      </c>
    </row>
    <row r="29">
      <c r="A29" t="inlineStr">
        <is>
          <t>First</t>
        </is>
      </c>
      <c r="B29">
        <f>COUNTIFS(Q_MS_EXPORTr1_data,"Selected",passes_workbook_filters_data,1,passes_workbook_custom_filters_data,1,Demographics_passes_local_filters_data,1,Demographics_Q_MS_EXPORT_F_passes_per_q_filter_data,1)</f>
        <v>5</v>
      </c>
      <c r="C29" s="7">
        <f>IFERROR(B29/SUBTOTAL(9,B29:B30),0)</f>
        <v>0.7142857142857143</v>
      </c>
      <c r="D29" s="14">
        <f>SUBTOTAL(9,B29:B30)</f>
        <v>7</v>
      </c>
      <c r="F29" t="inlineStr">
        <is>
          <t>First</t>
        </is>
      </c>
      <c r="G29">
        <f>(Demographics_Q_MS_EXPORT_CT&lt;&gt;"(None)")*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G$28)</f>
        <v>0</v>
      </c>
      <c r="H29">
        <f>(Demographics_Q_MS_EXPORT_CT&lt;&gt;"(None)")*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H$28)</f>
        <v>0</v>
      </c>
      <c r="I29">
        <f>(Demographics_Q_MS_EXPORT_CT&lt;&gt;"(None)")*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I$28)</f>
        <v>0</v>
      </c>
      <c r="J29">
        <f>(Demographics_Q_MS_EXPORT_CT&lt;&gt;"(None)")*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J$28)</f>
        <v>0</v>
      </c>
      <c r="K29">
        <f>(Demographics_Q_MS_EXPORT_CT&lt;&gt;"(None)")*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K$28)</f>
        <v>0</v>
      </c>
      <c r="L29">
        <f>(Demographics_Q_MS_EXPORT_CT&lt;&gt;"(None)")*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L$28)</f>
        <v>0</v>
      </c>
      <c r="M29">
        <f>(Demographics_Q_MS_EXPORT_CT&lt;&gt;"(None)")*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M$28)</f>
        <v>0</v>
      </c>
      <c r="N29">
        <f>(Demographics_Q_MS_EXPORT_CT&lt;&gt;"(None)")*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N$28)</f>
        <v>0</v>
      </c>
      <c r="O29">
        <f>SUM(G29:N29)</f>
        <v>0</v>
      </c>
    </row>
    <row r="30">
      <c r="A30" t="inlineStr">
        <is>
          <t>Second</t>
        </is>
      </c>
      <c r="B30">
        <f>COUNTIFS(Q_MS_EXPORTr2_data,"Selected",passes_workbook_filters_data,1,passes_workbook_custom_filters_data,1,Demographics_passes_local_filters_data,1,Demographics_Q_MS_EXPORT_F_passes_per_q_filter_data,1)</f>
        <v>2</v>
      </c>
      <c r="C30" s="7">
        <f>IFERROR(B30/SUBTOTAL(9,B29:B30),0)</f>
        <v>0.2857142857142857</v>
      </c>
      <c r="D30" s="14">
        <f>SUBTOTAL(9,B29:B30)</f>
        <v>7</v>
      </c>
      <c r="F30" t="inlineStr">
        <is>
          <t>Second</t>
        </is>
      </c>
      <c r="G30">
        <f>(Demographics_Q_MS_EXPORT_CT&lt;&gt;"(None)")*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G$28)</f>
        <v>0</v>
      </c>
      <c r="H30">
        <f>(Demographics_Q_MS_EXPORT_CT&lt;&gt;"(None)")*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H$28)</f>
        <v>0</v>
      </c>
      <c r="I30">
        <f>(Demographics_Q_MS_EXPORT_CT&lt;&gt;"(None)")*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I$28)</f>
        <v>0</v>
      </c>
      <c r="J30">
        <f>(Demographics_Q_MS_EXPORT_CT&lt;&gt;"(None)")*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J$28)</f>
        <v>0</v>
      </c>
      <c r="K30">
        <f>(Demographics_Q_MS_EXPORT_CT&lt;&gt;"(None)")*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K$28)</f>
        <v>0</v>
      </c>
      <c r="L30">
        <f>(Demographics_Q_MS_EXPORT_CT&lt;&gt;"(None)")*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L$28)</f>
        <v>0</v>
      </c>
      <c r="M30">
        <f>(Demographics_Q_MS_EXPORT_CT&lt;&gt;"(None)")*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M$28)</f>
        <v>0</v>
      </c>
      <c r="N30">
        <f>(Demographics_Q_MS_EXPORT_CT&lt;&gt;"(None)")*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N$28)</f>
        <v>0</v>
      </c>
      <c r="O30">
        <f>SUM(G30:N30)</f>
        <v>0</v>
      </c>
    </row>
    <row r="31">
      <c r="A31" s="15" t="inlineStr">
        <is>
          <t>Total respondents</t>
        </is>
      </c>
      <c r="B31" s="15" t="n">
        <v>7</v>
      </c>
      <c r="C31" s="15" t="n"/>
      <c r="D31" s="15" t="n"/>
    </row>
  </sheetData>
  <mergeCells count="1">
    <mergeCell ref="A1:J1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N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N3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=INDIRECT(XLOOKUP(Demographics_F_Custom1_Q_resolved,All_Questions,All_Questions_Options_Names,"None_options"))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=INDIRECT(XLOOKUP(Demographics_F_Custom2_Q_resolved,All_Questions,All_Questions_Options_Names,"None_options"))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=INDIRECT(XLOOKUP(Demographics_Q_SS_EXPORT_F_Q,All_Questions,All_Questions_Options_Names,"None_options"))</formula1>
    </dataValidation>
    <dataValidation sqref="C16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=INDIRECT(XLOOKUP(Demographics_Q_MS_EXPORT_F_Q,All_Questions,All_Questions_Options_Names,"None_options"))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2">
    <tablePart r:id="rId1"/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4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IF(All_Questions_F_Industry="(Inherit)",F_Industry,All_Questions_F_Industry)</f>
        <v>(All)</v>
      </c>
      <c r="D6" t="str">
        <f>"|" &amp; SUBSTITUTE(All_Questions_F_Industry_resolved,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IF(All_Questions_F_Custom1_Q="(Inherit)",F_Custom1_Q,All_Questions_F_Custom1_Q)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IF(All_Questions_F_Custom1_V="(Inherit)",F_Custom1_V,All_Questions_F_Custom1_V)</f>
        <v>(All)</v>
      </c>
      <c r="D8" t="str">
        <f>"|" &amp; SUBSTITUTE(All_Questions_F_Custom1_V_resolved, ", ", "|") &amp; "|"</f>
        <v>|(All)|</v>
      </c>
      <c r="E8" t="inlineStr">
        <is>
          <t>Choose one value or type comma-separated values</t>
        </is>
      </c>
      <c r="F8" t="str">
        <f>XLOOKUP(All_Questions_F_Custom1_Q_resolved,All_Questions,All_Questions_Data_Names,"respondent_id_data")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IF(All_Questions_F_Custom2_Q="(Inherit)",F_Custom2_Q,All_Questions_F_Custom2_Q)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IF(All_Questions_F_Custom2_V="(Inherit)",F_Custom2_V,All_Questions_F_Custom2_V)</f>
        <v>(All)</v>
      </c>
      <c r="D10" t="str">
        <f>"|" &amp; SUBSTITUTE(All_Questions_F_Custom2_V_resolved, ", ", "|") &amp; "|"</f>
        <v>|(All)|</v>
      </c>
      <c r="E10" t="inlineStr">
        <is>
          <t>Choose one value or type comma-separated values</t>
        </is>
      </c>
      <c r="F10" t="str">
        <f>XLOOKUP(All_Questions_F_Custom2_Q_resolved,All_Questions,All_Questions_Data_Names,"respondent_id_data")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Q_NUM_EXPORT - Numeric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XLOOKUP(All_Questions_Q_NUM_EXPORT_F_Q,All_Questions,All_Questions_Data_Names,"respondent_id_data")</f>
        <v>respondent_id_data</v>
      </c>
      <c r="G15" t="str">
        <f>"|" &amp; SUBSTITUTE(All_Questions_Q_NUM_EXPORT_F_V,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Metric</t>
        </is>
      </c>
      <c r="B18" s="4" t="inlineStr">
        <is>
          <t>Value</t>
        </is>
      </c>
      <c r="C18" s="4" t="inlineStr">
        <is>
          <t>Note</t>
        </is>
      </c>
      <c r="D18" s="4" t="inlineStr">
        <is>
          <t>Denominator</t>
        </is>
      </c>
    </row>
    <row r="19">
      <c r="A19" t="inlineStr">
        <is>
          <t>Mean</t>
        </is>
      </c>
      <c r="B19">
        <f>IFERROR(AVERAGEIFS(Q_NUM_EXPORT_data,passes_workbook_filters_data,1,passes_workbook_custom_filters_data,1,All_Questions_passes_local_filters_data,1,All_Questions_Q_NUM_EXPORT_F_passes_per_q_filter_data,1),0)</f>
        <v>5.5</v>
      </c>
      <c r="D19">
        <f>COUNTIFS(Q_NUM_EXPORT_data,"&lt;&gt;",passes_workbook_filters_data,1,passes_workbook_custom_filters_data,1,All_Questions_passes_local_filters_data,1,All_Questions_Q_NUM_EXPORT_F_passes_per_q_filter_data,1)</f>
        <v>10</v>
      </c>
    </row>
    <row r="20">
      <c r="A20" t="inlineStr">
        <is>
          <t>Min</t>
        </is>
      </c>
      <c r="B20">
        <f>IFERROR(MINIFS(Q_NUM_EXPORT_data,passes_workbook_filters_data,1,passes_workbook_custom_filters_data,1,All_Questions_passes_local_filters_data,1,All_Questions_Q_NUM_EXPORT_F_passes_per_q_filter_data,1),0)</f>
        <v>1.0</v>
      </c>
      <c r="D20">
        <f>COUNTIFS(Q_NUM_EXPORT_data,"&lt;&gt;",passes_workbook_filters_data,1,passes_workbook_custom_filters_data,1,All_Questions_passes_local_filters_data,1,All_Questions_Q_NUM_EXPORT_F_passes_per_q_filter_data,1)</f>
        <v>10</v>
      </c>
    </row>
    <row r="21">
      <c r="A21" t="inlineStr">
        <is>
          <t>Max</t>
        </is>
      </c>
      <c r="B21">
        <f>IFERROR(MAXIFS(Q_NUM_EXPORT_data,passes_workbook_filters_data,1,passes_workbook_custom_filters_data,1,All_Questions_passes_local_filters_data,1,All_Questions_Q_NUM_EXPORT_F_passes_per_q_filter_data,1),0)</f>
        <v>10.0</v>
      </c>
      <c r="D21">
        <f>COUNTIFS(Q_NUM_EXPORT_data,"&lt;&gt;",passes_workbook_filters_data,1,passes_workbook_custom_filters_data,1,All_Questions_passes_local_filters_data,1,All_Questions_Q_NUM_EXPORT_F_passes_per_q_filter_data,1)</f>
        <v>10</v>
      </c>
    </row>
    <row r="22">
      <c r="A22" t="inlineStr">
        <is>
          <t>Std</t>
        </is>
      </c>
      <c r="B22" t="n">
        <v>2.9</v>
      </c>
      <c r="C22" t="inlineStr">
        <is>
          <t>static baseline</t>
        </is>
      </c>
      <c r="D22">
        <f>COUNTIFS(Q_NUM_EXPORT_data,"&lt;&gt;",passes_workbook_filters_data,1,passes_workbook_custom_filters_data,1,All_Questions_passes_local_filters_data,1,All_Questions_Q_NUM_EXPORT_F_passes_per_q_filter_data,1)</f>
        <v>10</v>
      </c>
    </row>
    <row r="23">
      <c r="A23" s="10" t="inlineStr">
        <is>
          <t>Median not available in filtered view - see static baseline in audit log.</t>
        </is>
      </c>
    </row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</row>
    <row r="26">
      <c r="A26" s="12" t="inlineStr">
        <is>
          <t>Q_GRID_EXPORT - Grid Export Question</t>
        </is>
      </c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</row>
    <row r="27">
      <c r="A27" s="13" t="inlineStr">
        <is>
          <t>Per-question filter</t>
        </is>
      </c>
      <c r="B27" t="inlineStr">
        <is>
          <t>Filter Q</t>
        </is>
      </c>
      <c r="C27" t="inlineStr">
        <is>
          <t>(None)</t>
        </is>
      </c>
      <c r="D27" t="inlineStr">
        <is>
          <t>Value</t>
        </is>
      </c>
      <c r="E27" t="inlineStr">
        <is>
          <t>(All)</t>
        </is>
      </c>
      <c r="F27" t="str">
        <f>XLOOKUP(All_Questions_Q_GRID_EXPORT_F_Q,All_Questions,All_Questions_Data_Names,"respondent_id_data")</f>
        <v>respondent_id_data</v>
      </c>
      <c r="G27" t="str">
        <f>"|" &amp; SUBSTITUTE(All_Questions_Q_GRID_EXPORT_F_V, ", ", "|") &amp; "|"</f>
        <v>|(All)|</v>
      </c>
    </row>
    <row r="28">
      <c r="A28" s="13" t="inlineStr">
        <is>
          <t>Cross-tab by</t>
        </is>
      </c>
      <c r="C28" t="inlineStr">
        <is>
          <t>(None)</t>
        </is>
      </c>
    </row>
    <row r="30">
      <c r="A30" s="4" t="inlineStr">
        <is>
          <t>Option</t>
        </is>
      </c>
      <c r="B30" s="4" t="inlineStr">
        <is>
          <t>Count</t>
        </is>
      </c>
      <c r="C30" s="4" t="inlineStr">
        <is>
          <t>%</t>
        </is>
      </c>
      <c r="D30" s="4" t="inlineStr">
        <is>
          <t>Denominator</t>
        </is>
      </c>
      <c r="F30" s="5" t="inlineStr">
        <is>
          <t>Option \ Cross-tab</t>
        </is>
      </c>
      <c r="G30" t="str">
        <f>IFERROR(INDEX(INDIRECT(XLOOKUP(All_Questions_Q_GRID_EXPORT_CT,All_Questions,All_Questions_Options_Names,"None_options")),2),"")</f>
        <v/>
      </c>
      <c r="H30" t="str">
        <f>IFERROR(INDEX(INDIRECT(XLOOKUP(All_Questions_Q_GRID_EXPORT_CT,All_Questions,All_Questions_Options_Names,"None_options")),3),"")</f>
        <v/>
      </c>
      <c r="I30" t="str">
        <f>IFERROR(INDEX(INDIRECT(XLOOKUP(All_Questions_Q_GRID_EXPORT_CT,All_Questions,All_Questions_Options_Names,"None_options")),4),"")</f>
        <v/>
      </c>
      <c r="J30" t="str">
        <f>IFERROR(INDEX(INDIRECT(XLOOKUP(All_Questions_Q_GRID_EXPORT_CT,All_Questions,All_Questions_Options_Names,"None_options")),5),"")</f>
        <v/>
      </c>
      <c r="K30" t="str">
        <f>IFERROR(INDEX(INDIRECT(XLOOKUP(All_Questions_Q_GRID_EXPORT_CT,All_Questions,All_Questions_Options_Names,"None_options")),6),"")</f>
        <v/>
      </c>
      <c r="L30" t="str">
        <f>IFERROR(INDEX(INDIRECT(XLOOKUP(All_Questions_Q_GRID_EXPORT_CT,All_Questions,All_Questions_Options_Names,"None_options")),7),"")</f>
        <v/>
      </c>
      <c r="M30" t="str">
        <f>IFERROR(INDEX(INDIRECT(XLOOKUP(All_Questions_Q_GRID_EXPORT_CT,All_Questions,All_Questions_Options_Names,"None_options")),8),"")</f>
        <v/>
      </c>
      <c r="N30" t="str">
        <f>IFERROR(INDEX(INDIRECT(XLOOKUP(All_Questions_Q_GRID_EXPORT_CT,All_Questions,All_Questions_Options_Names,"None_options")),9),"")</f>
        <v/>
      </c>
      <c r="O30" s="5" t="inlineStr">
        <is>
          <t>TOTAL</t>
        </is>
      </c>
    </row>
    <row r="31">
      <c r="A31" t="inlineStr">
        <is>
          <t>Grid first row</t>
        </is>
      </c>
      <c r="B31">
        <f>COUNTIFS(Q_GRID_EXPORTr1_data,"Selected",passes_workbook_filters_data,1,passes_workbook_custom_filters_data,1,All_Questions_passes_local_filters_data,1,All_Questions_Q_GRID_EXPORT_F_passes_per_q_filter_data,1)</f>
        <v>10</v>
      </c>
      <c r="C31" s="7">
        <f>IFERROR(B31/SUBTOTAL(9,B31:B32),0)</f>
        <v>0.5</v>
      </c>
      <c r="D31" s="14">
        <f>SUBTOTAL(9,B31:B32)</f>
        <v>20</v>
      </c>
      <c r="F31" t="inlineStr">
        <is>
          <t>Grid first row</t>
        </is>
      </c>
      <c r="G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$30)</f>
        <v>0</v>
      </c>
      <c r="H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$30)</f>
        <v>0</v>
      </c>
      <c r="I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$30)</f>
        <v>0</v>
      </c>
      <c r="J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$30)</f>
        <v>0</v>
      </c>
      <c r="K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$30)</f>
        <v>0</v>
      </c>
      <c r="L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$30)</f>
        <v>0</v>
      </c>
      <c r="M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$30)</f>
        <v>0</v>
      </c>
      <c r="N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$30)</f>
        <v>0</v>
      </c>
      <c r="O31">
        <f>SUM(G31:N31)</f>
        <v>0</v>
      </c>
    </row>
    <row r="32">
      <c r="A32" t="inlineStr">
        <is>
          <t>Grid second row</t>
        </is>
      </c>
      <c r="B32">
        <f>COUNTIFS(Q_GRID_EXPORTr2_data,"Selected",passes_workbook_filters_data,1,passes_workbook_custom_filters_data,1,All_Questions_passes_local_filters_data,1,All_Questions_Q_GRID_EXPORT_F_passes_per_q_filter_data,1)</f>
        <v>10</v>
      </c>
      <c r="C32" s="7">
        <f>IFERROR(B32/SUBTOTAL(9,B31:B32),0)</f>
        <v>0.5</v>
      </c>
      <c r="D32" s="14">
        <f>SUBTOTAL(9,B31:B32)</f>
        <v>20</v>
      </c>
      <c r="F32" t="inlineStr">
        <is>
          <t>Grid second row</t>
        </is>
      </c>
      <c r="G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$30)</f>
        <v>0</v>
      </c>
      <c r="H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$30)</f>
        <v>0</v>
      </c>
      <c r="I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$30)</f>
        <v>0</v>
      </c>
      <c r="J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$30)</f>
        <v>0</v>
      </c>
      <c r="K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$30)</f>
        <v>0</v>
      </c>
      <c r="L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$30)</f>
        <v>0</v>
      </c>
      <c r="M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$30)</f>
        <v>0</v>
      </c>
      <c r="N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$30)</f>
        <v>0</v>
      </c>
      <c r="O32">
        <f>SUM(G32:N32)</f>
        <v>0</v>
      </c>
    </row>
    <row r="33">
      <c r="A33" s="15" t="inlineStr">
        <is>
          <t>Total respondents</t>
        </is>
      </c>
      <c r="B33" s="15" t="n">
        <v>20</v>
      </c>
      <c r="C33" s="15" t="n"/>
      <c r="D33" s="15" t="n"/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Q_VERY_LONG_SINGLE_SELECT_EXPORT_NAME - Long Sheet Name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XLOOKUP(All_Questions_Q_VERY_LONG_SINGLE_SELECT_EXPORT_NAME_F_Q,All_Questions,All_Questions_Data_Names,"respondent_id_data")</f>
        <v>respondent_id_data</v>
      </c>
      <c r="G37" t="str">
        <f>"|" &amp; SUBSTITUTE(All_Questions_Q_VERY_LONG_SINGLE_SELECT_EXPORT_NAME_F_V,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5" t="inlineStr">
        <is>
          <t>Option \ Cross-tab</t>
        </is>
      </c>
      <c r="G40" t="str">
        <f>IFERROR(INDEX(INDIRECT(XLOOKUP(All_Questions_Q_VERY_LONG_SINGLE_SELECT_EXPORT_NAME_CT,All_Questions,All_Questions_Options_Names,"None_options")),2),"")</f>
        <v/>
      </c>
      <c r="H40" t="str">
        <f>IFERROR(INDEX(INDIRECT(XLOOKUP(All_Questions_Q_VERY_LONG_SINGLE_SELECT_EXPORT_NAME_CT,All_Questions,All_Questions_Options_Names,"None_options")),3),"")</f>
        <v/>
      </c>
      <c r="I40" t="str">
        <f>IFERROR(INDEX(INDIRECT(XLOOKUP(All_Questions_Q_VERY_LONG_SINGLE_SELECT_EXPORT_NAME_CT,All_Questions,All_Questions_Options_Names,"None_options")),4),"")</f>
        <v/>
      </c>
      <c r="J40" t="str">
        <f>IFERROR(INDEX(INDIRECT(XLOOKUP(All_Questions_Q_VERY_LONG_SINGLE_SELECT_EXPORT_NAME_CT,All_Questions,All_Questions_Options_Names,"None_options")),5),"")</f>
        <v/>
      </c>
      <c r="K40" t="str">
        <f>IFERROR(INDEX(INDIRECT(XLOOKUP(All_Questions_Q_VERY_LONG_SINGLE_SELECT_EXPORT_NAME_CT,All_Questions,All_Questions_Options_Names,"None_options")),6),"")</f>
        <v/>
      </c>
      <c r="L40" t="str">
        <f>IFERROR(INDEX(INDIRECT(XLOOKUP(All_Questions_Q_VERY_LONG_SINGLE_SELECT_EXPORT_NAME_CT,All_Questions,All_Questions_Options_Names,"None_options")),7),"")</f>
        <v/>
      </c>
      <c r="M40" t="str">
        <f>IFERROR(INDEX(INDIRECT(XLOOKUP(All_Questions_Q_VERY_LONG_SINGLE_SELECT_EXPORT_NAME_CT,All_Questions,All_Questions_Options_Names,"None_options")),8),"")</f>
        <v/>
      </c>
      <c r="N40" t="str">
        <f>IFERROR(INDEX(INDIRECT(XLOOKUP(All_Questions_Q_VERY_LONG_SINGLE_SELECT_EXPORT_NAME_CT,All_Questions,All_Questions_Options_Names,"None_options")),9),"")</f>
        <v/>
      </c>
      <c r="O40" s="5" t="inlineStr">
        <is>
          <t>TOTAL</t>
        </is>
      </c>
    </row>
    <row r="41">
      <c r="A41" t="inlineStr">
        <is>
          <t>A</t>
        </is>
      </c>
      <c r="B4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41" s="7">
        <f>IFERROR(B41/SUBTOTAL(9,B41:B42),0)</f>
        <v>0.7</v>
      </c>
      <c r="D41" s="14">
        <f>SUBTOTAL(9,B41:B42)</f>
        <v>10</v>
      </c>
      <c r="F41" t="inlineStr">
        <is>
          <t>A</t>
        </is>
      </c>
      <c r="G41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$40)</f>
        <v>0</v>
      </c>
      <c r="H41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$40)</f>
        <v>0</v>
      </c>
      <c r="I41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$40)</f>
        <v>0</v>
      </c>
      <c r="J41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$40)</f>
        <v>0</v>
      </c>
      <c r="K41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$40)</f>
        <v>0</v>
      </c>
      <c r="L41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$40)</f>
        <v>0</v>
      </c>
      <c r="M41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$40)</f>
        <v>0</v>
      </c>
      <c r="N41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$40)</f>
        <v>0</v>
      </c>
      <c r="O41">
        <f>SUM(G41:N41)</f>
        <v>0</v>
      </c>
    </row>
    <row r="42">
      <c r="A42" t="inlineStr">
        <is>
          <t>B</t>
        </is>
      </c>
      <c r="B4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2" s="7">
        <f>IFERROR(B42/SUBTOTAL(9,B41:B42),0)</f>
        <v>0.3</v>
      </c>
      <c r="D42" s="14">
        <f>SUBTOTAL(9,B41:B42)</f>
        <v>10</v>
      </c>
      <c r="F42" t="inlineStr">
        <is>
          <t>B</t>
        </is>
      </c>
      <c r="G42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$40)</f>
        <v>0</v>
      </c>
      <c r="H42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$40)</f>
        <v>0</v>
      </c>
      <c r="I42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$40)</f>
        <v>0</v>
      </c>
      <c r="J42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$40)</f>
        <v>0</v>
      </c>
      <c r="K42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$40)</f>
        <v>0</v>
      </c>
      <c r="L42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$40)</f>
        <v>0</v>
      </c>
      <c r="M42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$40)</f>
        <v>0</v>
      </c>
      <c r="N42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$40)</f>
        <v>0</v>
      </c>
      <c r="O42">
        <f>SUM(G42:N42)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</row>
  </sheetData>
  <mergeCells count="1">
    <mergeCell ref="A1:J1"/>
  </mergeCells>
  <conditionalFormatting sqref="B31:B3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1:C3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1:N32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1:O32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1:N42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1:O42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5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=INDIRECT(XLOOKUP(All_Questions_F_Custom1_Q_resolved,All_Questions,All_Questions_Options_Names,"None_options"))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=INDIRECT(XLOOKUP(All_Questions_F_Custom2_Q_resolved,All_Questions,All_Questions_Options_Names,"None_options"))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=INDIRECT(XLOOKUP(All_Questions_Q_NUM_EXPORT_F_Q,All_Questions,All_Questions_Options_Names,"None_options"))</formula1>
    </dataValidation>
    <dataValidation sqref="C16" showDropDown="0" showInputMessage="0" showErrorMessage="0" allowBlank="1" type="list">
      <formula1>=All_Questions</formula1>
    </dataValidation>
    <dataValidation sqref="C27" showDropDown="0" showInputMessage="0" showErrorMessage="0" allowBlank="1" type="list">
      <formula1>=All_Questions</formula1>
    </dataValidation>
    <dataValidation sqref="E27" showDropDown="0" showInputMessage="0" showErrorMessage="0" allowBlank="1" type="list">
      <formula1>=INDIRECT(XLOOKUP(All_Questions_Q_GRID_EXPORT_F_Q,All_Questions,All_Questions_Options_Names,"None_options"))</formula1>
    </dataValidation>
    <dataValidation sqref="C28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38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3">
    <tablePart r:id="rId1"/>
    <tablePart r:id="rId2"/>
    <tablePart r:id="rId3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2026-05-15T19:20:19Z</dcterms:created>
  <dcterms:modified xmlns:dcterms="http://purl.org/dc/terms/" xmlns:xsi="http://www.w3.org/2001/XMLSchema-instance" xsi:type="dcterms:W3CDTF">2026-05-15T19:20:19Z</dcterms:modified>
</cp:coreProperties>
</file>