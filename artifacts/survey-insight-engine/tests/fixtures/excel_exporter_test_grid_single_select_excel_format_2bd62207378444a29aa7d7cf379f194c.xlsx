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'_RawData'!$A$2:$A$81</definedName>
    <definedName name="r1_data">'_RawData'!$B$2:$B$81</definedName>
    <definedName name="r2_data">'_RawData'!$C$2:$C$81</definedName>
    <definedName name="r3_data">'_RawData'!$D$2:$D$81</definedName>
    <definedName name="All_Questions">'_Options'!$A$2:$A$2</definedName>
    <definedName name="All_Questions_Local">'_Options'!$B$2:$B$3</definedName>
    <definedName name="None_options">'_Options'!$E$2:$E$2</definedName>
    <definedName name="r1_options">'_Options'!$F$2:$F$3</definedName>
    <definedName name="r1_local_options">'_Options'!$I$2:$I$4</definedName>
    <definedName name="r2_options">'_Options'!$G$2:$G$3</definedName>
    <definedName name="r2_local_options">'_Options'!$J$2:$J$4</definedName>
    <definedName name="r3_options">'_Options'!$H$2:$H$3</definedName>
    <definedName name="r3_local_options">'_Options'!$K$2:$K$4</definedName>
    <definedName name="All_Questions_Data_Names">'_Options'!$C$2:$C$2</definedName>
    <definedName name="All_Questions_Options_Names">'_Options'!$D$2:$D$2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'_RawData'!$E$2:$E$81</definedName>
    <definedName name="F_Custom1_match_data">'_RawData'!$F$2:$F$81</definedName>
    <definedName name="F_Custom2_match_data">'_RawData'!$G$2:$G$81</definedName>
    <definedName name="passes_workbook_custom_filters_data">'_RawData'!$H$2:$H$81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'_RawData'!$I$2:$I$81</definedName>
    <definedName name="All_Questions_Q_GRID_FORMAT_F_Q">'All Questions'!$C$13</definedName>
    <definedName name="All_Questions_Q_GRID_FORMAT_F_V">'All Questions'!$E$13</definedName>
    <definedName name="All_Questions_Q_GRID_FORMAT_F_resolved_column">'All Questions'!$F$13</definedName>
    <definedName name="All_Questions_Q_GRID_FORMAT_F_wrapped">'All Questions'!$G$13</definedName>
    <definedName name="All_Questions_Q_GRID_FORMAT_F_passes_per_q_filter_data">'_RawData'!$J$2:$J$81</definedName>
    <definedName name="All_Questions_Q_GRID_FORMAT_CT">'All Questions'!$C$14</definedName>
  </definedNames>
  <calcPr calcId="124519" fullCalcOnLoad="1"/>
</workbook>
</file>

<file path=xl/calcChain.xml><?xml version="1.0" encoding="utf-8"?>
<calcChain xmlns="http://schemas.openxmlformats.org/spreadsheetml/2006/main">
  <c r="E2" i="1"/>
  <c r="F2" i="1"/>
  <c r="G2" i="1"/>
  <c r="H2" i="1"/>
  <c r="I2" i="1"/>
  <c r="J2" i="1"/>
  <c r="E3" i="1"/>
  <c r="F3" i="1"/>
  <c r="G3" i="1"/>
  <c r="H3" i="1"/>
  <c r="I3" i="1"/>
  <c r="J3" i="1"/>
  <c r="E4" i="1"/>
  <c r="F4" i="1"/>
  <c r="G4" i="1"/>
  <c r="H4" i="1"/>
  <c r="I4" i="1"/>
  <c r="J4" i="1"/>
  <c r="E5" i="1"/>
  <c r="F5" i="1"/>
  <c r="G5" i="1"/>
  <c r="H5" i="1"/>
  <c r="I5" i="1"/>
  <c r="J5" i="1"/>
  <c r="E6" i="1"/>
  <c r="F6" i="1"/>
  <c r="G6" i="1"/>
  <c r="H6" i="1"/>
  <c r="I6" i="1"/>
  <c r="J6" i="1"/>
  <c r="E7" i="1"/>
  <c r="F7" i="1"/>
  <c r="G7" i="1"/>
  <c r="H7" i="1"/>
  <c r="I7" i="1"/>
  <c r="J7" i="1"/>
  <c r="E8" i="1"/>
  <c r="F8" i="1"/>
  <c r="G8" i="1"/>
  <c r="H8" i="1"/>
  <c r="I8" i="1"/>
  <c r="J8" i="1"/>
  <c r="E9" i="1"/>
  <c r="F9" i="1"/>
  <c r="G9" i="1"/>
  <c r="H9" i="1"/>
  <c r="I9" i="1"/>
  <c r="J9" i="1"/>
  <c r="E10" i="1"/>
  <c r="F10" i="1"/>
  <c r="G10" i="1"/>
  <c r="H10" i="1"/>
  <c r="I10" i="1"/>
  <c r="J10" i="1"/>
  <c r="E11" i="1"/>
  <c r="F11" i="1"/>
  <c r="G11" i="1"/>
  <c r="H11" i="1"/>
  <c r="I11" i="1"/>
  <c r="J11" i="1"/>
  <c r="E12" i="1"/>
  <c r="F12" i="1"/>
  <c r="G12" i="1"/>
  <c r="H12" i="1"/>
  <c r="I12" i="1"/>
  <c r="J12" i="1"/>
  <c r="E13" i="1"/>
  <c r="F13" i="1"/>
  <c r="G13" i="1"/>
  <c r="H13" i="1"/>
  <c r="I13" i="1"/>
  <c r="J13" i="1"/>
  <c r="E14" i="1"/>
  <c r="F14" i="1"/>
  <c r="G14" i="1"/>
  <c r="H14" i="1"/>
  <c r="I14" i="1"/>
  <c r="J14" i="1"/>
  <c r="E15" i="1"/>
  <c r="F15" i="1"/>
  <c r="G15" i="1"/>
  <c r="H15" i="1"/>
  <c r="I15" i="1"/>
  <c r="J15" i="1"/>
  <c r="E16" i="1"/>
  <c r="F16" i="1"/>
  <c r="G16" i="1"/>
  <c r="H16" i="1"/>
  <c r="I16" i="1"/>
  <c r="J16" i="1"/>
  <c r="E17" i="1"/>
  <c r="F17" i="1"/>
  <c r="G17" i="1"/>
  <c r="H17" i="1"/>
  <c r="I17" i="1"/>
  <c r="J17" i="1"/>
  <c r="E18" i="1"/>
  <c r="F18" i="1"/>
  <c r="G18" i="1"/>
  <c r="H18" i="1"/>
  <c r="I18" i="1"/>
  <c r="J18" i="1"/>
  <c r="E19" i="1"/>
  <c r="F19" i="1"/>
  <c r="G19" i="1"/>
  <c r="H19" i="1"/>
  <c r="I19" i="1"/>
  <c r="J19" i="1"/>
  <c r="E20" i="1"/>
  <c r="F20" i="1"/>
  <c r="G20" i="1"/>
  <c r="H20" i="1"/>
  <c r="I20" i="1"/>
  <c r="J20" i="1"/>
  <c r="E21" i="1"/>
  <c r="F21" i="1"/>
  <c r="G21" i="1"/>
  <c r="H21" i="1"/>
  <c r="I21" i="1"/>
  <c r="J21" i="1"/>
  <c r="E22" i="1"/>
  <c r="F22" i="1"/>
  <c r="G22" i="1"/>
  <c r="H22" i="1"/>
  <c r="I22" i="1"/>
  <c r="J22" i="1"/>
  <c r="E23" i="1"/>
  <c r="F23" i="1"/>
  <c r="G23" i="1"/>
  <c r="H23" i="1"/>
  <c r="I23" i="1"/>
  <c r="J23" i="1"/>
  <c r="E24" i="1"/>
  <c r="F24" i="1"/>
  <c r="G24" i="1"/>
  <c r="H24" i="1"/>
  <c r="I24" i="1"/>
  <c r="J24" i="1"/>
  <c r="E25" i="1"/>
  <c r="F25" i="1"/>
  <c r="G25" i="1"/>
  <c r="H25" i="1"/>
  <c r="I25" i="1"/>
  <c r="J25" i="1"/>
  <c r="E26" i="1"/>
  <c r="F26" i="1"/>
  <c r="G26" i="1"/>
  <c r="H26" i="1"/>
  <c r="I26" i="1"/>
  <c r="J26" i="1"/>
  <c r="E27" i="1"/>
  <c r="F27" i="1"/>
  <c r="G27" i="1"/>
  <c r="H27" i="1"/>
  <c r="I27" i="1"/>
  <c r="J27" i="1"/>
  <c r="E28" i="1"/>
  <c r="F28" i="1"/>
  <c r="G28" i="1"/>
  <c r="H28" i="1"/>
  <c r="I28" i="1"/>
  <c r="J28" i="1"/>
  <c r="E29" i="1"/>
  <c r="F29" i="1"/>
  <c r="G29" i="1"/>
  <c r="H29" i="1"/>
  <c r="I29" i="1"/>
  <c r="J29" i="1"/>
  <c r="E30" i="1"/>
  <c r="F30" i="1"/>
  <c r="G30" i="1"/>
  <c r="H30" i="1"/>
  <c r="I30" i="1"/>
  <c r="J30" i="1"/>
  <c r="E31" i="1"/>
  <c r="F31" i="1"/>
  <c r="G31" i="1"/>
  <c r="H31" i="1"/>
  <c r="I31" i="1"/>
  <c r="J31" i="1"/>
  <c r="E32" i="1"/>
  <c r="F32" i="1"/>
  <c r="G32" i="1"/>
  <c r="H32" i="1"/>
  <c r="I32" i="1"/>
  <c r="J32" i="1"/>
  <c r="E33" i="1"/>
  <c r="F33" i="1"/>
  <c r="G33" i="1"/>
  <c r="H33" i="1"/>
  <c r="I33" i="1"/>
  <c r="J33" i="1"/>
  <c r="E34" i="1"/>
  <c r="F34" i="1"/>
  <c r="G34" i="1"/>
  <c r="H34" i="1"/>
  <c r="I34" i="1"/>
  <c r="J34" i="1"/>
  <c r="E35" i="1"/>
  <c r="F35" i="1"/>
  <c r="G35" i="1"/>
  <c r="H35" i="1"/>
  <c r="I35" i="1"/>
  <c r="J35" i="1"/>
  <c r="E36" i="1"/>
  <c r="F36" i="1"/>
  <c r="G36" i="1"/>
  <c r="H36" i="1"/>
  <c r="I36" i="1"/>
  <c r="J36" i="1"/>
  <c r="E37" i="1"/>
  <c r="F37" i="1"/>
  <c r="G37" i="1"/>
  <c r="H37" i="1"/>
  <c r="I37" i="1"/>
  <c r="J37" i="1"/>
  <c r="E38" i="1"/>
  <c r="F38" i="1"/>
  <c r="G38" i="1"/>
  <c r="H38" i="1"/>
  <c r="I38" i="1"/>
  <c r="J38" i="1"/>
  <c r="E39" i="1"/>
  <c r="F39" i="1"/>
  <c r="G39" i="1"/>
  <c r="H39" i="1"/>
  <c r="I39" i="1"/>
  <c r="J39" i="1"/>
  <c r="E40" i="1"/>
  <c r="F40" i="1"/>
  <c r="G40" i="1"/>
  <c r="H40" i="1"/>
  <c r="I40" i="1"/>
  <c r="J40" i="1"/>
  <c r="E41" i="1"/>
  <c r="F41" i="1"/>
  <c r="G41" i="1"/>
  <c r="H41" i="1"/>
  <c r="I41" i="1"/>
  <c r="J41" i="1"/>
  <c r="E42" i="1"/>
  <c r="F42" i="1"/>
  <c r="G42" i="1"/>
  <c r="H42" i="1"/>
  <c r="I42" i="1"/>
  <c r="J42" i="1"/>
  <c r="E43" i="1"/>
  <c r="F43" i="1"/>
  <c r="G43" i="1"/>
  <c r="H43" i="1"/>
  <c r="I43" i="1"/>
  <c r="J43" i="1"/>
  <c r="E44" i="1"/>
  <c r="F44" i="1"/>
  <c r="G44" i="1"/>
  <c r="H44" i="1"/>
  <c r="I44" i="1"/>
  <c r="J44" i="1"/>
  <c r="E45" i="1"/>
  <c r="F45" i="1"/>
  <c r="G45" i="1"/>
  <c r="H45" i="1"/>
  <c r="I45" i="1"/>
  <c r="J45" i="1"/>
  <c r="E46" i="1"/>
  <c r="F46" i="1"/>
  <c r="G46" i="1"/>
  <c r="H46" i="1"/>
  <c r="I46" i="1"/>
  <c r="J46" i="1"/>
  <c r="E47" i="1"/>
  <c r="F47" i="1"/>
  <c r="G47" i="1"/>
  <c r="H47" i="1"/>
  <c r="I47" i="1"/>
  <c r="J47" i="1"/>
  <c r="E48" i="1"/>
  <c r="F48" i="1"/>
  <c r="G48" i="1"/>
  <c r="H48" i="1"/>
  <c r="I48" i="1"/>
  <c r="J48" i="1"/>
  <c r="E49" i="1"/>
  <c r="F49" i="1"/>
  <c r="G49" i="1"/>
  <c r="H49" i="1"/>
  <c r="I49" i="1"/>
  <c r="J49" i="1"/>
  <c r="E50" i="1"/>
  <c r="F50" i="1"/>
  <c r="G50" i="1"/>
  <c r="H50" i="1"/>
  <c r="I50" i="1"/>
  <c r="J50" i="1"/>
  <c r="E51" i="1"/>
  <c r="F51" i="1"/>
  <c r="G51" i="1"/>
  <c r="H51" i="1"/>
  <c r="I51" i="1"/>
  <c r="J51" i="1"/>
  <c r="E52" i="1"/>
  <c r="F52" i="1"/>
  <c r="G52" i="1"/>
  <c r="H52" i="1"/>
  <c r="I52" i="1"/>
  <c r="J52" i="1"/>
  <c r="E53" i="1"/>
  <c r="F53" i="1"/>
  <c r="G53" i="1"/>
  <c r="H53" i="1"/>
  <c r="I53" i="1"/>
  <c r="J53" i="1"/>
  <c r="E54" i="1"/>
  <c r="F54" i="1"/>
  <c r="G54" i="1"/>
  <c r="H54" i="1"/>
  <c r="I54" i="1"/>
  <c r="J54" i="1"/>
  <c r="E55" i="1"/>
  <c r="F55" i="1"/>
  <c r="G55" i="1"/>
  <c r="H55" i="1"/>
  <c r="I55" i="1"/>
  <c r="J55" i="1"/>
  <c r="E56" i="1"/>
  <c r="F56" i="1"/>
  <c r="G56" i="1"/>
  <c r="H56" i="1"/>
  <c r="I56" i="1"/>
  <c r="J56" i="1"/>
  <c r="E57" i="1"/>
  <c r="F57" i="1"/>
  <c r="G57" i="1"/>
  <c r="H57" i="1"/>
  <c r="I57" i="1"/>
  <c r="J57" i="1"/>
  <c r="E58" i="1"/>
  <c r="F58" i="1"/>
  <c r="G58" i="1"/>
  <c r="H58" i="1"/>
  <c r="I58" i="1"/>
  <c r="J58" i="1"/>
  <c r="E59" i="1"/>
  <c r="F59" i="1"/>
  <c r="G59" i="1"/>
  <c r="H59" i="1"/>
  <c r="I59" i="1"/>
  <c r="J59" i="1"/>
  <c r="E60" i="1"/>
  <c r="F60" i="1"/>
  <c r="G60" i="1"/>
  <c r="H60" i="1"/>
  <c r="I60" i="1"/>
  <c r="J60" i="1"/>
  <c r="E61" i="1"/>
  <c r="F61" i="1"/>
  <c r="G61" i="1"/>
  <c r="H61" i="1"/>
  <c r="I61" i="1"/>
  <c r="J61" i="1"/>
  <c r="E62" i="1"/>
  <c r="F62" i="1"/>
  <c r="G62" i="1"/>
  <c r="H62" i="1"/>
  <c r="I62" i="1"/>
  <c r="J62" i="1"/>
  <c r="E63" i="1"/>
  <c r="F63" i="1"/>
  <c r="G63" i="1"/>
  <c r="H63" i="1"/>
  <c r="I63" i="1"/>
  <c r="J63" i="1"/>
  <c r="E64" i="1"/>
  <c r="F64" i="1"/>
  <c r="G64" i="1"/>
  <c r="H64" i="1"/>
  <c r="I64" i="1"/>
  <c r="J64" i="1"/>
  <c r="E65" i="1"/>
  <c r="F65" i="1"/>
  <c r="G65" i="1"/>
  <c r="H65" i="1"/>
  <c r="I65" i="1"/>
  <c r="J65" i="1"/>
  <c r="E66" i="1"/>
  <c r="F66" i="1"/>
  <c r="G66" i="1"/>
  <c r="H66" i="1"/>
  <c r="I66" i="1"/>
  <c r="J66" i="1"/>
  <c r="E67" i="1"/>
  <c r="F67" i="1"/>
  <c r="G67" i="1"/>
  <c r="H67" i="1"/>
  <c r="I67" i="1"/>
  <c r="J67" i="1"/>
  <c r="E68" i="1"/>
  <c r="F68" i="1"/>
  <c r="G68" i="1"/>
  <c r="H68" i="1"/>
  <c r="I68" i="1"/>
  <c r="J68" i="1"/>
  <c r="E69" i="1"/>
  <c r="F69" i="1"/>
  <c r="G69" i="1"/>
  <c r="H69" i="1"/>
  <c r="I69" i="1"/>
  <c r="J69" i="1"/>
  <c r="E70" i="1"/>
  <c r="F70" i="1"/>
  <c r="G70" i="1"/>
  <c r="H70" i="1"/>
  <c r="I70" i="1"/>
  <c r="J70" i="1"/>
  <c r="E71" i="1"/>
  <c r="F71" i="1"/>
  <c r="G71" i="1"/>
  <c r="H71" i="1"/>
  <c r="I71" i="1"/>
  <c r="J71" i="1"/>
  <c r="E72" i="1"/>
  <c r="F72" i="1"/>
  <c r="G72" i="1"/>
  <c r="H72" i="1"/>
  <c r="I72" i="1"/>
  <c r="J72" i="1"/>
  <c r="E73" i="1"/>
  <c r="F73" i="1"/>
  <c r="G73" i="1"/>
  <c r="H73" i="1"/>
  <c r="I73" i="1"/>
  <c r="J73" i="1"/>
  <c r="E74" i="1"/>
  <c r="F74" i="1"/>
  <c r="G74" i="1"/>
  <c r="H74" i="1"/>
  <c r="I74" i="1"/>
  <c r="J74" i="1"/>
  <c r="E75" i="1"/>
  <c r="F75" i="1"/>
  <c r="G75" i="1"/>
  <c r="H75" i="1"/>
  <c r="I75" i="1"/>
  <c r="J75" i="1"/>
  <c r="E76" i="1"/>
  <c r="F76" i="1"/>
  <c r="G76" i="1"/>
  <c r="H76" i="1"/>
  <c r="I76" i="1"/>
  <c r="J76" i="1"/>
  <c r="E77" i="1"/>
  <c r="F77" i="1"/>
  <c r="G77" i="1"/>
  <c r="H77" i="1"/>
  <c r="I77" i="1"/>
  <c r="J77" i="1"/>
  <c r="E78" i="1"/>
  <c r="F78" i="1"/>
  <c r="G78" i="1"/>
  <c r="H78" i="1"/>
  <c r="I78" i="1"/>
  <c r="J78" i="1"/>
  <c r="E79" i="1"/>
  <c r="F79" i="1"/>
  <c r="G79" i="1"/>
  <c r="H79" i="1"/>
  <c r="I79" i="1"/>
  <c r="J79" i="1"/>
  <c r="E80" i="1"/>
  <c r="F80" i="1"/>
  <c r="G80" i="1"/>
  <c r="H80" i="1"/>
  <c r="I80" i="1"/>
  <c r="J80" i="1"/>
  <c r="E81" i="1"/>
  <c r="F81" i="1"/>
  <c r="G81" i="1"/>
  <c r="H81" i="1"/>
  <c r="I81" i="1"/>
  <c r="J8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20" headerRowCount="1">
  <autoFilter ref="A16:D2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8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r1</t>
        </is>
      </c>
      <c r="C1" t="inlineStr">
        <is>
          <t>r2</t>
        </is>
      </c>
      <c r="D1" t="inlineStr">
        <is>
          <t>r3</t>
        </is>
      </c>
      <c r="E1" t="inlineStr">
        <is>
          <t>passes_workbook_filters</t>
        </is>
      </c>
      <c r="F1" t="inlineStr">
        <is>
          <t>F_Custom1_match</t>
        </is>
      </c>
      <c r="G1" t="inlineStr">
        <is>
          <t>F_Custom2_match</t>
        </is>
      </c>
      <c r="H1" t="inlineStr">
        <is>
          <t>passes_workbook_custom_filters</t>
        </is>
      </c>
      <c r="I1" t="inlineStr">
        <is>
          <t>All_Questions_passes_local_filters</t>
        </is>
      </c>
      <c r="J1" t="inlineStr">
        <is>
          <t>All_Questions_Q_GRID_FORMAT_F_passes_per_q_filter</t>
        </is>
      </c>
    </row>
    <row r="2">
      <c r="A2" t="n">
        <v>1</v>
      </c>
      <c r="B2" t="inlineStr">
        <is>
          <t>Selected</t>
        </is>
      </c>
      <c r="C2" t="inlineStr">
        <is>
          <t>Selected</t>
        </is>
      </c>
      <c r="E2">
        <f>1</f>
        <v>1</v>
      </c>
      <c r="F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G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H2">
        <f>F2*G2*1</f>
        <v>1</v>
      </c>
      <c r="I2">
        <f>1</f>
        <v>1</v>
      </c>
      <c r="J2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1)&amp;"|",All_Questions_Q_GRID_FORMAT_F_wrapped)),1,0),0))</f>
        <v>1</v>
      </c>
    </row>
    <row r="3">
      <c r="A3" t="n">
        <v>2</v>
      </c>
      <c r="B3" t="inlineStr">
        <is>
          <t>Selected</t>
        </is>
      </c>
      <c r="C3" t="inlineStr">
        <is>
          <t>Selected</t>
        </is>
      </c>
      <c r="E3">
        <f>1</f>
        <v>1</v>
      </c>
      <c r="F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G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H3">
        <f>F3*G3*1</f>
        <v>1</v>
      </c>
      <c r="I3">
        <f>1</f>
        <v>1</v>
      </c>
      <c r="J3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2)&amp;"|",All_Questions_Q_GRID_FORMAT_F_wrapped)),1,0),0))</f>
        <v>1</v>
      </c>
    </row>
    <row r="4">
      <c r="A4" t="n">
        <v>3</v>
      </c>
      <c r="B4" t="inlineStr">
        <is>
          <t>Selected</t>
        </is>
      </c>
      <c r="C4" t="inlineStr">
        <is>
          <t>Selected</t>
        </is>
      </c>
      <c r="E4">
        <f>1</f>
        <v>1</v>
      </c>
      <c r="F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G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H4">
        <f>F4*G4*1</f>
        <v>1</v>
      </c>
      <c r="I4">
        <f>1</f>
        <v>1</v>
      </c>
      <c r="J4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3)&amp;"|",All_Questions_Q_GRID_FORMAT_F_wrapped)),1,0),0))</f>
        <v>1</v>
      </c>
    </row>
    <row r="5">
      <c r="A5" t="n">
        <v>4</v>
      </c>
      <c r="B5" t="inlineStr">
        <is>
          <t>Selected</t>
        </is>
      </c>
      <c r="C5" t="inlineStr">
        <is>
          <t>Selected</t>
        </is>
      </c>
      <c r="E5">
        <f>1</f>
        <v>1</v>
      </c>
      <c r="F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G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H5">
        <f>F5*G5*1</f>
        <v>1</v>
      </c>
      <c r="I5">
        <f>1</f>
        <v>1</v>
      </c>
      <c r="J5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4)&amp;"|",All_Questions_Q_GRID_FORMAT_F_wrapped)),1,0),0))</f>
        <v>1</v>
      </c>
    </row>
    <row r="6">
      <c r="A6" t="n">
        <v>5</v>
      </c>
      <c r="B6" t="inlineStr">
        <is>
          <t>Selected</t>
        </is>
      </c>
      <c r="C6" t="inlineStr">
        <is>
          <t>Selected</t>
        </is>
      </c>
      <c r="E6">
        <f>1</f>
        <v>1</v>
      </c>
      <c r="F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G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H6">
        <f>F6*G6*1</f>
        <v>1</v>
      </c>
      <c r="I6">
        <f>1</f>
        <v>1</v>
      </c>
      <c r="J6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5)&amp;"|",All_Questions_Q_GRID_FORMAT_F_wrapped)),1,0),0))</f>
        <v>1</v>
      </c>
    </row>
    <row r="7">
      <c r="A7" t="n">
        <v>6</v>
      </c>
      <c r="B7" t="inlineStr">
        <is>
          <t>Selected</t>
        </is>
      </c>
      <c r="C7" t="inlineStr">
        <is>
          <t>Selected</t>
        </is>
      </c>
      <c r="E7">
        <f>1</f>
        <v>1</v>
      </c>
      <c r="F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G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H7">
        <f>F7*G7*1</f>
        <v>1</v>
      </c>
      <c r="I7">
        <f>1</f>
        <v>1</v>
      </c>
      <c r="J7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6)&amp;"|",All_Questions_Q_GRID_FORMAT_F_wrapped)),1,0),0))</f>
        <v>1</v>
      </c>
    </row>
    <row r="8">
      <c r="A8" t="n">
        <v>7</v>
      </c>
      <c r="B8" t="inlineStr">
        <is>
          <t>Selected</t>
        </is>
      </c>
      <c r="C8" t="inlineStr">
        <is>
          <t>Selected</t>
        </is>
      </c>
      <c r="E8">
        <f>1</f>
        <v>1</v>
      </c>
      <c r="F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G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H8">
        <f>F8*G8*1</f>
        <v>1</v>
      </c>
      <c r="I8">
        <f>1</f>
        <v>1</v>
      </c>
      <c r="J8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7)&amp;"|",All_Questions_Q_GRID_FORMAT_F_wrapped)),1,0),0))</f>
        <v>1</v>
      </c>
    </row>
    <row r="9">
      <c r="A9" t="n">
        <v>8</v>
      </c>
      <c r="B9" t="inlineStr">
        <is>
          <t>Selected</t>
        </is>
      </c>
      <c r="C9" t="inlineStr">
        <is>
          <t>Selected</t>
        </is>
      </c>
      <c r="E9">
        <f>1</f>
        <v>1</v>
      </c>
      <c r="F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G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H9">
        <f>F9*G9*1</f>
        <v>1</v>
      </c>
      <c r="I9">
        <f>1</f>
        <v>1</v>
      </c>
      <c r="J9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8)&amp;"|",All_Questions_Q_GRID_FORMAT_F_wrapped)),1,0),0))</f>
        <v>1</v>
      </c>
    </row>
    <row r="10">
      <c r="A10" t="n">
        <v>9</v>
      </c>
      <c r="B10" t="inlineStr">
        <is>
          <t>Selected</t>
        </is>
      </c>
      <c r="C10" t="inlineStr">
        <is>
          <t>Selected</t>
        </is>
      </c>
      <c r="E10">
        <f>1</f>
        <v>1</v>
      </c>
      <c r="F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G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H10">
        <f>F10*G10*1</f>
        <v>1</v>
      </c>
      <c r="I10">
        <f>1</f>
        <v>1</v>
      </c>
      <c r="J10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9)&amp;"|",All_Questions_Q_GRID_FORMAT_F_wrapped)),1,0),0))</f>
        <v>1</v>
      </c>
    </row>
    <row r="11">
      <c r="A11" t="n">
        <v>10</v>
      </c>
      <c r="B11" t="inlineStr">
        <is>
          <t>Selected</t>
        </is>
      </c>
      <c r="C11" t="inlineStr">
        <is>
          <t>Selected</t>
        </is>
      </c>
      <c r="E11">
        <f>1</f>
        <v>1</v>
      </c>
      <c r="F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G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H11">
        <f>F11*G11*1</f>
        <v>1</v>
      </c>
      <c r="I11">
        <f>1</f>
        <v>1</v>
      </c>
      <c r="J11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10)&amp;"|",All_Questions_Q_GRID_FORMAT_F_wrapped)),1,0),0))</f>
        <v>1</v>
      </c>
    </row>
    <row r="12">
      <c r="A12" t="n">
        <v>11</v>
      </c>
      <c r="B12" t="inlineStr">
        <is>
          <t>Selected</t>
        </is>
      </c>
      <c r="C12" t="inlineStr">
        <is>
          <t>Selected</t>
        </is>
      </c>
      <c r="E12">
        <f>1</f>
        <v>1</v>
      </c>
      <c r="F12">
        <f>IF(OR(F_Custom1_Q="(None)",F_Custom1_Q="",ISBLANK(F_Custom1_Q),F_Custom1_V="(All)",F_Custom1_V="",ISBLANK(F_Custom1_V)),1,IFERROR(IF(ISNUMBER(SEARCH("|"&amp;INDEX(INDIRECT(F_Custom1_resolved_column),11)&amp;"|",F_Custom1_wrapped)),1,0),0))</f>
        <v>1</v>
      </c>
      <c r="G12">
        <f>IF(OR(F_Custom2_Q="(None)",F_Custom2_Q="",ISBLANK(F_Custom2_Q),F_Custom2_V="(All)",F_Custom2_V="",ISBLANK(F_Custom2_V)),1,IFERROR(IF(ISNUMBER(SEARCH("|"&amp;INDEX(INDIRECT(F_Custom2_resolved_column),11)&amp;"|",F_Custom2_wrapped)),1,0),0))</f>
        <v>1</v>
      </c>
      <c r="H12">
        <f>F12*G12*1</f>
        <v>1</v>
      </c>
      <c r="I12">
        <f>1</f>
        <v>1</v>
      </c>
      <c r="J12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11)&amp;"|",All_Questions_Q_GRID_FORMAT_F_wrapped)),1,0),0))</f>
        <v>1</v>
      </c>
    </row>
    <row r="13">
      <c r="A13" t="n">
        <v>12</v>
      </c>
      <c r="B13" t="inlineStr">
        <is>
          <t>Selected</t>
        </is>
      </c>
      <c r="C13" t="inlineStr">
        <is>
          <t>Selected</t>
        </is>
      </c>
      <c r="E13">
        <f>1</f>
        <v>1</v>
      </c>
      <c r="F13">
        <f>IF(OR(F_Custom1_Q="(None)",F_Custom1_Q="",ISBLANK(F_Custom1_Q),F_Custom1_V="(All)",F_Custom1_V="",ISBLANK(F_Custom1_V)),1,IFERROR(IF(ISNUMBER(SEARCH("|"&amp;INDEX(INDIRECT(F_Custom1_resolved_column),12)&amp;"|",F_Custom1_wrapped)),1,0),0))</f>
        <v>1</v>
      </c>
      <c r="G13">
        <f>IF(OR(F_Custom2_Q="(None)",F_Custom2_Q="",ISBLANK(F_Custom2_Q),F_Custom2_V="(All)",F_Custom2_V="",ISBLANK(F_Custom2_V)),1,IFERROR(IF(ISNUMBER(SEARCH("|"&amp;INDEX(INDIRECT(F_Custom2_resolved_column),12)&amp;"|",F_Custom2_wrapped)),1,0),0))</f>
        <v>1</v>
      </c>
      <c r="H13">
        <f>F13*G13*1</f>
        <v>1</v>
      </c>
      <c r="I13">
        <f>1</f>
        <v>1</v>
      </c>
      <c r="J13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12)&amp;"|",All_Questions_Q_GRID_FORMAT_F_wrapped)),1,0),0))</f>
        <v>1</v>
      </c>
    </row>
    <row r="14">
      <c r="A14" t="n">
        <v>13</v>
      </c>
      <c r="B14" t="inlineStr">
        <is>
          <t>Selected</t>
        </is>
      </c>
      <c r="C14" t="inlineStr">
        <is>
          <t>Selected</t>
        </is>
      </c>
      <c r="E14">
        <f>1</f>
        <v>1</v>
      </c>
      <c r="F14">
        <f>IF(OR(F_Custom1_Q="(None)",F_Custom1_Q="",ISBLANK(F_Custom1_Q),F_Custom1_V="(All)",F_Custom1_V="",ISBLANK(F_Custom1_V)),1,IFERROR(IF(ISNUMBER(SEARCH("|"&amp;INDEX(INDIRECT(F_Custom1_resolved_column),13)&amp;"|",F_Custom1_wrapped)),1,0),0))</f>
        <v>1</v>
      </c>
      <c r="G14">
        <f>IF(OR(F_Custom2_Q="(None)",F_Custom2_Q="",ISBLANK(F_Custom2_Q),F_Custom2_V="(All)",F_Custom2_V="",ISBLANK(F_Custom2_V)),1,IFERROR(IF(ISNUMBER(SEARCH("|"&amp;INDEX(INDIRECT(F_Custom2_resolved_column),13)&amp;"|",F_Custom2_wrapped)),1,0),0))</f>
        <v>1</v>
      </c>
      <c r="H14">
        <f>F14*G14*1</f>
        <v>1</v>
      </c>
      <c r="I14">
        <f>1</f>
        <v>1</v>
      </c>
      <c r="J14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13)&amp;"|",All_Questions_Q_GRID_FORMAT_F_wrapped)),1,0),0))</f>
        <v>1</v>
      </c>
    </row>
    <row r="15">
      <c r="A15" t="n">
        <v>14</v>
      </c>
      <c r="B15" t="inlineStr">
        <is>
          <t>Selected</t>
        </is>
      </c>
      <c r="C15" t="inlineStr">
        <is>
          <t>Selected</t>
        </is>
      </c>
      <c r="E15">
        <f>1</f>
        <v>1</v>
      </c>
      <c r="F15">
        <f>IF(OR(F_Custom1_Q="(None)",F_Custom1_Q="",ISBLANK(F_Custom1_Q),F_Custom1_V="(All)",F_Custom1_V="",ISBLANK(F_Custom1_V)),1,IFERROR(IF(ISNUMBER(SEARCH("|"&amp;INDEX(INDIRECT(F_Custom1_resolved_column),14)&amp;"|",F_Custom1_wrapped)),1,0),0))</f>
        <v>1</v>
      </c>
      <c r="G15">
        <f>IF(OR(F_Custom2_Q="(None)",F_Custom2_Q="",ISBLANK(F_Custom2_Q),F_Custom2_V="(All)",F_Custom2_V="",ISBLANK(F_Custom2_V)),1,IFERROR(IF(ISNUMBER(SEARCH("|"&amp;INDEX(INDIRECT(F_Custom2_resolved_column),14)&amp;"|",F_Custom2_wrapped)),1,0),0))</f>
        <v>1</v>
      </c>
      <c r="H15">
        <f>F15*G15*1</f>
        <v>1</v>
      </c>
      <c r="I15">
        <f>1</f>
        <v>1</v>
      </c>
      <c r="J15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14)&amp;"|",All_Questions_Q_GRID_FORMAT_F_wrapped)),1,0),0))</f>
        <v>1</v>
      </c>
    </row>
    <row r="16">
      <c r="A16" t="n">
        <v>15</v>
      </c>
      <c r="B16" t="inlineStr">
        <is>
          <t>Selected</t>
        </is>
      </c>
      <c r="C16" t="inlineStr">
        <is>
          <t>Selected</t>
        </is>
      </c>
      <c r="E16">
        <f>1</f>
        <v>1</v>
      </c>
      <c r="F16">
        <f>IF(OR(F_Custom1_Q="(None)",F_Custom1_Q="",ISBLANK(F_Custom1_Q),F_Custom1_V="(All)",F_Custom1_V="",ISBLANK(F_Custom1_V)),1,IFERROR(IF(ISNUMBER(SEARCH("|"&amp;INDEX(INDIRECT(F_Custom1_resolved_column),15)&amp;"|",F_Custom1_wrapped)),1,0),0))</f>
        <v>1</v>
      </c>
      <c r="G16">
        <f>IF(OR(F_Custom2_Q="(None)",F_Custom2_Q="",ISBLANK(F_Custom2_Q),F_Custom2_V="(All)",F_Custom2_V="",ISBLANK(F_Custom2_V)),1,IFERROR(IF(ISNUMBER(SEARCH("|"&amp;INDEX(INDIRECT(F_Custom2_resolved_column),15)&amp;"|",F_Custom2_wrapped)),1,0),0))</f>
        <v>1</v>
      </c>
      <c r="H16">
        <f>F16*G16*1</f>
        <v>1</v>
      </c>
      <c r="I16">
        <f>1</f>
        <v>1</v>
      </c>
      <c r="J16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15)&amp;"|",All_Questions_Q_GRID_FORMAT_F_wrapped)),1,0),0))</f>
        <v>1</v>
      </c>
    </row>
    <row r="17">
      <c r="A17" t="n">
        <v>16</v>
      </c>
      <c r="B17" t="inlineStr">
        <is>
          <t>Selected</t>
        </is>
      </c>
      <c r="C17" t="inlineStr">
        <is>
          <t>Selected</t>
        </is>
      </c>
      <c r="E17">
        <f>1</f>
        <v>1</v>
      </c>
      <c r="F17">
        <f>IF(OR(F_Custom1_Q="(None)",F_Custom1_Q="",ISBLANK(F_Custom1_Q),F_Custom1_V="(All)",F_Custom1_V="",ISBLANK(F_Custom1_V)),1,IFERROR(IF(ISNUMBER(SEARCH("|"&amp;INDEX(INDIRECT(F_Custom1_resolved_column),16)&amp;"|",F_Custom1_wrapped)),1,0),0))</f>
        <v>1</v>
      </c>
      <c r="G17">
        <f>IF(OR(F_Custom2_Q="(None)",F_Custom2_Q="",ISBLANK(F_Custom2_Q),F_Custom2_V="(All)",F_Custom2_V="",ISBLANK(F_Custom2_V)),1,IFERROR(IF(ISNUMBER(SEARCH("|"&amp;INDEX(INDIRECT(F_Custom2_resolved_column),16)&amp;"|",F_Custom2_wrapped)),1,0),0))</f>
        <v>1</v>
      </c>
      <c r="H17">
        <f>F17*G17*1</f>
        <v>1</v>
      </c>
      <c r="I17">
        <f>1</f>
        <v>1</v>
      </c>
      <c r="J17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16)&amp;"|",All_Questions_Q_GRID_FORMAT_F_wrapped)),1,0),0))</f>
        <v>1</v>
      </c>
    </row>
    <row r="18">
      <c r="A18" t="n">
        <v>17</v>
      </c>
      <c r="B18" t="inlineStr">
        <is>
          <t>Selected</t>
        </is>
      </c>
      <c r="C18" t="inlineStr">
        <is>
          <t>Selected</t>
        </is>
      </c>
      <c r="E18">
        <f>1</f>
        <v>1</v>
      </c>
      <c r="F18">
        <f>IF(OR(F_Custom1_Q="(None)",F_Custom1_Q="",ISBLANK(F_Custom1_Q),F_Custom1_V="(All)",F_Custom1_V="",ISBLANK(F_Custom1_V)),1,IFERROR(IF(ISNUMBER(SEARCH("|"&amp;INDEX(INDIRECT(F_Custom1_resolved_column),17)&amp;"|",F_Custom1_wrapped)),1,0),0))</f>
        <v>1</v>
      </c>
      <c r="G18">
        <f>IF(OR(F_Custom2_Q="(None)",F_Custom2_Q="",ISBLANK(F_Custom2_Q),F_Custom2_V="(All)",F_Custom2_V="",ISBLANK(F_Custom2_V)),1,IFERROR(IF(ISNUMBER(SEARCH("|"&amp;INDEX(INDIRECT(F_Custom2_resolved_column),17)&amp;"|",F_Custom2_wrapped)),1,0),0))</f>
        <v>1</v>
      </c>
      <c r="H18">
        <f>F18*G18*1</f>
        <v>1</v>
      </c>
      <c r="I18">
        <f>1</f>
        <v>1</v>
      </c>
      <c r="J18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17)&amp;"|",All_Questions_Q_GRID_FORMAT_F_wrapped)),1,0),0))</f>
        <v>1</v>
      </c>
    </row>
    <row r="19">
      <c r="A19" t="n">
        <v>18</v>
      </c>
      <c r="B19" t="inlineStr">
        <is>
          <t>Selected</t>
        </is>
      </c>
      <c r="C19" t="inlineStr">
        <is>
          <t>Selected</t>
        </is>
      </c>
      <c r="E19">
        <f>1</f>
        <v>1</v>
      </c>
      <c r="F19">
        <f>IF(OR(F_Custom1_Q="(None)",F_Custom1_Q="",ISBLANK(F_Custom1_Q),F_Custom1_V="(All)",F_Custom1_V="",ISBLANK(F_Custom1_V)),1,IFERROR(IF(ISNUMBER(SEARCH("|"&amp;INDEX(INDIRECT(F_Custom1_resolved_column),18)&amp;"|",F_Custom1_wrapped)),1,0),0))</f>
        <v>1</v>
      </c>
      <c r="G19">
        <f>IF(OR(F_Custom2_Q="(None)",F_Custom2_Q="",ISBLANK(F_Custom2_Q),F_Custom2_V="(All)",F_Custom2_V="",ISBLANK(F_Custom2_V)),1,IFERROR(IF(ISNUMBER(SEARCH("|"&amp;INDEX(INDIRECT(F_Custom2_resolved_column),18)&amp;"|",F_Custom2_wrapped)),1,0),0))</f>
        <v>1</v>
      </c>
      <c r="H19">
        <f>F19*G19*1</f>
        <v>1</v>
      </c>
      <c r="I19">
        <f>1</f>
        <v>1</v>
      </c>
      <c r="J19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18)&amp;"|",All_Questions_Q_GRID_FORMAT_F_wrapped)),1,0),0))</f>
        <v>1</v>
      </c>
    </row>
    <row r="20">
      <c r="A20" t="n">
        <v>19</v>
      </c>
      <c r="B20" t="inlineStr">
        <is>
          <t>Selected</t>
        </is>
      </c>
      <c r="C20" t="inlineStr">
        <is>
          <t>Selected</t>
        </is>
      </c>
      <c r="E20">
        <f>1</f>
        <v>1</v>
      </c>
      <c r="F20">
        <f>IF(OR(F_Custom1_Q="(None)",F_Custom1_Q="",ISBLANK(F_Custom1_Q),F_Custom1_V="(All)",F_Custom1_V="",ISBLANK(F_Custom1_V)),1,IFERROR(IF(ISNUMBER(SEARCH("|"&amp;INDEX(INDIRECT(F_Custom1_resolved_column),19)&amp;"|",F_Custom1_wrapped)),1,0),0))</f>
        <v>1</v>
      </c>
      <c r="G20">
        <f>IF(OR(F_Custom2_Q="(None)",F_Custom2_Q="",ISBLANK(F_Custom2_Q),F_Custom2_V="(All)",F_Custom2_V="",ISBLANK(F_Custom2_V)),1,IFERROR(IF(ISNUMBER(SEARCH("|"&amp;INDEX(INDIRECT(F_Custom2_resolved_column),19)&amp;"|",F_Custom2_wrapped)),1,0),0))</f>
        <v>1</v>
      </c>
      <c r="H20">
        <f>F20*G20*1</f>
        <v>1</v>
      </c>
      <c r="I20">
        <f>1</f>
        <v>1</v>
      </c>
      <c r="J20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19)&amp;"|",All_Questions_Q_GRID_FORMAT_F_wrapped)),1,0),0))</f>
        <v>1</v>
      </c>
    </row>
    <row r="21">
      <c r="A21" t="n">
        <v>20</v>
      </c>
      <c r="B21" t="inlineStr">
        <is>
          <t>Selected</t>
        </is>
      </c>
      <c r="C21" t="inlineStr">
        <is>
          <t>Selected</t>
        </is>
      </c>
      <c r="E21">
        <f>1</f>
        <v>1</v>
      </c>
      <c r="F21">
        <f>IF(OR(F_Custom1_Q="(None)",F_Custom1_Q="",ISBLANK(F_Custom1_Q),F_Custom1_V="(All)",F_Custom1_V="",ISBLANK(F_Custom1_V)),1,IFERROR(IF(ISNUMBER(SEARCH("|"&amp;INDEX(INDIRECT(F_Custom1_resolved_column),20)&amp;"|",F_Custom1_wrapped)),1,0),0))</f>
        <v>1</v>
      </c>
      <c r="G21">
        <f>IF(OR(F_Custom2_Q="(None)",F_Custom2_Q="",ISBLANK(F_Custom2_Q),F_Custom2_V="(All)",F_Custom2_V="",ISBLANK(F_Custom2_V)),1,IFERROR(IF(ISNUMBER(SEARCH("|"&amp;INDEX(INDIRECT(F_Custom2_resolved_column),20)&amp;"|",F_Custom2_wrapped)),1,0),0))</f>
        <v>1</v>
      </c>
      <c r="H21">
        <f>F21*G21*1</f>
        <v>1</v>
      </c>
      <c r="I21">
        <f>1</f>
        <v>1</v>
      </c>
      <c r="J21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20)&amp;"|",All_Questions_Q_GRID_FORMAT_F_wrapped)),1,0),0))</f>
        <v>1</v>
      </c>
    </row>
    <row r="22">
      <c r="A22" t="n">
        <v>21</v>
      </c>
      <c r="B22" t="inlineStr">
        <is>
          <t>Selected</t>
        </is>
      </c>
      <c r="C22" t="inlineStr">
        <is>
          <t>Selected</t>
        </is>
      </c>
      <c r="E22">
        <f>1</f>
        <v>1</v>
      </c>
      <c r="F22">
        <f>IF(OR(F_Custom1_Q="(None)",F_Custom1_Q="",ISBLANK(F_Custom1_Q),F_Custom1_V="(All)",F_Custom1_V="",ISBLANK(F_Custom1_V)),1,IFERROR(IF(ISNUMBER(SEARCH("|"&amp;INDEX(INDIRECT(F_Custom1_resolved_column),21)&amp;"|",F_Custom1_wrapped)),1,0),0))</f>
        <v>1</v>
      </c>
      <c r="G22">
        <f>IF(OR(F_Custom2_Q="(None)",F_Custom2_Q="",ISBLANK(F_Custom2_Q),F_Custom2_V="(All)",F_Custom2_V="",ISBLANK(F_Custom2_V)),1,IFERROR(IF(ISNUMBER(SEARCH("|"&amp;INDEX(INDIRECT(F_Custom2_resolved_column),21)&amp;"|",F_Custom2_wrapped)),1,0),0))</f>
        <v>1</v>
      </c>
      <c r="H22">
        <f>F22*G22*1</f>
        <v>1</v>
      </c>
      <c r="I22">
        <f>1</f>
        <v>1</v>
      </c>
      <c r="J22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21)&amp;"|",All_Questions_Q_GRID_FORMAT_F_wrapped)),1,0),0))</f>
        <v>1</v>
      </c>
    </row>
    <row r="23">
      <c r="A23" t="n">
        <v>22</v>
      </c>
      <c r="B23" t="inlineStr">
        <is>
          <t>Selected</t>
        </is>
      </c>
      <c r="C23" t="inlineStr">
        <is>
          <t>Selected</t>
        </is>
      </c>
      <c r="E23">
        <f>1</f>
        <v>1</v>
      </c>
      <c r="F23">
        <f>IF(OR(F_Custom1_Q="(None)",F_Custom1_Q="",ISBLANK(F_Custom1_Q),F_Custom1_V="(All)",F_Custom1_V="",ISBLANK(F_Custom1_V)),1,IFERROR(IF(ISNUMBER(SEARCH("|"&amp;INDEX(INDIRECT(F_Custom1_resolved_column),22)&amp;"|",F_Custom1_wrapped)),1,0),0))</f>
        <v>1</v>
      </c>
      <c r="G23">
        <f>IF(OR(F_Custom2_Q="(None)",F_Custom2_Q="",ISBLANK(F_Custom2_Q),F_Custom2_V="(All)",F_Custom2_V="",ISBLANK(F_Custom2_V)),1,IFERROR(IF(ISNUMBER(SEARCH("|"&amp;INDEX(INDIRECT(F_Custom2_resolved_column),22)&amp;"|",F_Custom2_wrapped)),1,0),0))</f>
        <v>1</v>
      </c>
      <c r="H23">
        <f>F23*G23*1</f>
        <v>1</v>
      </c>
      <c r="I23">
        <f>1</f>
        <v>1</v>
      </c>
      <c r="J23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22)&amp;"|",All_Questions_Q_GRID_FORMAT_F_wrapped)),1,0),0))</f>
        <v>1</v>
      </c>
    </row>
    <row r="24">
      <c r="A24" t="n">
        <v>23</v>
      </c>
      <c r="B24" t="inlineStr">
        <is>
          <t>Selected</t>
        </is>
      </c>
      <c r="C24" t="inlineStr">
        <is>
          <t>Selected</t>
        </is>
      </c>
      <c r="E24">
        <f>1</f>
        <v>1</v>
      </c>
      <c r="F24">
        <f>IF(OR(F_Custom1_Q="(None)",F_Custom1_Q="",ISBLANK(F_Custom1_Q),F_Custom1_V="(All)",F_Custom1_V="",ISBLANK(F_Custom1_V)),1,IFERROR(IF(ISNUMBER(SEARCH("|"&amp;INDEX(INDIRECT(F_Custom1_resolved_column),23)&amp;"|",F_Custom1_wrapped)),1,0),0))</f>
        <v>1</v>
      </c>
      <c r="G24">
        <f>IF(OR(F_Custom2_Q="(None)",F_Custom2_Q="",ISBLANK(F_Custom2_Q),F_Custom2_V="(All)",F_Custom2_V="",ISBLANK(F_Custom2_V)),1,IFERROR(IF(ISNUMBER(SEARCH("|"&amp;INDEX(INDIRECT(F_Custom2_resolved_column),23)&amp;"|",F_Custom2_wrapped)),1,0),0))</f>
        <v>1</v>
      </c>
      <c r="H24">
        <f>F24*G24*1</f>
        <v>1</v>
      </c>
      <c r="I24">
        <f>1</f>
        <v>1</v>
      </c>
      <c r="J24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23)&amp;"|",All_Questions_Q_GRID_FORMAT_F_wrapped)),1,0),0))</f>
        <v>1</v>
      </c>
    </row>
    <row r="25">
      <c r="A25" t="n">
        <v>24</v>
      </c>
      <c r="B25" t="inlineStr">
        <is>
          <t>Selected</t>
        </is>
      </c>
      <c r="C25" t="inlineStr">
        <is>
          <t>Selected</t>
        </is>
      </c>
      <c r="E25">
        <f>1</f>
        <v>1</v>
      </c>
      <c r="F25">
        <f>IF(OR(F_Custom1_Q="(None)",F_Custom1_Q="",ISBLANK(F_Custom1_Q),F_Custom1_V="(All)",F_Custom1_V="",ISBLANK(F_Custom1_V)),1,IFERROR(IF(ISNUMBER(SEARCH("|"&amp;INDEX(INDIRECT(F_Custom1_resolved_column),24)&amp;"|",F_Custom1_wrapped)),1,0),0))</f>
        <v>1</v>
      </c>
      <c r="G25">
        <f>IF(OR(F_Custom2_Q="(None)",F_Custom2_Q="",ISBLANK(F_Custom2_Q),F_Custom2_V="(All)",F_Custom2_V="",ISBLANK(F_Custom2_V)),1,IFERROR(IF(ISNUMBER(SEARCH("|"&amp;INDEX(INDIRECT(F_Custom2_resolved_column),24)&amp;"|",F_Custom2_wrapped)),1,0),0))</f>
        <v>1</v>
      </c>
      <c r="H25">
        <f>F25*G25*1</f>
        <v>1</v>
      </c>
      <c r="I25">
        <f>1</f>
        <v>1</v>
      </c>
      <c r="J25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24)&amp;"|",All_Questions_Q_GRID_FORMAT_F_wrapped)),1,0),0))</f>
        <v>1</v>
      </c>
    </row>
    <row r="26">
      <c r="A26" t="n">
        <v>25</v>
      </c>
      <c r="B26" t="inlineStr">
        <is>
          <t>Selected</t>
        </is>
      </c>
      <c r="C26" t="inlineStr">
        <is>
          <t>Selected</t>
        </is>
      </c>
      <c r="E26">
        <f>1</f>
        <v>1</v>
      </c>
      <c r="F26">
        <f>IF(OR(F_Custom1_Q="(None)",F_Custom1_Q="",ISBLANK(F_Custom1_Q),F_Custom1_V="(All)",F_Custom1_V="",ISBLANK(F_Custom1_V)),1,IFERROR(IF(ISNUMBER(SEARCH("|"&amp;INDEX(INDIRECT(F_Custom1_resolved_column),25)&amp;"|",F_Custom1_wrapped)),1,0),0))</f>
        <v>1</v>
      </c>
      <c r="G26">
        <f>IF(OR(F_Custom2_Q="(None)",F_Custom2_Q="",ISBLANK(F_Custom2_Q),F_Custom2_V="(All)",F_Custom2_V="",ISBLANK(F_Custom2_V)),1,IFERROR(IF(ISNUMBER(SEARCH("|"&amp;INDEX(INDIRECT(F_Custom2_resolved_column),25)&amp;"|",F_Custom2_wrapped)),1,0),0))</f>
        <v>1</v>
      </c>
      <c r="H26">
        <f>F26*G26*1</f>
        <v>1</v>
      </c>
      <c r="I26">
        <f>1</f>
        <v>1</v>
      </c>
      <c r="J26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25)&amp;"|",All_Questions_Q_GRID_FORMAT_F_wrapped)),1,0),0))</f>
        <v>1</v>
      </c>
    </row>
    <row r="27">
      <c r="A27" t="n">
        <v>26</v>
      </c>
      <c r="B27" t="inlineStr">
        <is>
          <t>Selected</t>
        </is>
      </c>
      <c r="C27" t="inlineStr">
        <is>
          <t>Selected</t>
        </is>
      </c>
      <c r="E27">
        <f>1</f>
        <v>1</v>
      </c>
      <c r="F27">
        <f>IF(OR(F_Custom1_Q="(None)",F_Custom1_Q="",ISBLANK(F_Custom1_Q),F_Custom1_V="(All)",F_Custom1_V="",ISBLANK(F_Custom1_V)),1,IFERROR(IF(ISNUMBER(SEARCH("|"&amp;INDEX(INDIRECT(F_Custom1_resolved_column),26)&amp;"|",F_Custom1_wrapped)),1,0),0))</f>
        <v>1</v>
      </c>
      <c r="G27">
        <f>IF(OR(F_Custom2_Q="(None)",F_Custom2_Q="",ISBLANK(F_Custom2_Q),F_Custom2_V="(All)",F_Custom2_V="",ISBLANK(F_Custom2_V)),1,IFERROR(IF(ISNUMBER(SEARCH("|"&amp;INDEX(INDIRECT(F_Custom2_resolved_column),26)&amp;"|",F_Custom2_wrapped)),1,0),0))</f>
        <v>1</v>
      </c>
      <c r="H27">
        <f>F27*G27*1</f>
        <v>1</v>
      </c>
      <c r="I27">
        <f>1</f>
        <v>1</v>
      </c>
      <c r="J27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26)&amp;"|",All_Questions_Q_GRID_FORMAT_F_wrapped)),1,0),0))</f>
        <v>1</v>
      </c>
    </row>
    <row r="28">
      <c r="A28" t="n">
        <v>27</v>
      </c>
      <c r="B28" t="inlineStr">
        <is>
          <t>Selected</t>
        </is>
      </c>
      <c r="C28" t="inlineStr">
        <is>
          <t>Selected</t>
        </is>
      </c>
      <c r="E28">
        <f>1</f>
        <v>1</v>
      </c>
      <c r="F28">
        <f>IF(OR(F_Custom1_Q="(None)",F_Custom1_Q="",ISBLANK(F_Custom1_Q),F_Custom1_V="(All)",F_Custom1_V="",ISBLANK(F_Custom1_V)),1,IFERROR(IF(ISNUMBER(SEARCH("|"&amp;INDEX(INDIRECT(F_Custom1_resolved_column),27)&amp;"|",F_Custom1_wrapped)),1,0),0))</f>
        <v>1</v>
      </c>
      <c r="G28">
        <f>IF(OR(F_Custom2_Q="(None)",F_Custom2_Q="",ISBLANK(F_Custom2_Q),F_Custom2_V="(All)",F_Custom2_V="",ISBLANK(F_Custom2_V)),1,IFERROR(IF(ISNUMBER(SEARCH("|"&amp;INDEX(INDIRECT(F_Custom2_resolved_column),27)&amp;"|",F_Custom2_wrapped)),1,0),0))</f>
        <v>1</v>
      </c>
      <c r="H28">
        <f>F28*G28*1</f>
        <v>1</v>
      </c>
      <c r="I28">
        <f>1</f>
        <v>1</v>
      </c>
      <c r="J28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27)&amp;"|",All_Questions_Q_GRID_FORMAT_F_wrapped)),1,0),0))</f>
        <v>1</v>
      </c>
    </row>
    <row r="29">
      <c r="A29" t="n">
        <v>28</v>
      </c>
      <c r="B29" t="inlineStr">
        <is>
          <t>Selected</t>
        </is>
      </c>
      <c r="C29" t="inlineStr">
        <is>
          <t>Selected</t>
        </is>
      </c>
      <c r="E29">
        <f>1</f>
        <v>1</v>
      </c>
      <c r="F29">
        <f>IF(OR(F_Custom1_Q="(None)",F_Custom1_Q="",ISBLANK(F_Custom1_Q),F_Custom1_V="(All)",F_Custom1_V="",ISBLANK(F_Custom1_V)),1,IFERROR(IF(ISNUMBER(SEARCH("|"&amp;INDEX(INDIRECT(F_Custom1_resolved_column),28)&amp;"|",F_Custom1_wrapped)),1,0),0))</f>
        <v>1</v>
      </c>
      <c r="G29">
        <f>IF(OR(F_Custom2_Q="(None)",F_Custom2_Q="",ISBLANK(F_Custom2_Q),F_Custom2_V="(All)",F_Custom2_V="",ISBLANK(F_Custom2_V)),1,IFERROR(IF(ISNUMBER(SEARCH("|"&amp;INDEX(INDIRECT(F_Custom2_resolved_column),28)&amp;"|",F_Custom2_wrapped)),1,0),0))</f>
        <v>1</v>
      </c>
      <c r="H29">
        <f>F29*G29*1</f>
        <v>1</v>
      </c>
      <c r="I29">
        <f>1</f>
        <v>1</v>
      </c>
      <c r="J29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28)&amp;"|",All_Questions_Q_GRID_FORMAT_F_wrapped)),1,0),0))</f>
        <v>1</v>
      </c>
    </row>
    <row r="30">
      <c r="A30" t="n">
        <v>29</v>
      </c>
      <c r="B30" t="inlineStr">
        <is>
          <t>Selected</t>
        </is>
      </c>
      <c r="C30" t="inlineStr">
        <is>
          <t>Selected</t>
        </is>
      </c>
      <c r="E30">
        <f>1</f>
        <v>1</v>
      </c>
      <c r="F30">
        <f>IF(OR(F_Custom1_Q="(None)",F_Custom1_Q="",ISBLANK(F_Custom1_Q),F_Custom1_V="(All)",F_Custom1_V="",ISBLANK(F_Custom1_V)),1,IFERROR(IF(ISNUMBER(SEARCH("|"&amp;INDEX(INDIRECT(F_Custom1_resolved_column),29)&amp;"|",F_Custom1_wrapped)),1,0),0))</f>
        <v>1</v>
      </c>
      <c r="G30">
        <f>IF(OR(F_Custom2_Q="(None)",F_Custom2_Q="",ISBLANK(F_Custom2_Q),F_Custom2_V="(All)",F_Custom2_V="",ISBLANK(F_Custom2_V)),1,IFERROR(IF(ISNUMBER(SEARCH("|"&amp;INDEX(INDIRECT(F_Custom2_resolved_column),29)&amp;"|",F_Custom2_wrapped)),1,0),0))</f>
        <v>1</v>
      </c>
      <c r="H30">
        <f>F30*G30*1</f>
        <v>1</v>
      </c>
      <c r="I30">
        <f>1</f>
        <v>1</v>
      </c>
      <c r="J30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29)&amp;"|",All_Questions_Q_GRID_FORMAT_F_wrapped)),1,0),0))</f>
        <v>1</v>
      </c>
    </row>
    <row r="31">
      <c r="A31" t="n">
        <v>30</v>
      </c>
      <c r="B31" t="inlineStr">
        <is>
          <t>Selected</t>
        </is>
      </c>
      <c r="C31" t="inlineStr">
        <is>
          <t>Selected</t>
        </is>
      </c>
      <c r="E31">
        <f>1</f>
        <v>1</v>
      </c>
      <c r="F31">
        <f>IF(OR(F_Custom1_Q="(None)",F_Custom1_Q="",ISBLANK(F_Custom1_Q),F_Custom1_V="(All)",F_Custom1_V="",ISBLANK(F_Custom1_V)),1,IFERROR(IF(ISNUMBER(SEARCH("|"&amp;INDEX(INDIRECT(F_Custom1_resolved_column),30)&amp;"|",F_Custom1_wrapped)),1,0),0))</f>
        <v>1</v>
      </c>
      <c r="G31">
        <f>IF(OR(F_Custom2_Q="(None)",F_Custom2_Q="",ISBLANK(F_Custom2_Q),F_Custom2_V="(All)",F_Custom2_V="",ISBLANK(F_Custom2_V)),1,IFERROR(IF(ISNUMBER(SEARCH("|"&amp;INDEX(INDIRECT(F_Custom2_resolved_column),30)&amp;"|",F_Custom2_wrapped)),1,0),0))</f>
        <v>1</v>
      </c>
      <c r="H31">
        <f>F31*G31*1</f>
        <v>1</v>
      </c>
      <c r="I31">
        <f>1</f>
        <v>1</v>
      </c>
      <c r="J31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30)&amp;"|",All_Questions_Q_GRID_FORMAT_F_wrapped)),1,0),0))</f>
        <v>1</v>
      </c>
    </row>
    <row r="32">
      <c r="A32" t="n">
        <v>31</v>
      </c>
      <c r="B32" t="inlineStr">
        <is>
          <t>Selected</t>
        </is>
      </c>
      <c r="E32">
        <f>1</f>
        <v>1</v>
      </c>
      <c r="F32">
        <f>IF(OR(F_Custom1_Q="(None)",F_Custom1_Q="",ISBLANK(F_Custom1_Q),F_Custom1_V="(All)",F_Custom1_V="",ISBLANK(F_Custom1_V)),1,IFERROR(IF(ISNUMBER(SEARCH("|"&amp;INDEX(INDIRECT(F_Custom1_resolved_column),31)&amp;"|",F_Custom1_wrapped)),1,0),0))</f>
        <v>1</v>
      </c>
      <c r="G32">
        <f>IF(OR(F_Custom2_Q="(None)",F_Custom2_Q="",ISBLANK(F_Custom2_Q),F_Custom2_V="(All)",F_Custom2_V="",ISBLANK(F_Custom2_V)),1,IFERROR(IF(ISNUMBER(SEARCH("|"&amp;INDEX(INDIRECT(F_Custom2_resolved_column),31)&amp;"|",F_Custom2_wrapped)),1,0),0))</f>
        <v>1</v>
      </c>
      <c r="H32">
        <f>F32*G32*1</f>
        <v>1</v>
      </c>
      <c r="I32">
        <f>1</f>
        <v>1</v>
      </c>
      <c r="J32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31)&amp;"|",All_Questions_Q_GRID_FORMAT_F_wrapped)),1,0),0))</f>
        <v>1</v>
      </c>
    </row>
    <row r="33">
      <c r="A33" t="n">
        <v>32</v>
      </c>
      <c r="B33" t="inlineStr">
        <is>
          <t>Selected</t>
        </is>
      </c>
      <c r="E33">
        <f>1</f>
        <v>1</v>
      </c>
      <c r="F33">
        <f>IF(OR(F_Custom1_Q="(None)",F_Custom1_Q="",ISBLANK(F_Custom1_Q),F_Custom1_V="(All)",F_Custom1_V="",ISBLANK(F_Custom1_V)),1,IFERROR(IF(ISNUMBER(SEARCH("|"&amp;INDEX(INDIRECT(F_Custom1_resolved_column),32)&amp;"|",F_Custom1_wrapped)),1,0),0))</f>
        <v>1</v>
      </c>
      <c r="G33">
        <f>IF(OR(F_Custom2_Q="(None)",F_Custom2_Q="",ISBLANK(F_Custom2_Q),F_Custom2_V="(All)",F_Custom2_V="",ISBLANK(F_Custom2_V)),1,IFERROR(IF(ISNUMBER(SEARCH("|"&amp;INDEX(INDIRECT(F_Custom2_resolved_column),32)&amp;"|",F_Custom2_wrapped)),1,0),0))</f>
        <v>1</v>
      </c>
      <c r="H33">
        <f>F33*G33*1</f>
        <v>1</v>
      </c>
      <c r="I33">
        <f>1</f>
        <v>1</v>
      </c>
      <c r="J33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32)&amp;"|",All_Questions_Q_GRID_FORMAT_F_wrapped)),1,0),0))</f>
        <v>1</v>
      </c>
    </row>
    <row r="34">
      <c r="A34" t="n">
        <v>33</v>
      </c>
      <c r="B34" t="inlineStr">
        <is>
          <t>Selected</t>
        </is>
      </c>
      <c r="E34">
        <f>1</f>
        <v>1</v>
      </c>
      <c r="F34">
        <f>IF(OR(F_Custom1_Q="(None)",F_Custom1_Q="",ISBLANK(F_Custom1_Q),F_Custom1_V="(All)",F_Custom1_V="",ISBLANK(F_Custom1_V)),1,IFERROR(IF(ISNUMBER(SEARCH("|"&amp;INDEX(INDIRECT(F_Custom1_resolved_column),33)&amp;"|",F_Custom1_wrapped)),1,0),0))</f>
        <v>1</v>
      </c>
      <c r="G34">
        <f>IF(OR(F_Custom2_Q="(None)",F_Custom2_Q="",ISBLANK(F_Custom2_Q),F_Custom2_V="(All)",F_Custom2_V="",ISBLANK(F_Custom2_V)),1,IFERROR(IF(ISNUMBER(SEARCH("|"&amp;INDEX(INDIRECT(F_Custom2_resolved_column),33)&amp;"|",F_Custom2_wrapped)),1,0),0))</f>
        <v>1</v>
      </c>
      <c r="H34">
        <f>F34*G34*1</f>
        <v>1</v>
      </c>
      <c r="I34">
        <f>1</f>
        <v>1</v>
      </c>
      <c r="J34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33)&amp;"|",All_Questions_Q_GRID_FORMAT_F_wrapped)),1,0),0))</f>
        <v>1</v>
      </c>
    </row>
    <row r="35">
      <c r="A35" t="n">
        <v>34</v>
      </c>
      <c r="B35" t="inlineStr">
        <is>
          <t>Selected</t>
        </is>
      </c>
      <c r="E35">
        <f>1</f>
        <v>1</v>
      </c>
      <c r="F35">
        <f>IF(OR(F_Custom1_Q="(None)",F_Custom1_Q="",ISBLANK(F_Custom1_Q),F_Custom1_V="(All)",F_Custom1_V="",ISBLANK(F_Custom1_V)),1,IFERROR(IF(ISNUMBER(SEARCH("|"&amp;INDEX(INDIRECT(F_Custom1_resolved_column),34)&amp;"|",F_Custom1_wrapped)),1,0),0))</f>
        <v>1</v>
      </c>
      <c r="G35">
        <f>IF(OR(F_Custom2_Q="(None)",F_Custom2_Q="",ISBLANK(F_Custom2_Q),F_Custom2_V="(All)",F_Custom2_V="",ISBLANK(F_Custom2_V)),1,IFERROR(IF(ISNUMBER(SEARCH("|"&amp;INDEX(INDIRECT(F_Custom2_resolved_column),34)&amp;"|",F_Custom2_wrapped)),1,0),0))</f>
        <v>1</v>
      </c>
      <c r="H35">
        <f>F35*G35*1</f>
        <v>1</v>
      </c>
      <c r="I35">
        <f>1</f>
        <v>1</v>
      </c>
      <c r="J35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34)&amp;"|",All_Questions_Q_GRID_FORMAT_F_wrapped)),1,0),0))</f>
        <v>1</v>
      </c>
    </row>
    <row r="36">
      <c r="A36" t="n">
        <v>35</v>
      </c>
      <c r="B36" t="inlineStr">
        <is>
          <t>Selected</t>
        </is>
      </c>
      <c r="E36">
        <f>1</f>
        <v>1</v>
      </c>
      <c r="F36">
        <f>IF(OR(F_Custom1_Q="(None)",F_Custom1_Q="",ISBLANK(F_Custom1_Q),F_Custom1_V="(All)",F_Custom1_V="",ISBLANK(F_Custom1_V)),1,IFERROR(IF(ISNUMBER(SEARCH("|"&amp;INDEX(INDIRECT(F_Custom1_resolved_column),35)&amp;"|",F_Custom1_wrapped)),1,0),0))</f>
        <v>1</v>
      </c>
      <c r="G36">
        <f>IF(OR(F_Custom2_Q="(None)",F_Custom2_Q="",ISBLANK(F_Custom2_Q),F_Custom2_V="(All)",F_Custom2_V="",ISBLANK(F_Custom2_V)),1,IFERROR(IF(ISNUMBER(SEARCH("|"&amp;INDEX(INDIRECT(F_Custom2_resolved_column),35)&amp;"|",F_Custom2_wrapped)),1,0),0))</f>
        <v>1</v>
      </c>
      <c r="H36">
        <f>F36*G36*1</f>
        <v>1</v>
      </c>
      <c r="I36">
        <f>1</f>
        <v>1</v>
      </c>
      <c r="J36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35)&amp;"|",All_Questions_Q_GRID_FORMAT_F_wrapped)),1,0),0))</f>
        <v>1</v>
      </c>
    </row>
    <row r="37">
      <c r="A37" t="n">
        <v>36</v>
      </c>
      <c r="B37" t="inlineStr">
        <is>
          <t>Selected</t>
        </is>
      </c>
      <c r="E37">
        <f>1</f>
        <v>1</v>
      </c>
      <c r="F37">
        <f>IF(OR(F_Custom1_Q="(None)",F_Custom1_Q="",ISBLANK(F_Custom1_Q),F_Custom1_V="(All)",F_Custom1_V="",ISBLANK(F_Custom1_V)),1,IFERROR(IF(ISNUMBER(SEARCH("|"&amp;INDEX(INDIRECT(F_Custom1_resolved_column),36)&amp;"|",F_Custom1_wrapped)),1,0),0))</f>
        <v>1</v>
      </c>
      <c r="G37">
        <f>IF(OR(F_Custom2_Q="(None)",F_Custom2_Q="",ISBLANK(F_Custom2_Q),F_Custom2_V="(All)",F_Custom2_V="",ISBLANK(F_Custom2_V)),1,IFERROR(IF(ISNUMBER(SEARCH("|"&amp;INDEX(INDIRECT(F_Custom2_resolved_column),36)&amp;"|",F_Custom2_wrapped)),1,0),0))</f>
        <v>1</v>
      </c>
      <c r="H37">
        <f>F37*G37*1</f>
        <v>1</v>
      </c>
      <c r="I37">
        <f>1</f>
        <v>1</v>
      </c>
      <c r="J37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36)&amp;"|",All_Questions_Q_GRID_FORMAT_F_wrapped)),1,0),0))</f>
        <v>1</v>
      </c>
    </row>
    <row r="38">
      <c r="A38" t="n">
        <v>37</v>
      </c>
      <c r="B38" t="inlineStr">
        <is>
          <t>Selected</t>
        </is>
      </c>
      <c r="E38">
        <f>1</f>
        <v>1</v>
      </c>
      <c r="F38">
        <f>IF(OR(F_Custom1_Q="(None)",F_Custom1_Q="",ISBLANK(F_Custom1_Q),F_Custom1_V="(All)",F_Custom1_V="",ISBLANK(F_Custom1_V)),1,IFERROR(IF(ISNUMBER(SEARCH("|"&amp;INDEX(INDIRECT(F_Custom1_resolved_column),37)&amp;"|",F_Custom1_wrapped)),1,0),0))</f>
        <v>1</v>
      </c>
      <c r="G38">
        <f>IF(OR(F_Custom2_Q="(None)",F_Custom2_Q="",ISBLANK(F_Custom2_Q),F_Custom2_V="(All)",F_Custom2_V="",ISBLANK(F_Custom2_V)),1,IFERROR(IF(ISNUMBER(SEARCH("|"&amp;INDEX(INDIRECT(F_Custom2_resolved_column),37)&amp;"|",F_Custom2_wrapped)),1,0),0))</f>
        <v>1</v>
      </c>
      <c r="H38">
        <f>F38*G38*1</f>
        <v>1</v>
      </c>
      <c r="I38">
        <f>1</f>
        <v>1</v>
      </c>
      <c r="J38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37)&amp;"|",All_Questions_Q_GRID_FORMAT_F_wrapped)),1,0),0))</f>
        <v>1</v>
      </c>
    </row>
    <row r="39">
      <c r="A39" t="n">
        <v>38</v>
      </c>
      <c r="B39" t="inlineStr">
        <is>
          <t>Selected</t>
        </is>
      </c>
      <c r="E39">
        <f>1</f>
        <v>1</v>
      </c>
      <c r="F39">
        <f>IF(OR(F_Custom1_Q="(None)",F_Custom1_Q="",ISBLANK(F_Custom1_Q),F_Custom1_V="(All)",F_Custom1_V="",ISBLANK(F_Custom1_V)),1,IFERROR(IF(ISNUMBER(SEARCH("|"&amp;INDEX(INDIRECT(F_Custom1_resolved_column),38)&amp;"|",F_Custom1_wrapped)),1,0),0))</f>
        <v>1</v>
      </c>
      <c r="G39">
        <f>IF(OR(F_Custom2_Q="(None)",F_Custom2_Q="",ISBLANK(F_Custom2_Q),F_Custom2_V="(All)",F_Custom2_V="",ISBLANK(F_Custom2_V)),1,IFERROR(IF(ISNUMBER(SEARCH("|"&amp;INDEX(INDIRECT(F_Custom2_resolved_column),38)&amp;"|",F_Custom2_wrapped)),1,0),0))</f>
        <v>1</v>
      </c>
      <c r="H39">
        <f>F39*G39*1</f>
        <v>1</v>
      </c>
      <c r="I39">
        <f>1</f>
        <v>1</v>
      </c>
      <c r="J39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38)&amp;"|",All_Questions_Q_GRID_FORMAT_F_wrapped)),1,0),0))</f>
        <v>1</v>
      </c>
    </row>
    <row r="40">
      <c r="A40" t="n">
        <v>39</v>
      </c>
      <c r="B40" t="inlineStr">
        <is>
          <t>Selected</t>
        </is>
      </c>
      <c r="E40">
        <f>1</f>
        <v>1</v>
      </c>
      <c r="F40">
        <f>IF(OR(F_Custom1_Q="(None)",F_Custom1_Q="",ISBLANK(F_Custom1_Q),F_Custom1_V="(All)",F_Custom1_V="",ISBLANK(F_Custom1_V)),1,IFERROR(IF(ISNUMBER(SEARCH("|"&amp;INDEX(INDIRECT(F_Custom1_resolved_column),39)&amp;"|",F_Custom1_wrapped)),1,0),0))</f>
        <v>1</v>
      </c>
      <c r="G40">
        <f>IF(OR(F_Custom2_Q="(None)",F_Custom2_Q="",ISBLANK(F_Custom2_Q),F_Custom2_V="(All)",F_Custom2_V="",ISBLANK(F_Custom2_V)),1,IFERROR(IF(ISNUMBER(SEARCH("|"&amp;INDEX(INDIRECT(F_Custom2_resolved_column),39)&amp;"|",F_Custom2_wrapped)),1,0),0))</f>
        <v>1</v>
      </c>
      <c r="H40">
        <f>F40*G40*1</f>
        <v>1</v>
      </c>
      <c r="I40">
        <f>1</f>
        <v>1</v>
      </c>
      <c r="J40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39)&amp;"|",All_Questions_Q_GRID_FORMAT_F_wrapped)),1,0),0))</f>
        <v>1</v>
      </c>
    </row>
    <row r="41">
      <c r="A41" t="n">
        <v>40</v>
      </c>
      <c r="B41" t="inlineStr">
        <is>
          <t>Selected</t>
        </is>
      </c>
      <c r="E41">
        <f>1</f>
        <v>1</v>
      </c>
      <c r="F41">
        <f>IF(OR(F_Custom1_Q="(None)",F_Custom1_Q="",ISBLANK(F_Custom1_Q),F_Custom1_V="(All)",F_Custom1_V="",ISBLANK(F_Custom1_V)),1,IFERROR(IF(ISNUMBER(SEARCH("|"&amp;INDEX(INDIRECT(F_Custom1_resolved_column),40)&amp;"|",F_Custom1_wrapped)),1,0),0))</f>
        <v>1</v>
      </c>
      <c r="G41">
        <f>IF(OR(F_Custom2_Q="(None)",F_Custom2_Q="",ISBLANK(F_Custom2_Q),F_Custom2_V="(All)",F_Custom2_V="",ISBLANK(F_Custom2_V)),1,IFERROR(IF(ISNUMBER(SEARCH("|"&amp;INDEX(INDIRECT(F_Custom2_resolved_column),40)&amp;"|",F_Custom2_wrapped)),1,0),0))</f>
        <v>1</v>
      </c>
      <c r="H41">
        <f>F41*G41*1</f>
        <v>1</v>
      </c>
      <c r="I41">
        <f>1</f>
        <v>1</v>
      </c>
      <c r="J41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40)&amp;"|",All_Questions_Q_GRID_FORMAT_F_wrapped)),1,0),0))</f>
        <v>1</v>
      </c>
    </row>
    <row r="42">
      <c r="A42" t="n">
        <v>41</v>
      </c>
      <c r="B42" t="inlineStr">
        <is>
          <t>Selected</t>
        </is>
      </c>
      <c r="E42">
        <f>1</f>
        <v>1</v>
      </c>
      <c r="F42">
        <f>IF(OR(F_Custom1_Q="(None)",F_Custom1_Q="",ISBLANK(F_Custom1_Q),F_Custom1_V="(All)",F_Custom1_V="",ISBLANK(F_Custom1_V)),1,IFERROR(IF(ISNUMBER(SEARCH("|"&amp;INDEX(INDIRECT(F_Custom1_resolved_column),41)&amp;"|",F_Custom1_wrapped)),1,0),0))</f>
        <v>1</v>
      </c>
      <c r="G42">
        <f>IF(OR(F_Custom2_Q="(None)",F_Custom2_Q="",ISBLANK(F_Custom2_Q),F_Custom2_V="(All)",F_Custom2_V="",ISBLANK(F_Custom2_V)),1,IFERROR(IF(ISNUMBER(SEARCH("|"&amp;INDEX(INDIRECT(F_Custom2_resolved_column),41)&amp;"|",F_Custom2_wrapped)),1,0),0))</f>
        <v>1</v>
      </c>
      <c r="H42">
        <f>F42*G42*1</f>
        <v>1</v>
      </c>
      <c r="I42">
        <f>1</f>
        <v>1</v>
      </c>
      <c r="J42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41)&amp;"|",All_Questions_Q_GRID_FORMAT_F_wrapped)),1,0),0))</f>
        <v>1</v>
      </c>
    </row>
    <row r="43">
      <c r="A43" t="n">
        <v>42</v>
      </c>
      <c r="B43" t="inlineStr">
        <is>
          <t>Selected</t>
        </is>
      </c>
      <c r="E43">
        <f>1</f>
        <v>1</v>
      </c>
      <c r="F43">
        <f>IF(OR(F_Custom1_Q="(None)",F_Custom1_Q="",ISBLANK(F_Custom1_Q),F_Custom1_V="(All)",F_Custom1_V="",ISBLANK(F_Custom1_V)),1,IFERROR(IF(ISNUMBER(SEARCH("|"&amp;INDEX(INDIRECT(F_Custom1_resolved_column),42)&amp;"|",F_Custom1_wrapped)),1,0),0))</f>
        <v>1</v>
      </c>
      <c r="G43">
        <f>IF(OR(F_Custom2_Q="(None)",F_Custom2_Q="",ISBLANK(F_Custom2_Q),F_Custom2_V="(All)",F_Custom2_V="",ISBLANK(F_Custom2_V)),1,IFERROR(IF(ISNUMBER(SEARCH("|"&amp;INDEX(INDIRECT(F_Custom2_resolved_column),42)&amp;"|",F_Custom2_wrapped)),1,0),0))</f>
        <v>1</v>
      </c>
      <c r="H43">
        <f>F43*G43*1</f>
        <v>1</v>
      </c>
      <c r="I43">
        <f>1</f>
        <v>1</v>
      </c>
      <c r="J43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42)&amp;"|",All_Questions_Q_GRID_FORMAT_F_wrapped)),1,0),0))</f>
        <v>1</v>
      </c>
    </row>
    <row r="44">
      <c r="A44" t="n">
        <v>43</v>
      </c>
      <c r="B44" t="inlineStr">
        <is>
          <t>Selected</t>
        </is>
      </c>
      <c r="E44">
        <f>1</f>
        <v>1</v>
      </c>
      <c r="F44">
        <f>IF(OR(F_Custom1_Q="(None)",F_Custom1_Q="",ISBLANK(F_Custom1_Q),F_Custom1_V="(All)",F_Custom1_V="",ISBLANK(F_Custom1_V)),1,IFERROR(IF(ISNUMBER(SEARCH("|"&amp;INDEX(INDIRECT(F_Custom1_resolved_column),43)&amp;"|",F_Custom1_wrapped)),1,0),0))</f>
        <v>1</v>
      </c>
      <c r="G44">
        <f>IF(OR(F_Custom2_Q="(None)",F_Custom2_Q="",ISBLANK(F_Custom2_Q),F_Custom2_V="(All)",F_Custom2_V="",ISBLANK(F_Custom2_V)),1,IFERROR(IF(ISNUMBER(SEARCH("|"&amp;INDEX(INDIRECT(F_Custom2_resolved_column),43)&amp;"|",F_Custom2_wrapped)),1,0),0))</f>
        <v>1</v>
      </c>
      <c r="H44">
        <f>F44*G44*1</f>
        <v>1</v>
      </c>
      <c r="I44">
        <f>1</f>
        <v>1</v>
      </c>
      <c r="J44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43)&amp;"|",All_Questions_Q_GRID_FORMAT_F_wrapped)),1,0),0))</f>
        <v>1</v>
      </c>
    </row>
    <row r="45">
      <c r="A45" t="n">
        <v>44</v>
      </c>
      <c r="B45" t="inlineStr">
        <is>
          <t>Selected</t>
        </is>
      </c>
      <c r="E45">
        <f>1</f>
        <v>1</v>
      </c>
      <c r="F45">
        <f>IF(OR(F_Custom1_Q="(None)",F_Custom1_Q="",ISBLANK(F_Custom1_Q),F_Custom1_V="(All)",F_Custom1_V="",ISBLANK(F_Custom1_V)),1,IFERROR(IF(ISNUMBER(SEARCH("|"&amp;INDEX(INDIRECT(F_Custom1_resolved_column),44)&amp;"|",F_Custom1_wrapped)),1,0),0))</f>
        <v>1</v>
      </c>
      <c r="G45">
        <f>IF(OR(F_Custom2_Q="(None)",F_Custom2_Q="",ISBLANK(F_Custom2_Q),F_Custom2_V="(All)",F_Custom2_V="",ISBLANK(F_Custom2_V)),1,IFERROR(IF(ISNUMBER(SEARCH("|"&amp;INDEX(INDIRECT(F_Custom2_resolved_column),44)&amp;"|",F_Custom2_wrapped)),1,0),0))</f>
        <v>1</v>
      </c>
      <c r="H45">
        <f>F45*G45*1</f>
        <v>1</v>
      </c>
      <c r="I45">
        <f>1</f>
        <v>1</v>
      </c>
      <c r="J45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44)&amp;"|",All_Questions_Q_GRID_FORMAT_F_wrapped)),1,0),0))</f>
        <v>1</v>
      </c>
    </row>
    <row r="46">
      <c r="A46" t="n">
        <v>45</v>
      </c>
      <c r="B46" t="inlineStr">
        <is>
          <t>Selected</t>
        </is>
      </c>
      <c r="E46">
        <f>1</f>
        <v>1</v>
      </c>
      <c r="F46">
        <f>IF(OR(F_Custom1_Q="(None)",F_Custom1_Q="",ISBLANK(F_Custom1_Q),F_Custom1_V="(All)",F_Custom1_V="",ISBLANK(F_Custom1_V)),1,IFERROR(IF(ISNUMBER(SEARCH("|"&amp;INDEX(INDIRECT(F_Custom1_resolved_column),45)&amp;"|",F_Custom1_wrapped)),1,0),0))</f>
        <v>1</v>
      </c>
      <c r="G46">
        <f>IF(OR(F_Custom2_Q="(None)",F_Custom2_Q="",ISBLANK(F_Custom2_Q),F_Custom2_V="(All)",F_Custom2_V="",ISBLANK(F_Custom2_V)),1,IFERROR(IF(ISNUMBER(SEARCH("|"&amp;INDEX(INDIRECT(F_Custom2_resolved_column),45)&amp;"|",F_Custom2_wrapped)),1,0),0))</f>
        <v>1</v>
      </c>
      <c r="H46">
        <f>F46*G46*1</f>
        <v>1</v>
      </c>
      <c r="I46">
        <f>1</f>
        <v>1</v>
      </c>
      <c r="J46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45)&amp;"|",All_Questions_Q_GRID_FORMAT_F_wrapped)),1,0),0))</f>
        <v>1</v>
      </c>
    </row>
    <row r="47">
      <c r="A47" t="n">
        <v>46</v>
      </c>
      <c r="B47" t="inlineStr">
        <is>
          <t>Selected</t>
        </is>
      </c>
      <c r="E47">
        <f>1</f>
        <v>1</v>
      </c>
      <c r="F47">
        <f>IF(OR(F_Custom1_Q="(None)",F_Custom1_Q="",ISBLANK(F_Custom1_Q),F_Custom1_V="(All)",F_Custom1_V="",ISBLANK(F_Custom1_V)),1,IFERROR(IF(ISNUMBER(SEARCH("|"&amp;INDEX(INDIRECT(F_Custom1_resolved_column),46)&amp;"|",F_Custom1_wrapped)),1,0),0))</f>
        <v>1</v>
      </c>
      <c r="G47">
        <f>IF(OR(F_Custom2_Q="(None)",F_Custom2_Q="",ISBLANK(F_Custom2_Q),F_Custom2_V="(All)",F_Custom2_V="",ISBLANK(F_Custom2_V)),1,IFERROR(IF(ISNUMBER(SEARCH("|"&amp;INDEX(INDIRECT(F_Custom2_resolved_column),46)&amp;"|",F_Custom2_wrapped)),1,0),0))</f>
        <v>1</v>
      </c>
      <c r="H47">
        <f>F47*G47*1</f>
        <v>1</v>
      </c>
      <c r="I47">
        <f>1</f>
        <v>1</v>
      </c>
      <c r="J47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46)&amp;"|",All_Questions_Q_GRID_FORMAT_F_wrapped)),1,0),0))</f>
        <v>1</v>
      </c>
    </row>
    <row r="48">
      <c r="A48" t="n">
        <v>47</v>
      </c>
      <c r="B48" t="inlineStr">
        <is>
          <t>Selected</t>
        </is>
      </c>
      <c r="E48">
        <f>1</f>
        <v>1</v>
      </c>
      <c r="F48">
        <f>IF(OR(F_Custom1_Q="(None)",F_Custom1_Q="",ISBLANK(F_Custom1_Q),F_Custom1_V="(All)",F_Custom1_V="",ISBLANK(F_Custom1_V)),1,IFERROR(IF(ISNUMBER(SEARCH("|"&amp;INDEX(INDIRECT(F_Custom1_resolved_column),47)&amp;"|",F_Custom1_wrapped)),1,0),0))</f>
        <v>1</v>
      </c>
      <c r="G48">
        <f>IF(OR(F_Custom2_Q="(None)",F_Custom2_Q="",ISBLANK(F_Custom2_Q),F_Custom2_V="(All)",F_Custom2_V="",ISBLANK(F_Custom2_V)),1,IFERROR(IF(ISNUMBER(SEARCH("|"&amp;INDEX(INDIRECT(F_Custom2_resolved_column),47)&amp;"|",F_Custom2_wrapped)),1,0),0))</f>
        <v>1</v>
      </c>
      <c r="H48">
        <f>F48*G48*1</f>
        <v>1</v>
      </c>
      <c r="I48">
        <f>1</f>
        <v>1</v>
      </c>
      <c r="J48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47)&amp;"|",All_Questions_Q_GRID_FORMAT_F_wrapped)),1,0),0))</f>
        <v>1</v>
      </c>
    </row>
    <row r="49">
      <c r="A49" t="n">
        <v>48</v>
      </c>
      <c r="B49" t="inlineStr">
        <is>
          <t>Selected</t>
        </is>
      </c>
      <c r="E49">
        <f>1</f>
        <v>1</v>
      </c>
      <c r="F49">
        <f>IF(OR(F_Custom1_Q="(None)",F_Custom1_Q="",ISBLANK(F_Custom1_Q),F_Custom1_V="(All)",F_Custom1_V="",ISBLANK(F_Custom1_V)),1,IFERROR(IF(ISNUMBER(SEARCH("|"&amp;INDEX(INDIRECT(F_Custom1_resolved_column),48)&amp;"|",F_Custom1_wrapped)),1,0),0))</f>
        <v>1</v>
      </c>
      <c r="G49">
        <f>IF(OR(F_Custom2_Q="(None)",F_Custom2_Q="",ISBLANK(F_Custom2_Q),F_Custom2_V="(All)",F_Custom2_V="",ISBLANK(F_Custom2_V)),1,IFERROR(IF(ISNUMBER(SEARCH("|"&amp;INDEX(INDIRECT(F_Custom2_resolved_column),48)&amp;"|",F_Custom2_wrapped)),1,0),0))</f>
        <v>1</v>
      </c>
      <c r="H49">
        <f>F49*G49*1</f>
        <v>1</v>
      </c>
      <c r="I49">
        <f>1</f>
        <v>1</v>
      </c>
      <c r="J49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48)&amp;"|",All_Questions_Q_GRID_FORMAT_F_wrapped)),1,0),0))</f>
        <v>1</v>
      </c>
    </row>
    <row r="50">
      <c r="A50" t="n">
        <v>49</v>
      </c>
      <c r="B50" t="inlineStr">
        <is>
          <t>Selected</t>
        </is>
      </c>
      <c r="E50">
        <f>1</f>
        <v>1</v>
      </c>
      <c r="F50">
        <f>IF(OR(F_Custom1_Q="(None)",F_Custom1_Q="",ISBLANK(F_Custom1_Q),F_Custom1_V="(All)",F_Custom1_V="",ISBLANK(F_Custom1_V)),1,IFERROR(IF(ISNUMBER(SEARCH("|"&amp;INDEX(INDIRECT(F_Custom1_resolved_column),49)&amp;"|",F_Custom1_wrapped)),1,0),0))</f>
        <v>1</v>
      </c>
      <c r="G50">
        <f>IF(OR(F_Custom2_Q="(None)",F_Custom2_Q="",ISBLANK(F_Custom2_Q),F_Custom2_V="(All)",F_Custom2_V="",ISBLANK(F_Custom2_V)),1,IFERROR(IF(ISNUMBER(SEARCH("|"&amp;INDEX(INDIRECT(F_Custom2_resolved_column),49)&amp;"|",F_Custom2_wrapped)),1,0),0))</f>
        <v>1</v>
      </c>
      <c r="H50">
        <f>F50*G50*1</f>
        <v>1</v>
      </c>
      <c r="I50">
        <f>1</f>
        <v>1</v>
      </c>
      <c r="J50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49)&amp;"|",All_Questions_Q_GRID_FORMAT_F_wrapped)),1,0),0))</f>
        <v>1</v>
      </c>
    </row>
    <row r="51">
      <c r="A51" t="n">
        <v>50</v>
      </c>
      <c r="B51" t="inlineStr">
        <is>
          <t>Selected</t>
        </is>
      </c>
      <c r="E51">
        <f>1</f>
        <v>1</v>
      </c>
      <c r="F51">
        <f>IF(OR(F_Custom1_Q="(None)",F_Custom1_Q="",ISBLANK(F_Custom1_Q),F_Custom1_V="(All)",F_Custom1_V="",ISBLANK(F_Custom1_V)),1,IFERROR(IF(ISNUMBER(SEARCH("|"&amp;INDEX(INDIRECT(F_Custom1_resolved_column),50)&amp;"|",F_Custom1_wrapped)),1,0),0))</f>
        <v>1</v>
      </c>
      <c r="G51">
        <f>IF(OR(F_Custom2_Q="(None)",F_Custom2_Q="",ISBLANK(F_Custom2_Q),F_Custom2_V="(All)",F_Custom2_V="",ISBLANK(F_Custom2_V)),1,IFERROR(IF(ISNUMBER(SEARCH("|"&amp;INDEX(INDIRECT(F_Custom2_resolved_column),50)&amp;"|",F_Custom2_wrapped)),1,0),0))</f>
        <v>1</v>
      </c>
      <c r="H51">
        <f>F51*G51*1</f>
        <v>1</v>
      </c>
      <c r="I51">
        <f>1</f>
        <v>1</v>
      </c>
      <c r="J51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50)&amp;"|",All_Questions_Q_GRID_FORMAT_F_wrapped)),1,0),0))</f>
        <v>1</v>
      </c>
    </row>
    <row r="52">
      <c r="A52" t="n">
        <v>51</v>
      </c>
      <c r="E52">
        <f>1</f>
        <v>1</v>
      </c>
      <c r="F52">
        <f>IF(OR(F_Custom1_Q="(None)",F_Custom1_Q="",ISBLANK(F_Custom1_Q),F_Custom1_V="(All)",F_Custom1_V="",ISBLANK(F_Custom1_V)),1,IFERROR(IF(ISNUMBER(SEARCH("|"&amp;INDEX(INDIRECT(F_Custom1_resolved_column),51)&amp;"|",F_Custom1_wrapped)),1,0),0))</f>
        <v>1</v>
      </c>
      <c r="G52">
        <f>IF(OR(F_Custom2_Q="(None)",F_Custom2_Q="",ISBLANK(F_Custom2_Q),F_Custom2_V="(All)",F_Custom2_V="",ISBLANK(F_Custom2_V)),1,IFERROR(IF(ISNUMBER(SEARCH("|"&amp;INDEX(INDIRECT(F_Custom2_resolved_column),51)&amp;"|",F_Custom2_wrapped)),1,0),0))</f>
        <v>1</v>
      </c>
      <c r="H52">
        <f>F52*G52*1</f>
        <v>1</v>
      </c>
      <c r="I52">
        <f>1</f>
        <v>1</v>
      </c>
      <c r="J52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51)&amp;"|",All_Questions_Q_GRID_FORMAT_F_wrapped)),1,0),0))</f>
        <v>1</v>
      </c>
    </row>
    <row r="53">
      <c r="A53" t="n">
        <v>52</v>
      </c>
      <c r="E53">
        <f>1</f>
        <v>1</v>
      </c>
      <c r="F53">
        <f>IF(OR(F_Custom1_Q="(None)",F_Custom1_Q="",ISBLANK(F_Custom1_Q),F_Custom1_V="(All)",F_Custom1_V="",ISBLANK(F_Custom1_V)),1,IFERROR(IF(ISNUMBER(SEARCH("|"&amp;INDEX(INDIRECT(F_Custom1_resolved_column),52)&amp;"|",F_Custom1_wrapped)),1,0),0))</f>
        <v>1</v>
      </c>
      <c r="G53">
        <f>IF(OR(F_Custom2_Q="(None)",F_Custom2_Q="",ISBLANK(F_Custom2_Q),F_Custom2_V="(All)",F_Custom2_V="",ISBLANK(F_Custom2_V)),1,IFERROR(IF(ISNUMBER(SEARCH("|"&amp;INDEX(INDIRECT(F_Custom2_resolved_column),52)&amp;"|",F_Custom2_wrapped)),1,0),0))</f>
        <v>1</v>
      </c>
      <c r="H53">
        <f>F53*G53*1</f>
        <v>1</v>
      </c>
      <c r="I53">
        <f>1</f>
        <v>1</v>
      </c>
      <c r="J53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52)&amp;"|",All_Questions_Q_GRID_FORMAT_F_wrapped)),1,0),0))</f>
        <v>1</v>
      </c>
    </row>
    <row r="54">
      <c r="A54" t="n">
        <v>53</v>
      </c>
      <c r="E54">
        <f>1</f>
        <v>1</v>
      </c>
      <c r="F54">
        <f>IF(OR(F_Custom1_Q="(None)",F_Custom1_Q="",ISBLANK(F_Custom1_Q),F_Custom1_V="(All)",F_Custom1_V="",ISBLANK(F_Custom1_V)),1,IFERROR(IF(ISNUMBER(SEARCH("|"&amp;INDEX(INDIRECT(F_Custom1_resolved_column),53)&amp;"|",F_Custom1_wrapped)),1,0),0))</f>
        <v>1</v>
      </c>
      <c r="G54">
        <f>IF(OR(F_Custom2_Q="(None)",F_Custom2_Q="",ISBLANK(F_Custom2_Q),F_Custom2_V="(All)",F_Custom2_V="",ISBLANK(F_Custom2_V)),1,IFERROR(IF(ISNUMBER(SEARCH("|"&amp;INDEX(INDIRECT(F_Custom2_resolved_column),53)&amp;"|",F_Custom2_wrapped)),1,0),0))</f>
        <v>1</v>
      </c>
      <c r="H54">
        <f>F54*G54*1</f>
        <v>1</v>
      </c>
      <c r="I54">
        <f>1</f>
        <v>1</v>
      </c>
      <c r="J54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53)&amp;"|",All_Questions_Q_GRID_FORMAT_F_wrapped)),1,0),0))</f>
        <v>1</v>
      </c>
    </row>
    <row r="55">
      <c r="A55" t="n">
        <v>54</v>
      </c>
      <c r="E55">
        <f>1</f>
        <v>1</v>
      </c>
      <c r="F55">
        <f>IF(OR(F_Custom1_Q="(None)",F_Custom1_Q="",ISBLANK(F_Custom1_Q),F_Custom1_V="(All)",F_Custom1_V="",ISBLANK(F_Custom1_V)),1,IFERROR(IF(ISNUMBER(SEARCH("|"&amp;INDEX(INDIRECT(F_Custom1_resolved_column),54)&amp;"|",F_Custom1_wrapped)),1,0),0))</f>
        <v>1</v>
      </c>
      <c r="G55">
        <f>IF(OR(F_Custom2_Q="(None)",F_Custom2_Q="",ISBLANK(F_Custom2_Q),F_Custom2_V="(All)",F_Custom2_V="",ISBLANK(F_Custom2_V)),1,IFERROR(IF(ISNUMBER(SEARCH("|"&amp;INDEX(INDIRECT(F_Custom2_resolved_column),54)&amp;"|",F_Custom2_wrapped)),1,0),0))</f>
        <v>1</v>
      </c>
      <c r="H55">
        <f>F55*G55*1</f>
        <v>1</v>
      </c>
      <c r="I55">
        <f>1</f>
        <v>1</v>
      </c>
      <c r="J55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54)&amp;"|",All_Questions_Q_GRID_FORMAT_F_wrapped)),1,0),0))</f>
        <v>1</v>
      </c>
    </row>
    <row r="56">
      <c r="A56" t="n">
        <v>55</v>
      </c>
      <c r="E56">
        <f>1</f>
        <v>1</v>
      </c>
      <c r="F56">
        <f>IF(OR(F_Custom1_Q="(None)",F_Custom1_Q="",ISBLANK(F_Custom1_Q),F_Custom1_V="(All)",F_Custom1_V="",ISBLANK(F_Custom1_V)),1,IFERROR(IF(ISNUMBER(SEARCH("|"&amp;INDEX(INDIRECT(F_Custom1_resolved_column),55)&amp;"|",F_Custom1_wrapped)),1,0),0))</f>
        <v>1</v>
      </c>
      <c r="G56">
        <f>IF(OR(F_Custom2_Q="(None)",F_Custom2_Q="",ISBLANK(F_Custom2_Q),F_Custom2_V="(All)",F_Custom2_V="",ISBLANK(F_Custom2_V)),1,IFERROR(IF(ISNUMBER(SEARCH("|"&amp;INDEX(INDIRECT(F_Custom2_resolved_column),55)&amp;"|",F_Custom2_wrapped)),1,0),0))</f>
        <v>1</v>
      </c>
      <c r="H56">
        <f>F56*G56*1</f>
        <v>1</v>
      </c>
      <c r="I56">
        <f>1</f>
        <v>1</v>
      </c>
      <c r="J56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55)&amp;"|",All_Questions_Q_GRID_FORMAT_F_wrapped)),1,0),0))</f>
        <v>1</v>
      </c>
    </row>
    <row r="57">
      <c r="A57" t="n">
        <v>56</v>
      </c>
      <c r="E57">
        <f>1</f>
        <v>1</v>
      </c>
      <c r="F57">
        <f>IF(OR(F_Custom1_Q="(None)",F_Custom1_Q="",ISBLANK(F_Custom1_Q),F_Custom1_V="(All)",F_Custom1_V="",ISBLANK(F_Custom1_V)),1,IFERROR(IF(ISNUMBER(SEARCH("|"&amp;INDEX(INDIRECT(F_Custom1_resolved_column),56)&amp;"|",F_Custom1_wrapped)),1,0),0))</f>
        <v>1</v>
      </c>
      <c r="G57">
        <f>IF(OR(F_Custom2_Q="(None)",F_Custom2_Q="",ISBLANK(F_Custom2_Q),F_Custom2_V="(All)",F_Custom2_V="",ISBLANK(F_Custom2_V)),1,IFERROR(IF(ISNUMBER(SEARCH("|"&amp;INDEX(INDIRECT(F_Custom2_resolved_column),56)&amp;"|",F_Custom2_wrapped)),1,0),0))</f>
        <v>1</v>
      </c>
      <c r="H57">
        <f>F57*G57*1</f>
        <v>1</v>
      </c>
      <c r="I57">
        <f>1</f>
        <v>1</v>
      </c>
      <c r="J57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56)&amp;"|",All_Questions_Q_GRID_FORMAT_F_wrapped)),1,0),0))</f>
        <v>1</v>
      </c>
    </row>
    <row r="58">
      <c r="A58" t="n">
        <v>57</v>
      </c>
      <c r="E58">
        <f>1</f>
        <v>1</v>
      </c>
      <c r="F58">
        <f>IF(OR(F_Custom1_Q="(None)",F_Custom1_Q="",ISBLANK(F_Custom1_Q),F_Custom1_V="(All)",F_Custom1_V="",ISBLANK(F_Custom1_V)),1,IFERROR(IF(ISNUMBER(SEARCH("|"&amp;INDEX(INDIRECT(F_Custom1_resolved_column),57)&amp;"|",F_Custom1_wrapped)),1,0),0))</f>
        <v>1</v>
      </c>
      <c r="G58">
        <f>IF(OR(F_Custom2_Q="(None)",F_Custom2_Q="",ISBLANK(F_Custom2_Q),F_Custom2_V="(All)",F_Custom2_V="",ISBLANK(F_Custom2_V)),1,IFERROR(IF(ISNUMBER(SEARCH("|"&amp;INDEX(INDIRECT(F_Custom2_resolved_column),57)&amp;"|",F_Custom2_wrapped)),1,0),0))</f>
        <v>1</v>
      </c>
      <c r="H58">
        <f>F58*G58*1</f>
        <v>1</v>
      </c>
      <c r="I58">
        <f>1</f>
        <v>1</v>
      </c>
      <c r="J58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57)&amp;"|",All_Questions_Q_GRID_FORMAT_F_wrapped)),1,0),0))</f>
        <v>1</v>
      </c>
    </row>
    <row r="59">
      <c r="A59" t="n">
        <v>58</v>
      </c>
      <c r="E59">
        <f>1</f>
        <v>1</v>
      </c>
      <c r="F59">
        <f>IF(OR(F_Custom1_Q="(None)",F_Custom1_Q="",ISBLANK(F_Custom1_Q),F_Custom1_V="(All)",F_Custom1_V="",ISBLANK(F_Custom1_V)),1,IFERROR(IF(ISNUMBER(SEARCH("|"&amp;INDEX(INDIRECT(F_Custom1_resolved_column),58)&amp;"|",F_Custom1_wrapped)),1,0),0))</f>
        <v>1</v>
      </c>
      <c r="G59">
        <f>IF(OR(F_Custom2_Q="(None)",F_Custom2_Q="",ISBLANK(F_Custom2_Q),F_Custom2_V="(All)",F_Custom2_V="",ISBLANK(F_Custom2_V)),1,IFERROR(IF(ISNUMBER(SEARCH("|"&amp;INDEX(INDIRECT(F_Custom2_resolved_column),58)&amp;"|",F_Custom2_wrapped)),1,0),0))</f>
        <v>1</v>
      </c>
      <c r="H59">
        <f>F59*G59*1</f>
        <v>1</v>
      </c>
      <c r="I59">
        <f>1</f>
        <v>1</v>
      </c>
      <c r="J59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58)&amp;"|",All_Questions_Q_GRID_FORMAT_F_wrapped)),1,0),0))</f>
        <v>1</v>
      </c>
    </row>
    <row r="60">
      <c r="A60" t="n">
        <v>59</v>
      </c>
      <c r="E60">
        <f>1</f>
        <v>1</v>
      </c>
      <c r="F60">
        <f>IF(OR(F_Custom1_Q="(None)",F_Custom1_Q="",ISBLANK(F_Custom1_Q),F_Custom1_V="(All)",F_Custom1_V="",ISBLANK(F_Custom1_V)),1,IFERROR(IF(ISNUMBER(SEARCH("|"&amp;INDEX(INDIRECT(F_Custom1_resolved_column),59)&amp;"|",F_Custom1_wrapped)),1,0),0))</f>
        <v>1</v>
      </c>
      <c r="G60">
        <f>IF(OR(F_Custom2_Q="(None)",F_Custom2_Q="",ISBLANK(F_Custom2_Q),F_Custom2_V="(All)",F_Custom2_V="",ISBLANK(F_Custom2_V)),1,IFERROR(IF(ISNUMBER(SEARCH("|"&amp;INDEX(INDIRECT(F_Custom2_resolved_column),59)&amp;"|",F_Custom2_wrapped)),1,0),0))</f>
        <v>1</v>
      </c>
      <c r="H60">
        <f>F60*G60*1</f>
        <v>1</v>
      </c>
      <c r="I60">
        <f>1</f>
        <v>1</v>
      </c>
      <c r="J60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59)&amp;"|",All_Questions_Q_GRID_FORMAT_F_wrapped)),1,0),0))</f>
        <v>1</v>
      </c>
    </row>
    <row r="61">
      <c r="A61" t="n">
        <v>60</v>
      </c>
      <c r="E61">
        <f>1</f>
        <v>1</v>
      </c>
      <c r="F61">
        <f>IF(OR(F_Custom1_Q="(None)",F_Custom1_Q="",ISBLANK(F_Custom1_Q),F_Custom1_V="(All)",F_Custom1_V="",ISBLANK(F_Custom1_V)),1,IFERROR(IF(ISNUMBER(SEARCH("|"&amp;INDEX(INDIRECT(F_Custom1_resolved_column),60)&amp;"|",F_Custom1_wrapped)),1,0),0))</f>
        <v>1</v>
      </c>
      <c r="G61">
        <f>IF(OR(F_Custom2_Q="(None)",F_Custom2_Q="",ISBLANK(F_Custom2_Q),F_Custom2_V="(All)",F_Custom2_V="",ISBLANK(F_Custom2_V)),1,IFERROR(IF(ISNUMBER(SEARCH("|"&amp;INDEX(INDIRECT(F_Custom2_resolved_column),60)&amp;"|",F_Custom2_wrapped)),1,0),0))</f>
        <v>1</v>
      </c>
      <c r="H61">
        <f>F61*G61*1</f>
        <v>1</v>
      </c>
      <c r="I61">
        <f>1</f>
        <v>1</v>
      </c>
      <c r="J61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60)&amp;"|",All_Questions_Q_GRID_FORMAT_F_wrapped)),1,0),0))</f>
        <v>1</v>
      </c>
    </row>
    <row r="62">
      <c r="A62" t="n">
        <v>61</v>
      </c>
      <c r="E62">
        <f>1</f>
        <v>1</v>
      </c>
      <c r="F62">
        <f>IF(OR(F_Custom1_Q="(None)",F_Custom1_Q="",ISBLANK(F_Custom1_Q),F_Custom1_V="(All)",F_Custom1_V="",ISBLANK(F_Custom1_V)),1,IFERROR(IF(ISNUMBER(SEARCH("|"&amp;INDEX(INDIRECT(F_Custom1_resolved_column),61)&amp;"|",F_Custom1_wrapped)),1,0),0))</f>
        <v>1</v>
      </c>
      <c r="G62">
        <f>IF(OR(F_Custom2_Q="(None)",F_Custom2_Q="",ISBLANK(F_Custom2_Q),F_Custom2_V="(All)",F_Custom2_V="",ISBLANK(F_Custom2_V)),1,IFERROR(IF(ISNUMBER(SEARCH("|"&amp;INDEX(INDIRECT(F_Custom2_resolved_column),61)&amp;"|",F_Custom2_wrapped)),1,0),0))</f>
        <v>1</v>
      </c>
      <c r="H62">
        <f>F62*G62*1</f>
        <v>1</v>
      </c>
      <c r="I62">
        <f>1</f>
        <v>1</v>
      </c>
      <c r="J62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61)&amp;"|",All_Questions_Q_GRID_FORMAT_F_wrapped)),1,0),0))</f>
        <v>1</v>
      </c>
    </row>
    <row r="63">
      <c r="A63" t="n">
        <v>62</v>
      </c>
      <c r="E63">
        <f>1</f>
        <v>1</v>
      </c>
      <c r="F63">
        <f>IF(OR(F_Custom1_Q="(None)",F_Custom1_Q="",ISBLANK(F_Custom1_Q),F_Custom1_V="(All)",F_Custom1_V="",ISBLANK(F_Custom1_V)),1,IFERROR(IF(ISNUMBER(SEARCH("|"&amp;INDEX(INDIRECT(F_Custom1_resolved_column),62)&amp;"|",F_Custom1_wrapped)),1,0),0))</f>
        <v>1</v>
      </c>
      <c r="G63">
        <f>IF(OR(F_Custom2_Q="(None)",F_Custom2_Q="",ISBLANK(F_Custom2_Q),F_Custom2_V="(All)",F_Custom2_V="",ISBLANK(F_Custom2_V)),1,IFERROR(IF(ISNUMBER(SEARCH("|"&amp;INDEX(INDIRECT(F_Custom2_resolved_column),62)&amp;"|",F_Custom2_wrapped)),1,0),0))</f>
        <v>1</v>
      </c>
      <c r="H63">
        <f>F63*G63*1</f>
        <v>1</v>
      </c>
      <c r="I63">
        <f>1</f>
        <v>1</v>
      </c>
      <c r="J63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62)&amp;"|",All_Questions_Q_GRID_FORMAT_F_wrapped)),1,0),0))</f>
        <v>1</v>
      </c>
    </row>
    <row r="64">
      <c r="A64" t="n">
        <v>63</v>
      </c>
      <c r="E64">
        <f>1</f>
        <v>1</v>
      </c>
      <c r="F64">
        <f>IF(OR(F_Custom1_Q="(None)",F_Custom1_Q="",ISBLANK(F_Custom1_Q),F_Custom1_V="(All)",F_Custom1_V="",ISBLANK(F_Custom1_V)),1,IFERROR(IF(ISNUMBER(SEARCH("|"&amp;INDEX(INDIRECT(F_Custom1_resolved_column),63)&amp;"|",F_Custom1_wrapped)),1,0),0))</f>
        <v>1</v>
      </c>
      <c r="G64">
        <f>IF(OR(F_Custom2_Q="(None)",F_Custom2_Q="",ISBLANK(F_Custom2_Q),F_Custom2_V="(All)",F_Custom2_V="",ISBLANK(F_Custom2_V)),1,IFERROR(IF(ISNUMBER(SEARCH("|"&amp;INDEX(INDIRECT(F_Custom2_resolved_column),63)&amp;"|",F_Custom2_wrapped)),1,0),0))</f>
        <v>1</v>
      </c>
      <c r="H64">
        <f>F64*G64*1</f>
        <v>1</v>
      </c>
      <c r="I64">
        <f>1</f>
        <v>1</v>
      </c>
      <c r="J64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63)&amp;"|",All_Questions_Q_GRID_FORMAT_F_wrapped)),1,0),0))</f>
        <v>1</v>
      </c>
    </row>
    <row r="65">
      <c r="A65" t="n">
        <v>64</v>
      </c>
      <c r="E65">
        <f>1</f>
        <v>1</v>
      </c>
      <c r="F65">
        <f>IF(OR(F_Custom1_Q="(None)",F_Custom1_Q="",ISBLANK(F_Custom1_Q),F_Custom1_V="(All)",F_Custom1_V="",ISBLANK(F_Custom1_V)),1,IFERROR(IF(ISNUMBER(SEARCH("|"&amp;INDEX(INDIRECT(F_Custom1_resolved_column),64)&amp;"|",F_Custom1_wrapped)),1,0),0))</f>
        <v>1</v>
      </c>
      <c r="G65">
        <f>IF(OR(F_Custom2_Q="(None)",F_Custom2_Q="",ISBLANK(F_Custom2_Q),F_Custom2_V="(All)",F_Custom2_V="",ISBLANK(F_Custom2_V)),1,IFERROR(IF(ISNUMBER(SEARCH("|"&amp;INDEX(INDIRECT(F_Custom2_resolved_column),64)&amp;"|",F_Custom2_wrapped)),1,0),0))</f>
        <v>1</v>
      </c>
      <c r="H65">
        <f>F65*G65*1</f>
        <v>1</v>
      </c>
      <c r="I65">
        <f>1</f>
        <v>1</v>
      </c>
      <c r="J65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64)&amp;"|",All_Questions_Q_GRID_FORMAT_F_wrapped)),1,0),0))</f>
        <v>1</v>
      </c>
    </row>
    <row r="66">
      <c r="A66" t="n">
        <v>65</v>
      </c>
      <c r="E66">
        <f>1</f>
        <v>1</v>
      </c>
      <c r="F66">
        <f>IF(OR(F_Custom1_Q="(None)",F_Custom1_Q="",ISBLANK(F_Custom1_Q),F_Custom1_V="(All)",F_Custom1_V="",ISBLANK(F_Custom1_V)),1,IFERROR(IF(ISNUMBER(SEARCH("|"&amp;INDEX(INDIRECT(F_Custom1_resolved_column),65)&amp;"|",F_Custom1_wrapped)),1,0),0))</f>
        <v>1</v>
      </c>
      <c r="G66">
        <f>IF(OR(F_Custom2_Q="(None)",F_Custom2_Q="",ISBLANK(F_Custom2_Q),F_Custom2_V="(All)",F_Custom2_V="",ISBLANK(F_Custom2_V)),1,IFERROR(IF(ISNUMBER(SEARCH("|"&amp;INDEX(INDIRECT(F_Custom2_resolved_column),65)&amp;"|",F_Custom2_wrapped)),1,0),0))</f>
        <v>1</v>
      </c>
      <c r="H66">
        <f>F66*G66*1</f>
        <v>1</v>
      </c>
      <c r="I66">
        <f>1</f>
        <v>1</v>
      </c>
      <c r="J66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65)&amp;"|",All_Questions_Q_GRID_FORMAT_F_wrapped)),1,0),0))</f>
        <v>1</v>
      </c>
    </row>
    <row r="67">
      <c r="A67" t="n">
        <v>66</v>
      </c>
      <c r="E67">
        <f>1</f>
        <v>1</v>
      </c>
      <c r="F67">
        <f>IF(OR(F_Custom1_Q="(None)",F_Custom1_Q="",ISBLANK(F_Custom1_Q),F_Custom1_V="(All)",F_Custom1_V="",ISBLANK(F_Custom1_V)),1,IFERROR(IF(ISNUMBER(SEARCH("|"&amp;INDEX(INDIRECT(F_Custom1_resolved_column),66)&amp;"|",F_Custom1_wrapped)),1,0),0))</f>
        <v>1</v>
      </c>
      <c r="G67">
        <f>IF(OR(F_Custom2_Q="(None)",F_Custom2_Q="",ISBLANK(F_Custom2_Q),F_Custom2_V="(All)",F_Custom2_V="",ISBLANK(F_Custom2_V)),1,IFERROR(IF(ISNUMBER(SEARCH("|"&amp;INDEX(INDIRECT(F_Custom2_resolved_column),66)&amp;"|",F_Custom2_wrapped)),1,0),0))</f>
        <v>1</v>
      </c>
      <c r="H67">
        <f>F67*G67*1</f>
        <v>1</v>
      </c>
      <c r="I67">
        <f>1</f>
        <v>1</v>
      </c>
      <c r="J67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66)&amp;"|",All_Questions_Q_GRID_FORMAT_F_wrapped)),1,0),0))</f>
        <v>1</v>
      </c>
    </row>
    <row r="68">
      <c r="A68" t="n">
        <v>67</v>
      </c>
      <c r="E68">
        <f>1</f>
        <v>1</v>
      </c>
      <c r="F68">
        <f>IF(OR(F_Custom1_Q="(None)",F_Custom1_Q="",ISBLANK(F_Custom1_Q),F_Custom1_V="(All)",F_Custom1_V="",ISBLANK(F_Custom1_V)),1,IFERROR(IF(ISNUMBER(SEARCH("|"&amp;INDEX(INDIRECT(F_Custom1_resolved_column),67)&amp;"|",F_Custom1_wrapped)),1,0),0))</f>
        <v>1</v>
      </c>
      <c r="G68">
        <f>IF(OR(F_Custom2_Q="(None)",F_Custom2_Q="",ISBLANK(F_Custom2_Q),F_Custom2_V="(All)",F_Custom2_V="",ISBLANK(F_Custom2_V)),1,IFERROR(IF(ISNUMBER(SEARCH("|"&amp;INDEX(INDIRECT(F_Custom2_resolved_column),67)&amp;"|",F_Custom2_wrapped)),1,0),0))</f>
        <v>1</v>
      </c>
      <c r="H68">
        <f>F68*G68*1</f>
        <v>1</v>
      </c>
      <c r="I68">
        <f>1</f>
        <v>1</v>
      </c>
      <c r="J68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67)&amp;"|",All_Questions_Q_GRID_FORMAT_F_wrapped)),1,0),0))</f>
        <v>1</v>
      </c>
    </row>
    <row r="69">
      <c r="A69" t="n">
        <v>68</v>
      </c>
      <c r="E69">
        <f>1</f>
        <v>1</v>
      </c>
      <c r="F69">
        <f>IF(OR(F_Custom1_Q="(None)",F_Custom1_Q="",ISBLANK(F_Custom1_Q),F_Custom1_V="(All)",F_Custom1_V="",ISBLANK(F_Custom1_V)),1,IFERROR(IF(ISNUMBER(SEARCH("|"&amp;INDEX(INDIRECT(F_Custom1_resolved_column),68)&amp;"|",F_Custom1_wrapped)),1,0),0))</f>
        <v>1</v>
      </c>
      <c r="G69">
        <f>IF(OR(F_Custom2_Q="(None)",F_Custom2_Q="",ISBLANK(F_Custom2_Q),F_Custom2_V="(All)",F_Custom2_V="",ISBLANK(F_Custom2_V)),1,IFERROR(IF(ISNUMBER(SEARCH("|"&amp;INDEX(INDIRECT(F_Custom2_resolved_column),68)&amp;"|",F_Custom2_wrapped)),1,0),0))</f>
        <v>1</v>
      </c>
      <c r="H69">
        <f>F69*G69*1</f>
        <v>1</v>
      </c>
      <c r="I69">
        <f>1</f>
        <v>1</v>
      </c>
      <c r="J69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68)&amp;"|",All_Questions_Q_GRID_FORMAT_F_wrapped)),1,0),0))</f>
        <v>1</v>
      </c>
    </row>
    <row r="70">
      <c r="A70" t="n">
        <v>69</v>
      </c>
      <c r="E70">
        <f>1</f>
        <v>1</v>
      </c>
      <c r="F70">
        <f>IF(OR(F_Custom1_Q="(None)",F_Custom1_Q="",ISBLANK(F_Custom1_Q),F_Custom1_V="(All)",F_Custom1_V="",ISBLANK(F_Custom1_V)),1,IFERROR(IF(ISNUMBER(SEARCH("|"&amp;INDEX(INDIRECT(F_Custom1_resolved_column),69)&amp;"|",F_Custom1_wrapped)),1,0),0))</f>
        <v>1</v>
      </c>
      <c r="G70">
        <f>IF(OR(F_Custom2_Q="(None)",F_Custom2_Q="",ISBLANK(F_Custom2_Q),F_Custom2_V="(All)",F_Custom2_V="",ISBLANK(F_Custom2_V)),1,IFERROR(IF(ISNUMBER(SEARCH("|"&amp;INDEX(INDIRECT(F_Custom2_resolved_column),69)&amp;"|",F_Custom2_wrapped)),1,0),0))</f>
        <v>1</v>
      </c>
      <c r="H70">
        <f>F70*G70*1</f>
        <v>1</v>
      </c>
      <c r="I70">
        <f>1</f>
        <v>1</v>
      </c>
      <c r="J70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69)&amp;"|",All_Questions_Q_GRID_FORMAT_F_wrapped)),1,0),0))</f>
        <v>1</v>
      </c>
    </row>
    <row r="71">
      <c r="A71" t="n">
        <v>70</v>
      </c>
      <c r="E71">
        <f>1</f>
        <v>1</v>
      </c>
      <c r="F71">
        <f>IF(OR(F_Custom1_Q="(None)",F_Custom1_Q="",ISBLANK(F_Custom1_Q),F_Custom1_V="(All)",F_Custom1_V="",ISBLANK(F_Custom1_V)),1,IFERROR(IF(ISNUMBER(SEARCH("|"&amp;INDEX(INDIRECT(F_Custom1_resolved_column),70)&amp;"|",F_Custom1_wrapped)),1,0),0))</f>
        <v>1</v>
      </c>
      <c r="G71">
        <f>IF(OR(F_Custom2_Q="(None)",F_Custom2_Q="",ISBLANK(F_Custom2_Q),F_Custom2_V="(All)",F_Custom2_V="",ISBLANK(F_Custom2_V)),1,IFERROR(IF(ISNUMBER(SEARCH("|"&amp;INDEX(INDIRECT(F_Custom2_resolved_column),70)&amp;"|",F_Custom2_wrapped)),1,0),0))</f>
        <v>1</v>
      </c>
      <c r="H71">
        <f>F71*G71*1</f>
        <v>1</v>
      </c>
      <c r="I71">
        <f>1</f>
        <v>1</v>
      </c>
      <c r="J71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70)&amp;"|",All_Questions_Q_GRID_FORMAT_F_wrapped)),1,0),0))</f>
        <v>1</v>
      </c>
    </row>
    <row r="72">
      <c r="A72" t="n">
        <v>71</v>
      </c>
      <c r="E72">
        <f>1</f>
        <v>1</v>
      </c>
      <c r="F72">
        <f>IF(OR(F_Custom1_Q="(None)",F_Custom1_Q="",ISBLANK(F_Custom1_Q),F_Custom1_V="(All)",F_Custom1_V="",ISBLANK(F_Custom1_V)),1,IFERROR(IF(ISNUMBER(SEARCH("|"&amp;INDEX(INDIRECT(F_Custom1_resolved_column),71)&amp;"|",F_Custom1_wrapped)),1,0),0))</f>
        <v>1</v>
      </c>
      <c r="G72">
        <f>IF(OR(F_Custom2_Q="(None)",F_Custom2_Q="",ISBLANK(F_Custom2_Q),F_Custom2_V="(All)",F_Custom2_V="",ISBLANK(F_Custom2_V)),1,IFERROR(IF(ISNUMBER(SEARCH("|"&amp;INDEX(INDIRECT(F_Custom2_resolved_column),71)&amp;"|",F_Custom2_wrapped)),1,0),0))</f>
        <v>1</v>
      </c>
      <c r="H72">
        <f>F72*G72*1</f>
        <v>1</v>
      </c>
      <c r="I72">
        <f>1</f>
        <v>1</v>
      </c>
      <c r="J72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71)&amp;"|",All_Questions_Q_GRID_FORMAT_F_wrapped)),1,0),0))</f>
        <v>1</v>
      </c>
    </row>
    <row r="73">
      <c r="A73" t="n">
        <v>72</v>
      </c>
      <c r="E73">
        <f>1</f>
        <v>1</v>
      </c>
      <c r="F73">
        <f>IF(OR(F_Custom1_Q="(None)",F_Custom1_Q="",ISBLANK(F_Custom1_Q),F_Custom1_V="(All)",F_Custom1_V="",ISBLANK(F_Custom1_V)),1,IFERROR(IF(ISNUMBER(SEARCH("|"&amp;INDEX(INDIRECT(F_Custom1_resolved_column),72)&amp;"|",F_Custom1_wrapped)),1,0),0))</f>
        <v>1</v>
      </c>
      <c r="G73">
        <f>IF(OR(F_Custom2_Q="(None)",F_Custom2_Q="",ISBLANK(F_Custom2_Q),F_Custom2_V="(All)",F_Custom2_V="",ISBLANK(F_Custom2_V)),1,IFERROR(IF(ISNUMBER(SEARCH("|"&amp;INDEX(INDIRECT(F_Custom2_resolved_column),72)&amp;"|",F_Custom2_wrapped)),1,0),0))</f>
        <v>1</v>
      </c>
      <c r="H73">
        <f>F73*G73*1</f>
        <v>1</v>
      </c>
      <c r="I73">
        <f>1</f>
        <v>1</v>
      </c>
      <c r="J73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72)&amp;"|",All_Questions_Q_GRID_FORMAT_F_wrapped)),1,0),0))</f>
        <v>1</v>
      </c>
    </row>
    <row r="74">
      <c r="A74" t="n">
        <v>73</v>
      </c>
      <c r="E74">
        <f>1</f>
        <v>1</v>
      </c>
      <c r="F74">
        <f>IF(OR(F_Custom1_Q="(None)",F_Custom1_Q="",ISBLANK(F_Custom1_Q),F_Custom1_V="(All)",F_Custom1_V="",ISBLANK(F_Custom1_V)),1,IFERROR(IF(ISNUMBER(SEARCH("|"&amp;INDEX(INDIRECT(F_Custom1_resolved_column),73)&amp;"|",F_Custom1_wrapped)),1,0),0))</f>
        <v>1</v>
      </c>
      <c r="G74">
        <f>IF(OR(F_Custom2_Q="(None)",F_Custom2_Q="",ISBLANK(F_Custom2_Q),F_Custom2_V="(All)",F_Custom2_V="",ISBLANK(F_Custom2_V)),1,IFERROR(IF(ISNUMBER(SEARCH("|"&amp;INDEX(INDIRECT(F_Custom2_resolved_column),73)&amp;"|",F_Custom2_wrapped)),1,0),0))</f>
        <v>1</v>
      </c>
      <c r="H74">
        <f>F74*G74*1</f>
        <v>1</v>
      </c>
      <c r="I74">
        <f>1</f>
        <v>1</v>
      </c>
      <c r="J74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73)&amp;"|",All_Questions_Q_GRID_FORMAT_F_wrapped)),1,0),0))</f>
        <v>1</v>
      </c>
    </row>
    <row r="75">
      <c r="A75" t="n">
        <v>74</v>
      </c>
      <c r="E75">
        <f>1</f>
        <v>1</v>
      </c>
      <c r="F75">
        <f>IF(OR(F_Custom1_Q="(None)",F_Custom1_Q="",ISBLANK(F_Custom1_Q),F_Custom1_V="(All)",F_Custom1_V="",ISBLANK(F_Custom1_V)),1,IFERROR(IF(ISNUMBER(SEARCH("|"&amp;INDEX(INDIRECT(F_Custom1_resolved_column),74)&amp;"|",F_Custom1_wrapped)),1,0),0))</f>
        <v>1</v>
      </c>
      <c r="G75">
        <f>IF(OR(F_Custom2_Q="(None)",F_Custom2_Q="",ISBLANK(F_Custom2_Q),F_Custom2_V="(All)",F_Custom2_V="",ISBLANK(F_Custom2_V)),1,IFERROR(IF(ISNUMBER(SEARCH("|"&amp;INDEX(INDIRECT(F_Custom2_resolved_column),74)&amp;"|",F_Custom2_wrapped)),1,0),0))</f>
        <v>1</v>
      </c>
      <c r="H75">
        <f>F75*G75*1</f>
        <v>1</v>
      </c>
      <c r="I75">
        <f>1</f>
        <v>1</v>
      </c>
      <c r="J75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74)&amp;"|",All_Questions_Q_GRID_FORMAT_F_wrapped)),1,0),0))</f>
        <v>1</v>
      </c>
    </row>
    <row r="76">
      <c r="A76" t="n">
        <v>75</v>
      </c>
      <c r="E76">
        <f>1</f>
        <v>1</v>
      </c>
      <c r="F76">
        <f>IF(OR(F_Custom1_Q="(None)",F_Custom1_Q="",ISBLANK(F_Custom1_Q),F_Custom1_V="(All)",F_Custom1_V="",ISBLANK(F_Custom1_V)),1,IFERROR(IF(ISNUMBER(SEARCH("|"&amp;INDEX(INDIRECT(F_Custom1_resolved_column),75)&amp;"|",F_Custom1_wrapped)),1,0),0))</f>
        <v>1</v>
      </c>
      <c r="G76">
        <f>IF(OR(F_Custom2_Q="(None)",F_Custom2_Q="",ISBLANK(F_Custom2_Q),F_Custom2_V="(All)",F_Custom2_V="",ISBLANK(F_Custom2_V)),1,IFERROR(IF(ISNUMBER(SEARCH("|"&amp;INDEX(INDIRECT(F_Custom2_resolved_column),75)&amp;"|",F_Custom2_wrapped)),1,0),0))</f>
        <v>1</v>
      </c>
      <c r="H76">
        <f>F76*G76*1</f>
        <v>1</v>
      </c>
      <c r="I76">
        <f>1</f>
        <v>1</v>
      </c>
      <c r="J76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75)&amp;"|",All_Questions_Q_GRID_FORMAT_F_wrapped)),1,0),0))</f>
        <v>1</v>
      </c>
    </row>
    <row r="77">
      <c r="A77" t="n">
        <v>76</v>
      </c>
      <c r="E77">
        <f>1</f>
        <v>1</v>
      </c>
      <c r="F77">
        <f>IF(OR(F_Custom1_Q="(None)",F_Custom1_Q="",ISBLANK(F_Custom1_Q),F_Custom1_V="(All)",F_Custom1_V="",ISBLANK(F_Custom1_V)),1,IFERROR(IF(ISNUMBER(SEARCH("|"&amp;INDEX(INDIRECT(F_Custom1_resolved_column),76)&amp;"|",F_Custom1_wrapped)),1,0),0))</f>
        <v>1</v>
      </c>
      <c r="G77">
        <f>IF(OR(F_Custom2_Q="(None)",F_Custom2_Q="",ISBLANK(F_Custom2_Q),F_Custom2_V="(All)",F_Custom2_V="",ISBLANK(F_Custom2_V)),1,IFERROR(IF(ISNUMBER(SEARCH("|"&amp;INDEX(INDIRECT(F_Custom2_resolved_column),76)&amp;"|",F_Custom2_wrapped)),1,0),0))</f>
        <v>1</v>
      </c>
      <c r="H77">
        <f>F77*G77*1</f>
        <v>1</v>
      </c>
      <c r="I77">
        <f>1</f>
        <v>1</v>
      </c>
      <c r="J77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76)&amp;"|",All_Questions_Q_GRID_FORMAT_F_wrapped)),1,0),0))</f>
        <v>1</v>
      </c>
    </row>
    <row r="78">
      <c r="A78" t="n">
        <v>77</v>
      </c>
      <c r="E78">
        <f>1</f>
        <v>1</v>
      </c>
      <c r="F78">
        <f>IF(OR(F_Custom1_Q="(None)",F_Custom1_Q="",ISBLANK(F_Custom1_Q),F_Custom1_V="(All)",F_Custom1_V="",ISBLANK(F_Custom1_V)),1,IFERROR(IF(ISNUMBER(SEARCH("|"&amp;INDEX(INDIRECT(F_Custom1_resolved_column),77)&amp;"|",F_Custom1_wrapped)),1,0),0))</f>
        <v>1</v>
      </c>
      <c r="G78">
        <f>IF(OR(F_Custom2_Q="(None)",F_Custom2_Q="",ISBLANK(F_Custom2_Q),F_Custom2_V="(All)",F_Custom2_V="",ISBLANK(F_Custom2_V)),1,IFERROR(IF(ISNUMBER(SEARCH("|"&amp;INDEX(INDIRECT(F_Custom2_resolved_column),77)&amp;"|",F_Custom2_wrapped)),1,0),0))</f>
        <v>1</v>
      </c>
      <c r="H78">
        <f>F78*G78*1</f>
        <v>1</v>
      </c>
      <c r="I78">
        <f>1</f>
        <v>1</v>
      </c>
      <c r="J78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77)&amp;"|",All_Questions_Q_GRID_FORMAT_F_wrapped)),1,0),0))</f>
        <v>1</v>
      </c>
    </row>
    <row r="79">
      <c r="A79" t="n">
        <v>78</v>
      </c>
      <c r="E79">
        <f>1</f>
        <v>1</v>
      </c>
      <c r="F79">
        <f>IF(OR(F_Custom1_Q="(None)",F_Custom1_Q="",ISBLANK(F_Custom1_Q),F_Custom1_V="(All)",F_Custom1_V="",ISBLANK(F_Custom1_V)),1,IFERROR(IF(ISNUMBER(SEARCH("|"&amp;INDEX(INDIRECT(F_Custom1_resolved_column),78)&amp;"|",F_Custom1_wrapped)),1,0),0))</f>
        <v>1</v>
      </c>
      <c r="G79">
        <f>IF(OR(F_Custom2_Q="(None)",F_Custom2_Q="",ISBLANK(F_Custom2_Q),F_Custom2_V="(All)",F_Custom2_V="",ISBLANK(F_Custom2_V)),1,IFERROR(IF(ISNUMBER(SEARCH("|"&amp;INDEX(INDIRECT(F_Custom2_resolved_column),78)&amp;"|",F_Custom2_wrapped)),1,0),0))</f>
        <v>1</v>
      </c>
      <c r="H79">
        <f>F79*G79*1</f>
        <v>1</v>
      </c>
      <c r="I79">
        <f>1</f>
        <v>1</v>
      </c>
      <c r="J79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78)&amp;"|",All_Questions_Q_GRID_FORMAT_F_wrapped)),1,0),0))</f>
        <v>1</v>
      </c>
    </row>
    <row r="80">
      <c r="A80" t="n">
        <v>79</v>
      </c>
      <c r="E80">
        <f>1</f>
        <v>1</v>
      </c>
      <c r="F80">
        <f>IF(OR(F_Custom1_Q="(None)",F_Custom1_Q="",ISBLANK(F_Custom1_Q),F_Custom1_V="(All)",F_Custom1_V="",ISBLANK(F_Custom1_V)),1,IFERROR(IF(ISNUMBER(SEARCH("|"&amp;INDEX(INDIRECT(F_Custom1_resolved_column),79)&amp;"|",F_Custom1_wrapped)),1,0),0))</f>
        <v>1</v>
      </c>
      <c r="G80">
        <f>IF(OR(F_Custom2_Q="(None)",F_Custom2_Q="",ISBLANK(F_Custom2_Q),F_Custom2_V="(All)",F_Custom2_V="",ISBLANK(F_Custom2_V)),1,IFERROR(IF(ISNUMBER(SEARCH("|"&amp;INDEX(INDIRECT(F_Custom2_resolved_column),79)&amp;"|",F_Custom2_wrapped)),1,0),0))</f>
        <v>1</v>
      </c>
      <c r="H80">
        <f>F80*G80*1</f>
        <v>1</v>
      </c>
      <c r="I80">
        <f>1</f>
        <v>1</v>
      </c>
      <c r="J80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79)&amp;"|",All_Questions_Q_GRID_FORMAT_F_wrapped)),1,0),0))</f>
        <v>1</v>
      </c>
    </row>
    <row r="81">
      <c r="A81" t="n">
        <v>80</v>
      </c>
      <c r="E81">
        <f>1</f>
        <v>1</v>
      </c>
      <c r="F81">
        <f>IF(OR(F_Custom1_Q="(None)",F_Custom1_Q="",ISBLANK(F_Custom1_Q),F_Custom1_V="(All)",F_Custom1_V="",ISBLANK(F_Custom1_V)),1,IFERROR(IF(ISNUMBER(SEARCH("|"&amp;INDEX(INDIRECT(F_Custom1_resolved_column),80)&amp;"|",F_Custom1_wrapped)),1,0),0))</f>
        <v>1</v>
      </c>
      <c r="G81">
        <f>IF(OR(F_Custom2_Q="(None)",F_Custom2_Q="",ISBLANK(F_Custom2_Q),F_Custom2_V="(All)",F_Custom2_V="",ISBLANK(F_Custom2_V)),1,IFERROR(IF(ISNUMBER(SEARCH("|"&amp;INDEX(INDIRECT(F_Custom2_resolved_column),80)&amp;"|",F_Custom2_wrapped)),1,0),0))</f>
        <v>1</v>
      </c>
      <c r="H81">
        <f>F81*G81*1</f>
        <v>1</v>
      </c>
      <c r="I81">
        <f>1</f>
        <v>1</v>
      </c>
      <c r="J81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80)&amp;"|",All_Questions_Q_GRID_FORMAT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r1_options</t>
        </is>
      </c>
      <c r="G1" t="inlineStr">
        <is>
          <t>r2_options</t>
        </is>
      </c>
      <c r="H1" t="inlineStr">
        <is>
          <t>r3_options</t>
        </is>
      </c>
      <c r="I1" t="inlineStr">
        <is>
          <t>r1_local_options</t>
        </is>
      </c>
      <c r="J1" t="inlineStr">
        <is>
          <t>r2_local_options</t>
        </is>
      </c>
      <c r="K1" t="inlineStr">
        <is>
          <t>r3_local_options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'_RawData'!$A$2:$A$81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(Inherit)</t>
        </is>
      </c>
      <c r="J2" t="inlineStr">
        <is>
          <t>(Inherit)</t>
        </is>
      </c>
      <c r="K2" t="inlineStr">
        <is>
          <t>(Inherit)</t>
        </is>
      </c>
    </row>
    <row r="3">
      <c r="B3" t="inlineStr">
        <is>
          <t>(None)</t>
        </is>
      </c>
      <c r="F3" t="inlineStr">
        <is>
          <t>Selected</t>
        </is>
      </c>
      <c r="G3" t="inlineStr">
        <is>
          <t>Selected</t>
        </is>
      </c>
      <c r="H3" t="inlineStr">
        <is>
          <t>Selected</t>
        </is>
      </c>
      <c r="I3" t="inlineStr">
        <is>
          <t>(All)</t>
        </is>
      </c>
      <c r="J3" t="inlineStr">
        <is>
          <t>(All)</t>
        </is>
      </c>
      <c r="K3" t="inlineStr">
        <is>
          <t>(All)</t>
        </is>
      </c>
    </row>
    <row r="4">
      <c r="I4" t="inlineStr">
        <is>
          <t>Selected</t>
        </is>
      </c>
      <c r="J4" t="inlineStr">
        <is>
          <t>Selected</t>
        </is>
      </c>
      <c r="K4" t="inlineStr">
        <is>
          <t>Selected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80</v>
      </c>
    </row>
    <row r="5">
      <c r="A5" s="5" t="inlineStr">
        <is>
          <t>Total questions:</t>
        </is>
      </c>
      <c r="B5" t="n">
        <v>1</v>
      </c>
    </row>
    <row r="6">
      <c r="A6" s="5" t="inlineStr">
        <is>
          <t>Results produced:</t>
        </is>
      </c>
      <c r="B6" t="n">
        <v>1</v>
      </c>
    </row>
    <row r="7">
      <c r="A7" s="5" t="inlineStr">
        <is>
          <t>Questions skipped:</t>
        </is>
      </c>
      <c r="B7" t="n">
        <v>0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0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5" customWidth="1" min="2" max="2"/>
    <col width="22" customWidth="1" min="3" max="3"/>
    <col width="20" customWidth="1" min="4" max="4"/>
    <col width="13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[Q_GRID_FORMAT]</t>
        </is>
      </c>
      <c r="B2" t="inlineStr">
        <is>
          <t>Q_GRID_FORMAT</t>
        </is>
      </c>
      <c r="C2" t="inlineStr">
        <is>
          <t>Grid format question</t>
        </is>
      </c>
      <c r="D2" t="inlineStr">
        <is>
          <t>GRID_SINGLE_SELECT</t>
        </is>
      </c>
      <c r="E2" t="inlineStr">
        <is>
          <t>r1, r2, r3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5" customWidth="1" min="2" max="2"/>
    <col width="20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0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Q_GRID_FORMAT</t>
        </is>
      </c>
      <c r="B2" t="inlineStr">
        <is>
          <t>Q_GRID_FORMAT</t>
        </is>
      </c>
      <c r="C2" t="inlineStr">
        <is>
          <t>GRID_SINGLE_SELECT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80</v>
      </c>
      <c r="G2" t="n">
        <v>0</v>
      </c>
      <c r="H2" s="7" t="n">
        <v>0</v>
      </c>
      <c r="I2" t="inlineStr"/>
    </row>
  </sheetData>
  <hyperlinks>
    <hyperlink xmlns:r="http://schemas.openxmlformats.org/officeDocument/2006/relationships" ref="E2" r:id="rId1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2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Q_GRID_FORMAT - Grid format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IFERROR(INDEX(All_Questions_Data_Names,MATCH(All_Questions_Q_GRID_FORMAT_F_Q,All_Questions,0)),"'_RawData'!$A:$A")</f>
        <v>respondent_id_data</v>
      </c>
      <c r="G13" t="str">
        <f>"|" &amp; SUBSTITUTE(All_Questions_Q_GRID_FORMAT_F_V,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IF(All_Questions_Q_GRID_FORMAT_CT="(None)","",IFERROR(INDEX(INDIRECT(IFERROR(INDEX(All_Questions_Options_Names,MATCH(All_Questions_Q_GRID_FORMAT_CT,All_Questions,0)),"'_Options'!$E$2:$E$2")),2),""))</f>
        <v/>
      </c>
      <c r="H16" s="2" t="str">
        <f>IF(All_Questions_Q_GRID_FORMAT_CT="(None)","",IFERROR(INDEX(INDIRECT(IFERROR(INDEX(All_Questions_Options_Names,MATCH(All_Questions_Q_GRID_FORMAT_CT,All_Questions,0)),"'_Options'!$E$2:$E$2")),3),""))</f>
        <v/>
      </c>
      <c r="I16" s="2" t="str">
        <f>IF(All_Questions_Q_GRID_FORMAT_CT="(None)","",IFERROR(INDEX(INDIRECT(IFERROR(INDEX(All_Questions_Options_Names,MATCH(All_Questions_Q_GRID_FORMAT_CT,All_Questions,0)),"'_Options'!$E$2:$E$2")),4),""))</f>
        <v/>
      </c>
      <c r="J16" s="2" t="str">
        <f>IF(All_Questions_Q_GRID_FORMAT_CT="(None)","",IFERROR(INDEX(INDIRECT(IFERROR(INDEX(All_Questions_Options_Names,MATCH(All_Questions_Q_GRID_FORMAT_CT,All_Questions,0)),"'_Options'!$E$2:$E$2")),5),""))</f>
        <v/>
      </c>
      <c r="K16" s="2" t="str">
        <f>IF(All_Questions_Q_GRID_FORMAT_CT="(None)","",IFERROR(INDEX(INDIRECT(IFERROR(INDEX(All_Questions_Options_Names,MATCH(All_Questions_Q_GRID_FORMAT_CT,All_Questions,0)),"'_Options'!$E$2:$E$2")),6),""))</f>
        <v/>
      </c>
      <c r="L16" s="2" t="str">
        <f>IF(All_Questions_Q_GRID_FORMAT_CT="(None)","",IFERROR(INDEX(INDIRECT(IFERROR(INDEX(All_Questions_Options_Names,MATCH(All_Questions_Q_GRID_FORMAT_CT,All_Questions,0)),"'_Options'!$E$2:$E$2")),7),""))</f>
        <v/>
      </c>
      <c r="M16" s="2" t="str">
        <f>IF(All_Questions_Q_GRID_FORMAT_CT="(None)","",IFERROR(INDEX(INDIRECT(IFERROR(INDEX(All_Questions_Options_Names,MATCH(All_Questions_Q_GRID_FORMAT_CT,All_Questions,0)),"'_Options'!$E$2:$E$2")),8),""))</f>
        <v/>
      </c>
      <c r="N16" s="2" t="str">
        <f>IF(All_Questions_Q_GRID_FORMAT_CT="(None)","",IFERROR(INDEX(INDIRECT(IFERROR(INDEX(All_Questions_Options_Names,MATCH(All_Questions_Q_GRID_FORMAT_CT,All_Questions,0)),"'_Options'!$E$2:$E$2")),9),""))</f>
        <v/>
      </c>
      <c r="O16" s="2" t="str">
        <f>IF(All_Questions_Q_GRID_FORMAT_CT="(None)","",IFERROR(INDEX(INDIRECT(IFERROR(INDEX(All_Questions_Options_Names,MATCH(All_Questions_Q_GRID_FORMAT_CT,All_Questions,0)),"'_Options'!$E$2:$E$2")),10),""))</f>
        <v/>
      </c>
      <c r="P16" s="2" t="str">
        <f>IF(All_Questions_Q_GRID_FORMAT_CT="(None)","",IFERROR(INDEX(INDIRECT(IFERROR(INDEX(All_Questions_Options_Names,MATCH(All_Questions_Q_GRID_FORMAT_CT,All_Questions,0)),"'_Options'!$E$2:$E$2")),11),""))</f>
        <v/>
      </c>
      <c r="Q16" s="2" t="str">
        <f>IF(All_Questions_Q_GRID_FORMAT_CT="(None)","",IFERROR(INDEX(INDIRECT(IFERROR(INDEX(All_Questions_Options_Names,MATCH(All_Questions_Q_GRID_FORMAT_CT,All_Questions,0)),"'_Options'!$E$2:$E$2")),12),""))</f>
        <v/>
      </c>
      <c r="R16" s="2" t="str">
        <f>IF(All_Questions_Q_GRID_FORMAT_CT="(None)","",IF(COUNTA(INDIRECT(IFERROR(INDEX(All_Questions_Options_Names,MATCH(All_Questions_Q_GRID_FORMAT_CT,All_Questions,0)),"'_Options'!$E$2:$E$2")))-1&gt;11,"Other",IFERROR(INDEX(INDIRECT(IFERROR(INDEX(All_Questions_Options_Names,MATCH(All_Questions_Q_GRID_FORMAT_CT,All_Questions,0)),"'_Options'!$E$2:$E$2")),13),"")))</f>
        <v/>
      </c>
      <c r="S16" s="4" t="inlineStr">
        <is>
          <t>Total</t>
        </is>
      </c>
    </row>
    <row r="17">
      <c r="A17" t="inlineStr">
        <is>
          <t>Option A</t>
        </is>
      </c>
      <c r="B17">
        <f>COUNTIFS(r1_data,"Selected",passes_workbook_filters_data,1,passes_workbook_custom_filters_data,1,All_Questions_passes_local_filters_data,1,All_Questions_Q_GRID_FORMAT_F_passes_per_q_filter_data,1)</f>
        <v>50</v>
      </c>
      <c r="C17" s="7">
        <f>IFERROR(B17/SUBTOTAL(9,B17:B18),0)</f>
        <v>0.625</v>
      </c>
      <c r="D17" s="14">
        <f>SUBTOTAL(9,B17:B18)</f>
        <v>80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Option B</t>
        </is>
      </c>
      <c r="B18">
        <f>COUNTIFS(r2_data,"Selected",passes_workbook_filters_data,1,passes_workbook_custom_filters_data,1,All_Questions_passes_local_filters_data,1,All_Questions_Q_GRID_FORMAT_F_passes_per_q_filter_data,1)</f>
        <v>30</v>
      </c>
      <c r="C18" s="7">
        <f>IFERROR(B18/SUBTOTAL(9,B17:B18),0)</f>
        <v>0.375</v>
      </c>
      <c r="D18" s="14">
        <f>SUBTOTAL(9,B17:B18)</f>
        <v>80</v>
      </c>
      <c r="F18" t="inlineStr">
        <is>
          <t>Option A</t>
        </is>
      </c>
      <c r="G18">
        <f>IF(OR(All_Questions_Q_GRID_FORMAT_CT="(None)",G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G$16))</f>
        <v>0</v>
      </c>
      <c r="H18">
        <f>IF(OR(All_Questions_Q_GRID_FORMAT_CT="(None)",H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H$16))</f>
        <v>0</v>
      </c>
      <c r="I18">
        <f>IF(OR(All_Questions_Q_GRID_FORMAT_CT="(None)",I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I$16))</f>
        <v>0</v>
      </c>
      <c r="J18">
        <f>IF(OR(All_Questions_Q_GRID_FORMAT_CT="(None)",J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J$16))</f>
        <v>0</v>
      </c>
      <c r="K18">
        <f>IF(OR(All_Questions_Q_GRID_FORMAT_CT="(None)",K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K$16))</f>
        <v>0</v>
      </c>
      <c r="L18">
        <f>IF(OR(All_Questions_Q_GRID_FORMAT_CT="(None)",L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L$16))</f>
        <v>0</v>
      </c>
      <c r="M18">
        <f>IF(OR(All_Questions_Q_GRID_FORMAT_CT="(None)",M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M$16))</f>
        <v>0</v>
      </c>
      <c r="N18">
        <f>IF(OR(All_Questions_Q_GRID_FORMAT_CT="(None)",N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N$16))</f>
        <v>0</v>
      </c>
      <c r="O18">
        <f>IF(OR(All_Questions_Q_GRID_FORMAT_CT="(None)",O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O$16))</f>
        <v>0</v>
      </c>
      <c r="P18">
        <f>IF(OR(All_Questions_Q_GRID_FORMAT_CT="(None)",P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P$16))</f>
        <v>0</v>
      </c>
      <c r="Q18">
        <f>IF(OR(All_Questions_Q_GRID_FORMAT_CT="(None)",Q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Q$16))</f>
        <v>0</v>
      </c>
      <c r="R18">
        <f>IF(OR(All_Questions_Q_GRID_FORMAT_CT="(None)",R$16=""),"",IF(R$16="Other",COUNTIFS(r1_data,"Selected",passes_workbook_filters_data,1,passes_workbook_custom_filters_data,1,All_Questions_passes_local_filters_data,1,All_Questions_Q_GRID_FORMAT_F_passes_per_q_filter_data,1)-SUM(G18,H18,I18,J18,K18,L18,M18,N18,O18,P18,Q18)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R$16)))</f>
        <v>0</v>
      </c>
      <c r="S18">
        <f>IF(All_Questions_Q_GRID_FORMAT_CT="(None)","",COUNTIFS(r1_data,"Selected",passes_workbook_filters_data,1,passes_workbook_custom_filters_data,1,All_Questions_passes_local_filters_data,1,All_Questions_Q_GRID_FORMAT_F_passes_per_q_filter_data,1))</f>
        <v>0</v>
      </c>
    </row>
    <row r="19">
      <c r="A19" s="15" t="inlineStr">
        <is>
          <t>Total respondents</t>
        </is>
      </c>
      <c r="B19" s="15" t="n">
        <v>80</v>
      </c>
      <c r="C19" s="15" t="n"/>
      <c r="D19" s="15" t="n"/>
      <c r="F19" t="inlineStr">
        <is>
          <t>Option B</t>
        </is>
      </c>
      <c r="G19">
        <f>IF(OR(All_Questions_Q_GRID_FORMAT_CT="(None)",G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G$16))</f>
        <v>0</v>
      </c>
      <c r="H19">
        <f>IF(OR(All_Questions_Q_GRID_FORMAT_CT="(None)",H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H$16))</f>
        <v>0</v>
      </c>
      <c r="I19">
        <f>IF(OR(All_Questions_Q_GRID_FORMAT_CT="(None)",I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I$16))</f>
        <v>0</v>
      </c>
      <c r="J19">
        <f>IF(OR(All_Questions_Q_GRID_FORMAT_CT="(None)",J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J$16))</f>
        <v>0</v>
      </c>
      <c r="K19">
        <f>IF(OR(All_Questions_Q_GRID_FORMAT_CT="(None)",K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K$16))</f>
        <v>0</v>
      </c>
      <c r="L19">
        <f>IF(OR(All_Questions_Q_GRID_FORMAT_CT="(None)",L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L$16))</f>
        <v>0</v>
      </c>
      <c r="M19">
        <f>IF(OR(All_Questions_Q_GRID_FORMAT_CT="(None)",M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M$16))</f>
        <v>0</v>
      </c>
      <c r="N19">
        <f>IF(OR(All_Questions_Q_GRID_FORMAT_CT="(None)",N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N$16))</f>
        <v>0</v>
      </c>
      <c r="O19">
        <f>IF(OR(All_Questions_Q_GRID_FORMAT_CT="(None)",O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O$16))</f>
        <v>0</v>
      </c>
      <c r="P19">
        <f>IF(OR(All_Questions_Q_GRID_FORMAT_CT="(None)",P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P$16))</f>
        <v>0</v>
      </c>
      <c r="Q19">
        <f>IF(OR(All_Questions_Q_GRID_FORMAT_CT="(None)",Q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Q$16))</f>
        <v>0</v>
      </c>
      <c r="R19">
        <f>IF(OR(All_Questions_Q_GRID_FORMAT_CT="(None)",R$16=""),"",IF(R$16="Other",COUNTIFS(r2_data,"Selected",passes_workbook_filters_data,1,passes_workbook_custom_filters_data,1,All_Questions_passes_local_filters_data,1,All_Questions_Q_GRID_FORMAT_F_passes_per_q_filter_data,1)-SUM(G19,H19,I19,J19,K19,L19,M19,N19,O19,P19,Q19)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R$16)))</f>
        <v>0</v>
      </c>
      <c r="S19">
        <f>IF(All_Questions_Q_GRID_FORMAT_CT="(None)","",COUNTIFS(r2_data,"Selected",passes_workbook_filters_data,1,passes_workbook_custom_filters_data,1,All_Questions_passes_local_filters_data,1,All_Questions_Q_GRID_FORMAT_F_passes_per_q_filter_data,1))</f>
        <v>0</v>
      </c>
    </row>
    <row r="20">
      <c r="A20" s="4" t="inlineStr">
        <is>
          <t>Total responses</t>
        </is>
      </c>
      <c r="B20" s="4" t="n">
        <v>80</v>
      </c>
      <c r="C20" s="4" t="n"/>
      <c r="D20" s="4" t="n"/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IF(All_Questions_Q_GRID_FORMAT_CT="(None)","",COUNTIFS(respondent_id_data,"&lt;&gt;",passes_workbook_filters_data,1,passes_workbook_custom_filters_data,1,All_Questions_passes_local_filters_data,1,All_Questions_Q_GRID_FORMAT_F_passes_per_q_filter_data,1))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7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=INDIRECT(IFERROR(INDEX(All_Questions_Options_Names,MATCH(All_Questions_Q_GRID_FORMAT_F_Q,All_Questions,0)),"'_Options'!$E$2:$E$2"))</formula1>
    </dataValidation>
    <dataValidation sqref="C14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3" customWidth="1" min="2" max="2"/>
    <col width="17" customWidth="1" min="3" max="3"/>
    <col width="16" customWidth="1" min="4" max="4"/>
    <col width="8" customWidth="1" min="5" max="5"/>
    <col width="11" customWidth="1" min="6" max="6"/>
    <col width="13" customWidth="1" min="7" max="7"/>
    <col width="9" customWidth="1" min="8" max="8"/>
    <col width="11" customWidth="1" min="9" max="9"/>
    <col width="9" customWidth="1" min="10" max="10"/>
    <col width="11" customWidth="1" min="11" max="11"/>
    <col width="11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cols>
    <col width="9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2026-05-21T07:12:39Z</dcterms:created>
  <dcterms:modified xmlns:dcterms="http://purl.org/dc/terms/" xmlns:xsi="http://www.w3.org/2001/XMLSchema-instance" xsi:type="dcterms:W3CDTF">2026-05-21T07:12:39Z</dcterms:modified>
</cp:coreProperties>
</file>