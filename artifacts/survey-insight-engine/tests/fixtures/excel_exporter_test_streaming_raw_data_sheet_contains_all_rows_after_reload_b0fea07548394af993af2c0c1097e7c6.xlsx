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IFERROR(INDEX(All_Questions_Data_Names,MATCH(All_Questions_Q_STREAM_F_Q,All_Questions,0)),"'_RawData'!$A:$A")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IF(All_Questions_Q_STREAM_CT="(None)","",IFERROR(INDEX(INDIRECT(IFERROR(INDEX(All_Questions_Options_Names,MATCH(All_Questions_Q_STREAM_CT,All_Questions,0)),"'_Options'!$E$2:$E$2")),2),""))</f>
        <v/>
      </c>
      <c r="H16" s="2" t="n"/>
      <c r="I16" s="2" t="str">
        <f>IF(All_Questions_Q_STREAM_CT="(None)","",IFERROR(INDEX(INDIRECT(IFERROR(INDEX(All_Questions_Options_Names,MATCH(All_Questions_Q_STREAM_CT,All_Questions,0)),"'_Options'!$E$2:$E$2")),3),""))</f>
        <v/>
      </c>
      <c r="J16" s="2" t="n"/>
      <c r="K16" s="2" t="str">
        <f>IF(All_Questions_Q_STREAM_CT="(None)","",IFERROR(INDEX(INDIRECT(IFERROR(INDEX(All_Questions_Options_Names,MATCH(All_Questions_Q_STREAM_CT,All_Questions,0)),"'_Options'!$E$2:$E$2")),4),""))</f>
        <v/>
      </c>
      <c r="L16" s="2" t="n"/>
      <c r="M16" s="2" t="str">
        <f>IF(All_Questions_Q_STREAM_CT="(None)","",IFERROR(INDEX(INDIRECT(IFERROR(INDEX(All_Questions_Options_Names,MATCH(All_Questions_Q_STREAM_CT,All_Questions,0)),"'_Options'!$E$2:$E$2")),5),""))</f>
        <v/>
      </c>
      <c r="N16" s="2" t="n"/>
      <c r="O16" s="2" t="str">
        <f>IF(All_Questions_Q_STREAM_CT="(None)","",IFERROR(INDEX(INDIRECT(IFERROR(INDEX(All_Questions_Options_Names,MATCH(All_Questions_Q_STREAM_CT,All_Questions,0)),"'_Options'!$E$2:$E$2")),6),""))</f>
        <v/>
      </c>
      <c r="P16" s="2" t="n"/>
      <c r="Q16" s="2" t="str">
        <f>IF(All_Questions_Q_STREAM_CT="(None)","",IFERROR(INDEX(INDIRECT(IFERROR(INDEX(All_Questions_Options_Names,MATCH(All_Questions_Q_STREAM_CT,All_Questions,0)),"'_Options'!$E$2:$E$2")),7),""))</f>
        <v/>
      </c>
      <c r="R16" s="2" t="n"/>
      <c r="S16" s="2" t="str">
        <f>IF(All_Questions_Q_STREAM_CT="(None)","",IFERROR(INDEX(INDIRECT(IFERROR(INDEX(All_Questions_Options_Names,MATCH(All_Questions_Q_STREAM_CT,All_Questions,0)),"'_Options'!$E$2:$E$2")),8),""))</f>
        <v/>
      </c>
      <c r="T16" s="2" t="n"/>
      <c r="U16" s="2" t="str">
        <f>IF(All_Questions_Q_STREAM_CT="(None)","",IFERROR(INDEX(INDIRECT(IFERROR(INDEX(All_Questions_Options_Names,MATCH(All_Questions_Q_STREAM_CT,All_Questions,0)),"'_Options'!$E$2:$E$2")),9),""))</f>
        <v/>
      </c>
      <c r="V16" s="2" t="n"/>
      <c r="W16" s="2" t="str">
        <f>IF(All_Questions_Q_STREAM_CT="(None)","",IFERROR(INDEX(INDIRECT(IFERROR(INDEX(All_Questions_Options_Names,MATCH(All_Questions_Q_STREAM_CT,All_Questions,0)),"'_Options'!$E$2:$E$2")),10),""))</f>
        <v/>
      </c>
      <c r="X16" s="2" t="n"/>
      <c r="Y16" s="2" t="str">
        <f>IF(All_Questions_Q_STREAM_CT="(None)","",IFERROR(INDEX(INDIRECT(IFERROR(INDEX(All_Questions_Options_Names,MATCH(All_Questions_Q_STREAM_CT,All_Questions,0)),"'_Options'!$E$2:$E$2")),11),""))</f>
        <v/>
      </c>
      <c r="Z16" s="2" t="n"/>
      <c r="AA16" s="2" t="str">
        <f>IF(All_Questions_Q_STREAM_CT="(None)","",IFERROR(INDEX(INDIRECT(IFERROR(INDEX(All_Questions_Options_Names,MATCH(All_Questions_Q_STREAM_CT,All_Questions,0)),"'_Options'!$E$2:$E$2")),12),""))</f>
        <v/>
      </c>
      <c r="AB16" s="2" t="n"/>
      <c r="AC16" s="2" t="str">
        <f>IF(All_Questions_Q_STREAM_CT="(None)","",IF(COUNTA(INDIRECT(IFERROR(INDEX(All_Questions_Options_Names,MATCH(All_Questions_Q_STREAM_CT,All_Questions,0)),"'_Options'!$E$2:$E$2")))-1&gt;11,"Other",IFERROR(INDEX(INDIRECT(IFERROR(INDEX(All_Questions_Options_Names,MATCH(All_Questions_Q_STREAM_CT,All_Questions,0)),"'_Options'!$E$2:$E$2")),13),"")))</f>
        <v/>
      </c>
      <c r="AD16" s="2" t="n"/>
      <c r="AE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>
        <f>IF(OR(All_Questions_Q_STREAM_CT="(None)",G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8" s="7">
        <f>IFERROR(G18/(COUNTIFS(respondent_id_data,"&lt;&gt;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,0)</f>
        <v>0</v>
      </c>
      <c r="I18">
        <f>IF(OR(All_Questions_Q_STREAM_CT="(None)",I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8" s="7">
        <f>IFERROR(I18/(COUNTIFS(respondent_id_data,"&lt;&gt;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,0)</f>
        <v>0</v>
      </c>
      <c r="K18">
        <f>IF(OR(All_Questions_Q_STREAM_CT="(None)",K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8" s="7">
        <f>IFERROR(K18/(COUNTIFS(respondent_id_data,"&lt;&gt;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,0)</f>
        <v>0</v>
      </c>
      <c r="M18">
        <f>IF(OR(All_Questions_Q_STREAM_CT="(None)",M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8" s="7">
        <f>IFERROR(M18/(COUNTIFS(respondent_id_data,"&lt;&gt;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,0)</f>
        <v>0</v>
      </c>
      <c r="O18">
        <f>IF(OR(All_Questions_Q_STREAM_CT="(None)",O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8" s="7">
        <f>IFERROR(O18/(COUNTIFS(respondent_id_data,"&lt;&gt;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,0)</f>
        <v>0</v>
      </c>
      <c r="Q18">
        <f>IF(OR(All_Questions_Q_STREAM_CT="(None)",Q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8" s="7">
        <f>IFERROR(Q18/(COUNTIFS(respondent_id_data,"&lt;&gt;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,0)</f>
        <v>0</v>
      </c>
      <c r="S18">
        <f>IF(OR(All_Questions_Q_STREAM_CT="(None)",S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S$16))</f>
        <v>0</v>
      </c>
      <c r="T18" s="7">
        <f>IFERROR(S18/(COUNTIFS(respondent_id_data,"&lt;&gt;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S$16)),0)</f>
        <v>0</v>
      </c>
      <c r="U18">
        <f>IF(OR(All_Questions_Q_STREAM_CT="(None)",U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U$16))</f>
        <v>0</v>
      </c>
      <c r="V18" s="7">
        <f>IFERROR(U18/(COUNTIFS(respondent_id_data,"&lt;&gt;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U$16)),0)</f>
        <v>0</v>
      </c>
      <c r="W18">
        <f>IF(OR(All_Questions_Q_STREAM_CT="(None)",W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W$16))</f>
        <v>0</v>
      </c>
      <c r="X18" s="7">
        <f>IFERROR(W18/(COUNTIFS(respondent_id_data,"&lt;&gt;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W$16)),0)</f>
        <v>0</v>
      </c>
      <c r="Y18">
        <f>IF(OR(All_Questions_Q_STREAM_CT="(None)",Y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Y$16))</f>
        <v>0</v>
      </c>
      <c r="Z18" s="7">
        <f>IFERROR(Y18/(COUNTIFS(respondent_id_data,"&lt;&gt;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Y$16)),0)</f>
        <v>0</v>
      </c>
      <c r="AA18">
        <f>IF(OR(All_Questions_Q_STREAM_CT="(None)",AA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AA$16))</f>
        <v>0</v>
      </c>
      <c r="AB18" s="7">
        <f>IFERROR(AA18/(COUNTIFS(respondent_id_data,"&lt;&gt;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AA$16)),0)</f>
        <v>0</v>
      </c>
      <c r="AC18">
        <f>IF(OR(All_Questions_Q_STREAM_CT="(None)",AC$16=""),"",IF(AC$16="Other",COUNTIFS(Q_STREAM_data,"A",passes_workbook_filters_data,1,passes_workbook_custom_filters_data,1,All_Questions_passes_local_filters_data,1,All_Questions_Q_STREAM_F_passes_per_q_filter_data,1)-SUM(G18,I18,K18,M18,O18,Q18,S18,U18,W18,Y18,AA18)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AC$16)))</f>
        <v>0</v>
      </c>
      <c r="AD18" s="7">
        <f>IFERROR(AC18/(IF(AC$16="Other",COUNTIFS(respondent_id_data,"&lt;&gt;",passes_workbook_filters_data,1,passes_workbook_custom_filters_data,1,All_Questions_passes_local_filters_data,1,All_Questions_Q_STREAM_F_passes_per_q_filter_data,1)-(COUNTIFS(respondent_id_data,"&lt;&gt;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+COUNTIFS(respondent_id_data,"&lt;&gt;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+COUNTIFS(respondent_id_data,"&lt;&gt;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+COUNTIFS(respondent_id_data,"&lt;&gt;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+COUNTIFS(respondent_id_data,"&lt;&gt;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+COUNTIFS(respondent_id_data,"&lt;&gt;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+COUNTIFS(respondent_id_data,"&lt;&gt;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S$16)+COUNTIFS(respondent_id_data,"&lt;&gt;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U$16)+COUNTIFS(respondent_id_data,"&lt;&gt;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W$16)+COUNTIFS(respondent_id_data,"&lt;&gt;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Y$16)+COUNTIFS(respondent_id_data,"&lt;&gt;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AA$16)),COUNTIFS(respondent_id_data,"&lt;&gt;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AC$16))),0)</f>
        <v>0</v>
      </c>
      <c r="AE18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>
        <f>IF(OR(All_Questions_Q_STREAM_CT="(None)",G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9" s="7">
        <f>IFERROR(G19/(COUNTIFS(respondent_id_data,"&lt;&gt;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,0)</f>
        <v>0</v>
      </c>
      <c r="I19">
        <f>IF(OR(All_Questions_Q_STREAM_CT="(None)",I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9" s="7">
        <f>IFERROR(I19/(COUNTIFS(respondent_id_data,"&lt;&gt;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,0)</f>
        <v>0</v>
      </c>
      <c r="K19">
        <f>IF(OR(All_Questions_Q_STREAM_CT="(None)",K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9" s="7">
        <f>IFERROR(K19/(COUNTIFS(respondent_id_data,"&lt;&gt;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,0)</f>
        <v>0</v>
      </c>
      <c r="M19">
        <f>IF(OR(All_Questions_Q_STREAM_CT="(None)",M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9" s="7">
        <f>IFERROR(M19/(COUNTIFS(respondent_id_data,"&lt;&gt;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,0)</f>
        <v>0</v>
      </c>
      <c r="O19">
        <f>IF(OR(All_Questions_Q_STREAM_CT="(None)",O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9" s="7">
        <f>IFERROR(O19/(COUNTIFS(respondent_id_data,"&lt;&gt;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,0)</f>
        <v>0</v>
      </c>
      <c r="Q19">
        <f>IF(OR(All_Questions_Q_STREAM_CT="(None)",Q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9" s="7">
        <f>IFERROR(Q19/(COUNTIFS(respondent_id_data,"&lt;&gt;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,0)</f>
        <v>0</v>
      </c>
      <c r="S19">
        <f>IF(OR(All_Questions_Q_STREAM_CT="(None)",S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S$16))</f>
        <v>0</v>
      </c>
      <c r="T19" s="7">
        <f>IFERROR(S19/(COUNTIFS(respondent_id_data,"&lt;&gt;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S$16)),0)</f>
        <v>0</v>
      </c>
      <c r="U19">
        <f>IF(OR(All_Questions_Q_STREAM_CT="(None)",U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U$16))</f>
        <v>0</v>
      </c>
      <c r="V19" s="7">
        <f>IFERROR(U19/(COUNTIFS(respondent_id_data,"&lt;&gt;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U$16)),0)</f>
        <v>0</v>
      </c>
      <c r="W19">
        <f>IF(OR(All_Questions_Q_STREAM_CT="(None)",W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W$16))</f>
        <v>0</v>
      </c>
      <c r="X19" s="7">
        <f>IFERROR(W19/(COUNTIFS(respondent_id_data,"&lt;&gt;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W$16)),0)</f>
        <v>0</v>
      </c>
      <c r="Y19">
        <f>IF(OR(All_Questions_Q_STREAM_CT="(None)",Y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Y$16))</f>
        <v>0</v>
      </c>
      <c r="Z19" s="7">
        <f>IFERROR(Y19/(COUNTIFS(respondent_id_data,"&lt;&gt;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Y$16)),0)</f>
        <v>0</v>
      </c>
      <c r="AA19">
        <f>IF(OR(All_Questions_Q_STREAM_CT="(None)",AA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AA$16))</f>
        <v>0</v>
      </c>
      <c r="AB19" s="7">
        <f>IFERROR(AA19/(COUNTIFS(respondent_id_data,"&lt;&gt;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AA$16)),0)</f>
        <v>0</v>
      </c>
      <c r="AC19">
        <f>IF(OR(All_Questions_Q_STREAM_CT="(None)",AC$16=""),"",IF(AC$16="Other",COUNTIFS(Q_STREAM_data,"B",passes_workbook_filters_data,1,passes_workbook_custom_filters_data,1,All_Questions_passes_local_filters_data,1,All_Questions_Q_STREAM_F_passes_per_q_filter_data,1)-SUM(G19,I19,K19,M19,O19,Q19,S19,U19,W19,Y19,AA19)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AC$16)))</f>
        <v>0</v>
      </c>
      <c r="AD19" s="7">
        <f>IFERROR(AC19/(IF(AC$16="Other",COUNTIFS(respondent_id_data,"&lt;&gt;",passes_workbook_filters_data,1,passes_workbook_custom_filters_data,1,All_Questions_passes_local_filters_data,1,All_Questions_Q_STREAM_F_passes_per_q_filter_data,1)-(COUNTIFS(respondent_id_data,"&lt;&gt;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+COUNTIFS(respondent_id_data,"&lt;&gt;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+COUNTIFS(respondent_id_data,"&lt;&gt;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+COUNTIFS(respondent_id_data,"&lt;&gt;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+COUNTIFS(respondent_id_data,"&lt;&gt;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+COUNTIFS(respondent_id_data,"&lt;&gt;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+COUNTIFS(respondent_id_data,"&lt;&gt;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S$16)+COUNTIFS(respondent_id_data,"&lt;&gt;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U$16)+COUNTIFS(respondent_id_data,"&lt;&gt;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W$16)+COUNTIFS(respondent_id_data,"&lt;&gt;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Y$16)+COUNTIFS(respondent_id_data,"&lt;&gt;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AA$16)),COUNTIFS(respondent_id_data,"&lt;&gt;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AC$16))),0)</f>
        <v>0</v>
      </c>
      <c r="AE19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3">
    <mergeCell ref="K16:L16"/>
    <mergeCell ref="Q16:R16"/>
    <mergeCell ref="A1:J1"/>
    <mergeCell ref="O16:P16"/>
    <mergeCell ref="S16:T16"/>
    <mergeCell ref="W16:X16"/>
    <mergeCell ref="I16:J16"/>
    <mergeCell ref="G16:H16"/>
    <mergeCell ref="Y16:Z16"/>
    <mergeCell ref="AA16:AB16"/>
    <mergeCell ref="AC16:AD16"/>
    <mergeCell ref="U16:V16"/>
    <mergeCell ref="M16:N16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2026-05-18T12:49:06Z</dcterms:created>
  <dcterms:modified xmlns:dcterms="http://purl.org/dc/terms/" xmlns:xsi="http://www.w3.org/2001/XMLSchema-instance" xsi:type="dcterms:W3CDTF">2026-05-18T12:49:10Z</dcterms:modified>
</cp:coreProperties>
</file>