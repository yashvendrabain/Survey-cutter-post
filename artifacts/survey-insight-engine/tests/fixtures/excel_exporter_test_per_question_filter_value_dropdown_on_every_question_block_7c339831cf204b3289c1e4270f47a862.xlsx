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tables/table8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'_Options'!$J$2:$J$3</definedName>
    <definedName name="Q_GRID_EXPORTr1_local_options">'_Options'!$T$2:$T$4</definedName>
    <definedName name="Q_GRID_EXPORTr2_options">'_Options'!$K$2:$K$3</definedName>
    <definedName name="Q_GRID_EXPORTr2_local_options">'_Options'!$U$2:$U$4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'_RawData'!$U$2:$U$11</definedName>
    <definedName name="All_Questions_Q_VERY_LONG_SINGLE_SELECT_EXPORT_NAME_CT">'All Questions'!$C$58</definedName>
    <definedName name="All_Questions_Q_EXTRA_1_F_Q">'All Questions'!$C$67</definedName>
    <definedName name="All_Questions_Q_EXTRA_1_F_V">'All Questions'!$E$67</definedName>
    <definedName name="All_Questions_Q_EXTRA_1_F_resolved_column">'All Questions'!$F$67</definedName>
    <definedName name="All_Questions_Q_EXTRA_1_F_wrapped">'All Questions'!$G$67</definedName>
    <definedName name="All_Questions_Q_EXTRA_1_F_passes_per_q_filter_data">'_RawData'!$V$2:$V$11</definedName>
    <definedName name="All_Questions_Q_EXTRA_1_CT">'All Questions'!$C$68</definedName>
    <definedName name="All_Questions_Q_EXTRA_2_F_Q">'All Questions'!$C$77</definedName>
    <definedName name="All_Questions_Q_EXTRA_2_F_V">'All Questions'!$E$77</definedName>
    <definedName name="All_Questions_Q_EXTRA_2_F_resolved_column">'All Questions'!$F$77</definedName>
    <definedName name="All_Questions_Q_EXTRA_2_F_wrapped">'All Questions'!$G$77</definedName>
    <definedName name="All_Questions_Q_EXTRA_2_F_passes_per_q_filter_data">'_RawData'!$W$2:$W$11</definedName>
    <definedName name="All_Questions_Q_EXTRA_2_CT">'All Questions'!$C$78</definedName>
    <definedName name="All_Questions_Q_EXTRA_3_F_Q">'All Questions'!$C$87</definedName>
    <definedName name="All_Questions_Q_EXTRA_3_F_V">'All Questions'!$E$87</definedName>
    <definedName name="All_Questions_Q_EXTRA_3_F_resolved_column">'All Questions'!$F$87</definedName>
    <definedName name="All_Questions_Q_EXTRA_3_F_wrapped">'All Questions'!$G$87</definedName>
    <definedName name="All_Questions_Q_EXTRA_3_F_passes_per_q_filter_data">'_RawData'!$X$2:$X$11</definedName>
    <definedName name="All_Questions_Q_EXTRA_3_CT">'All Questions'!$C$88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  <c r="F67" i="7"/>
  <c r="G67" i="7"/>
  <c r="G70" i="7"/>
  <c r="H70" i="7"/>
  <c r="I70" i="7"/>
  <c r="J70" i="7"/>
  <c r="K70" i="7"/>
  <c r="L70" i="7"/>
  <c r="M70" i="7"/>
  <c r="N70" i="7"/>
  <c r="O70" i="7"/>
  <c r="P70" i="7"/>
  <c r="Q70" i="7"/>
  <c r="R70" i="7"/>
  <c r="B71" i="7"/>
  <c r="C71" i="7"/>
  <c r="D71" i="7"/>
  <c r="B72" i="7"/>
  <c r="C72" i="7"/>
  <c r="D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S74" i="7"/>
  <c r="F77" i="7"/>
  <c r="G77" i="7"/>
  <c r="G80" i="7"/>
  <c r="H80" i="7"/>
  <c r="I80" i="7"/>
  <c r="J80" i="7"/>
  <c r="K80" i="7"/>
  <c r="L80" i="7"/>
  <c r="M80" i="7"/>
  <c r="N80" i="7"/>
  <c r="O80" i="7"/>
  <c r="P80" i="7"/>
  <c r="Q80" i="7"/>
  <c r="R80" i="7"/>
  <c r="B81" i="7"/>
  <c r="C81" i="7"/>
  <c r="D81" i="7"/>
  <c r="B82" i="7"/>
  <c r="C82" i="7"/>
  <c r="D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S84" i="7"/>
  <c r="F87" i="7"/>
  <c r="G87" i="7"/>
  <c r="G90" i="7"/>
  <c r="H90" i="7"/>
  <c r="I90" i="7"/>
  <c r="J90" i="7"/>
  <c r="K90" i="7"/>
  <c r="L90" i="7"/>
  <c r="M90" i="7"/>
  <c r="N90" i="7"/>
  <c r="O90" i="7"/>
  <c r="P90" i="7"/>
  <c r="Q90" i="7"/>
  <c r="R90" i="7"/>
  <c r="B91" i="7"/>
  <c r="C91" i="7"/>
  <c r="D91" i="7"/>
  <c r="B92" i="7"/>
  <c r="C92" i="7"/>
  <c r="D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S9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70_1" displayName="T_All_Questions_70_1" ref="A70:D73" headerRowCount="1">
  <autoFilter ref="A70:D7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80_1" displayName="T_All_Questions_80_1" ref="A80:D83" headerRowCount="1">
  <autoFilter ref="A80:D8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_All_Questions_90_1" displayName="T_All_Questions_90_1" ref="A90:D93" headerRowCount="1">
  <autoFilter ref="A90:D9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*1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*1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*1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*1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*1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*1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*1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*1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*1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*1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*1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*1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*1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*1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*1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*1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*1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*1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*1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*1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</row>
    <row r="66">
      <c r="A66" s="12" t="inlineStr">
        <is>
          <t>Q_EXTRA_1 - Extra mixed block question 1</t>
        </is>
      </c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</row>
    <row r="67">
      <c r="A67" s="13" t="inlineStr">
        <is>
          <t>Per-question filter</t>
        </is>
      </c>
      <c r="B67" t="inlineStr">
        <is>
          <t>Filter Q</t>
        </is>
      </c>
      <c r="C67" t="inlineStr">
        <is>
          <t>(None)</t>
        </is>
      </c>
      <c r="D67" t="inlineStr">
        <is>
          <t>Value</t>
        </is>
      </c>
      <c r="E67" t="inlineStr">
        <is>
          <t>(All)</t>
        </is>
      </c>
      <c r="F67" t="str">
        <f>IFERROR(INDEX(All_Questions_Data_Names,MATCH(All_Questions_Q_EXTRA_1_F_Q,All_Questions,0)),"'_RawData'!$A:$A")</f>
        <v>respondent_id_data</v>
      </c>
      <c r="G67" t="str">
        <f>"|" &amp; SUBSTITUTE(All_Questions_Q_EXTRA_1_F_V, ", ", "|") &amp; "|"</f>
        <v>|(All)|</v>
      </c>
    </row>
    <row r="68">
      <c r="A68" s="13" t="inlineStr">
        <is>
          <t>Cross-tab by</t>
        </is>
      </c>
      <c r="C68" t="inlineStr">
        <is>
          <t>(None)</t>
        </is>
      </c>
    </row>
    <row r="70">
      <c r="A70" s="4" t="inlineStr">
        <is>
          <t>Option</t>
        </is>
      </c>
      <c r="B70" s="4" t="inlineStr">
        <is>
          <t>Count</t>
        </is>
      </c>
      <c r="C70" s="4" t="inlineStr">
        <is>
          <t>%</t>
        </is>
      </c>
      <c r="D70" s="4" t="inlineStr">
        <is>
          <t>Denominator</t>
        </is>
      </c>
      <c r="F70" s="4" t="inlineStr">
        <is>
          <t>Option</t>
        </is>
      </c>
      <c r="G70" s="2" t="str">
        <f>IF(All_Questions_Q_EXTRA_1_CT="(None)","",IFERROR(INDEX(INDIRECT(IFERROR(INDEX(All_Questions_Options_Names,MATCH(All_Questions_Q_EXTRA_1_CT,All_Questions,0)),"'_Options'!$E$2:$E$2")),2),""))</f>
        <v/>
      </c>
      <c r="H70" s="2" t="str">
        <f>IF(All_Questions_Q_EXTRA_1_CT="(None)","",IFERROR(INDEX(INDIRECT(IFERROR(INDEX(All_Questions_Options_Names,MATCH(All_Questions_Q_EXTRA_1_CT,All_Questions,0)),"'_Options'!$E$2:$E$2")),3),""))</f>
        <v/>
      </c>
      <c r="I70" s="2" t="str">
        <f>IF(All_Questions_Q_EXTRA_1_CT="(None)","",IFERROR(INDEX(INDIRECT(IFERROR(INDEX(All_Questions_Options_Names,MATCH(All_Questions_Q_EXTRA_1_CT,All_Questions,0)),"'_Options'!$E$2:$E$2")),4),""))</f>
        <v/>
      </c>
      <c r="J70" s="2" t="str">
        <f>IF(All_Questions_Q_EXTRA_1_CT="(None)","",IFERROR(INDEX(INDIRECT(IFERROR(INDEX(All_Questions_Options_Names,MATCH(All_Questions_Q_EXTRA_1_CT,All_Questions,0)),"'_Options'!$E$2:$E$2")),5),""))</f>
        <v/>
      </c>
      <c r="K70" s="2" t="str">
        <f>IF(All_Questions_Q_EXTRA_1_CT="(None)","",IFERROR(INDEX(INDIRECT(IFERROR(INDEX(All_Questions_Options_Names,MATCH(All_Questions_Q_EXTRA_1_CT,All_Questions,0)),"'_Options'!$E$2:$E$2")),6),""))</f>
        <v/>
      </c>
      <c r="L70" s="2" t="str">
        <f>IF(All_Questions_Q_EXTRA_1_CT="(None)","",IFERROR(INDEX(INDIRECT(IFERROR(INDEX(All_Questions_Options_Names,MATCH(All_Questions_Q_EXTRA_1_CT,All_Questions,0)),"'_Options'!$E$2:$E$2")),7),""))</f>
        <v/>
      </c>
      <c r="M70" s="2" t="str">
        <f>IF(All_Questions_Q_EXTRA_1_CT="(None)","",IFERROR(INDEX(INDIRECT(IFERROR(INDEX(All_Questions_Options_Names,MATCH(All_Questions_Q_EXTRA_1_CT,All_Questions,0)),"'_Options'!$E$2:$E$2")),8),""))</f>
        <v/>
      </c>
      <c r="N70" s="2" t="str">
        <f>IF(All_Questions_Q_EXTRA_1_CT="(None)","",IFERROR(INDEX(INDIRECT(IFERROR(INDEX(All_Questions_Options_Names,MATCH(All_Questions_Q_EXTRA_1_CT,All_Questions,0)),"'_Options'!$E$2:$E$2")),9),""))</f>
        <v/>
      </c>
      <c r="O70" s="2" t="str">
        <f>IF(All_Questions_Q_EXTRA_1_CT="(None)","",IFERROR(INDEX(INDIRECT(IFERROR(INDEX(All_Questions_Options_Names,MATCH(All_Questions_Q_EXTRA_1_CT,All_Questions,0)),"'_Options'!$E$2:$E$2")),10),""))</f>
        <v/>
      </c>
      <c r="P70" s="2" t="str">
        <f>IF(All_Questions_Q_EXTRA_1_CT="(None)","",IFERROR(INDEX(INDIRECT(IFERROR(INDEX(All_Questions_Options_Names,MATCH(All_Questions_Q_EXTRA_1_CT,All_Questions,0)),"'_Options'!$E$2:$E$2")),11),""))</f>
        <v/>
      </c>
      <c r="Q70" s="2" t="str">
        <f>IF(All_Questions_Q_EXTRA_1_CT="(None)","",IFERROR(INDEX(INDIRECT(IFERROR(INDEX(All_Questions_Options_Names,MATCH(All_Questions_Q_EXTRA_1_CT,All_Questions,0)),"'_Options'!$E$2:$E$2")),12),""))</f>
        <v/>
      </c>
      <c r="R70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0" s="4" t="inlineStr">
        <is>
          <t>Total</t>
        </is>
      </c>
    </row>
    <row r="71">
      <c r="A71" t="inlineStr">
        <is>
          <t>Extra 1 A</t>
        </is>
      </c>
      <c r="B71">
        <f>COUNTIFS(Q_EXTRA_1_data,"Extra 1 A",passes_workbook_filters_data,1,passes_workbook_custom_filters_data,1,All_Questions_passes_local_filters_data,1,All_Questions_Q_EXTRA_1_F_passes_per_q_filter_data,1)</f>
        <v>6</v>
      </c>
      <c r="C71" s="7">
        <f>IFERROR(B71/SUBTOTAL(9,B71:B72),0)</f>
        <v>0.6</v>
      </c>
      <c r="D71" s="14">
        <f>SUBTOTAL(9,B71:B72)</f>
        <v>10</v>
      </c>
      <c r="F71" s="4" t="inlineStr"/>
      <c r="G71" s="4" t="inlineStr">
        <is>
          <t># of resp</t>
        </is>
      </c>
      <c r="H71" s="4" t="inlineStr">
        <is>
          <t># of resp</t>
        </is>
      </c>
      <c r="I71" s="4" t="inlineStr">
        <is>
          <t># of resp</t>
        </is>
      </c>
      <c r="J71" s="4" t="inlineStr">
        <is>
          <t># of resp</t>
        </is>
      </c>
      <c r="K71" s="4" t="inlineStr">
        <is>
          <t># of resp</t>
        </is>
      </c>
      <c r="L71" s="4" t="inlineStr">
        <is>
          <t># of resp</t>
        </is>
      </c>
      <c r="M71" s="4" t="inlineStr">
        <is>
          <t># of resp</t>
        </is>
      </c>
      <c r="N71" s="4" t="inlineStr">
        <is>
          <t># of resp</t>
        </is>
      </c>
      <c r="O71" s="4" t="inlineStr">
        <is>
          <t># of resp</t>
        </is>
      </c>
      <c r="P71" s="4" t="inlineStr">
        <is>
          <t># of resp</t>
        </is>
      </c>
      <c r="Q71" s="4" t="inlineStr">
        <is>
          <t># of resp</t>
        </is>
      </c>
      <c r="R71" s="4" t="inlineStr">
        <is>
          <t># of resp</t>
        </is>
      </c>
      <c r="S71" s="4" t="inlineStr">
        <is>
          <t># of resp</t>
        </is>
      </c>
    </row>
    <row r="72">
      <c r="A72" t="inlineStr">
        <is>
          <t>Extra 1 B</t>
        </is>
      </c>
      <c r="B72">
        <f>COUNTIFS(Q_EXTRA_1_data,"Extra 1 B",passes_workbook_filters_data,1,passes_workbook_custom_filters_data,1,All_Questions_passes_local_filters_data,1,All_Questions_Q_EXTRA_1_F_passes_per_q_filter_data,1)</f>
        <v>4</v>
      </c>
      <c r="C72" s="7">
        <f>IFERROR(B72/SUBTOTAL(9,B71:B72),0)</f>
        <v>0.4</v>
      </c>
      <c r="D72" s="14">
        <f>SUBTOTAL(9,B71:B72)</f>
        <v>10</v>
      </c>
      <c r="F72" t="inlineStr">
        <is>
          <t>Extra 1 A</t>
        </is>
      </c>
      <c r="G72">
        <f>IF(OR(All_Questions_Q_EXTRA_1_CT="(None)",G$70=""),"",COUNTIFS(Q_EXTRA_1_data,"Extra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2">
        <f>IF(OR(All_Questions_Q_EXTRA_1_CT="(None)",H$70=""),"",COUNTIFS(Q_EXTRA_1_data,"Extra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2">
        <f>IF(OR(All_Questions_Q_EXTRA_1_CT="(None)",I$70=""),"",COUNTIFS(Q_EXTRA_1_data,"Extra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2">
        <f>IF(OR(All_Questions_Q_EXTRA_1_CT="(None)",J$70=""),"",COUNTIFS(Q_EXTRA_1_data,"Extra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2">
        <f>IF(OR(All_Questions_Q_EXTRA_1_CT="(None)",K$70=""),"",COUNTIFS(Q_EXTRA_1_data,"Extra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2">
        <f>IF(OR(All_Questions_Q_EXTRA_1_CT="(None)",L$70=""),"",COUNTIFS(Q_EXTRA_1_data,"Extra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2">
        <f>IF(OR(All_Questions_Q_EXTRA_1_CT="(None)",M$70=""),"",COUNTIFS(Q_EXTRA_1_data,"Extra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2">
        <f>IF(OR(All_Questions_Q_EXTRA_1_CT="(None)",N$70=""),"",COUNTIFS(Q_EXTRA_1_data,"Extra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2">
        <f>IF(OR(All_Questions_Q_EXTRA_1_CT="(None)",O$70=""),"",COUNTIFS(Q_EXTRA_1_data,"Extra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2">
        <f>IF(OR(All_Questions_Q_EXTRA_1_CT="(None)",P$70=""),"",COUNTIFS(Q_EXTRA_1_data,"Extra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2">
        <f>IF(OR(All_Questions_Q_EXTRA_1_CT="(None)",Q$70=""),"",COUNTIFS(Q_EXTRA_1_data,"Extra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2">
        <f>IF(OR(All_Questions_Q_EXTRA_1_CT="(None)",R$70=""),"",IF(R$70="Other",COUNTIFS(Q_EXTRA_1_data,"Extra 1 A",passes_workbook_filters_data,1,passes_workbook_custom_filters_data,1,All_Questions_passes_local_filters_data,1,All_Questions_Q_EXTRA_1_F_passes_per_q_filter_data,1)-SUM(G72,H72,I72,J72,K72,L72,M72,N72,O72,P72,Q72),COUNTIFS(Q_EXTRA_1_data,"Extra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2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3">
      <c r="A73" s="15" t="inlineStr">
        <is>
          <t>Total respondents</t>
        </is>
      </c>
      <c r="B73" s="15" t="n">
        <v>10</v>
      </c>
      <c r="C73" s="15" t="n"/>
      <c r="D73" s="15" t="n"/>
      <c r="F73" t="inlineStr">
        <is>
          <t>Extra 1 B</t>
        </is>
      </c>
      <c r="G73">
        <f>IF(OR(All_Questions_Q_EXTRA_1_CT="(None)",G$70=""),"",COUNTIFS(Q_EXTRA_1_data,"Extra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3">
        <f>IF(OR(All_Questions_Q_EXTRA_1_CT="(None)",H$70=""),"",COUNTIFS(Q_EXTRA_1_data,"Extra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3">
        <f>IF(OR(All_Questions_Q_EXTRA_1_CT="(None)",I$70=""),"",COUNTIFS(Q_EXTRA_1_data,"Extra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3">
        <f>IF(OR(All_Questions_Q_EXTRA_1_CT="(None)",J$70=""),"",COUNTIFS(Q_EXTRA_1_data,"Extra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3">
        <f>IF(OR(All_Questions_Q_EXTRA_1_CT="(None)",K$70=""),"",COUNTIFS(Q_EXTRA_1_data,"Extra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3">
        <f>IF(OR(All_Questions_Q_EXTRA_1_CT="(None)",L$70=""),"",COUNTIFS(Q_EXTRA_1_data,"Extra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3">
        <f>IF(OR(All_Questions_Q_EXTRA_1_CT="(None)",M$70=""),"",COUNTIFS(Q_EXTRA_1_data,"Extra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3">
        <f>IF(OR(All_Questions_Q_EXTRA_1_CT="(None)",N$70=""),"",COUNTIFS(Q_EXTRA_1_data,"Extra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3">
        <f>IF(OR(All_Questions_Q_EXTRA_1_CT="(None)",O$70=""),"",COUNTIFS(Q_EXTRA_1_data,"Extra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3">
        <f>IF(OR(All_Questions_Q_EXTRA_1_CT="(None)",P$70=""),"",COUNTIFS(Q_EXTRA_1_data,"Extra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3">
        <f>IF(OR(All_Questions_Q_EXTRA_1_CT="(None)",Q$70=""),"",COUNTIFS(Q_EXTRA_1_data,"Extra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3">
        <f>IF(OR(All_Questions_Q_EXTRA_1_CT="(None)",R$70=""),"",IF(R$70="Other",COUNTIFS(Q_EXTRA_1_data,"Extra 1 B",passes_workbook_filters_data,1,passes_workbook_custom_filters_data,1,All_Questions_passes_local_filters_data,1,All_Questions_Q_EXTRA_1_F_passes_per_q_filter_data,1)-SUM(G73,H73,I73,J73,K73,L73,M73,N73,O73,P73,Q73),COUNTIFS(Q_EXTRA_1_data,"Extra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3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4">
      <c r="F74" s="4" t="inlineStr">
        <is>
          <t>Total respondents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</row>
    <row r="76">
      <c r="A76" s="12" t="inlineStr">
        <is>
          <t>Q_EXTRA_2 - Extra mixed block question 2</t>
        </is>
      </c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</row>
    <row r="77">
      <c r="A77" s="13" t="inlineStr">
        <is>
          <t>Per-question filter</t>
        </is>
      </c>
      <c r="B77" t="inlineStr">
        <is>
          <t>Filter Q</t>
        </is>
      </c>
      <c r="C77" t="inlineStr">
        <is>
          <t>(None)</t>
        </is>
      </c>
      <c r="D77" t="inlineStr">
        <is>
          <t>Value</t>
        </is>
      </c>
      <c r="E77" t="inlineStr">
        <is>
          <t>(All)</t>
        </is>
      </c>
      <c r="F77" t="str">
        <f>IFERROR(INDEX(All_Questions_Data_Names,MATCH(All_Questions_Q_EXTRA_2_F_Q,All_Questions,0)),"'_RawData'!$A:$A")</f>
        <v>respondent_id_data</v>
      </c>
      <c r="G77" t="str">
        <f>"|" &amp; SUBSTITUTE(All_Questions_Q_EXTRA_2_F_V, ", ", "|") &amp; "|"</f>
        <v>|(All)|</v>
      </c>
    </row>
    <row r="78">
      <c r="A78" s="13" t="inlineStr">
        <is>
          <t>Cross-tab by</t>
        </is>
      </c>
      <c r="C78" t="inlineStr">
        <is>
          <t>(None)</t>
        </is>
      </c>
    </row>
    <row r="80">
      <c r="A80" s="4" t="inlineStr">
        <is>
          <t>Option</t>
        </is>
      </c>
      <c r="B80" s="4" t="inlineStr">
        <is>
          <t>Count</t>
        </is>
      </c>
      <c r="C80" s="4" t="inlineStr">
        <is>
          <t>%</t>
        </is>
      </c>
      <c r="D80" s="4" t="inlineStr">
        <is>
          <t>Denominator</t>
        </is>
      </c>
      <c r="F80" s="4" t="inlineStr">
        <is>
          <t>Option</t>
        </is>
      </c>
      <c r="G80" s="2" t="str">
        <f>IF(All_Questions_Q_EXTRA_2_CT="(None)","",IFERROR(INDEX(INDIRECT(IFERROR(INDEX(All_Questions_Options_Names,MATCH(All_Questions_Q_EXTRA_2_CT,All_Questions,0)),"'_Options'!$E$2:$E$2")),2),""))</f>
        <v/>
      </c>
      <c r="H80" s="2" t="str">
        <f>IF(All_Questions_Q_EXTRA_2_CT="(None)","",IFERROR(INDEX(INDIRECT(IFERROR(INDEX(All_Questions_Options_Names,MATCH(All_Questions_Q_EXTRA_2_CT,All_Questions,0)),"'_Options'!$E$2:$E$2")),3),""))</f>
        <v/>
      </c>
      <c r="I80" s="2" t="str">
        <f>IF(All_Questions_Q_EXTRA_2_CT="(None)","",IFERROR(INDEX(INDIRECT(IFERROR(INDEX(All_Questions_Options_Names,MATCH(All_Questions_Q_EXTRA_2_CT,All_Questions,0)),"'_Options'!$E$2:$E$2")),4),""))</f>
        <v/>
      </c>
      <c r="J80" s="2" t="str">
        <f>IF(All_Questions_Q_EXTRA_2_CT="(None)","",IFERROR(INDEX(INDIRECT(IFERROR(INDEX(All_Questions_Options_Names,MATCH(All_Questions_Q_EXTRA_2_CT,All_Questions,0)),"'_Options'!$E$2:$E$2")),5),""))</f>
        <v/>
      </c>
      <c r="K80" s="2" t="str">
        <f>IF(All_Questions_Q_EXTRA_2_CT="(None)","",IFERROR(INDEX(INDIRECT(IFERROR(INDEX(All_Questions_Options_Names,MATCH(All_Questions_Q_EXTRA_2_CT,All_Questions,0)),"'_Options'!$E$2:$E$2")),6),""))</f>
        <v/>
      </c>
      <c r="L80" s="2" t="str">
        <f>IF(All_Questions_Q_EXTRA_2_CT="(None)","",IFERROR(INDEX(INDIRECT(IFERROR(INDEX(All_Questions_Options_Names,MATCH(All_Questions_Q_EXTRA_2_CT,All_Questions,0)),"'_Options'!$E$2:$E$2")),7),""))</f>
        <v/>
      </c>
      <c r="M80" s="2" t="str">
        <f>IF(All_Questions_Q_EXTRA_2_CT="(None)","",IFERROR(INDEX(INDIRECT(IFERROR(INDEX(All_Questions_Options_Names,MATCH(All_Questions_Q_EXTRA_2_CT,All_Questions,0)),"'_Options'!$E$2:$E$2")),8),""))</f>
        <v/>
      </c>
      <c r="N80" s="2" t="str">
        <f>IF(All_Questions_Q_EXTRA_2_CT="(None)","",IFERROR(INDEX(INDIRECT(IFERROR(INDEX(All_Questions_Options_Names,MATCH(All_Questions_Q_EXTRA_2_CT,All_Questions,0)),"'_Options'!$E$2:$E$2")),9),""))</f>
        <v/>
      </c>
      <c r="O80" s="2" t="str">
        <f>IF(All_Questions_Q_EXTRA_2_CT="(None)","",IFERROR(INDEX(INDIRECT(IFERROR(INDEX(All_Questions_Options_Names,MATCH(All_Questions_Q_EXTRA_2_CT,All_Questions,0)),"'_Options'!$E$2:$E$2")),10),""))</f>
        <v/>
      </c>
      <c r="P80" s="2" t="str">
        <f>IF(All_Questions_Q_EXTRA_2_CT="(None)","",IFERROR(INDEX(INDIRECT(IFERROR(INDEX(All_Questions_Options_Names,MATCH(All_Questions_Q_EXTRA_2_CT,All_Questions,0)),"'_Options'!$E$2:$E$2")),11),""))</f>
        <v/>
      </c>
      <c r="Q80" s="2" t="str">
        <f>IF(All_Questions_Q_EXTRA_2_CT="(None)","",IFERROR(INDEX(INDIRECT(IFERROR(INDEX(All_Questions_Options_Names,MATCH(All_Questions_Q_EXTRA_2_CT,All_Questions,0)),"'_Options'!$E$2:$E$2")),12),""))</f>
        <v/>
      </c>
      <c r="R80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0" s="4" t="inlineStr">
        <is>
          <t>Total</t>
        </is>
      </c>
    </row>
    <row r="81">
      <c r="A81" t="inlineStr">
        <is>
          <t>Extra 2 A</t>
        </is>
      </c>
      <c r="B81">
        <f>COUNTIFS(Q_EXTRA_2_data,"Extra 2 A",passes_workbook_filters_data,1,passes_workbook_custom_filters_data,1,All_Questions_passes_local_filters_data,1,All_Questions_Q_EXTRA_2_F_passes_per_q_filter_data,1)</f>
        <v>6</v>
      </c>
      <c r="C81" s="7">
        <f>IFERROR(B81/SUBTOTAL(9,B81:B82),0)</f>
        <v>0.6</v>
      </c>
      <c r="D81" s="14">
        <f>SUBTOTAL(9,B81:B82)</f>
        <v>10</v>
      </c>
      <c r="F81" s="4" t="inlineStr"/>
      <c r="G81" s="4" t="inlineStr">
        <is>
          <t># of resp</t>
        </is>
      </c>
      <c r="H81" s="4" t="inlineStr">
        <is>
          <t># of resp</t>
        </is>
      </c>
      <c r="I81" s="4" t="inlineStr">
        <is>
          <t># of resp</t>
        </is>
      </c>
      <c r="J81" s="4" t="inlineStr">
        <is>
          <t># of resp</t>
        </is>
      </c>
      <c r="K81" s="4" t="inlineStr">
        <is>
          <t># of resp</t>
        </is>
      </c>
      <c r="L81" s="4" t="inlineStr">
        <is>
          <t># of resp</t>
        </is>
      </c>
      <c r="M81" s="4" t="inlineStr">
        <is>
          <t># of resp</t>
        </is>
      </c>
      <c r="N81" s="4" t="inlineStr">
        <is>
          <t># of resp</t>
        </is>
      </c>
      <c r="O81" s="4" t="inlineStr">
        <is>
          <t># of resp</t>
        </is>
      </c>
      <c r="P81" s="4" t="inlineStr">
        <is>
          <t># of resp</t>
        </is>
      </c>
      <c r="Q81" s="4" t="inlineStr">
        <is>
          <t># of resp</t>
        </is>
      </c>
      <c r="R81" s="4" t="inlineStr">
        <is>
          <t># of resp</t>
        </is>
      </c>
      <c r="S81" s="4" t="inlineStr">
        <is>
          <t># of resp</t>
        </is>
      </c>
    </row>
    <row r="82">
      <c r="A82" t="inlineStr">
        <is>
          <t>Extra 2 B</t>
        </is>
      </c>
      <c r="B82">
        <f>COUNTIFS(Q_EXTRA_2_data,"Extra 2 B",passes_workbook_filters_data,1,passes_workbook_custom_filters_data,1,All_Questions_passes_local_filters_data,1,All_Questions_Q_EXTRA_2_F_passes_per_q_filter_data,1)</f>
        <v>4</v>
      </c>
      <c r="C82" s="7">
        <f>IFERROR(B82/SUBTOTAL(9,B81:B82),0)</f>
        <v>0.4</v>
      </c>
      <c r="D82" s="14">
        <f>SUBTOTAL(9,B81:B82)</f>
        <v>10</v>
      </c>
      <c r="F82" t="inlineStr">
        <is>
          <t>Extra 2 A</t>
        </is>
      </c>
      <c r="G82">
        <f>IF(OR(All_Questions_Q_EXTRA_2_CT="(None)",G$80=""),"",COUNTIFS(Q_EXTRA_2_data,"Extra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2">
        <f>IF(OR(All_Questions_Q_EXTRA_2_CT="(None)",H$80=""),"",COUNTIFS(Q_EXTRA_2_data,"Extra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2">
        <f>IF(OR(All_Questions_Q_EXTRA_2_CT="(None)",I$80=""),"",COUNTIFS(Q_EXTRA_2_data,"Extra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2">
        <f>IF(OR(All_Questions_Q_EXTRA_2_CT="(None)",J$80=""),"",COUNTIFS(Q_EXTRA_2_data,"Extra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2">
        <f>IF(OR(All_Questions_Q_EXTRA_2_CT="(None)",K$80=""),"",COUNTIFS(Q_EXTRA_2_data,"Extra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2">
        <f>IF(OR(All_Questions_Q_EXTRA_2_CT="(None)",L$80=""),"",COUNTIFS(Q_EXTRA_2_data,"Extra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2">
        <f>IF(OR(All_Questions_Q_EXTRA_2_CT="(None)",M$80=""),"",COUNTIFS(Q_EXTRA_2_data,"Extra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2">
        <f>IF(OR(All_Questions_Q_EXTRA_2_CT="(None)",N$80=""),"",COUNTIFS(Q_EXTRA_2_data,"Extra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2">
        <f>IF(OR(All_Questions_Q_EXTRA_2_CT="(None)",O$80=""),"",COUNTIFS(Q_EXTRA_2_data,"Extra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2">
        <f>IF(OR(All_Questions_Q_EXTRA_2_CT="(None)",P$80=""),"",COUNTIFS(Q_EXTRA_2_data,"Extra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2">
        <f>IF(OR(All_Questions_Q_EXTRA_2_CT="(None)",Q$80=""),"",COUNTIFS(Q_EXTRA_2_data,"Extra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2">
        <f>IF(OR(All_Questions_Q_EXTRA_2_CT="(None)",R$80=""),"",IF(R$80="Other",COUNTIFS(Q_EXTRA_2_data,"Extra 2 A",passes_workbook_filters_data,1,passes_workbook_custom_filters_data,1,All_Questions_passes_local_filters_data,1,All_Questions_Q_EXTRA_2_F_passes_per_q_filter_data,1)-SUM(G82,H82,I82,J82,K82,L82,M82,N82,O82,P82,Q82),COUNTIFS(Q_EXTRA_2_data,"Extra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2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3">
      <c r="A83" s="15" t="inlineStr">
        <is>
          <t>Total respondents</t>
        </is>
      </c>
      <c r="B83" s="15" t="n">
        <v>10</v>
      </c>
      <c r="C83" s="15" t="n"/>
      <c r="D83" s="15" t="n"/>
      <c r="F83" t="inlineStr">
        <is>
          <t>Extra 2 B</t>
        </is>
      </c>
      <c r="G83">
        <f>IF(OR(All_Questions_Q_EXTRA_2_CT="(None)",G$80=""),"",COUNTIFS(Q_EXTRA_2_data,"Extra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3">
        <f>IF(OR(All_Questions_Q_EXTRA_2_CT="(None)",H$80=""),"",COUNTIFS(Q_EXTRA_2_data,"Extra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3">
        <f>IF(OR(All_Questions_Q_EXTRA_2_CT="(None)",I$80=""),"",COUNTIFS(Q_EXTRA_2_data,"Extra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3">
        <f>IF(OR(All_Questions_Q_EXTRA_2_CT="(None)",J$80=""),"",COUNTIFS(Q_EXTRA_2_data,"Extra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3">
        <f>IF(OR(All_Questions_Q_EXTRA_2_CT="(None)",K$80=""),"",COUNTIFS(Q_EXTRA_2_data,"Extra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3">
        <f>IF(OR(All_Questions_Q_EXTRA_2_CT="(None)",L$80=""),"",COUNTIFS(Q_EXTRA_2_data,"Extra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3">
        <f>IF(OR(All_Questions_Q_EXTRA_2_CT="(None)",M$80=""),"",COUNTIFS(Q_EXTRA_2_data,"Extra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3">
        <f>IF(OR(All_Questions_Q_EXTRA_2_CT="(None)",N$80=""),"",COUNTIFS(Q_EXTRA_2_data,"Extra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3">
        <f>IF(OR(All_Questions_Q_EXTRA_2_CT="(None)",O$80=""),"",COUNTIFS(Q_EXTRA_2_data,"Extra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3">
        <f>IF(OR(All_Questions_Q_EXTRA_2_CT="(None)",P$80=""),"",COUNTIFS(Q_EXTRA_2_data,"Extra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3">
        <f>IF(OR(All_Questions_Q_EXTRA_2_CT="(None)",Q$80=""),"",COUNTIFS(Q_EXTRA_2_data,"Extra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3">
        <f>IF(OR(All_Questions_Q_EXTRA_2_CT="(None)",R$80=""),"",IF(R$80="Other",COUNTIFS(Q_EXTRA_2_data,"Extra 2 B",passes_workbook_filters_data,1,passes_workbook_custom_filters_data,1,All_Questions_passes_local_filters_data,1,All_Questions_Q_EXTRA_2_F_passes_per_q_filter_data,1)-SUM(G83,H83,I83,J83,K83,L83,M83,N83,O83,P83,Q83),COUNTIFS(Q_EXTRA_2_data,"Extra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3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4">
      <c r="F84" s="4" t="inlineStr">
        <is>
          <t>Total respondents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</row>
    <row r="86">
      <c r="A86" s="12" t="inlineStr">
        <is>
          <t>Q_EXTRA_3 - Extra mixed block question 3</t>
        </is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</row>
    <row r="87">
      <c r="A87" s="13" t="inlineStr">
        <is>
          <t>Per-question filter</t>
        </is>
      </c>
      <c r="B87" t="inlineStr">
        <is>
          <t>Filter Q</t>
        </is>
      </c>
      <c r="C87" t="inlineStr">
        <is>
          <t>(None)</t>
        </is>
      </c>
      <c r="D87" t="inlineStr">
        <is>
          <t>Value</t>
        </is>
      </c>
      <c r="E87" t="inlineStr">
        <is>
          <t>(All)</t>
        </is>
      </c>
      <c r="F87" t="str">
        <f>IFERROR(INDEX(All_Questions_Data_Names,MATCH(All_Questions_Q_EXTRA_3_F_Q,All_Questions,0)),"'_RawData'!$A:$A")</f>
        <v>respondent_id_data</v>
      </c>
      <c r="G87" t="str">
        <f>"|" &amp; SUBSTITUTE(All_Questions_Q_EXTRA_3_F_V, ", ", "|") &amp; "|"</f>
        <v>|(All)|</v>
      </c>
    </row>
    <row r="88">
      <c r="A88" s="13" t="inlineStr">
        <is>
          <t>Cross-tab by</t>
        </is>
      </c>
      <c r="C88" t="inlineStr">
        <is>
          <t>(None)</t>
        </is>
      </c>
    </row>
    <row r="90">
      <c r="A90" s="4" t="inlineStr">
        <is>
          <t>Option</t>
        </is>
      </c>
      <c r="B90" s="4" t="inlineStr">
        <is>
          <t>Count</t>
        </is>
      </c>
      <c r="C90" s="4" t="inlineStr">
        <is>
          <t>%</t>
        </is>
      </c>
      <c r="D90" s="4" t="inlineStr">
        <is>
          <t>Denominator</t>
        </is>
      </c>
      <c r="F90" s="4" t="inlineStr">
        <is>
          <t>Option</t>
        </is>
      </c>
      <c r="G90" s="2" t="str">
        <f>IF(All_Questions_Q_EXTRA_3_CT="(None)","",IFERROR(INDEX(INDIRECT(IFERROR(INDEX(All_Questions_Options_Names,MATCH(All_Questions_Q_EXTRA_3_CT,All_Questions,0)),"'_Options'!$E$2:$E$2")),2),""))</f>
        <v/>
      </c>
      <c r="H90" s="2" t="str">
        <f>IF(All_Questions_Q_EXTRA_3_CT="(None)","",IFERROR(INDEX(INDIRECT(IFERROR(INDEX(All_Questions_Options_Names,MATCH(All_Questions_Q_EXTRA_3_CT,All_Questions,0)),"'_Options'!$E$2:$E$2")),3),""))</f>
        <v/>
      </c>
      <c r="I90" s="2" t="str">
        <f>IF(All_Questions_Q_EXTRA_3_CT="(None)","",IFERROR(INDEX(INDIRECT(IFERROR(INDEX(All_Questions_Options_Names,MATCH(All_Questions_Q_EXTRA_3_CT,All_Questions,0)),"'_Options'!$E$2:$E$2")),4),""))</f>
        <v/>
      </c>
      <c r="J90" s="2" t="str">
        <f>IF(All_Questions_Q_EXTRA_3_CT="(None)","",IFERROR(INDEX(INDIRECT(IFERROR(INDEX(All_Questions_Options_Names,MATCH(All_Questions_Q_EXTRA_3_CT,All_Questions,0)),"'_Options'!$E$2:$E$2")),5),""))</f>
        <v/>
      </c>
      <c r="K90" s="2" t="str">
        <f>IF(All_Questions_Q_EXTRA_3_CT="(None)","",IFERROR(INDEX(INDIRECT(IFERROR(INDEX(All_Questions_Options_Names,MATCH(All_Questions_Q_EXTRA_3_CT,All_Questions,0)),"'_Options'!$E$2:$E$2")),6),""))</f>
        <v/>
      </c>
      <c r="L90" s="2" t="str">
        <f>IF(All_Questions_Q_EXTRA_3_CT="(None)","",IFERROR(INDEX(INDIRECT(IFERROR(INDEX(All_Questions_Options_Names,MATCH(All_Questions_Q_EXTRA_3_CT,All_Questions,0)),"'_Options'!$E$2:$E$2")),7),""))</f>
        <v/>
      </c>
      <c r="M90" s="2" t="str">
        <f>IF(All_Questions_Q_EXTRA_3_CT="(None)","",IFERROR(INDEX(INDIRECT(IFERROR(INDEX(All_Questions_Options_Names,MATCH(All_Questions_Q_EXTRA_3_CT,All_Questions,0)),"'_Options'!$E$2:$E$2")),8),""))</f>
        <v/>
      </c>
      <c r="N90" s="2" t="str">
        <f>IF(All_Questions_Q_EXTRA_3_CT="(None)","",IFERROR(INDEX(INDIRECT(IFERROR(INDEX(All_Questions_Options_Names,MATCH(All_Questions_Q_EXTRA_3_CT,All_Questions,0)),"'_Options'!$E$2:$E$2")),9),""))</f>
        <v/>
      </c>
      <c r="O90" s="2" t="str">
        <f>IF(All_Questions_Q_EXTRA_3_CT="(None)","",IFERROR(INDEX(INDIRECT(IFERROR(INDEX(All_Questions_Options_Names,MATCH(All_Questions_Q_EXTRA_3_CT,All_Questions,0)),"'_Options'!$E$2:$E$2")),10),""))</f>
        <v/>
      </c>
      <c r="P90" s="2" t="str">
        <f>IF(All_Questions_Q_EXTRA_3_CT="(None)","",IFERROR(INDEX(INDIRECT(IFERROR(INDEX(All_Questions_Options_Names,MATCH(All_Questions_Q_EXTRA_3_CT,All_Questions,0)),"'_Options'!$E$2:$E$2")),11),""))</f>
        <v/>
      </c>
      <c r="Q90" s="2" t="str">
        <f>IF(All_Questions_Q_EXTRA_3_CT="(None)","",IFERROR(INDEX(INDIRECT(IFERROR(INDEX(All_Questions_Options_Names,MATCH(All_Questions_Q_EXTRA_3_CT,All_Questions,0)),"'_Options'!$E$2:$E$2")),12),""))</f>
        <v/>
      </c>
      <c r="R90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0" s="4" t="inlineStr">
        <is>
          <t>Total</t>
        </is>
      </c>
    </row>
    <row r="91">
      <c r="A91" t="inlineStr">
        <is>
          <t>Extra 3 A</t>
        </is>
      </c>
      <c r="B91">
        <f>COUNTIFS(Q_EXTRA_3_data,"Extra 3 A",passes_workbook_filters_data,1,passes_workbook_custom_filters_data,1,All_Questions_passes_local_filters_data,1,All_Questions_Q_EXTRA_3_F_passes_per_q_filter_data,1)</f>
        <v>6</v>
      </c>
      <c r="C91" s="7">
        <f>IFERROR(B91/SUBTOTAL(9,B91:B92),0)</f>
        <v>0.6</v>
      </c>
      <c r="D91" s="14">
        <f>SUBTOTAL(9,B91:B92)</f>
        <v>10</v>
      </c>
      <c r="F91" s="4" t="inlineStr"/>
      <c r="G91" s="4" t="inlineStr">
        <is>
          <t># of resp</t>
        </is>
      </c>
      <c r="H91" s="4" t="inlineStr">
        <is>
          <t># of resp</t>
        </is>
      </c>
      <c r="I91" s="4" t="inlineStr">
        <is>
          <t># of resp</t>
        </is>
      </c>
      <c r="J91" s="4" t="inlineStr">
        <is>
          <t># of resp</t>
        </is>
      </c>
      <c r="K91" s="4" t="inlineStr">
        <is>
          <t># of resp</t>
        </is>
      </c>
      <c r="L91" s="4" t="inlineStr">
        <is>
          <t># of resp</t>
        </is>
      </c>
      <c r="M91" s="4" t="inlineStr">
        <is>
          <t># of resp</t>
        </is>
      </c>
      <c r="N91" s="4" t="inlineStr">
        <is>
          <t># of resp</t>
        </is>
      </c>
      <c r="O91" s="4" t="inlineStr">
        <is>
          <t># of resp</t>
        </is>
      </c>
      <c r="P91" s="4" t="inlineStr">
        <is>
          <t># of resp</t>
        </is>
      </c>
      <c r="Q91" s="4" t="inlineStr">
        <is>
          <t># of resp</t>
        </is>
      </c>
      <c r="R91" s="4" t="inlineStr">
        <is>
          <t># of resp</t>
        </is>
      </c>
      <c r="S91" s="4" t="inlineStr">
        <is>
          <t># of resp</t>
        </is>
      </c>
    </row>
    <row r="92">
      <c r="A92" t="inlineStr">
        <is>
          <t>Extra 3 B</t>
        </is>
      </c>
      <c r="B92">
        <f>COUNTIFS(Q_EXTRA_3_data,"Extra 3 B",passes_workbook_filters_data,1,passes_workbook_custom_filters_data,1,All_Questions_passes_local_filters_data,1,All_Questions_Q_EXTRA_3_F_passes_per_q_filter_data,1)</f>
        <v>4</v>
      </c>
      <c r="C92" s="7">
        <f>IFERROR(B92/SUBTOTAL(9,B91:B92),0)</f>
        <v>0.4</v>
      </c>
      <c r="D92" s="14">
        <f>SUBTOTAL(9,B91:B92)</f>
        <v>10</v>
      </c>
      <c r="F92" t="inlineStr">
        <is>
          <t>Extra 3 A</t>
        </is>
      </c>
      <c r="G92">
        <f>IF(OR(All_Questions_Q_EXTRA_3_CT="(None)",G$90=""),"",COUNTIFS(Q_EXTRA_3_data,"Extra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2">
        <f>IF(OR(All_Questions_Q_EXTRA_3_CT="(None)",H$90=""),"",COUNTIFS(Q_EXTRA_3_data,"Extra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2">
        <f>IF(OR(All_Questions_Q_EXTRA_3_CT="(None)",I$90=""),"",COUNTIFS(Q_EXTRA_3_data,"Extra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2">
        <f>IF(OR(All_Questions_Q_EXTRA_3_CT="(None)",J$90=""),"",COUNTIFS(Q_EXTRA_3_data,"Extra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2">
        <f>IF(OR(All_Questions_Q_EXTRA_3_CT="(None)",K$90=""),"",COUNTIFS(Q_EXTRA_3_data,"Extra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2">
        <f>IF(OR(All_Questions_Q_EXTRA_3_CT="(None)",L$90=""),"",COUNTIFS(Q_EXTRA_3_data,"Extra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2">
        <f>IF(OR(All_Questions_Q_EXTRA_3_CT="(None)",M$90=""),"",COUNTIFS(Q_EXTRA_3_data,"Extra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2">
        <f>IF(OR(All_Questions_Q_EXTRA_3_CT="(None)",N$90=""),"",COUNTIFS(Q_EXTRA_3_data,"Extra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2">
        <f>IF(OR(All_Questions_Q_EXTRA_3_CT="(None)",O$90=""),"",COUNTIFS(Q_EXTRA_3_data,"Extra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2">
        <f>IF(OR(All_Questions_Q_EXTRA_3_CT="(None)",P$90=""),"",COUNTIFS(Q_EXTRA_3_data,"Extra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2">
        <f>IF(OR(All_Questions_Q_EXTRA_3_CT="(None)",Q$90=""),"",COUNTIFS(Q_EXTRA_3_data,"Extra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2">
        <f>IF(OR(All_Questions_Q_EXTRA_3_CT="(None)",R$90=""),"",IF(R$90="Other",COUNTIFS(Q_EXTRA_3_data,"Extra 3 A",passes_workbook_filters_data,1,passes_workbook_custom_filters_data,1,All_Questions_passes_local_filters_data,1,All_Questions_Q_EXTRA_3_F_passes_per_q_filter_data,1)-SUM(G92,H92,I92,J92,K92,L92,M92,N92,O92,P92,Q92),COUNTIFS(Q_EXTRA_3_data,"Extra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2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3">
      <c r="A93" s="15" t="inlineStr">
        <is>
          <t>Total respondents</t>
        </is>
      </c>
      <c r="B93" s="15" t="n">
        <v>10</v>
      </c>
      <c r="C93" s="15" t="n"/>
      <c r="D93" s="15" t="n"/>
      <c r="F93" t="inlineStr">
        <is>
          <t>Extra 3 B</t>
        </is>
      </c>
      <c r="G93">
        <f>IF(OR(All_Questions_Q_EXTRA_3_CT="(None)",G$90=""),"",COUNTIFS(Q_EXTRA_3_data,"Extra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3">
        <f>IF(OR(All_Questions_Q_EXTRA_3_CT="(None)",H$90=""),"",COUNTIFS(Q_EXTRA_3_data,"Extra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3">
        <f>IF(OR(All_Questions_Q_EXTRA_3_CT="(None)",I$90=""),"",COUNTIFS(Q_EXTRA_3_data,"Extra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3">
        <f>IF(OR(All_Questions_Q_EXTRA_3_CT="(None)",J$90=""),"",COUNTIFS(Q_EXTRA_3_data,"Extra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3">
        <f>IF(OR(All_Questions_Q_EXTRA_3_CT="(None)",K$90=""),"",COUNTIFS(Q_EXTRA_3_data,"Extra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3">
        <f>IF(OR(All_Questions_Q_EXTRA_3_CT="(None)",L$90=""),"",COUNTIFS(Q_EXTRA_3_data,"Extra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3">
        <f>IF(OR(All_Questions_Q_EXTRA_3_CT="(None)",M$90=""),"",COUNTIFS(Q_EXTRA_3_data,"Extra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3">
        <f>IF(OR(All_Questions_Q_EXTRA_3_CT="(None)",N$90=""),"",COUNTIFS(Q_EXTRA_3_data,"Extra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3">
        <f>IF(OR(All_Questions_Q_EXTRA_3_CT="(None)",O$90=""),"",COUNTIFS(Q_EXTRA_3_data,"Extra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3">
        <f>IF(OR(All_Questions_Q_EXTRA_3_CT="(None)",P$90=""),"",COUNTIFS(Q_EXTRA_3_data,"Extra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3">
        <f>IF(OR(All_Questions_Q_EXTRA_3_CT="(None)",Q$90=""),"",COUNTIFS(Q_EXTRA_3_data,"Extra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3">
        <f>IF(OR(All_Questions_Q_EXTRA_3_CT="(None)",R$90=""),"",IF(R$90="Other",COUNTIFS(Q_EXTRA_3_data,"Extra 3 B",passes_workbook_filters_data,1,passes_workbook_custom_filters_data,1,All_Questions_passes_local_filters_data,1,All_Questions_Q_EXTRA_3_F_passes_per_q_filter_data,1)-SUM(G93,H93,I93,J93,K93,L93,M93,N93,O93,P93,Q93),COUNTIFS(Q_EXTRA_3_data,"Extra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3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4">
      <c r="F94" s="4" t="inlineStr">
        <is>
          <t>Total respondents</t>
        </is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1:B72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1:C72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2:G7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2:H7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2:I73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2:J73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2:K73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2:L73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2:M73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2:N73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2:O73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2:P73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2:Q73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2:R73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1:B82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1:C82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2:G8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2:H8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2:I83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2:J83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2:K83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2:L83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2:M83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2:N83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2:O83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2:P83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2:Q83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2:R83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1:B92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1:C92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2:G93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2:H93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2:I93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2:J93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2:K93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2:L93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2:M93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2:N93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2:O93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2:P93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2:Q93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2:R93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  <dataValidation sqref="C67" showDropDown="0" showInputMessage="0" showErrorMessage="0" allowBlank="1" type="list">
      <formula1>=All_Questions</formula1>
    </dataValidation>
    <dataValidation sqref="E67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8" showDropDown="0" showInputMessage="0" showErrorMessage="0" allowBlank="1" type="list">
      <formula1>=All_Questions</formula1>
    </dataValidation>
    <dataValidation sqref="C77" showDropDown="0" showInputMessage="0" showErrorMessage="0" allowBlank="1" type="list">
      <formula1>=All_Questions</formula1>
    </dataValidation>
    <dataValidation sqref="E77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8" showDropDown="0" showInputMessage="0" showErrorMessage="0" allowBlank="1" type="list">
      <formula1>=All_Questions</formula1>
    </dataValidation>
    <dataValidation sqref="C87" showDropDown="0" showInputMessage="0" showErrorMessage="0" allowBlank="1" type="list">
      <formula1>=All_Questions</formula1>
    </dataValidation>
    <dataValidation sqref="E87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2026-05-28T09:25:33Z</dcterms:created>
  <dcterms:modified xmlns:dcterms="http://purl.org/dc/terms/" xmlns:xsi="http://www.w3.org/2001/XMLSchema-instance" xsi:type="dcterms:W3CDTF">2026-05-28T09:25:39Z</dcterms:modified>
</cp:coreProperties>
</file>