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resolved_criteria">'All Questions'!$H$13</definedName>
    <definedName name="All_Questions_Q43_F_passes_per_q_filter_data">'_RawData'!$I$2:$I$5</definedName>
    <definedName name="All_Questions_Q43_CT">'All Questions'!$C$14</definedName>
    <definedName name="All_Questions_Q43_PTS">'All Questions'!$C$16:$C$17</definedName>
    <definedName name="All_Questions_Q43_RM">'All Questions'!$Q$27</definedName>
    <definedName name="All_Questions_Q43_RP">'All Questions'!$Q$28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21" i="7"/>
  <c r="D21" i="7"/>
  <c r="E21" i="7"/>
  <c r="F21" i="7"/>
  <c r="G21" i="7"/>
  <c r="C22" i="7"/>
  <c r="D22" i="7"/>
  <c r="E22" i="7"/>
  <c r="F22" i="7"/>
  <c r="G22" i="7"/>
  <c r="B23" i="7"/>
  <c r="B24" i="7"/>
  <c r="C25" i="7"/>
  <c r="B27" i="7"/>
  <c r="C27" i="7"/>
  <c r="D27" i="7"/>
  <c r="E27" i="7"/>
  <c r="F27" i="7"/>
  <c r="G27" i="7"/>
  <c r="H27" i="7"/>
  <c r="I27" i="7"/>
  <c r="J27" i="7"/>
  <c r="K27" i="7"/>
  <c r="L27" i="7"/>
  <c r="M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N31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9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("|" &amp; SUBSTITUTE(All_Questions_Q43_F_resolved_criteria, ", ", "|") &amp; "|"))),1,0),0))*1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("|" &amp; SUBSTITUTE(All_Questions_Q43_F_resolved_criteria, ", ", "|") &amp; "|"))),1,0),0))*1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("|" &amp; SUBSTITUTE(All_Questions_Q43_F_resolved_criteria, ", ", "|") &amp; "|"))),1,0),0))*1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("|" &amp; SUBSTITUTE(All_Questions_Q43_F_resolved_criteria,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1</t>
        </is>
      </c>
      <c r="G3" t="inlineStr">
        <is>
          <t>2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2</t>
        </is>
      </c>
    </row>
    <row r="5">
      <c r="H5" t="inlineStr">
        <is>
          <t>2</t>
        </is>
      </c>
      <c r="I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IFERROR(INDEX(All_Questions_Value_Data_Names,MATCH(All_Questions_Q43_F_Q&amp;"|"&amp;All_Questions_Q43_F_V,All_Questions_Value_Keys,0)),IFERROR(INDEX(All_Questions_Data_Names,MATCH(All_Questions_Q43_F_Q,All_Questions,0)),"'_RawData'!$A:$A"))</f>
        <v>respondent_id_data</v>
      </c>
      <c r="G13" t="str">
        <f>"|" &amp; SUBSTITUTE(All_Questions_Q43_F_V, ", ", "|") &amp; "|"</f>
        <v>|(All)|</v>
      </c>
      <c r="H13" t="str">
        <f>IFERROR(INDEX(All_Questions_Value_Criteria,MATCH(All_Questions_Q43_F_Q&amp;"|"&amp;All_Questions_Q43_F_V,All_Questions_Value_Keys,0)),All_Questions_Q43_F_V)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Rank points</t>
        </is>
      </c>
      <c r="B15" s="14" t="inlineStr">
        <is>
          <t>Rank</t>
        </is>
      </c>
      <c r="C15" s="14" t="inlineStr">
        <is>
          <t>Points</t>
        </is>
      </c>
    </row>
    <row r="16">
      <c r="A16" s="15" t="n"/>
      <c r="B16" s="15" t="inlineStr">
        <is>
          <t>Rank 1</t>
        </is>
      </c>
      <c r="C16" s="16" t="n">
        <v>2</v>
      </c>
    </row>
    <row r="17">
      <c r="A17" s="15" t="n"/>
      <c r="B17" s="15" t="inlineStr">
        <is>
          <t>Rank 2</t>
        </is>
      </c>
      <c r="C17" s="16" t="n">
        <v>1</v>
      </c>
    </row>
    <row r="18"/>
    <row r="19">
      <c r="A19" s="4" t="inlineStr">
        <is>
          <t>Option ID</t>
        </is>
      </c>
      <c r="B19" s="4" t="inlineStr">
        <is>
          <t>Option</t>
        </is>
      </c>
      <c r="C19" s="4" t="inlineStr">
        <is>
          <t>Weighted Average</t>
        </is>
      </c>
      <c r="D19" s="4" t="inlineStr">
        <is>
          <t>1</t>
        </is>
      </c>
      <c r="E19" s="2" t="n"/>
      <c r="F19" s="4" t="inlineStr">
        <is>
          <t>2</t>
        </is>
      </c>
      <c r="G19" s="2" t="n"/>
    </row>
    <row r="20">
      <c r="A20" s="2" t="n"/>
      <c r="B20" s="2" t="n"/>
      <c r="C20" s="4" t="inlineStr">
        <is>
          <t>0-K</t>
        </is>
      </c>
      <c r="D20" s="4" t="inlineStr">
        <is>
          <t># of respondents</t>
        </is>
      </c>
      <c r="E20" s="4" t="inlineStr">
        <is>
          <t>% of respondents</t>
        </is>
      </c>
      <c r="F20" s="4" t="inlineStr">
        <is>
          <t># of respondents</t>
        </is>
      </c>
      <c r="G20" s="4" t="inlineStr">
        <is>
          <t>% of respondents</t>
        </is>
      </c>
    </row>
    <row r="21">
      <c r="A21" s="17" t="inlineStr">
        <is>
          <t>Q43r1</t>
        </is>
      </c>
      <c r="B21" t="inlineStr">
        <is>
          <t>Criterion A</t>
        </is>
      </c>
      <c r="C21" s="18">
        <f>IFERROR((INDEX(All_Questions_Q43_PTS,1)*COUNTIFS(Q43r1_data,"1",passes_workbook_filters_data,1,passes_workbook_custom_filters_data,1,All_Questions_passes_local_filters_data,1,All_Questions_Q43_F_passes_per_q_filter_data,1) + INDEX(All_Questions_Q43_PTS,2)*COUNTIFS(Q43r1_data,"2",passes_workbook_filters_data,1,passes_workbook_custom_filters_data,1,All_Questions_passes_local_filters_data,1,All_Questions_Q43_F_passes_per_q_filter_data,1))/$B$23,0)</f>
        <v>1.25</v>
      </c>
      <c r="D21" s="19">
        <f>COUNTIFS(Q43r1_data,"1",passes_workbook_filters_data,1,passes_workbook_custom_filters_data,1,All_Questions_passes_local_filters_data,1,All_Questions_Q43_F_passes_per_q_filter_data,1)</f>
        <v>2</v>
      </c>
      <c r="E21" s="7">
        <f>IFERROR(D21/$B$23,0)</f>
        <v>0.5</v>
      </c>
      <c r="F21" s="19">
        <f>COUNTIFS(Q43r1_data,"2",passes_workbook_filters_data,1,passes_workbook_custom_filters_data,1,All_Questions_passes_local_filters_data,1,All_Questions_Q43_F_passes_per_q_filter_data,1)</f>
        <v>1</v>
      </c>
      <c r="G21" s="7">
        <f>IFERROR(F21/$B$23,0)</f>
        <v>0.25</v>
      </c>
    </row>
    <row r="22">
      <c r="A22" s="17" t="inlineStr">
        <is>
          <t>Q43r2</t>
        </is>
      </c>
      <c r="B22" t="inlineStr">
        <is>
          <t>Criterion B</t>
        </is>
      </c>
      <c r="C22" s="18">
        <f>IFERROR((INDEX(All_Questions_Q43_PTS,1)*COUNTIFS(Q43r2_data,"1",passes_workbook_filters_data,1,passes_workbook_custom_filters_data,1,All_Questions_passes_local_filters_data,1,All_Questions_Q43_F_passes_per_q_filter_data,1) + INDEX(All_Questions_Q43_PTS,2)*COUNTIFS(Q43r2_data,"2",passes_workbook_filters_data,1,passes_workbook_custom_filters_data,1,All_Questions_passes_local_filters_data,1,All_Questions_Q43_F_passes_per_q_filter_data,1))/$B$23,0)</f>
        <v>1.25</v>
      </c>
      <c r="D22" s="19">
        <f>COUNTIFS(Q43r2_data,"1",passes_workbook_filters_data,1,passes_workbook_custom_filters_data,1,All_Questions_passes_local_filters_data,1,All_Questions_Q43_F_passes_per_q_filter_data,1)</f>
        <v>2</v>
      </c>
      <c r="E22" s="7">
        <f>IFERROR(D22/$B$23,0)</f>
        <v>0.5</v>
      </c>
      <c r="F22" s="19">
        <f>COUNTIFS(Q43r2_data,"2",passes_workbook_filters_data,1,passes_workbook_custom_filters_data,1,All_Questions_passes_local_filters_data,1,All_Questions_Q43_F_passes_per_q_filter_data,1)</f>
        <v>1</v>
      </c>
      <c r="G22" s="7">
        <f>IFERROR(F22/$B$23,0)</f>
        <v>0.25</v>
      </c>
    </row>
    <row r="23">
      <c r="A23" s="20" t="inlineStr">
        <is>
          <t>Total respondents</t>
        </is>
      </c>
      <c r="B23" s="21">
        <f>SUMPRODUCT(--((--(Q43r1_data&lt;&gt;"")+--(Q43r2_data&lt;&gt;""))&gt;0),--(passes_workbook_filters_data=1),--(passes_workbook_custom_filters_data=1),--(All_Questions_passes_local_filters_data=1),--(All_Questions_Q43_F_passes_per_q_filter_data=1))</f>
        <v>4</v>
      </c>
      <c r="C23" s="20" t="n"/>
      <c r="D23" s="20" t="n"/>
      <c r="E23" s="20" t="n"/>
      <c r="F23" s="20" t="n"/>
      <c r="G23" s="20" t="n"/>
    </row>
    <row r="24">
      <c r="A24" s="4" t="inlineStr">
        <is>
          <t>Total responses</t>
        </is>
      </c>
      <c r="B24" s="22">
        <f>SUM(D21,F21,D22,F22)</f>
        <v>6</v>
      </c>
      <c r="C24" s="4" t="n"/>
      <c r="D24" s="4" t="n"/>
      <c r="E24" s="4" t="n"/>
      <c r="F24" s="4" t="n"/>
      <c r="G24" s="4" t="n"/>
    </row>
    <row r="25">
      <c r="B25" s="5" t="inlineStr">
        <is>
          <t>QC check</t>
        </is>
      </c>
      <c r="C25">
        <f>B24=SUM(D21,F21,D22,F22)</f>
        <v>1</v>
      </c>
    </row>
    <row r="26"/>
    <row r="27">
      <c r="A27" s="4" t="inlineStr">
        <is>
          <t>Option</t>
        </is>
      </c>
      <c r="B27" s="2" t="str">
        <f>IF(All_Questions_Q43_CT="(None)","",IFERROR(INDEX(INDIRECT(IFERROR(INDEX(Cross_Tab_Questions_Options_Names,MATCH(All_Questions_Q43_CT,Cross_Tab_Questions,0)),"'_Options'!$E$2:$E$2")),2),""))</f>
        <v/>
      </c>
      <c r="C27" s="2" t="str">
        <f>IF(All_Questions_Q43_CT="(None)","",IFERROR(INDEX(INDIRECT(IFERROR(INDEX(Cross_Tab_Questions_Options_Names,MATCH(All_Questions_Q43_CT,Cross_Tab_Questions,0)),"'_Options'!$E$2:$E$2")),3),""))</f>
        <v/>
      </c>
      <c r="D27" s="2" t="str">
        <f>IF(All_Questions_Q43_CT="(None)","",IFERROR(INDEX(INDIRECT(IFERROR(INDEX(Cross_Tab_Questions_Options_Names,MATCH(All_Questions_Q43_CT,Cross_Tab_Questions,0)),"'_Options'!$E$2:$E$2")),4),""))</f>
        <v/>
      </c>
      <c r="E27" s="2" t="str">
        <f>IF(All_Questions_Q43_CT="(None)","",IFERROR(INDEX(INDIRECT(IFERROR(INDEX(Cross_Tab_Questions_Options_Names,MATCH(All_Questions_Q43_CT,Cross_Tab_Questions,0)),"'_Options'!$E$2:$E$2")),5),""))</f>
        <v/>
      </c>
      <c r="F27" s="2" t="str">
        <f>IF(All_Questions_Q43_CT="(None)","",IFERROR(INDEX(INDIRECT(IFERROR(INDEX(Cross_Tab_Questions_Options_Names,MATCH(All_Questions_Q43_CT,Cross_Tab_Questions,0)),"'_Options'!$E$2:$E$2")),6),""))</f>
        <v/>
      </c>
      <c r="G27" s="2" t="str">
        <f>IF(All_Questions_Q43_CT="(None)","",IFERROR(INDEX(INDIRECT(IFERROR(INDEX(Cross_Tab_Questions_Options_Names,MATCH(All_Questions_Q43_CT,Cross_Tab_Questions,0)),"'_Options'!$E$2:$E$2")),7),""))</f>
        <v/>
      </c>
      <c r="H27" s="2" t="str">
        <f>IF(All_Questions_Q43_CT="(None)","",IFERROR(INDEX(INDIRECT(IFERROR(INDEX(Cross_Tab_Questions_Options_Names,MATCH(All_Questions_Q43_CT,Cross_Tab_Questions,0)),"'_Options'!$E$2:$E$2")),8),""))</f>
        <v/>
      </c>
      <c r="I27" s="2" t="str">
        <f>IF(All_Questions_Q43_CT="(None)","",IFERROR(INDEX(INDIRECT(IFERROR(INDEX(Cross_Tab_Questions_Options_Names,MATCH(All_Questions_Q43_CT,Cross_Tab_Questions,0)),"'_Options'!$E$2:$E$2")),9),""))</f>
        <v/>
      </c>
      <c r="J27" s="2" t="str">
        <f>IF(All_Questions_Q43_CT="(None)","",IFERROR(INDEX(INDIRECT(IFERROR(INDEX(Cross_Tab_Questions_Options_Names,MATCH(All_Questions_Q43_CT,Cross_Tab_Questions,0)),"'_Options'!$E$2:$E$2")),10),""))</f>
        <v/>
      </c>
      <c r="K27" s="2" t="str">
        <f>IF(All_Questions_Q43_CT="(None)","",IFERROR(INDEX(INDIRECT(IFERROR(INDEX(Cross_Tab_Questions_Options_Names,MATCH(All_Questions_Q43_CT,Cross_Tab_Questions,0)),"'_Options'!$E$2:$E$2")),11),""))</f>
        <v/>
      </c>
      <c r="L27" s="2" t="str">
        <f>IF(All_Questions_Q43_CT="(None)","",IFERROR(INDEX(INDIRECT(IFERROR(INDEX(Cross_Tab_Questions_Options_Names,MATCH(All_Questions_Q43_CT,Cross_Tab_Questions,0)),"'_Options'!$E$2:$E$2")),12),""))</f>
        <v/>
      </c>
      <c r="M27" s="2" t="str">
        <f>IF(All_Questions_Q43_CT="(None)","",IF(COUNTA(INDIRECT(IFERROR(INDEX(Cross_Tab_Questions_Options_Names,MATCH(All_Questions_Q43_CT,Cross_Tab_Questions,0)),"'_Options'!$E$2:$E$2")))-1&gt;11,"Other",IFERROR(INDEX(INDIRECT(IFERROR(INDEX(Cross_Tab_Questions_Options_Names,MATCH(All_Questions_Q43_CT,Cross_Tab_Questions,0)),"'_Options'!$E$2:$E$2")),13),"")))</f>
        <v/>
      </c>
      <c r="N27" s="4" t="inlineStr">
        <is>
          <t>Total</t>
        </is>
      </c>
      <c r="P27" s="14" t="inlineStr">
        <is>
          <t>Rank metric</t>
        </is>
      </c>
      <c r="Q27" s="15" t="inlineStr">
        <is>
          <t>Weighted Average</t>
        </is>
      </c>
    </row>
    <row r="28">
      <c r="A28" s="4" t="inlineStr"/>
      <c r="B28" s="4" t="str">
        <f>IF(All_Questions_Q43_RM="Sum of ranks","Sum of ranks",IF(All_Questions_Q43_RM="Rank position count","Rank position count","Weighted Average"))</f>
        <v>Weighted Average</v>
      </c>
      <c r="C28" s="4" t="str">
        <f>IF(All_Questions_Q43_RM="Sum of ranks","Sum of ranks",IF(All_Questions_Q43_RM="Rank position count","Rank position count","Weighted Average"))</f>
        <v>Weighted Average</v>
      </c>
      <c r="D28" s="4" t="str">
        <f>IF(All_Questions_Q43_RM="Sum of ranks","Sum of ranks",IF(All_Questions_Q43_RM="Rank position count","Rank position count","Weighted Average"))</f>
        <v>Weighted Average</v>
      </c>
      <c r="E28" s="4" t="str">
        <f>IF(All_Questions_Q43_RM="Sum of ranks","Sum of ranks",IF(All_Questions_Q43_RM="Rank position count","Rank position count","Weighted Average"))</f>
        <v>Weighted Average</v>
      </c>
      <c r="F28" s="4" t="str">
        <f>IF(All_Questions_Q43_RM="Sum of ranks","Sum of ranks",IF(All_Questions_Q43_RM="Rank position count","Rank position count","Weighted Average"))</f>
        <v>Weighted Average</v>
      </c>
      <c r="G28" s="4" t="str">
        <f>IF(All_Questions_Q43_RM="Sum of ranks","Sum of ranks",IF(All_Questions_Q43_RM="Rank position count","Rank position count","Weighted Average"))</f>
        <v>Weighted Average</v>
      </c>
      <c r="H28" s="4" t="str">
        <f>IF(All_Questions_Q43_RM="Sum of ranks","Sum of ranks",IF(All_Questions_Q43_RM="Rank position count","Rank position count","Weighted Average"))</f>
        <v>Weighted Average</v>
      </c>
      <c r="I28" s="4" t="str">
        <f>IF(All_Questions_Q43_RM="Sum of ranks","Sum of ranks",IF(All_Questions_Q43_RM="Rank position count","Rank position count","Weighted Average"))</f>
        <v>Weighted Average</v>
      </c>
      <c r="J28" s="4" t="str">
        <f>IF(All_Questions_Q43_RM="Sum of ranks","Sum of ranks",IF(All_Questions_Q43_RM="Rank position count","Rank position count","Weighted Average"))</f>
        <v>Weighted Average</v>
      </c>
      <c r="K28" s="4" t="str">
        <f>IF(All_Questions_Q43_RM="Sum of ranks","Sum of ranks",IF(All_Questions_Q43_RM="Rank position count","Rank position count","Weighted Average"))</f>
        <v>Weighted Average</v>
      </c>
      <c r="L28" s="4" t="str">
        <f>IF(All_Questions_Q43_RM="Sum of ranks","Sum of ranks",IF(All_Questions_Q43_RM="Rank position count","Rank position count","Weighted Average"))</f>
        <v>Weighted Average</v>
      </c>
      <c r="M28" s="4" t="str">
        <f>IF(All_Questions_Q43_RM="Sum of ranks","Sum of ranks",IF(All_Questions_Q43_RM="Rank position count","Rank position count","Weighted Average"))</f>
        <v>Weighted Average</v>
      </c>
      <c r="N28" s="4" t="str">
        <f>IF(All_Questions_Q43_RM="Sum of ranks","Sum of ranks",IF(All_Questions_Q43_RM="Rank position count","Rank position count","Weighted Average"))</f>
        <v>Weighted Average</v>
      </c>
      <c r="P28" s="14" t="inlineStr">
        <is>
          <t>Rank position</t>
        </is>
      </c>
      <c r="Q28" s="15" t="n">
        <v>1</v>
      </c>
    </row>
    <row r="29">
      <c r="A29" t="inlineStr">
        <is>
          <t>Criterion A</t>
        </is>
      </c>
      <c r="B29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1.25</v>
      </c>
      <c r="C29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1.25</v>
      </c>
      <c r="D29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1.25</v>
      </c>
      <c r="E29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1.25</v>
      </c>
      <c r="F29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1.25</v>
      </c>
      <c r="G29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1.25</v>
      </c>
      <c r="H29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1.25</v>
      </c>
      <c r="I29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1.25</v>
      </c>
      <c r="J29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1.25</v>
      </c>
      <c r="K29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1.25</v>
      </c>
      <c r="L29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1.25</v>
      </c>
      <c r="M29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1.25</v>
      </c>
      <c r="N29">
        <f>IF(All_Questions_Q43_CT="(None)","",IF(All_Questions_Q43_RM="Sum of ranks",IFERROR(SUMIFS(Q43r1_data,Q43r1_data,"&gt;=1",passes_workbook_filters_data,1,passes_workbook_custom_filters_data,1,All_Questions_passes_local_filters_data,1,All_Questions_Q43_F_passes_per_q_filter_data,1),""),IF(All_Questions_Q43_RM="Rank position count",IFERROR(COUNTIFS(Q43r1_data,All_Questions_Q43_RP,passes_workbook_filters_data,1,passes_workbook_custom_filters_data,1,All_Questions_passes_local_filters_data,1,All_Questions_Q43_F_passes_per_q_filter_data,1),""),IFERROR((INDEX(All_Questions_Q43_PTS,1)*COUNTIFS(Q43r1_data,1,passes_workbook_filters_data,1,passes_workbook_custom_filters_data,1,All_Questions_passes_local_filters_data,1,All_Questions_Q43_F_passes_per_q_filter_data,1) + INDEX(All_Questions_Q43_PTS,2)*COUNTIFS(Q43r1_data,2,passes_workbook_filters_data,1,passes_workbook_custom_filters_data,1,All_Questions_passes_local_filters_data,1,All_Questions_Q43_F_passes_per_q_filter_data,1))/SUMPRODUCT(--((--(Q43r1_data&lt;&gt;"")+--(Q43r2_data&lt;&gt;""))&gt;0),--(passes_workbook_filters_data=1),--(passes_workbook_custom_filters_data=1),--(All_Questions_passes_local_filters_data=1),--(All_Questions_Q43_F_passes_per_q_filter_data=1)),""))))</f>
        <v>1.25</v>
      </c>
    </row>
    <row r="30">
      <c r="A30" t="inlineStr">
        <is>
          <t>Criterion B</t>
        </is>
      </c>
      <c r="B30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1.25</v>
      </c>
      <c r="C30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1.25</v>
      </c>
      <c r="D30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1.25</v>
      </c>
      <c r="E30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1.25</v>
      </c>
      <c r="F30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1.25</v>
      </c>
      <c r="G30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1.25</v>
      </c>
      <c r="H30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1.25</v>
      </c>
      <c r="I30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1.25</v>
      </c>
      <c r="J30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1.25</v>
      </c>
      <c r="K30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1.25</v>
      </c>
      <c r="L30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1.25</v>
      </c>
      <c r="M30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1.25</v>
      </c>
      <c r="N30">
        <f>IF(All_Questions_Q43_CT="(None)","",IF(All_Questions_Q43_RM="Sum of ranks",IFERROR(SUMIFS(Q43r2_data,Q43r2_data,"&gt;=1",passes_workbook_filters_data,1,passes_workbook_custom_filters_data,1,All_Questions_passes_local_filters_data,1,All_Questions_Q43_F_passes_per_q_filter_data,1),""),IF(All_Questions_Q43_RM="Rank position count",IFERROR(COUNTIFS(Q43r2_data,All_Questions_Q43_RP,passes_workbook_filters_data,1,passes_workbook_custom_filters_data,1,All_Questions_passes_local_filters_data,1,All_Questions_Q43_F_passes_per_q_filter_data,1),""),IFERROR((INDEX(All_Questions_Q43_PTS,1)*COUNTIFS(Q43r2_data,1,passes_workbook_filters_data,1,passes_workbook_custom_filters_data,1,All_Questions_passes_local_filters_data,1,All_Questions_Q43_F_passes_per_q_filter_data,1) + INDEX(All_Questions_Q43_PTS,2)*COUNTIFS(Q43r2_data,2,passes_workbook_filters_data,1,passes_workbook_custom_filters_data,1,All_Questions_passes_local_filters_data,1,All_Questions_Q43_F_passes_per_q_filter_data,1))/SUMPRODUCT(--((--(Q43r1_data&lt;&gt;"")+--(Q43r2_data&lt;&gt;""))&gt;0),--(passes_workbook_filters_data=1),--(passes_workbook_custom_filters_data=1),--(All_Questions_passes_local_filters_data=1),--(All_Questions_Q43_F_passes_per_q_filter_data=1)),""))))</f>
        <v>1.25</v>
      </c>
    </row>
    <row r="31">
      <c r="A31" s="4" t="inlineStr">
        <is>
          <t>Total respondents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>
        <f>IF(All_Questions_Q43_CT="(None)","",COUNTIFS(respondent_id_data,"&lt;&gt;",passes_workbook_filters_data,1,passes_workbook_custom_filters_data,1,All_Questions_passes_local_filters_data,1,All_Questions_Q43_F_passes_per_q_filter_data,1))</f>
        <v>0</v>
      </c>
    </row>
  </sheetData>
  <mergeCells count="3">
    <mergeCell ref="A1:J1"/>
    <mergeCell ref="F19:G19"/>
    <mergeCell ref="D19:E19"/>
  </mergeCells>
  <conditionalFormatting sqref="E21:E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1:G2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1:C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Q27" showDropDown="0" showInputMessage="0" showErrorMessage="0" allowBlank="0" type="list">
      <formula1>"Weighted Average,Sum of ranks,Rank position count"</formula1>
    </dataValidation>
    <dataValidation sqref="Q28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cross_tab_by_rank_weighted_average</t>
        </is>
      </c>
      <c r="C2" t="inlineStr">
        <is>
          <t>Q43</t>
        </is>
      </c>
      <c r="D2" t="inlineStr">
        <is>
          <t>Q43r1</t>
        </is>
      </c>
      <c r="E2" t="inlineStr">
        <is>
          <t>All_Questions_Q43_CT = B$27</t>
        </is>
      </c>
      <c r="H2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2" t="n">
        <v>1.25</v>
      </c>
      <c r="J2" t="n">
        <v>0</v>
      </c>
      <c r="K2" t="n">
        <v>0</v>
      </c>
      <c r="L2" t="inlineStr">
        <is>
          <t>2026-06-09T11:32:13.968380+00:00</t>
        </is>
      </c>
    </row>
    <row r="3">
      <c r="A3" t="inlineStr">
        <is>
          <t>All Questions</t>
        </is>
      </c>
      <c r="B3" t="inlineStr">
        <is>
          <t>cross_tab_by_rank_sum_of_ranks</t>
        </is>
      </c>
      <c r="C3" t="inlineStr">
        <is>
          <t>Q43</t>
        </is>
      </c>
      <c r="D3" t="inlineStr">
        <is>
          <t>Q43r1</t>
        </is>
      </c>
      <c r="E3" t="inlineStr">
        <is>
          <t>All_Questions_Q43_CT = B$27</t>
        </is>
      </c>
      <c r="H3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3" t="n">
        <v>1.25</v>
      </c>
      <c r="J3" t="n">
        <v>0</v>
      </c>
      <c r="K3" t="n">
        <v>0</v>
      </c>
      <c r="L3" t="inlineStr">
        <is>
          <t>2026-06-09T11:32:13.968450+00:00</t>
        </is>
      </c>
    </row>
    <row r="4">
      <c r="A4" t="inlineStr">
        <is>
          <t>All Questions</t>
        </is>
      </c>
      <c r="B4" t="inlineStr">
        <is>
          <t>cross_tab_by_rank_position_count</t>
        </is>
      </c>
      <c r="C4" t="inlineStr">
        <is>
          <t>Q43</t>
        </is>
      </c>
      <c r="D4" t="inlineStr">
        <is>
          <t>Q43r1</t>
        </is>
      </c>
      <c r="E4" t="inlineStr">
        <is>
          <t>All_Questions_Q43_CT = B$27</t>
        </is>
      </c>
      <c r="H4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4" t="n">
        <v>1.25</v>
      </c>
      <c r="J4" t="n">
        <v>0</v>
      </c>
      <c r="K4" t="n">
        <v>0</v>
      </c>
      <c r="L4" t="inlineStr">
        <is>
          <t>2026-06-09T11:32:13.968488+00:00</t>
        </is>
      </c>
    </row>
    <row r="5">
      <c r="A5" t="inlineStr">
        <is>
          <t>All Questions</t>
        </is>
      </c>
      <c r="B5" t="inlineStr">
        <is>
          <t>cross_tab_by_rank_weighted_average</t>
        </is>
      </c>
      <c r="C5" t="inlineStr">
        <is>
          <t>Q43</t>
        </is>
      </c>
      <c r="D5" t="inlineStr">
        <is>
          <t>Q43r1</t>
        </is>
      </c>
      <c r="E5" t="inlineStr">
        <is>
          <t>All_Questions_Q43_CT = C$27</t>
        </is>
      </c>
      <c r="H5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5" t="n">
        <v>1.25</v>
      </c>
      <c r="J5" t="n">
        <v>0</v>
      </c>
      <c r="K5" t="n">
        <v>0</v>
      </c>
      <c r="L5" t="inlineStr">
        <is>
          <t>2026-06-09T11:32:13.968836+00:00</t>
        </is>
      </c>
    </row>
    <row r="6">
      <c r="A6" t="inlineStr">
        <is>
          <t>All Questions</t>
        </is>
      </c>
      <c r="B6" t="inlineStr">
        <is>
          <t>cross_tab_by_rank_sum_of_ranks</t>
        </is>
      </c>
      <c r="C6" t="inlineStr">
        <is>
          <t>Q43</t>
        </is>
      </c>
      <c r="D6" t="inlineStr">
        <is>
          <t>Q43r1</t>
        </is>
      </c>
      <c r="E6" t="inlineStr">
        <is>
          <t>All_Questions_Q43_CT = C$27</t>
        </is>
      </c>
      <c r="H6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6" t="n">
        <v>1.25</v>
      </c>
      <c r="J6" t="n">
        <v>0</v>
      </c>
      <c r="K6" t="n">
        <v>0</v>
      </c>
      <c r="L6" t="inlineStr">
        <is>
          <t>2026-06-09T11:32:13.968877+00:00</t>
        </is>
      </c>
    </row>
    <row r="7">
      <c r="A7" t="inlineStr">
        <is>
          <t>All Questions</t>
        </is>
      </c>
      <c r="B7" t="inlineStr">
        <is>
          <t>cross_tab_by_rank_position_count</t>
        </is>
      </c>
      <c r="C7" t="inlineStr">
        <is>
          <t>Q43</t>
        </is>
      </c>
      <c r="D7" t="inlineStr">
        <is>
          <t>Q43r1</t>
        </is>
      </c>
      <c r="E7" t="inlineStr">
        <is>
          <t>All_Questions_Q43_CT = C$27</t>
        </is>
      </c>
      <c r="H7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7" t="n">
        <v>1.25</v>
      </c>
      <c r="J7" t="n">
        <v>0</v>
      </c>
      <c r="K7" t="n">
        <v>0</v>
      </c>
      <c r="L7" t="inlineStr">
        <is>
          <t>2026-06-09T11:32:13.968914+00:00</t>
        </is>
      </c>
    </row>
    <row r="8">
      <c r="A8" t="inlineStr">
        <is>
          <t>All Questions</t>
        </is>
      </c>
      <c r="B8" t="inlineStr">
        <is>
          <t>cross_tab_by_rank_weighted_average</t>
        </is>
      </c>
      <c r="C8" t="inlineStr">
        <is>
          <t>Q43</t>
        </is>
      </c>
      <c r="D8" t="inlineStr">
        <is>
          <t>Q43r1</t>
        </is>
      </c>
      <c r="E8" t="inlineStr">
        <is>
          <t>All_Questions_Q43_CT = D$27</t>
        </is>
      </c>
      <c r="H8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8" t="n">
        <v>1.25</v>
      </c>
      <c r="J8" t="n">
        <v>0</v>
      </c>
      <c r="K8" t="n">
        <v>0</v>
      </c>
      <c r="L8" t="inlineStr">
        <is>
          <t>2026-06-09T11:32:13.969315+00:00</t>
        </is>
      </c>
    </row>
    <row r="9">
      <c r="A9" t="inlineStr">
        <is>
          <t>All Questions</t>
        </is>
      </c>
      <c r="B9" t="inlineStr">
        <is>
          <t>cross_tab_by_rank_sum_of_ranks</t>
        </is>
      </c>
      <c r="C9" t="inlineStr">
        <is>
          <t>Q43</t>
        </is>
      </c>
      <c r="D9" t="inlineStr">
        <is>
          <t>Q43r1</t>
        </is>
      </c>
      <c r="E9" t="inlineStr">
        <is>
          <t>All_Questions_Q43_CT = D$27</t>
        </is>
      </c>
      <c r="H9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9" t="n">
        <v>1.25</v>
      </c>
      <c r="J9" t="n">
        <v>0</v>
      </c>
      <c r="K9" t="n">
        <v>0</v>
      </c>
      <c r="L9" t="inlineStr">
        <is>
          <t>2026-06-09T11:32:13.969355+00:00</t>
        </is>
      </c>
    </row>
    <row r="10">
      <c r="A10" t="inlineStr">
        <is>
          <t>All Questions</t>
        </is>
      </c>
      <c r="B10" t="inlineStr">
        <is>
          <t>cross_tab_by_rank_position_count</t>
        </is>
      </c>
      <c r="C10" t="inlineStr">
        <is>
          <t>Q43</t>
        </is>
      </c>
      <c r="D10" t="inlineStr">
        <is>
          <t>Q43r1</t>
        </is>
      </c>
      <c r="E10" t="inlineStr">
        <is>
          <t>All_Questions_Q43_CT = D$27</t>
        </is>
      </c>
      <c r="H10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10" t="n">
        <v>1.25</v>
      </c>
      <c r="J10" t="n">
        <v>0</v>
      </c>
      <c r="K10" t="n">
        <v>0</v>
      </c>
      <c r="L10" t="inlineStr">
        <is>
          <t>2026-06-09T11:32:13.969391+00:00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Q43</t>
        </is>
      </c>
      <c r="D11" t="inlineStr">
        <is>
          <t>Q43r1</t>
        </is>
      </c>
      <c r="E11" t="inlineStr">
        <is>
          <t>All_Questions_Q43_CT = E$27</t>
        </is>
      </c>
      <c r="H11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11" t="n">
        <v>1.25</v>
      </c>
      <c r="J11" t="n">
        <v>0</v>
      </c>
      <c r="K11" t="n">
        <v>0</v>
      </c>
      <c r="L11" t="inlineStr">
        <is>
          <t>2026-06-09T11:32:13.969809+00:00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Q43</t>
        </is>
      </c>
      <c r="D12" t="inlineStr">
        <is>
          <t>Q43r1</t>
        </is>
      </c>
      <c r="E12" t="inlineStr">
        <is>
          <t>All_Questions_Q43_CT = E$27</t>
        </is>
      </c>
      <c r="H12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12" t="n">
        <v>1.25</v>
      </c>
      <c r="J12" t="n">
        <v>0</v>
      </c>
      <c r="K12" t="n">
        <v>0</v>
      </c>
      <c r="L12" t="inlineStr">
        <is>
          <t>2026-06-09T11:32:13.969849+00:00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Q43</t>
        </is>
      </c>
      <c r="D13" t="inlineStr">
        <is>
          <t>Q43r1</t>
        </is>
      </c>
      <c r="E13" t="inlineStr">
        <is>
          <t>All_Questions_Q43_CT = E$27</t>
        </is>
      </c>
      <c r="H13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13" t="n">
        <v>1.25</v>
      </c>
      <c r="J13" t="n">
        <v>0</v>
      </c>
      <c r="K13" t="n">
        <v>0</v>
      </c>
      <c r="L13" t="inlineStr">
        <is>
          <t>2026-06-09T11:32:13.969885+00:00</t>
        </is>
      </c>
    </row>
    <row r="14">
      <c r="A14" t="inlineStr">
        <is>
          <t>All Questions</t>
        </is>
      </c>
      <c r="B14" t="inlineStr">
        <is>
          <t>cross_tab_by_rank_weighted_average</t>
        </is>
      </c>
      <c r="C14" t="inlineStr">
        <is>
          <t>Q43</t>
        </is>
      </c>
      <c r="D14" t="inlineStr">
        <is>
          <t>Q43r1</t>
        </is>
      </c>
      <c r="E14" t="inlineStr">
        <is>
          <t>All_Questions_Q43_CT = F$27</t>
        </is>
      </c>
      <c r="H14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14" t="n">
        <v>1.25</v>
      </c>
      <c r="J14" t="n">
        <v>0</v>
      </c>
      <c r="K14" t="n">
        <v>0</v>
      </c>
      <c r="L14" t="inlineStr">
        <is>
          <t>2026-06-09T11:32:13.970272+00:00</t>
        </is>
      </c>
    </row>
    <row r="15">
      <c r="A15" t="inlineStr">
        <is>
          <t>All Questions</t>
        </is>
      </c>
      <c r="B15" t="inlineStr">
        <is>
          <t>cross_tab_by_rank_sum_of_ranks</t>
        </is>
      </c>
      <c r="C15" t="inlineStr">
        <is>
          <t>Q43</t>
        </is>
      </c>
      <c r="D15" t="inlineStr">
        <is>
          <t>Q43r1</t>
        </is>
      </c>
      <c r="E15" t="inlineStr">
        <is>
          <t>All_Questions_Q43_CT = F$27</t>
        </is>
      </c>
      <c r="H15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15" t="n">
        <v>1.25</v>
      </c>
      <c r="J15" t="n">
        <v>0</v>
      </c>
      <c r="K15" t="n">
        <v>0</v>
      </c>
      <c r="L15" t="inlineStr">
        <is>
          <t>2026-06-09T11:32:13.970314+00:00</t>
        </is>
      </c>
    </row>
    <row r="16">
      <c r="A16" t="inlineStr">
        <is>
          <t>All Questions</t>
        </is>
      </c>
      <c r="B16" t="inlineStr">
        <is>
          <t>cross_tab_by_rank_position_count</t>
        </is>
      </c>
      <c r="C16" t="inlineStr">
        <is>
          <t>Q43</t>
        </is>
      </c>
      <c r="D16" t="inlineStr">
        <is>
          <t>Q43r1</t>
        </is>
      </c>
      <c r="E16" t="inlineStr">
        <is>
          <t>All_Questions_Q43_CT = F$27</t>
        </is>
      </c>
      <c r="H16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16" t="n">
        <v>1.25</v>
      </c>
      <c r="J16" t="n">
        <v>0</v>
      </c>
      <c r="K16" t="n">
        <v>0</v>
      </c>
      <c r="L16" t="inlineStr">
        <is>
          <t>2026-06-09T11:32:13.970352+00:00</t>
        </is>
      </c>
    </row>
    <row r="17">
      <c r="A17" t="inlineStr">
        <is>
          <t>All Questions</t>
        </is>
      </c>
      <c r="B17" t="inlineStr">
        <is>
          <t>cross_tab_by_rank_weighted_average</t>
        </is>
      </c>
      <c r="C17" t="inlineStr">
        <is>
          <t>Q43</t>
        </is>
      </c>
      <c r="D17" t="inlineStr">
        <is>
          <t>Q43r1</t>
        </is>
      </c>
      <c r="E17" t="inlineStr">
        <is>
          <t>All_Questions_Q43_CT = G$27</t>
        </is>
      </c>
      <c r="H17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17" t="n">
        <v>1.25</v>
      </c>
      <c r="J17" t="n">
        <v>0</v>
      </c>
      <c r="K17" t="n">
        <v>0</v>
      </c>
      <c r="L17" t="inlineStr">
        <is>
          <t>2026-06-09T11:32:13.970670+00:00</t>
        </is>
      </c>
    </row>
    <row r="18">
      <c r="A18" t="inlineStr">
        <is>
          <t>All Questions</t>
        </is>
      </c>
      <c r="B18" t="inlineStr">
        <is>
          <t>cross_tab_by_rank_sum_of_ranks</t>
        </is>
      </c>
      <c r="C18" t="inlineStr">
        <is>
          <t>Q43</t>
        </is>
      </c>
      <c r="D18" t="inlineStr">
        <is>
          <t>Q43r1</t>
        </is>
      </c>
      <c r="E18" t="inlineStr">
        <is>
          <t>All_Questions_Q43_CT = G$27</t>
        </is>
      </c>
      <c r="H18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18" t="n">
        <v>1.25</v>
      </c>
      <c r="J18" t="n">
        <v>0</v>
      </c>
      <c r="K18" t="n">
        <v>0</v>
      </c>
      <c r="L18" t="inlineStr">
        <is>
          <t>2026-06-09T11:32:13.970708+00:00</t>
        </is>
      </c>
    </row>
    <row r="19">
      <c r="A19" t="inlineStr">
        <is>
          <t>All Questions</t>
        </is>
      </c>
      <c r="B19" t="inlineStr">
        <is>
          <t>cross_tab_by_rank_position_count</t>
        </is>
      </c>
      <c r="C19" t="inlineStr">
        <is>
          <t>Q43</t>
        </is>
      </c>
      <c r="D19" t="inlineStr">
        <is>
          <t>Q43r1</t>
        </is>
      </c>
      <c r="E19" t="inlineStr">
        <is>
          <t>All_Questions_Q43_CT = G$27</t>
        </is>
      </c>
      <c r="H19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19" t="n">
        <v>1.25</v>
      </c>
      <c r="J19" t="n">
        <v>0</v>
      </c>
      <c r="K19" t="n">
        <v>0</v>
      </c>
      <c r="L19" t="inlineStr">
        <is>
          <t>2026-06-09T11:32:13.970744+00:00</t>
        </is>
      </c>
    </row>
    <row r="20">
      <c r="A20" t="inlineStr">
        <is>
          <t>All Questions</t>
        </is>
      </c>
      <c r="B20" t="inlineStr">
        <is>
          <t>cross_tab_by_rank_weighted_average</t>
        </is>
      </c>
      <c r="C20" t="inlineStr">
        <is>
          <t>Q43</t>
        </is>
      </c>
      <c r="D20" t="inlineStr">
        <is>
          <t>Q43r1</t>
        </is>
      </c>
      <c r="E20" t="inlineStr">
        <is>
          <t>All_Questions_Q43_CT = H$27</t>
        </is>
      </c>
      <c r="H20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20" t="n">
        <v>1.25</v>
      </c>
      <c r="J20" t="n">
        <v>0</v>
      </c>
      <c r="K20" t="n">
        <v>0</v>
      </c>
      <c r="L20" t="inlineStr">
        <is>
          <t>2026-06-09T11:32:13.971148+00:00</t>
        </is>
      </c>
    </row>
    <row r="21">
      <c r="A21" t="inlineStr">
        <is>
          <t>All Questions</t>
        </is>
      </c>
      <c r="B21" t="inlineStr">
        <is>
          <t>cross_tab_by_rank_sum_of_ranks</t>
        </is>
      </c>
      <c r="C21" t="inlineStr">
        <is>
          <t>Q43</t>
        </is>
      </c>
      <c r="D21" t="inlineStr">
        <is>
          <t>Q43r1</t>
        </is>
      </c>
      <c r="E21" t="inlineStr">
        <is>
          <t>All_Questions_Q43_CT = H$27</t>
        </is>
      </c>
      <c r="H21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21" t="n">
        <v>1.25</v>
      </c>
      <c r="J21" t="n">
        <v>0</v>
      </c>
      <c r="K21" t="n">
        <v>0</v>
      </c>
      <c r="L21" t="inlineStr">
        <is>
          <t>2026-06-09T11:32:13.971189+00:00</t>
        </is>
      </c>
    </row>
    <row r="22">
      <c r="A22" t="inlineStr">
        <is>
          <t>All Questions</t>
        </is>
      </c>
      <c r="B22" t="inlineStr">
        <is>
          <t>cross_tab_by_rank_position_count</t>
        </is>
      </c>
      <c r="C22" t="inlineStr">
        <is>
          <t>Q43</t>
        </is>
      </c>
      <c r="D22" t="inlineStr">
        <is>
          <t>Q43r1</t>
        </is>
      </c>
      <c r="E22" t="inlineStr">
        <is>
          <t>All_Questions_Q43_CT = H$27</t>
        </is>
      </c>
      <c r="H22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22" t="n">
        <v>1.25</v>
      </c>
      <c r="J22" t="n">
        <v>0</v>
      </c>
      <c r="K22" t="n">
        <v>0</v>
      </c>
      <c r="L22" t="inlineStr">
        <is>
          <t>2026-06-09T11:32:13.971225+00:00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Q43</t>
        </is>
      </c>
      <c r="D23" t="inlineStr">
        <is>
          <t>Q43r1</t>
        </is>
      </c>
      <c r="E23" t="inlineStr">
        <is>
          <t>All_Questions_Q43_CT = I$27</t>
        </is>
      </c>
      <c r="H23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23" t="n">
        <v>1.25</v>
      </c>
      <c r="J23" t="n">
        <v>0</v>
      </c>
      <c r="K23" t="n">
        <v>0</v>
      </c>
      <c r="L23" t="inlineStr">
        <is>
          <t>2026-06-09T11:32:13.971567+00:00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Q43</t>
        </is>
      </c>
      <c r="D24" t="inlineStr">
        <is>
          <t>Q43r1</t>
        </is>
      </c>
      <c r="E24" t="inlineStr">
        <is>
          <t>All_Questions_Q43_CT = I$27</t>
        </is>
      </c>
      <c r="H24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24" t="n">
        <v>1.25</v>
      </c>
      <c r="J24" t="n">
        <v>0</v>
      </c>
      <c r="K24" t="n">
        <v>0</v>
      </c>
      <c r="L24" t="inlineStr">
        <is>
          <t>2026-06-09T11:32:13.971606+00:00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Q43</t>
        </is>
      </c>
      <c r="D25" t="inlineStr">
        <is>
          <t>Q43r1</t>
        </is>
      </c>
      <c r="E25" t="inlineStr">
        <is>
          <t>All_Questions_Q43_CT = I$27</t>
        </is>
      </c>
      <c r="H25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25" t="n">
        <v>1.25</v>
      </c>
      <c r="J25" t="n">
        <v>0</v>
      </c>
      <c r="K25" t="n">
        <v>0</v>
      </c>
      <c r="L25" t="inlineStr">
        <is>
          <t>2026-06-09T11:32:13.971642+00:00</t>
        </is>
      </c>
    </row>
    <row r="26">
      <c r="A26" t="inlineStr">
        <is>
          <t>All Questions</t>
        </is>
      </c>
      <c r="B26" t="inlineStr">
        <is>
          <t>cross_tab_by_rank_weighted_average</t>
        </is>
      </c>
      <c r="C26" t="inlineStr">
        <is>
          <t>Q43</t>
        </is>
      </c>
      <c r="D26" t="inlineStr">
        <is>
          <t>Q43r1</t>
        </is>
      </c>
      <c r="E26" t="inlineStr">
        <is>
          <t>All_Questions_Q43_CT = J$27</t>
        </is>
      </c>
      <c r="H26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26" t="n">
        <v>1.25</v>
      </c>
      <c r="J26" t="n">
        <v>0</v>
      </c>
      <c r="K26" t="n">
        <v>0</v>
      </c>
      <c r="L26" t="inlineStr">
        <is>
          <t>2026-06-09T11:32:13.972021+00:00</t>
        </is>
      </c>
    </row>
    <row r="27">
      <c r="A27" t="inlineStr">
        <is>
          <t>All Questions</t>
        </is>
      </c>
      <c r="B27" t="inlineStr">
        <is>
          <t>cross_tab_by_rank_sum_of_ranks</t>
        </is>
      </c>
      <c r="C27" t="inlineStr">
        <is>
          <t>Q43</t>
        </is>
      </c>
      <c r="D27" t="inlineStr">
        <is>
          <t>Q43r1</t>
        </is>
      </c>
      <c r="E27" t="inlineStr">
        <is>
          <t>All_Questions_Q43_CT = J$27</t>
        </is>
      </c>
      <c r="H27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27" t="n">
        <v>1.25</v>
      </c>
      <c r="J27" t="n">
        <v>0</v>
      </c>
      <c r="K27" t="n">
        <v>0</v>
      </c>
      <c r="L27" t="inlineStr">
        <is>
          <t>2026-06-09T11:32:13.972063+00:00</t>
        </is>
      </c>
    </row>
    <row r="28">
      <c r="A28" t="inlineStr">
        <is>
          <t>All Questions</t>
        </is>
      </c>
      <c r="B28" t="inlineStr">
        <is>
          <t>cross_tab_by_rank_position_count</t>
        </is>
      </c>
      <c r="C28" t="inlineStr">
        <is>
          <t>Q43</t>
        </is>
      </c>
      <c r="D28" t="inlineStr">
        <is>
          <t>Q43r1</t>
        </is>
      </c>
      <c r="E28" t="inlineStr">
        <is>
          <t>All_Questions_Q43_CT = J$27</t>
        </is>
      </c>
      <c r="H28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28" t="n">
        <v>1.25</v>
      </c>
      <c r="J28" t="n">
        <v>0</v>
      </c>
      <c r="K28" t="n">
        <v>0</v>
      </c>
      <c r="L28" t="inlineStr">
        <is>
          <t>2026-06-09T11:32:13.972099+00:00</t>
        </is>
      </c>
    </row>
    <row r="29">
      <c r="A29" t="inlineStr">
        <is>
          <t>All Questions</t>
        </is>
      </c>
      <c r="B29" t="inlineStr">
        <is>
          <t>cross_tab_by_rank_weighted_average</t>
        </is>
      </c>
      <c r="C29" t="inlineStr">
        <is>
          <t>Q43</t>
        </is>
      </c>
      <c r="D29" t="inlineStr">
        <is>
          <t>Q43r1</t>
        </is>
      </c>
      <c r="E29" t="inlineStr">
        <is>
          <t>All_Questions_Q43_CT = K$27</t>
        </is>
      </c>
      <c r="H29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29" t="n">
        <v>1.25</v>
      </c>
      <c r="J29" t="n">
        <v>0</v>
      </c>
      <c r="K29" t="n">
        <v>0</v>
      </c>
      <c r="L29" t="inlineStr">
        <is>
          <t>2026-06-09T11:32:13.972440+00:00</t>
        </is>
      </c>
    </row>
    <row r="30">
      <c r="A30" t="inlineStr">
        <is>
          <t>All Questions</t>
        </is>
      </c>
      <c r="B30" t="inlineStr">
        <is>
          <t>cross_tab_by_rank_sum_of_ranks</t>
        </is>
      </c>
      <c r="C30" t="inlineStr">
        <is>
          <t>Q43</t>
        </is>
      </c>
      <c r="D30" t="inlineStr">
        <is>
          <t>Q43r1</t>
        </is>
      </c>
      <c r="E30" t="inlineStr">
        <is>
          <t>All_Questions_Q43_CT = K$27</t>
        </is>
      </c>
      <c r="H30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30" t="n">
        <v>1.25</v>
      </c>
      <c r="J30" t="n">
        <v>0</v>
      </c>
      <c r="K30" t="n">
        <v>0</v>
      </c>
      <c r="L30" t="inlineStr">
        <is>
          <t>2026-06-09T11:32:13.972480+00:00</t>
        </is>
      </c>
    </row>
    <row r="31">
      <c r="A31" t="inlineStr">
        <is>
          <t>All Questions</t>
        </is>
      </c>
      <c r="B31" t="inlineStr">
        <is>
          <t>cross_tab_by_rank_position_count</t>
        </is>
      </c>
      <c r="C31" t="inlineStr">
        <is>
          <t>Q43</t>
        </is>
      </c>
      <c r="D31" t="inlineStr">
        <is>
          <t>Q43r1</t>
        </is>
      </c>
      <c r="E31" t="inlineStr">
        <is>
          <t>All_Questions_Q43_CT = K$27</t>
        </is>
      </c>
      <c r="H31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31" t="n">
        <v>1.25</v>
      </c>
      <c r="J31" t="n">
        <v>0</v>
      </c>
      <c r="K31" t="n">
        <v>0</v>
      </c>
      <c r="L31" t="inlineStr">
        <is>
          <t>2026-06-09T11:32:13.972516+00:00</t>
        </is>
      </c>
    </row>
    <row r="32">
      <c r="A32" t="inlineStr">
        <is>
          <t>All Questions</t>
        </is>
      </c>
      <c r="B32" t="inlineStr">
        <is>
          <t>cross_tab_by_rank_weighted_average</t>
        </is>
      </c>
      <c r="C32" t="inlineStr">
        <is>
          <t>Q43</t>
        </is>
      </c>
      <c r="D32" t="inlineStr">
        <is>
          <t>Q43r1</t>
        </is>
      </c>
      <c r="E32" t="inlineStr">
        <is>
          <t>All_Questions_Q43_CT = L$27</t>
        </is>
      </c>
      <c r="H32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32" t="n">
        <v>1.25</v>
      </c>
      <c r="J32" t="n">
        <v>0</v>
      </c>
      <c r="K32" t="n">
        <v>0</v>
      </c>
      <c r="L32" t="inlineStr">
        <is>
          <t>2026-06-09T11:32:13.972850+00:00</t>
        </is>
      </c>
    </row>
    <row r="33">
      <c r="A33" t="inlineStr">
        <is>
          <t>All Questions</t>
        </is>
      </c>
      <c r="B33" t="inlineStr">
        <is>
          <t>cross_tab_by_rank_sum_of_ranks</t>
        </is>
      </c>
      <c r="C33" t="inlineStr">
        <is>
          <t>Q43</t>
        </is>
      </c>
      <c r="D33" t="inlineStr">
        <is>
          <t>Q43r1</t>
        </is>
      </c>
      <c r="E33" t="inlineStr">
        <is>
          <t>All_Questions_Q43_CT = L$27</t>
        </is>
      </c>
      <c r="H33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33" t="n">
        <v>1.25</v>
      </c>
      <c r="J33" t="n">
        <v>0</v>
      </c>
      <c r="K33" t="n">
        <v>0</v>
      </c>
      <c r="L33" t="inlineStr">
        <is>
          <t>2026-06-09T11:32:13.972890+00:00</t>
        </is>
      </c>
    </row>
    <row r="34">
      <c r="A34" t="inlineStr">
        <is>
          <t>All Questions</t>
        </is>
      </c>
      <c r="B34" t="inlineStr">
        <is>
          <t>cross_tab_by_rank_position_count</t>
        </is>
      </c>
      <c r="C34" t="inlineStr">
        <is>
          <t>Q43</t>
        </is>
      </c>
      <c r="D34" t="inlineStr">
        <is>
          <t>Q43r1</t>
        </is>
      </c>
      <c r="E34" t="inlineStr">
        <is>
          <t>All_Questions_Q43_CT = L$27</t>
        </is>
      </c>
      <c r="H34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34" t="n">
        <v>1.25</v>
      </c>
      <c r="J34" t="n">
        <v>0</v>
      </c>
      <c r="K34" t="n">
        <v>0</v>
      </c>
      <c r="L34" t="inlineStr">
        <is>
          <t>2026-06-09T11:32:13.972963+00:00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Q43</t>
        </is>
      </c>
      <c r="D35" t="inlineStr">
        <is>
          <t>Q43r1</t>
        </is>
      </c>
      <c r="E35" t="inlineStr">
        <is>
          <t>All_Questions_Q43_CT = M$27</t>
        </is>
      </c>
      <c r="H35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35" t="n">
        <v>1.25</v>
      </c>
      <c r="J35" t="n">
        <v>0</v>
      </c>
      <c r="K35" t="n">
        <v>0</v>
      </c>
      <c r="L35" t="inlineStr">
        <is>
          <t>2026-06-09T11:32:13.973400+00:00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Q43</t>
        </is>
      </c>
      <c r="D36" t="inlineStr">
        <is>
          <t>Q43r1</t>
        </is>
      </c>
      <c r="E36" t="inlineStr">
        <is>
          <t>All_Questions_Q43_CT = M$27</t>
        </is>
      </c>
      <c r="H36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36" t="n">
        <v>1.25</v>
      </c>
      <c r="J36" t="n">
        <v>0</v>
      </c>
      <c r="K36" t="n">
        <v>0</v>
      </c>
      <c r="L36" t="inlineStr">
        <is>
          <t>2026-06-09T11:32:13.973439+00:00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Q43</t>
        </is>
      </c>
      <c r="D37" t="inlineStr">
        <is>
          <t>Q43r1</t>
        </is>
      </c>
      <c r="E37" t="inlineStr">
        <is>
          <t>All_Questions_Q43_CT = M$27</t>
        </is>
      </c>
      <c r="H37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37" t="n">
        <v>1.25</v>
      </c>
      <c r="J37" t="n">
        <v>0</v>
      </c>
      <c r="K37" t="n">
        <v>0</v>
      </c>
      <c r="L37" t="inlineStr">
        <is>
          <t>2026-06-09T11:32:13.973475+00:00</t>
        </is>
      </c>
    </row>
    <row r="38">
      <c r="A38" t="inlineStr">
        <is>
          <t>All Questions</t>
        </is>
      </c>
      <c r="B38" t="inlineStr">
        <is>
          <t>cross_tab_by_rank_weighted_average</t>
        </is>
      </c>
      <c r="C38" t="inlineStr">
        <is>
          <t>Q43</t>
        </is>
      </c>
      <c r="D38" t="inlineStr">
        <is>
          <t>Q43r2</t>
        </is>
      </c>
      <c r="E38" t="inlineStr">
        <is>
          <t>All_Questions_Q43_CT = B$27</t>
        </is>
      </c>
      <c r="H38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38" t="n">
        <v>1.25</v>
      </c>
      <c r="J38" t="n">
        <v>0</v>
      </c>
      <c r="K38" t="n">
        <v>0</v>
      </c>
      <c r="L38" t="inlineStr">
        <is>
          <t>2026-06-09T11:32:13.974148+00:00</t>
        </is>
      </c>
    </row>
    <row r="39">
      <c r="A39" t="inlineStr">
        <is>
          <t>All Questions</t>
        </is>
      </c>
      <c r="B39" t="inlineStr">
        <is>
          <t>cross_tab_by_rank_sum_of_ranks</t>
        </is>
      </c>
      <c r="C39" t="inlineStr">
        <is>
          <t>Q43</t>
        </is>
      </c>
      <c r="D39" t="inlineStr">
        <is>
          <t>Q43r2</t>
        </is>
      </c>
      <c r="E39" t="inlineStr">
        <is>
          <t>All_Questions_Q43_CT = B$27</t>
        </is>
      </c>
      <c r="H39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39" t="n">
        <v>1.25</v>
      </c>
      <c r="J39" t="n">
        <v>0</v>
      </c>
      <c r="K39" t="n">
        <v>0</v>
      </c>
      <c r="L39" t="inlineStr">
        <is>
          <t>2026-06-09T11:32:13.974189+00:00</t>
        </is>
      </c>
    </row>
    <row r="40">
      <c r="A40" t="inlineStr">
        <is>
          <t>All Questions</t>
        </is>
      </c>
      <c r="B40" t="inlineStr">
        <is>
          <t>cross_tab_by_rank_position_count</t>
        </is>
      </c>
      <c r="C40" t="inlineStr">
        <is>
          <t>Q43</t>
        </is>
      </c>
      <c r="D40" t="inlineStr">
        <is>
          <t>Q43r2</t>
        </is>
      </c>
      <c r="E40" t="inlineStr">
        <is>
          <t>All_Questions_Q43_CT = B$27</t>
        </is>
      </c>
      <c r="H40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40" t="n">
        <v>1.25</v>
      </c>
      <c r="J40" t="n">
        <v>0</v>
      </c>
      <c r="K40" t="n">
        <v>0</v>
      </c>
      <c r="L40" t="inlineStr">
        <is>
          <t>2026-06-09T11:32:13.974225+00:00</t>
        </is>
      </c>
    </row>
    <row r="41">
      <c r="A41" t="inlineStr">
        <is>
          <t>All Questions</t>
        </is>
      </c>
      <c r="B41" t="inlineStr">
        <is>
          <t>cross_tab_by_rank_weighted_average</t>
        </is>
      </c>
      <c r="C41" t="inlineStr">
        <is>
          <t>Q43</t>
        </is>
      </c>
      <c r="D41" t="inlineStr">
        <is>
          <t>Q43r2</t>
        </is>
      </c>
      <c r="E41" t="inlineStr">
        <is>
          <t>All_Questions_Q43_CT = C$27</t>
        </is>
      </c>
      <c r="H41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41" t="n">
        <v>1.25</v>
      </c>
      <c r="J41" t="n">
        <v>0</v>
      </c>
      <c r="K41" t="n">
        <v>0</v>
      </c>
      <c r="L41" t="inlineStr">
        <is>
          <t>2026-06-09T11:32:13.974563+00:00</t>
        </is>
      </c>
    </row>
    <row r="42">
      <c r="A42" t="inlineStr">
        <is>
          <t>All Questions</t>
        </is>
      </c>
      <c r="B42" t="inlineStr">
        <is>
          <t>cross_tab_by_rank_sum_of_ranks</t>
        </is>
      </c>
      <c r="C42" t="inlineStr">
        <is>
          <t>Q43</t>
        </is>
      </c>
      <c r="D42" t="inlineStr">
        <is>
          <t>Q43r2</t>
        </is>
      </c>
      <c r="E42" t="inlineStr">
        <is>
          <t>All_Questions_Q43_CT = C$27</t>
        </is>
      </c>
      <c r="H42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42" t="n">
        <v>1.25</v>
      </c>
      <c r="J42" t="n">
        <v>0</v>
      </c>
      <c r="K42" t="n">
        <v>0</v>
      </c>
      <c r="L42" t="inlineStr">
        <is>
          <t>2026-06-09T11:32:13.974602+00:00</t>
        </is>
      </c>
    </row>
    <row r="43">
      <c r="A43" t="inlineStr">
        <is>
          <t>All Questions</t>
        </is>
      </c>
      <c r="B43" t="inlineStr">
        <is>
          <t>cross_tab_by_rank_position_count</t>
        </is>
      </c>
      <c r="C43" t="inlineStr">
        <is>
          <t>Q43</t>
        </is>
      </c>
      <c r="D43" t="inlineStr">
        <is>
          <t>Q43r2</t>
        </is>
      </c>
      <c r="E43" t="inlineStr">
        <is>
          <t>All_Questions_Q43_CT = C$27</t>
        </is>
      </c>
      <c r="H43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43" t="n">
        <v>1.25</v>
      </c>
      <c r="J43" t="n">
        <v>0</v>
      </c>
      <c r="K43" t="n">
        <v>0</v>
      </c>
      <c r="L43" t="inlineStr">
        <is>
          <t>2026-06-09T11:32:13.974638+00:00</t>
        </is>
      </c>
    </row>
    <row r="44">
      <c r="A44" t="inlineStr">
        <is>
          <t>All Questions</t>
        </is>
      </c>
      <c r="B44" t="inlineStr">
        <is>
          <t>cross_tab_by_rank_weighted_average</t>
        </is>
      </c>
      <c r="C44" t="inlineStr">
        <is>
          <t>Q43</t>
        </is>
      </c>
      <c r="D44" t="inlineStr">
        <is>
          <t>Q43r2</t>
        </is>
      </c>
      <c r="E44" t="inlineStr">
        <is>
          <t>All_Questions_Q43_CT = D$27</t>
        </is>
      </c>
      <c r="H44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44" t="n">
        <v>1.25</v>
      </c>
      <c r="J44" t="n">
        <v>0</v>
      </c>
      <c r="K44" t="n">
        <v>0</v>
      </c>
      <c r="L44" t="inlineStr">
        <is>
          <t>2026-06-09T11:32:13.975014+00:00</t>
        </is>
      </c>
    </row>
    <row r="45">
      <c r="A45" t="inlineStr">
        <is>
          <t>All Questions</t>
        </is>
      </c>
      <c r="B45" t="inlineStr">
        <is>
          <t>cross_tab_by_rank_sum_of_ranks</t>
        </is>
      </c>
      <c r="C45" t="inlineStr">
        <is>
          <t>Q43</t>
        </is>
      </c>
      <c r="D45" t="inlineStr">
        <is>
          <t>Q43r2</t>
        </is>
      </c>
      <c r="E45" t="inlineStr">
        <is>
          <t>All_Questions_Q43_CT = D$27</t>
        </is>
      </c>
      <c r="H45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45" t="n">
        <v>1.25</v>
      </c>
      <c r="J45" t="n">
        <v>0</v>
      </c>
      <c r="K45" t="n">
        <v>0</v>
      </c>
      <c r="L45" t="inlineStr">
        <is>
          <t>2026-06-09T11:32:13.975055+00:00</t>
        </is>
      </c>
    </row>
    <row r="46">
      <c r="A46" t="inlineStr">
        <is>
          <t>All Questions</t>
        </is>
      </c>
      <c r="B46" t="inlineStr">
        <is>
          <t>cross_tab_by_rank_position_count</t>
        </is>
      </c>
      <c r="C46" t="inlineStr">
        <is>
          <t>Q43</t>
        </is>
      </c>
      <c r="D46" t="inlineStr">
        <is>
          <t>Q43r2</t>
        </is>
      </c>
      <c r="E46" t="inlineStr">
        <is>
          <t>All_Questions_Q43_CT = D$27</t>
        </is>
      </c>
      <c r="H46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46" t="n">
        <v>1.25</v>
      </c>
      <c r="J46" t="n">
        <v>0</v>
      </c>
      <c r="K46" t="n">
        <v>0</v>
      </c>
      <c r="L46" t="inlineStr">
        <is>
          <t>2026-06-09T11:32:13.975092+00:00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Q43</t>
        </is>
      </c>
      <c r="D47" t="inlineStr">
        <is>
          <t>Q43r2</t>
        </is>
      </c>
      <c r="E47" t="inlineStr">
        <is>
          <t>All_Questions_Q43_CT = E$27</t>
        </is>
      </c>
      <c r="H47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47" t="n">
        <v>1.25</v>
      </c>
      <c r="J47" t="n">
        <v>0</v>
      </c>
      <c r="K47" t="n">
        <v>0</v>
      </c>
      <c r="L47" t="inlineStr">
        <is>
          <t>2026-06-09T11:32:13.975434+00:00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Q43</t>
        </is>
      </c>
      <c r="D48" t="inlineStr">
        <is>
          <t>Q43r2</t>
        </is>
      </c>
      <c r="E48" t="inlineStr">
        <is>
          <t>All_Questions_Q43_CT = E$27</t>
        </is>
      </c>
      <c r="H48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48" t="n">
        <v>1.25</v>
      </c>
      <c r="J48" t="n">
        <v>0</v>
      </c>
      <c r="K48" t="n">
        <v>0</v>
      </c>
      <c r="L48" t="inlineStr">
        <is>
          <t>2026-06-09T11:32:13.975473+00:00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Q43</t>
        </is>
      </c>
      <c r="D49" t="inlineStr">
        <is>
          <t>Q43r2</t>
        </is>
      </c>
      <c r="E49" t="inlineStr">
        <is>
          <t>All_Questions_Q43_CT = E$27</t>
        </is>
      </c>
      <c r="H49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49" t="n">
        <v>1.25</v>
      </c>
      <c r="J49" t="n">
        <v>0</v>
      </c>
      <c r="K49" t="n">
        <v>0</v>
      </c>
      <c r="L49" t="inlineStr">
        <is>
          <t>2026-06-09T11:32:13.975509+00:00</t>
        </is>
      </c>
    </row>
    <row r="50">
      <c r="A50" t="inlineStr">
        <is>
          <t>All Questions</t>
        </is>
      </c>
      <c r="B50" t="inlineStr">
        <is>
          <t>cross_tab_by_rank_weighted_average</t>
        </is>
      </c>
      <c r="C50" t="inlineStr">
        <is>
          <t>Q43</t>
        </is>
      </c>
      <c r="D50" t="inlineStr">
        <is>
          <t>Q43r2</t>
        </is>
      </c>
      <c r="E50" t="inlineStr">
        <is>
          <t>All_Questions_Q43_CT = F$27</t>
        </is>
      </c>
      <c r="H50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50" t="n">
        <v>1.25</v>
      </c>
      <c r="J50" t="n">
        <v>0</v>
      </c>
      <c r="K50" t="n">
        <v>0</v>
      </c>
      <c r="L50" t="inlineStr">
        <is>
          <t>2026-06-09T11:32:13.975843+00:00</t>
        </is>
      </c>
    </row>
    <row r="51">
      <c r="A51" t="inlineStr">
        <is>
          <t>All Questions</t>
        </is>
      </c>
      <c r="B51" t="inlineStr">
        <is>
          <t>cross_tab_by_rank_sum_of_ranks</t>
        </is>
      </c>
      <c r="C51" t="inlineStr">
        <is>
          <t>Q43</t>
        </is>
      </c>
      <c r="D51" t="inlineStr">
        <is>
          <t>Q43r2</t>
        </is>
      </c>
      <c r="E51" t="inlineStr">
        <is>
          <t>All_Questions_Q43_CT = F$27</t>
        </is>
      </c>
      <c r="H51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51" t="n">
        <v>1.25</v>
      </c>
      <c r="J51" t="n">
        <v>0</v>
      </c>
      <c r="K51" t="n">
        <v>0</v>
      </c>
      <c r="L51" t="inlineStr">
        <is>
          <t>2026-06-09T11:32:13.975881+00:00</t>
        </is>
      </c>
    </row>
    <row r="52">
      <c r="A52" t="inlineStr">
        <is>
          <t>All Questions</t>
        </is>
      </c>
      <c r="B52" t="inlineStr">
        <is>
          <t>cross_tab_by_rank_position_count</t>
        </is>
      </c>
      <c r="C52" t="inlineStr">
        <is>
          <t>Q43</t>
        </is>
      </c>
      <c r="D52" t="inlineStr">
        <is>
          <t>Q43r2</t>
        </is>
      </c>
      <c r="E52" t="inlineStr">
        <is>
          <t>All_Questions_Q43_CT = F$27</t>
        </is>
      </c>
      <c r="H52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52" t="n">
        <v>1.25</v>
      </c>
      <c r="J52" t="n">
        <v>0</v>
      </c>
      <c r="K52" t="n">
        <v>0</v>
      </c>
      <c r="L52" t="inlineStr">
        <is>
          <t>2026-06-09T11:32:13.975917+00:00</t>
        </is>
      </c>
    </row>
    <row r="53">
      <c r="A53" t="inlineStr">
        <is>
          <t>All Questions</t>
        </is>
      </c>
      <c r="B53" t="inlineStr">
        <is>
          <t>cross_tab_by_rank_weighted_average</t>
        </is>
      </c>
      <c r="C53" t="inlineStr">
        <is>
          <t>Q43</t>
        </is>
      </c>
      <c r="D53" t="inlineStr">
        <is>
          <t>Q43r2</t>
        </is>
      </c>
      <c r="E53" t="inlineStr">
        <is>
          <t>All_Questions_Q43_CT = G$27</t>
        </is>
      </c>
      <c r="H53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53" t="n">
        <v>1.25</v>
      </c>
      <c r="J53" t="n">
        <v>0</v>
      </c>
      <c r="K53" t="n">
        <v>0</v>
      </c>
      <c r="L53" t="inlineStr">
        <is>
          <t>2026-06-09T11:32:13.976304+00:00</t>
        </is>
      </c>
    </row>
    <row r="54">
      <c r="A54" t="inlineStr">
        <is>
          <t>All Questions</t>
        </is>
      </c>
      <c r="B54" t="inlineStr">
        <is>
          <t>cross_tab_by_rank_sum_of_ranks</t>
        </is>
      </c>
      <c r="C54" t="inlineStr">
        <is>
          <t>Q43</t>
        </is>
      </c>
      <c r="D54" t="inlineStr">
        <is>
          <t>Q43r2</t>
        </is>
      </c>
      <c r="E54" t="inlineStr">
        <is>
          <t>All_Questions_Q43_CT = G$27</t>
        </is>
      </c>
      <c r="H54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54" t="n">
        <v>1.25</v>
      </c>
      <c r="J54" t="n">
        <v>0</v>
      </c>
      <c r="K54" t="n">
        <v>0</v>
      </c>
      <c r="L54" t="inlineStr">
        <is>
          <t>2026-06-09T11:32:13.976344+00:00</t>
        </is>
      </c>
    </row>
    <row r="55">
      <c r="A55" t="inlineStr">
        <is>
          <t>All Questions</t>
        </is>
      </c>
      <c r="B55" t="inlineStr">
        <is>
          <t>cross_tab_by_rank_position_count</t>
        </is>
      </c>
      <c r="C55" t="inlineStr">
        <is>
          <t>Q43</t>
        </is>
      </c>
      <c r="D55" t="inlineStr">
        <is>
          <t>Q43r2</t>
        </is>
      </c>
      <c r="E55" t="inlineStr">
        <is>
          <t>All_Questions_Q43_CT = G$27</t>
        </is>
      </c>
      <c r="H55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55" t="n">
        <v>1.25</v>
      </c>
      <c r="J55" t="n">
        <v>0</v>
      </c>
      <c r="K55" t="n">
        <v>0</v>
      </c>
      <c r="L55" t="inlineStr">
        <is>
          <t>2026-06-09T11:32:13.976392+00:00</t>
        </is>
      </c>
    </row>
    <row r="56">
      <c r="A56" t="inlineStr">
        <is>
          <t>All Questions</t>
        </is>
      </c>
      <c r="B56" t="inlineStr">
        <is>
          <t>cross_tab_by_rank_weighted_average</t>
        </is>
      </c>
      <c r="C56" t="inlineStr">
        <is>
          <t>Q43</t>
        </is>
      </c>
      <c r="D56" t="inlineStr">
        <is>
          <t>Q43r2</t>
        </is>
      </c>
      <c r="E56" t="inlineStr">
        <is>
          <t>All_Questions_Q43_CT = H$27</t>
        </is>
      </c>
      <c r="H56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56" t="n">
        <v>1.25</v>
      </c>
      <c r="J56" t="n">
        <v>0</v>
      </c>
      <c r="K56" t="n">
        <v>0</v>
      </c>
      <c r="L56" t="inlineStr">
        <is>
          <t>2026-06-09T11:32:13.976754+00:00</t>
        </is>
      </c>
    </row>
    <row r="57">
      <c r="A57" t="inlineStr">
        <is>
          <t>All Questions</t>
        </is>
      </c>
      <c r="B57" t="inlineStr">
        <is>
          <t>cross_tab_by_rank_sum_of_ranks</t>
        </is>
      </c>
      <c r="C57" t="inlineStr">
        <is>
          <t>Q43</t>
        </is>
      </c>
      <c r="D57" t="inlineStr">
        <is>
          <t>Q43r2</t>
        </is>
      </c>
      <c r="E57" t="inlineStr">
        <is>
          <t>All_Questions_Q43_CT = H$27</t>
        </is>
      </c>
      <c r="H57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57" t="n">
        <v>1.25</v>
      </c>
      <c r="J57" t="n">
        <v>0</v>
      </c>
      <c r="K57" t="n">
        <v>0</v>
      </c>
      <c r="L57" t="inlineStr">
        <is>
          <t>2026-06-09T11:32:13.976793+00:00</t>
        </is>
      </c>
    </row>
    <row r="58">
      <c r="A58" t="inlineStr">
        <is>
          <t>All Questions</t>
        </is>
      </c>
      <c r="B58" t="inlineStr">
        <is>
          <t>cross_tab_by_rank_position_count</t>
        </is>
      </c>
      <c r="C58" t="inlineStr">
        <is>
          <t>Q43</t>
        </is>
      </c>
      <c r="D58" t="inlineStr">
        <is>
          <t>Q43r2</t>
        </is>
      </c>
      <c r="E58" t="inlineStr">
        <is>
          <t>All_Questions_Q43_CT = H$27</t>
        </is>
      </c>
      <c r="H58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58" t="n">
        <v>1.25</v>
      </c>
      <c r="J58" t="n">
        <v>0</v>
      </c>
      <c r="K58" t="n">
        <v>0</v>
      </c>
      <c r="L58" t="inlineStr">
        <is>
          <t>2026-06-09T11:32:13.976830+00:00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Q43</t>
        </is>
      </c>
      <c r="D59" t="inlineStr">
        <is>
          <t>Q43r2</t>
        </is>
      </c>
      <c r="E59" t="inlineStr">
        <is>
          <t>All_Questions_Q43_CT = I$27</t>
        </is>
      </c>
      <c r="H59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59" t="n">
        <v>1.25</v>
      </c>
      <c r="J59" t="n">
        <v>0</v>
      </c>
      <c r="K59" t="n">
        <v>0</v>
      </c>
      <c r="L59" t="inlineStr">
        <is>
          <t>2026-06-09T11:32:13.977217+00:00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Q43</t>
        </is>
      </c>
      <c r="D60" t="inlineStr">
        <is>
          <t>Q43r2</t>
        </is>
      </c>
      <c r="E60" t="inlineStr">
        <is>
          <t>All_Questions_Q43_CT = I$27</t>
        </is>
      </c>
      <c r="H60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60" t="n">
        <v>1.25</v>
      </c>
      <c r="J60" t="n">
        <v>0</v>
      </c>
      <c r="K60" t="n">
        <v>0</v>
      </c>
      <c r="L60" t="inlineStr">
        <is>
          <t>2026-06-09T11:32:13.977257+00:00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Q43</t>
        </is>
      </c>
      <c r="D61" t="inlineStr">
        <is>
          <t>Q43r2</t>
        </is>
      </c>
      <c r="E61" t="inlineStr">
        <is>
          <t>All_Questions_Q43_CT = I$27</t>
        </is>
      </c>
      <c r="H61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61" t="n">
        <v>1.25</v>
      </c>
      <c r="J61" t="n">
        <v>0</v>
      </c>
      <c r="K61" t="n">
        <v>0</v>
      </c>
      <c r="L61" t="inlineStr">
        <is>
          <t>2026-06-09T11:32:13.977294+00:00</t>
        </is>
      </c>
    </row>
    <row r="62">
      <c r="A62" t="inlineStr">
        <is>
          <t>All Questions</t>
        </is>
      </c>
      <c r="B62" t="inlineStr">
        <is>
          <t>cross_tab_by_rank_weighted_average</t>
        </is>
      </c>
      <c r="C62" t="inlineStr">
        <is>
          <t>Q43</t>
        </is>
      </c>
      <c r="D62" t="inlineStr">
        <is>
          <t>Q43r2</t>
        </is>
      </c>
      <c r="E62" t="inlineStr">
        <is>
          <t>All_Questions_Q43_CT = J$27</t>
        </is>
      </c>
      <c r="H62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62" t="n">
        <v>1.25</v>
      </c>
      <c r="J62" t="n">
        <v>0</v>
      </c>
      <c r="K62" t="n">
        <v>0</v>
      </c>
      <c r="L62" t="inlineStr">
        <is>
          <t>2026-06-09T11:32:13.977632+00:00</t>
        </is>
      </c>
    </row>
    <row r="63">
      <c r="A63" t="inlineStr">
        <is>
          <t>All Questions</t>
        </is>
      </c>
      <c r="B63" t="inlineStr">
        <is>
          <t>cross_tab_by_rank_sum_of_ranks</t>
        </is>
      </c>
      <c r="C63" t="inlineStr">
        <is>
          <t>Q43</t>
        </is>
      </c>
      <c r="D63" t="inlineStr">
        <is>
          <t>Q43r2</t>
        </is>
      </c>
      <c r="E63" t="inlineStr">
        <is>
          <t>All_Questions_Q43_CT = J$27</t>
        </is>
      </c>
      <c r="H63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63" t="n">
        <v>1.25</v>
      </c>
      <c r="J63" t="n">
        <v>0</v>
      </c>
      <c r="K63" t="n">
        <v>0</v>
      </c>
      <c r="L63" t="inlineStr">
        <is>
          <t>2026-06-09T11:32:13.977670+00:00</t>
        </is>
      </c>
    </row>
    <row r="64">
      <c r="A64" t="inlineStr">
        <is>
          <t>All Questions</t>
        </is>
      </c>
      <c r="B64" t="inlineStr">
        <is>
          <t>cross_tab_by_rank_position_count</t>
        </is>
      </c>
      <c r="C64" t="inlineStr">
        <is>
          <t>Q43</t>
        </is>
      </c>
      <c r="D64" t="inlineStr">
        <is>
          <t>Q43r2</t>
        </is>
      </c>
      <c r="E64" t="inlineStr">
        <is>
          <t>All_Questions_Q43_CT = J$27</t>
        </is>
      </c>
      <c r="H64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64" t="n">
        <v>1.25</v>
      </c>
      <c r="J64" t="n">
        <v>0</v>
      </c>
      <c r="K64" t="n">
        <v>0</v>
      </c>
      <c r="L64" t="inlineStr">
        <is>
          <t>2026-06-09T11:32:13.977706+00:00</t>
        </is>
      </c>
    </row>
    <row r="65">
      <c r="A65" t="inlineStr">
        <is>
          <t>All Questions</t>
        </is>
      </c>
      <c r="B65" t="inlineStr">
        <is>
          <t>cross_tab_by_rank_weighted_average</t>
        </is>
      </c>
      <c r="C65" t="inlineStr">
        <is>
          <t>Q43</t>
        </is>
      </c>
      <c r="D65" t="inlineStr">
        <is>
          <t>Q43r2</t>
        </is>
      </c>
      <c r="E65" t="inlineStr">
        <is>
          <t>All_Questions_Q43_CT = K$27</t>
        </is>
      </c>
      <c r="H65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65" t="n">
        <v>1.25</v>
      </c>
      <c r="J65" t="n">
        <v>0</v>
      </c>
      <c r="K65" t="n">
        <v>0</v>
      </c>
      <c r="L65" t="inlineStr">
        <is>
          <t>2026-06-09T11:32:13.978083+00:00</t>
        </is>
      </c>
    </row>
    <row r="66">
      <c r="A66" t="inlineStr">
        <is>
          <t>All Questions</t>
        </is>
      </c>
      <c r="B66" t="inlineStr">
        <is>
          <t>cross_tab_by_rank_sum_of_ranks</t>
        </is>
      </c>
      <c r="C66" t="inlineStr">
        <is>
          <t>Q43</t>
        </is>
      </c>
      <c r="D66" t="inlineStr">
        <is>
          <t>Q43r2</t>
        </is>
      </c>
      <c r="E66" t="inlineStr">
        <is>
          <t>All_Questions_Q43_CT = K$27</t>
        </is>
      </c>
      <c r="H66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66" t="n">
        <v>1.25</v>
      </c>
      <c r="J66" t="n">
        <v>0</v>
      </c>
      <c r="K66" t="n">
        <v>0</v>
      </c>
      <c r="L66" t="inlineStr">
        <is>
          <t>2026-06-09T11:32:13.978123+00:00</t>
        </is>
      </c>
    </row>
    <row r="67">
      <c r="A67" t="inlineStr">
        <is>
          <t>All Questions</t>
        </is>
      </c>
      <c r="B67" t="inlineStr">
        <is>
          <t>cross_tab_by_rank_position_count</t>
        </is>
      </c>
      <c r="C67" t="inlineStr">
        <is>
          <t>Q43</t>
        </is>
      </c>
      <c r="D67" t="inlineStr">
        <is>
          <t>Q43r2</t>
        </is>
      </c>
      <c r="E67" t="inlineStr">
        <is>
          <t>All_Questions_Q43_CT = K$27</t>
        </is>
      </c>
      <c r="H67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67" t="n">
        <v>1.25</v>
      </c>
      <c r="J67" t="n">
        <v>0</v>
      </c>
      <c r="K67" t="n">
        <v>0</v>
      </c>
      <c r="L67" t="inlineStr">
        <is>
          <t>2026-06-09T11:32:13.978160+00:00</t>
        </is>
      </c>
    </row>
    <row r="68">
      <c r="A68" t="inlineStr">
        <is>
          <t>All Questions</t>
        </is>
      </c>
      <c r="B68" t="inlineStr">
        <is>
          <t>cross_tab_by_rank_weighted_average</t>
        </is>
      </c>
      <c r="C68" t="inlineStr">
        <is>
          <t>Q43</t>
        </is>
      </c>
      <c r="D68" t="inlineStr">
        <is>
          <t>Q43r2</t>
        </is>
      </c>
      <c r="E68" t="inlineStr">
        <is>
          <t>All_Questions_Q43_CT = L$27</t>
        </is>
      </c>
      <c r="H68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68" t="n">
        <v>1.25</v>
      </c>
      <c r="J68" t="n">
        <v>0</v>
      </c>
      <c r="K68" t="n">
        <v>0</v>
      </c>
      <c r="L68" t="inlineStr">
        <is>
          <t>2026-06-09T11:32:13.978497+00:00</t>
        </is>
      </c>
    </row>
    <row r="69">
      <c r="A69" t="inlineStr">
        <is>
          <t>All Questions</t>
        </is>
      </c>
      <c r="B69" t="inlineStr">
        <is>
          <t>cross_tab_by_rank_sum_of_ranks</t>
        </is>
      </c>
      <c r="C69" t="inlineStr">
        <is>
          <t>Q43</t>
        </is>
      </c>
      <c r="D69" t="inlineStr">
        <is>
          <t>Q43r2</t>
        </is>
      </c>
      <c r="E69" t="inlineStr">
        <is>
          <t>All_Questions_Q43_CT = L$27</t>
        </is>
      </c>
      <c r="H69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69" t="n">
        <v>1.25</v>
      </c>
      <c r="J69" t="n">
        <v>0</v>
      </c>
      <c r="K69" t="n">
        <v>0</v>
      </c>
      <c r="L69" t="inlineStr">
        <is>
          <t>2026-06-09T11:32:13.978536+00:00</t>
        </is>
      </c>
    </row>
    <row r="70">
      <c r="A70" t="inlineStr">
        <is>
          <t>All Questions</t>
        </is>
      </c>
      <c r="B70" t="inlineStr">
        <is>
          <t>cross_tab_by_rank_position_count</t>
        </is>
      </c>
      <c r="C70" t="inlineStr">
        <is>
          <t>Q43</t>
        </is>
      </c>
      <c r="D70" t="inlineStr">
        <is>
          <t>Q43r2</t>
        </is>
      </c>
      <c r="E70" t="inlineStr">
        <is>
          <t>All_Questions_Q43_CT = L$27</t>
        </is>
      </c>
      <c r="H70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70" t="n">
        <v>1.25</v>
      </c>
      <c r="J70" t="n">
        <v>0</v>
      </c>
      <c r="K70" t="n">
        <v>0</v>
      </c>
      <c r="L70" t="inlineStr">
        <is>
          <t>2026-06-09T11:32:13.978572+00:00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Q43</t>
        </is>
      </c>
      <c r="D71" t="inlineStr">
        <is>
          <t>Q43r2</t>
        </is>
      </c>
      <c r="E71" t="inlineStr">
        <is>
          <t>All_Questions_Q43_CT = M$27</t>
        </is>
      </c>
      <c r="H71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71" t="n">
        <v>1.25</v>
      </c>
      <c r="J71" t="n">
        <v>0</v>
      </c>
      <c r="K71" t="n">
        <v>0</v>
      </c>
      <c r="L71" t="inlineStr">
        <is>
          <t>2026-06-09T11:32:13.979023+00:00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Q43</t>
        </is>
      </c>
      <c r="D72" t="inlineStr">
        <is>
          <t>Q43r2</t>
        </is>
      </c>
      <c r="E72" t="inlineStr">
        <is>
          <t>All_Questions_Q43_CT = M$27</t>
        </is>
      </c>
      <c r="H72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72" t="n">
        <v>1.25</v>
      </c>
      <c r="J72" t="n">
        <v>0</v>
      </c>
      <c r="K72" t="n">
        <v>0</v>
      </c>
      <c r="L72" t="inlineStr">
        <is>
          <t>2026-06-09T11:32:13.979063+00:00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Q43</t>
        </is>
      </c>
      <c r="D73" t="inlineStr">
        <is>
          <t>Q43r2</t>
        </is>
      </c>
      <c r="E73" t="inlineStr">
        <is>
          <t>All_Questions_Q43_CT = M$27</t>
        </is>
      </c>
      <c r="H73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73" t="n">
        <v>1.25</v>
      </c>
      <c r="J73" t="n">
        <v>0</v>
      </c>
      <c r="K73" t="n">
        <v>0</v>
      </c>
      <c r="L73" t="inlineStr">
        <is>
          <t>2026-06-09T11:32:13.979098+00:00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2026-06-09T11:32:13Z</dcterms:created>
  <dcterms:modified xmlns:dcterms="http://purl.org/dc/terms/" xmlns:xsi="http://www.w3.org/2001/XMLSchema-instance" xsi:type="dcterms:W3CDTF">2026-06-09T11:32:14Z</dcterms:modified>
</cp:coreProperties>
</file>