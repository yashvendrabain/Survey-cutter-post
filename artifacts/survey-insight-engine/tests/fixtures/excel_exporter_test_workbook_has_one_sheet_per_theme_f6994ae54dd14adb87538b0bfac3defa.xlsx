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One_Q_MS_EXPORT_F_Q">'Theme One'!$C$24</definedName>
    <definedName name="Theme_One_Q_MS_EXPORT_F_V">'Theme One'!$E$24</definedName>
    <definedName name="Theme_One_Q_MS_EXPORT_F_resolved_column">'Theme One'!$F$24</definedName>
    <definedName name="Theme_One_Q_MS_EXPORT_F_wrapped">'Theme One'!$G$24</definedName>
    <definedName name="Theme_One_Q_MS_EXPORT_F_resolved_criteria">'Theme One'!$H$24</definedName>
    <definedName name="Theme_One_Q_MS_EXPORT_F_passes_per_q_filter_data">'_RawData'!$O$2:$O$11</definedName>
    <definedName name="Theme_One_Q_MS_EXPORT_CT">'Theme One'!$C$25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resolved_criteria">'All Questions'!$H$13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resolved_criteria">'All Questions'!$H$31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C18" i="9"/>
  <c r="D18" i="9"/>
  <c r="E18" i="9"/>
  <c r="F18" i="9"/>
  <c r="C19" i="9"/>
  <c r="D19" i="9"/>
  <c r="E19" i="9"/>
  <c r="F19" i="9"/>
  <c r="G23" i="9"/>
  <c r="H23" i="9"/>
  <c r="I23" i="9"/>
  <c r="J23" i="9"/>
  <c r="K23" i="9"/>
  <c r="L23" i="9"/>
  <c r="M23" i="9"/>
  <c r="N23" i="9"/>
  <c r="O23" i="9"/>
  <c r="P23" i="9"/>
  <c r="Q23" i="9"/>
  <c r="R23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S27" i="9"/>
  <c r="F31" i="9"/>
  <c r="G31" i="9"/>
  <c r="H31" i="9"/>
  <c r="G34" i="9"/>
  <c r="H34" i="9"/>
  <c r="I34" i="9"/>
  <c r="J34" i="9"/>
  <c r="K34" i="9"/>
  <c r="L34" i="9"/>
  <c r="M34" i="9"/>
  <c r="N34" i="9"/>
  <c r="O34" i="9"/>
  <c r="P34" i="9"/>
  <c r="Q34" i="9"/>
  <c r="R34" i="9"/>
  <c r="B35" i="9"/>
  <c r="C35" i="9"/>
  <c r="D35" i="9"/>
  <c r="B36" i="9"/>
  <c r="C36" i="9"/>
  <c r="D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7_1" displayName="T_Theme_One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4_1" displayName="T_All_Question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("|" &amp; SUBSTITUTE(Theme_One_Q_MS_EXPORT_F_resolved_criteria, ", ", "|") &amp; "|"))),1,0),0))*1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("|" &amp; SUBSTITUTE(Theme_One_Q_MS_EXPORT_F_resolved_criteria, ", ", "|") &amp; "|"))),1,0),0))*1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("|" &amp; SUBSTITUTE(Theme_One_Q_MS_EXPORT_F_resolved_criteria, ", ", "|") &amp; "|"))),1,0),0))*1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("|" &amp; SUBSTITUTE(Theme_One_Q_MS_EXPORT_F_resolved_criteria, ", ", "|") &amp; "|"))),1,0),0))*1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("|" &amp; SUBSTITUTE(Theme_One_Q_MS_EXPORT_F_resolved_criteria, ", ", "|") &amp; "|"))),1,0),0))*1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("|" &amp; SUBSTITUTE(Theme_One_Q_MS_EXPORT_F_resolved_criteria, ", ", "|") &amp; "|"))),1,0),0))*1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("|" &amp; SUBSTITUTE(Theme_One_Q_MS_EXPORT_F_resolved_criteria, ", ", "|") &amp; "|"))),1,0),0))*1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("|" &amp; SUBSTITUTE(Theme_One_Q_MS_EXPORT_F_resolved_criteria, ", ", "|") &amp; "|"))),1,0),0))*1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("|" &amp; SUBSTITUTE(Theme_One_Q_MS_EXPORT_F_resolved_criteria, ", ", "|") &amp; "|"))),1,0),0))*1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("|" &amp; SUBSTITUTE(Theme_One_Q_MS_EXPORT_F_resolved_criteria, ", ", "|") &amp; "|"))),1,0),0))*1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IF(Theme_One_Q_SS_EXPORT_CT="(None)","",IFERROR(INDEX(INDIRECT(IFERROR(INDEX(Cross_Tab_Questions_Options_Names,MATCH(Theme_One_Q_SS_EXPORT_CT,Cross_Tab_Questions,0)),"'_Options'!$E$2:$E$2")),2),""))</f>
        <v/>
      </c>
      <c r="H16" s="2" t="str">
        <f>IF(Theme_One_Q_SS_EXPORT_CT="(None)","",IFERROR(INDEX(INDIRECT(IFERROR(INDEX(Cross_Tab_Questions_Options_Names,MATCH(Theme_One_Q_SS_EXPORT_CT,Cross_Tab_Questions,0)),"'_Options'!$E$2:$E$2")),3),""))</f>
        <v/>
      </c>
      <c r="I16" s="2" t="str">
        <f>IF(Theme_One_Q_SS_EXPORT_CT="(None)","",IFERROR(INDEX(INDIRECT(IFERROR(INDEX(Cross_Tab_Questions_Options_Names,MATCH(Theme_One_Q_SS_EXPORT_CT,Cross_Tab_Questions,0)),"'_Options'!$E$2:$E$2")),4),""))</f>
        <v/>
      </c>
      <c r="J16" s="2" t="str">
        <f>IF(Theme_One_Q_SS_EXPORT_CT="(None)","",IFERROR(INDEX(INDIRECT(IFERROR(INDEX(Cross_Tab_Questions_Options_Names,MATCH(Theme_One_Q_SS_EXPORT_CT,Cross_Tab_Questions,0)),"'_Options'!$E$2:$E$2")),5),""))</f>
        <v/>
      </c>
      <c r="K16" s="2" t="str">
        <f>IF(Theme_One_Q_SS_EXPORT_CT="(None)","",IFERROR(INDEX(INDIRECT(IFERROR(INDEX(Cross_Tab_Questions_Options_Names,MATCH(Theme_One_Q_SS_EXPORT_CT,Cross_Tab_Questions,0)),"'_Options'!$E$2:$E$2")),6),""))</f>
        <v/>
      </c>
      <c r="L16" s="2" t="str">
        <f>IF(Theme_One_Q_SS_EXPORT_CT="(None)","",IFERROR(INDEX(INDIRECT(IFERROR(INDEX(Cross_Tab_Questions_Options_Names,MATCH(Theme_One_Q_SS_EXPORT_CT,Cross_Tab_Questions,0)),"'_Options'!$E$2:$E$2")),7),""))</f>
        <v/>
      </c>
      <c r="M16" s="2" t="str">
        <f>IF(Theme_One_Q_SS_EXPORT_CT="(None)","",IFERROR(INDEX(INDIRECT(IFERROR(INDEX(Cross_Tab_Questions_Options_Names,MATCH(Theme_One_Q_SS_EXPORT_CT,Cross_Tab_Questions,0)),"'_Options'!$E$2:$E$2")),8),""))</f>
        <v/>
      </c>
      <c r="N16" s="2" t="str">
        <f>IF(Theme_One_Q_SS_EXPORT_CT="(None)","",IFERROR(INDEX(INDIRECT(IFERROR(INDEX(Cross_Tab_Questions_Options_Names,MATCH(Theme_One_Q_SS_EXPORT_CT,Cross_Tab_Questions,0)),"'_Options'!$E$2:$E$2")),9),""))</f>
        <v/>
      </c>
      <c r="O16" s="2" t="str">
        <f>IF(Theme_One_Q_SS_EXPORT_CT="(None)","",IFERROR(INDEX(INDIRECT(IFERROR(INDEX(Cross_Tab_Questions_Options_Names,MATCH(Theme_One_Q_SS_EXPORT_CT,Cross_Tab_Questions,0)),"'_Options'!$E$2:$E$2")),10),""))</f>
        <v/>
      </c>
      <c r="P16" s="2" t="str">
        <f>IF(Theme_One_Q_SS_EXPORT_CT="(None)","",IFERROR(INDEX(INDIRECT(IFERROR(INDEX(Cross_Tab_Questions_Options_Names,MATCH(Theme_One_Q_SS_EXPORT_CT,Cross_Tab_Questions,0)),"'_Options'!$E$2:$E$2")),11),""))</f>
        <v/>
      </c>
      <c r="Q16" s="2" t="str">
        <f>IF(Theme_One_Q_SS_EXPORT_CT="(None)","",IFERROR(INDEX(INDIRECT(IFERROR(INDEX(Cross_Tab_Questions_Options_Names,MATCH(Theme_One_Q_SS_EXPORT_CT,Cross_Tab_Questions,0)),"'_Options'!$E$2:$E$2")),12),""))</f>
        <v/>
      </c>
      <c r="R16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IFERROR(INDEX(All_Questions_Value_Data_Names,MATCH(Theme_One_Q_MS_EXPORT_F_Q&amp;"|"&amp;Theme_One_Q_MS_EXPORT_F_V,All_Questions_Value_Keys,0)),IFERROR(INDEX(All_Questions_Data_Names,MATCH(Theme_One_Q_MS_EXPORT_F_Q,All_Questions,0)),"'_RawData'!$A:$A"))</f>
        <v>respondent_id_data</v>
      </c>
      <c r="G24" t="str">
        <f>"|" &amp; SUBSTITUTE(Theme_One_Q_MS_EXPORT_F_V, ", ", "|") &amp; "|"</f>
        <v>|(All)|</v>
      </c>
      <c r="H24" t="str">
        <f>IFERROR(INDEX(All_Questions_Value_Criteria,MATCH(Theme_One_Q_MS_EXPORT_F_Q&amp;"|"&amp;Theme_One_Q_MS_EXPORT_F_V,All_Questions_Value_Keys,0)),Theme_One_Q_MS_EXPORT_F_V)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IF(Theme_One_Q_MS_EXPORT_CT="(None)","",IFERROR(INDEX(INDIRECT(IFERROR(INDEX(Cross_Tab_Questions_Options_Names,MATCH(Theme_One_Q_MS_EXPORT_CT,Cross_Tab_Questions,0)),"'_Options'!$E$2:$E$2")),2),""))</f>
        <v/>
      </c>
      <c r="H27" s="2" t="str">
        <f>IF(Theme_One_Q_MS_EXPORT_CT="(None)","",IFERROR(INDEX(INDIRECT(IFERROR(INDEX(Cross_Tab_Questions_Options_Names,MATCH(Theme_One_Q_MS_EXPORT_CT,Cross_Tab_Questions,0)),"'_Options'!$E$2:$E$2")),3),""))</f>
        <v/>
      </c>
      <c r="I27" s="2" t="str">
        <f>IF(Theme_One_Q_MS_EXPORT_CT="(None)","",IFERROR(INDEX(INDIRECT(IFERROR(INDEX(Cross_Tab_Questions_Options_Names,MATCH(Theme_One_Q_MS_EXPORT_CT,Cross_Tab_Questions,0)),"'_Options'!$E$2:$E$2")),4),""))</f>
        <v/>
      </c>
      <c r="J27" s="2" t="str">
        <f>IF(Theme_One_Q_MS_EXPORT_CT="(None)","",IFERROR(INDEX(INDIRECT(IFERROR(INDEX(Cross_Tab_Questions_Options_Names,MATCH(Theme_One_Q_MS_EXPORT_CT,Cross_Tab_Questions,0)),"'_Options'!$E$2:$E$2")),5),""))</f>
        <v/>
      </c>
      <c r="K27" s="2" t="str">
        <f>IF(Theme_One_Q_MS_EXPORT_CT="(None)","",IFERROR(INDEX(INDIRECT(IFERROR(INDEX(Cross_Tab_Questions_Options_Names,MATCH(Theme_One_Q_MS_EXPORT_CT,Cross_Tab_Questions,0)),"'_Options'!$E$2:$E$2")),6),""))</f>
        <v/>
      </c>
      <c r="L27" s="2" t="str">
        <f>IF(Theme_One_Q_MS_EXPORT_CT="(None)","",IFERROR(INDEX(INDIRECT(IFERROR(INDEX(Cross_Tab_Questions_Options_Names,MATCH(Theme_One_Q_MS_EXPORT_CT,Cross_Tab_Questions,0)),"'_Options'!$E$2:$E$2")),7),""))</f>
        <v/>
      </c>
      <c r="M27" s="2" t="str">
        <f>IF(Theme_One_Q_MS_EXPORT_CT="(None)","",IFERROR(INDEX(INDIRECT(IFERROR(INDEX(Cross_Tab_Questions_Options_Names,MATCH(Theme_One_Q_MS_EXPORT_CT,Cross_Tab_Questions,0)),"'_Options'!$E$2:$E$2")),8),""))</f>
        <v/>
      </c>
      <c r="N27" s="2" t="str">
        <f>IF(Theme_One_Q_MS_EXPORT_CT="(None)","",IFERROR(INDEX(INDIRECT(IFERROR(INDEX(Cross_Tab_Questions_Options_Names,MATCH(Theme_One_Q_MS_EXPORT_CT,Cross_Tab_Questions,0)),"'_Options'!$E$2:$E$2")),9),""))</f>
        <v/>
      </c>
      <c r="O27" s="2" t="str">
        <f>IF(Theme_One_Q_MS_EXPORT_CT="(None)","",IFERROR(INDEX(INDIRECT(IFERROR(INDEX(Cross_Tab_Questions_Options_Names,MATCH(Theme_One_Q_MS_EXPORT_CT,Cross_Tab_Questions,0)),"'_Options'!$E$2:$E$2")),10),""))</f>
        <v/>
      </c>
      <c r="P27" s="2" t="str">
        <f>IF(Theme_One_Q_MS_EXPORT_CT="(None)","",IFERROR(INDEX(INDIRECT(IFERROR(INDEX(Cross_Tab_Questions_Options_Names,MATCH(Theme_One_Q_MS_EXPORT_CT,Cross_Tab_Questions,0)),"'_Options'!$E$2:$E$2")),11),""))</f>
        <v/>
      </c>
      <c r="Q27" s="2" t="str">
        <f>IF(Theme_One_Q_MS_EXPORT_CT="(None)","",IFERROR(INDEX(INDIRECT(IFERROR(INDEX(Cross_Tab_Questions_Options_Names,MATCH(Theme_One_Q_MS_EXPORT_CT,Cross_Tab_Questions,0)),"'_Options'!$E$2:$E$2")),12),""))</f>
        <v/>
      </c>
      <c r="R27" s="2" t="str">
        <f>IF(Theme_One_Q_MS_EXPORT_CT="(None)","",IF(COUNTA(INDIRECT(IFERROR(INDEX(Cross_Tab_Questions_Options_Names,MATCH(Theme_One_Q_MS_EXPORT_CT,Cross_Tab_Questions,0)),"'_Options'!$E$2:$E$2")))-1&gt;11,"Other",IFERROR(INDEX(INDIRECT(IFERROR(INDEX(Cross_Tab_Questions_Options_Names,MATCH(Theme_One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COUNTIFS(Q_MS_EXPORTr1_data,"Selected",passes_workbook_filters_data,1,passes_workbook_custom_filters_data,1,Theme_One_passes_local_filters_data,1,Theme_One_Q_MS_EXPORT_F_passes_per_q_filter_data,1)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COUNTIFS(Q_MS_EXPORTr2_data,"Selected",passes_workbook_filters_data,1,passes_workbook_custom_filters_data,1,Theme_One_passes_local_filters_data,1,Theme_One_Q_MS_EXPORT_F_passes_per_q_filter_data,1)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9" t="inlineStr">
        <is>
          <t>First</t>
        </is>
      </c>
      <c r="G29" s="7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0.5</v>
      </c>
      <c r="H29" s="7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0.5</v>
      </c>
      <c r="I29" s="7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0.5</v>
      </c>
      <c r="J29" s="7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0.5</v>
      </c>
      <c r="K29" s="7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0.5</v>
      </c>
      <c r="L29" s="7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0.5</v>
      </c>
      <c r="M29" s="7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0.5</v>
      </c>
      <c r="N29" s="7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0.5</v>
      </c>
      <c r="O29" s="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0.5</v>
      </c>
      <c r="P29" s="7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0.5</v>
      </c>
      <c r="Q29" s="7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0.5</v>
      </c>
      <c r="R29" s="7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0.5</v>
      </c>
      <c r="S29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0.2</v>
      </c>
      <c r="H30" s="7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0.2</v>
      </c>
      <c r="I30" s="7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0.2</v>
      </c>
      <c r="J30" s="7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0.2</v>
      </c>
      <c r="K30" s="7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0.2</v>
      </c>
      <c r="L30" s="7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0.2</v>
      </c>
      <c r="M30" s="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0.2</v>
      </c>
      <c r="N30" s="7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0.2</v>
      </c>
      <c r="O30" s="7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0.2</v>
      </c>
      <c r="P30" s="7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0.2</v>
      </c>
      <c r="Q30" s="7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0.2</v>
      </c>
      <c r="R30" s="7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0.2</v>
      </c>
      <c r="S30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IF(Theme_Two_Q_NUM_EXPORT_CT="(None)","",IFERROR(INDEX(INDIRECT(IFERROR(INDEX(Cross_Tab_Questions_Options_Names,MATCH(Theme_Two_Q_NUM_EXPORT_CT,Cross_Tab_Questions,0)),"'_Options'!$E$2:$E$2")),2),""))</f>
        <v/>
      </c>
      <c r="H23" s="2" t="str">
        <f>IF(Theme_Two_Q_NUM_EXPORT_CT="(None)","",IFERROR(INDEX(INDIRECT(IFERROR(INDEX(Cross_Tab_Questions_Options_Names,MATCH(Theme_Two_Q_NUM_EXPORT_CT,Cross_Tab_Questions,0)),"'_Options'!$E$2:$E$2")),3),""))</f>
        <v/>
      </c>
      <c r="I23" s="2" t="str">
        <f>IF(Theme_Two_Q_NUM_EXPORT_CT="(None)","",IFERROR(INDEX(INDIRECT(IFERROR(INDEX(Cross_Tab_Questions_Options_Names,MATCH(Theme_Two_Q_NUM_EXPORT_CT,Cross_Tab_Questions,0)),"'_Options'!$E$2:$E$2")),4),""))</f>
        <v/>
      </c>
      <c r="J23" s="2" t="str">
        <f>IF(Theme_Two_Q_NUM_EXPORT_CT="(None)","",IFERROR(INDEX(INDIRECT(IFERROR(INDEX(Cross_Tab_Questions_Options_Names,MATCH(Theme_Two_Q_NUM_EXPORT_CT,Cross_Tab_Questions,0)),"'_Options'!$E$2:$E$2")),5),""))</f>
        <v/>
      </c>
      <c r="K23" s="2" t="str">
        <f>IF(Theme_Two_Q_NUM_EXPORT_CT="(None)","",IFERROR(INDEX(INDIRECT(IFERROR(INDEX(Cross_Tab_Questions_Options_Names,MATCH(Theme_Two_Q_NUM_EXPORT_CT,Cross_Tab_Questions,0)),"'_Options'!$E$2:$E$2")),6),""))</f>
        <v/>
      </c>
      <c r="L23" s="2" t="str">
        <f>IF(Theme_Two_Q_NUM_EXPORT_CT="(None)","",IFERROR(INDEX(INDIRECT(IFERROR(INDEX(Cross_Tab_Questions_Options_Names,MATCH(Theme_Two_Q_NUM_EXPORT_CT,Cross_Tab_Questions,0)),"'_Options'!$E$2:$E$2")),7),""))</f>
        <v/>
      </c>
      <c r="M23" s="2" t="str">
        <f>IF(Theme_Two_Q_NUM_EXPORT_CT="(None)","",IFERROR(INDEX(INDIRECT(IFERROR(INDEX(Cross_Tab_Questions_Options_Names,MATCH(Theme_Two_Q_NUM_EXPORT_CT,Cross_Tab_Questions,0)),"'_Options'!$E$2:$E$2")),8),""))</f>
        <v/>
      </c>
      <c r="N23" s="2" t="str">
        <f>IF(Theme_Two_Q_NUM_EXPORT_CT="(None)","",IFERROR(INDEX(INDIRECT(IFERROR(INDEX(Cross_Tab_Questions_Options_Names,MATCH(Theme_Two_Q_NUM_EXPORT_CT,Cross_Tab_Questions,0)),"'_Options'!$E$2:$E$2")),9),""))</f>
        <v/>
      </c>
      <c r="O23" s="2" t="str">
        <f>IF(Theme_Two_Q_NUM_EXPORT_CT="(None)","",IFERROR(INDEX(INDIRECT(IFERROR(INDEX(Cross_Tab_Questions_Options_Names,MATCH(Theme_Two_Q_NUM_EXPORT_CT,Cross_Tab_Questions,0)),"'_Options'!$E$2:$E$2")),10),""))</f>
        <v/>
      </c>
      <c r="P23" s="2" t="str">
        <f>IF(Theme_Two_Q_NUM_EXPORT_CT="(None)","",IFERROR(INDEX(INDIRECT(IFERROR(INDEX(Cross_Tab_Questions_Options_Names,MATCH(Theme_Two_Q_NUM_EXPORT_CT,Cross_Tab_Questions,0)),"'_Options'!$E$2:$E$2")),11),""))</f>
        <v/>
      </c>
      <c r="Q23" s="2" t="str">
        <f>IF(Theme_Two_Q_NUM_EXPORT_CT="(None)","",IFERROR(INDEX(INDIRECT(IFERROR(INDEX(Cross_Tab_Questions_Options_Names,MATCH(Theme_Two_Q_NUM_EXPORT_CT,Cross_Tab_Questions,0)),"'_Options'!$E$2:$E$2")),12),""))</f>
        <v/>
      </c>
      <c r="R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13" t="str">
        <f>"|" &amp; SUBSTITUTE(All_Questions_Q_GRID_EXPORT_F_V, ", ", "|") &amp; "|"</f>
        <v>|(All)|</v>
      </c>
      <c r="H13" t="str">
        <f>IFERROR(INDEX(All_Questions_Value_Criteria,MATCH(All_Questions_Q_GRID_EXPORT_F_Q&amp;"|"&amp;All_Questions_Q_GRID_EXPORT_F_V,All_Questions_Value_Keys,0)),All_Questions_Q_GRID_EXPORT_F_V)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F23" s="4" t="inlineStr">
        <is>
          <t>Option</t>
        </is>
      </c>
      <c r="G23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23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23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23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23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23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23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23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23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23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23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23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Grid first row</t>
        </is>
      </c>
      <c r="G25" s="14">
        <f>IF(OR(All_Questions_Q_GRID_EXPORT_CT="(None)",G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$23))</f>
        <v>0</v>
      </c>
      <c r="H25" s="14">
        <f>IF(OR(All_Questions_Q_GRID_EXPORT_CT="(None)",H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$23))</f>
        <v>0</v>
      </c>
      <c r="I25" s="14">
        <f>IF(OR(All_Questions_Q_GRID_EXPORT_CT="(None)",I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$23))</f>
        <v>0</v>
      </c>
      <c r="J25" s="14">
        <f>IF(OR(All_Questions_Q_GRID_EXPORT_CT="(None)",J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$23))</f>
        <v>0</v>
      </c>
      <c r="K25" s="14">
        <f>IF(OR(All_Questions_Q_GRID_EXPORT_CT="(None)",K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$23))</f>
        <v>0</v>
      </c>
      <c r="L25" s="14">
        <f>IF(OR(All_Questions_Q_GRID_EXPORT_CT="(None)",L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$23))</f>
        <v>0</v>
      </c>
      <c r="M25" s="14">
        <f>IF(OR(All_Questions_Q_GRID_EXPORT_CT="(None)",M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$23))</f>
        <v>0</v>
      </c>
      <c r="N25" s="14">
        <f>IF(OR(All_Questions_Q_GRID_EXPORT_CT="(None)",N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$23))</f>
        <v>0</v>
      </c>
      <c r="O25" s="14">
        <f>IF(OR(All_Questions_Q_GRID_EXPORT_CT="(None)",O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$23))</f>
        <v>0</v>
      </c>
      <c r="P25" s="14">
        <f>IF(OR(All_Questions_Q_GRID_EXPORT_CT="(None)",P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$23))</f>
        <v>0</v>
      </c>
      <c r="Q25" s="14">
        <f>IF(OR(All_Questions_Q_GRID_EXPORT_CT="(None)",Q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$23))</f>
        <v>0</v>
      </c>
      <c r="R25" s="14">
        <f>IF(OR(All_Questions_Q_GRID_EXPORT_CT="(None)",R$23=""),"",IF(R$23="Other",COUNTIFS(Q_GRID_EXPORTr1_data,"Selected",passes_workbook_filters_data,1,passes_workbook_custom_filters_data,1,All_Questions_passes_local_filters_data,1,All_Questions_Q_GRID_EXPORT_F_passes_per_q_filter_data,1)-SUM(G25,H25,I25,J25,K25,L25,M25,N25,O25,P25,Q25)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$23)))</f>
        <v>0</v>
      </c>
      <c r="S25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6">
      <c r="F26" t="inlineStr">
        <is>
          <t>Grid second row</t>
        </is>
      </c>
      <c r="G26" s="14">
        <f>IF(OR(All_Questions_Q_GRID_EXPORT_CT="(None)",G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$23))</f>
        <v>0</v>
      </c>
      <c r="H26" s="14">
        <f>IF(OR(All_Questions_Q_GRID_EXPORT_CT="(None)",H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$23))</f>
        <v>0</v>
      </c>
      <c r="I26" s="14">
        <f>IF(OR(All_Questions_Q_GRID_EXPORT_CT="(None)",I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$23))</f>
        <v>0</v>
      </c>
      <c r="J26" s="14">
        <f>IF(OR(All_Questions_Q_GRID_EXPORT_CT="(None)",J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$23))</f>
        <v>0</v>
      </c>
      <c r="K26" s="14">
        <f>IF(OR(All_Questions_Q_GRID_EXPORT_CT="(None)",K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$23))</f>
        <v>0</v>
      </c>
      <c r="L26" s="14">
        <f>IF(OR(All_Questions_Q_GRID_EXPORT_CT="(None)",L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$23))</f>
        <v>0</v>
      </c>
      <c r="M26" s="14">
        <f>IF(OR(All_Questions_Q_GRID_EXPORT_CT="(None)",M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$23))</f>
        <v>0</v>
      </c>
      <c r="N26" s="14">
        <f>IF(OR(All_Questions_Q_GRID_EXPORT_CT="(None)",N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$23))</f>
        <v>0</v>
      </c>
      <c r="O26" s="14">
        <f>IF(OR(All_Questions_Q_GRID_EXPORT_CT="(None)",O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$23))</f>
        <v>0</v>
      </c>
      <c r="P26" s="14">
        <f>IF(OR(All_Questions_Q_GRID_EXPORT_CT="(None)",P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$23))</f>
        <v>0</v>
      </c>
      <c r="Q26" s="14">
        <f>IF(OR(All_Questions_Q_GRID_EXPORT_CT="(None)",Q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$23))</f>
        <v>0</v>
      </c>
      <c r="R26" s="14">
        <f>IF(OR(All_Questions_Q_GRID_EXPORT_CT="(None)",R$23=""),"",IF(R$23="Other",COUNTIFS(Q_GRID_EXPORTr2_data,"Selected",passes_workbook_filters_data,1,passes_workbook_custom_filters_data,1,All_Questions_passes_local_filters_data,1,All_Questions_Q_GRID_EXPORT_F_passes_per_q_filter_data,1)-SUM(G26,H26,I26,J26,K26,L26,M26,N26,O26,P26,Q26)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$23)))</f>
        <v>0</v>
      </c>
      <c r="S26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31" t="str">
        <f>"|" &amp; SUBSTITUTE(All_Questions_Q_VERY_LONG_SINGLE_SELECT_EXPORT_NAME_F_V, ", ", "|") &amp; "|"</f>
        <v>|(All)|</v>
      </c>
      <c r="H3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4" t="inlineStr">
        <is>
          <t>Option</t>
        </is>
      </c>
      <c r="G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34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34" s="4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A</t>
        </is>
      </c>
      <c r="G36" s="14">
        <f>IF(OR(All_Questions_Q_VERY_LONG_SINGLE_SELECT_EXPORT_NAME_CT="(None)",G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$34))</f>
        <v>0</v>
      </c>
      <c r="H36" s="14">
        <f>IF(OR(All_Questions_Q_VERY_LONG_SINGLE_SELECT_EXPORT_NAME_CT="(None)",H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$34))</f>
        <v>0</v>
      </c>
      <c r="I36" s="14">
        <f>IF(OR(All_Questions_Q_VERY_LONG_SINGLE_SELECT_EXPORT_NAME_CT="(None)",I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$34))</f>
        <v>0</v>
      </c>
      <c r="J36" s="14">
        <f>IF(OR(All_Questions_Q_VERY_LONG_SINGLE_SELECT_EXPORT_NAME_CT="(None)",J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$34))</f>
        <v>0</v>
      </c>
      <c r="K36" s="14">
        <f>IF(OR(All_Questions_Q_VERY_LONG_SINGLE_SELECT_EXPORT_NAME_CT="(None)",K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$34))</f>
        <v>0</v>
      </c>
      <c r="L36" s="14">
        <f>IF(OR(All_Questions_Q_VERY_LONG_SINGLE_SELECT_EXPORT_NAME_CT="(None)",L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$34))</f>
        <v>0</v>
      </c>
      <c r="M36" s="14">
        <f>IF(OR(All_Questions_Q_VERY_LONG_SINGLE_SELECT_EXPORT_NAME_CT="(None)",M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$34))</f>
        <v>0</v>
      </c>
      <c r="N36" s="14">
        <f>IF(OR(All_Questions_Q_VERY_LONG_SINGLE_SELECT_EXPORT_NAME_CT="(None)",N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$34))</f>
        <v>0</v>
      </c>
      <c r="O36" s="14">
        <f>IF(OR(All_Questions_Q_VERY_LONG_SINGLE_SELECT_EXPORT_NAME_CT="(None)",O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$34))</f>
        <v>0</v>
      </c>
      <c r="P36" s="14">
        <f>IF(OR(All_Questions_Q_VERY_LONG_SINGLE_SELECT_EXPORT_NAME_CT="(None)",P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$34))</f>
        <v>0</v>
      </c>
      <c r="Q36" s="14">
        <f>IF(OR(All_Questions_Q_VERY_LONG_SINGLE_SELECT_EXPORT_NAME_CT="(None)",Q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$34))</f>
        <v>0</v>
      </c>
      <c r="R36" s="14">
        <f>IF(OR(All_Questions_Q_VERY_LONG_SINGLE_SELECT_EXPORT_NAME_CT="(None)",R$34=""),"",IF(R$34="Other",COUNTIFS(Q_VERY_LONG_SINGLE_SELECT_EXPOR_data,"A",passes_workbook_filters_data,1,passes_workbook_custom_filters_data,1,All_Questions_passes_local_filters_data,1,All_Questions_Q_VERY_LONG_SINGLE_SELECT_EXPORT_NAME_F_passes_per_q_filter_data,1)-SUM(G36,H36,I36,J36,K36,L36,M36,N36,O36,P36,Q36)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$34)))</f>
        <v>0</v>
      </c>
      <c r="S36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  <c r="F37" t="inlineStr">
        <is>
          <t>B</t>
        </is>
      </c>
      <c r="G37" s="14">
        <f>IF(OR(All_Questions_Q_VERY_LONG_SINGLE_SELECT_EXPORT_NAME_CT="(None)",G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$34))</f>
        <v>0</v>
      </c>
      <c r="H37" s="14">
        <f>IF(OR(All_Questions_Q_VERY_LONG_SINGLE_SELECT_EXPORT_NAME_CT="(None)",H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$34))</f>
        <v>0</v>
      </c>
      <c r="I37" s="14">
        <f>IF(OR(All_Questions_Q_VERY_LONG_SINGLE_SELECT_EXPORT_NAME_CT="(None)",I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$34))</f>
        <v>0</v>
      </c>
      <c r="J37" s="14">
        <f>IF(OR(All_Questions_Q_VERY_LONG_SINGLE_SELECT_EXPORT_NAME_CT="(None)",J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$34))</f>
        <v>0</v>
      </c>
      <c r="K37" s="14">
        <f>IF(OR(All_Questions_Q_VERY_LONG_SINGLE_SELECT_EXPORT_NAME_CT="(None)",K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$34))</f>
        <v>0</v>
      </c>
      <c r="L37" s="14">
        <f>IF(OR(All_Questions_Q_VERY_LONG_SINGLE_SELECT_EXPORT_NAME_CT="(None)",L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$34))</f>
        <v>0</v>
      </c>
      <c r="M37" s="14">
        <f>IF(OR(All_Questions_Q_VERY_LONG_SINGLE_SELECT_EXPORT_NAME_CT="(None)",M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$34))</f>
        <v>0</v>
      </c>
      <c r="N37" s="14">
        <f>IF(OR(All_Questions_Q_VERY_LONG_SINGLE_SELECT_EXPORT_NAME_CT="(None)",N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$34))</f>
        <v>0</v>
      </c>
      <c r="O37" s="14">
        <f>IF(OR(All_Questions_Q_VERY_LONG_SINGLE_SELECT_EXPORT_NAME_CT="(None)",O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$34))</f>
        <v>0</v>
      </c>
      <c r="P37" s="14">
        <f>IF(OR(All_Questions_Q_VERY_LONG_SINGLE_SELECT_EXPORT_NAME_CT="(None)",P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$34))</f>
        <v>0</v>
      </c>
      <c r="Q37" s="14">
        <f>IF(OR(All_Questions_Q_VERY_LONG_SINGLE_SELECT_EXPORT_NAME_CT="(None)",Q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$34))</f>
        <v>0</v>
      </c>
      <c r="R37" s="14">
        <f>IF(OR(All_Questions_Q_VERY_LONG_SINGLE_SELECT_EXPORT_NAME_CT="(None)",R$34=""),"",IF(R$34="Other",COUNTIFS(Q_VERY_LONG_SINGLE_SELECT_EXPOR_data,"B",passes_workbook_filters_data,1,passes_workbook_custom_filters_data,1,All_Questions_passes_local_filters_data,1,All_Questions_Q_VERY_LONG_SINGLE_SELECT_EXPORT_NAME_F_passes_per_q_filter_data,1)-SUM(G37,H37,I37,J37,K37,L37,M37,N37,O37,P37,Q37)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$34)))</f>
        <v>0</v>
      </c>
      <c r="S37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G$27</t>
        </is>
      </c>
      <c r="H9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2026-06-08T13:47:03.935950+00:00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H$27</t>
        </is>
      </c>
      <c r="H10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2026-06-08T13:47:03.936260+00:00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I$27</t>
        </is>
      </c>
      <c r="H11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2026-06-08T13:47:03.936571+00:00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J$27</t>
        </is>
      </c>
      <c r="H12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2026-06-08T13:47:03.936844+00:00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K$27</t>
        </is>
      </c>
      <c r="H13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2026-06-08T13:47:03.937141+00:00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L$27</t>
        </is>
      </c>
      <c r="H14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2026-06-08T13:47:03.937440+00:00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M$27</t>
        </is>
      </c>
      <c r="H15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2026-06-08T13:47:03.937756+00:00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N$27</t>
        </is>
      </c>
      <c r="H16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2026-06-08T13:47:03.938090+00:00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O$27</t>
        </is>
      </c>
      <c r="H1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2026-06-08T13:47:03.938458+00:00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P$27</t>
        </is>
      </c>
      <c r="H18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2026-06-08T13:47:03.938726+00:00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Q$27</t>
        </is>
      </c>
      <c r="H19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2026-06-08T13:47:03.939012+00:00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R$27</t>
        </is>
      </c>
      <c r="H20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2026-06-08T13:47:03.939399+00:00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G$27</t>
        </is>
      </c>
      <c r="H21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2026-06-08T13:47:03.939885+00:00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H$27</t>
        </is>
      </c>
      <c r="H22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2026-06-08T13:47:03.940177+00:00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I$27</t>
        </is>
      </c>
      <c r="H23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2026-06-08T13:47:03.940474+00:00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J$27</t>
        </is>
      </c>
      <c r="H24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2026-06-08T13:47:03.940740+00:00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K$27</t>
        </is>
      </c>
      <c r="H25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2026-06-08T13:47:03.941027+00:00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L$27</t>
        </is>
      </c>
      <c r="H26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2026-06-08T13:47:03.941328+00:00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M$27</t>
        </is>
      </c>
      <c r="H2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2026-06-08T13:47:03.941604+00:00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N$27</t>
        </is>
      </c>
      <c r="H28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2026-06-08T13:47:03.941867+00:00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O$27</t>
        </is>
      </c>
      <c r="H29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2026-06-08T13:47:03.942159+00:00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P$27</t>
        </is>
      </c>
      <c r="H30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2026-06-08T13:47:03.942460+00:00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Q$27</t>
        </is>
      </c>
      <c r="H31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2026-06-08T13:47:03.942766+00:00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R$27</t>
        </is>
      </c>
      <c r="H32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2026-06-08T13:47:03.943144+00:00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G$23</t>
        </is>
      </c>
      <c r="H33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33" t="n">
        <v>5.5</v>
      </c>
      <c r="J33" t="n">
        <v>0</v>
      </c>
      <c r="K33" t="n">
        <v>0</v>
      </c>
      <c r="L33" t="inlineStr">
        <is>
          <t>2026-06-08T13:47:03.980544+00:00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H$23</t>
        </is>
      </c>
      <c r="H34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34" t="n">
        <v>5.5</v>
      </c>
      <c r="J34" t="n">
        <v>0</v>
      </c>
      <c r="K34" t="n">
        <v>0</v>
      </c>
      <c r="L34" t="inlineStr">
        <is>
          <t>2026-06-08T13:47:03.980754+00:00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I$23</t>
        </is>
      </c>
      <c r="H35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35" t="n">
        <v>5.5</v>
      </c>
      <c r="J35" t="n">
        <v>0</v>
      </c>
      <c r="K35" t="n">
        <v>0</v>
      </c>
      <c r="L35" t="inlineStr">
        <is>
          <t>2026-06-08T13:47:03.980966+00:00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J$23</t>
        </is>
      </c>
      <c r="H3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36" t="n">
        <v>5.5</v>
      </c>
      <c r="J36" t="n">
        <v>0</v>
      </c>
      <c r="K36" t="n">
        <v>0</v>
      </c>
      <c r="L36" t="inlineStr">
        <is>
          <t>2026-06-08T13:47:03.981168+00:00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K$23</t>
        </is>
      </c>
      <c r="H37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37" t="n">
        <v>5.5</v>
      </c>
      <c r="J37" t="n">
        <v>0</v>
      </c>
      <c r="K37" t="n">
        <v>0</v>
      </c>
      <c r="L37" t="inlineStr">
        <is>
          <t>2026-06-08T13:47:03.981392+00:00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L$23</t>
        </is>
      </c>
      <c r="H38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38" t="n">
        <v>5.5</v>
      </c>
      <c r="J38" t="n">
        <v>0</v>
      </c>
      <c r="K38" t="n">
        <v>0</v>
      </c>
      <c r="L38" t="inlineStr">
        <is>
          <t>2026-06-08T13:47:03.981587+00:00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M$23</t>
        </is>
      </c>
      <c r="H39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39" t="n">
        <v>5.5</v>
      </c>
      <c r="J39" t="n">
        <v>0</v>
      </c>
      <c r="K39" t="n">
        <v>0</v>
      </c>
      <c r="L39" t="inlineStr">
        <is>
          <t>2026-06-08T13:47:03.981778+00:00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N$23</t>
        </is>
      </c>
      <c r="H40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0</v>
      </c>
      <c r="I40" t="n">
        <v>5.5</v>
      </c>
      <c r="J40" t="n">
        <v>0</v>
      </c>
      <c r="K40" t="n">
        <v>0</v>
      </c>
      <c r="L40" t="inlineStr">
        <is>
          <t>2026-06-08T13:47:03.981985+00:00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O$23</t>
        </is>
      </c>
      <c r="H41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0</v>
      </c>
      <c r="I41" t="n">
        <v>5.5</v>
      </c>
      <c r="J41" t="n">
        <v>0</v>
      </c>
      <c r="K41" t="n">
        <v>0</v>
      </c>
      <c r="L41" t="inlineStr">
        <is>
          <t>2026-06-08T13:47:03.982184+00:00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P$23</t>
        </is>
      </c>
      <c r="H42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0</v>
      </c>
      <c r="I42" t="n">
        <v>5.5</v>
      </c>
      <c r="J42" t="n">
        <v>0</v>
      </c>
      <c r="K42" t="n">
        <v>0</v>
      </c>
      <c r="L42" t="inlineStr">
        <is>
          <t>2026-06-08T13:47:03.982404+00:00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Q$23</t>
        </is>
      </c>
      <c r="H43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0</v>
      </c>
      <c r="I43" t="n">
        <v>5.5</v>
      </c>
      <c r="J43" t="n">
        <v>0</v>
      </c>
      <c r="K43" t="n">
        <v>0</v>
      </c>
      <c r="L43" t="inlineStr">
        <is>
          <t>2026-06-08T13:47:03.982603+00:00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R$23</t>
        </is>
      </c>
      <c r="H44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0</v>
      </c>
      <c r="I44" t="n">
        <v>5.5</v>
      </c>
      <c r="J44" t="n">
        <v>0</v>
      </c>
      <c r="K44" t="n">
        <v>0</v>
      </c>
      <c r="L44" t="inlineStr">
        <is>
          <t>2026-06-08T13:47:03.982878+00:00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2026-06-08T13:47:03Z</dcterms:created>
  <dcterms:modified xmlns:dcterms="http://purl.org/dc/terms/" xmlns:xsi="http://www.w3.org/2001/XMLSchema-instance" xsi:type="dcterms:W3CDTF">2026-06-08T13:47:04Z</dcterms:modified>
</cp:coreProperties>
</file>