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O48" i="7"/>
  <c r="P48" i="7"/>
  <c r="Q48" i="7"/>
  <c r="R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S52" i="7"/>
  <c r="F55" i="7"/>
  <c r="G55" i="7"/>
  <c r="G58" i="7"/>
  <c r="H58" i="7"/>
  <c r="I58" i="7"/>
  <c r="J58" i="7"/>
  <c r="K58" i="7"/>
  <c r="L58" i="7"/>
  <c r="M58" i="7"/>
  <c r="N58" i="7"/>
  <c r="O58" i="7"/>
  <c r="P58" i="7"/>
  <c r="Q58" i="7"/>
  <c r="R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S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IFERROR(INDEX(All_Questions_Data_Names,MATCH(All_Questions_Q_NUM_EXPORT_F_Q,All_Questions,0)),"'_RawData'!$A:$A")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IFERROR(INDEX(All_Questions_Data_Names,MATCH(All_Questions_Q_GRID_EXPORT_F_Q,All_Questions,0)),"'_RawData'!$A:$A")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IF(All_Questions_Q_GRID_EXPORT_CT="(None)","",IFERROR(INDEX(INDIRECT(IFERROR(INDEX(All_Questions_Options_Names,MATCH(All_Questions_Q_GRID_EXPORT_CT,All_Questions,0)),"'_Options'!$E$2:$E$2")),2),""))</f>
        <v/>
      </c>
      <c r="H48" s="2" t="str">
        <f>IF(All_Questions_Q_GRID_EXPORT_CT="(None)","",IFERROR(INDEX(INDIRECT(IFERROR(INDEX(All_Questions_Options_Names,MATCH(All_Questions_Q_GRID_EXPORT_CT,All_Questions,0)),"'_Options'!$E$2:$E$2")),3),""))</f>
        <v/>
      </c>
      <c r="I48" s="2" t="str">
        <f>IF(All_Questions_Q_GRID_EXPORT_CT="(None)","",IFERROR(INDEX(INDIRECT(IFERROR(INDEX(All_Questions_Options_Names,MATCH(All_Questions_Q_GRID_EXPORT_CT,All_Questions,0)),"'_Options'!$E$2:$E$2")),4),""))</f>
        <v/>
      </c>
      <c r="J48" s="2" t="str">
        <f>IF(All_Questions_Q_GRID_EXPORT_CT="(None)","",IFERROR(INDEX(INDIRECT(IFERROR(INDEX(All_Questions_Options_Names,MATCH(All_Questions_Q_GRID_EXPORT_CT,All_Questions,0)),"'_Options'!$E$2:$E$2")),5),""))</f>
        <v/>
      </c>
      <c r="K48" s="2" t="str">
        <f>IF(All_Questions_Q_GRID_EXPORT_CT="(None)","",IFERROR(INDEX(INDIRECT(IFERROR(INDEX(All_Questions_Options_Names,MATCH(All_Questions_Q_GRID_EXPORT_CT,All_Questions,0)),"'_Options'!$E$2:$E$2")),6),""))</f>
        <v/>
      </c>
      <c r="L48" s="2" t="str">
        <f>IF(All_Questions_Q_GRID_EXPORT_CT="(None)","",IFERROR(INDEX(INDIRECT(IFERROR(INDEX(All_Questions_Options_Names,MATCH(All_Questions_Q_GRID_EXPORT_CT,All_Questions,0)),"'_Options'!$E$2:$E$2")),7),""))</f>
        <v/>
      </c>
      <c r="M48" s="2" t="str">
        <f>IF(All_Questions_Q_GRID_EXPORT_CT="(None)","",IFERROR(INDEX(INDIRECT(IFERROR(INDEX(All_Questions_Options_Names,MATCH(All_Questions_Q_GRID_EXPORT_CT,All_Questions,0)),"'_Options'!$E$2:$E$2")),8),""))</f>
        <v/>
      </c>
      <c r="N48" s="2" t="str">
        <f>IF(All_Questions_Q_GRID_EXPORT_CT="(None)","",IFERROR(INDEX(INDIRECT(IFERROR(INDEX(All_Questions_Options_Names,MATCH(All_Questions_Q_GRID_EXPORT_CT,All_Questions,0)),"'_Options'!$E$2:$E$2")),9),""))</f>
        <v/>
      </c>
      <c r="O48" s="2" t="str">
        <f>IF(All_Questions_Q_GRID_EXPORT_CT="(None)","",IFERROR(INDEX(INDIRECT(IFERROR(INDEX(All_Questions_Options_Names,MATCH(All_Questions_Q_GRID_EXPORT_CT,All_Questions,0)),"'_Options'!$E$2:$E$2")),10),""))</f>
        <v/>
      </c>
      <c r="P48" s="2" t="str">
        <f>IF(All_Questions_Q_GRID_EXPORT_CT="(None)","",IFERROR(INDEX(INDIRECT(IFERROR(INDEX(All_Questions_Options_Names,MATCH(All_Questions_Q_GRID_EXPORT_CT,All_Questions,0)),"'_Options'!$E$2:$E$2")),11),""))</f>
        <v/>
      </c>
      <c r="Q48" s="2" t="str">
        <f>IF(All_Questions_Q_GRID_EXPORT_CT="(None)","",IFERROR(INDEX(INDIRECT(IFERROR(INDEX(All_Questions_Options_Names,MATCH(All_Questions_Q_GRID_EXPORT_CT,All_Questions,0)),"'_Options'!$E$2:$E$2")),12),""))</f>
        <v/>
      </c>
      <c r="R48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# of resp</t>
        </is>
      </c>
      <c r="I49" s="4" t="inlineStr">
        <is>
          <t># of resp</t>
        </is>
      </c>
      <c r="J49" s="4" t="inlineStr">
        <is>
          <t># of resp</t>
        </is>
      </c>
      <c r="K49" s="4" t="inlineStr">
        <is>
          <t># of resp</t>
        </is>
      </c>
      <c r="L49" s="4" t="inlineStr">
        <is>
          <t># of resp</t>
        </is>
      </c>
      <c r="M49" s="4" t="inlineStr">
        <is>
          <t># of resp</t>
        </is>
      </c>
      <c r="N49" s="4" t="inlineStr">
        <is>
          <t># of resp</t>
        </is>
      </c>
      <c r="O49" s="4" t="inlineStr">
        <is>
          <t># of resp</t>
        </is>
      </c>
      <c r="P49" s="4" t="inlineStr">
        <is>
          <t># of resp</t>
        </is>
      </c>
      <c r="Q49" s="4" t="inlineStr">
        <is>
          <t># of resp</t>
        </is>
      </c>
      <c r="R49" s="4" t="inlineStr">
        <is>
          <t># of resp</t>
        </is>
      </c>
      <c r="S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0">
        <f>IF(OR(All_Questions_Q_GRID_EXPORT_CT="(None)",H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0">
        <f>IF(OR(All_Questions_Q_GRID_EXPORT_CT="(None)",J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0">
        <f>IF(OR(All_Questions_Q_GRID_EXPORT_CT="(None)",L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0">
        <f>IF(OR(All_Questions_Q_GRID_EXPORT_CT="(None)",N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0">
        <f>IF(OR(All_Questions_Q_GRID_EXPORT_CT="(None)",P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0">
        <f>IF(OR(All_Questions_Q_GRID_EXPORT_CT="(None)",R$48=""),"",IF(R$48="Other",COUNTIFS(Q_GRID_EXPORTr1_data,"Selected",passes_workbook_filters_data,1,passes_workbook_custom_filters_data,1,All_Questions_passes_local_filters_data,1,All_Questions_Q_GRID_EXPORT_F_passes_per_q_filter_data,1)-SUM(G50,H50,I50,J50,K50,L50,M50,N50,O50,P50,Q50)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$48))</f>
        <v>0</v>
      </c>
      <c r="H51">
        <f>IF(OR(All_Questions_Q_GRID_EXPORT_CT="(None)",H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$48)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$48))</f>
        <v>0</v>
      </c>
      <c r="J51">
        <f>IF(OR(All_Questions_Q_GRID_EXPORT_CT="(None)",J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$48)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$48))</f>
        <v>0</v>
      </c>
      <c r="L51">
        <f>IF(OR(All_Questions_Q_GRID_EXPORT_CT="(None)",L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$48)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$48))</f>
        <v>0</v>
      </c>
      <c r="N51">
        <f>IF(OR(All_Questions_Q_GRID_EXPORT_CT="(None)",N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$48)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$48))</f>
        <v>0</v>
      </c>
      <c r="P51">
        <f>IF(OR(All_Questions_Q_GRID_EXPORT_CT="(None)",P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$48)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$48))</f>
        <v>0</v>
      </c>
      <c r="R51">
        <f>IF(OR(All_Questions_Q_GRID_EXPORT_CT="(None)",R$48=""),"",IF(R$48="Other",COUNTIFS(Q_GRID_EXPORTr2_data,"Selected",passes_workbook_filters_data,1,passes_workbook_custom_filters_data,1,All_Questions_passes_local_filters_data,1,All_Questions_Q_GRID_EXPORT_F_passes_per_q_filter_data,1)-SUM(G51,H51,I51,J51,K51,L51,M51,N51,O51,P51,Q51)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$48)))</f>
        <v>0</v>
      </c>
      <c r="S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IFERROR(INDEX(All_Questions_Data_Names,MATCH(All_Questions_Q_VERY_LONG_SINGLE_SELECT_EXPORT_NAME_F_Q,All_Questions,0)),"'_RawData'!$A:$A")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# of resp</t>
        </is>
      </c>
      <c r="I59" s="4" t="inlineStr">
        <is>
          <t># of resp</t>
        </is>
      </c>
      <c r="J59" s="4" t="inlineStr">
        <is>
          <t># of resp</t>
        </is>
      </c>
      <c r="K59" s="4" t="inlineStr">
        <is>
          <t># of resp</t>
        </is>
      </c>
      <c r="L59" s="4" t="inlineStr">
        <is>
          <t># of resp</t>
        </is>
      </c>
      <c r="M59" s="4" t="inlineStr">
        <is>
          <t># of resp</t>
        </is>
      </c>
      <c r="N59" s="4" t="inlineStr">
        <is>
          <t># of resp</t>
        </is>
      </c>
      <c r="O59" s="4" t="inlineStr">
        <is>
          <t># of resp</t>
        </is>
      </c>
      <c r="P59" s="4" t="inlineStr">
        <is>
          <t># of resp</t>
        </is>
      </c>
      <c r="Q59" s="4" t="inlineStr">
        <is>
          <t># of resp</t>
        </is>
      </c>
      <c r="R59" s="4" t="inlineStr">
        <is>
          <t># of resp</t>
        </is>
      </c>
      <c r="S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0">
        <f>IF(OR(All_Questions_Q_VERY_LONG_SINGLE_SELECT_EXPORT_NAME_CT="(None)",H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0">
        <f>IF(OR(All_Questions_Q_VERY_LONG_SINGLE_SELECT_EXPORT_NAME_CT="(None)",J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0">
        <f>IF(OR(All_Questions_Q_VERY_LONG_SINGLE_SELECT_EXPORT_NAME_CT="(None)",L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0">
        <f>IF(OR(All_Questions_Q_VERY_LONG_SINGLE_SELECT_EXPORT_NAME_CT="(None)",N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0">
        <f>IF(OR(All_Questions_Q_VERY_LONG_SINGLE_SELECT_EXPORT_NAME_CT="(None)",P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0">
        <f>IF(OR(All_Questions_Q_VERY_LONG_SINGLE_SELECT_EXPORT_NAME_CT="(None)",R$58=""),"",IF(R$58="Other",COUNTIFS(Q_VERY_LONG_SINGLE_SELECT_EXPOR_data,"A",passes_workbook_filters_data,1,passes_workbook_custom_filters_data,1,All_Questions_passes_local_filters_data,1,All_Questions_Q_VERY_LONG_SINGLE_SELECT_EXPORT_NAME_F_passes_per_q_filter_data,1)-SUM(G60,H60,I60,J60,K60,L60,M60,N60,O60,P60,Q60)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$58))</f>
        <v>0</v>
      </c>
      <c r="H61">
        <f>IF(OR(All_Questions_Q_VERY_LONG_SINGLE_SELECT_EXPORT_NAME_CT="(None)",H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$58)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$58))</f>
        <v>0</v>
      </c>
      <c r="J61">
        <f>IF(OR(All_Questions_Q_VERY_LONG_SINGLE_SELECT_EXPORT_NAME_CT="(None)",J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$58)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$58))</f>
        <v>0</v>
      </c>
      <c r="L61">
        <f>IF(OR(All_Questions_Q_VERY_LONG_SINGLE_SELECT_EXPORT_NAME_CT="(None)",L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$58)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$58))</f>
        <v>0</v>
      </c>
      <c r="N61">
        <f>IF(OR(All_Questions_Q_VERY_LONG_SINGLE_SELECT_EXPORT_NAME_CT="(None)",N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$58)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$58))</f>
        <v>0</v>
      </c>
      <c r="P61">
        <f>IF(OR(All_Questions_Q_VERY_LONG_SINGLE_SELECT_EXPORT_NAME_CT="(None)",P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$58)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$58))</f>
        <v>0</v>
      </c>
      <c r="R61">
        <f>IF(OR(All_Questions_Q_VERY_LONG_SINGLE_SELECT_EXPORT_NAME_CT="(None)",R$58=""),"",IF(R$58="Other",COUNTIFS(Q_VERY_LONG_SINGLE_SELECT_EXPOR_data,"B",passes_workbook_filters_data,1,passes_workbook_custom_filters_data,1,All_Questions_passes_local_filters_data,1,All_Questions_Q_VERY_LONG_SINGLE_SELECT_EXPORT_NAME_F_passes_per_q_filter_data,1)-SUM(G61,H61,I61,J61,K61,L61,M61,N61,O61,P61,Q61)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$58)))</f>
        <v>0</v>
      </c>
      <c r="S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G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0:I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0:K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0:M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0:Q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0:G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0:I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0:K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0:M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0:O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0:Q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2026-05-18T19:35:11Z</dcterms:created>
  <dcterms:modified xmlns:dcterms="http://purl.org/dc/terms/" xmlns:xsi="http://www.w3.org/2001/XMLSchema-instance" xsi:type="dcterms:W3CDTF">2026-05-18T19:35:11Z</dcterms:modified>
</cp:coreProperties>
</file>