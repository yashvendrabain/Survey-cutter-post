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'_Options'!$C$2:$C$8</definedName>
    <definedName name="All_Questions_Options_Names">'_Options'!$D$2:$D$8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Questions'!$C$49</definedName>
    <definedName name="All_Questions_Q_VERY_LONG_SINGLE_SELECT_EXPORT_NAME_F_V">'All Questions'!$E$49</definedName>
    <definedName name="All_Questions_Q_VERY_LONG_SINGLE_SELECT_EXPORT_NAME_F_resolved_column">'All Questions'!$F$49</definedName>
    <definedName name="All_Questions_Q_VERY_LONG_SINGLE_SELECT_EXPORT_NAME_F_wrapped">'All Questions'!$G$49</definedName>
    <definedName name="All_Questions_Q_VERY_LONG_SINGLE_SELECT_EXPORT_NAME_F_passes_per_q_filter_data">'_RawData'!$V$2:$V$11</definedName>
    <definedName name="All_Questions_Q_VERY_LONG_SINGLE_SELECT_EXPORT_NAME_CT">'All Questions'!$C$50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C42" i="8"/>
  <c r="D42" i="8"/>
  <c r="E42" i="8"/>
  <c r="F42" i="8"/>
  <c r="C43" i="8"/>
  <c r="D43" i="8"/>
  <c r="E43" i="8"/>
  <c r="F43" i="8"/>
  <c r="F49" i="8"/>
  <c r="G49" i="8"/>
  <c r="G52" i="8"/>
  <c r="H52" i="8"/>
  <c r="I52" i="8"/>
  <c r="J52" i="8"/>
  <c r="K52" i="8"/>
  <c r="L52" i="8"/>
  <c r="M52" i="8"/>
  <c r="N52" i="8"/>
  <c r="O52" i="8"/>
  <c r="P52" i="8"/>
  <c r="Q52" i="8"/>
  <c r="R52" i="8"/>
  <c r="B53" i="8"/>
  <c r="C53" i="8"/>
  <c r="D53" i="8"/>
  <c r="B54" i="8"/>
  <c r="C54" i="8"/>
  <c r="D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S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3" headerRowCount="1">
  <autoFilter ref="A28:D3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52_1" displayName="T_All_Questions_52_1" ref="A52:D55" headerRowCount="1">
  <autoFilter ref="A52:D5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/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0"/>
    <row r="11"/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6"/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1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1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 s="16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 s="16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 s="16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s="16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t="inlineStr">
        <is>
          <t>Median</t>
        </is>
      </c>
      <c r="B33" s="16" t="n">
        <v>5.5</v>
      </c>
      <c r="C33" t="inlineStr">
        <is>
          <t>static baseline</t>
        </is>
      </c>
      <c r="D33" s="14" t="n">
        <v>10</v>
      </c>
    </row>
    <row r="34"/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39"/>
    <row r="40">
      <c r="A40" s="4" t="inlineStr">
        <is>
          <t>Sub-question ID</t>
        </is>
      </c>
      <c r="B40" s="4" t="inlineStr">
        <is>
          <t>Sub-question</t>
        </is>
      </c>
      <c r="C40" s="4" t="inlineStr">
        <is>
          <t>High</t>
        </is>
      </c>
      <c r="D40" s="2" t="n"/>
      <c r="E40" s="4" t="inlineStr">
        <is>
          <t>Low</t>
        </is>
      </c>
      <c r="F40" s="2" t="n"/>
    </row>
    <row r="41">
      <c r="A41" s="2" t="inlineStr"/>
      <c r="B41" s="2" t="inlineStr"/>
      <c r="C41" s="4" t="inlineStr">
        <is>
          <t>Count</t>
        </is>
      </c>
      <c r="D41" s="4" t="inlineStr">
        <is>
          <t>%</t>
        </is>
      </c>
      <c r="E41" s="4" t="inlineStr">
        <is>
          <t>Count</t>
        </is>
      </c>
      <c r="F41" s="4" t="inlineStr">
        <is>
          <t>%</t>
        </is>
      </c>
    </row>
    <row r="42">
      <c r="A42" s="17" t="inlineStr">
        <is>
          <t>Q_GRID_EXPORTr1</t>
        </is>
      </c>
      <c r="B42" t="inlineStr">
        <is>
          <t>Grid first row</t>
        </is>
      </c>
      <c r="C42">
        <f>COUNTIFS(Q_GRID_EXPORTr1_data,"High",passes_workbook_filters_data,1,passes_workbook_custom_filters_data,1,All_Questions_passes_local_filters_data,1,All_Questions_Q_GRID_EXPORT_F_passes_per_q_filter_data,1)</f>
        <v>6</v>
      </c>
      <c r="D42" s="7">
        <f>IFERROR(C42/10,0)</f>
        <v>0.6</v>
      </c>
      <c r="E42">
        <f>COUNTIFS(Q_GRID_EXPORTr1_data,"Low",passes_workbook_filters_data,1,passes_workbook_custom_filters_data,1,All_Questions_passes_local_filters_data,1,All_Questions_Q_GRID_EXPORT_F_passes_per_q_filter_data,1)</f>
        <v>4</v>
      </c>
      <c r="F42" s="7">
        <f>IFERROR(E42/10,0)</f>
        <v>0.4</v>
      </c>
    </row>
    <row r="43">
      <c r="A43" s="17" t="inlineStr">
        <is>
          <t>Q_GRID_EXPORTr2</t>
        </is>
      </c>
      <c r="B43" t="inlineStr">
        <is>
          <t>Grid second row</t>
        </is>
      </c>
      <c r="C43">
        <f>COUNTIFS(Q_GRID_EXPORTr2_data,"High",passes_workbook_filters_data,1,passes_workbook_custom_filters_data,1,All_Questions_passes_local_filters_data,1,All_Questions_Q_GRID_EXPORT_F_passes_per_q_filter_data,1)</f>
        <v>5</v>
      </c>
      <c r="D43" s="7">
        <f>IFERROR(C43/10,0)</f>
        <v>0.5</v>
      </c>
      <c r="E43">
        <f>COUNTIFS(Q_GRID_EXPORTr2_data,"Low",passes_workbook_filters_data,1,passes_workbook_custom_filters_data,1,All_Questions_passes_local_filters_data,1,All_Questions_Q_GRID_EXPORT_F_passes_per_q_filter_data,1)</f>
        <v>5</v>
      </c>
      <c r="F43" s="7">
        <f>IFERROR(E43/10,0)</f>
        <v>0.5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E44" s="15" t="n"/>
      <c r="F44" s="15" t="n"/>
    </row>
    <row r="45">
      <c r="A45" s="4" t="inlineStr">
        <is>
          <t>Total responses</t>
        </is>
      </c>
      <c r="B45" s="4" t="n">
        <v>20</v>
      </c>
      <c r="C45" s="4" t="n"/>
      <c r="D45" s="4" t="n"/>
      <c r="E45" s="4" t="n"/>
      <c r="F45" s="4" t="n"/>
    </row>
    <row r="46"/>
    <row r="47">
      <c r="A47" s="11" t="n"/>
      <c r="B47" s="11" t="n"/>
      <c r="C47" s="11" t="n"/>
      <c r="D47" s="11" t="n"/>
      <c r="E47" s="11" t="n"/>
      <c r="F47" s="11" t="n"/>
      <c r="G47" s="11" t="n"/>
      <c r="H47" s="11" t="n"/>
      <c r="I47" s="11" t="n"/>
      <c r="J47" s="11" t="n"/>
    </row>
    <row r="48">
      <c r="A48" s="12" t="inlineStr">
        <is>
          <t>Q_VERY_LONG_SINGLE_SELECT_EXPORT_NAME - Long sheet name export question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</row>
    <row r="49">
      <c r="A49" s="13" t="inlineStr">
        <is>
          <t>Per-question filter</t>
        </is>
      </c>
      <c r="B49" t="inlineStr">
        <is>
          <t>Filter Q</t>
        </is>
      </c>
      <c r="C49" t="inlineStr">
        <is>
          <t>(None)</t>
        </is>
      </c>
      <c r="D49" t="inlineStr">
        <is>
          <t>Value</t>
        </is>
      </c>
      <c r="E49" t="inlineStr">
        <is>
          <t>(All)</t>
        </is>
      </c>
      <c r="F49" t="str">
        <f>IFERROR(INDEX(All_Questions_Data_Names,MATCH(All_Questions_Q_VERY_LONG_SINGLE_SELECT_EXPORT_NAME_F_Q,All_Questions,0)),"'_RawData'!$A:$A")</f>
        <v>respondent_id_data</v>
      </c>
      <c r="G49" t="str">
        <f>"|" &amp; SUBSTITUTE(All_Questions_Q_VERY_LONG_SINGLE_SELECT_EXPORT_NAME_F_V, ", ", "|") &amp; "|"</f>
        <v>|(All)|</v>
      </c>
    </row>
    <row r="50">
      <c r="A50" s="13" t="inlineStr">
        <is>
          <t>Cross-tab by</t>
        </is>
      </c>
      <c r="C50" t="inlineStr">
        <is>
          <t>(None)</t>
        </is>
      </c>
    </row>
    <row r="51"/>
    <row r="52">
      <c r="A52" s="4" t="inlineStr">
        <is>
          <t>Option</t>
        </is>
      </c>
      <c r="B52" s="4" t="inlineStr">
        <is>
          <t>Count</t>
        </is>
      </c>
      <c r="C52" s="4" t="inlineStr">
        <is>
          <t>%</t>
        </is>
      </c>
      <c r="D52" s="4" t="inlineStr">
        <is>
          <t>Denominator</t>
        </is>
      </c>
      <c r="F52" s="4" t="inlineStr">
        <is>
          <t>Option</t>
        </is>
      </c>
      <c r="G52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2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2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2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2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2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2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2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2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2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2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2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2" s="4" t="inlineStr">
        <is>
          <t>Total</t>
        </is>
      </c>
    </row>
    <row r="53">
      <c r="A53" t="inlineStr">
        <is>
          <t>A</t>
        </is>
      </c>
      <c r="B53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3" s="7">
        <f>IFERROR(B53/SUBTOTAL(9,B53:B54),0)</f>
        <v>0.7</v>
      </c>
      <c r="D53" s="14">
        <f>SUBTOTAL(9,B53:B54)</f>
        <v>10</v>
      </c>
      <c r="F53" s="4" t="inlineStr"/>
      <c r="G53" s="4" t="inlineStr">
        <is>
          <t># of resp</t>
        </is>
      </c>
      <c r="H53" s="4" t="inlineStr">
        <is>
          <t># of resp</t>
        </is>
      </c>
      <c r="I53" s="4" t="inlineStr">
        <is>
          <t># of resp</t>
        </is>
      </c>
      <c r="J53" s="4" t="inlineStr">
        <is>
          <t># of resp</t>
        </is>
      </c>
      <c r="K53" s="4" t="inlineStr">
        <is>
          <t># of resp</t>
        </is>
      </c>
      <c r="L53" s="4" t="inlineStr">
        <is>
          <t># of resp</t>
        </is>
      </c>
      <c r="M53" s="4" t="inlineStr">
        <is>
          <t># of resp</t>
        </is>
      </c>
      <c r="N53" s="4" t="inlineStr">
        <is>
          <t># of resp</t>
        </is>
      </c>
      <c r="O53" s="4" t="inlineStr">
        <is>
          <t># of resp</t>
        </is>
      </c>
      <c r="P53" s="4" t="inlineStr">
        <is>
          <t># of resp</t>
        </is>
      </c>
      <c r="Q53" s="4" t="inlineStr">
        <is>
          <t># of resp</t>
        </is>
      </c>
      <c r="R53" s="4" t="inlineStr">
        <is>
          <t># of resp</t>
        </is>
      </c>
      <c r="S53" s="4" t="inlineStr">
        <is>
          <t># of resp</t>
        </is>
      </c>
    </row>
    <row r="54">
      <c r="A54" t="inlineStr">
        <is>
          <t>B</t>
        </is>
      </c>
      <c r="B54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4" s="7">
        <f>IFERROR(B54/SUBTOTAL(9,B53:B54),0)</f>
        <v>0.3</v>
      </c>
      <c r="D54" s="14">
        <f>SUBTOTAL(9,B53:B54)</f>
        <v>10</v>
      </c>
      <c r="F54" t="inlineStr">
        <is>
          <t>A</t>
        </is>
      </c>
      <c r="G54">
        <f>IF(OR(All_Questions_Q_VERY_LONG_SINGLE_SELECT_EXPORT_NAME_CT="(None)",G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4">
        <f>IF(OR(All_Questions_Q_VERY_LONG_SINGLE_SELECT_EXPORT_NAME_CT="(None)",H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4">
        <f>IF(OR(All_Questions_Q_VERY_LONG_SINGLE_SELECT_EXPORT_NAME_CT="(None)",I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4">
        <f>IF(OR(All_Questions_Q_VERY_LONG_SINGLE_SELECT_EXPORT_NAME_CT="(None)",J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4">
        <f>IF(OR(All_Questions_Q_VERY_LONG_SINGLE_SELECT_EXPORT_NAME_CT="(None)",K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4">
        <f>IF(OR(All_Questions_Q_VERY_LONG_SINGLE_SELECT_EXPORT_NAME_CT="(None)",L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4">
        <f>IF(OR(All_Questions_Q_VERY_LONG_SINGLE_SELECT_EXPORT_NAME_CT="(None)",M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4">
        <f>IF(OR(All_Questions_Q_VERY_LONG_SINGLE_SELECT_EXPORT_NAME_CT="(None)",N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4">
        <f>IF(OR(All_Questions_Q_VERY_LONG_SINGLE_SELECT_EXPORT_NAME_CT="(None)",O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4">
        <f>IF(OR(All_Questions_Q_VERY_LONG_SINGLE_SELECT_EXPORT_NAME_CT="(None)",P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4">
        <f>IF(OR(All_Questions_Q_VERY_LONG_SINGLE_SELECT_EXPORT_NAME_CT="(None)",Q$52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4">
        <f>IF(OR(All_Questions_Q_VERY_LONG_SINGLE_SELECT_EXPORT_NAME_CT="(None)",R$52=""),"",IF(R$52="Other",COUNTIFS(Q_VERY_LONG_SINGLE_SELECT_EXPOR_data,"A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5">
      <c r="A55" s="15" t="inlineStr">
        <is>
          <t>Total respondents</t>
        </is>
      </c>
      <c r="B55" s="15" t="n">
        <v>10</v>
      </c>
      <c r="C55" s="15" t="n"/>
      <c r="D55" s="15" t="n"/>
      <c r="F55" t="inlineStr">
        <is>
          <t>B</t>
        </is>
      </c>
      <c r="G55">
        <f>IF(OR(All_Questions_Q_VERY_LONG_SINGLE_SELECT_EXPORT_NAME_CT="(None)",G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$52))</f>
        <v>0</v>
      </c>
      <c r="H55">
        <f>IF(OR(All_Questions_Q_VERY_LONG_SINGLE_SELECT_EXPORT_NAME_CT="(None)",H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$52))</f>
        <v>0</v>
      </c>
      <c r="I55">
        <f>IF(OR(All_Questions_Q_VERY_LONG_SINGLE_SELECT_EXPORT_NAME_CT="(None)",I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$52))</f>
        <v>0</v>
      </c>
      <c r="J55">
        <f>IF(OR(All_Questions_Q_VERY_LONG_SINGLE_SELECT_EXPORT_NAME_CT="(None)",J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$52))</f>
        <v>0</v>
      </c>
      <c r="K55">
        <f>IF(OR(All_Questions_Q_VERY_LONG_SINGLE_SELECT_EXPORT_NAME_CT="(None)",K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$52))</f>
        <v>0</v>
      </c>
      <c r="L55">
        <f>IF(OR(All_Questions_Q_VERY_LONG_SINGLE_SELECT_EXPORT_NAME_CT="(None)",L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$52))</f>
        <v>0</v>
      </c>
      <c r="M55">
        <f>IF(OR(All_Questions_Q_VERY_LONG_SINGLE_SELECT_EXPORT_NAME_CT="(None)",M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$52))</f>
        <v>0</v>
      </c>
      <c r="N55">
        <f>IF(OR(All_Questions_Q_VERY_LONG_SINGLE_SELECT_EXPORT_NAME_CT="(None)",N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$52))</f>
        <v>0</v>
      </c>
      <c r="O55">
        <f>IF(OR(All_Questions_Q_VERY_LONG_SINGLE_SELECT_EXPORT_NAME_CT="(None)",O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$52))</f>
        <v>0</v>
      </c>
      <c r="P55">
        <f>IF(OR(All_Questions_Q_VERY_LONG_SINGLE_SELECT_EXPORT_NAME_CT="(None)",P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$52))</f>
        <v>0</v>
      </c>
      <c r="Q55">
        <f>IF(OR(All_Questions_Q_VERY_LONG_SINGLE_SELECT_EXPORT_NAME_CT="(None)",Q$52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$52))</f>
        <v>0</v>
      </c>
      <c r="R55">
        <f>IF(OR(All_Questions_Q_VERY_LONG_SINGLE_SELECT_EXPORT_NAME_CT="(None)",R$52=""),"",IF(R$52="Other",COUNTIFS(Q_VERY_LONG_SINGLE_SELECT_EXPOR_data,"B",passes_workbook_filters_data,1,passes_workbook_custom_filters_data,1,All_Questions_passes_local_filters_data,1,All_Questions_Q_VERY_LONG_SINGLE_SELECT_EXPORT_NAME_F_passes_per_q_filter_data,1)-SUM(G55,H55,I55,J55,K55,L55,M55,N55,O55,P55,Q55)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$52)))</f>
        <v>0</v>
      </c>
      <c r="S55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6">
      <c r="F56" s="4" t="inlineStr">
        <is>
          <t>Total respondents</t>
        </is>
      </c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0:F40"/>
    <mergeCell ref="A1:J1"/>
    <mergeCell ref="C40:D40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42:D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42:F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3:B5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3:C5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4:G55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4:H55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4:I55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4:J55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4:K55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4:L55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4:M55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4:N55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4:O55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4:P55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4:Q55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4:R55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9" showDropDown="0" showInputMessage="0" showErrorMessage="0" allowBlank="1" type="list">
      <formula1>=All_Questions</formula1>
    </dataValidation>
    <dataValidation sqref="E49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0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2026-06-07T12:45:58Z</dcterms:created>
  <dcterms:modified xmlns:dcterms="http://purl.org/dc/terms/" xmlns:xsi="http://www.w3.org/2001/XMLSchema-instance" xsi:type="dcterms:W3CDTF">2026-06-07T12:45:58Z</dcterms:modified>
</cp:coreProperties>
</file>