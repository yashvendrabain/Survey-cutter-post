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'_RawData'!$T$2:$T$4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'_RawData'!$U$2:$U$4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'_RawData'!$V$2:$V$4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  <c r="F24" i="8"/>
  <c r="G24" i="8"/>
  <c r="B28" i="8"/>
  <c r="D28" i="8"/>
  <c r="B29" i="8"/>
  <c r="D29" i="8"/>
  <c r="B30" i="8"/>
  <c r="D30" i="8"/>
  <c r="D31" i="8"/>
  <c r="F36" i="8"/>
  <c r="G36" i="8"/>
  <c r="G39" i="8"/>
  <c r="H39" i="8"/>
  <c r="I39" i="8"/>
  <c r="J39" i="8"/>
  <c r="K39" i="8"/>
  <c r="L39" i="8"/>
  <c r="M39" i="8"/>
  <c r="N39" i="8"/>
  <c r="B40" i="8"/>
  <c r="C40" i="8"/>
  <c r="D40" i="8"/>
  <c r="G40" i="8"/>
  <c r="H40" i="8"/>
  <c r="I40" i="8"/>
  <c r="J40" i="8"/>
  <c r="K40" i="8"/>
  <c r="L40" i="8"/>
  <c r="M40" i="8"/>
  <c r="N40" i="8"/>
  <c r="O40" i="8"/>
  <c r="B41" i="8"/>
  <c r="C41" i="8"/>
  <c r="D41" i="8"/>
  <c r="G41" i="8"/>
  <c r="H41" i="8"/>
  <c r="I41" i="8"/>
  <c r="J41" i="8"/>
  <c r="K41" i="8"/>
  <c r="L41" i="8"/>
  <c r="M41" i="8"/>
  <c r="N41" i="8"/>
  <c r="O41" i="8"/>
  <c r="F46" i="8"/>
  <c r="G46" i="8"/>
  <c r="G49" i="8"/>
  <c r="H49" i="8"/>
  <c r="I49" i="8"/>
  <c r="J49" i="8"/>
  <c r="K49" i="8"/>
  <c r="L49" i="8"/>
  <c r="M49" i="8"/>
  <c r="N49" i="8"/>
  <c r="B50" i="8"/>
  <c r="C50" i="8"/>
  <c r="D50" i="8"/>
  <c r="G50" i="8"/>
  <c r="H50" i="8"/>
  <c r="I50" i="8"/>
  <c r="J50" i="8"/>
  <c r="K50" i="8"/>
  <c r="L50" i="8"/>
  <c r="M50" i="8"/>
  <c r="N50" i="8"/>
  <c r="O50" i="8"/>
  <c r="B51" i="8"/>
  <c r="C51" i="8"/>
  <c r="D51" i="8"/>
  <c r="G51" i="8"/>
  <c r="H51" i="8"/>
  <c r="I51" i="8"/>
  <c r="J51" i="8"/>
  <c r="K51" i="8"/>
  <c r="L51" i="8"/>
  <c r="M51" i="8"/>
  <c r="N51" i="8"/>
  <c r="O5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3" authorId="0" shapeId="0">
      <text>
        <t>Numeric export question</t>
      </text>
    </comment>
    <comment ref="A35" authorId="0" shapeId="0">
      <text>
        <t>Grid export question</t>
      </text>
    </comment>
    <comment ref="A4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XLOOKUP(Demographics_Q_SS_EXPORT_F_Q,All_Questions,All_Questions_Data_Names,"respondent_id_data")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IFERROR(INDEX(INDIRECT(XLOOKUP(Demographics_Q_SS_EXPORT_CT,All_Questions,All_Questions_Options_Names,"None_options")),2),"")</f>
        <v/>
      </c>
      <c r="H17" t="str">
        <f>IFERROR(INDEX(INDIRECT(XLOOKUP(Demographics_Q_SS_EXPORT_CT,All_Questions,All_Questions_Options_Names,"None_options")),3),"")</f>
        <v/>
      </c>
      <c r="I17" t="str">
        <f>IFERROR(INDEX(INDIRECT(XLOOKUP(Demographics_Q_SS_EXPORT_CT,All_Questions,All_Questions_Options_Names,"None_options")),4),"")</f>
        <v/>
      </c>
      <c r="J17" t="str">
        <f>IFERROR(INDEX(INDIRECT(XLOOKUP(Demographics_Q_SS_EXPORT_CT,All_Questions,All_Questions_Options_Names,"None_options")),5),"")</f>
        <v/>
      </c>
      <c r="K17" t="str">
        <f>IFERROR(INDEX(INDIRECT(XLOOKUP(Demographics_Q_SS_EXPORT_CT,All_Questions,All_Questions_Options_Names,"None_options")),6),"")</f>
        <v/>
      </c>
      <c r="L17" t="str">
        <f>IFERROR(INDEX(INDIRECT(XLOOKUP(Demographics_Q_SS_EXPORT_CT,All_Questions,All_Questions_Options_Names,"None_options")),7),"")</f>
        <v/>
      </c>
      <c r="M17" t="str">
        <f>IFERROR(INDEX(INDIRECT(XLOOKUP(Demographics_Q_SS_EXPORT_CT,All_Questions,All_Questions_Options_Names,"None_options")),8),"")</f>
        <v/>
      </c>
      <c r="N17" t="str">
        <f>IFERROR(INDEX(INDIRECT(XLOOKUP(Demographics_Q_SS_EXPORT_CT,All_Questions,All_Questions_Options_Names,"None_options")),9),"")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t="inlineStr">
        <is>
          <t>Yes</t>
        </is>
      </c>
      <c r="G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No</t>
        </is>
      </c>
      <c r="G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=INDIRECT(XLOOKUP(Demographics_Q_SS_EXPORT_F_Q,All_Questions,All_Questions_Options_Names,"None_options"))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XLOOKUP(All_Questions_Q_MS_EXPORT_F_Q,All_Questions,All_Questions_Data_Names,"respondent_id_data")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IFERROR(INDEX(INDIRECT(XLOOKUP(All_Questions_Q_MS_EXPORT_CT,All_Questions,All_Questions_Options_Names,"None_options")),2),"")</f>
        <v/>
      </c>
      <c r="H17" t="str">
        <f>IFERROR(INDEX(INDIRECT(XLOOKUP(All_Questions_Q_MS_EXPORT_CT,All_Questions,All_Questions_Options_Names,"None_options")),3),"")</f>
        <v/>
      </c>
      <c r="I17" t="str">
        <f>IFERROR(INDEX(INDIRECT(XLOOKUP(All_Questions_Q_MS_EXPORT_CT,All_Questions,All_Questions_Options_Names,"None_options")),4),"")</f>
        <v/>
      </c>
      <c r="J17" t="str">
        <f>IFERROR(INDEX(INDIRECT(XLOOKUP(All_Questions_Q_MS_EXPORT_CT,All_Questions,All_Questions_Options_Names,"None_options")),5),"")</f>
        <v/>
      </c>
      <c r="K17" t="str">
        <f>IFERROR(INDEX(INDIRECT(XLOOKUP(All_Questions_Q_MS_EXPORT_CT,All_Questions,All_Questions_Options_Names,"None_options")),6),"")</f>
        <v/>
      </c>
      <c r="L17" t="str">
        <f>IFERROR(INDEX(INDIRECT(XLOOKUP(All_Questions_Q_MS_EXPORT_CT,All_Questions,All_Questions_Options_Names,"None_options")),7),"")</f>
        <v/>
      </c>
      <c r="M17" t="str">
        <f>IFERROR(INDEX(INDIRECT(XLOOKUP(All_Questions_Q_MS_EXPORT_CT,All_Questions,All_Questions_Options_Names,"None_options")),8),"")</f>
        <v/>
      </c>
      <c r="N17" t="str">
        <f>IFERROR(INDEX(INDIRECT(XLOOKUP(All_Questions_Q_MS_EXPORT_CT,All_Questions,All_Questions_Options_Names,"None_options")),9),"")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t="inlineStr">
        <is>
          <t>First</t>
        </is>
      </c>
      <c r="G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8">
        <f>SUM(G18:N18)</f>
        <v>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Second</t>
        </is>
      </c>
      <c r="G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Q_NUM_EXPORT - Numeric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XLOOKUP(All_Questions_Q_NUM_EXPORT_F_Q,All_Questions,All_Questions_Data_Names,"respondent_id_data")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Q_GRID_EXPORT - Grid Export Question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XLOOKUP(All_Questions_Q_GRID_EXPORT_F_Q,All_Questions,All_Questions_Data_Names,"respondent_id_data")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 t="str">
        <f>IFERROR(INDEX(INDIRECT(XLOOKUP(All_Questions_Q_GRID_EXPORT_CT,All_Questions,All_Questions_Options_Names,"None_options")),2),"")</f>
        <v/>
      </c>
      <c r="H39" t="str">
        <f>IFERROR(INDEX(INDIRECT(XLOOKUP(All_Questions_Q_GRID_EXPORT_CT,All_Questions,All_Questions_Options_Names,"None_options")),3),"")</f>
        <v/>
      </c>
      <c r="I39" t="str">
        <f>IFERROR(INDEX(INDIRECT(XLOOKUP(All_Questions_Q_GRID_EXPORT_CT,All_Questions,All_Questions_Options_Names,"None_options")),4),"")</f>
        <v/>
      </c>
      <c r="J39" t="str">
        <f>IFERROR(INDEX(INDIRECT(XLOOKUP(All_Questions_Q_GRID_EXPORT_CT,All_Questions,All_Questions_Options_Names,"None_options")),5),"")</f>
        <v/>
      </c>
      <c r="K39" t="str">
        <f>IFERROR(INDEX(INDIRECT(XLOOKUP(All_Questions_Q_GRID_EXPORT_CT,All_Questions,All_Questions_Options_Names,"None_options")),6),"")</f>
        <v/>
      </c>
      <c r="L39" t="str">
        <f>IFERROR(INDEX(INDIRECT(XLOOKUP(All_Questions_Q_GRID_EXPORT_CT,All_Questions,All_Questions_Options_Names,"None_options")),7),"")</f>
        <v/>
      </c>
      <c r="M39" t="str">
        <f>IFERROR(INDEX(INDIRECT(XLOOKUP(All_Questions_Q_GRID_EXPORT_CT,All_Questions,All_Questions_Options_Names,"None_options")),8),"")</f>
        <v/>
      </c>
      <c r="N39" t="str">
        <f>IFERROR(INDEX(INDIRECT(XLOOKUP(All_Questions_Q_GRID_EXPORT_CT,All_Questions,All_Questions_Options_Names,"None_options")),9),"")</f>
        <v/>
      </c>
      <c r="O39" s="5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t="inlineStr">
        <is>
          <t>Grid first row</t>
        </is>
      </c>
      <c r="G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0">
        <f>SUM(G40:N40)</f>
        <v>0</v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second row</t>
        </is>
      </c>
      <c r="G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1">
        <f>SUM(G41:N41)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Q_VERY_LONG_SINGLE_SELECT_EXPORT_NAME - Long Sheet Name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XLOOKUP(All_Questions_Q_VERY_LONG_SINGLE_SELECT_EXPORT_NAME_F_Q,All_Questions,All_Questions_Data_Names,"respondent_id_data")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5" t="inlineStr">
        <is>
          <t>Option \ Cross-tab</t>
        </is>
      </c>
      <c r="G49" t="str">
        <f>IFERROR(INDEX(INDIRECT(XLOOKUP(All_Questions_Q_VERY_LONG_SINGLE_SELECT_EXPORT_NAME_CT,All_Questions,All_Questions_Options_Names,"None_options")),2),"")</f>
        <v/>
      </c>
      <c r="H49" t="str">
        <f>IFERROR(INDEX(INDIRECT(XLOOKUP(All_Questions_Q_VERY_LONG_SINGLE_SELECT_EXPORT_NAME_CT,All_Questions,All_Questions_Options_Names,"None_options")),3),"")</f>
        <v/>
      </c>
      <c r="I49" t="str">
        <f>IFERROR(INDEX(INDIRECT(XLOOKUP(All_Questions_Q_VERY_LONG_SINGLE_SELECT_EXPORT_NAME_CT,All_Questions,All_Questions_Options_Names,"None_options")),4),"")</f>
        <v/>
      </c>
      <c r="J49" t="str">
        <f>IFERROR(INDEX(INDIRECT(XLOOKUP(All_Questions_Q_VERY_LONG_SINGLE_SELECT_EXPORT_NAME_CT,All_Questions,All_Questions_Options_Names,"None_options")),5),"")</f>
        <v/>
      </c>
      <c r="K49" t="str">
        <f>IFERROR(INDEX(INDIRECT(XLOOKUP(All_Questions_Q_VERY_LONG_SINGLE_SELECT_EXPORT_NAME_CT,All_Questions,All_Questions_Options_Names,"None_options")),6),"")</f>
        <v/>
      </c>
      <c r="L49" t="str">
        <f>IFERROR(INDEX(INDIRECT(XLOOKUP(All_Questions_Q_VERY_LONG_SINGLE_SELECT_EXPORT_NAME_CT,All_Questions,All_Questions_Options_Names,"None_options")),7),"")</f>
        <v/>
      </c>
      <c r="M49" t="str">
        <f>IFERROR(INDEX(INDIRECT(XLOOKUP(All_Questions_Q_VERY_LONG_SINGLE_SELECT_EXPORT_NAME_CT,All_Questions,All_Questions_Options_Names,"None_options")),8),"")</f>
        <v/>
      </c>
      <c r="N49" t="str">
        <f>IFERROR(INDEX(INDIRECT(XLOOKUP(All_Questions_Q_VERY_LONG_SINGLE_SELECT_EXPORT_NAME_CT,All_Questions,All_Questions_Options_Names,"None_options")),9),"")</f>
        <v/>
      </c>
      <c r="O49" s="5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t="inlineStr">
        <is>
          <t>A</t>
        </is>
      </c>
      <c r="G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0">
        <f>SUM(G50:N50)</f>
        <v>0</v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B</t>
        </is>
      </c>
      <c r="G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1">
        <f>SUM(G51:N51)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N4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N5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=INDIRECT(XLOOKUP(All_Questions_Q_MS_EXPORT_F_Q,All_Questions,All_Questions_Options_Names,"None_options"))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=INDIRECT(XLOOKUP(All_Questions_Q_NUM_EXPORT_F_Q,All_Questions,All_Questions_Options_Names,"None_options"))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=INDIRECT(XLOOKUP(All_Questions_Q_GRID_EXPORT_F_Q,All_Questions,All_Questions_Options_Names,"None_options"))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2026-05-15T22:00:22Z</dcterms:created>
  <dcterms:modified xmlns:dcterms="http://purl.org/dc/terms/" xmlns:xsi="http://www.w3.org/2001/XMLSchema-instance" xsi:type="dcterms:W3CDTF">2026-05-15T22:00:22Z</dcterms:modified>
</cp:coreProperties>
</file>