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tables/table3.xml" ContentType="application/vnd.openxmlformats-officedocument.spreadsheetml.table+xml"/>
  <ns0:Override PartName="/xl/tables/table4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SS_EXPORT_data">'_RawData'!$B$2:$B$11</definedName>
    <definedName name="Q_MS_EXPORTr1_data">'_RawData'!$C$2:$C$11</definedName>
    <definedName name="Q_MS_EXPORTr2_data">'_RawData'!$D$2:$D$11</definedName>
    <definedName name="Q_NUM_EXPORT_data">'_RawData'!$E$2:$E$11</definedName>
    <definedName name="Q_GRID_EXPORTr1_data">'_RawData'!$F$2:$F$11</definedName>
    <definedName name="Q_GRID_EXPORTr2_data">'_RawData'!$G$2:$G$11</definedName>
    <definedName name="Q_VERY_LONG_SINGLE_SELECT_EXPOR_data">'_RawData'!$H$2:$H$11</definedName>
    <definedName name="Q_SEG_1_data">'_RawData'!$I$2:$I$11</definedName>
    <definedName name="Q_TGT_1_data">'_RawData'!$J$2:$J$11</definedName>
    <definedName name="Q_NUM_3_data">'_RawData'!$K$2:$K$11</definedName>
    <definedName name="Q_EXP_1_data">'_RawData'!$L$2:$L$11</definedName>
    <definedName name="Q_REAL_1_data">'_RawData'!$M$2:$M$11</definedName>
    <definedName name="All_Questions">'_Options'!$A$2:$A$6</definedName>
    <definedName name="All_Questions_Local">'_Options'!$B$2:$B$7</definedName>
    <definedName name="Cross_Tab_Questions">'_Options'!$AD$2:$AD$6</definedName>
    <definedName name="Cross_Tab_Questions_Data_Names">'_Options'!$AE$2:$AE$6</definedName>
    <definedName name="None_options">'_Options'!$E$2:$E$2</definedName>
    <definedName name="Q_SS_EXPORT_options">'_Options'!$F$2:$F$4</definedName>
    <definedName name="Q_SS_EXPORT_local_options">'_Options'!$R$2:$R$5</definedName>
    <definedName name="Q_MS_EXPORTr1_options">'_Options'!$G$2:$G$3</definedName>
    <definedName name="Q_MS_EXPORTr1_local_options">'_Options'!$S$2:$S$4</definedName>
    <definedName name="Q_MS_EXPORTr2_options">'_Options'!$H$2:$H$3</definedName>
    <definedName name="Q_MS_EXPORTr2_local_options">'_Options'!$T$2:$T$4</definedName>
    <definedName name="Q_NUM_EXPORT_options">'_Options'!$I$2:$I$3</definedName>
    <definedName name="Q_NUM_EXPORT_local_options">'_Options'!$U$2:$U$4</definedName>
    <definedName name="Q_GRID_EXPORTr1_options">'_Options'!$J$2:$J$4</definedName>
    <definedName name="Q_GRID_EXPORTr1_local_options">'_Options'!$V$2:$V$5</definedName>
    <definedName name="Q_GRID_EXPORTr2_options">'_Options'!$K$2:$K$4</definedName>
    <definedName name="Q_GRID_EXPORTr2_local_options">'_Options'!$W$2:$W$5</definedName>
    <definedName name="Q_VERY_LONG_SINGLE_SELECT_EXPOR_options">'_Options'!$L$2:$L$4</definedName>
    <definedName name="Q_VERY_LONG_SINGLE_SELECT_EXPOR_local_options">'_Options'!$X$2:$X$5</definedName>
    <definedName name="Q_SEG_1_options">'_Options'!$M$2:$M$5</definedName>
    <definedName name="Q_SEG_1_local_options">'_Options'!$Y$2:$Y$6</definedName>
    <definedName name="Q_TGT_1_options">'_Options'!$N$2:$N$6</definedName>
    <definedName name="Q_TGT_1_local_options">'_Options'!$Z$2:$Z$7</definedName>
    <definedName name="Q_NUM_3_options">'_Options'!$O$2:$O$2</definedName>
    <definedName name="Q_NUM_3_local_options">'_Options'!$AA$2:$AA$3</definedName>
    <definedName name="Q_EXP_1_options">'_Options'!$P$2:$P$2</definedName>
    <definedName name="Q_EXP_1_local_options">'_Options'!$AB$2:$AB$3</definedName>
    <definedName name="Q_REAL_1_options">'_Options'!$Q$2:$Q$2</definedName>
    <definedName name="Q_REAL_1_local_options">'_Options'!$AC$2:$AC$3</definedName>
    <definedName name="Q_MS_EXPORT_filter_values_options">'_Options'!$AI$2:$AI$4</definedName>
    <definedName name="Q_MS_EXPORT_filter_values_local_options">'_Options'!$AJ$2:$AJ$5</definedName>
    <definedName name="Q_GRID_EXPORT_filter_values_options">'_Options'!$AK$2:$AK$6</definedName>
    <definedName name="Q_GRID_EXPORT_filter_values_local_options">'_Options'!$AL$2:$AL$7</definedName>
    <definedName name="All_Questions_Data_Names">'_Options'!$C$2:$C$6</definedName>
    <definedName name="All_Questions_Options_Names">'_Options'!$D$2:$D$6</definedName>
    <definedName name="Cross_Tab_Questions_Options_Names">'_Options'!$AF$2:$AF$6</definedName>
    <definedName name="All_Questions_Value_Keys">'_Options'!$AP$2:$AP$7</definedName>
    <definedName name="All_Questions_Value_Data_Names">'_Options'!$AQ$2:$AQ$7</definedName>
    <definedName name="All_Questions_Value_Criteria">'_Options'!$AR$2:$AR$7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1_resolved_criteria">'Filters'!$G$6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F_Custom2_resolved_criteria">'Filters'!$G$7</definedName>
    <definedName name="passes_workbook_filters_data">'_RawData'!$N$2:$N$11</definedName>
    <definedName name="F_Custom1_match_data">'_RawData'!$O$2:$O$11</definedName>
    <definedName name="F_Custom2_match_data">'_RawData'!$P$2:$P$11</definedName>
    <definedName name="passes_workbook_custom_filters_data">'_RawData'!$Q$2:$Q$11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1_resolved_criteria">'All Questions'!$G$6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F_Custom2_resolved_criteria">'All Questions'!$G$8</definedName>
    <definedName name="All_Questions_passes_local_filters_data">'_RawData'!$R$2:$R$11</definedName>
    <definedName name="All_Questions_Q_SS_EXPORT_F_Q">'All Questions'!$C$13</definedName>
    <definedName name="All_Questions_Q_SS_EXPORT_F_V">'All Questions'!$E$13</definedName>
    <definedName name="All_Questions_Q_SS_EXPORT_F_resolved_column">'All Questions'!$F$13</definedName>
    <definedName name="All_Questions_Q_SS_EXPORT_F_wrapped">'All Questions'!$G$13</definedName>
    <definedName name="All_Questions_Q_SS_EXPORT_F_resolved_criteria">'All Questions'!$H$13</definedName>
    <definedName name="All_Questions_Q_SS_EXPORT_F_passes_per_q_filter_data">'_RawData'!$S$2:$S$11</definedName>
    <definedName name="All_Questions_Q_SS_EXPORT_CT">'All Questions'!$C$14</definedName>
    <definedName name="All_Questions_Q_MS_EXPORT_F_Q">'All Questions'!$C$24</definedName>
    <definedName name="All_Questions_Q_MS_EXPORT_F_V">'All Questions'!$E$24</definedName>
    <definedName name="All_Questions_Q_MS_EXPORT_F_resolved_column">'All Questions'!$F$24</definedName>
    <definedName name="All_Questions_Q_MS_EXPORT_F_wrapped">'All Questions'!$G$24</definedName>
    <definedName name="All_Questions_Q_MS_EXPORT_F_resolved_criteria">'All Questions'!$H$24</definedName>
    <definedName name="All_Questions_Q_MS_EXPORT_F_passes_per_q_filter_data">'_RawData'!$T$2:$T$11</definedName>
    <definedName name="All_Questions_Q_MS_EXPORT_CT">'All Questions'!$C$25</definedName>
    <definedName name="All_Questions_Q_NUM_EXPORT_F_Q">'All Questions'!$C$35</definedName>
    <definedName name="All_Questions_Q_NUM_EXPORT_F_V">'All Questions'!$E$35</definedName>
    <definedName name="All_Questions_Q_NUM_EXPORT_F_resolved_column">'All Questions'!$F$35</definedName>
    <definedName name="All_Questions_Q_NUM_EXPORT_F_wrapped">'All Questions'!$G$35</definedName>
    <definedName name="All_Questions_Q_NUM_EXPORT_F_resolved_criteria">'All Questions'!$H$35</definedName>
    <definedName name="All_Questions_Q_NUM_EXPORT_F_passes_per_q_filter_data">'_RawData'!$U$2:$U$11</definedName>
    <definedName name="All_Questions_Q_NUM_EXPORT_CT">'All Questions'!$C$36</definedName>
    <definedName name="All_Questions_Q_GRID_EXPORT_F_Q">'All Questions'!$C$52</definedName>
    <definedName name="All_Questions_Q_GRID_EXPORT_F_V">'All Questions'!$E$52</definedName>
    <definedName name="All_Questions_Q_GRID_EXPORT_F_resolved_column">'All Questions'!$F$52</definedName>
    <definedName name="All_Questions_Q_GRID_EXPORT_F_wrapped">'All Questions'!$G$52</definedName>
    <definedName name="All_Questions_Q_GRID_EXPORT_F_resolved_criteria">'All Questions'!$H$52</definedName>
    <definedName name="All_Questions_Q_GRID_EXPORT_F_passes_per_q_filter_data">'_RawData'!$V$2:$V$11</definedName>
    <definedName name="All_Questions_Q_GRID_EXPORT_CT">'All Questions'!$C$53</definedName>
    <definedName name="All_Questions_Q_VERY_LONG_SINGLE_SELECT_EXPORT_NAME_F_Q">'All Questions'!$C$70</definedName>
    <definedName name="All_Questions_Q_VERY_LONG_SINGLE_SELECT_EXPORT_NAME_F_V">'All Questions'!$E$70</definedName>
    <definedName name="All_Questions_Q_VERY_LONG_SINGLE_SELECT_EXPORT_NAME_F_resolved_column">'All Questions'!$F$70</definedName>
    <definedName name="All_Questions_Q_VERY_LONG_SINGLE_SELECT_EXPORT_NAME_F_wrapped">'All Questions'!$G$70</definedName>
    <definedName name="All_Questions_Q_VERY_LONG_SINGLE_SELECT_EXPORT_NAME_F_resolved_criteria">'All Questions'!$H$70</definedName>
    <definedName name="All_Questions_Q_VERY_LONG_SINGLE_SELECT_EXPORT_NAME_F_passes_per_q_filter_data">'_RawData'!$W$2:$W$11</definedName>
    <definedName name="All_Questions_Q_VERY_LONG_SINGLE_SELECT_EXPORT_NAME_CT">'All Questions'!$C$71</definedName>
  </definedNames>
  <calcPr calcId="124519" fullCalcOnLoad="1"/>
</workbook>
</file>

<file path=xl/calcChain.xml><?xml version="1.0" encoding="utf-8"?>
<calcChain xmlns="http://schemas.openxmlformats.org/spreadsheetml/2006/main">
  <c r="N2" i="1"/>
  <c r="O2" i="1"/>
  <c r="P2" i="1"/>
  <c r="Q2" i="1"/>
  <c r="R2" i="1"/>
  <c r="S2" i="1"/>
  <c r="T2" i="1"/>
  <c r="U2" i="1"/>
  <c r="V2" i="1"/>
  <c r="W2" i="1"/>
  <c r="N3" i="1"/>
  <c r="O3" i="1"/>
  <c r="P3" i="1"/>
  <c r="Q3" i="1"/>
  <c r="R3" i="1"/>
  <c r="S3" i="1"/>
  <c r="T3" i="1"/>
  <c r="U3" i="1"/>
  <c r="V3" i="1"/>
  <c r="W3" i="1"/>
  <c r="N4" i="1"/>
  <c r="O4" i="1"/>
  <c r="P4" i="1"/>
  <c r="Q4" i="1"/>
  <c r="R4" i="1"/>
  <c r="S4" i="1"/>
  <c r="T4" i="1"/>
  <c r="U4" i="1"/>
  <c r="V4" i="1"/>
  <c r="W4" i="1"/>
  <c r="N5" i="1"/>
  <c r="O5" i="1"/>
  <c r="P5" i="1"/>
  <c r="Q5" i="1"/>
  <c r="R5" i="1"/>
  <c r="S5" i="1"/>
  <c r="T5" i="1"/>
  <c r="U5" i="1"/>
  <c r="V5" i="1"/>
  <c r="W5" i="1"/>
  <c r="N6" i="1"/>
  <c r="O6" i="1"/>
  <c r="P6" i="1"/>
  <c r="Q6" i="1"/>
  <c r="R6" i="1"/>
  <c r="S6" i="1"/>
  <c r="T6" i="1"/>
  <c r="U6" i="1"/>
  <c r="V6" i="1"/>
  <c r="W6" i="1"/>
  <c r="N7" i="1"/>
  <c r="O7" i="1"/>
  <c r="P7" i="1"/>
  <c r="Q7" i="1"/>
  <c r="R7" i="1"/>
  <c r="S7" i="1"/>
  <c r="T7" i="1"/>
  <c r="U7" i="1"/>
  <c r="V7" i="1"/>
  <c r="W7" i="1"/>
  <c r="N8" i="1"/>
  <c r="O8" i="1"/>
  <c r="P8" i="1"/>
  <c r="Q8" i="1"/>
  <c r="R8" i="1"/>
  <c r="S8" i="1"/>
  <c r="T8" i="1"/>
  <c r="U8" i="1"/>
  <c r="V8" i="1"/>
  <c r="W8" i="1"/>
  <c r="N9" i="1"/>
  <c r="O9" i="1"/>
  <c r="P9" i="1"/>
  <c r="Q9" i="1"/>
  <c r="R9" i="1"/>
  <c r="S9" i="1"/>
  <c r="T9" i="1"/>
  <c r="U9" i="1"/>
  <c r="V9" i="1"/>
  <c r="W9" i="1"/>
  <c r="N10" i="1"/>
  <c r="O10" i="1"/>
  <c r="P10" i="1"/>
  <c r="Q10" i="1"/>
  <c r="R10" i="1"/>
  <c r="S10" i="1"/>
  <c r="T10" i="1"/>
  <c r="U10" i="1"/>
  <c r="V10" i="1"/>
  <c r="W10" i="1"/>
  <c r="N11" i="1"/>
  <c r="O11" i="1"/>
  <c r="P11" i="1"/>
  <c r="Q11" i="1"/>
  <c r="R11" i="1"/>
  <c r="S11" i="1"/>
  <c r="T11" i="1"/>
  <c r="U11" i="1"/>
  <c r="V11" i="1"/>
  <c r="W11" i="1"/>
  <c r="E6" i="3"/>
  <c r="F6" i="3"/>
  <c r="G6" i="3"/>
  <c r="E7" i="3"/>
  <c r="F7" i="3"/>
  <c r="G7" i="3"/>
  <c r="C5" i="7"/>
  <c r="C6" i="7"/>
  <c r="D6" i="7"/>
  <c r="F6" i="7"/>
  <c r="G6" i="7"/>
  <c r="C7" i="7"/>
  <c r="C8" i="7"/>
  <c r="D8" i="7"/>
  <c r="F8" i="7"/>
  <c r="G8" i="7"/>
  <c r="F13" i="7"/>
  <c r="G13" i="7"/>
  <c r="H13" i="7"/>
  <c r="G16" i="7"/>
  <c r="H16" i="7"/>
  <c r="I16" i="7"/>
  <c r="J16" i="7"/>
  <c r="K16" i="7"/>
  <c r="L16" i="7"/>
  <c r="M16" i="7"/>
  <c r="N16" i="7"/>
  <c r="O16" i="7"/>
  <c r="P16" i="7"/>
  <c r="Q16" i="7"/>
  <c r="R16" i="7"/>
  <c r="B17" i="7"/>
  <c r="C17" i="7"/>
  <c r="D17" i="7"/>
  <c r="B18" i="7"/>
  <c r="C18" i="7"/>
  <c r="D18" i="7"/>
  <c r="G18" i="7"/>
  <c r="H18" i="7"/>
  <c r="I18" i="7"/>
  <c r="J18" i="7"/>
  <c r="K18" i="7"/>
  <c r="L18" i="7"/>
  <c r="M18" i="7"/>
  <c r="N18" i="7"/>
  <c r="O18" i="7"/>
  <c r="P18" i="7"/>
  <c r="Q18" i="7"/>
  <c r="R18" i="7"/>
  <c r="S18" i="7"/>
  <c r="G19" i="7"/>
  <c r="H19" i="7"/>
  <c r="I19" i="7"/>
  <c r="J19" i="7"/>
  <c r="K19" i="7"/>
  <c r="L19" i="7"/>
  <c r="M19" i="7"/>
  <c r="N19" i="7"/>
  <c r="O19" i="7"/>
  <c r="P19" i="7"/>
  <c r="Q19" i="7"/>
  <c r="R19" i="7"/>
  <c r="S19" i="7"/>
  <c r="S20" i="7"/>
  <c r="F24" i="7"/>
  <c r="G24" i="7"/>
  <c r="H24" i="7"/>
  <c r="G27" i="7"/>
  <c r="H27" i="7"/>
  <c r="I27" i="7"/>
  <c r="J27" i="7"/>
  <c r="K27" i="7"/>
  <c r="L27" i="7"/>
  <c r="M27" i="7"/>
  <c r="N27" i="7"/>
  <c r="O27" i="7"/>
  <c r="P27" i="7"/>
  <c r="Q27" i="7"/>
  <c r="R27" i="7"/>
  <c r="B28" i="7"/>
  <c r="C28" i="7"/>
  <c r="D28" i="7"/>
  <c r="B29" i="7"/>
  <c r="C29" i="7"/>
  <c r="D29" i="7"/>
  <c r="G29" i="7"/>
  <c r="H29" i="7"/>
  <c r="I29" i="7"/>
  <c r="J29" i="7"/>
  <c r="K29" i="7"/>
  <c r="L29" i="7"/>
  <c r="M29" i="7"/>
  <c r="N29" i="7"/>
  <c r="O29" i="7"/>
  <c r="P29" i="7"/>
  <c r="Q29" i="7"/>
  <c r="R29" i="7"/>
  <c r="S29" i="7"/>
  <c r="G30" i="7"/>
  <c r="H30" i="7"/>
  <c r="I30" i="7"/>
  <c r="J30" i="7"/>
  <c r="K30" i="7"/>
  <c r="L30" i="7"/>
  <c r="M30" i="7"/>
  <c r="N30" i="7"/>
  <c r="O30" i="7"/>
  <c r="P30" i="7"/>
  <c r="Q30" i="7"/>
  <c r="R30" i="7"/>
  <c r="S30" i="7"/>
  <c r="S31" i="7"/>
  <c r="F35" i="7"/>
  <c r="G35" i="7"/>
  <c r="H35" i="7"/>
  <c r="B39" i="7"/>
  <c r="D39" i="7"/>
  <c r="B40" i="7"/>
  <c r="D40" i="7"/>
  <c r="B41" i="7"/>
  <c r="D41" i="7"/>
  <c r="D42" i="7"/>
  <c r="G45" i="7"/>
  <c r="H45" i="7"/>
  <c r="I45" i="7"/>
  <c r="J45" i="7"/>
  <c r="K45" i="7"/>
  <c r="L45" i="7"/>
  <c r="M45" i="7"/>
  <c r="N45" i="7"/>
  <c r="O45" i="7"/>
  <c r="P45" i="7"/>
  <c r="Q45" i="7"/>
  <c r="R45" i="7"/>
  <c r="G47" i="7"/>
  <c r="H47" i="7"/>
  <c r="I47" i="7"/>
  <c r="J47" i="7"/>
  <c r="K47" i="7"/>
  <c r="L47" i="7"/>
  <c r="M47" i="7"/>
  <c r="N47" i="7"/>
  <c r="O47" i="7"/>
  <c r="P47" i="7"/>
  <c r="Q47" i="7"/>
  <c r="R47" i="7"/>
  <c r="S47" i="7"/>
  <c r="S48" i="7"/>
  <c r="F52" i="7"/>
  <c r="G52" i="7"/>
  <c r="H52" i="7"/>
  <c r="C57" i="7"/>
  <c r="D57" i="7"/>
  <c r="E57" i="7"/>
  <c r="F57" i="7"/>
  <c r="C58" i="7"/>
  <c r="D58" i="7"/>
  <c r="E58" i="7"/>
  <c r="F58" i="7"/>
  <c r="G62" i="7"/>
  <c r="H62" i="7"/>
  <c r="I62" i="7"/>
  <c r="J62" i="7"/>
  <c r="K62" i="7"/>
  <c r="L62" i="7"/>
  <c r="M62" i="7"/>
  <c r="N62" i="7"/>
  <c r="O62" i="7"/>
  <c r="P62" i="7"/>
  <c r="Q62" i="7"/>
  <c r="R62" i="7"/>
  <c r="G64" i="7"/>
  <c r="H64" i="7"/>
  <c r="I64" i="7"/>
  <c r="J64" i="7"/>
  <c r="K64" i="7"/>
  <c r="L64" i="7"/>
  <c r="M64" i="7"/>
  <c r="N64" i="7"/>
  <c r="O64" i="7"/>
  <c r="P64" i="7"/>
  <c r="Q64" i="7"/>
  <c r="R64" i="7"/>
  <c r="S64" i="7"/>
  <c r="G65" i="7"/>
  <c r="H65" i="7"/>
  <c r="I65" i="7"/>
  <c r="J65" i="7"/>
  <c r="K65" i="7"/>
  <c r="L65" i="7"/>
  <c r="M65" i="7"/>
  <c r="N65" i="7"/>
  <c r="O65" i="7"/>
  <c r="P65" i="7"/>
  <c r="Q65" i="7"/>
  <c r="R65" i="7"/>
  <c r="S65" i="7"/>
  <c r="S66" i="7"/>
  <c r="F70" i="7"/>
  <c r="G70" i="7"/>
  <c r="H70" i="7"/>
  <c r="G73" i="7"/>
  <c r="H73" i="7"/>
  <c r="I73" i="7"/>
  <c r="J73" i="7"/>
  <c r="K73" i="7"/>
  <c r="L73" i="7"/>
  <c r="M73" i="7"/>
  <c r="N73" i="7"/>
  <c r="O73" i="7"/>
  <c r="P73" i="7"/>
  <c r="Q73" i="7"/>
  <c r="R73" i="7"/>
  <c r="B74" i="7"/>
  <c r="C74" i="7"/>
  <c r="D74" i="7"/>
  <c r="B75" i="7"/>
  <c r="C75" i="7"/>
  <c r="D75" i="7"/>
  <c r="G75" i="7"/>
  <c r="H75" i="7"/>
  <c r="I75" i="7"/>
  <c r="J75" i="7"/>
  <c r="K75" i="7"/>
  <c r="L75" i="7"/>
  <c r="M75" i="7"/>
  <c r="N75" i="7"/>
  <c r="O75" i="7"/>
  <c r="P75" i="7"/>
  <c r="Q75" i="7"/>
  <c r="R75" i="7"/>
  <c r="S75" i="7"/>
  <c r="G76" i="7"/>
  <c r="H76" i="7"/>
  <c r="I76" i="7"/>
  <c r="J76" i="7"/>
  <c r="K76" i="7"/>
  <c r="L76" i="7"/>
  <c r="M76" i="7"/>
  <c r="N76" i="7"/>
  <c r="O76" i="7"/>
  <c r="P76" i="7"/>
  <c r="Q76" i="7"/>
  <c r="R76" i="7"/>
  <c r="S76" i="7"/>
  <c r="S77" i="7"/>
  <c r="H21" i="8"/>
  <c r="H22" i="8"/>
  <c r="H23" i="8"/>
  <c r="H24" i="8"/>
  <c r="H25" i="8"/>
  <c r="H26" i="8"/>
  <c r="H27" i="8"/>
  <c r="H28" i="8"/>
  <c r="H29" i="8"/>
  <c r="H30" i="8"/>
  <c r="H31" i="8"/>
  <c r="H32" i="8"/>
  <c r="H33" i="8"/>
  <c r="H34" i="8"/>
  <c r="H35" i="8"/>
  <c r="H36" i="8"/>
  <c r="H37" i="8"/>
  <c r="H38" i="8"/>
  <c r="H39" i="8"/>
  <c r="H40" i="8"/>
  <c r="H41" i="8"/>
  <c r="H42" i="8"/>
  <c r="H43" i="8"/>
  <c r="H44" i="8"/>
  <c r="H45" i="8"/>
  <c r="H46" i="8"/>
  <c r="H47" i="8"/>
  <c r="H48" i="8"/>
  <c r="H49" i="8"/>
  <c r="H50" i="8"/>
  <c r="H51" i="8"/>
  <c r="H52" i="8"/>
  <c r="H53" i="8"/>
  <c r="H54" i="8"/>
  <c r="H55" i="8"/>
  <c r="H56" i="8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8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  <xf numFmtId="2" fontId="0" fillId="0" borderId="0" pivotButton="0" quotePrefix="0" xfId="0"/>
    <xf numFmtId="0" fontId="9" fillId="0" borderId="0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19" headerRowCount="1">
  <autoFilter ref="A16:D19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All_Questions_27_1" displayName="T_All_Questions_27_1" ref="A27:D31" headerRowCount="1">
  <autoFilter ref="A27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id="3" name="T_All_Questions_38_1" displayName="T_All_Questions_38_1" ref="A38:D43" headerRowCount="1">
  <autoFilter ref="A38:D43"/>
  <tableColumns count="4">
    <tableColumn id="1" name="Metric"/>
    <tableColumn id="2" name="Value"/>
    <tableColumn id="3" name="Note"/>
    <tableColumn id="4" name="Denominator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id="4" name="T_All_Questions_73_1" displayName="T_All_Questions_73_1" ref="A73:D76" headerRowCount="1">
  <autoFilter ref="A73:D76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Relationship Type="http://schemas.openxmlformats.org/officeDocument/2006/relationships/hyperlink" Target="#'All Questions'!A1" TargetMode="External" Id="rId2"/><Relationship Type="http://schemas.openxmlformats.org/officeDocument/2006/relationships/hyperlink" Target="#'All Questions'!A1" TargetMode="External" Id="rId3"/><Relationship Type="http://schemas.openxmlformats.org/officeDocument/2006/relationships/hyperlink" Target="#'All Questions'!A1" TargetMode="External" Id="rId4"/><Relationship Type="http://schemas.openxmlformats.org/officeDocument/2006/relationships/hyperlink" Target="#'All Questions'!A1" TargetMode="External" Id="rId5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table" Target="/xl/tables/table3.xml" Id="rId3"/><Relationship Type="http://schemas.openxmlformats.org/officeDocument/2006/relationships/table" Target="/xl/tables/table4.xm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Q_SS_EXPORT</t>
        </is>
      </c>
      <c r="C1" t="inlineStr">
        <is>
          <t>Q_MS_EXPORTr1</t>
        </is>
      </c>
      <c r="D1" t="inlineStr">
        <is>
          <t>Q_MS_EXPORTr2</t>
        </is>
      </c>
      <c r="E1" t="inlineStr">
        <is>
          <t>Q_NUM_EXPORT</t>
        </is>
      </c>
      <c r="F1" t="inlineStr">
        <is>
          <t>Q_GRID_EXPORTr1</t>
        </is>
      </c>
      <c r="G1" t="inlineStr">
        <is>
          <t>Q_GRID_EXPORTr2</t>
        </is>
      </c>
      <c r="H1" t="inlineStr">
        <is>
          <t>Q_VERY_LONG_SINGLE_SELECT_EXPOR</t>
        </is>
      </c>
      <c r="I1" t="inlineStr">
        <is>
          <t>Q_SEG_1</t>
        </is>
      </c>
      <c r="J1" t="inlineStr">
        <is>
          <t>Q_TGT_1</t>
        </is>
      </c>
      <c r="K1" t="inlineStr">
        <is>
          <t>Q_NUM_3</t>
        </is>
      </c>
      <c r="L1" t="inlineStr">
        <is>
          <t>Q_EXP_1</t>
        </is>
      </c>
      <c r="M1" t="inlineStr">
        <is>
          <t>Q_REAL_1</t>
        </is>
      </c>
      <c r="N1" t="inlineStr">
        <is>
          <t>passes_workbook_filters</t>
        </is>
      </c>
      <c r="O1" t="inlineStr">
        <is>
          <t>F_Custom1_match</t>
        </is>
      </c>
      <c r="P1" t="inlineStr">
        <is>
          <t>F_Custom2_match</t>
        </is>
      </c>
      <c r="Q1" t="inlineStr">
        <is>
          <t>passes_workbook_custom_filters</t>
        </is>
      </c>
      <c r="R1" t="inlineStr">
        <is>
          <t>All_Questions_passes_local_filters</t>
        </is>
      </c>
      <c r="S1" t="inlineStr">
        <is>
          <t>All_Questions_Q_SS_EXPORT_F_passes_per_q_filter</t>
        </is>
      </c>
      <c r="T1" t="inlineStr">
        <is>
          <t>All_Questions_Q_MS_EXPORT_F_passes_per_q_filter</t>
        </is>
      </c>
      <c r="U1" t="inlineStr">
        <is>
          <t>All_Questions_Q_NUM_EXPORT_F_passes_per_q_filter</t>
        </is>
      </c>
      <c r="V1" t="inlineStr">
        <is>
          <t>All_Questions_Q_GRID_EXPORT_F_passes_per_q_filter</t>
        </is>
      </c>
      <c r="W1" t="inlineStr">
        <is>
          <t>All_Questions_Q_VERY_LONG_SINGLE_SELECT_EXPORT_NAME_F_passes_per_q_filter</t>
        </is>
      </c>
    </row>
    <row r="2">
      <c r="A2" t="n">
        <v>1</v>
      </c>
      <c r="B2" t="inlineStr">
        <is>
          <t>Yes</t>
        </is>
      </c>
      <c r="C2" t="inlineStr">
        <is>
          <t>Selected</t>
        </is>
      </c>
      <c r="D2" t="inlineStr">
        <is>
          <t>Selected</t>
        </is>
      </c>
      <c r="E2" t="n">
        <v>5.5</v>
      </c>
      <c r="F2" t="inlineStr">
        <is>
          <t>Low</t>
        </is>
      </c>
      <c r="G2" t="inlineStr">
        <is>
          <t>Low</t>
        </is>
      </c>
      <c r="H2" t="inlineStr">
        <is>
          <t>A</t>
        </is>
      </c>
      <c r="N2">
        <f>1</f>
        <v>1</v>
      </c>
      <c r="O2">
        <f>IF(OR(F_Custom1_Q="(None)",F_Custom1_Q="",ISBLANK(F_Custom1_Q),F_Custom1_V="(All)",F_Custom1_V="",ISBLANK(F_Custom1_V)),1,IFERROR(IF(ISNUMBER(SEARCH("|"&amp;INDEX(INDIRECT(F_Custom1_resolved_column),1)&amp;"|",("|" &amp; SUBSTITUTE(F_Custom1_resolved_criteria, ", ", "|") &amp; "|"))),1,0),0))</f>
        <v>1</v>
      </c>
      <c r="P2">
        <f>IF(OR(F_Custom2_Q="(None)",F_Custom2_Q="",ISBLANK(F_Custom2_Q),F_Custom2_V="(All)",F_Custom2_V="",ISBLANK(F_Custom2_V)),1,IFERROR(IF(ISNUMBER(SEARCH("|"&amp;INDEX(INDIRECT(F_Custom2_resolved_column),1)&amp;"|",("|" &amp; SUBSTITUTE(F_Custom2_resolved_criteria, ", ", "|") &amp; "|"))),1,0),0))</f>
        <v>1</v>
      </c>
      <c r="Q2">
        <f>O2*P2*1</f>
        <v>1</v>
      </c>
      <c r="R2">
        <f>1</f>
        <v>1</v>
      </c>
      <c r="S2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1)&amp;"|",("|" &amp; SUBSTITUTE(All_Questions_Q_SS_EXPORT_F_resolved_criteria, ", ", "|") &amp; "|"))),1,0),0))*1</f>
        <v>1</v>
      </c>
      <c r="T2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1)&amp;"|",("|" &amp; SUBSTITUTE(All_Questions_Q_MS_EXPORT_F_resolved_criteria, ", ", "|") &amp; "|"))),1,0),0))*1</f>
        <v>1</v>
      </c>
      <c r="U2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1)&amp;"|",("|" &amp; SUBSTITUTE(All_Questions_Q_NUM_EXPORT_F_resolved_criteria, ", ", "|") &amp; "|"))),1,0),0))*1</f>
        <v>1</v>
      </c>
      <c r="V2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1)&amp;"|",("|" &amp; SUBSTITUTE(All_Questions_Q_GRID_EXPORT_F_resolved_criteria, ", ", "|") &amp; "|"))),1,0),0))*1</f>
        <v>1</v>
      </c>
      <c r="W2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1)&amp;"|",("|" &amp; SUBSTITUTE(All_Questions_Q_VERY_LONG_SINGLE_SELECT_EXPORT_NAME_F_resolved_criteria, ", ", "|") &amp; "|"))),1,0),0))*1</f>
        <v>1</v>
      </c>
    </row>
    <row r="3">
      <c r="A3" t="n">
        <v>2</v>
      </c>
      <c r="B3" t="inlineStr">
        <is>
          <t>Yes</t>
        </is>
      </c>
      <c r="C3" t="inlineStr">
        <is>
          <t>Selected</t>
        </is>
      </c>
      <c r="D3" t="inlineStr">
        <is>
          <t>Selected</t>
        </is>
      </c>
      <c r="E3" t="n">
        <v>5.5</v>
      </c>
      <c r="F3" t="inlineStr">
        <is>
          <t>Low</t>
        </is>
      </c>
      <c r="G3" t="inlineStr">
        <is>
          <t>Low</t>
        </is>
      </c>
      <c r="H3" t="inlineStr">
        <is>
          <t>A</t>
        </is>
      </c>
      <c r="N3">
        <f>1</f>
        <v>1</v>
      </c>
      <c r="O3">
        <f>IF(OR(F_Custom1_Q="(None)",F_Custom1_Q="",ISBLANK(F_Custom1_Q),F_Custom1_V="(All)",F_Custom1_V="",ISBLANK(F_Custom1_V)),1,IFERROR(IF(ISNUMBER(SEARCH("|"&amp;INDEX(INDIRECT(F_Custom1_resolved_column),2)&amp;"|",("|" &amp; SUBSTITUTE(F_Custom1_resolved_criteria, ", ", "|") &amp; "|"))),1,0),0))</f>
        <v>1</v>
      </c>
      <c r="P3">
        <f>IF(OR(F_Custom2_Q="(None)",F_Custom2_Q="",ISBLANK(F_Custom2_Q),F_Custom2_V="(All)",F_Custom2_V="",ISBLANK(F_Custom2_V)),1,IFERROR(IF(ISNUMBER(SEARCH("|"&amp;INDEX(INDIRECT(F_Custom2_resolved_column),2)&amp;"|",("|" &amp; SUBSTITUTE(F_Custom2_resolved_criteria, ", ", "|") &amp; "|"))),1,0),0))</f>
        <v>1</v>
      </c>
      <c r="Q3">
        <f>O3*P3*1</f>
        <v>1</v>
      </c>
      <c r="R3">
        <f>1</f>
        <v>1</v>
      </c>
      <c r="S3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2)&amp;"|",("|" &amp; SUBSTITUTE(All_Questions_Q_SS_EXPORT_F_resolved_criteria, ", ", "|") &amp; "|"))),1,0),0))*1</f>
        <v>1</v>
      </c>
      <c r="T3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2)&amp;"|",("|" &amp; SUBSTITUTE(All_Questions_Q_MS_EXPORT_F_resolved_criteria, ", ", "|") &amp; "|"))),1,0),0))*1</f>
        <v>1</v>
      </c>
      <c r="U3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2)&amp;"|",("|" &amp; SUBSTITUTE(All_Questions_Q_NUM_EXPORT_F_resolved_criteria, ", ", "|") &amp; "|"))),1,0),0))*1</f>
        <v>1</v>
      </c>
      <c r="V3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2)&amp;"|",("|" &amp; SUBSTITUTE(All_Questions_Q_GRID_EXPORT_F_resolved_criteria, ", ", "|") &amp; "|"))),1,0),0))*1</f>
        <v>1</v>
      </c>
      <c r="W3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2)&amp;"|",("|" &amp; SUBSTITUTE(All_Questions_Q_VERY_LONG_SINGLE_SELECT_EXPORT_NAME_F_resolved_criteria, ", ", "|") &amp; "|"))),1,0),0))*1</f>
        <v>1</v>
      </c>
    </row>
    <row r="4">
      <c r="A4" t="n">
        <v>3</v>
      </c>
      <c r="B4" t="inlineStr">
        <is>
          <t>Yes</t>
        </is>
      </c>
      <c r="C4" t="inlineStr">
        <is>
          <t>Selected</t>
        </is>
      </c>
      <c r="E4" t="n">
        <v>5.5</v>
      </c>
      <c r="F4" t="inlineStr">
        <is>
          <t>Low</t>
        </is>
      </c>
      <c r="G4" t="inlineStr">
        <is>
          <t>Low</t>
        </is>
      </c>
      <c r="H4" t="inlineStr">
        <is>
          <t>A</t>
        </is>
      </c>
      <c r="N4">
        <f>1</f>
        <v>1</v>
      </c>
      <c r="O4">
        <f>IF(OR(F_Custom1_Q="(None)",F_Custom1_Q="",ISBLANK(F_Custom1_Q),F_Custom1_V="(All)",F_Custom1_V="",ISBLANK(F_Custom1_V)),1,IFERROR(IF(ISNUMBER(SEARCH("|"&amp;INDEX(INDIRECT(F_Custom1_resolved_column),3)&amp;"|",("|" &amp; SUBSTITUTE(F_Custom1_resolved_criteria, ", ", "|") &amp; "|"))),1,0),0))</f>
        <v>1</v>
      </c>
      <c r="P4">
        <f>IF(OR(F_Custom2_Q="(None)",F_Custom2_Q="",ISBLANK(F_Custom2_Q),F_Custom2_V="(All)",F_Custom2_V="",ISBLANK(F_Custom2_V)),1,IFERROR(IF(ISNUMBER(SEARCH("|"&amp;INDEX(INDIRECT(F_Custom2_resolved_column),3)&amp;"|",("|" &amp; SUBSTITUTE(F_Custom2_resolved_criteria, ", ", "|") &amp; "|"))),1,0),0))</f>
        <v>1</v>
      </c>
      <c r="Q4">
        <f>O4*P4*1</f>
        <v>1</v>
      </c>
      <c r="R4">
        <f>1</f>
        <v>1</v>
      </c>
      <c r="S4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3)&amp;"|",("|" &amp; SUBSTITUTE(All_Questions_Q_SS_EXPORT_F_resolved_criteria, ", ", "|") &amp; "|"))),1,0),0))*1</f>
        <v>1</v>
      </c>
      <c r="T4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3)&amp;"|",("|" &amp; SUBSTITUTE(All_Questions_Q_MS_EXPORT_F_resolved_criteria, ", ", "|") &amp; "|"))),1,0),0))*1</f>
        <v>1</v>
      </c>
      <c r="U4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3)&amp;"|",("|" &amp; SUBSTITUTE(All_Questions_Q_NUM_EXPORT_F_resolved_criteria, ", ", "|") &amp; "|"))),1,0),0))*1</f>
        <v>1</v>
      </c>
      <c r="V4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3)&amp;"|",("|" &amp; SUBSTITUTE(All_Questions_Q_GRID_EXPORT_F_resolved_criteria, ", ", "|") &amp; "|"))),1,0),0))*1</f>
        <v>1</v>
      </c>
      <c r="W4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3)&amp;"|",("|" &amp; SUBSTITUTE(All_Questions_Q_VERY_LONG_SINGLE_SELECT_EXPORT_NAME_F_resolved_criteria, ", ", "|") &amp; "|"))),1,0),0))*1</f>
        <v>1</v>
      </c>
    </row>
    <row r="5">
      <c r="A5" t="n">
        <v>4</v>
      </c>
      <c r="B5" t="inlineStr">
        <is>
          <t>Yes</t>
        </is>
      </c>
      <c r="C5" t="inlineStr">
        <is>
          <t>Selected</t>
        </is>
      </c>
      <c r="E5" t="n">
        <v>5.5</v>
      </c>
      <c r="F5" t="inlineStr">
        <is>
          <t>Low</t>
        </is>
      </c>
      <c r="G5" t="inlineStr">
        <is>
          <t>Low</t>
        </is>
      </c>
      <c r="H5" t="inlineStr">
        <is>
          <t>A</t>
        </is>
      </c>
      <c r="N5">
        <f>1</f>
        <v>1</v>
      </c>
      <c r="O5">
        <f>IF(OR(F_Custom1_Q="(None)",F_Custom1_Q="",ISBLANK(F_Custom1_Q),F_Custom1_V="(All)",F_Custom1_V="",ISBLANK(F_Custom1_V)),1,IFERROR(IF(ISNUMBER(SEARCH("|"&amp;INDEX(INDIRECT(F_Custom1_resolved_column),4)&amp;"|",("|" &amp; SUBSTITUTE(F_Custom1_resolved_criteria, ", ", "|") &amp; "|"))),1,0),0))</f>
        <v>1</v>
      </c>
      <c r="P5">
        <f>IF(OR(F_Custom2_Q="(None)",F_Custom2_Q="",ISBLANK(F_Custom2_Q),F_Custom2_V="(All)",F_Custom2_V="",ISBLANK(F_Custom2_V)),1,IFERROR(IF(ISNUMBER(SEARCH("|"&amp;INDEX(INDIRECT(F_Custom2_resolved_column),4)&amp;"|",("|" &amp; SUBSTITUTE(F_Custom2_resolved_criteria, ", ", "|") &amp; "|"))),1,0),0))</f>
        <v>1</v>
      </c>
      <c r="Q5">
        <f>O5*P5*1</f>
        <v>1</v>
      </c>
      <c r="R5">
        <f>1</f>
        <v>1</v>
      </c>
      <c r="S5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4)&amp;"|",("|" &amp; SUBSTITUTE(All_Questions_Q_SS_EXPORT_F_resolved_criteria, ", ", "|") &amp; "|"))),1,0),0))*1</f>
        <v>1</v>
      </c>
      <c r="T5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4)&amp;"|",("|" &amp; SUBSTITUTE(All_Questions_Q_MS_EXPORT_F_resolved_criteria, ", ", "|") &amp; "|"))),1,0),0))*1</f>
        <v>1</v>
      </c>
      <c r="U5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4)&amp;"|",("|" &amp; SUBSTITUTE(All_Questions_Q_NUM_EXPORT_F_resolved_criteria, ", ", "|") &amp; "|"))),1,0),0))*1</f>
        <v>1</v>
      </c>
      <c r="V5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4)&amp;"|",("|" &amp; SUBSTITUTE(All_Questions_Q_GRID_EXPORT_F_resolved_criteria, ", ", "|") &amp; "|"))),1,0),0))*1</f>
        <v>1</v>
      </c>
      <c r="W5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4)&amp;"|",("|" &amp; SUBSTITUTE(All_Questions_Q_VERY_LONG_SINGLE_SELECT_EXPORT_NAME_F_resolved_criteria, ", ", "|") &amp; "|"))),1,0),0))*1</f>
        <v>1</v>
      </c>
    </row>
    <row r="6">
      <c r="A6" t="n">
        <v>5</v>
      </c>
      <c r="B6" t="inlineStr">
        <is>
          <t>Yes</t>
        </is>
      </c>
      <c r="C6" t="inlineStr">
        <is>
          <t>Selected</t>
        </is>
      </c>
      <c r="E6" t="n">
        <v>5.5</v>
      </c>
      <c r="F6" t="inlineStr">
        <is>
          <t>High</t>
        </is>
      </c>
      <c r="G6" t="inlineStr">
        <is>
          <t>Low</t>
        </is>
      </c>
      <c r="H6" t="inlineStr">
        <is>
          <t>A</t>
        </is>
      </c>
      <c r="N6">
        <f>1</f>
        <v>1</v>
      </c>
      <c r="O6">
        <f>IF(OR(F_Custom1_Q="(None)",F_Custom1_Q="",ISBLANK(F_Custom1_Q),F_Custom1_V="(All)",F_Custom1_V="",ISBLANK(F_Custom1_V)),1,IFERROR(IF(ISNUMBER(SEARCH("|"&amp;INDEX(INDIRECT(F_Custom1_resolved_column),5)&amp;"|",("|" &amp; SUBSTITUTE(F_Custom1_resolved_criteria, ", ", "|") &amp; "|"))),1,0),0))</f>
        <v>1</v>
      </c>
      <c r="P6">
        <f>IF(OR(F_Custom2_Q="(None)",F_Custom2_Q="",ISBLANK(F_Custom2_Q),F_Custom2_V="(All)",F_Custom2_V="",ISBLANK(F_Custom2_V)),1,IFERROR(IF(ISNUMBER(SEARCH("|"&amp;INDEX(INDIRECT(F_Custom2_resolved_column),5)&amp;"|",("|" &amp; SUBSTITUTE(F_Custom2_resolved_criteria, ", ", "|") &amp; "|"))),1,0),0))</f>
        <v>1</v>
      </c>
      <c r="Q6">
        <f>O6*P6*1</f>
        <v>1</v>
      </c>
      <c r="R6">
        <f>1</f>
        <v>1</v>
      </c>
      <c r="S6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5)&amp;"|",("|" &amp; SUBSTITUTE(All_Questions_Q_SS_EXPORT_F_resolved_criteria, ", ", "|") &amp; "|"))),1,0),0))*1</f>
        <v>1</v>
      </c>
      <c r="T6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5)&amp;"|",("|" &amp; SUBSTITUTE(All_Questions_Q_MS_EXPORT_F_resolved_criteria, ", ", "|") &amp; "|"))),1,0),0))*1</f>
        <v>1</v>
      </c>
      <c r="U6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5)&amp;"|",("|" &amp; SUBSTITUTE(All_Questions_Q_NUM_EXPORT_F_resolved_criteria, ", ", "|") &amp; "|"))),1,0),0))*1</f>
        <v>1</v>
      </c>
      <c r="V6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5)&amp;"|",("|" &amp; SUBSTITUTE(All_Questions_Q_GRID_EXPORT_F_resolved_criteria, ", ", "|") &amp; "|"))),1,0),0))*1</f>
        <v>1</v>
      </c>
      <c r="W6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5)&amp;"|",("|" &amp; SUBSTITUTE(All_Questions_Q_VERY_LONG_SINGLE_SELECT_EXPORT_NAME_F_resolved_criteria, ", ", "|") &amp; "|"))),1,0),0))*1</f>
        <v>1</v>
      </c>
    </row>
    <row r="7">
      <c r="A7" t="n">
        <v>6</v>
      </c>
      <c r="B7" t="inlineStr">
        <is>
          <t>Yes</t>
        </is>
      </c>
      <c r="E7" t="n">
        <v>5.5</v>
      </c>
      <c r="F7" t="inlineStr">
        <is>
          <t>High</t>
        </is>
      </c>
      <c r="G7" t="inlineStr">
        <is>
          <t>High</t>
        </is>
      </c>
      <c r="H7" t="inlineStr">
        <is>
          <t>A</t>
        </is>
      </c>
      <c r="N7">
        <f>1</f>
        <v>1</v>
      </c>
      <c r="O7">
        <f>IF(OR(F_Custom1_Q="(None)",F_Custom1_Q="",ISBLANK(F_Custom1_Q),F_Custom1_V="(All)",F_Custom1_V="",ISBLANK(F_Custom1_V)),1,IFERROR(IF(ISNUMBER(SEARCH("|"&amp;INDEX(INDIRECT(F_Custom1_resolved_column),6)&amp;"|",("|" &amp; SUBSTITUTE(F_Custom1_resolved_criteria, ", ", "|") &amp; "|"))),1,0),0))</f>
        <v>1</v>
      </c>
      <c r="P7">
        <f>IF(OR(F_Custom2_Q="(None)",F_Custom2_Q="",ISBLANK(F_Custom2_Q),F_Custom2_V="(All)",F_Custom2_V="",ISBLANK(F_Custom2_V)),1,IFERROR(IF(ISNUMBER(SEARCH("|"&amp;INDEX(INDIRECT(F_Custom2_resolved_column),6)&amp;"|",("|" &amp; SUBSTITUTE(F_Custom2_resolved_criteria, ", ", "|") &amp; "|"))),1,0),0))</f>
        <v>1</v>
      </c>
      <c r="Q7">
        <f>O7*P7*1</f>
        <v>1</v>
      </c>
      <c r="R7">
        <f>1</f>
        <v>1</v>
      </c>
      <c r="S7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6)&amp;"|",("|" &amp; SUBSTITUTE(All_Questions_Q_SS_EXPORT_F_resolved_criteria, ", ", "|") &amp; "|"))),1,0),0))*1</f>
        <v>1</v>
      </c>
      <c r="T7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6)&amp;"|",("|" &amp; SUBSTITUTE(All_Questions_Q_MS_EXPORT_F_resolved_criteria, ", ", "|") &amp; "|"))),1,0),0))*1</f>
        <v>1</v>
      </c>
      <c r="U7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6)&amp;"|",("|" &amp; SUBSTITUTE(All_Questions_Q_NUM_EXPORT_F_resolved_criteria, ", ", "|") &amp; "|"))),1,0),0))*1</f>
        <v>1</v>
      </c>
      <c r="V7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6)&amp;"|",("|" &amp; SUBSTITUTE(All_Questions_Q_GRID_EXPORT_F_resolved_criteria, ", ", "|") &amp; "|"))),1,0),0))*1</f>
        <v>1</v>
      </c>
      <c r="W7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6)&amp;"|",("|" &amp; SUBSTITUTE(All_Questions_Q_VERY_LONG_SINGLE_SELECT_EXPORT_NAME_F_resolved_criteria, ", ", "|") &amp; "|"))),1,0),0))*1</f>
        <v>1</v>
      </c>
    </row>
    <row r="8">
      <c r="A8" t="n">
        <v>7</v>
      </c>
      <c r="B8" t="inlineStr">
        <is>
          <t>No</t>
        </is>
      </c>
      <c r="E8" t="n">
        <v>5.5</v>
      </c>
      <c r="F8" t="inlineStr">
        <is>
          <t>High</t>
        </is>
      </c>
      <c r="G8" t="inlineStr">
        <is>
          <t>High</t>
        </is>
      </c>
      <c r="H8" t="inlineStr">
        <is>
          <t>A</t>
        </is>
      </c>
      <c r="N8">
        <f>1</f>
        <v>1</v>
      </c>
      <c r="O8">
        <f>IF(OR(F_Custom1_Q="(None)",F_Custom1_Q="",ISBLANK(F_Custom1_Q),F_Custom1_V="(All)",F_Custom1_V="",ISBLANK(F_Custom1_V)),1,IFERROR(IF(ISNUMBER(SEARCH("|"&amp;INDEX(INDIRECT(F_Custom1_resolved_column),7)&amp;"|",("|" &amp; SUBSTITUTE(F_Custom1_resolved_criteria, ", ", "|") &amp; "|"))),1,0),0))</f>
        <v>1</v>
      </c>
      <c r="P8">
        <f>IF(OR(F_Custom2_Q="(None)",F_Custom2_Q="",ISBLANK(F_Custom2_Q),F_Custom2_V="(All)",F_Custom2_V="",ISBLANK(F_Custom2_V)),1,IFERROR(IF(ISNUMBER(SEARCH("|"&amp;INDEX(INDIRECT(F_Custom2_resolved_column),7)&amp;"|",("|" &amp; SUBSTITUTE(F_Custom2_resolved_criteria, ", ", "|") &amp; "|"))),1,0),0))</f>
        <v>1</v>
      </c>
      <c r="Q8">
        <f>O8*P8*1</f>
        <v>1</v>
      </c>
      <c r="R8">
        <f>1</f>
        <v>1</v>
      </c>
      <c r="S8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7)&amp;"|",("|" &amp; SUBSTITUTE(All_Questions_Q_SS_EXPORT_F_resolved_criteria, ", ", "|") &amp; "|"))),1,0),0))*1</f>
        <v>1</v>
      </c>
      <c r="T8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7)&amp;"|",("|" &amp; SUBSTITUTE(All_Questions_Q_MS_EXPORT_F_resolved_criteria, ", ", "|") &amp; "|"))),1,0),0))*1</f>
        <v>1</v>
      </c>
      <c r="U8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7)&amp;"|",("|" &amp; SUBSTITUTE(All_Questions_Q_NUM_EXPORT_F_resolved_criteria, ", ", "|") &amp; "|"))),1,0),0))*1</f>
        <v>1</v>
      </c>
      <c r="V8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7)&amp;"|",("|" &amp; SUBSTITUTE(All_Questions_Q_GRID_EXPORT_F_resolved_criteria, ", ", "|") &amp; "|"))),1,0),0))*1</f>
        <v>1</v>
      </c>
      <c r="W8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7)&amp;"|",("|" &amp; SUBSTITUTE(All_Questions_Q_VERY_LONG_SINGLE_SELECT_EXPORT_NAME_F_resolved_criteria, ", ", "|") &amp; "|"))),1,0),0))*1</f>
        <v>1</v>
      </c>
    </row>
    <row r="9">
      <c r="A9" t="n">
        <v>8</v>
      </c>
      <c r="B9" t="inlineStr">
        <is>
          <t>No</t>
        </is>
      </c>
      <c r="E9" t="n">
        <v>5.5</v>
      </c>
      <c r="F9" t="inlineStr">
        <is>
          <t>High</t>
        </is>
      </c>
      <c r="G9" t="inlineStr">
        <is>
          <t>High</t>
        </is>
      </c>
      <c r="H9" t="inlineStr">
        <is>
          <t>B</t>
        </is>
      </c>
      <c r="N9">
        <f>1</f>
        <v>1</v>
      </c>
      <c r="O9">
        <f>IF(OR(F_Custom1_Q="(None)",F_Custom1_Q="",ISBLANK(F_Custom1_Q),F_Custom1_V="(All)",F_Custom1_V="",ISBLANK(F_Custom1_V)),1,IFERROR(IF(ISNUMBER(SEARCH("|"&amp;INDEX(INDIRECT(F_Custom1_resolved_column),8)&amp;"|",("|" &amp; SUBSTITUTE(F_Custom1_resolved_criteria, ", ", "|") &amp; "|"))),1,0),0))</f>
        <v>1</v>
      </c>
      <c r="P9">
        <f>IF(OR(F_Custom2_Q="(None)",F_Custom2_Q="",ISBLANK(F_Custom2_Q),F_Custom2_V="(All)",F_Custom2_V="",ISBLANK(F_Custom2_V)),1,IFERROR(IF(ISNUMBER(SEARCH("|"&amp;INDEX(INDIRECT(F_Custom2_resolved_column),8)&amp;"|",("|" &amp; SUBSTITUTE(F_Custom2_resolved_criteria, ", ", "|") &amp; "|"))),1,0),0))</f>
        <v>1</v>
      </c>
      <c r="Q9">
        <f>O9*P9*1</f>
        <v>1</v>
      </c>
      <c r="R9">
        <f>1</f>
        <v>1</v>
      </c>
      <c r="S9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8)&amp;"|",("|" &amp; SUBSTITUTE(All_Questions_Q_SS_EXPORT_F_resolved_criteria, ", ", "|") &amp; "|"))),1,0),0))*1</f>
        <v>1</v>
      </c>
      <c r="T9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8)&amp;"|",("|" &amp; SUBSTITUTE(All_Questions_Q_MS_EXPORT_F_resolved_criteria, ", ", "|") &amp; "|"))),1,0),0))*1</f>
        <v>1</v>
      </c>
      <c r="U9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8)&amp;"|",("|" &amp; SUBSTITUTE(All_Questions_Q_NUM_EXPORT_F_resolved_criteria, ", ", "|") &amp; "|"))),1,0),0))*1</f>
        <v>1</v>
      </c>
      <c r="V9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8)&amp;"|",("|" &amp; SUBSTITUTE(All_Questions_Q_GRID_EXPORT_F_resolved_criteria, ", ", "|") &amp; "|"))),1,0),0))*1</f>
        <v>1</v>
      </c>
      <c r="W9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8)&amp;"|",("|" &amp; SUBSTITUTE(All_Questions_Q_VERY_LONG_SINGLE_SELECT_EXPORT_NAME_F_resolved_criteria, ", ", "|") &amp; "|"))),1,0),0))*1</f>
        <v>1</v>
      </c>
    </row>
    <row r="10">
      <c r="A10" t="n">
        <v>9</v>
      </c>
      <c r="B10" t="inlineStr">
        <is>
          <t>No</t>
        </is>
      </c>
      <c r="E10" t="n">
        <v>5.5</v>
      </c>
      <c r="F10" t="inlineStr">
        <is>
          <t>High</t>
        </is>
      </c>
      <c r="G10" t="inlineStr">
        <is>
          <t>High</t>
        </is>
      </c>
      <c r="H10" t="inlineStr">
        <is>
          <t>B</t>
        </is>
      </c>
      <c r="N10">
        <f>1</f>
        <v>1</v>
      </c>
      <c r="O10">
        <f>IF(OR(F_Custom1_Q="(None)",F_Custom1_Q="",ISBLANK(F_Custom1_Q),F_Custom1_V="(All)",F_Custom1_V="",ISBLANK(F_Custom1_V)),1,IFERROR(IF(ISNUMBER(SEARCH("|"&amp;INDEX(INDIRECT(F_Custom1_resolved_column),9)&amp;"|",("|" &amp; SUBSTITUTE(F_Custom1_resolved_criteria, ", ", "|") &amp; "|"))),1,0),0))</f>
        <v>1</v>
      </c>
      <c r="P10">
        <f>IF(OR(F_Custom2_Q="(None)",F_Custom2_Q="",ISBLANK(F_Custom2_Q),F_Custom2_V="(All)",F_Custom2_V="",ISBLANK(F_Custom2_V)),1,IFERROR(IF(ISNUMBER(SEARCH("|"&amp;INDEX(INDIRECT(F_Custom2_resolved_column),9)&amp;"|",("|" &amp; SUBSTITUTE(F_Custom2_resolved_criteria, ", ", "|") &amp; "|"))),1,0),0))</f>
        <v>1</v>
      </c>
      <c r="Q10">
        <f>O10*P10*1</f>
        <v>1</v>
      </c>
      <c r="R10">
        <f>1</f>
        <v>1</v>
      </c>
      <c r="S10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9)&amp;"|",("|" &amp; SUBSTITUTE(All_Questions_Q_SS_EXPORT_F_resolved_criteria, ", ", "|") &amp; "|"))),1,0),0))*1</f>
        <v>1</v>
      </c>
      <c r="T10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9)&amp;"|",("|" &amp; SUBSTITUTE(All_Questions_Q_MS_EXPORT_F_resolved_criteria, ", ", "|") &amp; "|"))),1,0),0))*1</f>
        <v>1</v>
      </c>
      <c r="U10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9)&amp;"|",("|" &amp; SUBSTITUTE(All_Questions_Q_NUM_EXPORT_F_resolved_criteria, ", ", "|") &amp; "|"))),1,0),0))*1</f>
        <v>1</v>
      </c>
      <c r="V10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9)&amp;"|",("|" &amp; SUBSTITUTE(All_Questions_Q_GRID_EXPORT_F_resolved_criteria, ", ", "|") &amp; "|"))),1,0),0))*1</f>
        <v>1</v>
      </c>
      <c r="W10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9)&amp;"|",("|" &amp; SUBSTITUTE(All_Questions_Q_VERY_LONG_SINGLE_SELECT_EXPORT_NAME_F_resolved_criteria, ", ", "|") &amp; "|"))),1,0),0))*1</f>
        <v>1</v>
      </c>
    </row>
    <row r="11">
      <c r="A11" t="n">
        <v>10</v>
      </c>
      <c r="B11" t="inlineStr">
        <is>
          <t>No</t>
        </is>
      </c>
      <c r="E11" t="n">
        <v>5.5</v>
      </c>
      <c r="F11" t="inlineStr">
        <is>
          <t>High</t>
        </is>
      </c>
      <c r="G11" t="inlineStr">
        <is>
          <t>High</t>
        </is>
      </c>
      <c r="H11" t="inlineStr">
        <is>
          <t>B</t>
        </is>
      </c>
      <c r="N11">
        <f>1</f>
        <v>1</v>
      </c>
      <c r="O11">
        <f>IF(OR(F_Custom1_Q="(None)",F_Custom1_Q="",ISBLANK(F_Custom1_Q),F_Custom1_V="(All)",F_Custom1_V="",ISBLANK(F_Custom1_V)),1,IFERROR(IF(ISNUMBER(SEARCH("|"&amp;INDEX(INDIRECT(F_Custom1_resolved_column),10)&amp;"|",("|" &amp; SUBSTITUTE(F_Custom1_resolved_criteria, ", ", "|") &amp; "|"))),1,0),0))</f>
        <v>1</v>
      </c>
      <c r="P11">
        <f>IF(OR(F_Custom2_Q="(None)",F_Custom2_Q="",ISBLANK(F_Custom2_Q),F_Custom2_V="(All)",F_Custom2_V="",ISBLANK(F_Custom2_V)),1,IFERROR(IF(ISNUMBER(SEARCH("|"&amp;INDEX(INDIRECT(F_Custom2_resolved_column),10)&amp;"|",("|" &amp; SUBSTITUTE(F_Custom2_resolved_criteria, ", ", "|") &amp; "|"))),1,0),0))</f>
        <v>1</v>
      </c>
      <c r="Q11">
        <f>O11*P11*1</f>
        <v>1</v>
      </c>
      <c r="R11">
        <f>1</f>
        <v>1</v>
      </c>
      <c r="S11">
        <f>IF(OR(All_Questions_Q_SS_EXPORT_F_Q="(None)",All_Questions_Q_SS_EXPORT_F_Q="",ISBLANK(All_Questions_Q_SS_EXPORT_F_Q),All_Questions_Q_SS_EXPORT_F_V="(All)",All_Questions_Q_SS_EXPORT_F_V="",ISBLANK(All_Questions_Q_SS_EXPORT_F_V)),1,IFERROR(IF(ISNUMBER(SEARCH("|"&amp;INDEX(INDIRECT(All_Questions_Q_SS_EXPORT_F_resolved_column),10)&amp;"|",("|" &amp; SUBSTITUTE(All_Questions_Q_SS_EXPORT_F_resolved_criteria, ", ", "|") &amp; "|"))),1,0),0))*1</f>
        <v>1</v>
      </c>
      <c r="T11">
        <f>IF(OR(All_Questions_Q_MS_EXPORT_F_Q="(None)",All_Questions_Q_MS_EXPORT_F_Q="",ISBLANK(All_Questions_Q_MS_EXPORT_F_Q),All_Questions_Q_MS_EXPORT_F_V="(All)",All_Questions_Q_MS_EXPORT_F_V="",ISBLANK(All_Questions_Q_MS_EXPORT_F_V)),1,IFERROR(IF(ISNUMBER(SEARCH("|"&amp;INDEX(INDIRECT(All_Questions_Q_MS_EXPORT_F_resolved_column),10)&amp;"|",("|" &amp; SUBSTITUTE(All_Questions_Q_MS_EXPORT_F_resolved_criteria, ", ", "|") &amp; "|"))),1,0),0))*1</f>
        <v>1</v>
      </c>
      <c r="U11">
        <f>IF(OR(All_Questions_Q_NUM_EXPORT_F_Q="(None)",All_Questions_Q_NUM_EXPORT_F_Q="",ISBLANK(All_Questions_Q_NUM_EXPORT_F_Q),All_Questions_Q_NUM_EXPORT_F_V="(All)",All_Questions_Q_NUM_EXPORT_F_V="",ISBLANK(All_Questions_Q_NUM_EXPORT_F_V)),1,IFERROR(IF(ISNUMBER(SEARCH("|"&amp;INDEX(INDIRECT(All_Questions_Q_NUM_EXPORT_F_resolved_column),10)&amp;"|",("|" &amp; SUBSTITUTE(All_Questions_Q_NUM_EXPORT_F_resolved_criteria, ", ", "|") &amp; "|"))),1,0),0))*1</f>
        <v>1</v>
      </c>
      <c r="V11">
        <f>IF(OR(All_Questions_Q_GRID_EXPORT_F_Q="(None)",All_Questions_Q_GRID_EXPORT_F_Q="",ISBLANK(All_Questions_Q_GRID_EXPORT_F_Q),All_Questions_Q_GRID_EXPORT_F_V="(All)",All_Questions_Q_GRID_EXPORT_F_V="",ISBLANK(All_Questions_Q_GRID_EXPORT_F_V)),1,IFERROR(IF(ISNUMBER(SEARCH("|"&amp;INDEX(INDIRECT(All_Questions_Q_GRID_EXPORT_F_resolved_column),10)&amp;"|",("|" &amp; SUBSTITUTE(All_Questions_Q_GRID_EXPORT_F_resolved_criteria, ", ", "|") &amp; "|"))),1,0),0))*1</f>
        <v>1</v>
      </c>
      <c r="W11">
        <f>IF(OR(All_Questions_Q_VERY_LONG_SINGLE_SELECT_EXPORT_NAME_F_Q="(None)",All_Questions_Q_VERY_LONG_SINGLE_SELECT_EXPORT_NAME_F_Q="",ISBLANK(All_Questions_Q_VERY_LONG_SINGLE_SELECT_EXPORT_NAME_F_Q),All_Questions_Q_VERY_LONG_SINGLE_SELECT_EXPORT_NAME_F_V="(All)",All_Questions_Q_VERY_LONG_SINGLE_SELECT_EXPORT_NAME_F_V="",ISBLANK(All_Questions_Q_VERY_LONG_SINGLE_SELECT_EXPORT_NAME_F_V)),1,IFERROR(IF(ISNUMBER(SEARCH("|"&amp;INDEX(INDIRECT(All_Questions_Q_VERY_LONG_SINGLE_SELECT_EXPORT_NAME_F_resolved_column),10)&amp;"|",("|" &amp; SUBSTITUTE(All_Questions_Q_VERY_LONG_SINGLE_SELECT_EXPORT_NAME_F_resolved_criteria, ", ", "|") &amp; "|"))),1,0),0))*1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R7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Q_SS_EXPORT_options</t>
        </is>
      </c>
      <c r="G1" t="inlineStr">
        <is>
          <t>Q_MS_EXPORTr1_options</t>
        </is>
      </c>
      <c r="H1" t="inlineStr">
        <is>
          <t>Q_MS_EXPORTr2_options</t>
        </is>
      </c>
      <c r="I1" t="inlineStr">
        <is>
          <t>Q_NUM_EXPORT_options</t>
        </is>
      </c>
      <c r="J1" t="inlineStr">
        <is>
          <t>Q_GRID_EXPORTr1_options</t>
        </is>
      </c>
      <c r="K1" t="inlineStr">
        <is>
          <t>Q_GRID_EXPORTr2_options</t>
        </is>
      </c>
      <c r="L1" t="inlineStr">
        <is>
          <t>Q_VERY_LONG_SINGLE_SELECT_EXPOR_options</t>
        </is>
      </c>
      <c r="M1" t="inlineStr">
        <is>
          <t>Q_SEG_1_options</t>
        </is>
      </c>
      <c r="N1" t="inlineStr">
        <is>
          <t>Q_TGT_1_options</t>
        </is>
      </c>
      <c r="O1" t="inlineStr">
        <is>
          <t>Q_NUM_3_options</t>
        </is>
      </c>
      <c r="P1" t="inlineStr">
        <is>
          <t>Q_EXP_1_options</t>
        </is>
      </c>
      <c r="Q1" t="inlineStr">
        <is>
          <t>Q_REAL_1_options</t>
        </is>
      </c>
      <c r="R1" t="inlineStr">
        <is>
          <t>Q_SS_EXPORT_local_options</t>
        </is>
      </c>
      <c r="S1" t="inlineStr">
        <is>
          <t>Q_MS_EXPORTr1_local_options</t>
        </is>
      </c>
      <c r="T1" t="inlineStr">
        <is>
          <t>Q_MS_EXPORTr2_local_options</t>
        </is>
      </c>
      <c r="U1" t="inlineStr">
        <is>
          <t>Q_NUM_EXPORT_local_options</t>
        </is>
      </c>
      <c r="V1" t="inlineStr">
        <is>
          <t>Q_GRID_EXPORTr1_local_options</t>
        </is>
      </c>
      <c r="W1" t="inlineStr">
        <is>
          <t>Q_GRID_EXPORTr2_local_options</t>
        </is>
      </c>
      <c r="X1" t="inlineStr">
        <is>
          <t>Q_VERY_LONG_SINGLE_SELECT_EXPOR_local_options</t>
        </is>
      </c>
      <c r="Y1" t="inlineStr">
        <is>
          <t>Q_SEG_1_local_options</t>
        </is>
      </c>
      <c r="Z1" t="inlineStr">
        <is>
          <t>Q_TGT_1_local_options</t>
        </is>
      </c>
      <c r="AA1" t="inlineStr">
        <is>
          <t>Q_NUM_3_local_options</t>
        </is>
      </c>
      <c r="AB1" t="inlineStr">
        <is>
          <t>Q_EXP_1_local_options</t>
        </is>
      </c>
      <c r="AC1" t="inlineStr">
        <is>
          <t>Q_REAL_1_local_options</t>
        </is>
      </c>
      <c r="AD1" t="inlineStr">
        <is>
          <t>Cross_Tab_Questions</t>
        </is>
      </c>
      <c r="AE1" t="inlineStr">
        <is>
          <t>Cross_Tab_Questions_Data_Names</t>
        </is>
      </c>
      <c r="AF1" t="inlineStr">
        <is>
          <t>Cross_Tab_Questions_Options_Names</t>
        </is>
      </c>
      <c r="AI1" t="inlineStr">
        <is>
          <t>Q_MS_EXPORT_filter_values_options</t>
        </is>
      </c>
      <c r="AJ1" t="inlineStr">
        <is>
          <t>Q_MS_EXPORT_filter_values_local_options</t>
        </is>
      </c>
      <c r="AK1" t="inlineStr">
        <is>
          <t>Q_GRID_EXPORT_filter_values_options</t>
        </is>
      </c>
      <c r="AL1" t="inlineStr">
        <is>
          <t>Q_GRID_EXPORT_filter_values_local_options</t>
        </is>
      </c>
      <c r="AP1" t="inlineStr">
        <is>
          <t>All_Questions_Value_Keys</t>
        </is>
      </c>
      <c r="AQ1" t="inlineStr">
        <is>
          <t>All_Questions_Value_Data_Names</t>
        </is>
      </c>
      <c r="AR1" t="inlineStr">
        <is>
          <t>All_Questions_Value_Criteria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(All)</t>
        </is>
      </c>
      <c r="J2" t="inlineStr">
        <is>
          <t>(All)</t>
        </is>
      </c>
      <c r="K2" t="inlineStr">
        <is>
          <t>(All)</t>
        </is>
      </c>
      <c r="L2" t="inlineStr">
        <is>
          <t>(All)</t>
        </is>
      </c>
      <c r="M2" t="inlineStr">
        <is>
          <t>(All)</t>
        </is>
      </c>
      <c r="N2" t="inlineStr">
        <is>
          <t>(All)</t>
        </is>
      </c>
      <c r="O2" t="inlineStr">
        <is>
          <t>(All)</t>
        </is>
      </c>
      <c r="P2" t="inlineStr">
        <is>
          <t>(All)</t>
        </is>
      </c>
      <c r="Q2" t="inlineStr">
        <is>
          <t>(All)</t>
        </is>
      </c>
      <c r="R2" t="inlineStr">
        <is>
          <t>(Inherit)</t>
        </is>
      </c>
      <c r="S2" t="inlineStr">
        <is>
          <t>(Inherit)</t>
        </is>
      </c>
      <c r="T2" t="inlineStr">
        <is>
          <t>(Inherit)</t>
        </is>
      </c>
      <c r="U2" t="inlineStr">
        <is>
          <t>(Inherit)</t>
        </is>
      </c>
      <c r="V2" t="inlineStr">
        <is>
          <t>(Inherit)</t>
        </is>
      </c>
      <c r="W2" t="inlineStr">
        <is>
          <t>(Inherit)</t>
        </is>
      </c>
      <c r="X2" t="inlineStr">
        <is>
          <t>(Inherit)</t>
        </is>
      </c>
      <c r="Y2" t="inlineStr">
        <is>
          <t>(Inherit)</t>
        </is>
      </c>
      <c r="Z2" t="inlineStr">
        <is>
          <t>(Inherit)</t>
        </is>
      </c>
      <c r="AA2" t="inlineStr">
        <is>
          <t>(Inherit)</t>
        </is>
      </c>
      <c r="AB2" t="inlineStr">
        <is>
          <t>(Inherit)</t>
        </is>
      </c>
      <c r="AC2" t="inlineStr">
        <is>
          <t>(Inherit)</t>
        </is>
      </c>
      <c r="AD2" t="inlineStr">
        <is>
          <t>(None)</t>
        </is>
      </c>
      <c r="AE2" t="inlineStr">
        <is>
          <t>'_RawData'!$A$2:$A$11</t>
        </is>
      </c>
      <c r="AF2" t="inlineStr">
        <is>
          <t>'_Options'!$E$2:$E$2</t>
        </is>
      </c>
      <c r="AI2" t="inlineStr">
        <is>
          <t>(All)</t>
        </is>
      </c>
      <c r="AJ2" t="inlineStr">
        <is>
          <t>(Inherit)</t>
        </is>
      </c>
      <c r="AK2" t="inlineStr">
        <is>
          <t>(All)</t>
        </is>
      </c>
      <c r="AL2" t="inlineStr">
        <is>
          <t>(Inherit)</t>
        </is>
      </c>
      <c r="AP2" t="inlineStr">
        <is>
          <t>Q_MS_EXPORT - Multi Select Export Question|First</t>
        </is>
      </c>
      <c r="AQ2" t="inlineStr">
        <is>
          <t>'_RawData'!$C$2:$C$11</t>
        </is>
      </c>
      <c r="AR2" t="inlineStr">
        <is>
          <t>Selected</t>
        </is>
      </c>
    </row>
    <row r="3">
      <c r="A3" t="inlineStr">
        <is>
          <t>Q_SS_EXPORT - Single Select Export Question</t>
        </is>
      </c>
      <c r="B3" t="inlineStr">
        <is>
          <t>(None)</t>
        </is>
      </c>
      <c r="C3" t="inlineStr">
        <is>
          <t>'_RawData'!$B$2:$B$11</t>
        </is>
      </c>
      <c r="D3" t="inlineStr">
        <is>
          <t>'_Options'!$F$2:$F$4</t>
        </is>
      </c>
      <c r="F3" t="inlineStr">
        <is>
          <t>Yes</t>
        </is>
      </c>
      <c r="G3" t="inlineStr">
        <is>
          <t>Selected</t>
        </is>
      </c>
      <c r="H3" t="inlineStr">
        <is>
          <t>Selected</t>
        </is>
      </c>
      <c r="I3" t="inlineStr">
        <is>
          <t>5.5</t>
        </is>
      </c>
      <c r="J3" t="inlineStr">
        <is>
          <t>Low</t>
        </is>
      </c>
      <c r="K3" t="inlineStr">
        <is>
          <t>Low</t>
        </is>
      </c>
      <c r="L3" t="inlineStr">
        <is>
          <t>A</t>
        </is>
      </c>
      <c r="M3" t="inlineStr">
        <is>
          <t>Segment 1</t>
        </is>
      </c>
      <c r="N3" t="inlineStr">
        <is>
          <t>A</t>
        </is>
      </c>
      <c r="R3" t="inlineStr">
        <is>
          <t>(All)</t>
        </is>
      </c>
      <c r="S3" t="inlineStr">
        <is>
          <t>(All)</t>
        </is>
      </c>
      <c r="T3" t="inlineStr">
        <is>
          <t>(All)</t>
        </is>
      </c>
      <c r="U3" t="inlineStr">
        <is>
          <t>(All)</t>
        </is>
      </c>
      <c r="V3" t="inlineStr">
        <is>
          <t>(All)</t>
        </is>
      </c>
      <c r="W3" t="inlineStr">
        <is>
          <t>(All)</t>
        </is>
      </c>
      <c r="X3" t="inlineStr">
        <is>
          <t>(All)</t>
        </is>
      </c>
      <c r="Y3" t="inlineStr">
        <is>
          <t>(All)</t>
        </is>
      </c>
      <c r="Z3" t="inlineStr">
        <is>
          <t>(All)</t>
        </is>
      </c>
      <c r="AA3" t="inlineStr">
        <is>
          <t>(All)</t>
        </is>
      </c>
      <c r="AB3" t="inlineStr">
        <is>
          <t>(All)</t>
        </is>
      </c>
      <c r="AC3" t="inlineStr">
        <is>
          <t>(All)</t>
        </is>
      </c>
      <c r="AD3" t="inlineStr">
        <is>
          <t>Q_SS_EXPORT - Single Select Export Question</t>
        </is>
      </c>
      <c r="AE3" t="inlineStr">
        <is>
          <t>'_RawData'!$B$2:$B$11</t>
        </is>
      </c>
      <c r="AF3" t="inlineStr">
        <is>
          <t>'_Options'!$F$2:$F$4</t>
        </is>
      </c>
      <c r="AI3" t="inlineStr">
        <is>
          <t>First</t>
        </is>
      </c>
      <c r="AJ3" t="inlineStr">
        <is>
          <t>(All)</t>
        </is>
      </c>
      <c r="AK3" t="inlineStr">
        <is>
          <t>Grid first row: Low</t>
        </is>
      </c>
      <c r="AL3" t="inlineStr">
        <is>
          <t>(All)</t>
        </is>
      </c>
      <c r="AP3" t="inlineStr">
        <is>
          <t>Q_MS_EXPORT - Multi Select Export Question|Second</t>
        </is>
      </c>
      <c r="AQ3" t="inlineStr">
        <is>
          <t>'_RawData'!$D$2:$D$11</t>
        </is>
      </c>
      <c r="AR3" t="inlineStr">
        <is>
          <t>Selected</t>
        </is>
      </c>
    </row>
    <row r="4">
      <c r="A4" t="inlineStr">
        <is>
          <t>Q_MS_EXPORT - Multi Select Export Question</t>
        </is>
      </c>
      <c r="B4" t="inlineStr">
        <is>
          <t>Q_SS_EXPORT - Single Select Export Question</t>
        </is>
      </c>
      <c r="C4" t="inlineStr">
        <is>
          <t>'_RawData'!$C$2:$C$11</t>
        </is>
      </c>
      <c r="D4" t="inlineStr">
        <is>
          <t>'_Options'!$AI$2:$AI$4</t>
        </is>
      </c>
      <c r="F4" t="inlineStr">
        <is>
          <t>No</t>
        </is>
      </c>
      <c r="J4" t="inlineStr">
        <is>
          <t>High</t>
        </is>
      </c>
      <c r="K4" t="inlineStr">
        <is>
          <t>High</t>
        </is>
      </c>
      <c r="L4" t="inlineStr">
        <is>
          <t>B</t>
        </is>
      </c>
      <c r="M4" t="inlineStr">
        <is>
          <t>Segment 2</t>
        </is>
      </c>
      <c r="N4" t="inlineStr">
        <is>
          <t>B</t>
        </is>
      </c>
      <c r="R4" t="inlineStr">
        <is>
          <t>Yes</t>
        </is>
      </c>
      <c r="S4" t="inlineStr">
        <is>
          <t>Selected</t>
        </is>
      </c>
      <c r="T4" t="inlineStr">
        <is>
          <t>Selected</t>
        </is>
      </c>
      <c r="U4" t="inlineStr">
        <is>
          <t>5.5</t>
        </is>
      </c>
      <c r="V4" t="inlineStr">
        <is>
          <t>Low</t>
        </is>
      </c>
      <c r="W4" t="inlineStr">
        <is>
          <t>Low</t>
        </is>
      </c>
      <c r="X4" t="inlineStr">
        <is>
          <t>A</t>
        </is>
      </c>
      <c r="Y4" t="inlineStr">
        <is>
          <t>Segment 1</t>
        </is>
      </c>
      <c r="Z4" t="inlineStr">
        <is>
          <t>A</t>
        </is>
      </c>
      <c r="AD4" t="inlineStr">
        <is>
          <t>Q_VERY_LONG_SINGLE_SELECT_EXPORT_NAME - Long Sheet Name Export Question</t>
        </is>
      </c>
      <c r="AE4" t="inlineStr">
        <is>
          <t>'_RawData'!$H$2:$H$11</t>
        </is>
      </c>
      <c r="AF4" t="inlineStr">
        <is>
          <t>'_Options'!$L$2:$L$4</t>
        </is>
      </c>
      <c r="AI4" t="inlineStr">
        <is>
          <t>Second</t>
        </is>
      </c>
      <c r="AJ4" t="inlineStr">
        <is>
          <t>First</t>
        </is>
      </c>
      <c r="AK4" t="inlineStr">
        <is>
          <t>Grid first row: High</t>
        </is>
      </c>
      <c r="AL4" t="inlineStr">
        <is>
          <t>Grid first row: Low</t>
        </is>
      </c>
      <c r="AP4" t="inlineStr">
        <is>
          <t>Q_GRID_EXPORT - Grid Export Question|Grid first row: Low</t>
        </is>
      </c>
      <c r="AQ4" t="inlineStr">
        <is>
          <t>'_RawData'!$F$2:$F$11</t>
        </is>
      </c>
      <c r="AR4" t="inlineStr">
        <is>
          <t>Low</t>
        </is>
      </c>
    </row>
    <row r="5">
      <c r="A5" t="inlineStr">
        <is>
          <t>Q_GRID_EXPORT - Grid Export Question</t>
        </is>
      </c>
      <c r="B5" t="inlineStr">
        <is>
          <t>Q_MS_EXPORT - Multi Select Export Question</t>
        </is>
      </c>
      <c r="C5" t="inlineStr">
        <is>
          <t>'_RawData'!$F$2:$F$11</t>
        </is>
      </c>
      <c r="D5" t="inlineStr">
        <is>
          <t>'_Options'!$AK$2:$AK$6</t>
        </is>
      </c>
      <c r="M5" t="inlineStr">
        <is>
          <t>Segment 3</t>
        </is>
      </c>
      <c r="N5" t="inlineStr">
        <is>
          <t>C</t>
        </is>
      </c>
      <c r="R5" t="inlineStr">
        <is>
          <t>No</t>
        </is>
      </c>
      <c r="V5" t="inlineStr">
        <is>
          <t>High</t>
        </is>
      </c>
      <c r="W5" t="inlineStr">
        <is>
          <t>High</t>
        </is>
      </c>
      <c r="X5" t="inlineStr">
        <is>
          <t>B</t>
        </is>
      </c>
      <c r="Y5" t="inlineStr">
        <is>
          <t>Segment 2</t>
        </is>
      </c>
      <c r="Z5" t="inlineStr">
        <is>
          <t>B</t>
        </is>
      </c>
      <c r="AD5" t="inlineStr">
        <is>
          <t>Q_SEG_1 - Segment</t>
        </is>
      </c>
      <c r="AE5" t="inlineStr">
        <is>
          <t>'_RawData'!$I$2:$I$11</t>
        </is>
      </c>
      <c r="AF5" t="inlineStr">
        <is>
          <t>'_Options'!$M$2:$M$5</t>
        </is>
      </c>
      <c r="AJ5" t="inlineStr">
        <is>
          <t>Second</t>
        </is>
      </c>
      <c r="AK5" t="inlineStr">
        <is>
          <t>Grid second row: Low</t>
        </is>
      </c>
      <c r="AL5" t="inlineStr">
        <is>
          <t>Grid first row: High</t>
        </is>
      </c>
      <c r="AP5" t="inlineStr">
        <is>
          <t>Q_GRID_EXPORT - Grid Export Question|Grid first row: High</t>
        </is>
      </c>
      <c r="AQ5" t="inlineStr">
        <is>
          <t>'_RawData'!$F$2:$F$11</t>
        </is>
      </c>
      <c r="AR5" t="inlineStr">
        <is>
          <t>High</t>
        </is>
      </c>
    </row>
    <row r="6">
      <c r="A6" t="inlineStr">
        <is>
          <t>Q_VERY_LONG_SINGLE_SELECT_EXPORT_NAME - Long Sheet Name Export Question</t>
        </is>
      </c>
      <c r="B6" t="inlineStr">
        <is>
          <t>Q_GRID_EXPORT - Grid Export Question</t>
        </is>
      </c>
      <c r="C6" t="inlineStr">
        <is>
          <t>'_RawData'!$H$2:$H$11</t>
        </is>
      </c>
      <c r="D6" t="inlineStr">
        <is>
          <t>'_Options'!$L$2:$L$4</t>
        </is>
      </c>
      <c r="N6" t="inlineStr">
        <is>
          <t>D</t>
        </is>
      </c>
      <c r="Y6" t="inlineStr">
        <is>
          <t>Segment 3</t>
        </is>
      </c>
      <c r="Z6" t="inlineStr">
        <is>
          <t>C</t>
        </is>
      </c>
      <c r="AD6" t="inlineStr">
        <is>
          <t>Q_TGT_1 - Target Categorical</t>
        </is>
      </c>
      <c r="AE6" t="inlineStr">
        <is>
          <t>'_RawData'!$J$2:$J$11</t>
        </is>
      </c>
      <c r="AF6" t="inlineStr">
        <is>
          <t>'_Options'!$N$2:$N$6</t>
        </is>
      </c>
      <c r="AK6" t="inlineStr">
        <is>
          <t>Grid second row: High</t>
        </is>
      </c>
      <c r="AL6" t="inlineStr">
        <is>
          <t>Grid second row: Low</t>
        </is>
      </c>
      <c r="AP6" t="inlineStr">
        <is>
          <t>Q_GRID_EXPORT - Grid Export Question|Grid second row: Low</t>
        </is>
      </c>
      <c r="AQ6" t="inlineStr">
        <is>
          <t>'_RawData'!$G$2:$G$11</t>
        </is>
      </c>
      <c r="AR6" t="inlineStr">
        <is>
          <t>Low</t>
        </is>
      </c>
    </row>
    <row r="7">
      <c r="B7" t="inlineStr">
        <is>
          <t>Q_VERY_LONG_SINGLE_SELECT_EXPORT_NAME - Long Sheet Name Export Question</t>
        </is>
      </c>
      <c r="Z7" t="inlineStr">
        <is>
          <t>D</t>
        </is>
      </c>
      <c r="AL7" t="inlineStr">
        <is>
          <t>Grid second row: High</t>
        </is>
      </c>
      <c r="AP7" t="inlineStr">
        <is>
          <t>Q_GRID_EXPORT - Grid Export Question|Grid second row: High</t>
        </is>
      </c>
      <c r="AQ7" t="inlineStr">
        <is>
          <t>'_RawData'!$G$2:$G$11</t>
        </is>
      </c>
      <c r="AR7" t="inlineStr">
        <is>
          <t>High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/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IFERROR(INDEX(All_Questions_Value_Data_Names,MATCH(F_Custom1_Q&amp;"|"&amp;F_Custom1_V,All_Questions_Value_Keys,0)),IFERROR(INDEX(All_Questions_Data_Names,MATCH(F_Custom1_Q,All_Questions,0)),"'_RawData'!$A:$A"))</f>
        <v>respondent_id_data</v>
      </c>
      <c r="F6" t="str">
        <f>"|" &amp; SUBSTITUTE(F_Custom1_V, ", ", "|") &amp; "|"</f>
        <v>|(All)|</v>
      </c>
      <c r="G6" t="str">
        <f>IFERROR(INDEX(All_Questions_Value_Criteria,MATCH(F_Custom1_Q&amp;"|"&amp;F_Custom1_V,All_Questions_Value_Keys,0)),F_Custom1_V)</f>
        <v>(All)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IFERROR(INDEX(All_Questions_Value_Data_Names,MATCH(F_Custom2_Q&amp;"|"&amp;F_Custom2_V,All_Questions_Value_Keys,0)),IFERROR(INDEX(All_Questions_Data_Names,MATCH(F_Custom2_Q,All_Questions,0)),"'_RawData'!$A:$A"))</f>
        <v>respondent_id_data</v>
      </c>
      <c r="F7" t="str">
        <f>"|" &amp; SUBSTITUTE(F_Custom2_V, ", ", "|") &amp; "|"</f>
        <v>|(All)|</v>
      </c>
      <c r="G7" t="str">
        <f>IFERROR(INDEX(All_Questions_Value_Criteria,MATCH(F_Custom2_Q&amp;"|"&amp;F_Custom2_V,All_Questions_Value_Keys,0)),F_Custom2_V)</f>
        <v>(All)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11</v>
      </c>
    </row>
    <row r="6">
      <c r="A6" s="5" t="inlineStr">
        <is>
          <t>Results produced:</t>
        </is>
      </c>
      <c r="B6" t="n">
        <v>5</v>
      </c>
    </row>
    <row r="7">
      <c r="A7" s="5" t="inlineStr">
        <is>
          <t>Questions skipped:</t>
        </is>
      </c>
      <c r="B7" t="n">
        <v>2</v>
      </c>
    </row>
    <row r="8">
      <c r="A8" s="5" t="inlineStr">
        <is>
          <t>Cross cuts produced:</t>
        </is>
      </c>
      <c r="B8" t="n">
        <v>4</v>
      </c>
    </row>
    <row r="9">
      <c r="A9" s="5" t="inlineStr">
        <is>
          <t>Cross cut skips:</t>
        </is>
      </c>
      <c r="B9" t="n">
        <v>1</v>
      </c>
    </row>
    <row r="10">
      <c r="A10" s="5" t="inlineStr">
        <is>
          <t>Audit log records:</t>
        </is>
      </c>
      <c r="B10" t="n">
        <v>19</v>
      </c>
    </row>
    <row r="11">
      <c r="A11" s="5" t="inlineStr">
        <is>
          <t>Quality warnings:</t>
        </is>
      </c>
      <c r="B11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1" customWidth="1" min="1" max="1"/>
    <col width="39" customWidth="1" min="2" max="2"/>
    <col width="33" customWidth="1" min="3" max="3"/>
    <col width="21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[Q_SS_EXPORT]</t>
        </is>
      </c>
      <c r="B2" t="inlineStr">
        <is>
          <t>Q_SS_EXPORT</t>
        </is>
      </c>
      <c r="C2" t="inlineStr">
        <is>
          <t>Single select export question</t>
        </is>
      </c>
      <c r="D2" t="inlineStr">
        <is>
          <t>SINGLE_SELECT</t>
        </is>
      </c>
      <c r="E2" t="inlineStr">
        <is>
          <t>Q_SS_EXPORT</t>
        </is>
      </c>
      <c r="F2" t="n">
        <v>2</v>
      </c>
      <c r="G2" t="inlineStr">
        <is>
          <t>Yes</t>
        </is>
      </c>
      <c r="H2" t="inlineStr">
        <is>
          <t>No</t>
        </is>
      </c>
      <c r="I2" t="inlineStr"/>
    </row>
    <row r="3">
      <c r="A3" t="inlineStr">
        <is>
          <t>[Q_MS_EXPORT]</t>
        </is>
      </c>
      <c r="B3" t="inlineStr">
        <is>
          <t>Q_MS_EXPORT</t>
        </is>
      </c>
      <c r="C3" t="inlineStr">
        <is>
          <t>Multi select export question</t>
        </is>
      </c>
      <c r="D3" t="inlineStr">
        <is>
          <t>MULTI_SELECT_BINARY</t>
        </is>
      </c>
      <c r="E3" t="inlineStr">
        <is>
          <t>Q_MS_EXPORTr1, Q_MS_EXPORTr2</t>
        </is>
      </c>
      <c r="F3" t="n">
        <v>2</v>
      </c>
      <c r="G3" t="inlineStr">
        <is>
          <t>Yes</t>
        </is>
      </c>
      <c r="H3" t="inlineStr">
        <is>
          <t>No</t>
        </is>
      </c>
      <c r="I3" t="inlineStr"/>
    </row>
    <row r="4">
      <c r="A4" t="inlineStr">
        <is>
          <t>[Q_NUM_EXPORT]</t>
        </is>
      </c>
      <c r="B4" t="inlineStr">
        <is>
          <t>Q_NUM_EXPORT</t>
        </is>
      </c>
      <c r="C4" t="inlineStr">
        <is>
          <t>Numeric export question</t>
        </is>
      </c>
      <c r="D4" t="inlineStr">
        <is>
          <t>DIRECT_NUMERIC</t>
        </is>
      </c>
      <c r="E4" t="inlineStr">
        <is>
          <t>Q_NUM_EXPORT</t>
        </is>
      </c>
      <c r="F4" t="n">
        <v>0</v>
      </c>
      <c r="G4" t="inlineStr">
        <is>
          <t>Yes</t>
        </is>
      </c>
      <c r="H4" t="inlineStr">
        <is>
          <t>No</t>
        </is>
      </c>
      <c r="I4" t="inlineStr"/>
    </row>
    <row r="5">
      <c r="A5" t="inlineStr">
        <is>
          <t>[Q_GRID_EXPORT]</t>
        </is>
      </c>
      <c r="B5" t="inlineStr">
        <is>
          <t>Q_GRID_EXPORT</t>
        </is>
      </c>
      <c r="C5" t="inlineStr">
        <is>
          <t>Grid export question</t>
        </is>
      </c>
      <c r="D5" t="inlineStr">
        <is>
          <t>GRID_SINGLE_SELECT</t>
        </is>
      </c>
      <c r="E5" t="inlineStr">
        <is>
          <t>Q_GRID_EXPORTr1, Q_GRID_EXPORTr2</t>
        </is>
      </c>
      <c r="F5" t="n">
        <v>2</v>
      </c>
      <c r="G5" t="inlineStr">
        <is>
          <t>Yes</t>
        </is>
      </c>
      <c r="H5" t="inlineStr">
        <is>
          <t>No</t>
        </is>
      </c>
      <c r="I5" t="inlineStr"/>
    </row>
    <row r="6">
      <c r="A6" t="inlineStr">
        <is>
          <t>[Q_VERY_LONG_SINGLE_SELECT_EXPORT_NAME]</t>
        </is>
      </c>
      <c r="B6" t="inlineStr">
        <is>
          <t>Q_VERY_LONG_SINGLE_SELECT_EXPORT_NAME</t>
        </is>
      </c>
      <c r="C6" t="inlineStr">
        <is>
          <t>Long sheet name export question</t>
        </is>
      </c>
      <c r="D6" t="inlineStr">
        <is>
          <t>SINGLE_SELECT</t>
        </is>
      </c>
      <c r="E6" t="inlineStr">
        <is>
          <t>Q_VERY_LONG_SINGLE_SELECT_EXPORT_NAME</t>
        </is>
      </c>
      <c r="F6" t="n">
        <v>2</v>
      </c>
      <c r="G6" t="inlineStr">
        <is>
          <t>Yes</t>
        </is>
      </c>
      <c r="H6" t="inlineStr">
        <is>
          <t>No</t>
        </is>
      </c>
      <c r="I6" t="inlineStr"/>
    </row>
    <row r="7">
      <c r="A7" t="inlineStr">
        <is>
          <t>[Q_TEXT_EXPORT]</t>
        </is>
      </c>
      <c r="B7" t="inlineStr">
        <is>
          <t>Q_TEXT_EXPORT</t>
        </is>
      </c>
      <c r="C7" t="inlineStr">
        <is>
          <t>Open text export question</t>
        </is>
      </c>
      <c r="D7" t="inlineStr">
        <is>
          <t>OPEN_TEXT</t>
        </is>
      </c>
      <c r="E7" t="inlineStr">
        <is>
          <t>Q_TEXT_EXPORT</t>
        </is>
      </c>
      <c r="F7" t="n">
        <v>0</v>
      </c>
      <c r="G7" t="inlineStr">
        <is>
          <t>Yes</t>
        </is>
      </c>
      <c r="H7" t="inlineStr">
        <is>
          <t>No</t>
        </is>
      </c>
      <c r="I7" t="inlineStr"/>
    </row>
    <row r="8">
      <c r="A8" t="inlineStr">
        <is>
          <t>[Q_SEG_1]</t>
        </is>
      </c>
      <c r="B8" t="inlineStr">
        <is>
          <t>Q_SEG_1</t>
        </is>
      </c>
      <c r="C8" t="inlineStr">
        <is>
          <t>Segment</t>
        </is>
      </c>
      <c r="D8" t="inlineStr">
        <is>
          <t>SINGLE_SELECT</t>
        </is>
      </c>
      <c r="E8" t="inlineStr">
        <is>
          <t>Q_SEG_1</t>
        </is>
      </c>
      <c r="F8" t="n">
        <v>3</v>
      </c>
      <c r="G8" t="inlineStr">
        <is>
          <t>Yes</t>
        </is>
      </c>
      <c r="H8" t="inlineStr">
        <is>
          <t>No</t>
        </is>
      </c>
      <c r="I8" t="inlineStr"/>
    </row>
    <row r="9">
      <c r="A9" t="inlineStr">
        <is>
          <t>[Q_TGT_1]</t>
        </is>
      </c>
      <c r="B9" t="inlineStr">
        <is>
          <t>Q_TGT_1</t>
        </is>
      </c>
      <c r="C9" t="inlineStr">
        <is>
          <t>Target categorical</t>
        </is>
      </c>
      <c r="D9" t="inlineStr">
        <is>
          <t>SINGLE_SELECT</t>
        </is>
      </c>
      <c r="E9" t="inlineStr">
        <is>
          <t>Q_TGT_1</t>
        </is>
      </c>
      <c r="F9" t="n">
        <v>4</v>
      </c>
      <c r="G9" t="inlineStr">
        <is>
          <t>Yes</t>
        </is>
      </c>
      <c r="H9" t="inlineStr">
        <is>
          <t>No</t>
        </is>
      </c>
      <c r="I9" t="inlineStr"/>
    </row>
    <row r="10">
      <c r="A10" t="inlineStr">
        <is>
          <t>[Q_NUM_3]</t>
        </is>
      </c>
      <c r="B10" t="inlineStr">
        <is>
          <t>Q_NUM_3</t>
        </is>
      </c>
      <c r="C10" t="inlineStr">
        <is>
          <t>Numeric metric</t>
        </is>
      </c>
      <c r="D10" t="inlineStr">
        <is>
          <t>DIRECT_NUMERIC</t>
        </is>
      </c>
      <c r="E10" t="inlineStr">
        <is>
          <t>Q_NUM_3</t>
        </is>
      </c>
      <c r="F10" t="n">
        <v>0</v>
      </c>
      <c r="G10" t="inlineStr">
        <is>
          <t>Yes</t>
        </is>
      </c>
      <c r="H10" t="inlineStr">
        <is>
          <t>No</t>
        </is>
      </c>
      <c r="I10" t="inlineStr"/>
    </row>
    <row r="11">
      <c r="A11" t="inlineStr">
        <is>
          <t>[Q_EXP_1]</t>
        </is>
      </c>
      <c r="B11" t="inlineStr">
        <is>
          <t>Q_EXP_1</t>
        </is>
      </c>
      <c r="C11" t="inlineStr">
        <is>
          <t>Expected</t>
        </is>
      </c>
      <c r="D11" t="inlineStr">
        <is>
          <t>DIRECT_NUMERIC</t>
        </is>
      </c>
      <c r="E11" t="inlineStr">
        <is>
          <t>Q_EXP_1</t>
        </is>
      </c>
      <c r="F11" t="n">
        <v>0</v>
      </c>
      <c r="G11" t="inlineStr">
        <is>
          <t>Yes</t>
        </is>
      </c>
      <c r="H11" t="inlineStr">
        <is>
          <t>No</t>
        </is>
      </c>
      <c r="I11" t="inlineStr"/>
    </row>
    <row r="12">
      <c r="A12" t="inlineStr">
        <is>
          <t>[Q_REAL_1]</t>
        </is>
      </c>
      <c r="B12" t="inlineStr">
        <is>
          <t>Q_REAL_1</t>
        </is>
      </c>
      <c r="C12" t="inlineStr">
        <is>
          <t>Realized</t>
        </is>
      </c>
      <c r="D12" t="inlineStr">
        <is>
          <t>DIRECT_NUMERIC</t>
        </is>
      </c>
      <c r="E12" t="inlineStr">
        <is>
          <t>Q_REAL_1</t>
        </is>
      </c>
      <c r="F12" t="n">
        <v>0</v>
      </c>
      <c r="G12" t="inlineStr">
        <is>
          <t>Yes</t>
        </is>
      </c>
      <c r="H12" t="inlineStr">
        <is>
          <t>No</t>
        </is>
      </c>
      <c r="I1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9" customWidth="1" min="1" max="1"/>
    <col width="39" customWidth="1" min="2" max="2"/>
    <col width="21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Q_SS_EXPORT</t>
        </is>
      </c>
      <c r="B2" t="inlineStr">
        <is>
          <t>Q_SS_EXPORT</t>
        </is>
      </c>
      <c r="C2" t="inlineStr">
        <is>
          <t>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  <row r="3">
      <c r="A3" t="inlineStr">
        <is>
          <t>Q_MS_EXPORT</t>
        </is>
      </c>
      <c r="B3" t="inlineStr">
        <is>
          <t>Q_MS_EXPORT</t>
        </is>
      </c>
      <c r="C3" t="inlineStr">
        <is>
          <t>MULTI_SELECT_BINARY</t>
        </is>
      </c>
      <c r="D3" t="inlineStr">
        <is>
          <t>All Questions</t>
        </is>
      </c>
      <c r="E3" s="6" t="inlineStr">
        <is>
          <t>All Questions</t>
        </is>
      </c>
      <c r="F3" t="n">
        <v>10</v>
      </c>
      <c r="G3" t="n">
        <v>0</v>
      </c>
      <c r="H3" s="7" t="n">
        <v>0</v>
      </c>
      <c r="I3" t="inlineStr"/>
    </row>
    <row r="4">
      <c r="A4" t="inlineStr">
        <is>
          <t>Q_NUM_EXPORT</t>
        </is>
      </c>
      <c r="B4" t="inlineStr">
        <is>
          <t>Q_NUM_EXPORT</t>
        </is>
      </c>
      <c r="C4" t="inlineStr">
        <is>
          <t>DIRECT_NUMERIC</t>
        </is>
      </c>
      <c r="D4" t="inlineStr">
        <is>
          <t>All Questions</t>
        </is>
      </c>
      <c r="E4" s="6" t="inlineStr">
        <is>
          <t>All Questions</t>
        </is>
      </c>
      <c r="F4" t="n">
        <v>10</v>
      </c>
      <c r="G4" t="n">
        <v>0</v>
      </c>
      <c r="H4" s="7" t="n">
        <v>0</v>
      </c>
      <c r="I4" t="inlineStr"/>
    </row>
    <row r="5">
      <c r="A5" t="inlineStr">
        <is>
          <t>Q_GRID_EXPORT</t>
        </is>
      </c>
      <c r="B5" t="inlineStr">
        <is>
          <t>Q_GRID_EXPORT</t>
        </is>
      </c>
      <c r="C5" t="inlineStr">
        <is>
          <t>GRID_SINGLE_SELECT</t>
        </is>
      </c>
      <c r="D5" t="inlineStr">
        <is>
          <t>All Questions</t>
        </is>
      </c>
      <c r="E5" s="6" t="inlineStr">
        <is>
          <t>All Questions</t>
        </is>
      </c>
      <c r="F5" t="n">
        <v>10</v>
      </c>
      <c r="G5" t="n">
        <v>0</v>
      </c>
      <c r="H5" s="7" t="n">
        <v>0</v>
      </c>
      <c r="I5" t="inlineStr"/>
    </row>
    <row r="6">
      <c r="A6" t="inlineStr">
        <is>
          <t>Q_VERY_LONG_SINGLE_SELECT_EXPORT_NAME</t>
        </is>
      </c>
      <c r="B6" t="inlineStr">
        <is>
          <t>Q_VERY_LONG_SINGLE_SELECT_EXPORT_NAME</t>
        </is>
      </c>
      <c r="C6" t="inlineStr">
        <is>
          <t>SINGLE_SELECT</t>
        </is>
      </c>
      <c r="D6" t="inlineStr">
        <is>
          <t>All Questions</t>
        </is>
      </c>
      <c r="E6" s="6" t="inlineStr">
        <is>
          <t>All Questions</t>
        </is>
      </c>
      <c r="F6" t="n">
        <v>10</v>
      </c>
      <c r="G6" t="n">
        <v>0</v>
      </c>
      <c r="H6" s="7" t="n">
        <v>0</v>
      </c>
      <c r="I6" t="inlineStr">
        <is>
          <t>long id warning</t>
        </is>
      </c>
    </row>
  </sheetData>
  <hyperlinks>
    <hyperlink xmlns:r="http://schemas.openxmlformats.org/officeDocument/2006/relationships" ref="E2" r:id="rId1"/>
    <hyperlink xmlns:r="http://schemas.openxmlformats.org/officeDocument/2006/relationships" ref="E3" r:id="rId2"/>
    <hyperlink xmlns:r="http://schemas.openxmlformats.org/officeDocument/2006/relationships" ref="E4" r:id="rId3"/>
    <hyperlink xmlns:r="http://schemas.openxmlformats.org/officeDocument/2006/relationships" ref="E5" r:id="rId4"/>
    <hyperlink xmlns:r="http://schemas.openxmlformats.org/officeDocument/2006/relationships" ref="E6" r:id="rId5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7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Value_Data_Names,MATCH(All_Questions_F_Custom1_Q_resolved&amp;"|"&amp;All_Questions_F_Custom1_V_resolved,All_Questions_Value_Keys,0)),IFERROR(INDEX(All_Questions_Data_Names,MATCH(All_Questions_F_Custom1_Q_resolved,All_Questions,0)),"'_RawData'!$A:$A"))</f>
        <v>respondent_id_data</v>
      </c>
      <c r="G6" t="str">
        <f>IFERROR(INDEX(All_Questions_Value_Criteria,MATCH(All_Questions_F_Custom1_Q_resolved&amp;"|"&amp;All_Questions_F_Custom1_V_resolved,All_Questions_Value_Keys,0)),All_Questions_F_Custom1_V_resolved)</f>
        <v>(All)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Value_Data_Names,MATCH(All_Questions_F_Custom2_Q_resolved&amp;"|"&amp;All_Questions_F_Custom2_V_resolved,All_Questions_Value_Keys,0)),IFERROR(INDEX(All_Questions_Data_Names,MATCH(All_Questions_F_Custom2_Q_resolved,All_Questions,0)),"'_RawData'!$A:$A"))</f>
        <v>respondent_id_data</v>
      </c>
      <c r="G8" t="str">
        <f>IFERROR(INDEX(All_Questions_Value_Criteria,MATCH(All_Questions_F_Custom2_Q_resolved&amp;"|"&amp;All_Questions_F_Custom2_V_resolved,All_Questions_Value_Keys,0)),All_Questions_F_Custom2_V_resolved)</f>
        <v>(All)</v>
      </c>
    </row>
    <row r="9"/>
    <row r="10"/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Q_SS_EXPORT - Single select export question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IFERROR(INDEX(All_Questions_Value_Data_Names,MATCH(All_Questions_Q_SS_EXPORT_F_Q&amp;"|"&amp;All_Questions_Q_SS_EXPORT_F_V,All_Questions_Value_Keys,0)),IFERROR(INDEX(All_Questions_Data_Names,MATCH(All_Questions_Q_SS_EXPORT_F_Q,All_Questions,0)),"'_RawData'!$A:$A"))</f>
        <v>respondent_id_data</v>
      </c>
      <c r="G13" t="str">
        <f>"|" &amp; SUBSTITUTE(All_Questions_Q_SS_EXPORT_F_V, ", ", "|") &amp; "|"</f>
        <v>|(All)|</v>
      </c>
      <c r="H13" t="str">
        <f>IFERROR(INDEX(All_Questions_Value_Criteria,MATCH(All_Questions_Q_SS_EXPORT_F_Q&amp;"|"&amp;All_Questions_Q_SS_EXPORT_F_V,All_Questions_Value_Keys,0)),All_Questions_Q_SS_EXPORT_F_V)</f>
        <v>(All)</v>
      </c>
    </row>
    <row r="14">
      <c r="A14" s="13" t="inlineStr">
        <is>
          <t>Cross-tab by</t>
        </is>
      </c>
      <c r="C14" t="inlineStr">
        <is>
          <t>(None)</t>
        </is>
      </c>
    </row>
    <row r="15"/>
    <row r="16">
      <c r="A16" s="4" t="inlineStr">
        <is>
          <t>Option</t>
        </is>
      </c>
      <c r="B16" s="4" t="inlineStr">
        <is>
          <t>Count</t>
        </is>
      </c>
      <c r="C16" s="4" t="inlineStr">
        <is>
          <t>%</t>
        </is>
      </c>
      <c r="D16" s="4" t="inlineStr">
        <is>
          <t>Denominator</t>
        </is>
      </c>
      <c r="F16" s="4" t="inlineStr">
        <is>
          <t>Option</t>
        </is>
      </c>
      <c r="G16" s="2" t="str">
        <f>IF(All_Questions_Q_SS_EXPORT_CT="(None)","",IFERROR(INDEX(INDIRECT(IFERROR(INDEX(Cross_Tab_Questions_Options_Names,MATCH(All_Questions_Q_SS_EXPORT_CT,Cross_Tab_Questions,0)),"'_Options'!$E$2:$E$2")),2),""))</f>
        <v/>
      </c>
      <c r="H16" s="2" t="str">
        <f>IF(All_Questions_Q_SS_EXPORT_CT="(None)","",IFERROR(INDEX(INDIRECT(IFERROR(INDEX(Cross_Tab_Questions_Options_Names,MATCH(All_Questions_Q_SS_EXPORT_CT,Cross_Tab_Questions,0)),"'_Options'!$E$2:$E$2")),3),""))</f>
        <v/>
      </c>
      <c r="I16" s="2" t="str">
        <f>IF(All_Questions_Q_SS_EXPORT_CT="(None)","",IFERROR(INDEX(INDIRECT(IFERROR(INDEX(Cross_Tab_Questions_Options_Names,MATCH(All_Questions_Q_SS_EXPORT_CT,Cross_Tab_Questions,0)),"'_Options'!$E$2:$E$2")),4),""))</f>
        <v/>
      </c>
      <c r="J16" s="2" t="str">
        <f>IF(All_Questions_Q_SS_EXPORT_CT="(None)","",IFERROR(INDEX(INDIRECT(IFERROR(INDEX(Cross_Tab_Questions_Options_Names,MATCH(All_Questions_Q_SS_EXPORT_CT,Cross_Tab_Questions,0)),"'_Options'!$E$2:$E$2")),5),""))</f>
        <v/>
      </c>
      <c r="K16" s="2" t="str">
        <f>IF(All_Questions_Q_SS_EXPORT_CT="(None)","",IFERROR(INDEX(INDIRECT(IFERROR(INDEX(Cross_Tab_Questions_Options_Names,MATCH(All_Questions_Q_SS_EXPORT_CT,Cross_Tab_Questions,0)),"'_Options'!$E$2:$E$2")),6),""))</f>
        <v/>
      </c>
      <c r="L16" s="2" t="str">
        <f>IF(All_Questions_Q_SS_EXPORT_CT="(None)","",IFERROR(INDEX(INDIRECT(IFERROR(INDEX(Cross_Tab_Questions_Options_Names,MATCH(All_Questions_Q_SS_EXPORT_CT,Cross_Tab_Questions,0)),"'_Options'!$E$2:$E$2")),7),""))</f>
        <v/>
      </c>
      <c r="M16" s="2" t="str">
        <f>IF(All_Questions_Q_SS_EXPORT_CT="(None)","",IFERROR(INDEX(INDIRECT(IFERROR(INDEX(Cross_Tab_Questions_Options_Names,MATCH(All_Questions_Q_SS_EXPORT_CT,Cross_Tab_Questions,0)),"'_Options'!$E$2:$E$2")),8),""))</f>
        <v/>
      </c>
      <c r="N16" s="2" t="str">
        <f>IF(All_Questions_Q_SS_EXPORT_CT="(None)","",IFERROR(INDEX(INDIRECT(IFERROR(INDEX(Cross_Tab_Questions_Options_Names,MATCH(All_Questions_Q_SS_EXPORT_CT,Cross_Tab_Questions,0)),"'_Options'!$E$2:$E$2")),9),""))</f>
        <v/>
      </c>
      <c r="O16" s="2" t="str">
        <f>IF(All_Questions_Q_SS_EXPORT_CT="(None)","",IFERROR(INDEX(INDIRECT(IFERROR(INDEX(Cross_Tab_Questions_Options_Names,MATCH(All_Questions_Q_SS_EXPORT_CT,Cross_Tab_Questions,0)),"'_Options'!$E$2:$E$2")),10),""))</f>
        <v/>
      </c>
      <c r="P16" s="2" t="str">
        <f>IF(All_Questions_Q_SS_EXPORT_CT="(None)","",IFERROR(INDEX(INDIRECT(IFERROR(INDEX(Cross_Tab_Questions_Options_Names,MATCH(All_Questions_Q_SS_EXPORT_CT,Cross_Tab_Questions,0)),"'_Options'!$E$2:$E$2")),11),""))</f>
        <v/>
      </c>
      <c r="Q16" s="2" t="str">
        <f>IF(All_Questions_Q_SS_EXPORT_CT="(None)","",IFERROR(INDEX(INDIRECT(IFERROR(INDEX(Cross_Tab_Questions_Options_Names,MATCH(All_Questions_Q_SS_EXPORT_CT,Cross_Tab_Questions,0)),"'_Options'!$E$2:$E$2")),12),""))</f>
        <v/>
      </c>
      <c r="R16" s="2" t="str">
        <f>IF(All_Questions_Q_SS_EXPORT_CT="(None)","",IF(COUNTA(INDIRECT(IFERROR(INDEX(Cross_Tab_Questions_Options_Names,MATCH(All_Questions_Q_SS_EXPORT_CT,Cross_Tab_Questions,0)),"'_Options'!$E$2:$E$2")))-1&gt;11,"Other",IFERROR(INDEX(INDIRECT(IFERROR(INDEX(Cross_Tab_Questions_Options_Names,MATCH(All_Questions_Q_SS_EXPORT_CT,Cross_Tab_Questions,0)),"'_Options'!$E$2:$E$2")),13),"")))</f>
        <v/>
      </c>
      <c r="S16" s="4" t="inlineStr">
        <is>
          <t>Total</t>
        </is>
      </c>
    </row>
    <row r="17">
      <c r="A17" t="inlineStr">
        <is>
          <t>Yes</t>
        </is>
      </c>
      <c r="B17">
        <f>COUNTIFS(Q_SS_EXPORT_data,"Yes",passes_workbook_filters_data,1,passes_workbook_custom_filters_data,1,All_Questions_passes_local_filters_data,1,All_Questions_Q_SS_EXPORT_F_passes_per_q_filter_data,1)</f>
        <v>6</v>
      </c>
      <c r="C17" s="7">
        <f>IFERROR(B17/SUBTOTAL(9,B17:B18),0)</f>
        <v>0.6</v>
      </c>
      <c r="D17" s="14">
        <f>SUBTOTAL(9,B17:B18)</f>
        <v>10</v>
      </c>
      <c r="F17" s="4" t="inlineStr"/>
      <c r="G17" s="4" t="inlineStr">
        <is>
          <t># of resp</t>
        </is>
      </c>
      <c r="H17" s="4" t="inlineStr">
        <is>
          <t># of resp</t>
        </is>
      </c>
      <c r="I17" s="4" t="inlineStr">
        <is>
          <t># of resp</t>
        </is>
      </c>
      <c r="J17" s="4" t="inlineStr">
        <is>
          <t># of resp</t>
        </is>
      </c>
      <c r="K17" s="4" t="inlineStr">
        <is>
          <t># of resp</t>
        </is>
      </c>
      <c r="L17" s="4" t="inlineStr">
        <is>
          <t># of resp</t>
        </is>
      </c>
      <c r="M17" s="4" t="inlineStr">
        <is>
          <t># of resp</t>
        </is>
      </c>
      <c r="N17" s="4" t="inlineStr">
        <is>
          <t># of resp</t>
        </is>
      </c>
      <c r="O17" s="4" t="inlineStr">
        <is>
          <t># of resp</t>
        </is>
      </c>
      <c r="P17" s="4" t="inlineStr">
        <is>
          <t># of resp</t>
        </is>
      </c>
      <c r="Q17" s="4" t="inlineStr">
        <is>
          <t># of resp</t>
        </is>
      </c>
      <c r="R17" s="4" t="inlineStr">
        <is>
          <t># of resp</t>
        </is>
      </c>
      <c r="S17" s="4" t="inlineStr">
        <is>
          <t># of resp</t>
        </is>
      </c>
    </row>
    <row r="18">
      <c r="A18" t="inlineStr">
        <is>
          <t>No</t>
        </is>
      </c>
      <c r="B18">
        <f>COUNTIFS(Q_SS_EXPORT_data,"No",passes_workbook_filters_data,1,passes_workbook_custom_filters_data,1,All_Questions_passes_local_filters_data,1,All_Questions_Q_SS_EXPORT_F_passes_per_q_filter_data,1)</f>
        <v>4</v>
      </c>
      <c r="C18" s="7">
        <f>IFERROR(B18/SUBTOTAL(9,B17:B18),0)</f>
        <v>0.4</v>
      </c>
      <c r="D18" s="14">
        <f>SUBTOTAL(9,B17:B18)</f>
        <v>10</v>
      </c>
      <c r="F18" t="inlineStr">
        <is>
          <t>Yes</t>
        </is>
      </c>
      <c r="G18" s="14">
        <f>IF(OR(All_Questions_Q_SS_EXPORT_CT="(None)",G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8" s="14">
        <f>IF(OR(All_Questions_Q_SS_EXPORT_CT="(None)",H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8" s="14">
        <f>IF(OR(All_Questions_Q_SS_EXPORT_CT="(None)",I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8" s="14">
        <f>IF(OR(All_Questions_Q_SS_EXPORT_CT="(None)",J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8" s="14">
        <f>IF(OR(All_Questions_Q_SS_EXPORT_CT="(None)",K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8" s="14">
        <f>IF(OR(All_Questions_Q_SS_EXPORT_CT="(None)",L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8" s="14">
        <f>IF(OR(All_Questions_Q_SS_EXPORT_CT="(None)",M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8" s="14">
        <f>IF(OR(All_Questions_Q_SS_EXPORT_CT="(None)",N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8" s="14">
        <f>IF(OR(All_Questions_Q_SS_EXPORT_CT="(None)",O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8" s="14">
        <f>IF(OR(All_Questions_Q_SS_EXPORT_CT="(None)",P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8" s="14">
        <f>IF(OR(All_Questions_Q_SS_EXPORT_CT="(None)",Q$16=""),""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8" s="14">
        <f>IF(OR(All_Questions_Q_SS_EXPORT_CT="(None)",R$16=""),"",IF(R$16="Other",COUNTIFS(Q_SS_EXPORT_data,"Yes",passes_workbook_filters_data,1,passes_workbook_custom_filters_data,1,All_Questions_passes_local_filters_data,1,All_Questions_Q_SS_EXPORT_F_passes_per_q_filter_data,1)-SUM(G18,H18,I18,J18,K18,L18,M18,N18,O18,P18,Q18),COUNTIFS(Q_SS_EXPORT_data,"Yes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8" s="14">
        <f>IF(All_Questions_Q_SS_EXPORT_CT="(None)","",COUNTIFS(Q_SS_EXPORT_data,"Yes",passes_workbook_filters_data,1,passes_workbook_custom_filters_data,1,All_Questions_passes_local_filters_data,1,All_Questions_Q_SS_EXPORT_F_passes_per_q_filter_data,1))</f>
        <v>0</v>
      </c>
    </row>
    <row r="19">
      <c r="A19" s="15" t="inlineStr">
        <is>
          <t>Total respondents</t>
        </is>
      </c>
      <c r="B19" s="15" t="n">
        <v>10</v>
      </c>
      <c r="C19" s="15" t="n"/>
      <c r="D19" s="15" t="n"/>
      <c r="F19" t="inlineStr">
        <is>
          <t>No</t>
        </is>
      </c>
      <c r="G19" s="14">
        <f>IF(OR(All_Questions_Q_SS_EXPORT_CT="(None)",G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G$16))</f>
        <v>0</v>
      </c>
      <c r="H19" s="14">
        <f>IF(OR(All_Questions_Q_SS_EXPORT_CT="(None)",H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H$16))</f>
        <v>0</v>
      </c>
      <c r="I19" s="14">
        <f>IF(OR(All_Questions_Q_SS_EXPORT_CT="(None)",I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I$16))</f>
        <v>0</v>
      </c>
      <c r="J19" s="14">
        <f>IF(OR(All_Questions_Q_SS_EXPORT_CT="(None)",J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J$16))</f>
        <v>0</v>
      </c>
      <c r="K19" s="14">
        <f>IF(OR(All_Questions_Q_SS_EXPORT_CT="(None)",K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K$16))</f>
        <v>0</v>
      </c>
      <c r="L19" s="14">
        <f>IF(OR(All_Questions_Q_SS_EXPORT_CT="(None)",L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L$16))</f>
        <v>0</v>
      </c>
      <c r="M19" s="14">
        <f>IF(OR(All_Questions_Q_SS_EXPORT_CT="(None)",M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M$16))</f>
        <v>0</v>
      </c>
      <c r="N19" s="14">
        <f>IF(OR(All_Questions_Q_SS_EXPORT_CT="(None)",N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N$16))</f>
        <v>0</v>
      </c>
      <c r="O19" s="14">
        <f>IF(OR(All_Questions_Q_SS_EXPORT_CT="(None)",O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O$16))</f>
        <v>0</v>
      </c>
      <c r="P19" s="14">
        <f>IF(OR(All_Questions_Q_SS_EXPORT_CT="(None)",P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P$16))</f>
        <v>0</v>
      </c>
      <c r="Q19" s="14">
        <f>IF(OR(All_Questions_Q_SS_EXPORT_CT="(None)",Q$16=""),""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Q$16))</f>
        <v>0</v>
      </c>
      <c r="R19" s="14">
        <f>IF(OR(All_Questions_Q_SS_EXPORT_CT="(None)",R$16=""),"",IF(R$16="Other",COUNTIFS(Q_SS_EXPORT_data,"No",passes_workbook_filters_data,1,passes_workbook_custom_filters_data,1,All_Questions_passes_local_filters_data,1,All_Questions_Q_SS_EXPORT_F_passes_per_q_filter_data,1)-SUM(G19,H19,I19,J19,K19,L19,M19,N19,O19,P19,Q19),COUNTIFS(Q_SS_EXPORT_data,"No",passes_workbook_filters_data,1,passes_workbook_custom_filters_data,1,All_Questions_passes_local_filters_data,1,All_Questions_Q_SS_EXPORT_F_passes_per_q_filter_data,1,INDIRECT(IFERROR(INDEX(Cross_Tab_Questions_Data_Names,MATCH(All_Questions_Q_SS_EXPORT_CT,Cross_Tab_Questions,0)),"'_RawData'!$A:$A")),R$16)))</f>
        <v>0</v>
      </c>
      <c r="S19" s="14">
        <f>IF(All_Questions_Q_SS_EXPORT_CT="(None)","",COUNTIFS(Q_SS_EXPORT_data,"No",passes_workbook_filters_data,1,passes_workbook_custom_filters_data,1,All_Questions_passes_local_filters_data,1,All_Questions_Q_SS_EXPORT_F_passes_per_q_filter_data,1))</f>
        <v>0</v>
      </c>
    </row>
    <row r="20">
      <c r="F20" s="4" t="inlineStr">
        <is>
          <t>Total respondents</t>
        </is>
      </c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  <c r="Q20" s="2" t="n"/>
      <c r="R20" s="2" t="n"/>
      <c r="S20" s="2">
        <f>IF(All_Questions_Q_SS_EXPORT_CT="(None)","",COUNTIFS(respondent_id_data,"&lt;&gt;",passes_workbook_filters_data,1,passes_workbook_custom_filters_data,1,All_Questions_passes_local_filters_data,1,All_Questions_Q_SS_EXPORT_F_passes_per_q_filter_data,1))</f>
        <v>0</v>
      </c>
    </row>
    <row r="21"/>
    <row r="22">
      <c r="A22" s="11" t="n"/>
      <c r="B22" s="11" t="n"/>
      <c r="C22" s="11" t="n"/>
      <c r="D22" s="11" t="n"/>
      <c r="E22" s="11" t="n"/>
      <c r="F22" s="11" t="n"/>
      <c r="G22" s="11" t="n"/>
      <c r="H22" s="11" t="n"/>
      <c r="I22" s="11" t="n"/>
      <c r="J22" s="11" t="n"/>
    </row>
    <row r="23">
      <c r="A23" s="12" t="inlineStr">
        <is>
          <t>Q_MS_EXPORT - Multi select export question</t>
        </is>
      </c>
      <c r="B23" s="12" t="n"/>
      <c r="C23" s="12" t="n"/>
      <c r="D23" s="12" t="n"/>
      <c r="E23" s="12" t="n"/>
      <c r="F23" s="12" t="n"/>
      <c r="G23" s="12" t="n"/>
      <c r="H23" s="12" t="n"/>
      <c r="I23" s="12" t="n"/>
      <c r="J23" s="12" t="n"/>
      <c r="K23" s="12" t="n"/>
      <c r="L23" s="12" t="n"/>
      <c r="M23" s="12" t="n"/>
      <c r="N23" s="12" t="n"/>
    </row>
    <row r="24">
      <c r="A24" s="13" t="inlineStr">
        <is>
          <t>Per-question filter</t>
        </is>
      </c>
      <c r="B24" t="inlineStr">
        <is>
          <t>Filter Q</t>
        </is>
      </c>
      <c r="C24" t="inlineStr">
        <is>
          <t>(None)</t>
        </is>
      </c>
      <c r="D24" t="inlineStr">
        <is>
          <t>Value</t>
        </is>
      </c>
      <c r="E24" t="inlineStr">
        <is>
          <t>(All)</t>
        </is>
      </c>
      <c r="F24" t="str">
        <f>IFERROR(INDEX(All_Questions_Value_Data_Names,MATCH(All_Questions_Q_MS_EXPORT_F_Q&amp;"|"&amp;All_Questions_Q_MS_EXPORT_F_V,All_Questions_Value_Keys,0)),IFERROR(INDEX(All_Questions_Data_Names,MATCH(All_Questions_Q_MS_EXPORT_F_Q,All_Questions,0)),"'_RawData'!$A:$A"))</f>
        <v>respondent_id_data</v>
      </c>
      <c r="G24" t="str">
        <f>"|" &amp; SUBSTITUTE(All_Questions_Q_MS_EXPORT_F_V, ", ", "|") &amp; "|"</f>
        <v>|(All)|</v>
      </c>
      <c r="H24" t="str">
        <f>IFERROR(INDEX(All_Questions_Value_Criteria,MATCH(All_Questions_Q_MS_EXPORT_F_Q&amp;"|"&amp;All_Questions_Q_MS_EXPORT_F_V,All_Questions_Value_Keys,0)),All_Questions_Q_MS_EXPORT_F_V)</f>
        <v>(All)</v>
      </c>
    </row>
    <row r="25">
      <c r="A25" s="13" t="inlineStr">
        <is>
          <t>Cross-tab by</t>
        </is>
      </c>
      <c r="C25" t="inlineStr">
        <is>
          <t>(None)</t>
        </is>
      </c>
    </row>
    <row r="26"/>
    <row r="27">
      <c r="A27" s="4" t="inlineStr">
        <is>
          <t>Option</t>
        </is>
      </c>
      <c r="B27" s="4" t="inlineStr">
        <is>
          <t>Count</t>
        </is>
      </c>
      <c r="C27" s="4" t="inlineStr">
        <is>
          <t>%</t>
        </is>
      </c>
      <c r="D27" s="4" t="inlineStr">
        <is>
          <t>Denominator</t>
        </is>
      </c>
      <c r="F27" s="4" t="inlineStr">
        <is>
          <t>Option</t>
        </is>
      </c>
      <c r="G27" s="2" t="str">
        <f>IF(All_Questions_Q_MS_EXPORT_CT="(None)","",IFERROR(INDEX(INDIRECT(IFERROR(INDEX(Cross_Tab_Questions_Options_Names,MATCH(All_Questions_Q_MS_EXPORT_CT,Cross_Tab_Questions,0)),"'_Options'!$E$2:$E$2")),2),""))</f>
        <v/>
      </c>
      <c r="H27" s="2" t="str">
        <f>IF(All_Questions_Q_MS_EXPORT_CT="(None)","",IFERROR(INDEX(INDIRECT(IFERROR(INDEX(Cross_Tab_Questions_Options_Names,MATCH(All_Questions_Q_MS_EXPORT_CT,Cross_Tab_Questions,0)),"'_Options'!$E$2:$E$2")),3),""))</f>
        <v/>
      </c>
      <c r="I27" s="2" t="str">
        <f>IF(All_Questions_Q_MS_EXPORT_CT="(None)","",IFERROR(INDEX(INDIRECT(IFERROR(INDEX(Cross_Tab_Questions_Options_Names,MATCH(All_Questions_Q_MS_EXPORT_CT,Cross_Tab_Questions,0)),"'_Options'!$E$2:$E$2")),4),""))</f>
        <v/>
      </c>
      <c r="J27" s="2" t="str">
        <f>IF(All_Questions_Q_MS_EXPORT_CT="(None)","",IFERROR(INDEX(INDIRECT(IFERROR(INDEX(Cross_Tab_Questions_Options_Names,MATCH(All_Questions_Q_MS_EXPORT_CT,Cross_Tab_Questions,0)),"'_Options'!$E$2:$E$2")),5),""))</f>
        <v/>
      </c>
      <c r="K27" s="2" t="str">
        <f>IF(All_Questions_Q_MS_EXPORT_CT="(None)","",IFERROR(INDEX(INDIRECT(IFERROR(INDEX(Cross_Tab_Questions_Options_Names,MATCH(All_Questions_Q_MS_EXPORT_CT,Cross_Tab_Questions,0)),"'_Options'!$E$2:$E$2")),6),""))</f>
        <v/>
      </c>
      <c r="L27" s="2" t="str">
        <f>IF(All_Questions_Q_MS_EXPORT_CT="(None)","",IFERROR(INDEX(INDIRECT(IFERROR(INDEX(Cross_Tab_Questions_Options_Names,MATCH(All_Questions_Q_MS_EXPORT_CT,Cross_Tab_Questions,0)),"'_Options'!$E$2:$E$2")),7),""))</f>
        <v/>
      </c>
      <c r="M27" s="2" t="str">
        <f>IF(All_Questions_Q_MS_EXPORT_CT="(None)","",IFERROR(INDEX(INDIRECT(IFERROR(INDEX(Cross_Tab_Questions_Options_Names,MATCH(All_Questions_Q_MS_EXPORT_CT,Cross_Tab_Questions,0)),"'_Options'!$E$2:$E$2")),8),""))</f>
        <v/>
      </c>
      <c r="N27" s="2" t="str">
        <f>IF(All_Questions_Q_MS_EXPORT_CT="(None)","",IFERROR(INDEX(INDIRECT(IFERROR(INDEX(Cross_Tab_Questions_Options_Names,MATCH(All_Questions_Q_MS_EXPORT_CT,Cross_Tab_Questions,0)),"'_Options'!$E$2:$E$2")),9),""))</f>
        <v/>
      </c>
      <c r="O27" s="2" t="str">
        <f>IF(All_Questions_Q_MS_EXPORT_CT="(None)","",IFERROR(INDEX(INDIRECT(IFERROR(INDEX(Cross_Tab_Questions_Options_Names,MATCH(All_Questions_Q_MS_EXPORT_CT,Cross_Tab_Questions,0)),"'_Options'!$E$2:$E$2")),10),""))</f>
        <v/>
      </c>
      <c r="P27" s="2" t="str">
        <f>IF(All_Questions_Q_MS_EXPORT_CT="(None)","",IFERROR(INDEX(INDIRECT(IFERROR(INDEX(Cross_Tab_Questions_Options_Names,MATCH(All_Questions_Q_MS_EXPORT_CT,Cross_Tab_Questions,0)),"'_Options'!$E$2:$E$2")),11),""))</f>
        <v/>
      </c>
      <c r="Q27" s="2" t="str">
        <f>IF(All_Questions_Q_MS_EXPORT_CT="(None)","",IFERROR(INDEX(INDIRECT(IFERROR(INDEX(Cross_Tab_Questions_Options_Names,MATCH(All_Questions_Q_MS_EXPORT_CT,Cross_Tab_Questions,0)),"'_Options'!$E$2:$E$2")),12),""))</f>
        <v/>
      </c>
      <c r="R27" s="2" t="str">
        <f>IF(All_Questions_Q_MS_EXPORT_CT="(None)","",IF(COUNTA(INDIRECT(IFERROR(INDEX(Cross_Tab_Questions_Options_Names,MATCH(All_Questions_Q_MS_EXPORT_CT,Cross_Tab_Questions,0)),"'_Options'!$E$2:$E$2")))-1&gt;11,"Other",IFERROR(INDEX(INDIRECT(IFERROR(INDEX(Cross_Tab_Questions_Options_Names,MATCH(All_Questions_Q_MS_EXPORT_CT,Cross_Tab_Questions,0)),"'_Options'!$E$2:$E$2")),13),"")))</f>
        <v/>
      </c>
      <c r="S27" s="4" t="inlineStr">
        <is>
          <t>Total</t>
        </is>
      </c>
    </row>
    <row r="28">
      <c r="A28" t="inlineStr">
        <is>
          <t>First</t>
        </is>
      </c>
      <c r="B28">
        <f>COUNTIFS(Q_MS_EXPORTr1_data,"Selected",passes_workbook_filters_data,1,passes_workbook_custom_filters_data,1,All_Questions_passes_local_filters_data,1,All_Questions_Q_MS_EXPORT_F_passes_per_q_filter_data,1)</f>
        <v>5</v>
      </c>
      <c r="C28" s="7">
        <f>IFERROR(B28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0.5</v>
      </c>
      <c r="D28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8" s="4" t="inlineStr"/>
      <c r="G28" s="4" t="inlineStr">
        <is>
          <t>% selected</t>
        </is>
      </c>
      <c r="H28" s="4" t="inlineStr">
        <is>
          <t>% selected</t>
        </is>
      </c>
      <c r="I28" s="4" t="inlineStr">
        <is>
          <t>% selected</t>
        </is>
      </c>
      <c r="J28" s="4" t="inlineStr">
        <is>
          <t>% selected</t>
        </is>
      </c>
      <c r="K28" s="4" t="inlineStr">
        <is>
          <t>% selected</t>
        </is>
      </c>
      <c r="L28" s="4" t="inlineStr">
        <is>
          <t>% selected</t>
        </is>
      </c>
      <c r="M28" s="4" t="inlineStr">
        <is>
          <t>% selected</t>
        </is>
      </c>
      <c r="N28" s="4" t="inlineStr">
        <is>
          <t>% selected</t>
        </is>
      </c>
      <c r="O28" s="4" t="inlineStr">
        <is>
          <t>% selected</t>
        </is>
      </c>
      <c r="P28" s="4" t="inlineStr">
        <is>
          <t>% selected</t>
        </is>
      </c>
      <c r="Q28" s="4" t="inlineStr">
        <is>
          <t>% selected</t>
        </is>
      </c>
      <c r="R28" s="4" t="inlineStr">
        <is>
          <t>% selected</t>
        </is>
      </c>
      <c r="S28" s="4" t="inlineStr">
        <is>
          <t>% selected</t>
        </is>
      </c>
    </row>
    <row r="29">
      <c r="A29" t="inlineStr">
        <is>
          <t>Second</t>
        </is>
      </c>
      <c r="B29">
        <f>COUNTIFS(Q_MS_EXPORTr2_data,"Selected",passes_workbook_filters_data,1,passes_workbook_custom_filters_data,1,All_Questions_passes_local_filters_data,1,All_Questions_Q_MS_EXPORT_F_passes_per_q_filter_data,1)</f>
        <v>2</v>
      </c>
      <c r="C29" s="7">
        <f>IFERROR(B29/SUMPRODUCT(--((--(Q_MS_EXPORTr1_data&lt;&gt;"")+--(Q_MS_EXPORTr2_data&lt;&gt;""))&gt;0),--(passes_workbook_filters_data=1),--(passes_workbook_custom_filters_data=1),--(All_Questions_passes_local_filters_data=1),--(All_Questions_Q_MS_EXPORT_F_passes_per_q_filter_data=1)),0)</f>
        <v>0.2</v>
      </c>
      <c r="D29" s="14">
        <f>SUMPRODUCT(--((--(Q_MS_EXPORTr1_data&lt;&gt;"")+--(Q_MS_EXPORTr2_data&lt;&gt;""))&gt;0),--(passes_workbook_filters_data=1),--(passes_workbook_custom_filters_data=1),--(All_Questions_passes_local_filters_data=1),--(All_Questions_Q_MS_EXPORT_F_passes_per_q_filter_data=1))</f>
        <v>10</v>
      </c>
      <c r="F29" t="inlineStr">
        <is>
          <t>First</t>
        </is>
      </c>
      <c r="G29" s="7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0.5</v>
      </c>
      <c r="H29" s="7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0.5</v>
      </c>
      <c r="I29" s="7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0.5</v>
      </c>
      <c r="J29" s="7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0.5</v>
      </c>
      <c r="K29" s="7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0.5</v>
      </c>
      <c r="L29" s="7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0.5</v>
      </c>
      <c r="M29" s="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0.5</v>
      </c>
      <c r="N29" s="7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0.5</v>
      </c>
      <c r="O29" s="7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0.5</v>
      </c>
      <c r="P29" s="7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0.5</v>
      </c>
      <c r="Q29" s="7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0.5</v>
      </c>
      <c r="R29" s="7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0.5</v>
      </c>
      <c r="S29" s="7">
        <f>IF(All_Questions_Q_MS_EXPORT_CT="(None)","",IFERROR(COUNTIFS(Q_MS_EXPORTr1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0.5</v>
      </c>
    </row>
    <row r="30">
      <c r="A30" s="15" t="inlineStr">
        <is>
          <t>Total respondents</t>
        </is>
      </c>
      <c r="B30" s="15" t="n">
        <v>10</v>
      </c>
      <c r="C30" s="15" t="n"/>
      <c r="D30" s="15" t="n"/>
      <c r="F30" t="inlineStr">
        <is>
          <t>Second</t>
        </is>
      </c>
      <c r="G30" s="7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0.2</v>
      </c>
      <c r="H30" s="7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0.2</v>
      </c>
      <c r="I30" s="7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0.2</v>
      </c>
      <c r="J30" s="7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0.2</v>
      </c>
      <c r="K30" s="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0.2</v>
      </c>
      <c r="L30" s="7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0.2</v>
      </c>
      <c r="M30" s="7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0.2</v>
      </c>
      <c r="N30" s="7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0.2</v>
      </c>
      <c r="O30" s="7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0.2</v>
      </c>
      <c r="P30" s="7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0.2</v>
      </c>
      <c r="Q30" s="7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0.2</v>
      </c>
      <c r="R30" s="7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0.2</v>
      </c>
      <c r="S30" s="7">
        <f>IF(All_Questions_Q_MS_EXPORT_CT="(None)","",IFERROR(COUNTIFS(Q_MS_EXPORTr2_data,"Selected",passes_workbook_filters_data,1,passes_workbook_custom_filters_data,1,All_Questions_passes_local_filters_data,1,All_Questions_Q_MS_EXPORT_F_passes_per_q_filter_data,1)/SUMPRODUCT(--((--(Q_MS_EXPORTr1_data&lt;&gt;"")+--(Q_MS_EXPORTr2_data&lt;&gt;""))&gt;0),--(passes_workbook_filters_data=1),--(passes_workbook_custom_filters_data=1),--(All_Questions_passes_local_filters_data=1),--(All_Questions_Q_MS_EXPORT_F_passes_per_q_filter_data=1)),""))</f>
        <v>0.2</v>
      </c>
    </row>
    <row r="31">
      <c r="A31" s="4" t="inlineStr">
        <is>
          <t>Total responses</t>
        </is>
      </c>
      <c r="B31" s="4" t="n">
        <v>7</v>
      </c>
      <c r="C31" s="4" t="n"/>
      <c r="D31" s="4" t="n"/>
      <c r="F31" s="4" t="inlineStr">
        <is>
          <t>Total respondents</t>
        </is>
      </c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  <c r="Q31" s="2" t="n"/>
      <c r="R31" s="2" t="n"/>
      <c r="S31" s="2">
        <f>IF(All_Questions_Q_MS_EXPORT_CT="(None)","",COUNTIFS(respondent_id_data,"&lt;&gt;",passes_workbook_filters_data,1,passes_workbook_custom_filters_data,1,All_Questions_passes_local_filters_data,1,All_Questions_Q_MS_EXPORT_F_passes_per_q_filter_data,1))</f>
        <v>0</v>
      </c>
    </row>
    <row r="32"/>
    <row r="33">
      <c r="A33" s="11" t="n"/>
      <c r="B33" s="11" t="n"/>
      <c r="C33" s="11" t="n"/>
      <c r="D33" s="11" t="n"/>
      <c r="E33" s="11" t="n"/>
      <c r="F33" s="11" t="n"/>
      <c r="G33" s="11" t="n"/>
      <c r="H33" s="11" t="n"/>
      <c r="I33" s="11" t="n"/>
      <c r="J33" s="11" t="n"/>
    </row>
    <row r="34">
      <c r="A34" s="12" t="inlineStr">
        <is>
          <t>Q_NUM_EXPORT - Numeric export question</t>
        </is>
      </c>
      <c r="B34" s="12" t="n"/>
      <c r="C34" s="12" t="n"/>
      <c r="D34" s="12" t="n"/>
      <c r="E34" s="12" t="n"/>
      <c r="F34" s="12" t="n"/>
      <c r="G34" s="12" t="n"/>
      <c r="H34" s="12" t="n"/>
      <c r="I34" s="12" t="n"/>
      <c r="J34" s="12" t="n"/>
      <c r="K34" s="12" t="n"/>
      <c r="L34" s="12" t="n"/>
      <c r="M34" s="12" t="n"/>
      <c r="N34" s="12" t="n"/>
    </row>
    <row r="35">
      <c r="A35" s="13" t="inlineStr">
        <is>
          <t>Per-question filter</t>
        </is>
      </c>
      <c r="B35" t="inlineStr">
        <is>
          <t>Filter Q</t>
        </is>
      </c>
      <c r="C35" t="inlineStr">
        <is>
          <t>(None)</t>
        </is>
      </c>
      <c r="D35" t="inlineStr">
        <is>
          <t>Value</t>
        </is>
      </c>
      <c r="E35" t="inlineStr">
        <is>
          <t>(All)</t>
        </is>
      </c>
      <c r="F35" t="str">
        <f>IFERROR(INDEX(All_Questions_Value_Data_Names,MATCH(All_Questions_Q_NUM_EXPORT_F_Q&amp;"|"&amp;All_Questions_Q_NUM_EXPORT_F_V,All_Questions_Value_Keys,0)),IFERROR(INDEX(All_Questions_Data_Names,MATCH(All_Questions_Q_NUM_EXPORT_F_Q,All_Questions,0)),"'_RawData'!$A:$A"))</f>
        <v>respondent_id_data</v>
      </c>
      <c r="G35" t="str">
        <f>"|" &amp; SUBSTITUTE(All_Questions_Q_NUM_EXPORT_F_V, ", ", "|") &amp; "|"</f>
        <v>|(All)|</v>
      </c>
      <c r="H35" t="str">
        <f>IFERROR(INDEX(All_Questions_Value_Criteria,MATCH(All_Questions_Q_NUM_EXPORT_F_Q&amp;"|"&amp;All_Questions_Q_NUM_EXPORT_F_V,All_Questions_Value_Keys,0)),All_Questions_Q_NUM_EXPORT_F_V)</f>
        <v>(All)</v>
      </c>
    </row>
    <row r="36">
      <c r="A36" s="13" t="inlineStr">
        <is>
          <t>Cross-tab by</t>
        </is>
      </c>
      <c r="C36" t="inlineStr">
        <is>
          <t>(None)</t>
        </is>
      </c>
    </row>
    <row r="37"/>
    <row r="38">
      <c r="A38" s="4" t="inlineStr">
        <is>
          <t>Metric</t>
        </is>
      </c>
      <c r="B38" s="4" t="inlineStr">
        <is>
          <t>Value</t>
        </is>
      </c>
      <c r="C38" s="4" t="inlineStr">
        <is>
          <t>Note</t>
        </is>
      </c>
      <c r="D38" s="4" t="inlineStr">
        <is>
          <t>Denominator</t>
        </is>
      </c>
    </row>
    <row r="39">
      <c r="A39" t="inlineStr">
        <is>
          <t>Mean</t>
        </is>
      </c>
      <c r="B39" s="16">
        <f>IFERROR(AVERAGEIFS(Q_NUM_EXPORT_data,passes_workbook_filters_data,1,passes_workbook_custom_filters_data,1,All_Questions_passes_local_filters_data,1,All_Questions_Q_NUM_EXPORT_F_passes_per_q_filter_data,1),0)</f>
        <v>5.5</v>
      </c>
      <c r="D39">
        <f>COUNTIFS(Q_NUM_EXPORT_data,"&lt;&gt;",passes_workbook_filters_data,1,passes_workbook_custom_filters_data,1,All_Questions_passes_local_filters_data,1,All_Questions_Q_NUM_EXPORT_F_passes_per_q_filter_data,1)</f>
        <v>10</v>
      </c>
    </row>
    <row r="40">
      <c r="A40" t="inlineStr">
        <is>
          <t>Min</t>
        </is>
      </c>
      <c r="B40" s="16">
        <f>IFERROR(MINIFS(Q_NUM_EXPORT_data,passes_workbook_filters_data,1,passes_workbook_custom_filters_data,1,All_Questions_passes_local_filters_data,1,All_Questions_Q_NUM_EXPORT_F_passes_per_q_filter_data,1),0)</f>
        <v>1.0</v>
      </c>
      <c r="D40">
        <f>COUNTIFS(Q_NUM_EXPORT_data,"&lt;&gt;",passes_workbook_filters_data,1,passes_workbook_custom_filters_data,1,All_Questions_passes_local_filters_data,1,All_Questions_Q_NUM_EXPORT_F_passes_per_q_filter_data,1)</f>
        <v>10</v>
      </c>
    </row>
    <row r="41">
      <c r="A41" t="inlineStr">
        <is>
          <t>Max</t>
        </is>
      </c>
      <c r="B41" s="16">
        <f>IFERROR(MAXIFS(Q_NUM_EXPORT_data,passes_workbook_filters_data,1,passes_workbook_custom_filters_data,1,All_Questions_passes_local_filters_data,1,All_Questions_Q_NUM_EXPORT_F_passes_per_q_filter_data,1),0)</f>
        <v>10.0</v>
      </c>
      <c r="D41">
        <f>COUNTIFS(Q_NUM_EXPORT_data,"&lt;&gt;",passes_workbook_filters_data,1,passes_workbook_custom_filters_data,1,All_Questions_passes_local_filters_data,1,All_Questions_Q_NUM_EXPORT_F_passes_per_q_filter_data,1)</f>
        <v>10</v>
      </c>
    </row>
    <row r="42">
      <c r="A42" t="inlineStr">
        <is>
          <t>Std</t>
        </is>
      </c>
      <c r="B42" s="16" t="n">
        <v>2.9</v>
      </c>
      <c r="C42" t="inlineStr">
        <is>
          <t>static baseline</t>
        </is>
      </c>
      <c r="D42">
        <f>COUNTIFS(Q_NUM_EXPORT_data,"&lt;&gt;",passes_workbook_filters_data,1,passes_workbook_custom_filters_data,1,All_Questions_passes_local_filters_data,1,All_Questions_Q_NUM_EXPORT_F_passes_per_q_filter_data,1)</f>
        <v>10</v>
      </c>
    </row>
    <row r="43">
      <c r="A43" t="inlineStr">
        <is>
          <t>Median</t>
        </is>
      </c>
      <c r="B43" s="16" t="n">
        <v>5.5</v>
      </c>
      <c r="C43" t="inlineStr">
        <is>
          <t>static baseline</t>
        </is>
      </c>
      <c r="D43" s="14" t="n">
        <v>10</v>
      </c>
    </row>
    <row r="44"/>
    <row r="45">
      <c r="F45" s="4" t="inlineStr">
        <is>
          <t>Option</t>
        </is>
      </c>
      <c r="G45" s="2" t="str">
        <f>IF(All_Questions_Q_NUM_EXPORT_CT="(None)","",IFERROR(INDEX(INDIRECT(IFERROR(INDEX(Cross_Tab_Questions_Options_Names,MATCH(All_Questions_Q_NUM_EXPORT_CT,Cross_Tab_Questions,0)),"'_Options'!$E$2:$E$2")),2),""))</f>
        <v/>
      </c>
      <c r="H45" s="2" t="str">
        <f>IF(All_Questions_Q_NUM_EXPORT_CT="(None)","",IFERROR(INDEX(INDIRECT(IFERROR(INDEX(Cross_Tab_Questions_Options_Names,MATCH(All_Questions_Q_NUM_EXPORT_CT,Cross_Tab_Questions,0)),"'_Options'!$E$2:$E$2")),3),""))</f>
        <v/>
      </c>
      <c r="I45" s="2" t="str">
        <f>IF(All_Questions_Q_NUM_EXPORT_CT="(None)","",IFERROR(INDEX(INDIRECT(IFERROR(INDEX(Cross_Tab_Questions_Options_Names,MATCH(All_Questions_Q_NUM_EXPORT_CT,Cross_Tab_Questions,0)),"'_Options'!$E$2:$E$2")),4),""))</f>
        <v/>
      </c>
      <c r="J45" s="2" t="str">
        <f>IF(All_Questions_Q_NUM_EXPORT_CT="(None)","",IFERROR(INDEX(INDIRECT(IFERROR(INDEX(Cross_Tab_Questions_Options_Names,MATCH(All_Questions_Q_NUM_EXPORT_CT,Cross_Tab_Questions,0)),"'_Options'!$E$2:$E$2")),5),""))</f>
        <v/>
      </c>
      <c r="K45" s="2" t="str">
        <f>IF(All_Questions_Q_NUM_EXPORT_CT="(None)","",IFERROR(INDEX(INDIRECT(IFERROR(INDEX(Cross_Tab_Questions_Options_Names,MATCH(All_Questions_Q_NUM_EXPORT_CT,Cross_Tab_Questions,0)),"'_Options'!$E$2:$E$2")),6),""))</f>
        <v/>
      </c>
      <c r="L45" s="2" t="str">
        <f>IF(All_Questions_Q_NUM_EXPORT_CT="(None)","",IFERROR(INDEX(INDIRECT(IFERROR(INDEX(Cross_Tab_Questions_Options_Names,MATCH(All_Questions_Q_NUM_EXPORT_CT,Cross_Tab_Questions,0)),"'_Options'!$E$2:$E$2")),7),""))</f>
        <v/>
      </c>
      <c r="M45" s="2" t="str">
        <f>IF(All_Questions_Q_NUM_EXPORT_CT="(None)","",IFERROR(INDEX(INDIRECT(IFERROR(INDEX(Cross_Tab_Questions_Options_Names,MATCH(All_Questions_Q_NUM_EXPORT_CT,Cross_Tab_Questions,0)),"'_Options'!$E$2:$E$2")),8),""))</f>
        <v/>
      </c>
      <c r="N45" s="2" t="str">
        <f>IF(All_Questions_Q_NUM_EXPORT_CT="(None)","",IFERROR(INDEX(INDIRECT(IFERROR(INDEX(Cross_Tab_Questions_Options_Names,MATCH(All_Questions_Q_NUM_EXPORT_CT,Cross_Tab_Questions,0)),"'_Options'!$E$2:$E$2")),9),""))</f>
        <v/>
      </c>
      <c r="O45" s="2" t="str">
        <f>IF(All_Questions_Q_NUM_EXPORT_CT="(None)","",IFERROR(INDEX(INDIRECT(IFERROR(INDEX(Cross_Tab_Questions_Options_Names,MATCH(All_Questions_Q_NUM_EXPORT_CT,Cross_Tab_Questions,0)),"'_Options'!$E$2:$E$2")),10),""))</f>
        <v/>
      </c>
      <c r="P45" s="2" t="str">
        <f>IF(All_Questions_Q_NUM_EXPORT_CT="(None)","",IFERROR(INDEX(INDIRECT(IFERROR(INDEX(Cross_Tab_Questions_Options_Names,MATCH(All_Questions_Q_NUM_EXPORT_CT,Cross_Tab_Questions,0)),"'_Options'!$E$2:$E$2")),11),""))</f>
        <v/>
      </c>
      <c r="Q45" s="2" t="str">
        <f>IF(All_Questions_Q_NUM_EXPORT_CT="(None)","",IFERROR(INDEX(INDIRECT(IFERROR(INDEX(Cross_Tab_Questions_Options_Names,MATCH(All_Questions_Q_NUM_EXPORT_CT,Cross_Tab_Questions,0)),"'_Options'!$E$2:$E$2")),12),""))</f>
        <v/>
      </c>
      <c r="R45" s="2" t="str">
        <f>IF(All_Questions_Q_NUM_EXPORT_CT="(None)","",IF(COUNTA(INDIRECT(IFERROR(INDEX(Cross_Tab_Questions_Options_Names,MATCH(All_Questions_Q_NUM_EXPORT_CT,Cross_Tab_Questions,0)),"'_Options'!$E$2:$E$2")))-1&gt;11,"Other",IFERROR(INDEX(INDIRECT(IFERROR(INDEX(Cross_Tab_Questions_Options_Names,MATCH(All_Questions_Q_NUM_EXPORT_CT,Cross_Tab_Questions,0)),"'_Options'!$E$2:$E$2")),13),"")))</f>
        <v/>
      </c>
      <c r="S45" s="4" t="inlineStr">
        <is>
          <t>Total</t>
        </is>
      </c>
    </row>
    <row r="46">
      <c r="F46" s="4" t="inlineStr"/>
      <c r="G46" s="4" t="inlineStr">
        <is>
          <t>Mean</t>
        </is>
      </c>
      <c r="H46" s="4" t="inlineStr">
        <is>
          <t>Mean</t>
        </is>
      </c>
      <c r="I46" s="4" t="inlineStr">
        <is>
          <t>Mean</t>
        </is>
      </c>
      <c r="J46" s="4" t="inlineStr">
        <is>
          <t>Mean</t>
        </is>
      </c>
      <c r="K46" s="4" t="inlineStr">
        <is>
          <t>Mean</t>
        </is>
      </c>
      <c r="L46" s="4" t="inlineStr">
        <is>
          <t>Mean</t>
        </is>
      </c>
      <c r="M46" s="4" t="inlineStr">
        <is>
          <t>Mean</t>
        </is>
      </c>
      <c r="N46" s="4" t="inlineStr">
        <is>
          <t>Mean</t>
        </is>
      </c>
      <c r="O46" s="4" t="inlineStr">
        <is>
          <t>Mean</t>
        </is>
      </c>
      <c r="P46" s="4" t="inlineStr">
        <is>
          <t>Mean</t>
        </is>
      </c>
      <c r="Q46" s="4" t="inlineStr">
        <is>
          <t>Mean</t>
        </is>
      </c>
      <c r="R46" s="4" t="inlineStr">
        <is>
          <t>Mean</t>
        </is>
      </c>
      <c r="S46" s="4" t="inlineStr">
        <is>
          <t>Mean</t>
        </is>
      </c>
    </row>
    <row r="47">
      <c r="F47" t="inlineStr">
        <is>
          <t>Numeric export question</t>
        </is>
      </c>
      <c r="G47" s="16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5.5</v>
      </c>
      <c r="H47" s="1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5.5</v>
      </c>
      <c r="I47" s="16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5.5</v>
      </c>
      <c r="J47" s="16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5.5</v>
      </c>
      <c r="K47" s="16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5.5</v>
      </c>
      <c r="L47" s="16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5.5</v>
      </c>
      <c r="M47" s="16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5.5</v>
      </c>
      <c r="N47" s="16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5.5</v>
      </c>
      <c r="O47" s="16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5.5</v>
      </c>
      <c r="P47" s="16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5.5</v>
      </c>
      <c r="Q47" s="16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5.5</v>
      </c>
      <c r="R47" s="1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5.5</v>
      </c>
      <c r="S47" s="16">
        <f>IF(All_Questions_Q_NUM_EXPORT_CT="(None)","",IFERROR(AVERAGEIFS(Q_NUM_EXPORT_data,Q_NUM_EXPORT_data,"&lt;&gt;",passes_workbook_filters_data,1,passes_workbook_custom_filters_data,1,All_Questions_passes_local_filters_data,1,All_Questions_Q_NUM_EXPORT_F_passes_per_q_filter_data,1),""))</f>
        <v>5.5</v>
      </c>
    </row>
    <row r="48">
      <c r="F48" s="4" t="inlineStr">
        <is>
          <t>Total respondents</t>
        </is>
      </c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  <c r="Q48" s="2" t="n"/>
      <c r="R48" s="2" t="n"/>
      <c r="S48" s="2">
        <f>IF(All_Questions_Q_NUM_EXPORT_CT="(None)","",COUNTIFS(respondent_id_data,"&lt;&gt;",passes_workbook_filters_data,1,passes_workbook_custom_filters_data,1,All_Questions_passes_local_filters_data,1,All_Questions_Q_NUM_EXPORT_F_passes_per_q_filter_data,1))</f>
        <v>0</v>
      </c>
    </row>
    <row r="49"/>
    <row r="50">
      <c r="A50" s="11" t="n"/>
      <c r="B50" s="11" t="n"/>
      <c r="C50" s="11" t="n"/>
      <c r="D50" s="11" t="n"/>
      <c r="E50" s="11" t="n"/>
      <c r="F50" s="11" t="n"/>
      <c r="G50" s="11" t="n"/>
      <c r="H50" s="11" t="n"/>
      <c r="I50" s="11" t="n"/>
      <c r="J50" s="11" t="n"/>
    </row>
    <row r="51">
      <c r="A51" s="12" t="inlineStr">
        <is>
          <t>Q_GRID_EXPORT - Grid export question</t>
        </is>
      </c>
      <c r="B51" s="12" t="n"/>
      <c r="C51" s="12" t="n"/>
      <c r="D51" s="12" t="n"/>
      <c r="E51" s="12" t="n"/>
      <c r="F51" s="12" t="n"/>
      <c r="G51" s="12" t="n"/>
      <c r="H51" s="12" t="n"/>
      <c r="I51" s="12" t="n"/>
      <c r="J51" s="12" t="n"/>
      <c r="K51" s="12" t="n"/>
      <c r="L51" s="12" t="n"/>
      <c r="M51" s="12" t="n"/>
      <c r="N51" s="12" t="n"/>
    </row>
    <row r="52">
      <c r="A52" s="13" t="inlineStr">
        <is>
          <t>Per-question filter</t>
        </is>
      </c>
      <c r="B52" t="inlineStr">
        <is>
          <t>Filter Q</t>
        </is>
      </c>
      <c r="C52" t="inlineStr">
        <is>
          <t>(None)</t>
        </is>
      </c>
      <c r="D52" t="inlineStr">
        <is>
          <t>Value</t>
        </is>
      </c>
      <c r="E52" t="inlineStr">
        <is>
          <t>(All)</t>
        </is>
      </c>
      <c r="F52" t="str">
        <f>IFERROR(INDEX(All_Questions_Value_Data_Names,MATCH(All_Questions_Q_GRID_EXPORT_F_Q&amp;"|"&amp;All_Questions_Q_GRID_EXPORT_F_V,All_Questions_Value_Keys,0)),IFERROR(INDEX(All_Questions_Data_Names,MATCH(All_Questions_Q_GRID_EXPORT_F_Q,All_Questions,0)),"'_RawData'!$A:$A"))</f>
        <v>respondent_id_data</v>
      </c>
      <c r="G52" t="str">
        <f>"|" &amp; SUBSTITUTE(All_Questions_Q_GRID_EXPORT_F_V, ", ", "|") &amp; "|"</f>
        <v>|(All)|</v>
      </c>
      <c r="H52" t="str">
        <f>IFERROR(INDEX(All_Questions_Value_Criteria,MATCH(All_Questions_Q_GRID_EXPORT_F_Q&amp;"|"&amp;All_Questions_Q_GRID_EXPORT_F_V,All_Questions_Value_Keys,0)),All_Questions_Q_GRID_EXPORT_F_V)</f>
        <v>(All)</v>
      </c>
    </row>
    <row r="53">
      <c r="A53" s="13" t="inlineStr">
        <is>
          <t>Cross-tab by</t>
        </is>
      </c>
      <c r="C53" t="inlineStr">
        <is>
          <t>(None)</t>
        </is>
      </c>
    </row>
    <row r="54"/>
    <row r="55">
      <c r="A55" s="4" t="inlineStr">
        <is>
          <t>Sub-question ID</t>
        </is>
      </c>
      <c r="B55" s="4" t="inlineStr">
        <is>
          <t>Sub-question</t>
        </is>
      </c>
      <c r="C55" s="4" t="inlineStr">
        <is>
          <t>High</t>
        </is>
      </c>
      <c r="D55" s="2" t="n"/>
      <c r="E55" s="4" t="inlineStr">
        <is>
          <t>Low</t>
        </is>
      </c>
      <c r="F55" s="2" t="n"/>
    </row>
    <row r="56">
      <c r="A56" s="2" t="inlineStr"/>
      <c r="B56" s="2" t="inlineStr"/>
      <c r="C56" s="4" t="inlineStr">
        <is>
          <t>Count</t>
        </is>
      </c>
      <c r="D56" s="4" t="inlineStr">
        <is>
          <t>%</t>
        </is>
      </c>
      <c r="E56" s="4" t="inlineStr">
        <is>
          <t>Count</t>
        </is>
      </c>
      <c r="F56" s="4" t="inlineStr">
        <is>
          <t>%</t>
        </is>
      </c>
    </row>
    <row r="57">
      <c r="A57" s="17" t="inlineStr">
        <is>
          <t>Q_GRID_EXPORTr1</t>
        </is>
      </c>
      <c r="B57" t="inlineStr">
        <is>
          <t>Grid first row</t>
        </is>
      </c>
      <c r="C57">
        <f>COUNTIFS(Q_GRID_EXPORTr1_data,"High",passes_workbook_filters_data,1,passes_workbook_custom_filters_data,1,All_Questions_passes_local_filters_data,1,All_Questions_Q_GRID_EXPORT_F_passes_per_q_filter_data,1)</f>
        <v>6</v>
      </c>
      <c r="D57" s="7">
        <f>IFERROR(C57/10,0)</f>
        <v>0.6</v>
      </c>
      <c r="E57">
        <f>COUNTIFS(Q_GRID_EXPORTr1_data,"Low",passes_workbook_filters_data,1,passes_workbook_custom_filters_data,1,All_Questions_passes_local_filters_data,1,All_Questions_Q_GRID_EXPORT_F_passes_per_q_filter_data,1)</f>
        <v>4</v>
      </c>
      <c r="F57" s="7">
        <f>IFERROR(E57/10,0)</f>
        <v>0.4</v>
      </c>
    </row>
    <row r="58">
      <c r="A58" s="17" t="inlineStr">
        <is>
          <t>Q_GRID_EXPORTr2</t>
        </is>
      </c>
      <c r="B58" t="inlineStr">
        <is>
          <t>Grid second row</t>
        </is>
      </c>
      <c r="C58">
        <f>COUNTIFS(Q_GRID_EXPORTr2_data,"High",passes_workbook_filters_data,1,passes_workbook_custom_filters_data,1,All_Questions_passes_local_filters_data,1,All_Questions_Q_GRID_EXPORT_F_passes_per_q_filter_data,1)</f>
        <v>5</v>
      </c>
      <c r="D58" s="7">
        <f>IFERROR(C58/10,0)</f>
        <v>0.5</v>
      </c>
      <c r="E58">
        <f>COUNTIFS(Q_GRID_EXPORTr2_data,"Low",passes_workbook_filters_data,1,passes_workbook_custom_filters_data,1,All_Questions_passes_local_filters_data,1,All_Questions_Q_GRID_EXPORT_F_passes_per_q_filter_data,1)</f>
        <v>5</v>
      </c>
      <c r="F58" s="7">
        <f>IFERROR(E58/10,0)</f>
        <v>0.5</v>
      </c>
    </row>
    <row r="59">
      <c r="A59" s="15" t="inlineStr">
        <is>
          <t>Total respondents</t>
        </is>
      </c>
      <c r="B59" s="15" t="n">
        <v>10</v>
      </c>
      <c r="C59" s="15" t="n"/>
      <c r="D59" s="15" t="n"/>
      <c r="E59" s="15" t="n"/>
      <c r="F59" s="15" t="n"/>
    </row>
    <row r="60">
      <c r="A60" s="4" t="inlineStr">
        <is>
          <t>Total responses</t>
        </is>
      </c>
      <c r="B60" s="4" t="n">
        <v>20</v>
      </c>
      <c r="C60" s="4" t="n"/>
      <c r="D60" s="4" t="n"/>
      <c r="E60" s="4" t="n"/>
      <c r="F60" s="4" t="n"/>
    </row>
    <row r="61"/>
    <row r="62">
      <c r="F62" s="4" t="inlineStr">
        <is>
          <t>Option</t>
        </is>
      </c>
      <c r="G62" s="2" t="str">
        <f>IF(All_Questions_Q_GRID_EXPORT_CT="(None)","",IFERROR(INDEX(INDIRECT(IFERROR(INDEX(Cross_Tab_Questions_Options_Names,MATCH(All_Questions_Q_GRID_EXPORT_CT,Cross_Tab_Questions,0)),"'_Options'!$E$2:$E$2")),2),""))</f>
        <v/>
      </c>
      <c r="H62" s="2" t="str">
        <f>IF(All_Questions_Q_GRID_EXPORT_CT="(None)","",IFERROR(INDEX(INDIRECT(IFERROR(INDEX(Cross_Tab_Questions_Options_Names,MATCH(All_Questions_Q_GRID_EXPORT_CT,Cross_Tab_Questions,0)),"'_Options'!$E$2:$E$2")),3),""))</f>
        <v/>
      </c>
      <c r="I62" s="2" t="str">
        <f>IF(All_Questions_Q_GRID_EXPORT_CT="(None)","",IFERROR(INDEX(INDIRECT(IFERROR(INDEX(Cross_Tab_Questions_Options_Names,MATCH(All_Questions_Q_GRID_EXPORT_CT,Cross_Tab_Questions,0)),"'_Options'!$E$2:$E$2")),4),""))</f>
        <v/>
      </c>
      <c r="J62" s="2" t="str">
        <f>IF(All_Questions_Q_GRID_EXPORT_CT="(None)","",IFERROR(INDEX(INDIRECT(IFERROR(INDEX(Cross_Tab_Questions_Options_Names,MATCH(All_Questions_Q_GRID_EXPORT_CT,Cross_Tab_Questions,0)),"'_Options'!$E$2:$E$2")),5),""))</f>
        <v/>
      </c>
      <c r="K62" s="2" t="str">
        <f>IF(All_Questions_Q_GRID_EXPORT_CT="(None)","",IFERROR(INDEX(INDIRECT(IFERROR(INDEX(Cross_Tab_Questions_Options_Names,MATCH(All_Questions_Q_GRID_EXPORT_CT,Cross_Tab_Questions,0)),"'_Options'!$E$2:$E$2")),6),""))</f>
        <v/>
      </c>
      <c r="L62" s="2" t="str">
        <f>IF(All_Questions_Q_GRID_EXPORT_CT="(None)","",IFERROR(INDEX(INDIRECT(IFERROR(INDEX(Cross_Tab_Questions_Options_Names,MATCH(All_Questions_Q_GRID_EXPORT_CT,Cross_Tab_Questions,0)),"'_Options'!$E$2:$E$2")),7),""))</f>
        <v/>
      </c>
      <c r="M62" s="2" t="str">
        <f>IF(All_Questions_Q_GRID_EXPORT_CT="(None)","",IFERROR(INDEX(INDIRECT(IFERROR(INDEX(Cross_Tab_Questions_Options_Names,MATCH(All_Questions_Q_GRID_EXPORT_CT,Cross_Tab_Questions,0)),"'_Options'!$E$2:$E$2")),8),""))</f>
        <v/>
      </c>
      <c r="N62" s="2" t="str">
        <f>IF(All_Questions_Q_GRID_EXPORT_CT="(None)","",IFERROR(INDEX(INDIRECT(IFERROR(INDEX(Cross_Tab_Questions_Options_Names,MATCH(All_Questions_Q_GRID_EXPORT_CT,Cross_Tab_Questions,0)),"'_Options'!$E$2:$E$2")),9),""))</f>
        <v/>
      </c>
      <c r="O62" s="2" t="str">
        <f>IF(All_Questions_Q_GRID_EXPORT_CT="(None)","",IFERROR(INDEX(INDIRECT(IFERROR(INDEX(Cross_Tab_Questions_Options_Names,MATCH(All_Questions_Q_GRID_EXPORT_CT,Cross_Tab_Questions,0)),"'_Options'!$E$2:$E$2")),10),""))</f>
        <v/>
      </c>
      <c r="P62" s="2" t="str">
        <f>IF(All_Questions_Q_GRID_EXPORT_CT="(None)","",IFERROR(INDEX(INDIRECT(IFERROR(INDEX(Cross_Tab_Questions_Options_Names,MATCH(All_Questions_Q_GRID_EXPORT_CT,Cross_Tab_Questions,0)),"'_Options'!$E$2:$E$2")),11),""))</f>
        <v/>
      </c>
      <c r="Q62" s="2" t="str">
        <f>IF(All_Questions_Q_GRID_EXPORT_CT="(None)","",IFERROR(INDEX(INDIRECT(IFERROR(INDEX(Cross_Tab_Questions_Options_Names,MATCH(All_Questions_Q_GRID_EXPORT_CT,Cross_Tab_Questions,0)),"'_Options'!$E$2:$E$2")),12),""))</f>
        <v/>
      </c>
      <c r="R62" s="2" t="str">
        <f>IF(All_Questions_Q_GRID_EXPORT_CT="(None)","",IF(COUNTA(INDIRECT(IFERROR(INDEX(Cross_Tab_Questions_Options_Names,MATCH(All_Questions_Q_GRID_EXPORT_CT,Cross_Tab_Questions,0)),"'_Options'!$E$2:$E$2")))-1&gt;11,"Other",IFERROR(INDEX(INDIRECT(IFERROR(INDEX(Cross_Tab_Questions_Options_Names,MATCH(All_Questions_Q_GRID_EXPORT_CT,Cross_Tab_Questions,0)),"'_Options'!$E$2:$E$2")),13),"")))</f>
        <v/>
      </c>
      <c r="S62" s="4" t="inlineStr">
        <is>
          <t>Total</t>
        </is>
      </c>
    </row>
    <row r="63">
      <c r="F63" s="4" t="inlineStr"/>
      <c r="G63" s="4" t="inlineStr">
        <is>
          <t># of resp</t>
        </is>
      </c>
      <c r="H63" s="4" t="inlineStr">
        <is>
          <t># of resp</t>
        </is>
      </c>
      <c r="I63" s="4" t="inlineStr">
        <is>
          <t># of resp</t>
        </is>
      </c>
      <c r="J63" s="4" t="inlineStr">
        <is>
          <t># of resp</t>
        </is>
      </c>
      <c r="K63" s="4" t="inlineStr">
        <is>
          <t># of resp</t>
        </is>
      </c>
      <c r="L63" s="4" t="inlineStr">
        <is>
          <t># of resp</t>
        </is>
      </c>
      <c r="M63" s="4" t="inlineStr">
        <is>
          <t># of resp</t>
        </is>
      </c>
      <c r="N63" s="4" t="inlineStr">
        <is>
          <t># of resp</t>
        </is>
      </c>
      <c r="O63" s="4" t="inlineStr">
        <is>
          <t># of resp</t>
        </is>
      </c>
      <c r="P63" s="4" t="inlineStr">
        <is>
          <t># of resp</t>
        </is>
      </c>
      <c r="Q63" s="4" t="inlineStr">
        <is>
          <t># of resp</t>
        </is>
      </c>
      <c r="R63" s="4" t="inlineStr">
        <is>
          <t># of resp</t>
        </is>
      </c>
      <c r="S63" s="4" t="inlineStr">
        <is>
          <t># of resp</t>
        </is>
      </c>
    </row>
    <row r="64">
      <c r="F64" t="inlineStr">
        <is>
          <t>Grid first row</t>
        </is>
      </c>
      <c r="G64" s="14">
        <f>IF(OR(All_Questions_Q_GRID_EXPORT_CT="(None)",G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4" s="14">
        <f>IF(OR(All_Questions_Q_GRID_EXPORT_CT="(None)",H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4" s="14">
        <f>IF(OR(All_Questions_Q_GRID_EXPORT_CT="(None)",I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4" s="14">
        <f>IF(OR(All_Questions_Q_GRID_EXPORT_CT="(None)",J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4" s="14">
        <f>IF(OR(All_Questions_Q_GRID_EXPORT_CT="(None)",K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4" s="14">
        <f>IF(OR(All_Questions_Q_GRID_EXPORT_CT="(None)",L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4" s="14">
        <f>IF(OR(All_Questions_Q_GRID_EXPORT_CT="(None)",M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4" s="14">
        <f>IF(OR(All_Questions_Q_GRID_EXPORT_CT="(None)",N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4" s="14">
        <f>IF(OR(All_Questions_Q_GRID_EXPORT_CT="(None)",O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4" s="14">
        <f>IF(OR(All_Questions_Q_GRID_EXPORT_CT="(None)",P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4" s="14">
        <f>IF(OR(All_Questions_Q_GRID_EXPORT_CT="(None)",Q$62=""),""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4" s="14">
        <f>IF(OR(All_Questions_Q_GRID_EXPORT_CT="(None)",R$62=""),"",IF(R$62="Other",COUNTIFS(Q_GRID_EXPORTr1_data,"Selected",passes_workbook_filters_data,1,passes_workbook_custom_filters_data,1,All_Questions_passes_local_filters_data,1,All_Questions_Q_GRID_EXPORT_F_passes_per_q_filter_data,1)-SUM(G64,H64,I64,J64,K64,L64,M64,N64,O64,P64,Q64),COUNTIFS(Q_GRID_EXPORTr1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4" s="14">
        <f>IF(All_Questions_Q_GRID_EXPORT_CT="(None)","",COUNTIFS(Q_GRID_EXPORTr1_data,"Selected",passes_workbook_filters_data,1,passes_workbook_custom_filters_data,1,All_Questions_passes_local_filters_data,1,All_Questions_Q_GRID_EXPORT_F_passes_per_q_filter_data,1))</f>
        <v>0</v>
      </c>
    </row>
    <row r="65">
      <c r="F65" t="inlineStr">
        <is>
          <t>Grid second row</t>
        </is>
      </c>
      <c r="G65" s="14">
        <f>IF(OR(All_Questions_Q_GRID_EXPORT_CT="(None)",G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G$62))</f>
        <v>0</v>
      </c>
      <c r="H65" s="14">
        <f>IF(OR(All_Questions_Q_GRID_EXPORT_CT="(None)",H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H$62))</f>
        <v>0</v>
      </c>
      <c r="I65" s="14">
        <f>IF(OR(All_Questions_Q_GRID_EXPORT_CT="(None)",I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I$62))</f>
        <v>0</v>
      </c>
      <c r="J65" s="14">
        <f>IF(OR(All_Questions_Q_GRID_EXPORT_CT="(None)",J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J$62))</f>
        <v>0</v>
      </c>
      <c r="K65" s="14">
        <f>IF(OR(All_Questions_Q_GRID_EXPORT_CT="(None)",K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K$62))</f>
        <v>0</v>
      </c>
      <c r="L65" s="14">
        <f>IF(OR(All_Questions_Q_GRID_EXPORT_CT="(None)",L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L$62))</f>
        <v>0</v>
      </c>
      <c r="M65" s="14">
        <f>IF(OR(All_Questions_Q_GRID_EXPORT_CT="(None)",M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M$62))</f>
        <v>0</v>
      </c>
      <c r="N65" s="14">
        <f>IF(OR(All_Questions_Q_GRID_EXPORT_CT="(None)",N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N$62))</f>
        <v>0</v>
      </c>
      <c r="O65" s="14">
        <f>IF(OR(All_Questions_Q_GRID_EXPORT_CT="(None)",O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O$62))</f>
        <v>0</v>
      </c>
      <c r="P65" s="14">
        <f>IF(OR(All_Questions_Q_GRID_EXPORT_CT="(None)",P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P$62))</f>
        <v>0</v>
      </c>
      <c r="Q65" s="14">
        <f>IF(OR(All_Questions_Q_GRID_EXPORT_CT="(None)",Q$62=""),""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Q$62))</f>
        <v>0</v>
      </c>
      <c r="R65" s="14">
        <f>IF(OR(All_Questions_Q_GRID_EXPORT_CT="(None)",R$62=""),"",IF(R$62="Other",COUNTIFS(Q_GRID_EXPORTr2_data,"Selected",passes_workbook_filters_data,1,passes_workbook_custom_filters_data,1,All_Questions_passes_local_filters_data,1,All_Questions_Q_GRID_EXPORT_F_passes_per_q_filter_data,1)-SUM(G65,H65,I65,J65,K65,L65,M65,N65,O65,P65,Q65),COUNTIFS(Q_GRID_EXPORTr2_data,"Selected",passes_workbook_filters_data,1,passes_workbook_custom_filters_data,1,All_Questions_passes_local_filters_data,1,All_Questions_Q_GRID_EXPORT_F_passes_per_q_filter_data,1,INDIRECT(IFERROR(INDEX(Cross_Tab_Questions_Data_Names,MATCH(All_Questions_Q_GRID_EXPORT_CT,Cross_Tab_Questions,0)),"'_RawData'!$A:$A")),R$62)))</f>
        <v>0</v>
      </c>
      <c r="S65" s="14">
        <f>IF(All_Questions_Q_GRID_EXPORT_CT="(None)","",COUNTIFS(Q_GRID_EXPORTr2_data,"Selected",passes_workbook_filters_data,1,passes_workbook_custom_filters_data,1,All_Questions_passes_local_filters_data,1,All_Questions_Q_GRID_EXPORT_F_passes_per_q_filter_data,1))</f>
        <v>0</v>
      </c>
    </row>
    <row r="66">
      <c r="F66" s="4" t="inlineStr">
        <is>
          <t>Total respondents</t>
        </is>
      </c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  <c r="Q66" s="2" t="n"/>
      <c r="R66" s="2" t="n"/>
      <c r="S66" s="2">
        <f>IF(All_Questions_Q_GRID_EXPORT_CT="(None)","",COUNTIFS(respondent_id_data,"&lt;&gt;",passes_workbook_filters_data,1,passes_workbook_custom_filters_data,1,All_Questions_passes_local_filters_data,1,All_Questions_Q_GRID_EXPORT_F_passes_per_q_filter_data,1))</f>
        <v>0</v>
      </c>
    </row>
    <row r="67"/>
    <row r="68">
      <c r="A68" s="11" t="n"/>
      <c r="B68" s="11" t="n"/>
      <c r="C68" s="11" t="n"/>
      <c r="D68" s="11" t="n"/>
      <c r="E68" s="11" t="n"/>
      <c r="F68" s="11" t="n"/>
      <c r="G68" s="11" t="n"/>
      <c r="H68" s="11" t="n"/>
      <c r="I68" s="11" t="n"/>
      <c r="J68" s="11" t="n"/>
    </row>
    <row r="69">
      <c r="A69" s="12" t="inlineStr">
        <is>
          <t>Q_VERY_LONG_SINGLE_SELECT_EXPORT_NAME - Long sheet name export question</t>
        </is>
      </c>
      <c r="B69" s="12" t="n"/>
      <c r="C69" s="12" t="n"/>
      <c r="D69" s="12" t="n"/>
      <c r="E69" s="12" t="n"/>
      <c r="F69" s="12" t="n"/>
      <c r="G69" s="12" t="n"/>
      <c r="H69" s="12" t="n"/>
      <c r="I69" s="12" t="n"/>
      <c r="J69" s="12" t="n"/>
      <c r="K69" s="12" t="n"/>
      <c r="L69" s="12" t="n"/>
      <c r="M69" s="12" t="n"/>
      <c r="N69" s="12" t="n"/>
    </row>
    <row r="70">
      <c r="A70" s="13" t="inlineStr">
        <is>
          <t>Per-question filter</t>
        </is>
      </c>
      <c r="B70" t="inlineStr">
        <is>
          <t>Filter Q</t>
        </is>
      </c>
      <c r="C70" t="inlineStr">
        <is>
          <t>(None)</t>
        </is>
      </c>
      <c r="D70" t="inlineStr">
        <is>
          <t>Value</t>
        </is>
      </c>
      <c r="E70" t="inlineStr">
        <is>
          <t>(All)</t>
        </is>
      </c>
      <c r="F70" t="str">
        <f>IFERROR(INDEX(All_Questions_Value_Data_Names,MATCH(All_Questions_Q_VERY_LONG_SINGLE_SELECT_EXPORT_NAME_F_Q&amp;"|"&amp;All_Questions_Q_VERY_LONG_SINGLE_SELECT_EXPORT_NAME_F_V,All_Questions_Value_Keys,0)),IFERROR(INDEX(All_Questions_Data_Names,MATCH(All_Questions_Q_VERY_LONG_SINGLE_SELECT_EXPORT_NAME_F_Q,All_Questions,0)),"'_RawData'!$A:$A"))</f>
        <v>respondent_id_data</v>
      </c>
      <c r="G70" t="str">
        <f>"|" &amp; SUBSTITUTE(All_Questions_Q_VERY_LONG_SINGLE_SELECT_EXPORT_NAME_F_V, ", ", "|") &amp; "|"</f>
        <v>|(All)|</v>
      </c>
      <c r="H70" t="str">
        <f>IFERROR(INDEX(All_Questions_Value_Criteria,MATCH(All_Questions_Q_VERY_LONG_SINGLE_SELECT_EXPORT_NAME_F_Q&amp;"|"&amp;All_Questions_Q_VERY_LONG_SINGLE_SELECT_EXPORT_NAME_F_V,All_Questions_Value_Keys,0)),All_Questions_Q_VERY_LONG_SINGLE_SELECT_EXPORT_NAME_F_V)</f>
        <v>(All)</v>
      </c>
    </row>
    <row r="71">
      <c r="A71" s="13" t="inlineStr">
        <is>
          <t>Cross-tab by</t>
        </is>
      </c>
      <c r="C71" t="inlineStr">
        <is>
          <t>(None)</t>
        </is>
      </c>
    </row>
    <row r="72"/>
    <row r="73">
      <c r="A73" s="4" t="inlineStr">
        <is>
          <t>Option</t>
        </is>
      </c>
      <c r="B73" s="4" t="inlineStr">
        <is>
          <t>Count</t>
        </is>
      </c>
      <c r="C73" s="4" t="inlineStr">
        <is>
          <t>%</t>
        </is>
      </c>
      <c r="D73" s="4" t="inlineStr">
        <is>
          <t>Denominator</t>
        </is>
      </c>
      <c r="F73" s="4" t="inlineStr">
        <is>
          <t>Option</t>
        </is>
      </c>
      <c r="G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IF(All_Questions_Q_VERY_LONG_SINGLE_SELECT_EXPORT_NAME_CT="(None)","",IFERROR(INDEX(INDIRECT(IFERROR(INDEX(Cross_Tab_Questions_Options_Names,MATCH(All_Questions_Q_VERY_LONG_SINGLE_SELECT_EXPORT_NAME_CT,Cross_Tab_Questions,0)),"'_Options'!$E$2:$E$2")),2),""))</f>
        <v/>
      </c>
      <c r="H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IF(All_Questions_Q_VERY_LONG_SINGLE_SELECT_EXPORT_NAME_CT="(None)","",IFERROR(INDEX(INDIRECT(IFERROR(INDEX(Cross_Tab_Questions_Options_Names,MATCH(All_Questions_Q_VERY_LONG_SINGLE_SELECT_EXPORT_NAME_CT,Cross_Tab_Questions,0)),"'_Options'!$E$2:$E$2")),3),""))</f>
        <v/>
      </c>
      <c r="I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IF(All_Questions_Q_VERY_LONG_SINGLE_SELECT_EXPORT_NAME_CT="(None)","",IFERROR(INDEX(INDIRECT(IFERROR(INDEX(Cross_Tab_Questions_Options_Names,MATCH(All_Questions_Q_VERY_LONG_SINGLE_SELECT_EXPORT_NAME_CT,Cross_Tab_Questions,0)),"'_Options'!$E$2:$E$2")),4),""))</f>
        <v/>
      </c>
      <c r="J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IF(All_Questions_Q_VERY_LONG_SINGLE_SELECT_EXPORT_NAME_CT="(None)","",IFERROR(INDEX(INDIRECT(IFERROR(INDEX(Cross_Tab_Questions_Options_Names,MATCH(All_Questions_Q_VERY_LONG_SINGLE_SELECT_EXPORT_NAME_CT,Cross_Tab_Questions,0)),"'_Options'!$E$2:$E$2")),5),""))</f>
        <v/>
      </c>
      <c r="K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IF(All_Questions_Q_VERY_LONG_SINGLE_SELECT_EXPORT_NAME_CT="(None)","",IFERROR(INDEX(INDIRECT(IFERROR(INDEX(Cross_Tab_Questions_Options_Names,MATCH(All_Questions_Q_VERY_LONG_SINGLE_SELECT_EXPORT_NAME_CT,Cross_Tab_Questions,0)),"'_Options'!$E$2:$E$2")),6),""))</f>
        <v/>
      </c>
      <c r="L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IF(All_Questions_Q_VERY_LONG_SINGLE_SELECT_EXPORT_NAME_CT="(None)","",IFERROR(INDEX(INDIRECT(IFERROR(INDEX(Cross_Tab_Questions_Options_Names,MATCH(All_Questions_Q_VERY_LONG_SINGLE_SELECT_EXPORT_NAME_CT,Cross_Tab_Questions,0)),"'_Options'!$E$2:$E$2")),7),""))</f>
        <v/>
      </c>
      <c r="M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IF(All_Questions_Q_VERY_LONG_SINGLE_SELECT_EXPORT_NAME_CT="(None)","",IFERROR(INDEX(INDIRECT(IFERROR(INDEX(Cross_Tab_Questions_Options_Names,MATCH(All_Questions_Q_VERY_LONG_SINGLE_SELECT_EXPORT_NAME_CT,Cross_Tab_Questions,0)),"'_Options'!$E$2:$E$2")),8),""))</f>
        <v/>
      </c>
      <c r="N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IF(All_Questions_Q_VERY_LONG_SINGLE_SELECT_EXPORT_NAME_CT="(None)","",IFERROR(INDEX(INDIRECT(IFERROR(INDEX(Cross_Tab_Questions_Options_Names,MATCH(All_Questions_Q_VERY_LONG_SINGLE_SELECT_EXPORT_NAME_CT,Cross_Tab_Questions,0)),"'_Options'!$E$2:$E$2")),9),""))</f>
        <v/>
      </c>
      <c r="O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IF(All_Questions_Q_VERY_LONG_SINGLE_SELECT_EXPORT_NAME_CT="(None)","",IFERROR(INDEX(INDIRECT(IFERROR(INDEX(Cross_Tab_Questions_Options_Names,MATCH(All_Questions_Q_VERY_LONG_SINGLE_SELECT_EXPORT_NAME_CT,Cross_Tab_Questions,0)),"'_Options'!$E$2:$E$2")),10),""))</f>
        <v/>
      </c>
      <c r="P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IF(All_Questions_Q_VERY_LONG_SINGLE_SELECT_EXPORT_NAME_CT="(None)","",IFERROR(INDEX(INDIRECT(IFERROR(INDEX(Cross_Tab_Questions_Options_Names,MATCH(All_Questions_Q_VERY_LONG_SINGLE_SELECT_EXPORT_NAME_CT,Cross_Tab_Questions,0)),"'_Options'!$E$2:$E$2")),11),""))</f>
        <v/>
      </c>
      <c r="Q73" s="2" t="str">
        <f>IF(All_Questions_Q_VERY_LONG_SINGLE_SELECT_EXPORT_NAME_CT="(None)","",IFERROR(INDEX(INDIRECT(IFERROR(INDEX(Cross_Tab_Questions_Options_Names,MATCH(All_Questions_Q_VERY_LONG_SINGLE_SELECT_EXPORT_NAME_CT,Cross_Tab_Questions,0)),"'_Options'!$E$2:$E$2")),12),""))</f>
        <v/>
      </c>
      <c r="R73" s="2" t="str">
        <f>IF(All_Questions_Q_VERY_LONG_SINGLE_SELECT_EXPORT_NAME_CT="(None)","",IF(COUNTA(INDIRECT(IFERROR(INDEX(Cross_Tab_Questions_Options_Names,MATCH(All_Questions_Q_VERY_LONG_SINGLE_SELECT_EXPORT_NAME_CT,Cross_Tab_Questions,0)),"'_Options'!$E$2:$E$2")))-1&gt;11,"Other",IFERROR(INDEX(INDIRECT(IFERROR(INDEX(Cross_Tab_Questions_Options_Names,MATCH(All_Questions_Q_VERY_LONG_SINGLE_SELECT_EXPORT_NAME_CT,Cross_Tab_Questions,0)),"'_Options'!$E$2:$E$2")),13),"")))</f>
        <v/>
      </c>
      <c r="S73" s="4" t="inlineStr">
        <is>
          <t>Total</t>
        </is>
      </c>
    </row>
    <row r="74">
      <c r="A74" t="inlineStr">
        <is>
          <t>A</t>
        </is>
      </c>
      <c r="B74">
        <f>COUNTIFS(Q_VERY_LONG_SINGLE_SELECT_EXPOR_data,"A",passes_workbook_filters_data,1,passes_workbook_custom_filters_data,1,All_Questions_passes_local_filters_data,1,All_Questions_Q_VERY_LONG_SINGLE_SELECT_EXPORT_NAME_F_passes_per_q_filter_data,1)</f>
        <v>7</v>
      </c>
      <c r="C74" s="7">
        <f>IFERROR(B74/SUBTOTAL(9,B74:B75),0)</f>
        <v>0.7</v>
      </c>
      <c r="D74" s="14">
        <f>SUBTOTAL(9,B74:B75)</f>
        <v>10</v>
      </c>
      <c r="F74" s="4" t="inlineStr"/>
      <c r="G74" s="4" t="inlineStr">
        <is>
          <t># of resp</t>
        </is>
      </c>
      <c r="H74" s="4" t="inlineStr">
        <is>
          <t># of resp</t>
        </is>
      </c>
      <c r="I74" s="4" t="inlineStr">
        <is>
          <t># of resp</t>
        </is>
      </c>
      <c r="J74" s="4" t="inlineStr">
        <is>
          <t># of resp</t>
        </is>
      </c>
      <c r="K74" s="4" t="inlineStr">
        <is>
          <t># of resp</t>
        </is>
      </c>
      <c r="L74" s="4" t="inlineStr">
        <is>
          <t># of resp</t>
        </is>
      </c>
      <c r="M74" s="4" t="inlineStr">
        <is>
          <t># of resp</t>
        </is>
      </c>
      <c r="N74" s="4" t="inlineStr">
        <is>
          <t># of resp</t>
        </is>
      </c>
      <c r="O74" s="4" t="inlineStr">
        <is>
          <t># of resp</t>
        </is>
      </c>
      <c r="P74" s="4" t="inlineStr">
        <is>
          <t># of resp</t>
        </is>
      </c>
      <c r="Q74" s="4" t="inlineStr">
        <is>
          <t># of resp</t>
        </is>
      </c>
      <c r="R74" s="4" t="inlineStr">
        <is>
          <t># of resp</t>
        </is>
      </c>
      <c r="S74" s="4" t="inlineStr">
        <is>
          <t># of resp</t>
        </is>
      </c>
    </row>
    <row r="75">
      <c r="A75" t="inlineStr">
        <is>
          <t>B</t>
        </is>
      </c>
      <c r="B75">
        <f>COUNTIFS(Q_VERY_LONG_SINGLE_SELECT_EXPOR_data,"B",passes_workbook_filters_data,1,passes_workbook_custom_filters_data,1,All_Questions_passes_local_filters_data,1,All_Questions_Q_VERY_LONG_SINGLE_SELECT_EXPORT_NAME_F_passes_per_q_filter_data,1)</f>
        <v>3</v>
      </c>
      <c r="C75" s="7">
        <f>IFERROR(B75/SUBTOTAL(9,B74:B75),0)</f>
        <v>0.3</v>
      </c>
      <c r="D75" s="14">
        <f>SUBTOTAL(9,B74:B75)</f>
        <v>10</v>
      </c>
      <c r="F75" t="inlineStr">
        <is>
          <t>A</t>
        </is>
      </c>
      <c r="G75" s="14">
        <f>IF(OR(All_Questions_Q_VERY_LONG_SINGLE_SELECT_EXPORT_NAME_CT="(None)",G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5" s="14">
        <f>IF(OR(All_Questions_Q_VERY_LONG_SINGLE_SELECT_EXPORT_NAME_CT="(None)",H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5" s="14">
        <f>IF(OR(All_Questions_Q_VERY_LONG_SINGLE_SELECT_EXPORT_NAME_CT="(None)",I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5" s="14">
        <f>IF(OR(All_Questions_Q_VERY_LONG_SINGLE_SELECT_EXPORT_NAME_CT="(None)",J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5" s="14">
        <f>IF(OR(All_Questions_Q_VERY_LONG_SINGLE_SELECT_EXPORT_NAME_CT="(None)",K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5" s="14">
        <f>IF(OR(All_Questions_Q_VERY_LONG_SINGLE_SELECT_EXPORT_NAME_CT="(None)",L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5" s="14">
        <f>IF(OR(All_Questions_Q_VERY_LONG_SINGLE_SELECT_EXPORT_NAME_CT="(None)",M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5" s="14">
        <f>IF(OR(All_Questions_Q_VERY_LONG_SINGLE_SELECT_EXPORT_NAME_CT="(None)",N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5" s="14">
        <f>IF(OR(All_Questions_Q_VERY_LONG_SINGLE_SELECT_EXPORT_NAME_CT="(None)",O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5" s="14">
        <f>IF(OR(All_Questions_Q_VERY_LONG_SINGLE_SELECT_EXPORT_NAME_CT="(None)",P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5" s="14">
        <f>IF(OR(All_Questions_Q_VERY_LONG_SINGLE_SELECT_EXPORT_NAME_CT="(None)",Q$73=""),""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5" s="14">
        <f>IF(OR(All_Questions_Q_VERY_LONG_SINGLE_SELECT_EXPORT_NAME_CT="(None)",R$73=""),"",IF(R$73="Other",COUNTIFS(Q_VERY_LONG_SINGLE_SELECT_EXPOR_data,"A",passes_workbook_filters_data,1,passes_workbook_custom_filters_data,1,All_Questions_passes_local_filters_data,1,All_Questions_Q_VERY_LONG_SINGLE_SELECT_EXPORT_NAME_F_passes_per_q_filter_data,1)-SUM(G75,H75,I75,J75,K75,L75,M75,N75,O75,P75,Q75),COUNTIFS(Q_VERY_LONG_SINGLE_SELECT_EXPOR_data,"A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5" s="14">
        <f>IF(All_Questions_Q_VERY_LONG_SINGLE_SELECT_EXPORT_NAME_CT="(None)","",COUNTIFS(Q_VERY_LONG_SINGLE_SELECT_EXPOR_data,"A",passes_workbook_filters_data,1,passes_workbook_custom_filters_data,1,All_Questions_passes_local_filters_data,1,All_Questions_Q_VERY_LONG_SINGLE_SELECT_EXPORT_NAME_F_passes_per_q_filter_data,1))</f>
        <v>0</v>
      </c>
    </row>
    <row r="76">
      <c r="A76" s="15" t="inlineStr">
        <is>
          <t>Total respondents</t>
        </is>
      </c>
      <c r="B76" s="15" t="n">
        <v>10</v>
      </c>
      <c r="C76" s="15" t="n"/>
      <c r="D76" s="15" t="n"/>
      <c r="F76" t="inlineStr">
        <is>
          <t>B</t>
        </is>
      </c>
      <c r="G76" s="14">
        <f>IF(OR(All_Questions_Q_VERY_LONG_SINGLE_SELECT_EXPORT_NAME_CT="(None)",G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G$73))</f>
        <v>0</v>
      </c>
      <c r="H76" s="14">
        <f>IF(OR(All_Questions_Q_VERY_LONG_SINGLE_SELECT_EXPORT_NAME_CT="(None)",H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H$73))</f>
        <v>0</v>
      </c>
      <c r="I76" s="14">
        <f>IF(OR(All_Questions_Q_VERY_LONG_SINGLE_SELECT_EXPORT_NAME_CT="(None)",I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I$73))</f>
        <v>0</v>
      </c>
      <c r="J76" s="14">
        <f>IF(OR(All_Questions_Q_VERY_LONG_SINGLE_SELECT_EXPORT_NAME_CT="(None)",J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J$73))</f>
        <v>0</v>
      </c>
      <c r="K76" s="14">
        <f>IF(OR(All_Questions_Q_VERY_LONG_SINGLE_SELECT_EXPORT_NAME_CT="(None)",K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K$73))</f>
        <v>0</v>
      </c>
      <c r="L76" s="14">
        <f>IF(OR(All_Questions_Q_VERY_LONG_SINGLE_SELECT_EXPORT_NAME_CT="(None)",L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L$73))</f>
        <v>0</v>
      </c>
      <c r="M76" s="14">
        <f>IF(OR(All_Questions_Q_VERY_LONG_SINGLE_SELECT_EXPORT_NAME_CT="(None)",M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M$73))</f>
        <v>0</v>
      </c>
      <c r="N76" s="14">
        <f>IF(OR(All_Questions_Q_VERY_LONG_SINGLE_SELECT_EXPORT_NAME_CT="(None)",N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N$73))</f>
        <v>0</v>
      </c>
      <c r="O76" s="14">
        <f>IF(OR(All_Questions_Q_VERY_LONG_SINGLE_SELECT_EXPORT_NAME_CT="(None)",O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O$73))</f>
        <v>0</v>
      </c>
      <c r="P76" s="14">
        <f>IF(OR(All_Questions_Q_VERY_LONG_SINGLE_SELECT_EXPORT_NAME_CT="(None)",P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P$73))</f>
        <v>0</v>
      </c>
      <c r="Q76" s="14">
        <f>IF(OR(All_Questions_Q_VERY_LONG_SINGLE_SELECT_EXPORT_NAME_CT="(None)",Q$73=""),""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Q$73))</f>
        <v>0</v>
      </c>
      <c r="R76" s="14">
        <f>IF(OR(All_Questions_Q_VERY_LONG_SINGLE_SELECT_EXPORT_NAME_CT="(None)",R$73=""),"",IF(R$73="Other",COUNTIFS(Q_VERY_LONG_SINGLE_SELECT_EXPOR_data,"B",passes_workbook_filters_data,1,passes_workbook_custom_filters_data,1,All_Questions_passes_local_filters_data,1,All_Questions_Q_VERY_LONG_SINGLE_SELECT_EXPORT_NAME_F_passes_per_q_filter_data,1)-SUM(G76,H76,I76,J76,K76,L76,M76,N76,O76,P76,Q76),COUNTIFS(Q_VERY_LONG_SINGLE_SELECT_EXPOR_data,"B",passes_workbook_filters_data,1,passes_workbook_custom_filters_data,1,All_Questions_passes_local_filters_data,1,All_Questions_Q_VERY_LONG_SINGLE_SELECT_EXPORT_NAME_F_passes_per_q_filter_data,1,INDIRECT(IFERROR(INDEX(Cross_Tab_Questions_Data_Names,MATCH(All_Questions_Q_VERY_LONG_SINGLE_SELECT_EXPORT_NAME_CT,Cross_Tab_Questions,0)),"'_RawData'!$A:$A")),R$73)))</f>
        <v>0</v>
      </c>
      <c r="S76" s="14">
        <f>IF(All_Questions_Q_VERY_LONG_SINGLE_SELECT_EXPORT_NAME_CT="(None)","",COUNTIFS(Q_VERY_LONG_SINGLE_SELECT_EXPOR_data,"B",passes_workbook_filters_data,1,passes_workbook_custom_filters_data,1,All_Questions_passes_local_filters_data,1,All_Questions_Q_VERY_LONG_SINGLE_SELECT_EXPORT_NAME_F_passes_per_q_filter_data,1))</f>
        <v>0</v>
      </c>
    </row>
    <row r="77">
      <c r="F77" s="4" t="inlineStr">
        <is>
          <t>Total respondents</t>
        </is>
      </c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  <c r="Q77" s="2" t="n"/>
      <c r="R77" s="2" t="n"/>
      <c r="S77" s="2">
        <f>IF(All_Questions_Q_VERY_LONG_SINGLE_SELECT_EXPORT_NAME_CT="(None)","",COUNTIFS(respondent_id_data,"&lt;&gt;",passes_workbook_filters_data,1,passes_workbook_custom_filters_data,1,All_Questions_passes_local_filters_data,1,All_Questions_Q_VERY_LONG_SINGLE_SELECT_EXPORT_NAME_F_passes_per_q_filter_data,1))</f>
        <v>0</v>
      </c>
    </row>
  </sheetData>
  <mergeCells count="3">
    <mergeCell ref="C55:D55"/>
    <mergeCell ref="A1:J1"/>
    <mergeCell ref="E55:F55"/>
  </mergeCells>
  <conditionalFormatting sqref="B17:B18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8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8:G19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19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18:I19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18:J19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18:K19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18:L19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18:M19">
    <cfRule type="colorScale" priority="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18:N19">
    <cfRule type="colorScale" priority="1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8:O19">
    <cfRule type="colorScale" priority="1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18:P19">
    <cfRule type="colorScale" priority="1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18:Q19">
    <cfRule type="colorScale" priority="1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18:R19">
    <cfRule type="colorScale" priority="1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8:B29">
    <cfRule type="colorScale" priority="1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8:C29">
    <cfRule type="colorScale" priority="1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G30">
    <cfRule type="colorScale" priority="1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9:H30">
    <cfRule type="colorScale" priority="1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9:I30">
    <cfRule type="colorScale" priority="1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29:J30">
    <cfRule type="colorScale" priority="2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9:K30">
    <cfRule type="colorScale" priority="2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9:L30">
    <cfRule type="colorScale" priority="2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9:M30">
    <cfRule type="colorScale" priority="2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29:N30">
    <cfRule type="colorScale" priority="2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2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29:P30">
    <cfRule type="colorScale" priority="2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29:Q30">
    <cfRule type="colorScale" priority="2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29:R30">
    <cfRule type="colorScale" priority="2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47">
    <cfRule type="colorScale" priority="2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47">
    <cfRule type="colorScale" priority="3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47">
    <cfRule type="colorScale" priority="3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47">
    <cfRule type="colorScale" priority="3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47">
    <cfRule type="colorScale" priority="3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47">
    <cfRule type="colorScale" priority="3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47">
    <cfRule type="colorScale" priority="3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47">
    <cfRule type="colorScale" priority="3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47">
    <cfRule type="colorScale" priority="3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47">
    <cfRule type="colorScale" priority="3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47">
    <cfRule type="colorScale" priority="3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47">
    <cfRule type="colorScale" priority="4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D57:D58">
    <cfRule type="colorScale" priority="4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57:F58">
    <cfRule type="colorScale" priority="4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64:G65">
    <cfRule type="colorScale" priority="4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64:H65">
    <cfRule type="colorScale" priority="4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64:I65">
    <cfRule type="colorScale" priority="4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64:J65">
    <cfRule type="colorScale" priority="4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64:K65">
    <cfRule type="colorScale" priority="4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64:L65">
    <cfRule type="colorScale" priority="4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64:M65">
    <cfRule type="colorScale" priority="4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64:N65">
    <cfRule type="colorScale" priority="5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64:O65">
    <cfRule type="colorScale" priority="5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64:P65">
    <cfRule type="colorScale" priority="5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64:Q65">
    <cfRule type="colorScale" priority="5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64:R65">
    <cfRule type="colorScale" priority="5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74:B75">
    <cfRule type="colorScale" priority="5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74:C75">
    <cfRule type="colorScale" priority="5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75:G76">
    <cfRule type="colorScale" priority="5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75:H76">
    <cfRule type="colorScale" priority="5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75:I76">
    <cfRule type="colorScale" priority="59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J75:J76">
    <cfRule type="colorScale" priority="60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75:K76">
    <cfRule type="colorScale" priority="6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75:L76">
    <cfRule type="colorScale" priority="6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75:M76">
    <cfRule type="colorScale" priority="6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N75:N76">
    <cfRule type="colorScale" priority="6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75:O76">
    <cfRule type="colorScale" priority="6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P75:P76">
    <cfRule type="colorScale" priority="6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Q75:Q76">
    <cfRule type="colorScale" priority="6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R75:R76">
    <cfRule type="colorScale" priority="6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9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=INDIRECT(IFERROR(INDEX(All_Questions_Options_Names,MATCH(All_Questions_Q_SS_EXPORT_F_Q,All_Questions,0)),"'_Options'!$E$2:$E$2"))</formula1>
    </dataValidation>
    <dataValidation sqref="C14" showDropDown="0" showInputMessage="0" showErrorMessage="0" allowBlank="1" type="list">
      <formula1>=Cross_Tab_Questions</formula1>
    </dataValidation>
    <dataValidation sqref="C24" showDropDown="0" showInputMessage="0" showErrorMessage="0" allowBlank="1" type="list">
      <formula1>=All_Questions</formula1>
    </dataValidation>
    <dataValidation sqref="E24" showDropDown="0" showInputMessage="0" showErrorMessage="0" allowBlank="1" type="list">
      <formula1>=INDIRECT(IFERROR(INDEX(All_Questions_Options_Names,MATCH(All_Questions_Q_MS_EXPORT_F_Q,All_Questions,0)),"'_Options'!$E$2:$E$2"))</formula1>
    </dataValidation>
    <dataValidation sqref="C25" showDropDown="0" showInputMessage="0" showErrorMessage="0" allowBlank="1" type="list">
      <formula1>=Cross_Tab_Questions</formula1>
    </dataValidation>
    <dataValidation sqref="C35" showDropDown="0" showInputMessage="0" showErrorMessage="0" allowBlank="1" type="list">
      <formula1>=All_Questions</formula1>
    </dataValidation>
    <dataValidation sqref="E35" showDropDown="0" showInputMessage="0" showErrorMessage="0" allowBlank="1" type="list">
      <formula1>=INDIRECT(IFERROR(INDEX(All_Questions_Options_Names,MATCH(All_Questions_Q_NUM_EXPORT_F_Q,All_Questions,0)),"'_Options'!$E$2:$E$2"))</formula1>
    </dataValidation>
    <dataValidation sqref="C36" showDropDown="0" showInputMessage="0" showErrorMessage="0" allowBlank="1" type="list">
      <formula1>=Cross_Tab_Questions</formula1>
    </dataValidation>
    <dataValidation sqref="C52" showDropDown="0" showInputMessage="0" showErrorMessage="0" allowBlank="1" type="list">
      <formula1>=All_Questions</formula1>
    </dataValidation>
    <dataValidation sqref="E52" showDropDown="0" showInputMessage="0" showErrorMessage="0" allowBlank="1" type="list">
      <formula1>=INDIRECT(IFERROR(INDEX(All_Questions_Options_Names,MATCH(All_Questions_Q_GRID_EXPORT_F_Q,All_Questions,0)),"'_Options'!$E$2:$E$2"))</formula1>
    </dataValidation>
    <dataValidation sqref="C53" showDropDown="0" showInputMessage="0" showErrorMessage="0" allowBlank="1" type="list">
      <formula1>=Cross_Tab_Questions</formula1>
    </dataValidation>
    <dataValidation sqref="C70" showDropDown="0" showInputMessage="0" showErrorMessage="0" allowBlank="1" type="list">
      <formula1>=All_Questions</formula1>
    </dataValidation>
    <dataValidation sqref="E70" showDropDown="0" showInputMessage="0" showErrorMessage="0" allowBlank="1" type="list">
      <formula1>=INDIRECT(IFERROR(INDEX(All_Questions_Options_Names,MATCH(All_Questions_Q_VERY_LONG_SINGLE_SELECT_EXPORT_NAME_F_Q,All_Questions,0)),"'_Options'!$E$2:$E$2"))</formula1>
    </dataValidation>
    <dataValidation sqref="C71" showDropDown="0" showInputMessage="0" showErrorMessage="0" allowBlank="1" type="list">
      <formula1>=Cross_Tab_Questions</formula1>
    </dataValidation>
  </dataValidations>
  <pageMargins left="0.75" right="0.75" top="1" bottom="1" header="0.5" footer="0.5"/>
  <tableParts count="4">
    <tablePart xmlns:r="http://schemas.openxmlformats.org/officeDocument/2006/relationships" r:id="rId1"/>
    <tablePart xmlns:r="http://schemas.openxmlformats.org/officeDocument/2006/relationships" r:id="rId2"/>
    <tablePart xmlns:r="http://schemas.openxmlformats.org/officeDocument/2006/relationships" r:id="rId3"/>
    <tablePart xmlns:r="http://schemas.openxmlformats.org/officeDocument/2006/relationships" r:id="rId4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29" customWidth="1" min="2" max="2"/>
    <col width="39" customWidth="1" min="3" max="3"/>
    <col width="39" customWidth="1" min="4" max="4"/>
    <col width="38" customWidth="1" min="5" max="5"/>
    <col width="11" customWidth="1" min="6" max="6"/>
    <col width="13" customWidth="1" min="7" max="7"/>
    <col width="60" customWidth="1" min="8" max="8"/>
    <col width="20" customWidth="1" min="9" max="9"/>
    <col width="9" customWidth="1" min="10" max="10"/>
    <col width="11" customWidth="1" min="11" max="11"/>
    <col width="34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SC_Q_SS_EXPORT</t>
        </is>
      </c>
      <c r="B2" t="inlineStr">
        <is>
          <t>rate_per_value</t>
        </is>
      </c>
      <c r="C2" t="inlineStr">
        <is>
          <t>Q_SS_EXPORT</t>
        </is>
      </c>
      <c r="D2" t="inlineStr">
        <is>
          <t>Q_SS_EXPORT</t>
        </is>
      </c>
      <c r="E2" t="inlineStr"/>
      <c r="G2" t="n">
        <v>10</v>
      </c>
      <c r="H2" t="inlineStr">
        <is>
          <t>rate_per_value formula</t>
        </is>
      </c>
      <c r="I2" t="n">
        <v>10</v>
      </c>
      <c r="J2" t="n">
        <v>10</v>
      </c>
      <c r="K2" t="n">
        <v>0</v>
      </c>
      <c r="L2" t="inlineStr">
        <is>
          <t>2026-05-04T12:00:00+00:00</t>
        </is>
      </c>
    </row>
    <row r="3">
      <c r="A3" t="inlineStr">
        <is>
          <t>SC_Q_MS_EXPORT</t>
        </is>
      </c>
      <c r="B3" t="inlineStr">
        <is>
          <t>selection_rate</t>
        </is>
      </c>
      <c r="C3" t="inlineStr">
        <is>
          <t>Q_MS_EXPORT</t>
        </is>
      </c>
      <c r="D3" t="inlineStr">
        <is>
          <t>Q_MS_EXPORTr1, Q_MS_EXPORTr2</t>
        </is>
      </c>
      <c r="E3" t="inlineStr"/>
      <c r="G3" t="n">
        <v>10</v>
      </c>
      <c r="H3" t="inlineStr">
        <is>
          <t>selection_rate formula</t>
        </is>
      </c>
      <c r="I3" t="n">
        <v>10</v>
      </c>
      <c r="J3" t="n">
        <v>10</v>
      </c>
      <c r="K3" t="n">
        <v>0</v>
      </c>
      <c r="L3" t="inlineStr">
        <is>
          <t>2026-05-04T12:00:00+00:00</t>
        </is>
      </c>
    </row>
    <row r="4">
      <c r="A4" t="inlineStr">
        <is>
          <t>SC_Q_NUM_EXPORT</t>
        </is>
      </c>
      <c r="B4" t="inlineStr">
        <is>
          <t>numeric_summary</t>
        </is>
      </c>
      <c r="C4" t="inlineStr">
        <is>
          <t>Q_NUM_EXPORT</t>
        </is>
      </c>
      <c r="D4" t="inlineStr">
        <is>
          <t>Q_NUM_EXPORT</t>
        </is>
      </c>
      <c r="E4" t="inlineStr"/>
      <c r="G4" t="n">
        <v>10</v>
      </c>
      <c r="H4" t="inlineStr">
        <is>
          <t>numeric_summary formula</t>
        </is>
      </c>
      <c r="I4" t="n">
        <v>5.5</v>
      </c>
      <c r="J4" t="n">
        <v>10</v>
      </c>
      <c r="K4" t="n">
        <v>0</v>
      </c>
      <c r="L4" t="inlineStr">
        <is>
          <t>2026-05-04T12:00:00+00:00</t>
        </is>
      </c>
    </row>
    <row r="5">
      <c r="A5" t="inlineStr">
        <is>
          <t>SC_Q_GRID_EXPORTr1</t>
        </is>
      </c>
      <c r="B5" t="inlineStr">
        <is>
          <t>rate_per_value</t>
        </is>
      </c>
      <c r="C5" t="inlineStr">
        <is>
          <t>Q_GRID_EXPORTr1</t>
        </is>
      </c>
      <c r="D5" t="inlineStr">
        <is>
          <t>Q_GRID_EXPORTr1</t>
        </is>
      </c>
      <c r="E5" t="inlineStr"/>
      <c r="G5" t="n">
        <v>10</v>
      </c>
      <c r="H5" t="inlineStr">
        <is>
          <t>rate_per_value formula</t>
        </is>
      </c>
      <c r="I5" t="n">
        <v>10</v>
      </c>
      <c r="J5" t="n">
        <v>10</v>
      </c>
      <c r="K5" t="n">
        <v>0</v>
      </c>
      <c r="L5" t="inlineStr">
        <is>
          <t>2026-05-04T12:00:00+00:00</t>
        </is>
      </c>
    </row>
    <row r="6">
      <c r="A6" t="inlineStr">
        <is>
          <t>SC_Q_GRID_EXPORTr2</t>
        </is>
      </c>
      <c r="B6" t="inlineStr">
        <is>
          <t>rate_per_value</t>
        </is>
      </c>
      <c r="C6" t="inlineStr">
        <is>
          <t>Q_GRID_EXPORTr2</t>
        </is>
      </c>
      <c r="D6" t="inlineStr">
        <is>
          <t>Q_GRID_EXPORTr2</t>
        </is>
      </c>
      <c r="E6" t="inlineStr"/>
      <c r="G6" t="n">
        <v>10</v>
      </c>
      <c r="H6" t="inlineStr">
        <is>
          <t>rate_per_value formula</t>
        </is>
      </c>
      <c r="I6" t="n">
        <v>10</v>
      </c>
      <c r="J6" t="n">
        <v>10</v>
      </c>
      <c r="K6" t="n">
        <v>0</v>
      </c>
      <c r="L6" t="inlineStr">
        <is>
          <t>2026-05-04T12:00:00+00:00</t>
        </is>
      </c>
    </row>
    <row r="7">
      <c r="A7" t="inlineStr">
        <is>
          <t>SC_Q_GRID_EXPORT</t>
        </is>
      </c>
      <c r="B7" t="inlineStr">
        <is>
          <t>grid_overall</t>
        </is>
      </c>
      <c r="C7" t="inlineStr">
        <is>
          <t>Q_GRID_EXPORT</t>
        </is>
      </c>
      <c r="D7" t="inlineStr">
        <is>
          <t>Q_GRID_EXPORTr1, Q_GRID_EXPORTr2</t>
        </is>
      </c>
      <c r="E7" t="inlineStr"/>
      <c r="G7" t="n">
        <v>10</v>
      </c>
      <c r="H7" t="inlineStr">
        <is>
          <t>grid_overall formula</t>
        </is>
      </c>
      <c r="I7" t="n">
        <v>10</v>
      </c>
      <c r="J7" t="n">
        <v>10</v>
      </c>
      <c r="K7" t="n">
        <v>0</v>
      </c>
      <c r="L7" t="inlineStr">
        <is>
          <t>2026-05-04T12:00:00+00:00</t>
        </is>
      </c>
    </row>
    <row r="8">
      <c r="A8" t="inlineStr">
        <is>
          <t>SC_Q_VERY_LONG_SINGLE_SELECT_EXPORT_NAME</t>
        </is>
      </c>
      <c r="B8" t="inlineStr">
        <is>
          <t>rate_per_value</t>
        </is>
      </c>
      <c r="C8" t="inlineStr">
        <is>
          <t>Q_VERY_LONG_SINGLE_SELECT_EXPORT_NAME</t>
        </is>
      </c>
      <c r="D8" t="inlineStr">
        <is>
          <t>Q_VERY_LONG_SINGLE_SELECT_EXPORT_NAME</t>
        </is>
      </c>
      <c r="E8" t="inlineStr"/>
      <c r="G8" t="n">
        <v>10</v>
      </c>
      <c r="H8" t="inlineStr">
        <is>
          <t>rate_per_value formula</t>
        </is>
      </c>
      <c r="I8" t="n">
        <v>10</v>
      </c>
      <c r="J8" t="n">
        <v>10</v>
      </c>
      <c r="K8" t="n">
        <v>0</v>
      </c>
      <c r="L8" t="inlineStr">
        <is>
          <t>2026-05-04T12:00:00+00:00</t>
        </is>
      </c>
    </row>
    <row r="9">
      <c r="A9" t="inlineStr">
        <is>
          <t>CC_CC_TAB_EXPORT</t>
        </is>
      </c>
      <c r="B9" t="inlineStr">
        <is>
          <t>cross_tab</t>
        </is>
      </c>
      <c r="C9" t="inlineStr">
        <is>
          <t>Q_SEG_1 x Q_TGT_1</t>
        </is>
      </c>
      <c r="D9" t="inlineStr">
        <is>
          <t>Q_SEG_1, Q_TGT_1</t>
        </is>
      </c>
      <c r="E9" t="inlineStr"/>
      <c r="G9" t="n">
        <v>30</v>
      </c>
      <c r="H9" t="inlineStr">
        <is>
          <t>pd.crosstab(col_a, col_b, dropna=True); row% = count/row_total; col% = count/col_total</t>
        </is>
      </c>
      <c r="I9" t="n">
        <v>30</v>
      </c>
      <c r="J9" t="n">
        <v>30</v>
      </c>
      <c r="K9" t="n">
        <v>0</v>
      </c>
      <c r="L9" t="inlineStr">
        <is>
          <t>2026-06-09T06:55:35.358776+00:00</t>
        </is>
      </c>
    </row>
    <row r="10">
      <c r="A10" t="inlineStr">
        <is>
          <t>Single Cuts</t>
        </is>
      </c>
      <c r="B10" t="inlineStr">
        <is>
          <t>rate_per_value</t>
        </is>
      </c>
      <c r="C10" t="inlineStr">
        <is>
          <t>Q_TGT_1</t>
        </is>
      </c>
      <c r="D10" t="inlineStr">
        <is>
          <t>Q_TGT_1</t>
        </is>
      </c>
      <c r="E10" t="inlineStr">
        <is>
          <t>Q_SEG_1 = Segment 1</t>
        </is>
      </c>
      <c r="G10" t="n">
        <v>10</v>
      </c>
      <c r="H10" t="inlineStr">
        <is>
          <t>count(value) / count(non-NA values)</t>
        </is>
      </c>
      <c r="I10" t="n">
        <v>10</v>
      </c>
      <c r="J10" t="n">
        <v>10</v>
      </c>
      <c r="K10" t="n">
        <v>0</v>
      </c>
      <c r="L10" t="inlineStr">
        <is>
          <t>2026-06-09T06:55:35.359575+00:00</t>
        </is>
      </c>
    </row>
    <row r="11">
      <c r="A11" t="inlineStr">
        <is>
          <t>CC_CC_SEG_EXPORT</t>
        </is>
      </c>
      <c r="B11" t="inlineStr">
        <is>
          <t>segment_profile</t>
        </is>
      </c>
      <c r="C11" t="inlineStr">
        <is>
          <t>Q_TGT_1</t>
        </is>
      </c>
      <c r="D11" t="inlineStr">
        <is>
          <t>Q_TGT_1</t>
        </is>
      </c>
      <c r="E11" t="inlineStr">
        <is>
          <t>Q_SEG_1 == 1</t>
        </is>
      </c>
      <c r="G11" t="n">
        <v>10</v>
      </c>
      <c r="H11" t="inlineStr">
        <is>
          <t>single_cut(target) restricted to filter_expr</t>
        </is>
      </c>
      <c r="I11" t="n">
        <v>10</v>
      </c>
      <c r="J11" t="n">
        <v>10</v>
      </c>
      <c r="K11" t="n">
        <v>20</v>
      </c>
      <c r="L11" t="inlineStr">
        <is>
          <t>2026-06-09T06:55:35.359633+00:00</t>
        </is>
      </c>
    </row>
    <row r="12">
      <c r="A12" t="inlineStr">
        <is>
          <t>CC_CC_GROUP_EXPORT</t>
        </is>
      </c>
      <c r="B12" t="inlineStr">
        <is>
          <t>numeric_summary</t>
        </is>
      </c>
      <c r="C12" t="inlineStr">
        <is>
          <t>Q_NUM_3</t>
        </is>
      </c>
      <c r="D12" t="inlineStr">
        <is>
          <t>Q_NUM_3</t>
        </is>
      </c>
      <c r="E12" t="inlineStr">
        <is>
          <t>Q_SEG_1 == 1</t>
        </is>
      </c>
      <c r="G12" t="n">
        <v>10</v>
      </c>
      <c r="H12" t="inlineStr">
        <is>
          <t>mean / median / std (ddof=1) / percentiles over non-NA values</t>
        </is>
      </c>
      <c r="I12" t="n">
        <v>55</v>
      </c>
      <c r="J12" t="n">
        <v>10</v>
      </c>
      <c r="K12" t="n">
        <v>0</v>
      </c>
      <c r="L12" t="inlineStr">
        <is>
          <t>2026-06-09T06:55:35.360780+00:00</t>
        </is>
      </c>
    </row>
    <row r="13">
      <c r="A13" t="inlineStr">
        <is>
          <t>CC_CC_GROUP_EXPORT</t>
        </is>
      </c>
      <c r="B13" t="inlineStr">
        <is>
          <t>numeric_summary</t>
        </is>
      </c>
      <c r="C13" t="inlineStr">
        <is>
          <t>Q_NUM_3</t>
        </is>
      </c>
      <c r="D13" t="inlineStr">
        <is>
          <t>Q_NUM_3</t>
        </is>
      </c>
      <c r="E13" t="inlineStr">
        <is>
          <t>Q_SEG_1 == 2</t>
        </is>
      </c>
      <c r="G13" t="n">
        <v>10</v>
      </c>
      <c r="H13" t="inlineStr">
        <is>
          <t>mean / median / std (ddof=1) / percentiles over non-NA values</t>
        </is>
      </c>
      <c r="I13" t="n">
        <v>50</v>
      </c>
      <c r="J13" t="n">
        <v>10</v>
      </c>
      <c r="K13" t="n">
        <v>0</v>
      </c>
      <c r="L13" t="inlineStr">
        <is>
          <t>2026-06-09T06:55:35.361651+00:00</t>
        </is>
      </c>
    </row>
    <row r="14">
      <c r="A14" t="inlineStr">
        <is>
          <t>CC_CC_GROUP_EXPORT</t>
        </is>
      </c>
      <c r="B14" t="inlineStr">
        <is>
          <t>numeric_summary</t>
        </is>
      </c>
      <c r="C14" t="inlineStr">
        <is>
          <t>Q_NUM_3</t>
        </is>
      </c>
      <c r="D14" t="inlineStr">
        <is>
          <t>Q_NUM_3</t>
        </is>
      </c>
      <c r="E14" t="inlineStr">
        <is>
          <t>Q_SEG_1 == 3</t>
        </is>
      </c>
      <c r="G14" t="n">
        <v>10</v>
      </c>
      <c r="H14" t="inlineStr">
        <is>
          <t>mean / median / std (ddof=1) / percentiles over non-NA values</t>
        </is>
      </c>
      <c r="I14" t="n">
        <v>5.5</v>
      </c>
      <c r="J14" t="n">
        <v>10</v>
      </c>
      <c r="K14" t="n">
        <v>0</v>
      </c>
      <c r="L14" t="inlineStr">
        <is>
          <t>2026-06-09T06:55:35.362492+00:00</t>
        </is>
      </c>
    </row>
    <row r="15">
      <c r="A15" t="inlineStr">
        <is>
          <t>CC_CC_GROUP_EXPORT</t>
        </is>
      </c>
      <c r="B15" t="inlineStr">
        <is>
          <t>numeric_summary</t>
        </is>
      </c>
      <c r="C15" t="inlineStr">
        <is>
          <t>Q_NUM_3</t>
        </is>
      </c>
      <c r="D15" t="inlineStr">
        <is>
          <t>Q_NUM_3</t>
        </is>
      </c>
      <c r="E15" t="inlineStr"/>
      <c r="G15" t="n">
        <v>30</v>
      </c>
      <c r="H15" t="inlineStr">
        <is>
          <t>mean / median / std (ddof=1) / percentiles over non-NA values</t>
        </is>
      </c>
      <c r="I15" t="n">
        <v>36.83333333333334</v>
      </c>
      <c r="J15" t="n">
        <v>30</v>
      </c>
      <c r="K15" t="n">
        <v>0</v>
      </c>
      <c r="L15" t="inlineStr">
        <is>
          <t>2026-06-09T06:55:35.363164+00:00</t>
        </is>
      </c>
    </row>
    <row r="16">
      <c r="A16" t="inlineStr">
        <is>
          <t>CC_CC_GROUP_EXPORT</t>
        </is>
      </c>
      <c r="B16" t="inlineStr">
        <is>
          <t>group_comparison</t>
        </is>
      </c>
      <c r="C16" t="inlineStr">
        <is>
          <t>Q_SEG_1 x Q_NUM_3</t>
        </is>
      </c>
      <c r="D16" t="inlineStr">
        <is>
          <t>Q_SEG_1, Q_NUM_3</t>
        </is>
      </c>
      <c r="E16" t="inlineStr"/>
      <c r="G16" t="n">
        <v>30</v>
      </c>
      <c r="H16" t="inlineStr">
        <is>
          <t>numeric_summary(metric) per unique segment value + overall</t>
        </is>
      </c>
      <c r="I16" t="n">
        <v>30</v>
      </c>
      <c r="J16" t="n">
        <v>30</v>
      </c>
      <c r="K16" t="n">
        <v>0</v>
      </c>
      <c r="L16" t="inlineStr">
        <is>
          <t>2026-06-09T06:55:35.363184+00:00</t>
        </is>
      </c>
    </row>
    <row r="17">
      <c r="A17" t="inlineStr">
        <is>
          <t>CC_CC_EVR_EXPORT</t>
        </is>
      </c>
      <c r="B17" t="inlineStr">
        <is>
          <t>numeric_summary</t>
        </is>
      </c>
      <c r="C17" t="inlineStr">
        <is>
          <t>Q_EXP_1</t>
        </is>
      </c>
      <c r="D17" t="inlineStr">
        <is>
          <t>Q_EXP_1</t>
        </is>
      </c>
      <c r="E17" t="inlineStr"/>
      <c r="G17" t="n">
        <v>15</v>
      </c>
      <c r="H17" t="inlineStr">
        <is>
          <t>mean / median / std (ddof=1) / percentiles over non-NA values</t>
        </is>
      </c>
      <c r="I17" t="n">
        <v>70</v>
      </c>
      <c r="J17" t="n">
        <v>15</v>
      </c>
      <c r="K17" t="n">
        <v>15</v>
      </c>
      <c r="L17" t="inlineStr">
        <is>
          <t>2026-06-09T06:55:35.364300+00:00</t>
        </is>
      </c>
    </row>
    <row r="18">
      <c r="A18" t="inlineStr">
        <is>
          <t>CC_CC_EVR_EXPORT</t>
        </is>
      </c>
      <c r="B18" t="inlineStr">
        <is>
          <t>numeric_summary</t>
        </is>
      </c>
      <c r="C18" t="inlineStr">
        <is>
          <t>Q_REAL_1</t>
        </is>
      </c>
      <c r="D18" t="inlineStr">
        <is>
          <t>Q_REAL_1</t>
        </is>
      </c>
      <c r="E18" t="inlineStr"/>
      <c r="G18" t="n">
        <v>15</v>
      </c>
      <c r="H18" t="inlineStr">
        <is>
          <t>mean / median / std (ddof=1) / percentiles over non-NA values</t>
        </is>
      </c>
      <c r="I18" t="n">
        <v>60</v>
      </c>
      <c r="J18" t="n">
        <v>15</v>
      </c>
      <c r="K18" t="n">
        <v>15</v>
      </c>
      <c r="L18" t="inlineStr">
        <is>
          <t>2026-06-09T06:55:35.365875+00:00</t>
        </is>
      </c>
    </row>
    <row r="19">
      <c r="A19" t="inlineStr">
        <is>
          <t>CC_CC_EVR_EXPORT</t>
        </is>
      </c>
      <c r="B19" t="inlineStr">
        <is>
          <t>numeric_summary</t>
        </is>
      </c>
      <c r="C19" t="inlineStr">
        <is>
          <t>Q_REAL_1_minus_Q_EXP_1</t>
        </is>
      </c>
      <c r="D19" t="inlineStr">
        <is>
          <t>Q_EXP_1, Q_REAL_1</t>
        </is>
      </c>
      <c r="E19" t="inlineStr"/>
      <c r="G19" t="n">
        <v>12</v>
      </c>
      <c r="H19" t="inlineStr">
        <is>
          <t>mean / median / std (ddof=1) / percentiles over non-NA values</t>
        </is>
      </c>
      <c r="I19" t="n">
        <v>-5</v>
      </c>
      <c r="J19" t="n">
        <v>12</v>
      </c>
      <c r="K19" t="n">
        <v>18</v>
      </c>
      <c r="L19" t="inlineStr">
        <is>
          <t>2026-06-09T06:55:35.366856+00:00</t>
        </is>
      </c>
    </row>
    <row r="20">
      <c r="A20" t="inlineStr">
        <is>
          <t>CC_CC_EVR_EXPORT</t>
        </is>
      </c>
      <c r="B20" t="inlineStr">
        <is>
          <t>expected_vs_realized</t>
        </is>
      </c>
      <c r="C20" t="inlineStr">
        <is>
          <t>Q_EXP_1 x Q_REAL_1</t>
        </is>
      </c>
      <c r="D20" t="inlineStr">
        <is>
          <t>Q_EXP_1, Q_REAL_1</t>
        </is>
      </c>
      <c r="E20" t="inlineStr"/>
      <c r="G20" t="n">
        <v>12</v>
      </c>
      <c r="H20" t="inlineStr">
        <is>
          <t>expected, realized, and gap = realized - expected; numeric_summary on each</t>
        </is>
      </c>
      <c r="I20" t="n">
        <v>12</v>
      </c>
      <c r="J20" t="n">
        <v>12</v>
      </c>
      <c r="K20" t="n">
        <v>18</v>
      </c>
      <c r="L20" t="inlineStr">
        <is>
          <t>2026-06-09T06:55:35.367026+00:00</t>
        </is>
      </c>
    </row>
    <row r="21">
      <c r="A21" t="inlineStr">
        <is>
          <t>All Questions</t>
        </is>
      </c>
      <c r="B21" t="inlineStr">
        <is>
          <t>cross_tab_by_selection_rate</t>
        </is>
      </c>
      <c r="C21" t="inlineStr">
        <is>
          <t>Q_MS_EXPORT</t>
        </is>
      </c>
      <c r="D21" t="inlineStr">
        <is>
          <t>Q_MS_EXPORTr1</t>
        </is>
      </c>
      <c r="E21" t="inlineStr">
        <is>
          <t>All_Questions_Q_MS_EXPORT_CT = G$27</t>
        </is>
      </c>
      <c r="H21">
        <f>IF(OR(All_Questions_Q_MS_EXPORT_CT="(None)",G$27=""),"",IF(G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21" t="n">
        <v>0.5</v>
      </c>
      <c r="J21" t="n">
        <v>0</v>
      </c>
      <c r="K21" t="n">
        <v>0</v>
      </c>
      <c r="L21" t="inlineStr">
        <is>
          <t>2026-06-09T06:55:35.386846+00:00</t>
        </is>
      </c>
    </row>
    <row r="22">
      <c r="A22" t="inlineStr">
        <is>
          <t>All Questions</t>
        </is>
      </c>
      <c r="B22" t="inlineStr">
        <is>
          <t>cross_tab_by_selection_rate</t>
        </is>
      </c>
      <c r="C22" t="inlineStr">
        <is>
          <t>Q_MS_EXPORT</t>
        </is>
      </c>
      <c r="D22" t="inlineStr">
        <is>
          <t>Q_MS_EXPORTr1</t>
        </is>
      </c>
      <c r="E22" t="inlineStr">
        <is>
          <t>All_Questions_Q_MS_EXPORT_CT = H$27</t>
        </is>
      </c>
      <c r="H22">
        <f>IF(OR(All_Questions_Q_MS_EXPORT_CT="(None)",H$27=""),"",IF(H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22" t="n">
        <v>0.5</v>
      </c>
      <c r="J22" t="n">
        <v>0</v>
      </c>
      <c r="K22" t="n">
        <v>0</v>
      </c>
      <c r="L22" t="inlineStr">
        <is>
          <t>2026-06-09T06:55:35.386924+00:00</t>
        </is>
      </c>
    </row>
    <row r="23">
      <c r="A23" t="inlineStr">
        <is>
          <t>All Questions</t>
        </is>
      </c>
      <c r="B23" t="inlineStr">
        <is>
          <t>cross_tab_by_selection_rate</t>
        </is>
      </c>
      <c r="C23" t="inlineStr">
        <is>
          <t>Q_MS_EXPORT</t>
        </is>
      </c>
      <c r="D23" t="inlineStr">
        <is>
          <t>Q_MS_EXPORTr1</t>
        </is>
      </c>
      <c r="E23" t="inlineStr">
        <is>
          <t>All_Questions_Q_MS_EXPORT_CT = I$27</t>
        </is>
      </c>
      <c r="H23">
        <f>IF(OR(All_Questions_Q_MS_EXPORT_CT="(None)",I$27=""),"",IF(I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23" t="n">
        <v>0.5</v>
      </c>
      <c r="J23" t="n">
        <v>0</v>
      </c>
      <c r="K23" t="n">
        <v>0</v>
      </c>
      <c r="L23" t="inlineStr">
        <is>
          <t>2026-06-09T06:55:35.387003+00:00</t>
        </is>
      </c>
    </row>
    <row r="24">
      <c r="A24" t="inlineStr">
        <is>
          <t>All Questions</t>
        </is>
      </c>
      <c r="B24" t="inlineStr">
        <is>
          <t>cross_tab_by_selection_rate</t>
        </is>
      </c>
      <c r="C24" t="inlineStr">
        <is>
          <t>Q_MS_EXPORT</t>
        </is>
      </c>
      <c r="D24" t="inlineStr">
        <is>
          <t>Q_MS_EXPORTr1</t>
        </is>
      </c>
      <c r="E24" t="inlineStr">
        <is>
          <t>All_Questions_Q_MS_EXPORT_CT = J$27</t>
        </is>
      </c>
      <c r="H24">
        <f>IF(OR(All_Questions_Q_MS_EXPORT_CT="(None)",J$27=""),"",IF(J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24" t="n">
        <v>0.5</v>
      </c>
      <c r="J24" t="n">
        <v>0</v>
      </c>
      <c r="K24" t="n">
        <v>0</v>
      </c>
      <c r="L24" t="inlineStr">
        <is>
          <t>2026-06-09T06:55:35.387050+00:00</t>
        </is>
      </c>
    </row>
    <row r="25">
      <c r="A25" t="inlineStr">
        <is>
          <t>All Questions</t>
        </is>
      </c>
      <c r="B25" t="inlineStr">
        <is>
          <t>cross_tab_by_selection_rate</t>
        </is>
      </c>
      <c r="C25" t="inlineStr">
        <is>
          <t>Q_MS_EXPORT</t>
        </is>
      </c>
      <c r="D25" t="inlineStr">
        <is>
          <t>Q_MS_EXPORTr1</t>
        </is>
      </c>
      <c r="E25" t="inlineStr">
        <is>
          <t>All_Questions_Q_MS_EXPORT_CT = K$27</t>
        </is>
      </c>
      <c r="H25">
        <f>IF(OR(All_Questions_Q_MS_EXPORT_CT="(None)",K$27=""),"",IF(K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25" t="n">
        <v>0.5</v>
      </c>
      <c r="J25" t="n">
        <v>0</v>
      </c>
      <c r="K25" t="n">
        <v>0</v>
      </c>
      <c r="L25" t="inlineStr">
        <is>
          <t>2026-06-09T06:55:35.387092+00:00</t>
        </is>
      </c>
    </row>
    <row r="26">
      <c r="A26" t="inlineStr">
        <is>
          <t>All Questions</t>
        </is>
      </c>
      <c r="B26" t="inlineStr">
        <is>
          <t>cross_tab_by_selection_rate</t>
        </is>
      </c>
      <c r="C26" t="inlineStr">
        <is>
          <t>Q_MS_EXPORT</t>
        </is>
      </c>
      <c r="D26" t="inlineStr">
        <is>
          <t>Q_MS_EXPORTr1</t>
        </is>
      </c>
      <c r="E26" t="inlineStr">
        <is>
          <t>All_Questions_Q_MS_EXPORT_CT = L$27</t>
        </is>
      </c>
      <c r="H26">
        <f>IF(OR(All_Questions_Q_MS_EXPORT_CT="(None)",L$27=""),"",IF(L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26" t="n">
        <v>0.5</v>
      </c>
      <c r="J26" t="n">
        <v>0</v>
      </c>
      <c r="K26" t="n">
        <v>0</v>
      </c>
      <c r="L26" t="inlineStr">
        <is>
          <t>2026-06-09T06:55:35.387135+00:00</t>
        </is>
      </c>
    </row>
    <row r="27">
      <c r="A27" t="inlineStr">
        <is>
          <t>All Questions</t>
        </is>
      </c>
      <c r="B27" t="inlineStr">
        <is>
          <t>cross_tab_by_selection_rate</t>
        </is>
      </c>
      <c r="C27" t="inlineStr">
        <is>
          <t>Q_MS_EXPORT</t>
        </is>
      </c>
      <c r="D27" t="inlineStr">
        <is>
          <t>Q_MS_EXPORTr1</t>
        </is>
      </c>
      <c r="E27" t="inlineStr">
        <is>
          <t>All_Questions_Q_MS_EXPORT_CT = M$27</t>
        </is>
      </c>
      <c r="H27">
        <f>IF(OR(All_Questions_Q_MS_EXPORT_CT="(None)",M$27=""),"",IF(M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27" t="n">
        <v>0.5</v>
      </c>
      <c r="J27" t="n">
        <v>0</v>
      </c>
      <c r="K27" t="n">
        <v>0</v>
      </c>
      <c r="L27" t="inlineStr">
        <is>
          <t>2026-06-09T06:55:35.387177+00:00</t>
        </is>
      </c>
    </row>
    <row r="28">
      <c r="A28" t="inlineStr">
        <is>
          <t>All Questions</t>
        </is>
      </c>
      <c r="B28" t="inlineStr">
        <is>
          <t>cross_tab_by_selection_rate</t>
        </is>
      </c>
      <c r="C28" t="inlineStr">
        <is>
          <t>Q_MS_EXPORT</t>
        </is>
      </c>
      <c r="D28" t="inlineStr">
        <is>
          <t>Q_MS_EXPORTr1</t>
        </is>
      </c>
      <c r="E28" t="inlineStr">
        <is>
          <t>All_Questions_Q_MS_EXPORT_CT = N$27</t>
        </is>
      </c>
      <c r="H28">
        <f>IF(OR(All_Questions_Q_MS_EXPORT_CT="(None)",N$27=""),"",IF(N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28" t="n">
        <v>0.5</v>
      </c>
      <c r="J28" t="n">
        <v>0</v>
      </c>
      <c r="K28" t="n">
        <v>0</v>
      </c>
      <c r="L28" t="inlineStr">
        <is>
          <t>2026-06-09T06:55:35.387218+00:00</t>
        </is>
      </c>
    </row>
    <row r="29">
      <c r="A29" t="inlineStr">
        <is>
          <t>All Questions</t>
        </is>
      </c>
      <c r="B29" t="inlineStr">
        <is>
          <t>cross_tab_by_selection_rate</t>
        </is>
      </c>
      <c r="C29" t="inlineStr">
        <is>
          <t>Q_MS_EXPORT</t>
        </is>
      </c>
      <c r="D29" t="inlineStr">
        <is>
          <t>Q_MS_EXPORTr1</t>
        </is>
      </c>
      <c r="E29" t="inlineStr">
        <is>
          <t>All_Questions_Q_MS_EXPORT_CT = O$27</t>
        </is>
      </c>
      <c r="H29">
        <f>IF(OR(All_Questions_Q_MS_EXPORT_CT="(None)",O$27=""),"",IF(O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29" t="n">
        <v>0.5</v>
      </c>
      <c r="J29" t="n">
        <v>0</v>
      </c>
      <c r="K29" t="n">
        <v>0</v>
      </c>
      <c r="L29" t="inlineStr">
        <is>
          <t>2026-06-09T06:55:35.387258+00:00</t>
        </is>
      </c>
    </row>
    <row r="30">
      <c r="A30" t="inlineStr">
        <is>
          <t>All Questions</t>
        </is>
      </c>
      <c r="B30" t="inlineStr">
        <is>
          <t>cross_tab_by_selection_rate</t>
        </is>
      </c>
      <c r="C30" t="inlineStr">
        <is>
          <t>Q_MS_EXPORT</t>
        </is>
      </c>
      <c r="D30" t="inlineStr">
        <is>
          <t>Q_MS_EXPORTr1</t>
        </is>
      </c>
      <c r="E30" t="inlineStr">
        <is>
          <t>All_Questions_Q_MS_EXPORT_CT = P$27</t>
        </is>
      </c>
      <c r="H30">
        <f>IF(OR(All_Questions_Q_MS_EXPORT_CT="(None)",P$27=""),"",IF(P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30" t="n">
        <v>0.5</v>
      </c>
      <c r="J30" t="n">
        <v>0</v>
      </c>
      <c r="K30" t="n">
        <v>0</v>
      </c>
      <c r="L30" t="inlineStr">
        <is>
          <t>2026-06-09T06:55:35.387298+00:00</t>
        </is>
      </c>
    </row>
    <row r="31">
      <c r="A31" t="inlineStr">
        <is>
          <t>All Questions</t>
        </is>
      </c>
      <c r="B31" t="inlineStr">
        <is>
          <t>cross_tab_by_selection_rate</t>
        </is>
      </c>
      <c r="C31" t="inlineStr">
        <is>
          <t>Q_MS_EXPORT</t>
        </is>
      </c>
      <c r="D31" t="inlineStr">
        <is>
          <t>Q_MS_EXPORTr1</t>
        </is>
      </c>
      <c r="E31" t="inlineStr">
        <is>
          <t>All_Questions_Q_MS_EXPORT_CT = Q$27</t>
        </is>
      </c>
      <c r="H31">
        <f>IF(OR(All_Questions_Q_MS_EXPORT_CT="(None)",Q$27=""),"",IF(Q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31" t="n">
        <v>0.5</v>
      </c>
      <c r="J31" t="n">
        <v>0</v>
      </c>
      <c r="K31" t="n">
        <v>0</v>
      </c>
      <c r="L31" t="inlineStr">
        <is>
          <t>2026-06-09T06:55:35.387336+00:00</t>
        </is>
      </c>
    </row>
    <row r="32">
      <c r="A32" t="inlineStr">
        <is>
          <t>All Questions</t>
        </is>
      </c>
      <c r="B32" t="inlineStr">
        <is>
          <t>cross_tab_by_selection_rate</t>
        </is>
      </c>
      <c r="C32" t="inlineStr">
        <is>
          <t>Q_MS_EXPORT</t>
        </is>
      </c>
      <c r="D32" t="inlineStr">
        <is>
          <t>Q_MS_EXPORTr1</t>
        </is>
      </c>
      <c r="E32" t="inlineStr">
        <is>
          <t>All_Questions_Q_MS_EXPORT_CT = R$27</t>
        </is>
      </c>
      <c r="H32">
        <f>IF(OR(All_Questions_Q_MS_EXPORT_CT="(None)",R$27=""),"",IF(R$27="Other","",IFERROR(COUNTIFS(Q_MS_EXPORTr1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32" t="n">
        <v>0.5</v>
      </c>
      <c r="J32" t="n">
        <v>0</v>
      </c>
      <c r="K32" t="n">
        <v>0</v>
      </c>
      <c r="L32" t="inlineStr">
        <is>
          <t>2026-06-09T06:55:35.387386+00:00</t>
        </is>
      </c>
    </row>
    <row r="33">
      <c r="A33" t="inlineStr">
        <is>
          <t>All Questions</t>
        </is>
      </c>
      <c r="B33" t="inlineStr">
        <is>
          <t>cross_tab_by_selection_rate</t>
        </is>
      </c>
      <c r="C33" t="inlineStr">
        <is>
          <t>Q_MS_EXPORT</t>
        </is>
      </c>
      <c r="D33" t="inlineStr">
        <is>
          <t>Q_MS_EXPORTr2</t>
        </is>
      </c>
      <c r="E33" t="inlineStr">
        <is>
          <t>All_Questions_Q_MS_EXPORT_CT = G$27</t>
        </is>
      </c>
      <c r="H33">
        <f>IF(OR(All_Questions_Q_MS_EXPORT_CT="(None)",G$27=""),"",IF(G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G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G$27)),"")))</f>
        <v>0</v>
      </c>
      <c r="I33" t="n">
        <v>0.2</v>
      </c>
      <c r="J33" t="n">
        <v>0</v>
      </c>
      <c r="K33" t="n">
        <v>0</v>
      </c>
      <c r="L33" t="inlineStr">
        <is>
          <t>2026-06-09T06:55:35.387463+00:00</t>
        </is>
      </c>
    </row>
    <row r="34">
      <c r="A34" t="inlineStr">
        <is>
          <t>All Questions</t>
        </is>
      </c>
      <c r="B34" t="inlineStr">
        <is>
          <t>cross_tab_by_selection_rate</t>
        </is>
      </c>
      <c r="C34" t="inlineStr">
        <is>
          <t>Q_MS_EXPORT</t>
        </is>
      </c>
      <c r="D34" t="inlineStr">
        <is>
          <t>Q_MS_EXPORTr2</t>
        </is>
      </c>
      <c r="E34" t="inlineStr">
        <is>
          <t>All_Questions_Q_MS_EXPORT_CT = H$27</t>
        </is>
      </c>
      <c r="H34">
        <f>IF(OR(All_Questions_Q_MS_EXPORT_CT="(None)",H$27=""),"",IF(H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H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H$27)),"")))</f>
        <v>0</v>
      </c>
      <c r="I34" t="n">
        <v>0.2</v>
      </c>
      <c r="J34" t="n">
        <v>0</v>
      </c>
      <c r="K34" t="n">
        <v>0</v>
      </c>
      <c r="L34" t="inlineStr">
        <is>
          <t>2026-06-09T06:55:35.387504+00:00</t>
        </is>
      </c>
    </row>
    <row r="35">
      <c r="A35" t="inlineStr">
        <is>
          <t>All Questions</t>
        </is>
      </c>
      <c r="B35" t="inlineStr">
        <is>
          <t>cross_tab_by_selection_rate</t>
        </is>
      </c>
      <c r="C35" t="inlineStr">
        <is>
          <t>Q_MS_EXPORT</t>
        </is>
      </c>
      <c r="D35" t="inlineStr">
        <is>
          <t>Q_MS_EXPORTr2</t>
        </is>
      </c>
      <c r="E35" t="inlineStr">
        <is>
          <t>All_Questions_Q_MS_EXPORT_CT = I$27</t>
        </is>
      </c>
      <c r="H35">
        <f>IF(OR(All_Questions_Q_MS_EXPORT_CT="(None)",I$27=""),"",IF(I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I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I$27)),"")))</f>
        <v>0</v>
      </c>
      <c r="I35" t="n">
        <v>0.2</v>
      </c>
      <c r="J35" t="n">
        <v>0</v>
      </c>
      <c r="K35" t="n">
        <v>0</v>
      </c>
      <c r="L35" t="inlineStr">
        <is>
          <t>2026-06-09T06:55:35.387544+00:00</t>
        </is>
      </c>
    </row>
    <row r="36">
      <c r="A36" t="inlineStr">
        <is>
          <t>All Questions</t>
        </is>
      </c>
      <c r="B36" t="inlineStr">
        <is>
          <t>cross_tab_by_selection_rate</t>
        </is>
      </c>
      <c r="C36" t="inlineStr">
        <is>
          <t>Q_MS_EXPORT</t>
        </is>
      </c>
      <c r="D36" t="inlineStr">
        <is>
          <t>Q_MS_EXPORTr2</t>
        </is>
      </c>
      <c r="E36" t="inlineStr">
        <is>
          <t>All_Questions_Q_MS_EXPORT_CT = J$27</t>
        </is>
      </c>
      <c r="H36">
        <f>IF(OR(All_Questions_Q_MS_EXPORT_CT="(None)",J$27=""),"",IF(J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J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J$27)),"")))</f>
        <v>0</v>
      </c>
      <c r="I36" t="n">
        <v>0.2</v>
      </c>
      <c r="J36" t="n">
        <v>0</v>
      </c>
      <c r="K36" t="n">
        <v>0</v>
      </c>
      <c r="L36" t="inlineStr">
        <is>
          <t>2026-06-09T06:55:35.387583+00:00</t>
        </is>
      </c>
    </row>
    <row r="37">
      <c r="A37" t="inlineStr">
        <is>
          <t>All Questions</t>
        </is>
      </c>
      <c r="B37" t="inlineStr">
        <is>
          <t>cross_tab_by_selection_rate</t>
        </is>
      </c>
      <c r="C37" t="inlineStr">
        <is>
          <t>Q_MS_EXPORT</t>
        </is>
      </c>
      <c r="D37" t="inlineStr">
        <is>
          <t>Q_MS_EXPORTr2</t>
        </is>
      </c>
      <c r="E37" t="inlineStr">
        <is>
          <t>All_Questions_Q_MS_EXPORT_CT = K$27</t>
        </is>
      </c>
      <c r="H37">
        <f>IF(OR(All_Questions_Q_MS_EXPORT_CT="(None)",K$27=""),"",IF(K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K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K$27)),"")))</f>
        <v>0</v>
      </c>
      <c r="I37" t="n">
        <v>0.2</v>
      </c>
      <c r="J37" t="n">
        <v>0</v>
      </c>
      <c r="K37" t="n">
        <v>0</v>
      </c>
      <c r="L37" t="inlineStr">
        <is>
          <t>2026-06-09T06:55:35.387622+00:00</t>
        </is>
      </c>
    </row>
    <row r="38">
      <c r="A38" t="inlineStr">
        <is>
          <t>All Questions</t>
        </is>
      </c>
      <c r="B38" t="inlineStr">
        <is>
          <t>cross_tab_by_selection_rate</t>
        </is>
      </c>
      <c r="C38" t="inlineStr">
        <is>
          <t>Q_MS_EXPORT</t>
        </is>
      </c>
      <c r="D38" t="inlineStr">
        <is>
          <t>Q_MS_EXPORTr2</t>
        </is>
      </c>
      <c r="E38" t="inlineStr">
        <is>
          <t>All_Questions_Q_MS_EXPORT_CT = L$27</t>
        </is>
      </c>
      <c r="H38">
        <f>IF(OR(All_Questions_Q_MS_EXPORT_CT="(None)",L$27=""),"",IF(L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L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L$27)),"")))</f>
        <v>0</v>
      </c>
      <c r="I38" t="n">
        <v>0.2</v>
      </c>
      <c r="J38" t="n">
        <v>0</v>
      </c>
      <c r="K38" t="n">
        <v>0</v>
      </c>
      <c r="L38" t="inlineStr">
        <is>
          <t>2026-06-09T06:55:35.387661+00:00</t>
        </is>
      </c>
    </row>
    <row r="39">
      <c r="A39" t="inlineStr">
        <is>
          <t>All Questions</t>
        </is>
      </c>
      <c r="B39" t="inlineStr">
        <is>
          <t>cross_tab_by_selection_rate</t>
        </is>
      </c>
      <c r="C39" t="inlineStr">
        <is>
          <t>Q_MS_EXPORT</t>
        </is>
      </c>
      <c r="D39" t="inlineStr">
        <is>
          <t>Q_MS_EXPORTr2</t>
        </is>
      </c>
      <c r="E39" t="inlineStr">
        <is>
          <t>All_Questions_Q_MS_EXPORT_CT = M$27</t>
        </is>
      </c>
      <c r="H39">
        <f>IF(OR(All_Questions_Q_MS_EXPORT_CT="(None)",M$27=""),"",IF(M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M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M$27)),"")))</f>
        <v>0</v>
      </c>
      <c r="I39" t="n">
        <v>0.2</v>
      </c>
      <c r="J39" t="n">
        <v>0</v>
      </c>
      <c r="K39" t="n">
        <v>0</v>
      </c>
      <c r="L39" t="inlineStr">
        <is>
          <t>2026-06-09T06:55:35.387700+00:00</t>
        </is>
      </c>
    </row>
    <row r="40">
      <c r="A40" t="inlineStr">
        <is>
          <t>All Questions</t>
        </is>
      </c>
      <c r="B40" t="inlineStr">
        <is>
          <t>cross_tab_by_selection_rate</t>
        </is>
      </c>
      <c r="C40" t="inlineStr">
        <is>
          <t>Q_MS_EXPORT</t>
        </is>
      </c>
      <c r="D40" t="inlineStr">
        <is>
          <t>Q_MS_EXPORTr2</t>
        </is>
      </c>
      <c r="E40" t="inlineStr">
        <is>
          <t>All_Questions_Q_MS_EXPORT_CT = N$27</t>
        </is>
      </c>
      <c r="H40">
        <f>IF(OR(All_Questions_Q_MS_EXPORT_CT="(None)",N$27=""),"",IF(N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N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N$27)),"")))</f>
        <v>0</v>
      </c>
      <c r="I40" t="n">
        <v>0.2</v>
      </c>
      <c r="J40" t="n">
        <v>0</v>
      </c>
      <c r="K40" t="n">
        <v>0</v>
      </c>
      <c r="L40" t="inlineStr">
        <is>
          <t>2026-06-09T06:55:35.387740+00:00</t>
        </is>
      </c>
    </row>
    <row r="41">
      <c r="A41" t="inlineStr">
        <is>
          <t>All Questions</t>
        </is>
      </c>
      <c r="B41" t="inlineStr">
        <is>
          <t>cross_tab_by_selection_rate</t>
        </is>
      </c>
      <c r="C41" t="inlineStr">
        <is>
          <t>Q_MS_EXPORT</t>
        </is>
      </c>
      <c r="D41" t="inlineStr">
        <is>
          <t>Q_MS_EXPORTr2</t>
        </is>
      </c>
      <c r="E41" t="inlineStr">
        <is>
          <t>All_Questions_Q_MS_EXPORT_CT = O$27</t>
        </is>
      </c>
      <c r="H41">
        <f>IF(OR(All_Questions_Q_MS_EXPORT_CT="(None)",O$27=""),"",IF(O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O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O$27)),"")))</f>
        <v>0</v>
      </c>
      <c r="I41" t="n">
        <v>0.2</v>
      </c>
      <c r="J41" t="n">
        <v>0</v>
      </c>
      <c r="K41" t="n">
        <v>0</v>
      </c>
      <c r="L41" t="inlineStr">
        <is>
          <t>2026-06-09T06:55:35.387778+00:00</t>
        </is>
      </c>
    </row>
    <row r="42">
      <c r="A42" t="inlineStr">
        <is>
          <t>All Questions</t>
        </is>
      </c>
      <c r="B42" t="inlineStr">
        <is>
          <t>cross_tab_by_selection_rate</t>
        </is>
      </c>
      <c r="C42" t="inlineStr">
        <is>
          <t>Q_MS_EXPORT</t>
        </is>
      </c>
      <c r="D42" t="inlineStr">
        <is>
          <t>Q_MS_EXPORTr2</t>
        </is>
      </c>
      <c r="E42" t="inlineStr">
        <is>
          <t>All_Questions_Q_MS_EXPORT_CT = P$27</t>
        </is>
      </c>
      <c r="H42">
        <f>IF(OR(All_Questions_Q_MS_EXPORT_CT="(None)",P$27=""),"",IF(P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P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P$27)),"")))</f>
        <v>0</v>
      </c>
      <c r="I42" t="n">
        <v>0.2</v>
      </c>
      <c r="J42" t="n">
        <v>0</v>
      </c>
      <c r="K42" t="n">
        <v>0</v>
      </c>
      <c r="L42" t="inlineStr">
        <is>
          <t>2026-06-09T06:55:35.387817+00:00</t>
        </is>
      </c>
    </row>
    <row r="43">
      <c r="A43" t="inlineStr">
        <is>
          <t>All Questions</t>
        </is>
      </c>
      <c r="B43" t="inlineStr">
        <is>
          <t>cross_tab_by_selection_rate</t>
        </is>
      </c>
      <c r="C43" t="inlineStr">
        <is>
          <t>Q_MS_EXPORT</t>
        </is>
      </c>
      <c r="D43" t="inlineStr">
        <is>
          <t>Q_MS_EXPORTr2</t>
        </is>
      </c>
      <c r="E43" t="inlineStr">
        <is>
          <t>All_Questions_Q_MS_EXPORT_CT = Q$27</t>
        </is>
      </c>
      <c r="H43">
        <f>IF(OR(All_Questions_Q_MS_EXPORT_CT="(None)",Q$27=""),"",IF(Q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Q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Q$27)),"")))</f>
        <v>0</v>
      </c>
      <c r="I43" t="n">
        <v>0.2</v>
      </c>
      <c r="J43" t="n">
        <v>0</v>
      </c>
      <c r="K43" t="n">
        <v>0</v>
      </c>
      <c r="L43" t="inlineStr">
        <is>
          <t>2026-06-09T06:55:35.387854+00:00</t>
        </is>
      </c>
    </row>
    <row r="44">
      <c r="A44" t="inlineStr">
        <is>
          <t>All Questions</t>
        </is>
      </c>
      <c r="B44" t="inlineStr">
        <is>
          <t>cross_tab_by_selection_rate</t>
        </is>
      </c>
      <c r="C44" t="inlineStr">
        <is>
          <t>Q_MS_EXPORT</t>
        </is>
      </c>
      <c r="D44" t="inlineStr">
        <is>
          <t>Q_MS_EXPORTr2</t>
        </is>
      </c>
      <c r="E44" t="inlineStr">
        <is>
          <t>All_Questions_Q_MS_EXPORT_CT = R$27</t>
        </is>
      </c>
      <c r="H44">
        <f>IF(OR(All_Questions_Q_MS_EXPORT_CT="(None)",R$27=""),"",IF(R$27="Other","",IFERROR(COUNTIFS(Q_MS_EXPORTr2_data,"Selected",passes_workbook_filters_data,1,passes_workbook_custom_filters_data,1,All_Questions_passes_local_filters_data,1,All_Questions_Q_MS_EXPORT_F_passes_per_q_filter_data,1,INDIRECT(IFERROR(INDEX(Cross_Tab_Questions_Data_Names,MATCH(All_Questions_Q_MS_EXPORT_CT,Cross_Tab_Questions,0)),"'_RawData'!$A:$A")),R$27)/SUMPRODUCT(--((--(Q_MS_EXPORTr1_data&lt;&gt;"")+--(Q_MS_EXPORTr2_data&lt;&gt;""))&gt;0),--(passes_workbook_filters_data=1),--(passes_workbook_custom_filters_data=1),--(All_Questions_passes_local_filters_data=1),--(All_Questions_Q_MS_EXPORT_F_passes_per_q_filter_data=1),--(INDIRECT(IFERROR(INDEX(Cross_Tab_Questions_Data_Names,MATCH(All_Questions_Q_MS_EXPORT_CT,Cross_Tab_Questions,0)),"'_RawData'!$A:$A"))=R$27)),"")))</f>
        <v>0</v>
      </c>
      <c r="I44" t="n">
        <v>0.2</v>
      </c>
      <c r="J44" t="n">
        <v>0</v>
      </c>
      <c r="K44" t="n">
        <v>0</v>
      </c>
      <c r="L44" t="inlineStr">
        <is>
          <t>2026-06-09T06:55:35.387921+00:00</t>
        </is>
      </c>
    </row>
    <row r="45">
      <c r="A45" t="inlineStr">
        <is>
          <t>All Questions</t>
        </is>
      </c>
      <c r="B45" t="inlineStr">
        <is>
          <t>cross_tab_by_mean</t>
        </is>
      </c>
      <c r="C45" t="inlineStr">
        <is>
          <t>Q_NUM_EXPORT</t>
        </is>
      </c>
      <c r="D45" t="inlineStr">
        <is>
          <t>Q_NUM_EXPORT</t>
        </is>
      </c>
      <c r="E45" t="inlineStr">
        <is>
          <t>All_Questions_Q_NUM_EXPORT_CT = G$45</t>
        </is>
      </c>
      <c r="H45">
        <f>IF(OR(All_Questions_Q_NUM_EXPORT_CT="(None)",G$45=""),"",IF(G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G$45),"")))</f>
        <v>0</v>
      </c>
      <c r="I45" t="n">
        <v>5.5</v>
      </c>
      <c r="J45" t="n">
        <v>0</v>
      </c>
      <c r="K45" t="n">
        <v>0</v>
      </c>
      <c r="L45" t="inlineStr">
        <is>
          <t>2026-06-09T06:55:35.392740+00:00</t>
        </is>
      </c>
    </row>
    <row r="46">
      <c r="A46" t="inlineStr">
        <is>
          <t>All Questions</t>
        </is>
      </c>
      <c r="B46" t="inlineStr">
        <is>
          <t>cross_tab_by_mean</t>
        </is>
      </c>
      <c r="C46" t="inlineStr">
        <is>
          <t>Q_NUM_EXPORT</t>
        </is>
      </c>
      <c r="D46" t="inlineStr">
        <is>
          <t>Q_NUM_EXPORT</t>
        </is>
      </c>
      <c r="E46" t="inlineStr">
        <is>
          <t>All_Questions_Q_NUM_EXPORT_CT = H$45</t>
        </is>
      </c>
      <c r="H46">
        <f>IF(OR(All_Questions_Q_NUM_EXPORT_CT="(None)",H$45=""),"",IF(H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H$45),"")))</f>
        <v>0</v>
      </c>
      <c r="I46" t="n">
        <v>5.5</v>
      </c>
      <c r="J46" t="n">
        <v>0</v>
      </c>
      <c r="K46" t="n">
        <v>0</v>
      </c>
      <c r="L46" t="inlineStr">
        <is>
          <t>2026-06-09T06:55:35.392797+00:00</t>
        </is>
      </c>
    </row>
    <row r="47">
      <c r="A47" t="inlineStr">
        <is>
          <t>All Questions</t>
        </is>
      </c>
      <c r="B47" t="inlineStr">
        <is>
          <t>cross_tab_by_mean</t>
        </is>
      </c>
      <c r="C47" t="inlineStr">
        <is>
          <t>Q_NUM_EXPORT</t>
        </is>
      </c>
      <c r="D47" t="inlineStr">
        <is>
          <t>Q_NUM_EXPORT</t>
        </is>
      </c>
      <c r="E47" t="inlineStr">
        <is>
          <t>All_Questions_Q_NUM_EXPORT_CT = I$45</t>
        </is>
      </c>
      <c r="H47">
        <f>IF(OR(All_Questions_Q_NUM_EXPORT_CT="(None)",I$45=""),"",IF(I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I$45),"")))</f>
        <v>0</v>
      </c>
      <c r="I47" t="n">
        <v>5.5</v>
      </c>
      <c r="J47" t="n">
        <v>0</v>
      </c>
      <c r="K47" t="n">
        <v>0</v>
      </c>
      <c r="L47" t="inlineStr">
        <is>
          <t>2026-06-09T06:55:35.392831+00:00</t>
        </is>
      </c>
    </row>
    <row r="48">
      <c r="A48" t="inlineStr">
        <is>
          <t>All Questions</t>
        </is>
      </c>
      <c r="B48" t="inlineStr">
        <is>
          <t>cross_tab_by_mean</t>
        </is>
      </c>
      <c r="C48" t="inlineStr">
        <is>
          <t>Q_NUM_EXPORT</t>
        </is>
      </c>
      <c r="D48" t="inlineStr">
        <is>
          <t>Q_NUM_EXPORT</t>
        </is>
      </c>
      <c r="E48" t="inlineStr">
        <is>
          <t>All_Questions_Q_NUM_EXPORT_CT = J$45</t>
        </is>
      </c>
      <c r="H48">
        <f>IF(OR(All_Questions_Q_NUM_EXPORT_CT="(None)",J$45=""),"",IF(J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J$45),"")))</f>
        <v>0</v>
      </c>
      <c r="I48" t="n">
        <v>5.5</v>
      </c>
      <c r="J48" t="n">
        <v>0</v>
      </c>
      <c r="K48" t="n">
        <v>0</v>
      </c>
      <c r="L48" t="inlineStr">
        <is>
          <t>2026-06-09T06:55:35.392869+00:00</t>
        </is>
      </c>
    </row>
    <row r="49">
      <c r="A49" t="inlineStr">
        <is>
          <t>All Questions</t>
        </is>
      </c>
      <c r="B49" t="inlineStr">
        <is>
          <t>cross_tab_by_mean</t>
        </is>
      </c>
      <c r="C49" t="inlineStr">
        <is>
          <t>Q_NUM_EXPORT</t>
        </is>
      </c>
      <c r="D49" t="inlineStr">
        <is>
          <t>Q_NUM_EXPORT</t>
        </is>
      </c>
      <c r="E49" t="inlineStr">
        <is>
          <t>All_Questions_Q_NUM_EXPORT_CT = K$45</t>
        </is>
      </c>
      <c r="H49">
        <f>IF(OR(All_Questions_Q_NUM_EXPORT_CT="(None)",K$45=""),"",IF(K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K$45),"")))</f>
        <v>0</v>
      </c>
      <c r="I49" t="n">
        <v>5.5</v>
      </c>
      <c r="J49" t="n">
        <v>0</v>
      </c>
      <c r="K49" t="n">
        <v>0</v>
      </c>
      <c r="L49" t="inlineStr">
        <is>
          <t>2026-06-09T06:55:35.392970+00:00</t>
        </is>
      </c>
    </row>
    <row r="50">
      <c r="A50" t="inlineStr">
        <is>
          <t>All Questions</t>
        </is>
      </c>
      <c r="B50" t="inlineStr">
        <is>
          <t>cross_tab_by_mean</t>
        </is>
      </c>
      <c r="C50" t="inlineStr">
        <is>
          <t>Q_NUM_EXPORT</t>
        </is>
      </c>
      <c r="D50" t="inlineStr">
        <is>
          <t>Q_NUM_EXPORT</t>
        </is>
      </c>
      <c r="E50" t="inlineStr">
        <is>
          <t>All_Questions_Q_NUM_EXPORT_CT = L$45</t>
        </is>
      </c>
      <c r="H50">
        <f>IF(OR(All_Questions_Q_NUM_EXPORT_CT="(None)",L$45=""),"",IF(L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L$45),"")))</f>
        <v>0</v>
      </c>
      <c r="I50" t="n">
        <v>5.5</v>
      </c>
      <c r="J50" t="n">
        <v>0</v>
      </c>
      <c r="K50" t="n">
        <v>0</v>
      </c>
      <c r="L50" t="inlineStr">
        <is>
          <t>2026-06-09T06:55:35.393030+00:00</t>
        </is>
      </c>
    </row>
    <row r="51">
      <c r="A51" t="inlineStr">
        <is>
          <t>All Questions</t>
        </is>
      </c>
      <c r="B51" t="inlineStr">
        <is>
          <t>cross_tab_by_mean</t>
        </is>
      </c>
      <c r="C51" t="inlineStr">
        <is>
          <t>Q_NUM_EXPORT</t>
        </is>
      </c>
      <c r="D51" t="inlineStr">
        <is>
          <t>Q_NUM_EXPORT</t>
        </is>
      </c>
      <c r="E51" t="inlineStr">
        <is>
          <t>All_Questions_Q_NUM_EXPORT_CT = M$45</t>
        </is>
      </c>
      <c r="H51">
        <f>IF(OR(All_Questions_Q_NUM_EXPORT_CT="(None)",M$45=""),"",IF(M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M$45),"")))</f>
        <v>0</v>
      </c>
      <c r="I51" t="n">
        <v>5.5</v>
      </c>
      <c r="J51" t="n">
        <v>0</v>
      </c>
      <c r="K51" t="n">
        <v>0</v>
      </c>
      <c r="L51" t="inlineStr">
        <is>
          <t>2026-06-09T06:55:35.393075+00:00</t>
        </is>
      </c>
    </row>
    <row r="52">
      <c r="A52" t="inlineStr">
        <is>
          <t>All Questions</t>
        </is>
      </c>
      <c r="B52" t="inlineStr">
        <is>
          <t>cross_tab_by_mean</t>
        </is>
      </c>
      <c r="C52" t="inlineStr">
        <is>
          <t>Q_NUM_EXPORT</t>
        </is>
      </c>
      <c r="D52" t="inlineStr">
        <is>
          <t>Q_NUM_EXPORT</t>
        </is>
      </c>
      <c r="E52" t="inlineStr">
        <is>
          <t>All_Questions_Q_NUM_EXPORT_CT = N$45</t>
        </is>
      </c>
      <c r="H52">
        <f>IF(OR(All_Questions_Q_NUM_EXPORT_CT="(None)",N$45=""),"",IF(N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N$45),"")))</f>
        <v>0</v>
      </c>
      <c r="I52" t="n">
        <v>5.5</v>
      </c>
      <c r="J52" t="n">
        <v>0</v>
      </c>
      <c r="K52" t="n">
        <v>0</v>
      </c>
      <c r="L52" t="inlineStr">
        <is>
          <t>2026-06-09T06:55:35.393116+00:00</t>
        </is>
      </c>
    </row>
    <row r="53">
      <c r="A53" t="inlineStr">
        <is>
          <t>All Questions</t>
        </is>
      </c>
      <c r="B53" t="inlineStr">
        <is>
          <t>cross_tab_by_mean</t>
        </is>
      </c>
      <c r="C53" t="inlineStr">
        <is>
          <t>Q_NUM_EXPORT</t>
        </is>
      </c>
      <c r="D53" t="inlineStr">
        <is>
          <t>Q_NUM_EXPORT</t>
        </is>
      </c>
      <c r="E53" t="inlineStr">
        <is>
          <t>All_Questions_Q_NUM_EXPORT_CT = O$45</t>
        </is>
      </c>
      <c r="H53">
        <f>IF(OR(All_Questions_Q_NUM_EXPORT_CT="(None)",O$45=""),"",IF(O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O$45),"")))</f>
        <v>0</v>
      </c>
      <c r="I53" t="n">
        <v>5.5</v>
      </c>
      <c r="J53" t="n">
        <v>0</v>
      </c>
      <c r="K53" t="n">
        <v>0</v>
      </c>
      <c r="L53" t="inlineStr">
        <is>
          <t>2026-06-09T06:55:35.393156+00:00</t>
        </is>
      </c>
    </row>
    <row r="54">
      <c r="A54" t="inlineStr">
        <is>
          <t>All Questions</t>
        </is>
      </c>
      <c r="B54" t="inlineStr">
        <is>
          <t>cross_tab_by_mean</t>
        </is>
      </c>
      <c r="C54" t="inlineStr">
        <is>
          <t>Q_NUM_EXPORT</t>
        </is>
      </c>
      <c r="D54" t="inlineStr">
        <is>
          <t>Q_NUM_EXPORT</t>
        </is>
      </c>
      <c r="E54" t="inlineStr">
        <is>
          <t>All_Questions_Q_NUM_EXPORT_CT = P$45</t>
        </is>
      </c>
      <c r="H54">
        <f>IF(OR(All_Questions_Q_NUM_EXPORT_CT="(None)",P$45=""),"",IF(P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P$45),"")))</f>
        <v>0</v>
      </c>
      <c r="I54" t="n">
        <v>5.5</v>
      </c>
      <c r="J54" t="n">
        <v>0</v>
      </c>
      <c r="K54" t="n">
        <v>0</v>
      </c>
      <c r="L54" t="inlineStr">
        <is>
          <t>2026-06-09T06:55:35.393193+00:00</t>
        </is>
      </c>
    </row>
    <row r="55">
      <c r="A55" t="inlineStr">
        <is>
          <t>All Questions</t>
        </is>
      </c>
      <c r="B55" t="inlineStr">
        <is>
          <t>cross_tab_by_mean</t>
        </is>
      </c>
      <c r="C55" t="inlineStr">
        <is>
          <t>Q_NUM_EXPORT</t>
        </is>
      </c>
      <c r="D55" t="inlineStr">
        <is>
          <t>Q_NUM_EXPORT</t>
        </is>
      </c>
      <c r="E55" t="inlineStr">
        <is>
          <t>All_Questions_Q_NUM_EXPORT_CT = Q$45</t>
        </is>
      </c>
      <c r="H55">
        <f>IF(OR(All_Questions_Q_NUM_EXPORT_CT="(None)",Q$45=""),"",IF(Q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Q$45),"")))</f>
        <v>0</v>
      </c>
      <c r="I55" t="n">
        <v>5.5</v>
      </c>
      <c r="J55" t="n">
        <v>0</v>
      </c>
      <c r="K55" t="n">
        <v>0</v>
      </c>
      <c r="L55" t="inlineStr">
        <is>
          <t>2026-06-09T06:55:35.393232+00:00</t>
        </is>
      </c>
    </row>
    <row r="56">
      <c r="A56" t="inlineStr">
        <is>
          <t>All Questions</t>
        </is>
      </c>
      <c r="B56" t="inlineStr">
        <is>
          <t>cross_tab_by_mean</t>
        </is>
      </c>
      <c r="C56" t="inlineStr">
        <is>
          <t>Q_NUM_EXPORT</t>
        </is>
      </c>
      <c r="D56" t="inlineStr">
        <is>
          <t>Q_NUM_EXPORT</t>
        </is>
      </c>
      <c r="E56" t="inlineStr">
        <is>
          <t>All_Questions_Q_NUM_EXPORT_CT = R$45</t>
        </is>
      </c>
      <c r="H56">
        <f>IF(OR(All_Questions_Q_NUM_EXPORT_CT="(None)",R$45=""),"",IF(R$45="Other","",IFERROR(AVERAGEIFS(Q_NUM_EXPORT_data,Q_NUM_EXPORT_data,"&lt;&gt;",passes_workbook_filters_data,1,passes_workbook_custom_filters_data,1,All_Questions_passes_local_filters_data,1,All_Questions_Q_NUM_EXPORT_F_passes_per_q_filter_data,1,INDIRECT(IFERROR(INDEX(Cross_Tab_Questions_Data_Names,MATCH(All_Questions_Q_NUM_EXPORT_CT,Cross_Tab_Questions,0)),"'_RawData'!$A:$A")),R$45),"")))</f>
        <v>0</v>
      </c>
      <c r="I56" t="n">
        <v>5.5</v>
      </c>
      <c r="J56" t="n">
        <v>0</v>
      </c>
      <c r="K56" t="n">
        <v>0</v>
      </c>
      <c r="L56" t="inlineStr">
        <is>
          <t>2026-06-09T06:55:35.393286+00:00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7" customWidth="1" min="2" max="2"/>
    <col width="19" customWidth="1" min="3" max="3"/>
    <col width="21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  <row r="2">
      <c r="A2" t="inlineStr">
        <is>
          <t>CC_SEG_EXPORT</t>
        </is>
      </c>
      <c r="B2" t="inlineStr">
        <is>
          <t>Segment profile</t>
        </is>
      </c>
      <c r="C2" t="inlineStr">
        <is>
          <t>Q_SEG_1 == 1</t>
        </is>
      </c>
      <c r="D2" t="inlineStr">
        <is>
          <t>Q_SEG_1 = Segment 1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46" customWidth="1" min="1" max="1"/>
    <col width="43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  <row r="2">
      <c r="A2" t="inlineStr">
        <is>
          <t>quality</t>
        </is>
      </c>
      <c r="B2" t="inlineStr">
        <is>
          <t>column extra_col has 50.0% missing values</t>
        </is>
      </c>
    </row>
    <row r="3">
      <c r="A3" t="inlineStr">
        <is>
          <t>result:Q_VERY_LONG_SINGLE_SELECT_EXPORT_NAME</t>
        </is>
      </c>
      <c r="B3" t="inlineStr">
        <is>
          <t>long id warning</t>
        </is>
      </c>
    </row>
    <row r="4">
      <c r="A4" t="inlineStr">
        <is>
          <t>skip:[Q_FAIL_EXPORT]</t>
        </is>
      </c>
      <c r="B4" t="inlineStr">
        <is>
          <t>ValueError: raw column not found in data</t>
        </is>
      </c>
    </row>
    <row r="5">
      <c r="A5" t="inlineStr">
        <is>
          <t>skip:CC_BAD_EXPORT</t>
        </is>
      </c>
      <c r="B5" t="inlineStr">
        <is>
          <t>ValueError: synthetic cross cut failure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2026-06-09T06:55:35Z</dcterms:created>
  <dcterms:modified xmlns:dcterms="http://purl.org/dc/terms/" xmlns:xsi="http://www.w3.org/2001/XMLSchema-instance" xsi:type="dcterms:W3CDTF">2026-06-09T06:55:35Z</dcterms:modified>
</cp:coreProperties>
</file>