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Cross_Tab_Questions">'_Options'!$J$2:$J$3</definedName>
    <definedName name="Cross_Tab_Questions_Data_Names">'_Options'!$K$2:$K$3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Q_GB_filter_values_options">'_Options'!$O$2:$O$3</definedName>
    <definedName name="Q_GB_filter_values_local_options">'_Options'!$P$2:$P$4</definedName>
    <definedName name="All_Questions_Data_Names">'_Options'!$C$2:$C$4</definedName>
    <definedName name="All_Questions_Options_Names">'_Options'!$D$2:$D$4</definedName>
    <definedName name="Cross_Tab_Questions_Options_Names">'_Options'!$L$2:$L$3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resolved_criteria">'All Questions'!$H$13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resolved_criteria">'All Questions'!$H$24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("|" &amp; SUBSTITUTE(All_Questions_Q_SEG_F_resolved_criteria, ", ", "|") &amp; "|"))),1,0),0))*1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("|" &amp; SUBSTITUTE(All_Questions_Q_GB_F_resolved_criteria, ", ", "|") &amp; "|"))),1,0),0))*1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("|" &amp; SUBSTITUTE(All_Questions_Q_SEG_F_resolved_criteria, ", ", "|") &amp; "|"))),1,0),0))*1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("|" &amp; SUBSTITUTE(All_Questions_Q_GB_F_resolved_criteria, ", ", "|") &amp; "|"))),1,0),0))*1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("|" &amp; SUBSTITUTE(All_Questions_Q_SEG_F_resolved_criteria, ", ", "|") &amp; "|"))),1,0),0))*1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("|" &amp; SUBSTITUTE(All_Questions_Q_GB_F_resolved_criteria, ", ", "|") &amp; "|"))),1,0),0))*1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("|" &amp; SUBSTITUTE(All_Questions_Q_SEG_F_resolved_criteria, ", ", "|") &amp; "|"))),1,0),0))*1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("|" &amp; SUBSTITUTE(All_Questions_Q_GB_F_resolved_criteria,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O1" t="inlineStr">
        <is>
          <t>Q_GB_filter_values_options</t>
        </is>
      </c>
      <c r="P1" t="inlineStr">
        <is>
          <t>Q_GB_filter_values_local_options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O2" t="inlineStr">
        <is>
          <t>(All)</t>
        </is>
      </c>
      <c r="P2" t="inlineStr">
        <is>
          <t>(Inherit)</t>
        </is>
      </c>
      <c r="R2" t="inlineStr">
        <is>
          <t>Q_GB - Binary Grid|Capability</t>
        </is>
      </c>
      <c r="S2" t="inlineStr">
        <is>
          <t>'_RawData'!$C$2:$C$5</t>
        </is>
      </c>
      <c r="T2" t="inlineStr">
        <is>
          <t>Selected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  <c r="J3" t="inlineStr">
        <is>
          <t>Q_SEG - Segment</t>
        </is>
      </c>
      <c r="K3" t="inlineStr">
        <is>
          <t>'_RawData'!$B$2:$B$5</t>
        </is>
      </c>
      <c r="L3" t="inlineStr">
        <is>
          <t>'_Options'!$F$2:$F$4</t>
        </is>
      </c>
      <c r="O3" t="inlineStr">
        <is>
          <t>Capability</t>
        </is>
      </c>
      <c r="P3" t="inlineStr">
        <is>
          <t>(All)</t>
        </is>
      </c>
    </row>
    <row r="4">
      <c r="A4" t="inlineStr">
        <is>
          <t>Q_GB - Binary Grid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'_Options'!$O$2:$O$3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  <c r="P4" t="inlineStr">
        <is>
          <t>Capability</t>
        </is>
      </c>
    </row>
    <row r="5">
      <c r="B5" t="inlineStr">
        <is>
          <t>Q_GB - Binary Grid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IFERROR(INDEX(All_Questions_Value_Data_Names,MATCH(All_Questions_Q_SEG_F_Q&amp;"|"&amp;All_Questions_Q_SEG_F_V,All_Questions_Value_Keys,0)),IFERROR(INDEX(All_Questions_Data_Names,MATCH(All_Questions_Q_SEG_F_Q,All_Questions,0)),"'_RawData'!$A:$A"))</f>
        <v>respondent_id_data</v>
      </c>
      <c r="G13" t="str">
        <f>"|" &amp; SUBSTITUTE(All_Questions_Q_SEG_F_V, ", ", "|") &amp; "|"</f>
        <v>|(All)|</v>
      </c>
      <c r="H13" t="str">
        <f>IFERROR(INDEX(All_Questions_Value_Criteria,MATCH(All_Questions_Q_SEG_F_Q&amp;"|"&amp;All_Questions_Q_SEG_F_V,All_Questions_Value_Keys,0)),All_Questions_Q_SEG_F_V)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IF(All_Questions_Q_SEG_CT="(None)","",IFERROR(INDEX(INDIRECT(IFERROR(INDEX(Cross_Tab_Questions_Options_Names,MATCH(All_Questions_Q_SEG_CT,Cross_Tab_Questions,0)),"'_Options'!$E$2:$E$2")),2),""))</f>
        <v/>
      </c>
      <c r="H16" s="2" t="str">
        <f>IF(All_Questions_Q_SEG_CT="(None)","",IFERROR(INDEX(INDIRECT(IFERROR(INDEX(Cross_Tab_Questions_Options_Names,MATCH(All_Questions_Q_SEG_CT,Cross_Tab_Questions,0)),"'_Options'!$E$2:$E$2")),3),""))</f>
        <v/>
      </c>
      <c r="I16" s="2" t="str">
        <f>IF(All_Questions_Q_SEG_CT="(None)","",IFERROR(INDEX(INDIRECT(IFERROR(INDEX(Cross_Tab_Questions_Options_Names,MATCH(All_Questions_Q_SEG_CT,Cross_Tab_Questions,0)),"'_Options'!$E$2:$E$2")),4),""))</f>
        <v/>
      </c>
      <c r="J16" s="2" t="str">
        <f>IF(All_Questions_Q_SEG_CT="(None)","",IFERROR(INDEX(INDIRECT(IFERROR(INDEX(Cross_Tab_Questions_Options_Names,MATCH(All_Questions_Q_SEG_CT,Cross_Tab_Questions,0)),"'_Options'!$E$2:$E$2")),5),""))</f>
        <v/>
      </c>
      <c r="K16" s="2" t="str">
        <f>IF(All_Questions_Q_SEG_CT="(None)","",IFERROR(INDEX(INDIRECT(IFERROR(INDEX(Cross_Tab_Questions_Options_Names,MATCH(All_Questions_Q_SEG_CT,Cross_Tab_Questions,0)),"'_Options'!$E$2:$E$2")),6),""))</f>
        <v/>
      </c>
      <c r="L16" s="2" t="str">
        <f>IF(All_Questions_Q_SEG_CT="(None)","",IFERROR(INDEX(INDIRECT(IFERROR(INDEX(Cross_Tab_Questions_Options_Names,MATCH(All_Questions_Q_SEG_CT,Cross_Tab_Questions,0)),"'_Options'!$E$2:$E$2")),7),""))</f>
        <v/>
      </c>
      <c r="M16" s="2" t="str">
        <f>IF(All_Questions_Q_SEG_CT="(None)","",IFERROR(INDEX(INDIRECT(IFERROR(INDEX(Cross_Tab_Questions_Options_Names,MATCH(All_Questions_Q_SEG_CT,Cross_Tab_Questions,0)),"'_Options'!$E$2:$E$2")),8),""))</f>
        <v/>
      </c>
      <c r="N16" s="2" t="str">
        <f>IF(All_Questions_Q_SEG_CT="(None)","",IFERROR(INDEX(INDIRECT(IFERROR(INDEX(Cross_Tab_Questions_Options_Names,MATCH(All_Questions_Q_SEG_CT,Cross_Tab_Questions,0)),"'_Options'!$E$2:$E$2")),9),""))</f>
        <v/>
      </c>
      <c r="O16" s="2" t="str">
        <f>IF(All_Questions_Q_SEG_CT="(None)","",IFERROR(INDEX(INDIRECT(IFERROR(INDEX(Cross_Tab_Questions_Options_Names,MATCH(All_Questions_Q_SEG_CT,Cross_Tab_Questions,0)),"'_Options'!$E$2:$E$2")),10),""))</f>
        <v/>
      </c>
      <c r="P16" s="2" t="str">
        <f>IF(All_Questions_Q_SEG_CT="(None)","",IFERROR(INDEX(INDIRECT(IFERROR(INDEX(Cross_Tab_Questions_Options_Names,MATCH(All_Questions_Q_SEG_CT,Cross_Tab_Questions,0)),"'_Options'!$E$2:$E$2")),11),""))</f>
        <v/>
      </c>
      <c r="Q16" s="2" t="str">
        <f>IF(All_Questions_Q_SEG_CT="(None)","",IFERROR(INDEX(INDIRECT(IFERROR(INDEX(Cross_Tab_Questions_Options_Names,MATCH(All_Questions_Q_SEG_CT,Cross_Tab_Questions,0)),"'_Options'!$E$2:$E$2")),12),""))</f>
        <v/>
      </c>
      <c r="R16" s="2" t="str">
        <f>IF(All_Questions_Q_SEG_CT="(None)","",IF(COUNTA(INDIRECT(IFERROR(INDEX(Cross_Tab_Questions_Options_Names,MATCH(All_Questions_Q_SEG_CT,Cross_Tab_Questions,0)),"'_Options'!$E$2:$E$2")))-1&gt;11,"Other",IFERROR(INDEX(INDIRECT(IFERROR(INDEX(Cross_Tab_Questions_Options_Names,MATCH(All_Questions_Q_SEG_CT,Cross_Tab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Cross_Tab_Questions_Data_Names,MATCH(All_Questions_Q_SEG_CT,Cross_Tab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IFERROR(INDEX(All_Questions_Value_Data_Names,MATCH(All_Questions_Q_GB_F_Q&amp;"|"&amp;All_Questions_Q_GB_F_V,All_Questions_Value_Keys,0)),IFERROR(INDEX(All_Questions_Data_Names,MATCH(All_Questions_Q_GB_F_Q,All_Questions,0)),"'_RawData'!$A:$A"))</f>
        <v>respondent_id_data</v>
      </c>
      <c r="G24" t="str">
        <f>"|" &amp; SUBSTITUTE(All_Questions_Q_GB_F_V, ", ", "|") &amp; "|"</f>
        <v>|(All)|</v>
      </c>
      <c r="H24" t="str">
        <f>IFERROR(INDEX(All_Questions_Value_Criteria,MATCH(All_Questions_Q_GB_F_Q&amp;"|"&amp;All_Questions_Q_GB_F_V,All_Questions_Value_Keys,0)),All_Questions_Q_GB_F_V)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IF(All_Questions_Q_GB_CT="(None)","",IFERROR(INDEX(INDIRECT(IFERROR(INDEX(Cross_Tab_Questions_Options_Names,MATCH(All_Questions_Q_GB_CT,Cross_Tab_Questions,0)),"'_Options'!$E$2:$E$2")),2),""))</f>
        <v/>
      </c>
      <c r="H34" s="2" t="str">
        <f>IF(All_Questions_Q_GB_CT="(None)","",IFERROR(INDEX(INDIRECT(IFERROR(INDEX(Cross_Tab_Questions_Options_Names,MATCH(All_Questions_Q_GB_CT,Cross_Tab_Questions,0)),"'_Options'!$E$2:$E$2")),3),""))</f>
        <v/>
      </c>
      <c r="I34" s="2" t="str">
        <f>IF(All_Questions_Q_GB_CT="(None)","",IFERROR(INDEX(INDIRECT(IFERROR(INDEX(Cross_Tab_Questions_Options_Names,MATCH(All_Questions_Q_GB_CT,Cross_Tab_Questions,0)),"'_Options'!$E$2:$E$2")),4),""))</f>
        <v/>
      </c>
      <c r="J34" s="2" t="str">
        <f>IF(All_Questions_Q_GB_CT="(None)","",IFERROR(INDEX(INDIRECT(IFERROR(INDEX(Cross_Tab_Questions_Options_Names,MATCH(All_Questions_Q_GB_CT,Cross_Tab_Questions,0)),"'_Options'!$E$2:$E$2")),5),""))</f>
        <v/>
      </c>
      <c r="K34" s="2" t="str">
        <f>IF(All_Questions_Q_GB_CT="(None)","",IFERROR(INDEX(INDIRECT(IFERROR(INDEX(Cross_Tab_Questions_Options_Names,MATCH(All_Questions_Q_GB_CT,Cross_Tab_Questions,0)),"'_Options'!$E$2:$E$2")),6),""))</f>
        <v/>
      </c>
      <c r="L34" s="2" t="str">
        <f>IF(All_Questions_Q_GB_CT="(None)","",IFERROR(INDEX(INDIRECT(IFERROR(INDEX(Cross_Tab_Questions_Options_Names,MATCH(All_Questions_Q_GB_CT,Cross_Tab_Questions,0)),"'_Options'!$E$2:$E$2")),7),""))</f>
        <v/>
      </c>
      <c r="M34" s="2" t="str">
        <f>IF(All_Questions_Q_GB_CT="(None)","",IFERROR(INDEX(INDIRECT(IFERROR(INDEX(Cross_Tab_Questions_Options_Names,MATCH(All_Questions_Q_GB_CT,Cross_Tab_Questions,0)),"'_Options'!$E$2:$E$2")),8),""))</f>
        <v/>
      </c>
      <c r="N34" s="2" t="str">
        <f>IF(All_Questions_Q_GB_CT="(None)","",IFERROR(INDEX(INDIRECT(IFERROR(INDEX(Cross_Tab_Questions_Options_Names,MATCH(All_Questions_Q_GB_CT,Cross_Tab_Questions,0)),"'_Options'!$E$2:$E$2")),9),""))</f>
        <v/>
      </c>
      <c r="O34" s="2" t="str">
        <f>IF(All_Questions_Q_GB_CT="(None)","",IFERROR(INDEX(INDIRECT(IFERROR(INDEX(Cross_Tab_Questions_Options_Names,MATCH(All_Questions_Q_GB_CT,Cross_Tab_Questions,0)),"'_Options'!$E$2:$E$2")),10),""))</f>
        <v/>
      </c>
      <c r="P34" s="2" t="str">
        <f>IF(All_Questions_Q_GB_CT="(None)","",IFERROR(INDEX(INDIRECT(IFERROR(INDEX(Cross_Tab_Questions_Options_Names,MATCH(All_Questions_Q_GB_CT,Cross_Tab_Questions,0)),"'_Options'!$E$2:$E$2")),11),""))</f>
        <v/>
      </c>
      <c r="Q34" s="2" t="str">
        <f>IF(All_Questions_Q_GB_CT="(None)","",IFERROR(INDEX(INDIRECT(IFERROR(INDEX(Cross_Tab_Questions_Options_Names,MATCH(All_Questions_Q_GB_CT,Cross_Tab_Questions,0)),"'_Options'!$E$2:$E$2")),12),""))</f>
        <v/>
      </c>
      <c r="R34" s="2" t="str">
        <f>IF(All_Questions_Q_GB_CT="(None)","",IF(COUNTA(INDIRECT(IFERROR(INDEX(Cross_Tab_Questions_Options_Names,MATCH(All_Questions_Q_GB_CT,Cross_Tab_Questions,0)),"'_Options'!$E$2:$E$2")))-1&gt;11,"Other",IFERROR(INDEX(INDIRECT(IFERROR(INDEX(Cross_Tab_Questions_Options_Names,MATCH(All_Questions_Q_GB_CT,Cross_Tab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2026-06-08T13:42:46.329640+00:00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2026-06-08T13:42:46.329711+00:00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2026-06-08T13:42:46.329754+00:00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2026-06-08T13:42:46.329794+00:00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2026-06-08T13:42:46.329836+00:00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2026-06-08T13:42:46.329874+00:00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2026-06-08T13:42:46.329912+00:00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2026-06-08T13:42:46.329975+00:00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2026-06-08T13:42:46.330022+00:00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2026-06-08T13:42:46.330062+00:00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2026-06-08T13:42:46.330103+00:00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Cross_Tab_Questions_Data_Names,MATCH(All_Questions_Q_GB_CT,Cross_Tab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Cross_Tab_Questions_Data_Names,MATCH(All_Questions_Q_GB_CT,Cross_Tab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2026-06-08T13:42:46.330150+00:00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2026-06-08T13:42:45Z</dcterms:created>
  <dcterms:modified xmlns:dcterms="http://purl.org/dc/terms/" xmlns:xsi="http://www.w3.org/2001/XMLSchema-instance" xsi:type="dcterms:W3CDTF">2026-06-08T13:42:46Z</dcterms:modified>
</cp:coreProperties>
</file>