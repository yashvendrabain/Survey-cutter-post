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SEG_data">'_RawData'!$B$2:$B$5</definedName>
    <definedName name="Q_GB_R1_data">'_RawData'!$C$2:$C$5</definedName>
    <definedName name="All_Questions">'_Options'!$A$2:$A$4</definedName>
    <definedName name="All_Questions_Local">'_Options'!$B$2:$B$5</definedName>
    <definedName name="Cross_Tab_Questions">'_Options'!$J$2:$J$3</definedName>
    <definedName name="Cross_Tab_Questions_Data_Names">'_Options'!$K$2:$K$3</definedName>
    <definedName name="None_options">'_Options'!$E$2:$E$2</definedName>
    <definedName name="Q_SEG_options">'_Options'!$F$2:$F$4</definedName>
    <definedName name="Q_SEG_local_options">'_Options'!$H$2:$H$5</definedName>
    <definedName name="Q_GB_R1_options">'_Options'!$G$2:$G$3</definedName>
    <definedName name="Q_GB_R1_local_options">'_Options'!$I$2:$I$4</definedName>
    <definedName name="Q_GB_filter_values_options">'_Options'!$O$2:$O$3</definedName>
    <definedName name="Q_GB_filter_values_local_options">'_Options'!$P$2:$P$4</definedName>
    <definedName name="All_Questions_Data_Names">'_Options'!$C$2:$C$4</definedName>
    <definedName name="All_Questions_Options_Names">'_Options'!$D$2:$D$4</definedName>
    <definedName name="Cross_Tab_Questions_Options_Names">'_Options'!$L$2:$L$3</definedName>
    <definedName name="All_Questions_Value_Keys">'_Options'!$R$2:$R$2</definedName>
    <definedName name="All_Questions_Value_Data_Names">'_Options'!$S$2:$S$2</definedName>
    <definedName name="All_Questions_Value_Criteria">'_Options'!$T$2:$T$2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'_RawData'!$H$2:$H$5</definedName>
    <definedName name="All_Questions_Q_SEG_F_Q">'All Questions'!$C$13</definedName>
    <definedName name="All_Questions_Q_SEG_F_V">'All Questions'!$E$13</definedName>
    <definedName name="All_Questions_Q_SEG_F_resolved_column">'All Questions'!$F$13</definedName>
    <definedName name="All_Questions_Q_SEG_F_wrapped">'All Questions'!$G$13</definedName>
    <definedName name="All_Questions_Q_SEG_F_resolved_criteria">'All Questions'!$H$13</definedName>
    <definedName name="All_Questions_Q_SEG_F_passes_per_q_filter_data">'_RawData'!$I$2:$I$5</definedName>
    <definedName name="All_Questions_Q_SEG_CT">'All Questions'!$C$14</definedName>
    <definedName name="All_Questions_Q_GB_F_Q">'All Questions'!$C$24</definedName>
    <definedName name="All_Questions_Q_GB_F_V">'All Questions'!$E$24</definedName>
    <definedName name="All_Questions_Q_GB_F_resolved_column">'All Questions'!$F$24</definedName>
    <definedName name="All_Questions_Q_GB_F_wrapped">'All Questions'!$G$24</definedName>
    <definedName name="All_Questions_Q_GB_F_resolved_criteria">'All Questions'!$H$24</definedName>
    <definedName name="All_Questions_Q_GB_F_passes_per_q_filter_data">'_RawData'!$J$2:$J$5</definedName>
    <definedName name="All_Questions_Q_GB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D3" i="1"/>
  <c r="E3" i="1"/>
  <c r="F3" i="1"/>
  <c r="G3" i="1"/>
  <c r="H3" i="1"/>
  <c r="I3" i="1"/>
  <c r="J3" i="1"/>
  <c r="D4" i="1"/>
  <c r="E4" i="1"/>
  <c r="F4" i="1"/>
  <c r="G4" i="1"/>
  <c r="H4" i="1"/>
  <c r="I4" i="1"/>
  <c r="J4" i="1"/>
  <c r="D5" i="1"/>
  <c r="E5" i="1"/>
  <c r="F5" i="1"/>
  <c r="G5" i="1"/>
  <c r="H5" i="1"/>
  <c r="I5" i="1"/>
  <c r="J5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34" i="7"/>
  <c r="H34" i="7"/>
  <c r="I34" i="7"/>
  <c r="J34" i="7"/>
  <c r="K34" i="7"/>
  <c r="L34" i="7"/>
  <c r="M34" i="7"/>
  <c r="N34" i="7"/>
  <c r="O34" i="7"/>
  <c r="P34" i="7"/>
  <c r="Q34" i="7"/>
  <c r="R34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S37" i="7"/>
  <c r="H2" i="8"/>
  <c r="H3" i="8"/>
  <c r="H4" i="8"/>
  <c r="H5" i="8"/>
  <c r="H6" i="8"/>
  <c r="H7" i="8"/>
  <c r="H8" i="8"/>
  <c r="H9" i="8"/>
  <c r="H10" i="8"/>
  <c r="H11" i="8"/>
  <c r="H12" i="8"/>
  <c r="H13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Q_SEG</t>
        </is>
      </c>
      <c r="C1" t="inlineStr">
        <is>
          <t>Q_GB_R1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All_Questions_Q_SEG_F_passes_per_q_filter</t>
        </is>
      </c>
      <c r="J1" t="inlineStr">
        <is>
          <t>All_Questions_Q_GB_F_passes_per_q_filter</t>
        </is>
      </c>
    </row>
    <row r="2">
      <c r="A2" t="n">
        <v>1</v>
      </c>
      <c r="B2" t="inlineStr">
        <is>
          <t>Segment A</t>
        </is>
      </c>
      <c r="C2" t="inlineStr">
        <is>
          <t>Selected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G2">
        <f>E2*F2*1</f>
        <v>1</v>
      </c>
      <c r="H2">
        <f>1</f>
        <v>1</v>
      </c>
      <c r="I2">
        <f>IF(OR(All_Questions_Q_SEG_F_Q="(None)",All_Questions_Q_SEG_F_Q="",ISBLANK(All_Questions_Q_SEG_F_Q),All_Questions_Q_SEG_F_V="(All)",All_Questions_Q_SEG_F_V="",ISBLANK(All_Questions_Q_SEG_F_V)),1,IFERROR(IF(ISNUMBER(SEARCH("|"&amp;INDEX(INDIRECT(All_Questions_Q_SEG_F_resolved_column),1)&amp;"|",("|" &amp; SUBSTITUTE(All_Questions_Q_SEG_F_resolved_criteria, ", ", "|") &amp; "|"))),1,0),0))*1</f>
        <v>1</v>
      </c>
      <c r="J2">
        <f>IF(OR(All_Questions_Q_GB_F_Q="(None)",All_Questions_Q_GB_F_Q="",ISBLANK(All_Questions_Q_GB_F_Q),All_Questions_Q_GB_F_V="(All)",All_Questions_Q_GB_F_V="",ISBLANK(All_Questions_Q_GB_F_V)),1,IFERROR(IF(ISNUMBER(SEARCH("|"&amp;INDEX(INDIRECT(All_Questions_Q_GB_F_resolved_column),1)&amp;"|",("|" &amp; SUBSTITUTE(All_Questions_Q_GB_F_resolved_criteria, ", ", "|") &amp; "|"))),1,0),0))*1</f>
        <v>1</v>
      </c>
    </row>
    <row r="3">
      <c r="A3" t="n">
        <v>2</v>
      </c>
      <c r="B3" t="inlineStr">
        <is>
          <t>Segment A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G3">
        <f>E3*F3*1</f>
        <v>1</v>
      </c>
      <c r="H3">
        <f>1</f>
        <v>1</v>
      </c>
      <c r="I3">
        <f>IF(OR(All_Questions_Q_SEG_F_Q="(None)",All_Questions_Q_SEG_F_Q="",ISBLANK(All_Questions_Q_SEG_F_Q),All_Questions_Q_SEG_F_V="(All)",All_Questions_Q_SEG_F_V="",ISBLANK(All_Questions_Q_SEG_F_V)),1,IFERROR(IF(ISNUMBER(SEARCH("|"&amp;INDEX(INDIRECT(All_Questions_Q_SEG_F_resolved_column),2)&amp;"|",("|" &amp; SUBSTITUTE(All_Questions_Q_SEG_F_resolved_criteria, ", ", "|") &amp; "|"))),1,0),0))*1</f>
        <v>1</v>
      </c>
      <c r="J3">
        <f>IF(OR(All_Questions_Q_GB_F_Q="(None)",All_Questions_Q_GB_F_Q="",ISBLANK(All_Questions_Q_GB_F_Q),All_Questions_Q_GB_F_V="(All)",All_Questions_Q_GB_F_V="",ISBLANK(All_Questions_Q_GB_F_V)),1,IFERROR(IF(ISNUMBER(SEARCH("|"&amp;INDEX(INDIRECT(All_Questions_Q_GB_F_resolved_column),2)&amp;"|",("|" &amp; SUBSTITUTE(All_Questions_Q_GB_F_resolved_criteria, ", ", "|") &amp; "|"))),1,0),0))*1</f>
        <v>1</v>
      </c>
    </row>
    <row r="4">
      <c r="A4" t="n">
        <v>3</v>
      </c>
      <c r="B4" t="inlineStr">
        <is>
          <t>Segment B</t>
        </is>
      </c>
      <c r="C4" t="inlineStr">
        <is>
          <t>Selected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G4">
        <f>E4*F4*1</f>
        <v>1</v>
      </c>
      <c r="H4">
        <f>1</f>
        <v>1</v>
      </c>
      <c r="I4">
        <f>IF(OR(All_Questions_Q_SEG_F_Q="(None)",All_Questions_Q_SEG_F_Q="",ISBLANK(All_Questions_Q_SEG_F_Q),All_Questions_Q_SEG_F_V="(All)",All_Questions_Q_SEG_F_V="",ISBLANK(All_Questions_Q_SEG_F_V)),1,IFERROR(IF(ISNUMBER(SEARCH("|"&amp;INDEX(INDIRECT(All_Questions_Q_SEG_F_resolved_column),3)&amp;"|",("|" &amp; SUBSTITUTE(All_Questions_Q_SEG_F_resolved_criteria, ", ", "|") &amp; "|"))),1,0),0))*1</f>
        <v>1</v>
      </c>
      <c r="J4">
        <f>IF(OR(All_Questions_Q_GB_F_Q="(None)",All_Questions_Q_GB_F_Q="",ISBLANK(All_Questions_Q_GB_F_Q),All_Questions_Q_GB_F_V="(All)",All_Questions_Q_GB_F_V="",ISBLANK(All_Questions_Q_GB_F_V)),1,IFERROR(IF(ISNUMBER(SEARCH("|"&amp;INDEX(INDIRECT(All_Questions_Q_GB_F_resolved_column),3)&amp;"|",("|" &amp; SUBSTITUTE(All_Questions_Q_GB_F_resolved_criteria, ", ", "|") &amp; "|"))),1,0),0))*1</f>
        <v>1</v>
      </c>
    </row>
    <row r="5">
      <c r="A5" t="n">
        <v>4</v>
      </c>
      <c r="B5" t="inlineStr">
        <is>
          <t>Segment B</t>
        </is>
      </c>
      <c r="C5" t="inlineStr">
        <is>
          <t>Selected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G5">
        <f>E5*F5*1</f>
        <v>1</v>
      </c>
      <c r="H5">
        <f>1</f>
        <v>1</v>
      </c>
      <c r="I5">
        <f>IF(OR(All_Questions_Q_SEG_F_Q="(None)",All_Questions_Q_SEG_F_Q="",ISBLANK(All_Questions_Q_SEG_F_Q),All_Questions_Q_SEG_F_V="(All)",All_Questions_Q_SEG_F_V="",ISBLANK(All_Questions_Q_SEG_F_V)),1,IFERROR(IF(ISNUMBER(SEARCH("|"&amp;INDEX(INDIRECT(All_Questions_Q_SEG_F_resolved_column),4)&amp;"|",("|" &amp; SUBSTITUTE(All_Questions_Q_SEG_F_resolved_criteria, ", ", "|") &amp; "|"))),1,0),0))*1</f>
        <v>1</v>
      </c>
      <c r="J5">
        <f>IF(OR(All_Questions_Q_GB_F_Q="(None)",All_Questions_Q_GB_F_Q="",ISBLANK(All_Questions_Q_GB_F_Q),All_Questions_Q_GB_F_V="(All)",All_Questions_Q_GB_F_V="",ISBLANK(All_Questions_Q_GB_F_V)),1,IFERROR(IF(ISNUMBER(SEARCH("|"&amp;INDEX(INDIRECT(All_Questions_Q_GB_F_resolved_column),4)&amp;"|",("|" &amp; SUBSTITUTE(All_Questions_Q_GB_F_resolved_criteria,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Q_SEG_options</t>
        </is>
      </c>
      <c r="G1" t="inlineStr">
        <is>
          <t>Q_GB_R1_options</t>
        </is>
      </c>
      <c r="H1" t="inlineStr">
        <is>
          <t>Q_SEG_local_options</t>
        </is>
      </c>
      <c r="I1" t="inlineStr">
        <is>
          <t>Q_GB_R1_local_options</t>
        </is>
      </c>
      <c r="J1" t="inlineStr">
        <is>
          <t>Cross_Tab_Questions</t>
        </is>
      </c>
      <c r="K1" t="inlineStr">
        <is>
          <t>Cross_Tab_Questions_Data_Names</t>
        </is>
      </c>
      <c r="L1" t="inlineStr">
        <is>
          <t>Cross_Tab_Questions_Options_Names</t>
        </is>
      </c>
      <c r="O1" t="inlineStr">
        <is>
          <t>Q_GB_filter_values_options</t>
        </is>
      </c>
      <c r="P1" t="inlineStr">
        <is>
          <t>Q_GB_filter_values_local_options</t>
        </is>
      </c>
      <c r="R1" t="inlineStr">
        <is>
          <t>All_Questions_Value_Keys</t>
        </is>
      </c>
      <c r="S1" t="inlineStr">
        <is>
          <t>All_Questions_Value_Data_Names</t>
        </is>
      </c>
      <c r="T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  <c r="J2" t="inlineStr">
        <is>
          <t>(None)</t>
        </is>
      </c>
      <c r="K2" t="inlineStr">
        <is>
          <t>'_RawData'!$A$2:$A$5</t>
        </is>
      </c>
      <c r="L2" t="inlineStr">
        <is>
          <t>'_Options'!$E$2:$E$2</t>
        </is>
      </c>
      <c r="O2" t="inlineStr">
        <is>
          <t>(All)</t>
        </is>
      </c>
      <c r="P2" t="inlineStr">
        <is>
          <t>(Inherit)</t>
        </is>
      </c>
      <c r="R2" t="inlineStr">
        <is>
          <t>Q_GB - Binary Grid|Capability</t>
        </is>
      </c>
      <c r="S2" t="inlineStr">
        <is>
          <t>'_RawData'!$C$2:$C$5</t>
        </is>
      </c>
      <c r="T2" t="inlineStr">
        <is>
          <t>Selected</t>
        </is>
      </c>
    </row>
    <row r="3">
      <c r="A3" t="inlineStr">
        <is>
          <t>Q_SEG - Segment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Segment A</t>
        </is>
      </c>
      <c r="G3" t="inlineStr">
        <is>
          <t>Selected</t>
        </is>
      </c>
      <c r="H3" t="inlineStr">
        <is>
          <t>(All)</t>
        </is>
      </c>
      <c r="I3" t="inlineStr">
        <is>
          <t>(All)</t>
        </is>
      </c>
      <c r="J3" t="inlineStr">
        <is>
          <t>Q_SEG - Segment</t>
        </is>
      </c>
      <c r="K3" t="inlineStr">
        <is>
          <t>'_RawData'!$B$2:$B$5</t>
        </is>
      </c>
      <c r="L3" t="inlineStr">
        <is>
          <t>'_Options'!$F$2:$F$4</t>
        </is>
      </c>
      <c r="O3" t="inlineStr">
        <is>
          <t>Capability</t>
        </is>
      </c>
      <c r="P3" t="inlineStr">
        <is>
          <t>(All)</t>
        </is>
      </c>
    </row>
    <row r="4">
      <c r="A4" t="inlineStr">
        <is>
          <t>Q_GB - Binary Grid</t>
        </is>
      </c>
      <c r="B4" t="inlineStr">
        <is>
          <t>Q_SEG - Segment</t>
        </is>
      </c>
      <c r="C4" t="inlineStr">
        <is>
          <t>'_RawData'!$C$2:$C$5</t>
        </is>
      </c>
      <c r="D4" t="inlineStr">
        <is>
          <t>'_Options'!$O$2:$O$3</t>
        </is>
      </c>
      <c r="F4" t="inlineStr">
        <is>
          <t>Segment B</t>
        </is>
      </c>
      <c r="H4" t="inlineStr">
        <is>
          <t>Segment A</t>
        </is>
      </c>
      <c r="I4" t="inlineStr">
        <is>
          <t>Selected</t>
        </is>
      </c>
      <c r="P4" t="inlineStr">
        <is>
          <t>Capability</t>
        </is>
      </c>
    </row>
    <row r="5">
      <c r="B5" t="inlineStr">
        <is>
          <t>Q_GB - Binary Grid</t>
        </is>
      </c>
      <c r="H5" t="inlineStr">
        <is>
          <t>Segment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[Q_SEG]</t>
        </is>
      </c>
      <c r="B2" t="inlineStr">
        <is>
          <t>Q_SEG</t>
        </is>
      </c>
      <c r="C2" t="inlineStr">
        <is>
          <t>Segment</t>
        </is>
      </c>
      <c r="D2" t="inlineStr">
        <is>
          <t>SINGLE_SELECT</t>
        </is>
      </c>
      <c r="E2" t="inlineStr">
        <is>
          <t>Q_SEG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[Q_GB]</t>
        </is>
      </c>
      <c r="B3" t="inlineStr">
        <is>
          <t>Q_GB</t>
        </is>
      </c>
      <c r="C3" t="inlineStr">
        <is>
          <t>Binary grid</t>
        </is>
      </c>
      <c r="D3" t="inlineStr">
        <is>
          <t>GRID_BINARY_SELECT</t>
        </is>
      </c>
      <c r="E3" t="inlineStr">
        <is>
          <t>Q_GB_R1</t>
        </is>
      </c>
      <c r="F3" t="n">
        <v>1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Q_SEG</t>
        </is>
      </c>
      <c r="B2" t="inlineStr">
        <is>
          <t>Q_SEG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Q_GB</t>
        </is>
      </c>
      <c r="B3" t="inlineStr">
        <is>
          <t>Q_GB</t>
        </is>
      </c>
      <c r="C3" t="inlineStr">
        <is>
          <t>GRID_BINARY_SELECT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Q_SEG - Segment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IFERROR(INDEX(All_Questions_Value_Data_Names,MATCH(All_Questions_Q_SEG_F_Q&amp;"|"&amp;All_Questions_Q_SEG_F_V,All_Questions_Value_Keys,0)),IFERROR(INDEX(All_Questions_Data_Names,MATCH(All_Questions_Q_SEG_F_Q,All_Questions,0)),"'_RawData'!$A:$A"))</f>
        <v>respondent_id_data</v>
      </c>
      <c r="G13" t="str">
        <f>"|" &amp; SUBSTITUTE(All_Questions_Q_SEG_F_V, ", ", "|") &amp; "|"</f>
        <v>|(All)|</v>
      </c>
      <c r="H13" t="str">
        <f>IFERROR(INDEX(All_Questions_Value_Criteria,MATCH(All_Questions_Q_SEG_F_Q&amp;"|"&amp;All_Questions_Q_SEG_F_V,All_Questions_Value_Keys,0)),All_Questions_Q_SEG_F_V)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IF(All_Questions_Q_SEG_CT="(None)","",IFERROR(INDEX(INDIRECT(IFERROR(INDEX(Cross_Tab_Questions_Options_Names,MATCH(All_Questions_Q_SEG_CT,Cross_Tab_Questions,0)),"'_Options'!$E$2:$E$2")),2),""))</f>
        <v/>
      </c>
      <c r="H16" s="2" t="str">
        <f>IF(All_Questions_Q_SEG_CT="(None)","",IFERROR(INDEX(INDIRECT(IFERROR(INDEX(Cross_Tab_Questions_Options_Names,MATCH(All_Questions_Q_SEG_CT,Cross_Tab_Questions,0)),"'_Options'!$E$2:$E$2")),3),""))</f>
        <v/>
      </c>
      <c r="I16" s="2" t="str">
        <f>IF(All_Questions_Q_SEG_CT="(None)","",IFERROR(INDEX(INDIRECT(IFERROR(INDEX(Cross_Tab_Questions_Options_Names,MATCH(All_Questions_Q_SEG_CT,Cross_Tab_Questions,0)),"'_Options'!$E$2:$E$2")),4),""))</f>
        <v/>
      </c>
      <c r="J16" s="2" t="str">
        <f>IF(All_Questions_Q_SEG_CT="(None)","",IFERROR(INDEX(INDIRECT(IFERROR(INDEX(Cross_Tab_Questions_Options_Names,MATCH(All_Questions_Q_SEG_CT,Cross_Tab_Questions,0)),"'_Options'!$E$2:$E$2")),5),""))</f>
        <v/>
      </c>
      <c r="K16" s="2" t="str">
        <f>IF(All_Questions_Q_SEG_CT="(None)","",IFERROR(INDEX(INDIRECT(IFERROR(INDEX(Cross_Tab_Questions_Options_Names,MATCH(All_Questions_Q_SEG_CT,Cross_Tab_Questions,0)),"'_Options'!$E$2:$E$2")),6),""))</f>
        <v/>
      </c>
      <c r="L16" s="2" t="str">
        <f>IF(All_Questions_Q_SEG_CT="(None)","",IFERROR(INDEX(INDIRECT(IFERROR(INDEX(Cross_Tab_Questions_Options_Names,MATCH(All_Questions_Q_SEG_CT,Cross_Tab_Questions,0)),"'_Options'!$E$2:$E$2")),7),""))</f>
        <v/>
      </c>
      <c r="M16" s="2" t="str">
        <f>IF(All_Questions_Q_SEG_CT="(None)","",IFERROR(INDEX(INDIRECT(IFERROR(INDEX(Cross_Tab_Questions_Options_Names,MATCH(All_Questions_Q_SEG_CT,Cross_Tab_Questions,0)),"'_Options'!$E$2:$E$2")),8),""))</f>
        <v/>
      </c>
      <c r="N16" s="2" t="str">
        <f>IF(All_Questions_Q_SEG_CT="(None)","",IFERROR(INDEX(INDIRECT(IFERROR(INDEX(Cross_Tab_Questions_Options_Names,MATCH(All_Questions_Q_SEG_CT,Cross_Tab_Questions,0)),"'_Options'!$E$2:$E$2")),9),""))</f>
        <v/>
      </c>
      <c r="O16" s="2" t="str">
        <f>IF(All_Questions_Q_SEG_CT="(None)","",IFERROR(INDEX(INDIRECT(IFERROR(INDEX(Cross_Tab_Questions_Options_Names,MATCH(All_Questions_Q_SEG_CT,Cross_Tab_Questions,0)),"'_Options'!$E$2:$E$2")),10),""))</f>
        <v/>
      </c>
      <c r="P16" s="2" t="str">
        <f>IF(All_Questions_Q_SEG_CT="(None)","",IFERROR(INDEX(INDIRECT(IFERROR(INDEX(Cross_Tab_Questions_Options_Names,MATCH(All_Questions_Q_SEG_CT,Cross_Tab_Questions,0)),"'_Options'!$E$2:$E$2")),11),""))</f>
        <v/>
      </c>
      <c r="Q16" s="2" t="str">
        <f>IF(All_Questions_Q_SEG_CT="(None)","",IFERROR(INDEX(INDIRECT(IFERROR(INDEX(Cross_Tab_Questions_Options_Names,MATCH(All_Questions_Q_SEG_CT,Cross_Tab_Questions,0)),"'_Options'!$E$2:$E$2")),12),""))</f>
        <v/>
      </c>
      <c r="R16" s="2" t="str">
        <f>IF(All_Questions_Q_SEG_CT="(None)","",IF(COUNTA(INDIRECT(IFERROR(INDEX(Cross_Tab_Questions_Options_Names,MATCH(All_Questions_Q_SEG_CT,Cross_Tab_Questions,0)),"'_Options'!$E$2:$E$2")))-1&gt;11,"Other",IFERROR(INDEX(INDIRECT(IFERROR(INDEX(Cross_Tab_Questions_Options_Names,MATCH(All_Questions_Q_SEG_CT,Cross_Tab_Questions,0)),"'_Options'!$E$2:$E$2")),13),"")))</f>
        <v/>
      </c>
      <c r="S16" s="4" t="inlineStr">
        <is>
          <t>Total</t>
        </is>
      </c>
    </row>
    <row r="17">
      <c r="A17" t="inlineStr">
        <is>
          <t>Segment A</t>
        </is>
      </c>
      <c r="B17">
        <f>COUNTIFS(Q_SEG_data,"Segment A",passes_workbook_filters_data,1,passes_workbook_custom_filters_data,1,All_Questions_passes_local_filters_data,1,All_Questions_Q_SEG_F_passes_per_q_filter_data,1)</f>
        <v>2</v>
      </c>
      <c r="C17" s="7">
        <f>IFERROR(B17/SUBTOTAL(9,B17:B18),0)</f>
        <v>0.5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Segment B</t>
        </is>
      </c>
      <c r="B18">
        <f>COUNTIFS(Q_SEG_data,"Segment B",passes_workbook_filters_data,1,passes_workbook_custom_filters_data,1,All_Questions_passes_local_filters_data,1,All_Questions_Q_SEG_F_passes_per_q_filter_data,1)</f>
        <v>2</v>
      </c>
      <c r="C18" s="7">
        <f>IFERROR(B18/SUBTOTAL(9,B17:B18),0)</f>
        <v>0.5</v>
      </c>
      <c r="D18" s="14">
        <f>SUBTOTAL(9,B17:B18)</f>
        <v>4</v>
      </c>
      <c r="F18" t="inlineStr">
        <is>
          <t>Segment A</t>
        </is>
      </c>
      <c r="G18" s="14">
        <f>IF(OR(All_Questions_Q_SEG_CT="(None)",G$16=""),"",COUNTIFS(Q_SEG_data,"Segment A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G$16))</f>
        <v>0</v>
      </c>
      <c r="H18" s="14">
        <f>IF(OR(All_Questions_Q_SEG_CT="(None)",H$16=""),"",COUNTIFS(Q_SEG_data,"Segment A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H$16))</f>
        <v>0</v>
      </c>
      <c r="I18" s="14">
        <f>IF(OR(All_Questions_Q_SEG_CT="(None)",I$16=""),"",COUNTIFS(Q_SEG_data,"Segment A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I$16))</f>
        <v>0</v>
      </c>
      <c r="J18" s="14">
        <f>IF(OR(All_Questions_Q_SEG_CT="(None)",J$16=""),"",COUNTIFS(Q_SEG_data,"Segment A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J$16))</f>
        <v>0</v>
      </c>
      <c r="K18" s="14">
        <f>IF(OR(All_Questions_Q_SEG_CT="(None)",K$16=""),"",COUNTIFS(Q_SEG_data,"Segment A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K$16))</f>
        <v>0</v>
      </c>
      <c r="L18" s="14">
        <f>IF(OR(All_Questions_Q_SEG_CT="(None)",L$16=""),"",COUNTIFS(Q_SEG_data,"Segment A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L$16))</f>
        <v>0</v>
      </c>
      <c r="M18" s="14">
        <f>IF(OR(All_Questions_Q_SEG_CT="(None)",M$16=""),"",COUNTIFS(Q_SEG_data,"Segment A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M$16))</f>
        <v>0</v>
      </c>
      <c r="N18" s="14">
        <f>IF(OR(All_Questions_Q_SEG_CT="(None)",N$16=""),"",COUNTIFS(Q_SEG_data,"Segment A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N$16))</f>
        <v>0</v>
      </c>
      <c r="O18" s="14">
        <f>IF(OR(All_Questions_Q_SEG_CT="(None)",O$16=""),"",COUNTIFS(Q_SEG_data,"Segment A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O$16))</f>
        <v>0</v>
      </c>
      <c r="P18" s="14">
        <f>IF(OR(All_Questions_Q_SEG_CT="(None)",P$16=""),"",COUNTIFS(Q_SEG_data,"Segment A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P$16))</f>
        <v>0</v>
      </c>
      <c r="Q18" s="14">
        <f>IF(OR(All_Questions_Q_SEG_CT="(None)",Q$16=""),"",COUNTIFS(Q_SEG_data,"Segment A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Q$16))</f>
        <v>0</v>
      </c>
      <c r="R18" s="14">
        <f>IF(OR(All_Questions_Q_SEG_CT="(None)",R$16=""),"",IF(R$16="Other",COUNTIFS(Q_SEG_data,"Segment A",passes_workbook_filters_data,1,passes_workbook_custom_filters_data,1,All_Questions_passes_local_filters_data,1,All_Questions_Q_SEG_F_passes_per_q_filter_data,1)-SUM(G18,H18,I18,J18,K18,L18,M18,N18,O18,P18,Q18),COUNTIFS(Q_SEG_data,"Segment A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R$16)))</f>
        <v>0</v>
      </c>
      <c r="S18" s="14">
        <f>IF(All_Questions_Q_SEG_CT="(None)","",COUNTIFS(Q_SEG_data,"Segment A",passes_workbook_filters_data,1,passes_workbook_custom_filters_data,1,All_Questions_passes_local_filters_data,1,All_Questions_Q_SEG_F_passes_per_q_filter_data,1))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Segment B</t>
        </is>
      </c>
      <c r="G19" s="14">
        <f>IF(OR(All_Questions_Q_SEG_CT="(None)",G$16=""),"",COUNTIFS(Q_SEG_data,"Segment B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G$16))</f>
        <v>0</v>
      </c>
      <c r="H19" s="14">
        <f>IF(OR(All_Questions_Q_SEG_CT="(None)",H$16=""),"",COUNTIFS(Q_SEG_data,"Segment B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H$16))</f>
        <v>0</v>
      </c>
      <c r="I19" s="14">
        <f>IF(OR(All_Questions_Q_SEG_CT="(None)",I$16=""),"",COUNTIFS(Q_SEG_data,"Segment B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I$16))</f>
        <v>0</v>
      </c>
      <c r="J19" s="14">
        <f>IF(OR(All_Questions_Q_SEG_CT="(None)",J$16=""),"",COUNTIFS(Q_SEG_data,"Segment B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J$16))</f>
        <v>0</v>
      </c>
      <c r="K19" s="14">
        <f>IF(OR(All_Questions_Q_SEG_CT="(None)",K$16=""),"",COUNTIFS(Q_SEG_data,"Segment B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K$16))</f>
        <v>0</v>
      </c>
      <c r="L19" s="14">
        <f>IF(OR(All_Questions_Q_SEG_CT="(None)",L$16=""),"",COUNTIFS(Q_SEG_data,"Segment B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L$16))</f>
        <v>0</v>
      </c>
      <c r="M19" s="14">
        <f>IF(OR(All_Questions_Q_SEG_CT="(None)",M$16=""),"",COUNTIFS(Q_SEG_data,"Segment B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M$16))</f>
        <v>0</v>
      </c>
      <c r="N19" s="14">
        <f>IF(OR(All_Questions_Q_SEG_CT="(None)",N$16=""),"",COUNTIFS(Q_SEG_data,"Segment B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N$16))</f>
        <v>0</v>
      </c>
      <c r="O19" s="14">
        <f>IF(OR(All_Questions_Q_SEG_CT="(None)",O$16=""),"",COUNTIFS(Q_SEG_data,"Segment B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O$16))</f>
        <v>0</v>
      </c>
      <c r="P19" s="14">
        <f>IF(OR(All_Questions_Q_SEG_CT="(None)",P$16=""),"",COUNTIFS(Q_SEG_data,"Segment B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P$16))</f>
        <v>0</v>
      </c>
      <c r="Q19" s="14">
        <f>IF(OR(All_Questions_Q_SEG_CT="(None)",Q$16=""),"",COUNTIFS(Q_SEG_data,"Segment B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Q$16))</f>
        <v>0</v>
      </c>
      <c r="R19" s="14">
        <f>IF(OR(All_Questions_Q_SEG_CT="(None)",R$16=""),"",IF(R$16="Other",COUNTIFS(Q_SEG_data,"Segment B",passes_workbook_filters_data,1,passes_workbook_custom_filters_data,1,All_Questions_passes_local_filters_data,1,All_Questions_Q_SEG_F_passes_per_q_filter_data,1)-SUM(G19,H19,I19,J19,K19,L19,M19,N19,O19,P19,Q19),COUNTIFS(Q_SEG_data,"Segment B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R$16)))</f>
        <v>0</v>
      </c>
      <c r="S19" s="14">
        <f>IF(All_Questions_Q_SEG_CT="(None)","",COUNTIFS(Q_SEG_data,"Segment B",passes_workbook_filters_data,1,passes_workbook_custom_filters_data,1,All_Questions_passes_local_filters_data,1,All_Questions_Q_SEG_F_passes_per_q_filter_data,1))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IF(All_Questions_Q_SEG_CT="(None)","",COUNTIFS(respondent_id_data,"&lt;&gt;",passes_workbook_filters_data,1,passes_workbook_custom_filters_data,1,All_Questions_passes_local_filters_data,1,All_Questions_Q_SEG_F_passes_per_q_filter_data,1))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Q_GB - Binary grid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IFERROR(INDEX(All_Questions_Value_Data_Names,MATCH(All_Questions_Q_GB_F_Q&amp;"|"&amp;All_Questions_Q_GB_F_V,All_Questions_Value_Keys,0)),IFERROR(INDEX(All_Questions_Data_Names,MATCH(All_Questions_Q_GB_F_Q,All_Questions,0)),"'_RawData'!$A:$A"))</f>
        <v>respondent_id_data</v>
      </c>
      <c r="G24" t="str">
        <f>"|" &amp; SUBSTITUTE(All_Questions_Q_GB_F_V, ", ", "|") &amp; "|"</f>
        <v>|(All)|</v>
      </c>
      <c r="H24" t="str">
        <f>IFERROR(INDEX(All_Questions_Value_Criteria,MATCH(All_Questions_Q_GB_F_Q&amp;"|"&amp;All_Questions_Q_GB_F_V,All_Questions_Value_Keys,0)),All_Questions_Q_GB_F_V)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Sub-question ID</t>
        </is>
      </c>
      <c r="B27" s="4" t="inlineStr">
        <is>
          <t>Sub-question</t>
        </is>
      </c>
      <c r="C27" s="4" t="inlineStr">
        <is>
          <t>Selected</t>
        </is>
      </c>
      <c r="D27" s="2" t="n"/>
    </row>
    <row r="28">
      <c r="A28" s="2" t="inlineStr"/>
      <c r="B28" s="2" t="inlineStr"/>
      <c r="C28" s="4" t="inlineStr">
        <is>
          <t>Count</t>
        </is>
      </c>
      <c r="D28" s="4" t="inlineStr">
        <is>
          <t>%</t>
        </is>
      </c>
    </row>
    <row r="29">
      <c r="A29" s="16" t="inlineStr">
        <is>
          <t>Q_GB_R1</t>
        </is>
      </c>
      <c r="B29" t="inlineStr">
        <is>
          <t>Capability</t>
        </is>
      </c>
      <c r="C29" s="14" t="n">
        <v>3</v>
      </c>
      <c r="D29" s="7" t="n">
        <v>0.75</v>
      </c>
    </row>
    <row r="30">
      <c r="A30" s="15" t="inlineStr">
        <is>
          <t>Total respondents</t>
        </is>
      </c>
      <c r="B30" s="15" t="n">
        <v>4</v>
      </c>
      <c r="C30" s="15" t="n"/>
      <c r="D30" s="15" t="n"/>
    </row>
    <row r="31">
      <c r="A31" s="4" t="inlineStr">
        <is>
          <t>Total responses</t>
        </is>
      </c>
      <c r="B31" s="4" t="n">
        <v>3</v>
      </c>
      <c r="C31" s="4" t="n"/>
      <c r="D31" s="4" t="n"/>
    </row>
    <row r="32">
      <c r="B32" s="5" t="inlineStr">
        <is>
          <t>QC check</t>
        </is>
      </c>
      <c r="C32" t="b">
        <v>1</v>
      </c>
    </row>
    <row r="33"/>
    <row r="34">
      <c r="F34" s="4" t="inlineStr">
        <is>
          <t>Option</t>
        </is>
      </c>
      <c r="G34" s="2" t="str">
        <f>IF(All_Questions_Q_GB_CT="(None)","",IFERROR(INDEX(INDIRECT(IFERROR(INDEX(Cross_Tab_Questions_Options_Names,MATCH(All_Questions_Q_GB_CT,Cross_Tab_Questions,0)),"'_Options'!$E$2:$E$2")),2),""))</f>
        <v/>
      </c>
      <c r="H34" s="2" t="str">
        <f>IF(All_Questions_Q_GB_CT="(None)","",IFERROR(INDEX(INDIRECT(IFERROR(INDEX(Cross_Tab_Questions_Options_Names,MATCH(All_Questions_Q_GB_CT,Cross_Tab_Questions,0)),"'_Options'!$E$2:$E$2")),3),""))</f>
        <v/>
      </c>
      <c r="I34" s="2" t="str">
        <f>IF(All_Questions_Q_GB_CT="(None)","",IFERROR(INDEX(INDIRECT(IFERROR(INDEX(Cross_Tab_Questions_Options_Names,MATCH(All_Questions_Q_GB_CT,Cross_Tab_Questions,0)),"'_Options'!$E$2:$E$2")),4),""))</f>
        <v/>
      </c>
      <c r="J34" s="2" t="str">
        <f>IF(All_Questions_Q_GB_CT="(None)","",IFERROR(INDEX(INDIRECT(IFERROR(INDEX(Cross_Tab_Questions_Options_Names,MATCH(All_Questions_Q_GB_CT,Cross_Tab_Questions,0)),"'_Options'!$E$2:$E$2")),5),""))</f>
        <v/>
      </c>
      <c r="K34" s="2" t="str">
        <f>IF(All_Questions_Q_GB_CT="(None)","",IFERROR(INDEX(INDIRECT(IFERROR(INDEX(Cross_Tab_Questions_Options_Names,MATCH(All_Questions_Q_GB_CT,Cross_Tab_Questions,0)),"'_Options'!$E$2:$E$2")),6),""))</f>
        <v/>
      </c>
      <c r="L34" s="2" t="str">
        <f>IF(All_Questions_Q_GB_CT="(None)","",IFERROR(INDEX(INDIRECT(IFERROR(INDEX(Cross_Tab_Questions_Options_Names,MATCH(All_Questions_Q_GB_CT,Cross_Tab_Questions,0)),"'_Options'!$E$2:$E$2")),7),""))</f>
        <v/>
      </c>
      <c r="M34" s="2" t="str">
        <f>IF(All_Questions_Q_GB_CT="(None)","",IFERROR(INDEX(INDIRECT(IFERROR(INDEX(Cross_Tab_Questions_Options_Names,MATCH(All_Questions_Q_GB_CT,Cross_Tab_Questions,0)),"'_Options'!$E$2:$E$2")),8),""))</f>
        <v/>
      </c>
      <c r="N34" s="2" t="str">
        <f>IF(All_Questions_Q_GB_CT="(None)","",IFERROR(INDEX(INDIRECT(IFERROR(INDEX(Cross_Tab_Questions_Options_Names,MATCH(All_Questions_Q_GB_CT,Cross_Tab_Questions,0)),"'_Options'!$E$2:$E$2")),9),""))</f>
        <v/>
      </c>
      <c r="O34" s="2" t="str">
        <f>IF(All_Questions_Q_GB_CT="(None)","",IFERROR(INDEX(INDIRECT(IFERROR(INDEX(Cross_Tab_Questions_Options_Names,MATCH(All_Questions_Q_GB_CT,Cross_Tab_Questions,0)),"'_Options'!$E$2:$E$2")),10),""))</f>
        <v/>
      </c>
      <c r="P34" s="2" t="str">
        <f>IF(All_Questions_Q_GB_CT="(None)","",IFERROR(INDEX(INDIRECT(IFERROR(INDEX(Cross_Tab_Questions_Options_Names,MATCH(All_Questions_Q_GB_CT,Cross_Tab_Questions,0)),"'_Options'!$E$2:$E$2")),11),""))</f>
        <v/>
      </c>
      <c r="Q34" s="2" t="str">
        <f>IF(All_Questions_Q_GB_CT="(None)","",IFERROR(INDEX(INDIRECT(IFERROR(INDEX(Cross_Tab_Questions_Options_Names,MATCH(All_Questions_Q_GB_CT,Cross_Tab_Questions,0)),"'_Options'!$E$2:$E$2")),12),""))</f>
        <v/>
      </c>
      <c r="R34" s="2" t="str">
        <f>IF(All_Questions_Q_GB_CT="(None)","",IF(COUNTA(INDIRECT(IFERROR(INDEX(Cross_Tab_Questions_Options_Names,MATCH(All_Questions_Q_GB_CT,Cross_Tab_Questions,0)),"'_Options'!$E$2:$E$2")))-1&gt;11,"Other",IFERROR(INDEX(INDIRECT(IFERROR(INDEX(Cross_Tab_Questions_Options_Names,MATCH(All_Questions_Q_GB_CT,Cross_Tab_Questions,0)),"'_Options'!$E$2:$E$2")),13),"")))</f>
        <v/>
      </c>
      <c r="S34" s="4" t="inlineStr">
        <is>
          <t>Total</t>
        </is>
      </c>
    </row>
    <row r="35">
      <c r="F35" s="4" t="inlineStr"/>
      <c r="G35" s="4" t="inlineStr">
        <is>
          <t>% selected</t>
        </is>
      </c>
      <c r="H35" s="4" t="inlineStr">
        <is>
          <t>% selected</t>
        </is>
      </c>
      <c r="I35" s="4" t="inlineStr">
        <is>
          <t>% selected</t>
        </is>
      </c>
      <c r="J35" s="4" t="inlineStr">
        <is>
          <t>% selected</t>
        </is>
      </c>
      <c r="K35" s="4" t="inlineStr">
        <is>
          <t>% selected</t>
        </is>
      </c>
      <c r="L35" s="4" t="inlineStr">
        <is>
          <t>% selected</t>
        </is>
      </c>
      <c r="M35" s="4" t="inlineStr">
        <is>
          <t>% selected</t>
        </is>
      </c>
      <c r="N35" s="4" t="inlineStr">
        <is>
          <t>% selected</t>
        </is>
      </c>
      <c r="O35" s="4" t="inlineStr">
        <is>
          <t>% selected</t>
        </is>
      </c>
      <c r="P35" s="4" t="inlineStr">
        <is>
          <t>% selected</t>
        </is>
      </c>
      <c r="Q35" s="4" t="inlineStr">
        <is>
          <t>% selected</t>
        </is>
      </c>
      <c r="R35" s="4" t="inlineStr">
        <is>
          <t>% selected</t>
        </is>
      </c>
      <c r="S35" s="4" t="inlineStr">
        <is>
          <t>% selected</t>
        </is>
      </c>
    </row>
    <row r="36">
      <c r="F36" t="inlineStr">
        <is>
          <t>Capability</t>
        </is>
      </c>
      <c r="G36" s="7">
        <f>IF(OR(All_Questions_Q_GB_CT="(None)",G$34=""),"",IF(G$34="Other","",IFERROR(COUNTIFS(Q_GB_R1_data,"Selected",passes_workbook_filters_data,1,passes_workbook_custom_filters_data,1,All_Questions_passes_local_filters_data,1,All_Questions_Q_GB_F_passes_per_q_filter_data,1,INDIRECT(IFERROR(INDEX(Cross_Tab_Questions_Data_Names,MATCH(All_Questions_Q_GB_CT,Cross_Tab_Questions,0)),"'_RawData'!$A:$A")),G$34)/SUMPRODUCT(--((--(Q_GB_R1_data&lt;&gt;""))&gt;0),--(passes_workbook_filters_data=1),--(passes_workbook_custom_filters_data=1),--(All_Questions_passes_local_filters_data=1),--(All_Questions_Q_GB_F_passes_per_q_filter_data=1),--(INDIRECT(IFERROR(INDEX(Cross_Tab_Questions_Data_Names,MATCH(All_Questions_Q_GB_CT,Cross_Tab_Questions,0)),"'_RawData'!$A:$A"))=G$34)),"")))</f>
        <v>0.0</v>
      </c>
      <c r="H36" s="7">
        <f>IF(OR(All_Questions_Q_GB_CT="(None)",H$34=""),"",IF(H$34="Other","",IFERROR(COUNTIFS(Q_GB_R1_data,"Selected",passes_workbook_filters_data,1,passes_workbook_custom_filters_data,1,All_Questions_passes_local_filters_data,1,All_Questions_Q_GB_F_passes_per_q_filter_data,1,INDIRECT(IFERROR(INDEX(Cross_Tab_Questions_Data_Names,MATCH(All_Questions_Q_GB_CT,Cross_Tab_Questions,0)),"'_RawData'!$A:$A")),H$34)/SUMPRODUCT(--((--(Q_GB_R1_data&lt;&gt;""))&gt;0),--(passes_workbook_filters_data=1),--(passes_workbook_custom_filters_data=1),--(All_Questions_passes_local_filters_data=1),--(All_Questions_Q_GB_F_passes_per_q_filter_data=1),--(INDIRECT(IFERROR(INDEX(Cross_Tab_Questions_Data_Names,MATCH(All_Questions_Q_GB_CT,Cross_Tab_Questions,0)),"'_RawData'!$A:$A"))=H$34)),"")))</f>
        <v>0.0</v>
      </c>
      <c r="I36" s="7">
        <f>IF(OR(All_Questions_Q_GB_CT="(None)",I$34=""),"",IF(I$34="Other","",IFERROR(COUNTIFS(Q_GB_R1_data,"Selected",passes_workbook_filters_data,1,passes_workbook_custom_filters_data,1,All_Questions_passes_local_filters_data,1,All_Questions_Q_GB_F_passes_per_q_filter_data,1,INDIRECT(IFERROR(INDEX(Cross_Tab_Questions_Data_Names,MATCH(All_Questions_Q_GB_CT,Cross_Tab_Questions,0)),"'_RawData'!$A:$A")),I$34)/SUMPRODUCT(--((--(Q_GB_R1_data&lt;&gt;""))&gt;0),--(passes_workbook_filters_data=1),--(passes_workbook_custom_filters_data=1),--(All_Questions_passes_local_filters_data=1),--(All_Questions_Q_GB_F_passes_per_q_filter_data=1),--(INDIRECT(IFERROR(INDEX(Cross_Tab_Questions_Data_Names,MATCH(All_Questions_Q_GB_CT,Cross_Tab_Questions,0)),"'_RawData'!$A:$A"))=I$34)),"")))</f>
        <v>0.0</v>
      </c>
      <c r="J36" s="7">
        <f>IF(OR(All_Questions_Q_GB_CT="(None)",J$34=""),"",IF(J$34="Other","",IFERROR(COUNTIFS(Q_GB_R1_data,"Selected",passes_workbook_filters_data,1,passes_workbook_custom_filters_data,1,All_Questions_passes_local_filters_data,1,All_Questions_Q_GB_F_passes_per_q_filter_data,1,INDIRECT(IFERROR(INDEX(Cross_Tab_Questions_Data_Names,MATCH(All_Questions_Q_GB_CT,Cross_Tab_Questions,0)),"'_RawData'!$A:$A")),J$34)/SUMPRODUCT(--((--(Q_GB_R1_data&lt;&gt;""))&gt;0),--(passes_workbook_filters_data=1),--(passes_workbook_custom_filters_data=1),--(All_Questions_passes_local_filters_data=1),--(All_Questions_Q_GB_F_passes_per_q_filter_data=1),--(INDIRECT(IFERROR(INDEX(Cross_Tab_Questions_Data_Names,MATCH(All_Questions_Q_GB_CT,Cross_Tab_Questions,0)),"'_RawData'!$A:$A"))=J$34)),"")))</f>
        <v>0.0</v>
      </c>
      <c r="K36" s="7">
        <f>IF(OR(All_Questions_Q_GB_CT="(None)",K$34=""),"",IF(K$34="Other","",IFERROR(COUNTIFS(Q_GB_R1_data,"Selected",passes_workbook_filters_data,1,passes_workbook_custom_filters_data,1,All_Questions_passes_local_filters_data,1,All_Questions_Q_GB_F_passes_per_q_filter_data,1,INDIRECT(IFERROR(INDEX(Cross_Tab_Questions_Data_Names,MATCH(All_Questions_Q_GB_CT,Cross_Tab_Questions,0)),"'_RawData'!$A:$A")),K$34)/SUMPRODUCT(--((--(Q_GB_R1_data&lt;&gt;""))&gt;0),--(passes_workbook_filters_data=1),--(passes_workbook_custom_filters_data=1),--(All_Questions_passes_local_filters_data=1),--(All_Questions_Q_GB_F_passes_per_q_filter_data=1),--(INDIRECT(IFERROR(INDEX(Cross_Tab_Questions_Data_Names,MATCH(All_Questions_Q_GB_CT,Cross_Tab_Questions,0)),"'_RawData'!$A:$A"))=K$34)),"")))</f>
        <v>0.0</v>
      </c>
      <c r="L36" s="7">
        <f>IF(OR(All_Questions_Q_GB_CT="(None)",L$34=""),"",IF(L$34="Other","",IFERROR(COUNTIFS(Q_GB_R1_data,"Selected",passes_workbook_filters_data,1,passes_workbook_custom_filters_data,1,All_Questions_passes_local_filters_data,1,All_Questions_Q_GB_F_passes_per_q_filter_data,1,INDIRECT(IFERROR(INDEX(Cross_Tab_Questions_Data_Names,MATCH(All_Questions_Q_GB_CT,Cross_Tab_Questions,0)),"'_RawData'!$A:$A")),L$34)/SUMPRODUCT(--((--(Q_GB_R1_data&lt;&gt;""))&gt;0),--(passes_workbook_filters_data=1),--(passes_workbook_custom_filters_data=1),--(All_Questions_passes_local_filters_data=1),--(All_Questions_Q_GB_F_passes_per_q_filter_data=1),--(INDIRECT(IFERROR(INDEX(Cross_Tab_Questions_Data_Names,MATCH(All_Questions_Q_GB_CT,Cross_Tab_Questions,0)),"'_RawData'!$A:$A"))=L$34)),"")))</f>
        <v>0.0</v>
      </c>
      <c r="M36" s="7">
        <f>IF(OR(All_Questions_Q_GB_CT="(None)",M$34=""),"",IF(M$34="Other","",IFERROR(COUNTIFS(Q_GB_R1_data,"Selected",passes_workbook_filters_data,1,passes_workbook_custom_filters_data,1,All_Questions_passes_local_filters_data,1,All_Questions_Q_GB_F_passes_per_q_filter_data,1,INDIRECT(IFERROR(INDEX(Cross_Tab_Questions_Data_Names,MATCH(All_Questions_Q_GB_CT,Cross_Tab_Questions,0)),"'_RawData'!$A:$A")),M$34)/SUMPRODUCT(--((--(Q_GB_R1_data&lt;&gt;""))&gt;0),--(passes_workbook_filters_data=1),--(passes_workbook_custom_filters_data=1),--(All_Questions_passes_local_filters_data=1),--(All_Questions_Q_GB_F_passes_per_q_filter_data=1),--(INDIRECT(IFERROR(INDEX(Cross_Tab_Questions_Data_Names,MATCH(All_Questions_Q_GB_CT,Cross_Tab_Questions,0)),"'_RawData'!$A:$A"))=M$34)),"")))</f>
        <v>0.0</v>
      </c>
      <c r="N36" s="7">
        <f>IF(OR(All_Questions_Q_GB_CT="(None)",N$34=""),"",IF(N$34="Other","",IFERROR(COUNTIFS(Q_GB_R1_data,"Selected",passes_workbook_filters_data,1,passes_workbook_custom_filters_data,1,All_Questions_passes_local_filters_data,1,All_Questions_Q_GB_F_passes_per_q_filter_data,1,INDIRECT(IFERROR(INDEX(Cross_Tab_Questions_Data_Names,MATCH(All_Questions_Q_GB_CT,Cross_Tab_Questions,0)),"'_RawData'!$A:$A")),N$34)/SUMPRODUCT(--((--(Q_GB_R1_data&lt;&gt;""))&gt;0),--(passes_workbook_filters_data=1),--(passes_workbook_custom_filters_data=1),--(All_Questions_passes_local_filters_data=1),--(All_Questions_Q_GB_F_passes_per_q_filter_data=1),--(INDIRECT(IFERROR(INDEX(Cross_Tab_Questions_Data_Names,MATCH(All_Questions_Q_GB_CT,Cross_Tab_Questions,0)),"'_RawData'!$A:$A"))=N$34)),"")))</f>
        <v>0.0</v>
      </c>
      <c r="O36" s="7">
        <f>IF(OR(All_Questions_Q_GB_CT="(None)",O$34=""),"",IF(O$34="Other","",IFERROR(COUNTIFS(Q_GB_R1_data,"Selected",passes_workbook_filters_data,1,passes_workbook_custom_filters_data,1,All_Questions_passes_local_filters_data,1,All_Questions_Q_GB_F_passes_per_q_filter_data,1,INDIRECT(IFERROR(INDEX(Cross_Tab_Questions_Data_Names,MATCH(All_Questions_Q_GB_CT,Cross_Tab_Questions,0)),"'_RawData'!$A:$A")),O$34)/SUMPRODUCT(--((--(Q_GB_R1_data&lt;&gt;""))&gt;0),--(passes_workbook_filters_data=1),--(passes_workbook_custom_filters_data=1),--(All_Questions_passes_local_filters_data=1),--(All_Questions_Q_GB_F_passes_per_q_filter_data=1),--(INDIRECT(IFERROR(INDEX(Cross_Tab_Questions_Data_Names,MATCH(All_Questions_Q_GB_CT,Cross_Tab_Questions,0)),"'_RawData'!$A:$A"))=O$34)),"")))</f>
        <v>0.0</v>
      </c>
      <c r="P36" s="7">
        <f>IF(OR(All_Questions_Q_GB_CT="(None)",P$34=""),"",IF(P$34="Other","",IFERROR(COUNTIFS(Q_GB_R1_data,"Selected",passes_workbook_filters_data,1,passes_workbook_custom_filters_data,1,All_Questions_passes_local_filters_data,1,All_Questions_Q_GB_F_passes_per_q_filter_data,1,INDIRECT(IFERROR(INDEX(Cross_Tab_Questions_Data_Names,MATCH(All_Questions_Q_GB_CT,Cross_Tab_Questions,0)),"'_RawData'!$A:$A")),P$34)/SUMPRODUCT(--((--(Q_GB_R1_data&lt;&gt;""))&gt;0),--(passes_workbook_filters_data=1),--(passes_workbook_custom_filters_data=1),--(All_Questions_passes_local_filters_data=1),--(All_Questions_Q_GB_F_passes_per_q_filter_data=1),--(INDIRECT(IFERROR(INDEX(Cross_Tab_Questions_Data_Names,MATCH(All_Questions_Q_GB_CT,Cross_Tab_Questions,0)),"'_RawData'!$A:$A"))=P$34)),"")))</f>
        <v>0.0</v>
      </c>
      <c r="Q36" s="7">
        <f>IF(OR(All_Questions_Q_GB_CT="(None)",Q$34=""),"",IF(Q$34="Other","",IFERROR(COUNTIFS(Q_GB_R1_data,"Selected",passes_workbook_filters_data,1,passes_workbook_custom_filters_data,1,All_Questions_passes_local_filters_data,1,All_Questions_Q_GB_F_passes_per_q_filter_data,1,INDIRECT(IFERROR(INDEX(Cross_Tab_Questions_Data_Names,MATCH(All_Questions_Q_GB_CT,Cross_Tab_Questions,0)),"'_RawData'!$A:$A")),Q$34)/SUMPRODUCT(--((--(Q_GB_R1_data&lt;&gt;""))&gt;0),--(passes_workbook_filters_data=1),--(passes_workbook_custom_filters_data=1),--(All_Questions_passes_local_filters_data=1),--(All_Questions_Q_GB_F_passes_per_q_filter_data=1),--(INDIRECT(IFERROR(INDEX(Cross_Tab_Questions_Data_Names,MATCH(All_Questions_Q_GB_CT,Cross_Tab_Questions,0)),"'_RawData'!$A:$A"))=Q$34)),"")))</f>
        <v>0.0</v>
      </c>
      <c r="R36" s="7">
        <f>IF(OR(All_Questions_Q_GB_CT="(None)",R$34=""),"",IF(R$34="Other","",IFERROR(COUNTIFS(Q_GB_R1_data,"Selected",passes_workbook_filters_data,1,passes_workbook_custom_filters_data,1,All_Questions_passes_local_filters_data,1,All_Questions_Q_GB_F_passes_per_q_filter_data,1,INDIRECT(IFERROR(INDEX(Cross_Tab_Questions_Data_Names,MATCH(All_Questions_Q_GB_CT,Cross_Tab_Questions,0)),"'_RawData'!$A:$A")),R$34)/SUMPRODUCT(--((--(Q_GB_R1_data&lt;&gt;""))&gt;0),--(passes_workbook_filters_data=1),--(passes_workbook_custom_filters_data=1),--(All_Questions_passes_local_filters_data=1),--(All_Questions_Q_GB_F_passes_per_q_filter_data=1),--(INDIRECT(IFERROR(INDEX(Cross_Tab_Questions_Data_Names,MATCH(All_Questions_Q_GB_CT,Cross_Tab_Questions,0)),"'_RawData'!$A:$A"))=R$34)),"")))</f>
        <v>0.0</v>
      </c>
      <c r="S36" s="7">
        <f>IF(All_Questions_Q_GB_CT="(None)","",IFERROR(COUNTIFS(Q_GB_R1_data,"Selected",passes_workbook_filters_data,1,passes_workbook_custom_filters_data,1,All_Questions_passes_local_filters_data,1,All_Questions_Q_GB_F_passes_per_q_filter_data,1)/SUMPRODUCT(--((--(Q_GB_R1_data&lt;&gt;""))&gt;0),--(passes_workbook_filters_data=1),--(passes_workbook_custom_filters_data=1),--(All_Questions_passes_local_filters_data=1),--(All_Questions_Q_GB_F_passes_per_q_filter_data=1)),""))</f>
        <v>0.0</v>
      </c>
    </row>
    <row r="37">
      <c r="F37" s="4" t="inlineStr">
        <is>
          <t>Total respondents</t>
        </is>
      </c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>
        <f>IF(All_Questions_Q_GB_CT="(None)","",COUNTIFS(respondent_id_data,"&lt;&gt;",passes_workbook_filters_data,1,passes_workbook_custom_filters_data,1,All_Questions_passes_local_filters_data,1,All_Questions_Q_GB_F_passes_per_q_filter_data,1))</f>
        <v>0</v>
      </c>
    </row>
  </sheetData>
  <mergeCells count="2">
    <mergeCell ref="A1:J1"/>
    <mergeCell ref="C27:D27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6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6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6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6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6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6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6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6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6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6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6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6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=INDIRECT(IFERROR(INDEX(All_Questions_Options_Names,MATCH(All_Questions_Q_SEG_F_Q,All_Questions,0)),"'_Options'!$E$2:$E$2"))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=INDIRECT(IFERROR(INDEX(All_Questions_Options_Names,MATCH(All_Questions_Q_GB_F_Q,All_Questions,0)),"'_Options'!$E$2:$E$2"))</formula1>
    </dataValidation>
    <dataValidation sqref="C2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9" customWidth="1" min="2" max="2"/>
    <col width="17" customWidth="1" min="3" max="3"/>
    <col width="16" customWidth="1" min="4" max="4"/>
    <col width="30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cross_tab_by_selection_rate</t>
        </is>
      </c>
      <c r="C2" t="inlineStr">
        <is>
          <t>Q_GB</t>
        </is>
      </c>
      <c r="D2" t="inlineStr">
        <is>
          <t>Q_GB_R1</t>
        </is>
      </c>
      <c r="E2" t="inlineStr">
        <is>
          <t>All_Questions_Q_GB_CT = G$34</t>
        </is>
      </c>
      <c r="H2">
        <f>IF(OR(All_Questions_Q_GB_CT="(None)",G$34=""),"",IF(G$34="Other","",IFERROR(COUNTIFS(Q_GB_R1_data,"Selected",passes_workbook_filters_data,1,passes_workbook_custom_filters_data,1,All_Questions_passes_local_filters_data,1,All_Questions_Q_GB_F_passes_per_q_filter_data,1,INDIRECT(IFERROR(INDEX(Cross_Tab_Questions_Data_Names,MATCH(All_Questions_Q_GB_CT,Cross_Tab_Questions,0)),"'_RawData'!$A:$A")),G$34)/SUMPRODUCT(--((--(Q_GB_R1_data&lt;&gt;""))&gt;0),--(passes_workbook_filters_data=1),--(passes_workbook_custom_filters_data=1),--(All_Questions_passes_local_filters_data=1),--(All_Questions_Q_GB_F_passes_per_q_filter_data=1),--(INDIRECT(IFERROR(INDEX(Cross_Tab_Questions_Data_Names,MATCH(All_Questions_Q_GB_CT,Cross_Tab_Questions,0)),"'_RawData'!$A:$A"))=G$34)),"")))</f>
        <v>0</v>
      </c>
      <c r="I2" t="n">
        <v>0</v>
      </c>
      <c r="J2" t="n">
        <v>0</v>
      </c>
      <c r="K2" t="n">
        <v>0</v>
      </c>
      <c r="L2" t="inlineStr">
        <is>
          <t>2026-06-09T06:48:25.274096+00:00</t>
        </is>
      </c>
    </row>
    <row r="3">
      <c r="A3" t="inlineStr">
        <is>
          <t>All Questions</t>
        </is>
      </c>
      <c r="B3" t="inlineStr">
        <is>
          <t>cross_tab_by_selection_rate</t>
        </is>
      </c>
      <c r="C3" t="inlineStr">
        <is>
          <t>Q_GB</t>
        </is>
      </c>
      <c r="D3" t="inlineStr">
        <is>
          <t>Q_GB_R1</t>
        </is>
      </c>
      <c r="E3" t="inlineStr">
        <is>
          <t>All_Questions_Q_GB_CT = H$34</t>
        </is>
      </c>
      <c r="H3">
        <f>IF(OR(All_Questions_Q_GB_CT="(None)",H$34=""),"",IF(H$34="Other","",IFERROR(COUNTIFS(Q_GB_R1_data,"Selected",passes_workbook_filters_data,1,passes_workbook_custom_filters_data,1,All_Questions_passes_local_filters_data,1,All_Questions_Q_GB_F_passes_per_q_filter_data,1,INDIRECT(IFERROR(INDEX(Cross_Tab_Questions_Data_Names,MATCH(All_Questions_Q_GB_CT,Cross_Tab_Questions,0)),"'_RawData'!$A:$A")),H$34)/SUMPRODUCT(--((--(Q_GB_R1_data&lt;&gt;""))&gt;0),--(passes_workbook_filters_data=1),--(passes_workbook_custom_filters_data=1),--(All_Questions_passes_local_filters_data=1),--(All_Questions_Q_GB_F_passes_per_q_filter_data=1),--(INDIRECT(IFERROR(INDEX(Cross_Tab_Questions_Data_Names,MATCH(All_Questions_Q_GB_CT,Cross_Tab_Questions,0)),"'_RawData'!$A:$A"))=H$34)),"")))</f>
        <v>0</v>
      </c>
      <c r="I3" t="n">
        <v>0</v>
      </c>
      <c r="J3" t="n">
        <v>0</v>
      </c>
      <c r="K3" t="n">
        <v>0</v>
      </c>
      <c r="L3" t="inlineStr">
        <is>
          <t>2026-06-09T06:48:25.274168+00:00</t>
        </is>
      </c>
    </row>
    <row r="4">
      <c r="A4" t="inlineStr">
        <is>
          <t>All Questions</t>
        </is>
      </c>
      <c r="B4" t="inlineStr">
        <is>
          <t>cross_tab_by_selection_rate</t>
        </is>
      </c>
      <c r="C4" t="inlineStr">
        <is>
          <t>Q_GB</t>
        </is>
      </c>
      <c r="D4" t="inlineStr">
        <is>
          <t>Q_GB_R1</t>
        </is>
      </c>
      <c r="E4" t="inlineStr">
        <is>
          <t>All_Questions_Q_GB_CT = I$34</t>
        </is>
      </c>
      <c r="H4">
        <f>IF(OR(All_Questions_Q_GB_CT="(None)",I$34=""),"",IF(I$34="Other","",IFERROR(COUNTIFS(Q_GB_R1_data,"Selected",passes_workbook_filters_data,1,passes_workbook_custom_filters_data,1,All_Questions_passes_local_filters_data,1,All_Questions_Q_GB_F_passes_per_q_filter_data,1,INDIRECT(IFERROR(INDEX(Cross_Tab_Questions_Data_Names,MATCH(All_Questions_Q_GB_CT,Cross_Tab_Questions,0)),"'_RawData'!$A:$A")),I$34)/SUMPRODUCT(--((--(Q_GB_R1_data&lt;&gt;""))&gt;0),--(passes_workbook_filters_data=1),--(passes_workbook_custom_filters_data=1),--(All_Questions_passes_local_filters_data=1),--(All_Questions_Q_GB_F_passes_per_q_filter_data=1),--(INDIRECT(IFERROR(INDEX(Cross_Tab_Questions_Data_Names,MATCH(All_Questions_Q_GB_CT,Cross_Tab_Questions,0)),"'_RawData'!$A:$A"))=I$34)),"")))</f>
        <v>0</v>
      </c>
      <c r="I4" t="n">
        <v>0</v>
      </c>
      <c r="J4" t="n">
        <v>0</v>
      </c>
      <c r="K4" t="n">
        <v>0</v>
      </c>
      <c r="L4" t="inlineStr">
        <is>
          <t>2026-06-09T06:48:25.274210+00:00</t>
        </is>
      </c>
    </row>
    <row r="5">
      <c r="A5" t="inlineStr">
        <is>
          <t>All Questions</t>
        </is>
      </c>
      <c r="B5" t="inlineStr">
        <is>
          <t>cross_tab_by_selection_rate</t>
        </is>
      </c>
      <c r="C5" t="inlineStr">
        <is>
          <t>Q_GB</t>
        </is>
      </c>
      <c r="D5" t="inlineStr">
        <is>
          <t>Q_GB_R1</t>
        </is>
      </c>
      <c r="E5" t="inlineStr">
        <is>
          <t>All_Questions_Q_GB_CT = J$34</t>
        </is>
      </c>
      <c r="H5">
        <f>IF(OR(All_Questions_Q_GB_CT="(None)",J$34=""),"",IF(J$34="Other","",IFERROR(COUNTIFS(Q_GB_R1_data,"Selected",passes_workbook_filters_data,1,passes_workbook_custom_filters_data,1,All_Questions_passes_local_filters_data,1,All_Questions_Q_GB_F_passes_per_q_filter_data,1,INDIRECT(IFERROR(INDEX(Cross_Tab_Questions_Data_Names,MATCH(All_Questions_Q_GB_CT,Cross_Tab_Questions,0)),"'_RawData'!$A:$A")),J$34)/SUMPRODUCT(--((--(Q_GB_R1_data&lt;&gt;""))&gt;0),--(passes_workbook_filters_data=1),--(passes_workbook_custom_filters_data=1),--(All_Questions_passes_local_filters_data=1),--(All_Questions_Q_GB_F_passes_per_q_filter_data=1),--(INDIRECT(IFERROR(INDEX(Cross_Tab_Questions_Data_Names,MATCH(All_Questions_Q_GB_CT,Cross_Tab_Questions,0)),"'_RawData'!$A:$A"))=J$34)),"")))</f>
        <v>0</v>
      </c>
      <c r="I5" t="n">
        <v>0</v>
      </c>
      <c r="J5" t="n">
        <v>0</v>
      </c>
      <c r="K5" t="n">
        <v>0</v>
      </c>
      <c r="L5" t="inlineStr">
        <is>
          <t>2026-06-09T06:48:25.274250+00:00</t>
        </is>
      </c>
    </row>
    <row r="6">
      <c r="A6" t="inlineStr">
        <is>
          <t>All Questions</t>
        </is>
      </c>
      <c r="B6" t="inlineStr">
        <is>
          <t>cross_tab_by_selection_rate</t>
        </is>
      </c>
      <c r="C6" t="inlineStr">
        <is>
          <t>Q_GB</t>
        </is>
      </c>
      <c r="D6" t="inlineStr">
        <is>
          <t>Q_GB_R1</t>
        </is>
      </c>
      <c r="E6" t="inlineStr">
        <is>
          <t>All_Questions_Q_GB_CT = K$34</t>
        </is>
      </c>
      <c r="H6">
        <f>IF(OR(All_Questions_Q_GB_CT="(None)",K$34=""),"",IF(K$34="Other","",IFERROR(COUNTIFS(Q_GB_R1_data,"Selected",passes_workbook_filters_data,1,passes_workbook_custom_filters_data,1,All_Questions_passes_local_filters_data,1,All_Questions_Q_GB_F_passes_per_q_filter_data,1,INDIRECT(IFERROR(INDEX(Cross_Tab_Questions_Data_Names,MATCH(All_Questions_Q_GB_CT,Cross_Tab_Questions,0)),"'_RawData'!$A:$A")),K$34)/SUMPRODUCT(--((--(Q_GB_R1_data&lt;&gt;""))&gt;0),--(passes_workbook_filters_data=1),--(passes_workbook_custom_filters_data=1),--(All_Questions_passes_local_filters_data=1),--(All_Questions_Q_GB_F_passes_per_q_filter_data=1),--(INDIRECT(IFERROR(INDEX(Cross_Tab_Questions_Data_Names,MATCH(All_Questions_Q_GB_CT,Cross_Tab_Questions,0)),"'_RawData'!$A:$A"))=K$34)),"")))</f>
        <v>0</v>
      </c>
      <c r="I6" t="n">
        <v>0</v>
      </c>
      <c r="J6" t="n">
        <v>0</v>
      </c>
      <c r="K6" t="n">
        <v>0</v>
      </c>
      <c r="L6" t="inlineStr">
        <is>
          <t>2026-06-09T06:48:25.274291+00:00</t>
        </is>
      </c>
    </row>
    <row r="7">
      <c r="A7" t="inlineStr">
        <is>
          <t>All Questions</t>
        </is>
      </c>
      <c r="B7" t="inlineStr">
        <is>
          <t>cross_tab_by_selection_rate</t>
        </is>
      </c>
      <c r="C7" t="inlineStr">
        <is>
          <t>Q_GB</t>
        </is>
      </c>
      <c r="D7" t="inlineStr">
        <is>
          <t>Q_GB_R1</t>
        </is>
      </c>
      <c r="E7" t="inlineStr">
        <is>
          <t>All_Questions_Q_GB_CT = L$34</t>
        </is>
      </c>
      <c r="H7">
        <f>IF(OR(All_Questions_Q_GB_CT="(None)",L$34=""),"",IF(L$34="Other","",IFERROR(COUNTIFS(Q_GB_R1_data,"Selected",passes_workbook_filters_data,1,passes_workbook_custom_filters_data,1,All_Questions_passes_local_filters_data,1,All_Questions_Q_GB_F_passes_per_q_filter_data,1,INDIRECT(IFERROR(INDEX(Cross_Tab_Questions_Data_Names,MATCH(All_Questions_Q_GB_CT,Cross_Tab_Questions,0)),"'_RawData'!$A:$A")),L$34)/SUMPRODUCT(--((--(Q_GB_R1_data&lt;&gt;""))&gt;0),--(passes_workbook_filters_data=1),--(passes_workbook_custom_filters_data=1),--(All_Questions_passes_local_filters_data=1),--(All_Questions_Q_GB_F_passes_per_q_filter_data=1),--(INDIRECT(IFERROR(INDEX(Cross_Tab_Questions_Data_Names,MATCH(All_Questions_Q_GB_CT,Cross_Tab_Questions,0)),"'_RawData'!$A:$A"))=L$34)),"")))</f>
        <v>0</v>
      </c>
      <c r="I7" t="n">
        <v>0</v>
      </c>
      <c r="J7" t="n">
        <v>0</v>
      </c>
      <c r="K7" t="n">
        <v>0</v>
      </c>
      <c r="L7" t="inlineStr">
        <is>
          <t>2026-06-09T06:48:25.274332+00:00</t>
        </is>
      </c>
    </row>
    <row r="8">
      <c r="A8" t="inlineStr">
        <is>
          <t>All Questions</t>
        </is>
      </c>
      <c r="B8" t="inlineStr">
        <is>
          <t>cross_tab_by_selection_rate</t>
        </is>
      </c>
      <c r="C8" t="inlineStr">
        <is>
          <t>Q_GB</t>
        </is>
      </c>
      <c r="D8" t="inlineStr">
        <is>
          <t>Q_GB_R1</t>
        </is>
      </c>
      <c r="E8" t="inlineStr">
        <is>
          <t>All_Questions_Q_GB_CT = M$34</t>
        </is>
      </c>
      <c r="H8">
        <f>IF(OR(All_Questions_Q_GB_CT="(None)",M$34=""),"",IF(M$34="Other","",IFERROR(COUNTIFS(Q_GB_R1_data,"Selected",passes_workbook_filters_data,1,passes_workbook_custom_filters_data,1,All_Questions_passes_local_filters_data,1,All_Questions_Q_GB_F_passes_per_q_filter_data,1,INDIRECT(IFERROR(INDEX(Cross_Tab_Questions_Data_Names,MATCH(All_Questions_Q_GB_CT,Cross_Tab_Questions,0)),"'_RawData'!$A:$A")),M$34)/SUMPRODUCT(--((--(Q_GB_R1_data&lt;&gt;""))&gt;0),--(passes_workbook_filters_data=1),--(passes_workbook_custom_filters_data=1),--(All_Questions_passes_local_filters_data=1),--(All_Questions_Q_GB_F_passes_per_q_filter_data=1),--(INDIRECT(IFERROR(INDEX(Cross_Tab_Questions_Data_Names,MATCH(All_Questions_Q_GB_CT,Cross_Tab_Questions,0)),"'_RawData'!$A:$A"))=M$34)),"")))</f>
        <v>0</v>
      </c>
      <c r="I8" t="n">
        <v>0</v>
      </c>
      <c r="J8" t="n">
        <v>0</v>
      </c>
      <c r="K8" t="n">
        <v>0</v>
      </c>
      <c r="L8" t="inlineStr">
        <is>
          <t>2026-06-09T06:48:25.274372+00:00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Q_GB</t>
        </is>
      </c>
      <c r="D9" t="inlineStr">
        <is>
          <t>Q_GB_R1</t>
        </is>
      </c>
      <c r="E9" t="inlineStr">
        <is>
          <t>All_Questions_Q_GB_CT = N$34</t>
        </is>
      </c>
      <c r="H9">
        <f>IF(OR(All_Questions_Q_GB_CT="(None)",N$34=""),"",IF(N$34="Other","",IFERROR(COUNTIFS(Q_GB_R1_data,"Selected",passes_workbook_filters_data,1,passes_workbook_custom_filters_data,1,All_Questions_passes_local_filters_data,1,All_Questions_Q_GB_F_passes_per_q_filter_data,1,INDIRECT(IFERROR(INDEX(Cross_Tab_Questions_Data_Names,MATCH(All_Questions_Q_GB_CT,Cross_Tab_Questions,0)),"'_RawData'!$A:$A")),N$34)/SUMPRODUCT(--((--(Q_GB_R1_data&lt;&gt;""))&gt;0),--(passes_workbook_filters_data=1),--(passes_workbook_custom_filters_data=1),--(All_Questions_passes_local_filters_data=1),--(All_Questions_Q_GB_F_passes_per_q_filter_data=1),--(INDIRECT(IFERROR(INDEX(Cross_Tab_Questions_Data_Names,MATCH(All_Questions_Q_GB_CT,Cross_Tab_Questions,0)),"'_RawData'!$A:$A"))=N$34)),"")))</f>
        <v>0</v>
      </c>
      <c r="I9" t="n">
        <v>0</v>
      </c>
      <c r="J9" t="n">
        <v>0</v>
      </c>
      <c r="K9" t="n">
        <v>0</v>
      </c>
      <c r="L9" t="inlineStr">
        <is>
          <t>2026-06-09T06:48:25.274410+00:00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Q_GB</t>
        </is>
      </c>
      <c r="D10" t="inlineStr">
        <is>
          <t>Q_GB_R1</t>
        </is>
      </c>
      <c r="E10" t="inlineStr">
        <is>
          <t>All_Questions_Q_GB_CT = O$34</t>
        </is>
      </c>
      <c r="H10">
        <f>IF(OR(All_Questions_Q_GB_CT="(None)",O$34=""),"",IF(O$34="Other","",IFERROR(COUNTIFS(Q_GB_R1_data,"Selected",passes_workbook_filters_data,1,passes_workbook_custom_filters_data,1,All_Questions_passes_local_filters_data,1,All_Questions_Q_GB_F_passes_per_q_filter_data,1,INDIRECT(IFERROR(INDEX(Cross_Tab_Questions_Data_Names,MATCH(All_Questions_Q_GB_CT,Cross_Tab_Questions,0)),"'_RawData'!$A:$A")),O$34)/SUMPRODUCT(--((--(Q_GB_R1_data&lt;&gt;""))&gt;0),--(passes_workbook_filters_data=1),--(passes_workbook_custom_filters_data=1),--(All_Questions_passes_local_filters_data=1),--(All_Questions_Q_GB_F_passes_per_q_filter_data=1),--(INDIRECT(IFERROR(INDEX(Cross_Tab_Questions_Data_Names,MATCH(All_Questions_Q_GB_CT,Cross_Tab_Questions,0)),"'_RawData'!$A:$A"))=O$34)),"")))</f>
        <v>0</v>
      </c>
      <c r="I10" t="n">
        <v>0</v>
      </c>
      <c r="J10" t="n">
        <v>0</v>
      </c>
      <c r="K10" t="n">
        <v>0</v>
      </c>
      <c r="L10" t="inlineStr">
        <is>
          <t>2026-06-09T06:48:25.274448+00:00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Q_GB</t>
        </is>
      </c>
      <c r="D11" t="inlineStr">
        <is>
          <t>Q_GB_R1</t>
        </is>
      </c>
      <c r="E11" t="inlineStr">
        <is>
          <t>All_Questions_Q_GB_CT = P$34</t>
        </is>
      </c>
      <c r="H11">
        <f>IF(OR(All_Questions_Q_GB_CT="(None)",P$34=""),"",IF(P$34="Other","",IFERROR(COUNTIFS(Q_GB_R1_data,"Selected",passes_workbook_filters_data,1,passes_workbook_custom_filters_data,1,All_Questions_passes_local_filters_data,1,All_Questions_Q_GB_F_passes_per_q_filter_data,1,INDIRECT(IFERROR(INDEX(Cross_Tab_Questions_Data_Names,MATCH(All_Questions_Q_GB_CT,Cross_Tab_Questions,0)),"'_RawData'!$A:$A")),P$34)/SUMPRODUCT(--((--(Q_GB_R1_data&lt;&gt;""))&gt;0),--(passes_workbook_filters_data=1),--(passes_workbook_custom_filters_data=1),--(All_Questions_passes_local_filters_data=1),--(All_Questions_Q_GB_F_passes_per_q_filter_data=1),--(INDIRECT(IFERROR(INDEX(Cross_Tab_Questions_Data_Names,MATCH(All_Questions_Q_GB_CT,Cross_Tab_Questions,0)),"'_RawData'!$A:$A"))=P$34)),"")))</f>
        <v>0</v>
      </c>
      <c r="I11" t="n">
        <v>0</v>
      </c>
      <c r="J11" t="n">
        <v>0</v>
      </c>
      <c r="K11" t="n">
        <v>0</v>
      </c>
      <c r="L11" t="inlineStr">
        <is>
          <t>2026-06-09T06:48:25.274486+00:00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Q_GB</t>
        </is>
      </c>
      <c r="D12" t="inlineStr">
        <is>
          <t>Q_GB_R1</t>
        </is>
      </c>
      <c r="E12" t="inlineStr">
        <is>
          <t>All_Questions_Q_GB_CT = Q$34</t>
        </is>
      </c>
      <c r="H12">
        <f>IF(OR(All_Questions_Q_GB_CT="(None)",Q$34=""),"",IF(Q$34="Other","",IFERROR(COUNTIFS(Q_GB_R1_data,"Selected",passes_workbook_filters_data,1,passes_workbook_custom_filters_data,1,All_Questions_passes_local_filters_data,1,All_Questions_Q_GB_F_passes_per_q_filter_data,1,INDIRECT(IFERROR(INDEX(Cross_Tab_Questions_Data_Names,MATCH(All_Questions_Q_GB_CT,Cross_Tab_Questions,0)),"'_RawData'!$A:$A")),Q$34)/SUMPRODUCT(--((--(Q_GB_R1_data&lt;&gt;""))&gt;0),--(passes_workbook_filters_data=1),--(passes_workbook_custom_filters_data=1),--(All_Questions_passes_local_filters_data=1),--(All_Questions_Q_GB_F_passes_per_q_filter_data=1),--(INDIRECT(IFERROR(INDEX(Cross_Tab_Questions_Data_Names,MATCH(All_Questions_Q_GB_CT,Cross_Tab_Questions,0)),"'_RawData'!$A:$A"))=Q$34)),"")))</f>
        <v>0</v>
      </c>
      <c r="I12" t="n">
        <v>0</v>
      </c>
      <c r="J12" t="n">
        <v>0</v>
      </c>
      <c r="K12" t="n">
        <v>0</v>
      </c>
      <c r="L12" t="inlineStr">
        <is>
          <t>2026-06-09T06:48:25.274522+00:00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Q_GB</t>
        </is>
      </c>
      <c r="D13" t="inlineStr">
        <is>
          <t>Q_GB_R1</t>
        </is>
      </c>
      <c r="E13" t="inlineStr">
        <is>
          <t>All_Questions_Q_GB_CT = R$34</t>
        </is>
      </c>
      <c r="H13">
        <f>IF(OR(All_Questions_Q_GB_CT="(None)",R$34=""),"",IF(R$34="Other","",IFERROR(COUNTIFS(Q_GB_R1_data,"Selected",passes_workbook_filters_data,1,passes_workbook_custom_filters_data,1,All_Questions_passes_local_filters_data,1,All_Questions_Q_GB_F_passes_per_q_filter_data,1,INDIRECT(IFERROR(INDEX(Cross_Tab_Questions_Data_Names,MATCH(All_Questions_Q_GB_CT,Cross_Tab_Questions,0)),"'_RawData'!$A:$A")),R$34)/SUMPRODUCT(--((--(Q_GB_R1_data&lt;&gt;""))&gt;0),--(passes_workbook_filters_data=1),--(passes_workbook_custom_filters_data=1),--(All_Questions_passes_local_filters_data=1),--(All_Questions_Q_GB_F_passes_per_q_filter_data=1),--(INDIRECT(IFERROR(INDEX(Cross_Tab_Questions_Data_Names,MATCH(All_Questions_Q_GB_CT,Cross_Tab_Questions,0)),"'_RawData'!$A:$A"))=R$34)),"")))</f>
        <v>0</v>
      </c>
      <c r="I13" t="n">
        <v>0</v>
      </c>
      <c r="J13" t="n">
        <v>0</v>
      </c>
      <c r="K13" t="n">
        <v>0</v>
      </c>
      <c r="L13" t="inlineStr">
        <is>
          <t>2026-06-09T06:48:25.274570+00:00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2026-06-09T06:48:24Z</dcterms:created>
  <dcterms:modified xmlns:dcterms="http://purl.org/dc/terms/" xmlns:xsi="http://www.w3.org/2001/XMLSchema-instance" xsi:type="dcterms:W3CDTF">2026-06-09T06:48:25Z</dcterms:modified>
</cp:coreProperties>
</file>