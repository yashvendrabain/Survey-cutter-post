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  <row r="22"/>
    <row r="23">
      <c r="F23" s="4" t="inlineStr">
        <is>
          <t>Option</t>
        </is>
      </c>
      <c r="G23" s="2" t="str">
        <f>IF(All_Questions_Q30_CT="(None)","",IFERROR(INDEX(INDIRECT(IFERROR(INDEX(All_Questions_Options_Names,MATCH(All_Questions_Q30_CT,All_Questions,0)),"'_Options'!$E$2:$E$2")),2),""))</f>
        <v/>
      </c>
      <c r="H23" s="2" t="str">
        <f>IF(All_Questions_Q30_CT="(None)","",IFERROR(INDEX(INDIRECT(IFERROR(INDEX(All_Questions_Options_Names,MATCH(All_Questions_Q30_CT,All_Questions,0)),"'_Options'!$E$2:$E$2")),3),""))</f>
        <v/>
      </c>
      <c r="I23" s="2" t="str">
        <f>IF(All_Questions_Q30_CT="(None)","",IFERROR(INDEX(INDIRECT(IFERROR(INDEX(All_Questions_Options_Names,MATCH(All_Questions_Q30_CT,All_Questions,0)),"'_Options'!$E$2:$E$2")),4),""))</f>
        <v/>
      </c>
      <c r="J23" s="2" t="str">
        <f>IF(All_Questions_Q30_CT="(None)","",IFERROR(INDEX(INDIRECT(IFERROR(INDEX(All_Questions_Options_Names,MATCH(All_Questions_Q30_CT,All_Questions,0)),"'_Options'!$E$2:$E$2")),5),""))</f>
        <v/>
      </c>
      <c r="K23" s="2" t="str">
        <f>IF(All_Questions_Q30_CT="(None)","",IFERROR(INDEX(INDIRECT(IFERROR(INDEX(All_Questions_Options_Names,MATCH(All_Questions_Q30_CT,All_Questions,0)),"'_Options'!$E$2:$E$2")),6),""))</f>
        <v/>
      </c>
      <c r="L23" s="2" t="str">
        <f>IF(All_Questions_Q30_CT="(None)","",IFERROR(INDEX(INDIRECT(IFERROR(INDEX(All_Questions_Options_Names,MATCH(All_Questions_Q30_CT,All_Questions,0)),"'_Options'!$E$2:$E$2")),7),""))</f>
        <v/>
      </c>
      <c r="M23" s="2" t="str">
        <f>IF(All_Questions_Q30_CT="(None)","",IFERROR(INDEX(INDIRECT(IFERROR(INDEX(All_Questions_Options_Names,MATCH(All_Questions_Q30_CT,All_Questions,0)),"'_Options'!$E$2:$E$2")),8),""))</f>
        <v/>
      </c>
      <c r="N23" s="2" t="str">
        <f>IF(All_Questions_Q30_CT="(None)","",IFERROR(INDEX(INDIRECT(IFERROR(INDEX(All_Questions_Options_Names,MATCH(All_Questions_Q30_CT,All_Questions,0)),"'_Options'!$E$2:$E$2")),9),""))</f>
        <v/>
      </c>
      <c r="O23" s="2" t="str">
        <f>IF(All_Questions_Q30_CT="(None)","",IFERROR(INDEX(INDIRECT(IFERROR(INDEX(All_Questions_Options_Names,MATCH(All_Questions_Q30_CT,All_Questions,0)),"'_Options'!$E$2:$E$2")),10),""))</f>
        <v/>
      </c>
      <c r="P23" s="2" t="str">
        <f>IF(All_Questions_Q30_CT="(None)","",IFERROR(INDEX(INDIRECT(IFERROR(INDEX(All_Questions_Options_Names,MATCH(All_Questions_Q30_CT,All_Questions,0)),"'_Options'!$E$2:$E$2")),11),""))</f>
        <v/>
      </c>
      <c r="Q23" s="2" t="str">
        <f>IF(All_Questions_Q30_CT="(None)","",IFERROR(INDEX(INDIRECT(IFERROR(INDEX(All_Questions_Options_Names,MATCH(All_Questions_Q30_CT,All_Questions,0)),"'_Options'!$E$2:$E$2")),12),""))</f>
        <v/>
      </c>
      <c r="R23" s="2" t="str">
        <f>IF(All_Questions_Q30_CT="(None)","",IF(COUNTA(INDIRECT(IFERROR(INDEX(All_Questions_Options_Names,MATCH(All_Questions_Q30_CT,All_Questions,0)),"'_Options'!$E$2:$E$2")))-1&gt;11,"Other",IFERROR(INDEX(INDIRECT(IFERROR(INDEX(All_Questions_Options_Names,MATCH(All_Questions_Q30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Pre-purchase familiarity</t>
        </is>
      </c>
      <c r="G25" s="15">
        <f>IF(OR(All_Questions_Q30_CT="(None)",G$23=""),"",IF(G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8.3</v>
      </c>
      <c r="H25" s="15">
        <f>IF(OR(All_Questions_Q30_CT="(None)",H$23=""),"",IF(H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8.3</v>
      </c>
      <c r="I25" s="15">
        <f>IF(OR(All_Questions_Q30_CT="(None)",I$23=""),"",IF(I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8.3</v>
      </c>
      <c r="J25" s="15">
        <f>IF(OR(All_Questions_Q30_CT="(None)",J$23=""),"",IF(J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8.3</v>
      </c>
      <c r="K25" s="15">
        <f>IF(OR(All_Questions_Q30_CT="(None)",K$23=""),"",IF(K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8.3</v>
      </c>
      <c r="L25" s="15">
        <f>IF(OR(All_Questions_Q30_CT="(None)",L$23=""),"",IF(L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8.3</v>
      </c>
      <c r="M25" s="15">
        <f>IF(OR(All_Questions_Q30_CT="(None)",M$23=""),"",IF(M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8.3</v>
      </c>
      <c r="N25" s="15">
        <f>IF(OR(All_Questions_Q30_CT="(None)",N$23=""),"",IF(N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8.3</v>
      </c>
      <c r="O25" s="15">
        <f>IF(OR(All_Questions_Q30_CT="(None)",O$23=""),"",IF(O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8.3</v>
      </c>
      <c r="P25" s="15">
        <f>IF(OR(All_Questions_Q30_CT="(None)",P$23=""),"",IF(P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8.3</v>
      </c>
      <c r="Q25" s="15">
        <f>IF(OR(All_Questions_Q30_CT="(None)",Q$23=""),"",IF(Q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8.3</v>
      </c>
      <c r="R25" s="15">
        <f>IF(OR(All_Questions_Q30_CT="(None)",R$23=""),"",IF(R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8.3</v>
      </c>
      <c r="S25" s="15">
        <f>IF(All_Questions_Q30_CT="(None)","",IFERROR(AVERAGEIFS(Q30r1c1_data,Q30r1c1_data,"&gt;=0",passes_workbook_filters_data,1,passes_workbook_custom_filters_data,1,All_Questions_passes_local_filters_data,1,All_Questions_Q30_F_passes_per_q_filter_data,1),""))</f>
        <v>8.3</v>
      </c>
    </row>
    <row r="26">
      <c r="F26" t="inlineStr">
        <is>
          <t>Customer validation</t>
        </is>
      </c>
      <c r="G26" s="15">
        <f>IF(OR(All_Questions_Q30_CT="(None)",G$23=""),"",IF(G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8.7</v>
      </c>
      <c r="H26" s="15">
        <f>IF(OR(All_Questions_Q30_CT="(None)",H$23=""),"",IF(H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8.7</v>
      </c>
      <c r="I26" s="15">
        <f>IF(OR(All_Questions_Q30_CT="(None)",I$23=""),"",IF(I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8.7</v>
      </c>
      <c r="J26" s="15">
        <f>IF(OR(All_Questions_Q30_CT="(None)",J$23=""),"",IF(J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8.7</v>
      </c>
      <c r="K26" s="15">
        <f>IF(OR(All_Questions_Q30_CT="(None)",K$23=""),"",IF(K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8.7</v>
      </c>
      <c r="L26" s="15">
        <f>IF(OR(All_Questions_Q30_CT="(None)",L$23=""),"",IF(L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8.7</v>
      </c>
      <c r="M26" s="15">
        <f>IF(OR(All_Questions_Q30_CT="(None)",M$23=""),"",IF(M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8.7</v>
      </c>
      <c r="N26" s="15">
        <f>IF(OR(All_Questions_Q30_CT="(None)",N$23=""),"",IF(N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8.7</v>
      </c>
      <c r="O26" s="15">
        <f>IF(OR(All_Questions_Q30_CT="(None)",O$23=""),"",IF(O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8.7</v>
      </c>
      <c r="P26" s="15">
        <f>IF(OR(All_Questions_Q30_CT="(None)",P$23=""),"",IF(P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8.7</v>
      </c>
      <c r="Q26" s="15">
        <f>IF(OR(All_Questions_Q30_CT="(None)",Q$23=""),"",IF(Q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8.7</v>
      </c>
      <c r="R26" s="15">
        <f>IF(OR(All_Questions_Q30_CT="(None)",R$23=""),"",IF(R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8.7</v>
      </c>
      <c r="S26" s="15">
        <f>IF(All_Questions_Q30_CT="(None)","",IFERROR(AVERAGEIFS(Q30r2c1_data,Q30r2c1_data,"&gt;=0",passes_workbook_filters_data,1,passes_workbook_custom_filters_data,1,All_Questions_passes_local_filters_data,1,All_Questions_Q30_F_passes_per_q_filter_data,1),""))</f>
        <v>8.7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IF(All_Questions_Q30_CT="(None)","",COUNTIFS(respondent_id_data,"&lt;&gt;",passes_workbook_filters_data,1,passes_workbook_custom_filters_data,1,All_Questions_passes_local_filters_data,1,All_Questions_Q30_F_passes_per_q_filter_data,1))</f>
        <v>0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Q30</t>
        </is>
      </c>
      <c r="D2" t="inlineStr">
        <is>
          <t>Q30r1c1</t>
        </is>
      </c>
      <c r="E2" t="inlineStr">
        <is>
          <t>All_Questions_Q30_CT = G$23</t>
        </is>
      </c>
      <c r="H2">
        <f>IF(OR(All_Questions_Q30_CT="(None)",G$23=""),"",IF(G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0</v>
      </c>
      <c r="I2" t="n">
        <v>8.300000000000001</v>
      </c>
      <c r="J2" t="n">
        <v>0</v>
      </c>
      <c r="K2" t="n">
        <v>0</v>
      </c>
      <c r="L2" t="inlineStr">
        <is>
          <t>2026-06-08T13:16:23.628690+00:00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Q30</t>
        </is>
      </c>
      <c r="D3" t="inlineStr">
        <is>
          <t>Q30r1c1</t>
        </is>
      </c>
      <c r="E3" t="inlineStr">
        <is>
          <t>All_Questions_Q30_CT = H$23</t>
        </is>
      </c>
      <c r="H3">
        <f>IF(OR(All_Questions_Q30_CT="(None)",H$23=""),"",IF(H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0</v>
      </c>
      <c r="I3" t="n">
        <v>8.300000000000001</v>
      </c>
      <c r="J3" t="n">
        <v>0</v>
      </c>
      <c r="K3" t="n">
        <v>0</v>
      </c>
      <c r="L3" t="inlineStr">
        <is>
          <t>2026-06-08T13:16:23.628925+00:00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Q30</t>
        </is>
      </c>
      <c r="D4" t="inlineStr">
        <is>
          <t>Q30r1c1</t>
        </is>
      </c>
      <c r="E4" t="inlineStr">
        <is>
          <t>All_Questions_Q30_CT = I$23</t>
        </is>
      </c>
      <c r="H4">
        <f>IF(OR(All_Questions_Q30_CT="(None)",I$23=""),"",IF(I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0</v>
      </c>
      <c r="I4" t="n">
        <v>8.300000000000001</v>
      </c>
      <c r="J4" t="n">
        <v>0</v>
      </c>
      <c r="K4" t="n">
        <v>0</v>
      </c>
      <c r="L4" t="inlineStr">
        <is>
          <t>2026-06-08T13:16:23.629196+00:00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Q30</t>
        </is>
      </c>
      <c r="D5" t="inlineStr">
        <is>
          <t>Q30r1c1</t>
        </is>
      </c>
      <c r="E5" t="inlineStr">
        <is>
          <t>All_Questions_Q30_CT = J$23</t>
        </is>
      </c>
      <c r="H5">
        <f>IF(OR(All_Questions_Q30_CT="(None)",J$23=""),"",IF(J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0</v>
      </c>
      <c r="I5" t="n">
        <v>8.300000000000001</v>
      </c>
      <c r="J5" t="n">
        <v>0</v>
      </c>
      <c r="K5" t="n">
        <v>0</v>
      </c>
      <c r="L5" t="inlineStr">
        <is>
          <t>2026-06-08T13:16:23.629503+00:00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Q30</t>
        </is>
      </c>
      <c r="D6" t="inlineStr">
        <is>
          <t>Q30r1c1</t>
        </is>
      </c>
      <c r="E6" t="inlineStr">
        <is>
          <t>All_Questions_Q30_CT = K$23</t>
        </is>
      </c>
      <c r="H6">
        <f>IF(OR(All_Questions_Q30_CT="(None)",K$23=""),"",IF(K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0</v>
      </c>
      <c r="I6" t="n">
        <v>8.300000000000001</v>
      </c>
      <c r="J6" t="n">
        <v>0</v>
      </c>
      <c r="K6" t="n">
        <v>0</v>
      </c>
      <c r="L6" t="inlineStr">
        <is>
          <t>2026-06-08T13:16:23.629744+00:00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Q30</t>
        </is>
      </c>
      <c r="D7" t="inlineStr">
        <is>
          <t>Q30r1c1</t>
        </is>
      </c>
      <c r="E7" t="inlineStr">
        <is>
          <t>All_Questions_Q30_CT = L$23</t>
        </is>
      </c>
      <c r="H7">
        <f>IF(OR(All_Questions_Q30_CT="(None)",L$23=""),"",IF(L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0</v>
      </c>
      <c r="I7" t="n">
        <v>8.300000000000001</v>
      </c>
      <c r="J7" t="n">
        <v>0</v>
      </c>
      <c r="K7" t="n">
        <v>0</v>
      </c>
      <c r="L7" t="inlineStr">
        <is>
          <t>2026-06-08T13:16:23.630005+00:00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Q30</t>
        </is>
      </c>
      <c r="D8" t="inlineStr">
        <is>
          <t>Q30r1c1</t>
        </is>
      </c>
      <c r="E8" t="inlineStr">
        <is>
          <t>All_Questions_Q30_CT = M$23</t>
        </is>
      </c>
      <c r="H8">
        <f>IF(OR(All_Questions_Q30_CT="(None)",M$23=""),"",IF(M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0</v>
      </c>
      <c r="I8" t="n">
        <v>8.300000000000001</v>
      </c>
      <c r="J8" t="n">
        <v>0</v>
      </c>
      <c r="K8" t="n">
        <v>0</v>
      </c>
      <c r="L8" t="inlineStr">
        <is>
          <t>2026-06-08T13:16:23.630252+00:00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Q30</t>
        </is>
      </c>
      <c r="D9" t="inlineStr">
        <is>
          <t>Q30r1c1</t>
        </is>
      </c>
      <c r="E9" t="inlineStr">
        <is>
          <t>All_Questions_Q30_CT = N$23</t>
        </is>
      </c>
      <c r="H9">
        <f>IF(OR(All_Questions_Q30_CT="(None)",N$23=""),"",IF(N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0</v>
      </c>
      <c r="I9" t="n">
        <v>8.300000000000001</v>
      </c>
      <c r="J9" t="n">
        <v>0</v>
      </c>
      <c r="K9" t="n">
        <v>0</v>
      </c>
      <c r="L9" t="inlineStr">
        <is>
          <t>2026-06-08T13:16:23.630533+00:00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Q30</t>
        </is>
      </c>
      <c r="D10" t="inlineStr">
        <is>
          <t>Q30r1c1</t>
        </is>
      </c>
      <c r="E10" t="inlineStr">
        <is>
          <t>All_Questions_Q30_CT = O$23</t>
        </is>
      </c>
      <c r="H10">
        <f>IF(OR(All_Questions_Q30_CT="(None)",O$23=""),"",IF(O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0</v>
      </c>
      <c r="I10" t="n">
        <v>8.300000000000001</v>
      </c>
      <c r="J10" t="n">
        <v>0</v>
      </c>
      <c r="K10" t="n">
        <v>0</v>
      </c>
      <c r="L10" t="inlineStr">
        <is>
          <t>2026-06-08T13:16:23.630768+00:00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Q30</t>
        </is>
      </c>
      <c r="D11" t="inlineStr">
        <is>
          <t>Q30r1c1</t>
        </is>
      </c>
      <c r="E11" t="inlineStr">
        <is>
          <t>All_Questions_Q30_CT = P$23</t>
        </is>
      </c>
      <c r="H11">
        <f>IF(OR(All_Questions_Q30_CT="(None)",P$23=""),"",IF(P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0</v>
      </c>
      <c r="I11" t="n">
        <v>8.300000000000001</v>
      </c>
      <c r="J11" t="n">
        <v>0</v>
      </c>
      <c r="K11" t="n">
        <v>0</v>
      </c>
      <c r="L11" t="inlineStr">
        <is>
          <t>2026-06-08T13:16:23.631030+00:00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Q30</t>
        </is>
      </c>
      <c r="D12" t="inlineStr">
        <is>
          <t>Q30r1c1</t>
        </is>
      </c>
      <c r="E12" t="inlineStr">
        <is>
          <t>All_Questions_Q30_CT = Q$23</t>
        </is>
      </c>
      <c r="H12">
        <f>IF(OR(All_Questions_Q30_CT="(None)",Q$23=""),"",IF(Q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0</v>
      </c>
      <c r="I12" t="n">
        <v>8.300000000000001</v>
      </c>
      <c r="J12" t="n">
        <v>0</v>
      </c>
      <c r="K12" t="n">
        <v>0</v>
      </c>
      <c r="L12" t="inlineStr">
        <is>
          <t>2026-06-08T13:16:23.631324+00:00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Q30</t>
        </is>
      </c>
      <c r="D13" t="inlineStr">
        <is>
          <t>Q30r1c1</t>
        </is>
      </c>
      <c r="E13" t="inlineStr">
        <is>
          <t>All_Questions_Q30_CT = R$23</t>
        </is>
      </c>
      <c r="H13">
        <f>IF(OR(All_Questions_Q30_CT="(None)",R$23=""),"",IF(R$23="Other","",IFERROR(AVERAGEIFS(Q30r1c1_data,Q30r1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0</v>
      </c>
      <c r="I13" t="n">
        <v>8.300000000000001</v>
      </c>
      <c r="J13" t="n">
        <v>0</v>
      </c>
      <c r="K13" t="n">
        <v>0</v>
      </c>
      <c r="L13" t="inlineStr">
        <is>
          <t>2026-06-08T13:16:23.631648+00:00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Q30</t>
        </is>
      </c>
      <c r="D14" t="inlineStr">
        <is>
          <t>Q30r2c1</t>
        </is>
      </c>
      <c r="E14" t="inlineStr">
        <is>
          <t>All_Questions_Q30_CT = G$23</t>
        </is>
      </c>
      <c r="H14">
        <f>IF(OR(All_Questions_Q30_CT="(None)",G$23=""),"",IF(G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G$23),"")))</f>
        <v>0</v>
      </c>
      <c r="I14" t="n">
        <v>8.699999999999999</v>
      </c>
      <c r="J14" t="n">
        <v>0</v>
      </c>
      <c r="K14" t="n">
        <v>0</v>
      </c>
      <c r="L14" t="inlineStr">
        <is>
          <t>2026-06-08T13:16:23.631962+00:00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Q30</t>
        </is>
      </c>
      <c r="D15" t="inlineStr">
        <is>
          <t>Q30r2c1</t>
        </is>
      </c>
      <c r="E15" t="inlineStr">
        <is>
          <t>All_Questions_Q30_CT = H$23</t>
        </is>
      </c>
      <c r="H15">
        <f>IF(OR(All_Questions_Q30_CT="(None)",H$23=""),"",IF(H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H$23),"")))</f>
        <v>0</v>
      </c>
      <c r="I15" t="n">
        <v>8.699999999999999</v>
      </c>
      <c r="J15" t="n">
        <v>0</v>
      </c>
      <c r="K15" t="n">
        <v>0</v>
      </c>
      <c r="L15" t="inlineStr">
        <is>
          <t>2026-06-08T13:16:23.632147+00:00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Q30</t>
        </is>
      </c>
      <c r="D16" t="inlineStr">
        <is>
          <t>Q30r2c1</t>
        </is>
      </c>
      <c r="E16" t="inlineStr">
        <is>
          <t>All_Questions_Q30_CT = I$23</t>
        </is>
      </c>
      <c r="H16">
        <f>IF(OR(All_Questions_Q30_CT="(None)",I$23=""),"",IF(I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I$23),"")))</f>
        <v>0</v>
      </c>
      <c r="I16" t="n">
        <v>8.699999999999999</v>
      </c>
      <c r="J16" t="n">
        <v>0</v>
      </c>
      <c r="K16" t="n">
        <v>0</v>
      </c>
      <c r="L16" t="inlineStr">
        <is>
          <t>2026-06-08T13:16:23.632342+00:00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Q30</t>
        </is>
      </c>
      <c r="D17" t="inlineStr">
        <is>
          <t>Q30r2c1</t>
        </is>
      </c>
      <c r="E17" t="inlineStr">
        <is>
          <t>All_Questions_Q30_CT = J$23</t>
        </is>
      </c>
      <c r="H17">
        <f>IF(OR(All_Questions_Q30_CT="(None)",J$23=""),"",IF(J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J$23),"")))</f>
        <v>0</v>
      </c>
      <c r="I17" t="n">
        <v>8.699999999999999</v>
      </c>
      <c r="J17" t="n">
        <v>0</v>
      </c>
      <c r="K17" t="n">
        <v>0</v>
      </c>
      <c r="L17" t="inlineStr">
        <is>
          <t>2026-06-08T13:16:23.632542+00:00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Q30</t>
        </is>
      </c>
      <c r="D18" t="inlineStr">
        <is>
          <t>Q30r2c1</t>
        </is>
      </c>
      <c r="E18" t="inlineStr">
        <is>
          <t>All_Questions_Q30_CT = K$23</t>
        </is>
      </c>
      <c r="H18">
        <f>IF(OR(All_Questions_Q30_CT="(None)",K$23=""),"",IF(K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K$23),"")))</f>
        <v>0</v>
      </c>
      <c r="I18" t="n">
        <v>8.699999999999999</v>
      </c>
      <c r="J18" t="n">
        <v>0</v>
      </c>
      <c r="K18" t="n">
        <v>0</v>
      </c>
      <c r="L18" t="inlineStr">
        <is>
          <t>2026-06-08T13:16:23.632726+00:00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Q30</t>
        </is>
      </c>
      <c r="D19" t="inlineStr">
        <is>
          <t>Q30r2c1</t>
        </is>
      </c>
      <c r="E19" t="inlineStr">
        <is>
          <t>All_Questions_Q30_CT = L$23</t>
        </is>
      </c>
      <c r="H19">
        <f>IF(OR(All_Questions_Q30_CT="(None)",L$23=""),"",IF(L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L$23),"")))</f>
        <v>0</v>
      </c>
      <c r="I19" t="n">
        <v>8.699999999999999</v>
      </c>
      <c r="J19" t="n">
        <v>0</v>
      </c>
      <c r="K19" t="n">
        <v>0</v>
      </c>
      <c r="L19" t="inlineStr">
        <is>
          <t>2026-06-08T13:16:23.632897+00:00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Q30</t>
        </is>
      </c>
      <c r="D20" t="inlineStr">
        <is>
          <t>Q30r2c1</t>
        </is>
      </c>
      <c r="E20" t="inlineStr">
        <is>
          <t>All_Questions_Q30_CT = M$23</t>
        </is>
      </c>
      <c r="H20">
        <f>IF(OR(All_Questions_Q30_CT="(None)",M$23=""),"",IF(M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M$23),"")))</f>
        <v>0</v>
      </c>
      <c r="I20" t="n">
        <v>8.699999999999999</v>
      </c>
      <c r="J20" t="n">
        <v>0</v>
      </c>
      <c r="K20" t="n">
        <v>0</v>
      </c>
      <c r="L20" t="inlineStr">
        <is>
          <t>2026-06-08T13:16:23.633099+00:00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Q30</t>
        </is>
      </c>
      <c r="D21" t="inlineStr">
        <is>
          <t>Q30r2c1</t>
        </is>
      </c>
      <c r="E21" t="inlineStr">
        <is>
          <t>All_Questions_Q30_CT = N$23</t>
        </is>
      </c>
      <c r="H21">
        <f>IF(OR(All_Questions_Q30_CT="(None)",N$23=""),"",IF(N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N$23),"")))</f>
        <v>0</v>
      </c>
      <c r="I21" t="n">
        <v>8.699999999999999</v>
      </c>
      <c r="J21" t="n">
        <v>0</v>
      </c>
      <c r="K21" t="n">
        <v>0</v>
      </c>
      <c r="L21" t="inlineStr">
        <is>
          <t>2026-06-08T13:16:23.633335+00:00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Q30</t>
        </is>
      </c>
      <c r="D22" t="inlineStr">
        <is>
          <t>Q30r2c1</t>
        </is>
      </c>
      <c r="E22" t="inlineStr">
        <is>
          <t>All_Questions_Q30_CT = O$23</t>
        </is>
      </c>
      <c r="H22">
        <f>IF(OR(All_Questions_Q30_CT="(None)",O$23=""),"",IF(O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O$23),"")))</f>
        <v>0</v>
      </c>
      <c r="I22" t="n">
        <v>8.699999999999999</v>
      </c>
      <c r="J22" t="n">
        <v>0</v>
      </c>
      <c r="K22" t="n">
        <v>0</v>
      </c>
      <c r="L22" t="inlineStr">
        <is>
          <t>2026-06-08T13:16:23.633593+00:00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Q30</t>
        </is>
      </c>
      <c r="D23" t="inlineStr">
        <is>
          <t>Q30r2c1</t>
        </is>
      </c>
      <c r="E23" t="inlineStr">
        <is>
          <t>All_Questions_Q30_CT = P$23</t>
        </is>
      </c>
      <c r="H23">
        <f>IF(OR(All_Questions_Q30_CT="(None)",P$23=""),"",IF(P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P$23),"")))</f>
        <v>0</v>
      </c>
      <c r="I23" t="n">
        <v>8.699999999999999</v>
      </c>
      <c r="J23" t="n">
        <v>0</v>
      </c>
      <c r="K23" t="n">
        <v>0</v>
      </c>
      <c r="L23" t="inlineStr">
        <is>
          <t>2026-06-08T13:16:23.633782+00:00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Q30</t>
        </is>
      </c>
      <c r="D24" t="inlineStr">
        <is>
          <t>Q30r2c1</t>
        </is>
      </c>
      <c r="E24" t="inlineStr">
        <is>
          <t>All_Questions_Q30_CT = Q$23</t>
        </is>
      </c>
      <c r="H24">
        <f>IF(OR(All_Questions_Q30_CT="(None)",Q$23=""),"",IF(Q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Q$23),"")))</f>
        <v>0</v>
      </c>
      <c r="I24" t="n">
        <v>8.699999999999999</v>
      </c>
      <c r="J24" t="n">
        <v>0</v>
      </c>
      <c r="K24" t="n">
        <v>0</v>
      </c>
      <c r="L24" t="inlineStr">
        <is>
          <t>2026-06-08T13:16:23.633968+00:00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Q30</t>
        </is>
      </c>
      <c r="D25" t="inlineStr">
        <is>
          <t>Q30r2c1</t>
        </is>
      </c>
      <c r="E25" t="inlineStr">
        <is>
          <t>All_Questions_Q30_CT = R$23</t>
        </is>
      </c>
      <c r="H25">
        <f>IF(OR(All_Questions_Q30_CT="(None)",R$23=""),"",IF(R$23="Other","",IFERROR(AVERAGEIFS(Q30r2c1_data,Q30r2c1_data,"&gt;=0",passes_workbook_filters_data,1,passes_workbook_custom_filters_data,1,All_Questions_passes_local_filters_data,1,All_Questions_Q30_F_passes_per_q_filter_data,1,INDIRECT(IFERROR(INDEX(All_Questions_Data_Names,MATCH(All_Questions_Q30_CT,All_Questions,0)),"'_RawData'!$A:$A")),R$23),"")))</f>
        <v>0</v>
      </c>
      <c r="I25" t="n">
        <v>8.699999999999999</v>
      </c>
      <c r="J25" t="n">
        <v>0</v>
      </c>
      <c r="K25" t="n">
        <v>0</v>
      </c>
      <c r="L25" t="inlineStr">
        <is>
          <t>2026-06-08T13:16:23.634217+00:00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2026-06-08T13:16:22Z</dcterms:created>
  <dcterms:modified xmlns:dcterms="http://purl.org/dc/terms/" xmlns:xsi="http://www.w3.org/2001/XMLSchema-instance" xsi:type="dcterms:W3CDTF">2026-06-08T13:16:23Z</dcterms:modified>
</cp:coreProperties>
</file>