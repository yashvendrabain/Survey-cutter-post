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2.xml" ContentType="application/vnd.openxmlformats-officedocument.spreadsheetml.table+xml"/>
  <ns0:Override PartName="/xl/worksheets/sheet9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sheets/sheet12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Theme One" sheetId="7" state="visible" r:id="rId7"/>
    <sheet xmlns:r="http://schemas.openxmlformats.org/officeDocument/2006/relationships" name="Theme Two" sheetId="8" state="visible" r:id="rId8"/>
    <sheet xmlns:r="http://schemas.openxmlformats.org/officeDocument/2006/relationships" name="All Questions" sheetId="9" state="visible" r:id="rId9"/>
    <sheet xmlns:r="http://schemas.openxmlformats.org/officeDocument/2006/relationships" name="Calculation_Log" sheetId="10" state="visible" r:id="rId10"/>
    <sheet xmlns:r="http://schemas.openxmlformats.org/officeDocument/2006/relationships" name="Filter_Log" sheetId="11" state="visible" r:id="rId11"/>
    <sheet xmlns:r="http://schemas.openxmlformats.org/officeDocument/2006/relationships" name="Warnings" sheetId="12" state="visible" r:id="rId12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Theme_One_F_Custom1_Q">'Theme One'!$B$5</definedName>
    <definedName name="Theme_One_F_Custom1_Q_resolved">'Theme One'!$C$5</definedName>
    <definedName name="Theme_One_F_Custom1_V">'Theme One'!$B$6</definedName>
    <definedName name="Theme_One_F_Custom1_V_resolved">'Theme One'!$C$6</definedName>
    <definedName name="Theme_One_F_Custom1_wrapped">'Theme One'!$D$6</definedName>
    <definedName name="Theme_One_F_Custom1_resolved_column">'Theme One'!$F$6</definedName>
    <definedName name="Theme_One_F_Custom2_Q">'Theme One'!$B$7</definedName>
    <definedName name="Theme_One_F_Custom2_Q_resolved">'Theme One'!$C$7</definedName>
    <definedName name="Theme_One_F_Custom2_V">'Theme One'!$B$8</definedName>
    <definedName name="Theme_One_F_Custom2_V_resolved">'Theme One'!$C$8</definedName>
    <definedName name="Theme_One_F_Custom2_wrapped">'Theme One'!$D$8</definedName>
    <definedName name="Theme_One_F_Custom2_resolved_column">'Theme One'!$F$8</definedName>
    <definedName name="Theme_One_passes_local_filters_data">'_RawData'!$M$2:$M$11</definedName>
    <definedName name="Theme_One_Q_SS_EXPORT_F_Q">'Theme One'!$C$13</definedName>
    <definedName name="Theme_One_Q_SS_EXPORT_F_V">'Theme One'!$E$13</definedName>
    <definedName name="Theme_One_Q_SS_EXPORT_F_resolved_column">'Theme One'!$F$13</definedName>
    <definedName name="Theme_One_Q_SS_EXPORT_F_wrapped">'Theme One'!$G$13</definedName>
    <definedName name="Theme_One_Q_SS_EXPORT_F_passes_per_q_filter_data">'_RawData'!$N$2:$N$11</definedName>
    <definedName name="Theme_One_Q_SS_EXPORT_CT">'Theme One'!$C$14</definedName>
    <definedName name="Theme_Two_F_Custom1_Q">'Theme Two'!$B$5</definedName>
    <definedName name="Theme_Two_F_Custom1_Q_resolved">'Theme Two'!$C$5</definedName>
    <definedName name="Theme_Two_F_Custom1_V">'Theme Two'!$B$6</definedName>
    <definedName name="Theme_Two_F_Custom1_V_resolved">'Theme Two'!$C$6</definedName>
    <definedName name="Theme_Two_F_Custom1_wrapped">'Theme Two'!$D$6</definedName>
    <definedName name="Theme_Two_F_Custom1_resolved_column">'Theme Two'!$F$6</definedName>
    <definedName name="Theme_Two_F_Custom2_Q">'Theme Two'!$B$7</definedName>
    <definedName name="Theme_Two_F_Custom2_Q_resolved">'Theme Two'!$C$7</definedName>
    <definedName name="Theme_Two_F_Custom2_V">'Theme Two'!$B$8</definedName>
    <definedName name="Theme_Two_F_Custom2_V_resolved">'Theme Two'!$C$8</definedName>
    <definedName name="Theme_Two_F_Custom2_wrapped">'Theme Two'!$D$8</definedName>
    <definedName name="Theme_Two_F_Custom2_resolved_column">'Theme Two'!$F$8</definedName>
    <definedName name="Theme_Two_passes_local_filters_data">'_RawData'!$O$2:$O$11</definedName>
    <definedName name="Theme_Two_Q_NUM_EXPORT_F_Q">'Theme Two'!$C$13</definedName>
    <definedName name="Theme_Two_Q_NUM_EXPORT_F_V">'Theme Two'!$E$13</definedName>
    <definedName name="Theme_Two_Q_NUM_EXPORT_F_resolved_column">'Theme Two'!$F$13</definedName>
    <definedName name="Theme_Two_Q_NUM_EXPORT_F_wrapped">'Theme Two'!$G$13</definedName>
    <definedName name="Theme_Two_Q_NUM_EXPORT_F_passes_per_q_filter_data">'_RawData'!$P$2:$P$11</definedName>
    <definedName name="Theme_Two_Q_NUM_EXPORT_CT">'Theme Two'!$C$14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'_RawData'!$Q$2:$Q$11</definedName>
    <definedName name="All_Questions_Q_MS_EXPORT_F_Q">'All Questions'!$C$13</definedName>
    <definedName name="All_Questions_Q_MS_EXPORT_F_V">'All Questions'!$E$13</definedName>
    <definedName name="All_Questions_Q_MS_EXPORT_F_resolved_column">'All Questions'!$F$13</definedName>
    <definedName name="All_Questions_Q_MS_EXPORT_F_wrapped">'All Questions'!$G$13</definedName>
    <definedName name="All_Questions_Q_MS_EXPORT_F_passes_per_q_filter_data">'_RawData'!$R$2:$R$11</definedName>
    <definedName name="All_Questions_Q_MS_EXPORT_CT">'All Questions'!$C$14</definedName>
    <definedName name="All_Questions_Q_GRID_EXPORT_F_Q">'All Questions'!$C$23</definedName>
    <definedName name="All_Questions_Q_GRID_EXPORT_F_V">'All Questions'!$E$23</definedName>
    <definedName name="All_Questions_Q_GRID_EXPORT_F_resolved_column">'All Questions'!$F$23</definedName>
    <definedName name="All_Questions_Q_GRID_EXPORT_F_wrapped">'All Questions'!$G$23</definedName>
    <definedName name="All_Questions_Q_GRID_EXPORT_F_passes_per_q_filter_data">'_RawData'!$S$2:$S$11</definedName>
    <definedName name="All_Questions_Q_GRID_EXPORT_CT">'All Questions'!$C$24</definedName>
    <definedName name="All_Questions_Q_VERY_LONG_SINGLE_SELECT_EXPORT_NAME_F_Q">'All Questions'!$C$33</definedName>
    <definedName name="All_Questions_Q_VERY_LONG_SINGLE_SELECT_EXPORT_NAME_F_V">'All Questions'!$E$33</definedName>
    <definedName name="All_Questions_Q_VERY_LONG_SINGLE_SELECT_EXPORT_NAME_F_resolved_column">'All Questions'!$F$33</definedName>
    <definedName name="All_Questions_Q_VERY_LONG_SINGLE_SELECT_EXPORT_NAME_F_wrapped">'All Questions'!$G$33</definedName>
    <definedName name="All_Questions_Q_VERY_LONG_SINGLE_SELECT_EXPORT_NAME_F_passes_per_q_filter_data">'_RawData'!$T$2:$T$11</definedName>
    <definedName name="All_Questions_Q_VERY_LONG_SINGLE_SELECT_EXPORT_NAME_CT">'All Questions'!$C$34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I3" i="1"/>
  <c r="J3" i="1"/>
  <c r="K3" i="1"/>
  <c r="L3" i="1"/>
  <c r="M3" i="1"/>
  <c r="N3" i="1"/>
  <c r="O3" i="1"/>
  <c r="P3" i="1"/>
  <c r="Q3" i="1"/>
  <c r="R3" i="1"/>
  <c r="S3" i="1"/>
  <c r="T3" i="1"/>
  <c r="I4" i="1"/>
  <c r="J4" i="1"/>
  <c r="K4" i="1"/>
  <c r="L4" i="1"/>
  <c r="M4" i="1"/>
  <c r="N4" i="1"/>
  <c r="O4" i="1"/>
  <c r="P4" i="1"/>
  <c r="Q4" i="1"/>
  <c r="R4" i="1"/>
  <c r="S4" i="1"/>
  <c r="T4" i="1"/>
  <c r="I5" i="1"/>
  <c r="J5" i="1"/>
  <c r="K5" i="1"/>
  <c r="L5" i="1"/>
  <c r="M5" i="1"/>
  <c r="N5" i="1"/>
  <c r="O5" i="1"/>
  <c r="P5" i="1"/>
  <c r="Q5" i="1"/>
  <c r="R5" i="1"/>
  <c r="S5" i="1"/>
  <c r="T5" i="1"/>
  <c r="I6" i="1"/>
  <c r="J6" i="1"/>
  <c r="K6" i="1"/>
  <c r="L6" i="1"/>
  <c r="M6" i="1"/>
  <c r="N6" i="1"/>
  <c r="O6" i="1"/>
  <c r="P6" i="1"/>
  <c r="Q6" i="1"/>
  <c r="R6" i="1"/>
  <c r="S6" i="1"/>
  <c r="T6" i="1"/>
  <c r="I7" i="1"/>
  <c r="J7" i="1"/>
  <c r="K7" i="1"/>
  <c r="L7" i="1"/>
  <c r="M7" i="1"/>
  <c r="N7" i="1"/>
  <c r="O7" i="1"/>
  <c r="P7" i="1"/>
  <c r="Q7" i="1"/>
  <c r="R7" i="1"/>
  <c r="S7" i="1"/>
  <c r="T7" i="1"/>
  <c r="I8" i="1"/>
  <c r="J8" i="1"/>
  <c r="K8" i="1"/>
  <c r="L8" i="1"/>
  <c r="M8" i="1"/>
  <c r="N8" i="1"/>
  <c r="O8" i="1"/>
  <c r="P8" i="1"/>
  <c r="Q8" i="1"/>
  <c r="R8" i="1"/>
  <c r="S8" i="1"/>
  <c r="T8" i="1"/>
  <c r="I9" i="1"/>
  <c r="J9" i="1"/>
  <c r="K9" i="1"/>
  <c r="L9" i="1"/>
  <c r="M9" i="1"/>
  <c r="N9" i="1"/>
  <c r="O9" i="1"/>
  <c r="P9" i="1"/>
  <c r="Q9" i="1"/>
  <c r="R9" i="1"/>
  <c r="S9" i="1"/>
  <c r="T9" i="1"/>
  <c r="I10" i="1"/>
  <c r="J10" i="1"/>
  <c r="K10" i="1"/>
  <c r="L10" i="1"/>
  <c r="M10" i="1"/>
  <c r="N10" i="1"/>
  <c r="O10" i="1"/>
  <c r="P10" i="1"/>
  <c r="Q10" i="1"/>
  <c r="R10" i="1"/>
  <c r="S10" i="1"/>
  <c r="T10" i="1"/>
  <c r="I11" i="1"/>
  <c r="J11" i="1"/>
  <c r="K11" i="1"/>
  <c r="L11" i="1"/>
  <c r="M11" i="1"/>
  <c r="N11" i="1"/>
  <c r="O11" i="1"/>
  <c r="P11" i="1"/>
  <c r="Q11" i="1"/>
  <c r="R11" i="1"/>
  <c r="S11" i="1"/>
  <c r="T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C5" i="8"/>
  <c r="C6" i="8"/>
  <c r="D6" i="8"/>
  <c r="F6" i="8"/>
  <c r="C7" i="8"/>
  <c r="C8" i="8"/>
  <c r="D8" i="8"/>
  <c r="F8" i="8"/>
  <c r="F13" i="8"/>
  <c r="G13" i="8"/>
  <c r="B17" i="8"/>
  <c r="D17" i="8"/>
  <c r="B18" i="8"/>
  <c r="D18" i="8"/>
  <c r="B19" i="8"/>
  <c r="D19" i="8"/>
  <c r="D20" i="8"/>
  <c r="C5" i="9"/>
  <c r="C6" i="9"/>
  <c r="D6" i="9"/>
  <c r="F6" i="9"/>
  <c r="C7" i="9"/>
  <c r="C8" i="9"/>
  <c r="D8" i="9"/>
  <c r="F8" i="9"/>
  <c r="F13" i="9"/>
  <c r="G13" i="9"/>
  <c r="G16" i="9"/>
  <c r="H16" i="9"/>
  <c r="I16" i="9"/>
  <c r="J16" i="9"/>
  <c r="K16" i="9"/>
  <c r="L16" i="9"/>
  <c r="M16" i="9"/>
  <c r="N16" i="9"/>
  <c r="B17" i="9"/>
  <c r="C17" i="9"/>
  <c r="D17" i="9"/>
  <c r="G17" i="9"/>
  <c r="H17" i="9"/>
  <c r="I17" i="9"/>
  <c r="J17" i="9"/>
  <c r="K17" i="9"/>
  <c r="L17" i="9"/>
  <c r="M17" i="9"/>
  <c r="N17" i="9"/>
  <c r="O17" i="9"/>
  <c r="B18" i="9"/>
  <c r="C18" i="9"/>
  <c r="D18" i="9"/>
  <c r="G18" i="9"/>
  <c r="H18" i="9"/>
  <c r="I18" i="9"/>
  <c r="J18" i="9"/>
  <c r="K18" i="9"/>
  <c r="L18" i="9"/>
  <c r="M18" i="9"/>
  <c r="N18" i="9"/>
  <c r="O18" i="9"/>
  <c r="F23" i="9"/>
  <c r="G23" i="9"/>
  <c r="G26" i="9"/>
  <c r="H26" i="9"/>
  <c r="I26" i="9"/>
  <c r="J26" i="9"/>
  <c r="K26" i="9"/>
  <c r="L26" i="9"/>
  <c r="M26" i="9"/>
  <c r="N26" i="9"/>
  <c r="B27" i="9"/>
  <c r="C27" i="9"/>
  <c r="D27" i="9"/>
  <c r="G27" i="9"/>
  <c r="H27" i="9"/>
  <c r="I27" i="9"/>
  <c r="J27" i="9"/>
  <c r="K27" i="9"/>
  <c r="L27" i="9"/>
  <c r="M27" i="9"/>
  <c r="N27" i="9"/>
  <c r="O27" i="9"/>
  <c r="B28" i="9"/>
  <c r="C28" i="9"/>
  <c r="D28" i="9"/>
  <c r="G28" i="9"/>
  <c r="H28" i="9"/>
  <c r="I28" i="9"/>
  <c r="J28" i="9"/>
  <c r="K28" i="9"/>
  <c r="L28" i="9"/>
  <c r="M28" i="9"/>
  <c r="N28" i="9"/>
  <c r="O28" i="9"/>
  <c r="F33" i="9"/>
  <c r="G33" i="9"/>
  <c r="G36" i="9"/>
  <c r="H36" i="9"/>
  <c r="I36" i="9"/>
  <c r="J36" i="9"/>
  <c r="K36" i="9"/>
  <c r="L36" i="9"/>
  <c r="M36" i="9"/>
  <c r="N36" i="9"/>
  <c r="B37" i="9"/>
  <c r="C37" i="9"/>
  <c r="D37" i="9"/>
  <c r="G37" i="9"/>
  <c r="H37" i="9"/>
  <c r="I37" i="9"/>
  <c r="J37" i="9"/>
  <c r="K37" i="9"/>
  <c r="L37" i="9"/>
  <c r="M37" i="9"/>
  <c r="N37" i="9"/>
  <c r="O37" i="9"/>
  <c r="B38" i="9"/>
  <c r="C38" i="9"/>
  <c r="D38" i="9"/>
  <c r="G38" i="9"/>
  <c r="H38" i="9"/>
  <c r="I38" i="9"/>
  <c r="J38" i="9"/>
  <c r="K38" i="9"/>
  <c r="L38" i="9"/>
  <c r="M38" i="9"/>
  <c r="N38" i="9"/>
  <c r="O38" i="9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worksheet" Target="/xl/worksheets/sheet12.xml" Id="rId12" /><ns0:Relationship Type="http://schemas.openxmlformats.org/officeDocument/2006/relationships/styles" Target="styles.xml" Id="rId13" /><ns0:Relationship Type="http://schemas.openxmlformats.org/officeDocument/2006/relationships/theme" Target="theme/theme1.xml" Id="rId14" /><ns0:Relationship Id="rId15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12" authorId="0" shapeId="0">
      <text>
        <t>Numeric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12" authorId="0" shapeId="0">
      <text>
        <t>Multi select export question</t>
      </text>
    </comment>
    <comment ref="A22" authorId="0" shapeId="0">
      <text>
        <t>Grid export question</t>
      </text>
    </comment>
    <comment ref="A32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Theme_One_16_1" displayName="T_Theme_One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Theme_Two_16_1" displayName="T_Theme_Two_16_1" ref="A16:D20" headerRowCount="1">
  <autoFilter ref="A16:D2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36_1" displayName="T_All_Questions_36_1" ref="A36:D39" headerRowCount="1">
  <autoFilter ref="A36:D3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Theme One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Theme Two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9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Theme_One_passes_local_filters</t>
        </is>
      </c>
      <c r="N1" t="inlineStr">
        <is>
          <t>Theme_One_Q_SS_EXPORT_F_passes_per_q_filter</t>
        </is>
      </c>
      <c r="O1" t="inlineStr">
        <is>
          <t>Theme_Two_passes_local_filters</t>
        </is>
      </c>
      <c r="P1" t="inlineStr">
        <is>
          <t>Theme_Two_Q_NUM_EXPORT_F_passes_per_q_filter</t>
        </is>
      </c>
      <c r="Q1" t="inlineStr">
        <is>
          <t>All_Questions_passes_local_filters</t>
        </is>
      </c>
      <c r="R1" t="inlineStr">
        <is>
          <t>All_Questions_Q_MS_EXPORT_F_passes_per_q_filter</t>
        </is>
      </c>
      <c r="S1" t="inlineStr">
        <is>
          <t>All_Questions_Q_GRID_EXPORT_F_passes_per_q_filter</t>
        </is>
      </c>
      <c r="T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1)&amp;"|",Theme_One_Q_SS_EXPORT_F_wrapped)),1,0),0))</f>
        <v>1</v>
      </c>
      <c r="O2">
        <f>1</f>
        <v>1</v>
      </c>
      <c r="P2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1)&amp;"|",Theme_Two_Q_NUM_EXPORT_F_wrapped)),1,0),0))</f>
        <v>1</v>
      </c>
      <c r="Q2">
        <f>1</f>
        <v>1</v>
      </c>
      <c r="R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S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T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2)&amp;"|",Theme_One_Q_SS_EXPORT_F_wrapped)),1,0),0))</f>
        <v>1</v>
      </c>
      <c r="O3">
        <f>1</f>
        <v>1</v>
      </c>
      <c r="P3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2)&amp;"|",Theme_Two_Q_NUM_EXPORT_F_wrapped)),1,0),0))</f>
        <v>1</v>
      </c>
      <c r="Q3">
        <f>1</f>
        <v>1</v>
      </c>
      <c r="R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S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T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3)&amp;"|",Theme_One_Q_SS_EXPORT_F_wrapped)),1,0),0))</f>
        <v>1</v>
      </c>
      <c r="O4">
        <f>1</f>
        <v>1</v>
      </c>
      <c r="P4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3)&amp;"|",Theme_Two_Q_NUM_EXPORT_F_wrapped)),1,0),0))</f>
        <v>1</v>
      </c>
      <c r="Q4">
        <f>1</f>
        <v>1</v>
      </c>
      <c r="R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S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T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4)&amp;"|",Theme_One_Q_SS_EXPORT_F_wrapped)),1,0),0))</f>
        <v>1</v>
      </c>
      <c r="O5">
        <f>1</f>
        <v>1</v>
      </c>
      <c r="P5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4)&amp;"|",Theme_Two_Q_NUM_EXPORT_F_wrapped)),1,0),0))</f>
        <v>1</v>
      </c>
      <c r="Q5">
        <f>1</f>
        <v>1</v>
      </c>
      <c r="R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S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T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5)&amp;"|",Theme_One_Q_SS_EXPORT_F_wrapped)),1,0),0))</f>
        <v>1</v>
      </c>
      <c r="O6">
        <f>1</f>
        <v>1</v>
      </c>
      <c r="P6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5)&amp;"|",Theme_Two_Q_NUM_EXPORT_F_wrapped)),1,0),0))</f>
        <v>1</v>
      </c>
      <c r="Q6">
        <f>1</f>
        <v>1</v>
      </c>
      <c r="R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S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T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6)&amp;"|",Theme_One_Q_SS_EXPORT_F_wrapped)),1,0),0))</f>
        <v>1</v>
      </c>
      <c r="O7">
        <f>1</f>
        <v>1</v>
      </c>
      <c r="P7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6)&amp;"|",Theme_Two_Q_NUM_EXPORT_F_wrapped)),1,0),0))</f>
        <v>1</v>
      </c>
      <c r="Q7">
        <f>1</f>
        <v>1</v>
      </c>
      <c r="R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S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T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7)&amp;"|",Theme_One_Q_SS_EXPORT_F_wrapped)),1,0),0))</f>
        <v>1</v>
      </c>
      <c r="O8">
        <f>1</f>
        <v>1</v>
      </c>
      <c r="P8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7)&amp;"|",Theme_Two_Q_NUM_EXPORT_F_wrapped)),1,0),0))</f>
        <v>1</v>
      </c>
      <c r="Q8">
        <f>1</f>
        <v>1</v>
      </c>
      <c r="R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S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T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8)&amp;"|",Theme_One_Q_SS_EXPORT_F_wrapped)),1,0),0))</f>
        <v>1</v>
      </c>
      <c r="O9">
        <f>1</f>
        <v>1</v>
      </c>
      <c r="P9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8)&amp;"|",Theme_Two_Q_NUM_EXPORT_F_wrapped)),1,0),0))</f>
        <v>1</v>
      </c>
      <c r="Q9">
        <f>1</f>
        <v>1</v>
      </c>
      <c r="R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S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T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9)&amp;"|",Theme_One_Q_SS_EXPORT_F_wrapped)),1,0),0))</f>
        <v>1</v>
      </c>
      <c r="O10">
        <f>1</f>
        <v>1</v>
      </c>
      <c r="P10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9)&amp;"|",Theme_Two_Q_NUM_EXPORT_F_wrapped)),1,0),0))</f>
        <v>1</v>
      </c>
      <c r="Q10">
        <f>1</f>
        <v>1</v>
      </c>
      <c r="R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S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T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10)&amp;"|",Theme_One_Q_SS_EXPORT_F_wrapped)),1,0),0))</f>
        <v>1</v>
      </c>
      <c r="O11">
        <f>1</f>
        <v>1</v>
      </c>
      <c r="P11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10)&amp;"|",Theme_Two_Q_NUM_EXPORT_F_wrapped)),1,0),0))</f>
        <v>1</v>
      </c>
      <c r="Q11">
        <f>1</f>
        <v>1</v>
      </c>
      <c r="R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S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T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Theme One</t>
        </is>
      </c>
      <c r="E2" s="6" t="inlineStr">
        <is>
          <t>Theme One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Theme Two</t>
        </is>
      </c>
      <c r="E4" s="6" t="inlineStr">
        <is>
          <t>Theme Two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One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IF(Theme_One_F_Custom1_Q="(Inherit)",F_Custom1_Q,Theme_One_F_Custom1_Q)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IF(Theme_One_F_Custom1_V="(Inherit)",F_Custom1_V,Theme_One_F_Custom1_V)</f>
        <v>(All)</v>
      </c>
      <c r="D6" t="str">
        <f>"|" &amp; SUBSTITUTE(Theme_One_F_Custom1_V_resolved, ", ", "|") &amp; "|"</f>
        <v>|(All)|</v>
      </c>
      <c r="E6" t="inlineStr">
        <is>
          <t>Choose one value or type comma-separated values</t>
        </is>
      </c>
      <c r="F6" t="str">
        <f>XLOOKUP(Theme_One_F_Custom1_Q_resolved,All_Questions,All_Questions_Data_Names,"respondent_id_data")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IF(Theme_One_F_Custom2_Q="(Inherit)",F_Custom2_Q,Theme_One_F_Custom2_Q)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IF(Theme_One_F_Custom2_V="(Inherit)",F_Custom2_V,Theme_One_F_Custom2_V)</f>
        <v>(All)</v>
      </c>
      <c r="D8" t="str">
        <f>"|" &amp; SUBSTITUTE(Theme_One_F_Custom2_V_resolved, ", ", "|") &amp; "|"</f>
        <v>|(All)|</v>
      </c>
      <c r="E8" t="inlineStr">
        <is>
          <t>Choose one value or type comma-separated values</t>
        </is>
      </c>
      <c r="F8" t="str">
        <f>XLOOKUP(Theme_One_F_Custom2_Q_resolved,All_Questions,All_Questions_Data_Names,"respondent_id_data")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XLOOKUP(Theme_One_Q_SS_EXPORT_F_Q,All_Questions,All_Questions_Data_Names,"respondent_id_data")</f>
        <v>respondent_id_data</v>
      </c>
      <c r="G13" t="str">
        <f>"|" &amp; SUBSTITUTE(Theme_One_Q_SS_EXPORT_F_V,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IFERROR(INDEX(INDIRECT(XLOOKUP(Theme_One_Q_SS_EXPORT_CT,All_Questions,All_Questions_Options_Names,"None_options")),2),"")</f>
        <v/>
      </c>
      <c r="H16" t="str">
        <f>IFERROR(INDEX(INDIRECT(XLOOKUP(Theme_One_Q_SS_EXPORT_CT,All_Questions,All_Questions_Options_Names,"None_options")),3),"")</f>
        <v/>
      </c>
      <c r="I16" t="str">
        <f>IFERROR(INDEX(INDIRECT(XLOOKUP(Theme_One_Q_SS_EXPORT_CT,All_Questions,All_Questions_Options_Names,"None_options")),4),"")</f>
        <v/>
      </c>
      <c r="J16" t="str">
        <f>IFERROR(INDEX(INDIRECT(XLOOKUP(Theme_One_Q_SS_EXPORT_CT,All_Questions,All_Questions_Options_Names,"None_options")),5),"")</f>
        <v/>
      </c>
      <c r="K16" t="str">
        <f>IFERROR(INDEX(INDIRECT(XLOOKUP(Theme_One_Q_SS_EXPORT_CT,All_Questions,All_Questions_Options_Names,"None_options")),6),"")</f>
        <v/>
      </c>
      <c r="L16" t="str">
        <f>IFERROR(INDEX(INDIRECT(XLOOKUP(Theme_One_Q_SS_EXPORT_CT,All_Questions,All_Questions_Options_Names,"None_options")),7),"")</f>
        <v/>
      </c>
      <c r="M16" t="str">
        <f>IFERROR(INDEX(INDIRECT(XLOOKUP(Theme_One_Q_SS_EXPORT_CT,All_Questions,All_Questions_Options_Names,"None_options")),8),"")</f>
        <v/>
      </c>
      <c r="N16" t="str">
        <f>IFERROR(INDEX(INDIRECT(XLOOKUP(Theme_One_Q_SS_EXPORT_CT,All_Questions,All_Questions_Options_Names,"None_options")),9),"")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COUNTIFS(Q_SS_EXPORT_data,"Yes",passes_workbook_filters_data,1,passes_workbook_custom_filters_data,1,Theme_One_passes_local_filters_data,1,Theme_One_Q_SS_EXPORT_F_passes_per_q_filter_data,1)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G$16)</f>
        <v>0</v>
      </c>
      <c r="H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H$16)</f>
        <v>0</v>
      </c>
      <c r="I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I$16)</f>
        <v>0</v>
      </c>
      <c r="J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J$16)</f>
        <v>0</v>
      </c>
      <c r="K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K$16)</f>
        <v>0</v>
      </c>
      <c r="L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L$16)</f>
        <v>0</v>
      </c>
      <c r="M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M$16)</f>
        <v>0</v>
      </c>
      <c r="N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COUNTIFS(Q_SS_EXPORT_data,"No",passes_workbook_filters_data,1,passes_workbook_custom_filters_data,1,Theme_One_passes_local_filters_data,1,Theme_One_Q_SS_EXPORT_F_passes_per_q_filter_data,1)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G$16)</f>
        <v>0</v>
      </c>
      <c r="H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H$16)</f>
        <v>0</v>
      </c>
      <c r="I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I$16)</f>
        <v>0</v>
      </c>
      <c r="J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J$16)</f>
        <v>0</v>
      </c>
      <c r="K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K$16)</f>
        <v>0</v>
      </c>
      <c r="L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L$16)</f>
        <v>0</v>
      </c>
      <c r="M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M$16)</f>
        <v>0</v>
      </c>
      <c r="N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=INDIRECT(XLOOKUP(Theme_One_F_Custom1_Q_resolved,All_Questions,All_Questions_Options_Names,"None_options"))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=INDIRECT(XLOOKUP(Theme_One_F_Custom2_Q_resolved,All_Questions,All_Questions_Options_Names,"None_options"))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=INDIRECT(XLOOKUP(Theme_One_Q_SS_EXPORT_F_Q,All_Questions,All_Questions_Options_Names,"None_options"))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Two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IF(Theme_Two_F_Custom1_Q="(Inherit)",F_Custom1_Q,Theme_Two_F_Custom1_Q)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IF(Theme_Two_F_Custom1_V="(Inherit)",F_Custom1_V,Theme_Two_F_Custom1_V)</f>
        <v>(All)</v>
      </c>
      <c r="D6" t="str">
        <f>"|" &amp; SUBSTITUTE(Theme_Two_F_Custom1_V_resolved, ", ", "|") &amp; "|"</f>
        <v>|(All)|</v>
      </c>
      <c r="E6" t="inlineStr">
        <is>
          <t>Choose one value or type comma-separated values</t>
        </is>
      </c>
      <c r="F6" t="str">
        <f>XLOOKUP(Theme_Two_F_Custom1_Q_resolved,All_Questions,All_Questions_Data_Names,"respondent_id_data")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IF(Theme_Two_F_Custom2_Q="(Inherit)",F_Custom2_Q,Theme_Two_F_Custom2_Q)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IF(Theme_Two_F_Custom2_V="(Inherit)",F_Custom2_V,Theme_Two_F_Custom2_V)</f>
        <v>(All)</v>
      </c>
      <c r="D8" t="str">
        <f>"|" &amp; SUBSTITUTE(Theme_Two_F_Custom2_V_resolved, ", ", "|") &amp; "|"</f>
        <v>|(All)|</v>
      </c>
      <c r="E8" t="inlineStr">
        <is>
          <t>Choose one value or type comma-separated values</t>
        </is>
      </c>
      <c r="F8" t="str">
        <f>XLOOKUP(Theme_Two_F_Custom2_Q_resolved,All_Questions,All_Questions_Data_Names,"respondent_id_data")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Q_NUM_EXPORT - Numeric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XLOOKUP(Theme_Two_Q_NUM_EXPORT_F_Q,All_Questions,All_Questions_Data_Names,"respondent_id_data")</f>
        <v>respondent_id_data</v>
      </c>
      <c r="G13" t="str">
        <f>"|" &amp; SUBSTITUTE(Theme_Two_Q_NUM_EXPORT_F_V,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>
        <f>IFERROR(AVERAGEIFS(Q_NUM_EXPORT_data,passes_workbook_filters_data,1,passes_workbook_custom_filters_data,1,Theme_Two_passes_local_filters_data,1,Theme_Two_Q_NUM_EXPORT_F_passes_per_q_filter_data,1),0)</f>
        <v>5.5</v>
      </c>
      <c r="D17">
        <f>COUNTIFS(Q_NUM_EXPORT_data,"&lt;&gt;",passes_workbook_filters_data,1,passes_workbook_custom_filters_data,1,Theme_Two_passes_local_filters_data,1,Theme_Two_Q_NUM_EXPORT_F_passes_per_q_filter_data,1)</f>
        <v>10</v>
      </c>
    </row>
    <row r="18">
      <c r="A18" t="inlineStr">
        <is>
          <t>Min</t>
        </is>
      </c>
      <c r="B18">
        <f>IFERROR(MINIFS(Q_NUM_EXPORT_data,passes_workbook_filters_data,1,passes_workbook_custom_filters_data,1,Theme_Two_passes_local_filters_data,1,Theme_Two_Q_NUM_EXPORT_F_passes_per_q_filter_data,1),0)</f>
        <v>1.0</v>
      </c>
      <c r="D18">
        <f>COUNTIFS(Q_NUM_EXPORT_data,"&lt;&gt;",passes_workbook_filters_data,1,passes_workbook_custom_filters_data,1,Theme_Two_passes_local_filters_data,1,Theme_Two_Q_NUM_EXPORT_F_passes_per_q_filter_data,1)</f>
        <v>10</v>
      </c>
    </row>
    <row r="19">
      <c r="A19" t="inlineStr">
        <is>
          <t>Max</t>
        </is>
      </c>
      <c r="B19">
        <f>IFERROR(MAXIFS(Q_NUM_EXPORT_data,passes_workbook_filters_data,1,passes_workbook_custom_filters_data,1,Theme_Two_passes_local_filters_data,1,Theme_Two_Q_NUM_EXPORT_F_passes_per_q_filter_data,1),0)</f>
        <v>10.0</v>
      </c>
      <c r="D19">
        <f>COUNTIFS(Q_NUM_EXPORT_data,"&lt;&gt;",passes_workbook_filters_data,1,passes_workbook_custom_filters_data,1,Theme_Two_passes_local_filters_data,1,Theme_Two_Q_NUM_EXPORT_F_passes_per_q_filter_data,1)</f>
        <v>10</v>
      </c>
    </row>
    <row r="20">
      <c r="A20" t="inlineStr">
        <is>
          <t>Std</t>
        </is>
      </c>
      <c r="B20" t="n">
        <v>2.9</v>
      </c>
      <c r="C20" t="inlineStr">
        <is>
          <t>static baseline</t>
        </is>
      </c>
      <c r="D20">
        <f>COUNTIFS(Q_NUM_EXPORT_data,"&lt;&gt;",passes_workbook_filters_data,1,passes_workbook_custom_filters_data,1,Theme_Two_passes_local_filters_data,1,Theme_Two_Q_NUM_EXPORT_F_passes_per_q_filter_data,1)</f>
        <v>10</v>
      </c>
    </row>
    <row r="21">
      <c r="A21" s="10" t="inlineStr">
        <is>
          <t>Median not available in filtered view - see static baseline in audit log.</t>
        </is>
      </c>
    </row>
  </sheetData>
  <mergeCells count="1">
    <mergeCell ref="A1:J1"/>
  </mergeCells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=INDIRECT(XLOOKUP(Theme_Two_F_Custom1_Q_resolved,All_Questions,All_Questions_Options_Names,"None_options"))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=INDIRECT(XLOOKUP(Theme_Two_F_Custom2_Q_resolved,All_Questions,All_Questions_Options_Names,"None_options"))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=INDIRECT(XLOOKUP(Theme_Two_Q_NUM_EXPORT_F_Q,All_Questions,All_Questions_Options_Names,"None_options"))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3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Q_MS_EXPORT - Multi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XLOOKUP(All_Questions_Q_MS_EXPORT_F_Q,All_Questions,All_Questions_Data_Names,"respondent_id_data")</f>
        <v>respondent_id_data</v>
      </c>
      <c r="G13" t="str">
        <f>"|" &amp; SUBSTITUTE(All_Questions_Q_MS_EXPORT_F_V,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IFERROR(INDEX(INDIRECT(XLOOKUP(All_Questions_Q_MS_EXPORT_CT,All_Questions,All_Questions_Options_Names,"None_options")),2),"")</f>
        <v/>
      </c>
      <c r="H16" t="str">
        <f>IFERROR(INDEX(INDIRECT(XLOOKUP(All_Questions_Q_MS_EXPORT_CT,All_Questions,All_Questions_Options_Names,"None_options")),3),"")</f>
        <v/>
      </c>
      <c r="I16" t="str">
        <f>IFERROR(INDEX(INDIRECT(XLOOKUP(All_Questions_Q_MS_EXPORT_CT,All_Questions,All_Questions_Options_Names,"None_options")),4),"")</f>
        <v/>
      </c>
      <c r="J16" t="str">
        <f>IFERROR(INDEX(INDIRECT(XLOOKUP(All_Questions_Q_MS_EXPORT_CT,All_Questions,All_Questions_Options_Names,"None_options")),5),"")</f>
        <v/>
      </c>
      <c r="K16" t="str">
        <f>IFERROR(INDEX(INDIRECT(XLOOKUP(All_Questions_Q_MS_EXPORT_CT,All_Questions,All_Questions_Options_Names,"None_options")),6),"")</f>
        <v/>
      </c>
      <c r="L16" t="str">
        <f>IFERROR(INDEX(INDIRECT(XLOOKUP(All_Questions_Q_MS_EXPORT_CT,All_Questions,All_Questions_Options_Names,"None_options")),7),"")</f>
        <v/>
      </c>
      <c r="M16" t="str">
        <f>IFERROR(INDEX(INDIRECT(XLOOKUP(All_Questions_Q_MS_EXPORT_CT,All_Questions,All_Questions_Options_Names,"None_options")),8),"")</f>
        <v/>
      </c>
      <c r="N16" t="str">
        <f>IFERROR(INDEX(INDIRECT(XLOOKUP(All_Questions_Q_MS_EXPORT_CT,All_Questions,All_Questions_Options_Names,"None_options")),9),"")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First</t>
        </is>
      </c>
      <c r="B17">
        <f>COUNTIFS(Q_MS_EXPORTr1_data,"Selected",passes_workbook_filters_data,1,passes_workbook_custom_filters_data,1,All_Questions_passes_local_filters_data,1,All_Questions_Q_MS_EXPORT_F_passes_per_q_filter_data,1)</f>
        <v>5</v>
      </c>
      <c r="C17" s="7">
        <f>IFERROR(B17/SUBTOTAL(9,B17:B18),0)</f>
        <v>0.7142857142857143</v>
      </c>
      <c r="D17" s="14">
        <f>SUBTOTAL(9,B17:B18)</f>
        <v>7</v>
      </c>
      <c r="F17" t="inlineStr">
        <is>
          <t>First</t>
        </is>
      </c>
      <c r="G1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$16)</f>
        <v>0</v>
      </c>
      <c r="H1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$16)</f>
        <v>0</v>
      </c>
      <c r="I1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$16)</f>
        <v>0</v>
      </c>
      <c r="J1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$16)</f>
        <v>0</v>
      </c>
      <c r="K1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$16)</f>
        <v>0</v>
      </c>
      <c r="L1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$16)</f>
        <v>0</v>
      </c>
      <c r="M1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$16)</f>
        <v>0</v>
      </c>
      <c r="N1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$16)</f>
        <v>0</v>
      </c>
      <c r="O17">
        <f>SUM(G17:N17)</f>
        <v>0</v>
      </c>
    </row>
    <row r="18">
      <c r="A18" t="inlineStr">
        <is>
          <t>Second</t>
        </is>
      </c>
      <c r="B18">
        <f>COUNTIFS(Q_MS_EXPORTr2_data,"Selected",passes_workbook_filters_data,1,passes_workbook_custom_filters_data,1,All_Questions_passes_local_filters_data,1,All_Questions_Q_MS_EXPORT_F_passes_per_q_filter_data,1)</f>
        <v>2</v>
      </c>
      <c r="C18" s="7">
        <f>IFERROR(B18/SUBTOTAL(9,B17:B18),0)</f>
        <v>0.2857142857142857</v>
      </c>
      <c r="D18" s="14">
        <f>SUBTOTAL(9,B17:B18)</f>
        <v>7</v>
      </c>
      <c r="F18" t="inlineStr">
        <is>
          <t>Second</t>
        </is>
      </c>
      <c r="G1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$16)</f>
        <v>0</v>
      </c>
      <c r="H1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$16)</f>
        <v>0</v>
      </c>
      <c r="I1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$16)</f>
        <v>0</v>
      </c>
      <c r="J1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$16)</f>
        <v>0</v>
      </c>
      <c r="K1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$16)</f>
        <v>0</v>
      </c>
      <c r="L1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$16)</f>
        <v>0</v>
      </c>
      <c r="M1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$16)</f>
        <v>0</v>
      </c>
      <c r="N1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7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Q_GRID_EXPORT - Grid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XLOOKUP(All_Questions_Q_GRID_EXPORT_F_Q,All_Questions,All_Questions_Data_Names,"respondent_id_data")</f>
        <v>respondent_id_data</v>
      </c>
      <c r="G23" t="str">
        <f>"|" &amp; SUBSTITUTE(All_Questions_Q_GRID_EXPORT_F_V,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IFERROR(INDEX(INDIRECT(XLOOKUP(All_Questions_Q_GRID_EXPORT_CT,All_Questions,All_Questions_Options_Names,"None_options")),2),"")</f>
        <v/>
      </c>
      <c r="H26" t="str">
        <f>IFERROR(INDEX(INDIRECT(XLOOKUP(All_Questions_Q_GRID_EXPORT_CT,All_Questions,All_Questions_Options_Names,"None_options")),3),"")</f>
        <v/>
      </c>
      <c r="I26" t="str">
        <f>IFERROR(INDEX(INDIRECT(XLOOKUP(All_Questions_Q_GRID_EXPORT_CT,All_Questions,All_Questions_Options_Names,"None_options")),4),"")</f>
        <v/>
      </c>
      <c r="J26" t="str">
        <f>IFERROR(INDEX(INDIRECT(XLOOKUP(All_Questions_Q_GRID_EXPORT_CT,All_Questions,All_Questions_Options_Names,"None_options")),5),"")</f>
        <v/>
      </c>
      <c r="K26" t="str">
        <f>IFERROR(INDEX(INDIRECT(XLOOKUP(All_Questions_Q_GRID_EXPORT_CT,All_Questions,All_Questions_Options_Names,"None_options")),6),"")</f>
        <v/>
      </c>
      <c r="L26" t="str">
        <f>IFERROR(INDEX(INDIRECT(XLOOKUP(All_Questions_Q_GRID_EXPORT_CT,All_Questions,All_Questions_Options_Names,"None_options")),7),"")</f>
        <v/>
      </c>
      <c r="M26" t="str">
        <f>IFERROR(INDEX(INDIRECT(XLOOKUP(All_Questions_Q_GRID_EXPORT_CT,All_Questions,All_Questions_Options_Names,"None_options")),8),"")</f>
        <v/>
      </c>
      <c r="N26" t="str">
        <f>IFERROR(INDEX(INDIRECT(XLOOKUP(All_Questions_Q_GRID_EXPORT_CT,All_Questions,All_Questions_Options_Names,"None_options")),9),"")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Grid first row</t>
        </is>
      </c>
      <c r="B27">
        <f>COUNTIFS(Q_GRID_EXPORTr1_data,"Selected",passes_workbook_filters_data,1,passes_workbook_custom_filters_data,1,All_Questions_passes_local_filters_data,1,All_Questions_Q_GRID_EXPORT_F_passes_per_q_filter_data,1)</f>
        <v>10</v>
      </c>
      <c r="C27" s="7">
        <f>IFERROR(B27/SUBTOTAL(9,B27:B28),0)</f>
        <v>0.5</v>
      </c>
      <c r="D27" s="14">
        <f>SUBTOTAL(9,B27:B28)</f>
        <v>20</v>
      </c>
      <c r="F27" t="inlineStr">
        <is>
          <t>Grid first row</t>
        </is>
      </c>
      <c r="G2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$26)</f>
        <v>0</v>
      </c>
      <c r="H2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$26)</f>
        <v>0</v>
      </c>
      <c r="I2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$26)</f>
        <v>0</v>
      </c>
      <c r="J2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$26)</f>
        <v>0</v>
      </c>
      <c r="K2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$26)</f>
        <v>0</v>
      </c>
      <c r="L2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$26)</f>
        <v>0</v>
      </c>
      <c r="M2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$26)</f>
        <v>0</v>
      </c>
      <c r="N2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$26)</f>
        <v>0</v>
      </c>
      <c r="O27">
        <f>SUM(G27:N27)</f>
        <v>0</v>
      </c>
    </row>
    <row r="28">
      <c r="A28" t="inlineStr">
        <is>
          <t>Grid second row</t>
        </is>
      </c>
      <c r="B28">
        <f>COUNTIFS(Q_GRID_EXPORTr2_data,"Selected",passes_workbook_filters_data,1,passes_workbook_custom_filters_data,1,All_Questions_passes_local_filters_data,1,All_Questions_Q_GRID_EXPORT_F_passes_per_q_filter_data,1)</f>
        <v>10</v>
      </c>
      <c r="C28" s="7">
        <f>IFERROR(B28/SUBTOTAL(9,B27:B28),0)</f>
        <v>0.5</v>
      </c>
      <c r="D28" s="14">
        <f>SUBTOTAL(9,B27:B28)</f>
        <v>20</v>
      </c>
      <c r="F28" t="inlineStr">
        <is>
          <t>Grid second row</t>
        </is>
      </c>
      <c r="G2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$26)</f>
        <v>0</v>
      </c>
      <c r="H2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$26)</f>
        <v>0</v>
      </c>
      <c r="I2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$26)</f>
        <v>0</v>
      </c>
      <c r="J2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$26)</f>
        <v>0</v>
      </c>
      <c r="K2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$26)</f>
        <v>0</v>
      </c>
      <c r="L2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$26)</f>
        <v>0</v>
      </c>
      <c r="M2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$26)</f>
        <v>0</v>
      </c>
      <c r="N2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20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Q_VERY_LONG_SINGLE_SELECT_EXPORT_NAME - Long Sheet Name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XLOOKUP(All_Questions_Q_VERY_LONG_SINGLE_SELECT_EXPORT_NAME_F_Q,All_Questions,All_Questions_Data_Names,"respondent_id_data")</f>
        <v>respondent_id_data</v>
      </c>
      <c r="G33" t="str">
        <f>"|" &amp; SUBSTITUTE(All_Questions_Q_VERY_LONG_SINGLE_SELECT_EXPORT_NAME_F_V,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Option</t>
        </is>
      </c>
      <c r="B36" s="4" t="inlineStr">
        <is>
          <t>Count</t>
        </is>
      </c>
      <c r="C36" s="4" t="inlineStr">
        <is>
          <t>%</t>
        </is>
      </c>
      <c r="D36" s="4" t="inlineStr">
        <is>
          <t>Denominator</t>
        </is>
      </c>
      <c r="F36" s="5" t="inlineStr">
        <is>
          <t>Option \ Cross-tab</t>
        </is>
      </c>
      <c r="G36" t="str">
        <f>IFERROR(INDEX(INDIRECT(XLOOKUP(All_Questions_Q_VERY_LONG_SINGLE_SELECT_EXPORT_NAME_CT,All_Questions,All_Questions_Options_Names,"None_options")),2),"")</f>
        <v/>
      </c>
      <c r="H36" t="str">
        <f>IFERROR(INDEX(INDIRECT(XLOOKUP(All_Questions_Q_VERY_LONG_SINGLE_SELECT_EXPORT_NAME_CT,All_Questions,All_Questions_Options_Names,"None_options")),3),"")</f>
        <v/>
      </c>
      <c r="I36" t="str">
        <f>IFERROR(INDEX(INDIRECT(XLOOKUP(All_Questions_Q_VERY_LONG_SINGLE_SELECT_EXPORT_NAME_CT,All_Questions,All_Questions_Options_Names,"None_options")),4),"")</f>
        <v/>
      </c>
      <c r="J36" t="str">
        <f>IFERROR(INDEX(INDIRECT(XLOOKUP(All_Questions_Q_VERY_LONG_SINGLE_SELECT_EXPORT_NAME_CT,All_Questions,All_Questions_Options_Names,"None_options")),5),"")</f>
        <v/>
      </c>
      <c r="K36" t="str">
        <f>IFERROR(INDEX(INDIRECT(XLOOKUP(All_Questions_Q_VERY_LONG_SINGLE_SELECT_EXPORT_NAME_CT,All_Questions,All_Questions_Options_Names,"None_options")),6),"")</f>
        <v/>
      </c>
      <c r="L36" t="str">
        <f>IFERROR(INDEX(INDIRECT(XLOOKUP(All_Questions_Q_VERY_LONG_SINGLE_SELECT_EXPORT_NAME_CT,All_Questions,All_Questions_Options_Names,"None_options")),7),"")</f>
        <v/>
      </c>
      <c r="M36" t="str">
        <f>IFERROR(INDEX(INDIRECT(XLOOKUP(All_Questions_Q_VERY_LONG_SINGLE_SELECT_EXPORT_NAME_CT,All_Questions,All_Questions_Options_Names,"None_options")),8),"")</f>
        <v/>
      </c>
      <c r="N36" t="str">
        <f>IFERROR(INDEX(INDIRECT(XLOOKUP(All_Questions_Q_VERY_LONG_SINGLE_SELECT_EXPORT_NAME_CT,All_Questions,All_Questions_Options_Names,"None_options")),9),"")</f>
        <v/>
      </c>
      <c r="O36" s="5" t="inlineStr">
        <is>
          <t>TOTAL</t>
        </is>
      </c>
    </row>
    <row r="37">
      <c r="A37" t="inlineStr">
        <is>
          <t>A</t>
        </is>
      </c>
      <c r="B37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37" s="7">
        <f>IFERROR(B37/SUBTOTAL(9,B37:B38),0)</f>
        <v>0.7</v>
      </c>
      <c r="D37" s="14">
        <f>SUBTOTAL(9,B37:B38)</f>
        <v>10</v>
      </c>
      <c r="F37" t="inlineStr">
        <is>
          <t>A</t>
        </is>
      </c>
      <c r="G3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$36)</f>
        <v>0</v>
      </c>
      <c r="H3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$36)</f>
        <v>0</v>
      </c>
      <c r="I3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$36)</f>
        <v>0</v>
      </c>
      <c r="J3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$36)</f>
        <v>0</v>
      </c>
      <c r="K3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$36)</f>
        <v>0</v>
      </c>
      <c r="L3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$36)</f>
        <v>0</v>
      </c>
      <c r="M3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$36)</f>
        <v>0</v>
      </c>
      <c r="N3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$36)</f>
        <v>0</v>
      </c>
      <c r="O37">
        <f>SUM(G37:N37)</f>
        <v>0</v>
      </c>
    </row>
    <row r="38">
      <c r="A38" t="inlineStr">
        <is>
          <t>B</t>
        </is>
      </c>
      <c r="B38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38" s="7">
        <f>IFERROR(B38/SUBTOTAL(9,B37:B38),0)</f>
        <v>0.3</v>
      </c>
      <c r="D38" s="14">
        <f>SUBTOTAL(9,B37:B38)</f>
        <v>10</v>
      </c>
      <c r="F38" t="inlineStr">
        <is>
          <t>B</t>
        </is>
      </c>
      <c r="G3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$36)</f>
        <v>0</v>
      </c>
      <c r="H3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$36)</f>
        <v>0</v>
      </c>
      <c r="I3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$36)</f>
        <v>0</v>
      </c>
      <c r="J3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$36)</f>
        <v>0</v>
      </c>
      <c r="K3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$36)</f>
        <v>0</v>
      </c>
      <c r="L3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$36)</f>
        <v>0</v>
      </c>
      <c r="M3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$36)</f>
        <v>0</v>
      </c>
      <c r="N3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$36)</f>
        <v>0</v>
      </c>
      <c r="O38">
        <f>SUM(G38:N38)</f>
        <v>0</v>
      </c>
    </row>
    <row r="39">
      <c r="A39" s="15" t="inlineStr">
        <is>
          <t>Total respondents</t>
        </is>
      </c>
      <c r="B39" s="15" t="n">
        <v>10</v>
      </c>
      <c r="C39" s="15" t="n"/>
      <c r="D39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7:B38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7:C38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7:N38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7:O38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3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=INDIRECT(XLOOKUP(All_Questions_Q_MS_EXPORT_F_Q,All_Questions,All_Questions_Options_Names,"None_options"))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=INDIRECT(XLOOKUP(All_Questions_Q_GRID_EXPORT_F_Q,All_Questions,All_Questions_Options_Names,"None_options"))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3">
    <tablePart r:id="rId1"/>
    <tablePart r:id="rId2"/>
    <tablePart r:id="rId3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2026-05-15T22:02:45Z</dcterms:created>
  <dcterms:modified xmlns:dcterms="http://purl.org/dc/terms/" xmlns:xsi="http://www.w3.org/2001/XMLSchema-instance" xsi:type="dcterms:W3CDTF">2026-05-15T22:02:46Z</dcterms:modified>
</cp:coreProperties>
</file>