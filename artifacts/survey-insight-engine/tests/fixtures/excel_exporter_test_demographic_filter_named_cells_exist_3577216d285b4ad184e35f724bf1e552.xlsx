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resolved_criteria">'Demographics'!$H$15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'Demographics'!$C$31</definedName>
    <definedName name="Demographics_Q_MS_EXPORT_F_V">'Demographics'!$E$31</definedName>
    <definedName name="Demographics_Q_MS_EXPORT_F_resolved_column">'Demographics'!$F$31</definedName>
    <definedName name="Demographics_Q_MS_EXPORT_F_wrapped">'Demographics'!$G$31</definedName>
    <definedName name="Demographics_Q_MS_EXPORT_F_resolved_criteria">'Demographics'!$H$31</definedName>
    <definedName name="Demographics_Q_MS_EXPORT_F_passes_per_q_filter_data">'_RawData'!$S$2:$S$11</definedName>
    <definedName name="Demographics_Q_MS_EXPORT_CT">'Demographics'!$C$32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1_resolved_criteria">'All Questions'!$G$8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ustom2_resolved_criteria">'All Questions'!$G$10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resolved_criteria">'All Questions'!$H$15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Questions'!$C$32</definedName>
    <definedName name="All_Questions_Q_GRID_EXPORT_F_V">'All Questions'!$E$32</definedName>
    <definedName name="All_Questions_Q_GRID_EXPORT_F_resolved_column">'All Questions'!$F$32</definedName>
    <definedName name="All_Questions_Q_GRID_EXPORT_F_wrapped">'All Questions'!$G$32</definedName>
    <definedName name="All_Questions_Q_GRID_EXPORT_F_resolved_criteria">'All Questions'!$H$32</definedName>
    <definedName name="All_Questions_Q_GRID_EXPORT_F_passes_per_q_filter_data">'_RawData'!$X$2:$X$11</definedName>
    <definedName name="All_Questions_Q_VERY_LONG_SINGLE_SELECT_EXPORT_NAME_F_Q">'All Questions'!$C$43</definedName>
    <definedName name="All_Questions_Q_VERY_LONG_SINGLE_SELECT_EXPORT_NAME_F_V">'All Questions'!$E$43</definedName>
    <definedName name="All_Questions_Q_VERY_LONG_SINGLE_SELECT_EXPORT_NAME_F_resolved_column">'All Questions'!$F$43</definedName>
    <definedName name="All_Questions_Q_VERY_LONG_SINGLE_SELECT_EXPORT_NAME_F_wrapped">'All Questions'!$G$43</definedName>
    <definedName name="All_Questions_Q_VERY_LONG_SINGLE_SELECT_EXPORT_NAME_F_resolved_criteria">'All Questions'!$H$43</definedName>
    <definedName name="All_Questions_Q_VERY_LONG_SINGLE_SELECT_EXPORT_NAME_F_passes_per_q_filter_data">'_RawData'!$Y$2:$Y$11</definedName>
    <definedName name="All_Questions_Q_VERY_LONG_SINGLE_SELECT_EXPORT_NAME_CT">'All Questions'!$C$44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40" i="7"/>
  <c r="C40" i="7"/>
  <c r="D40" i="7"/>
  <c r="E40" i="7"/>
  <c r="F40" i="7"/>
  <c r="G40" i="7"/>
  <c r="H40" i="7"/>
  <c r="I40" i="7"/>
  <c r="J40" i="7"/>
  <c r="K40" i="7"/>
  <c r="L40" i="7"/>
  <c r="M40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N44" i="7"/>
  <c r="C5" i="8"/>
  <c r="D5" i="8"/>
  <c r="C6" i="8"/>
  <c r="D6" i="8"/>
  <c r="C7" i="8"/>
  <c r="C8" i="8"/>
  <c r="D8" i="8"/>
  <c r="F8" i="8"/>
  <c r="G8" i="8"/>
  <c r="C9" i="8"/>
  <c r="C10" i="8"/>
  <c r="D10" i="8"/>
  <c r="F10" i="8"/>
  <c r="G10" i="8"/>
  <c r="F15" i="8"/>
  <c r="G15" i="8"/>
  <c r="H15" i="8"/>
  <c r="B19" i="8"/>
  <c r="D19" i="8"/>
  <c r="B20" i="8"/>
  <c r="D20" i="8"/>
  <c r="B21" i="8"/>
  <c r="D21" i="8"/>
  <c r="D22" i="8"/>
  <c r="B25" i="8"/>
  <c r="C25" i="8"/>
  <c r="D25" i="8"/>
  <c r="E25" i="8"/>
  <c r="F25" i="8"/>
  <c r="G25" i="8"/>
  <c r="H25" i="8"/>
  <c r="I25" i="8"/>
  <c r="J25" i="8"/>
  <c r="K25" i="8"/>
  <c r="L25" i="8"/>
  <c r="M25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N28" i="8"/>
  <c r="F32" i="8"/>
  <c r="G32" i="8"/>
  <c r="H32" i="8"/>
  <c r="C36" i="8"/>
  <c r="D36" i="8"/>
  <c r="E36" i="8"/>
  <c r="F36" i="8"/>
  <c r="C37" i="8"/>
  <c r="D37" i="8"/>
  <c r="E37" i="8"/>
  <c r="F37" i="8"/>
  <c r="F43" i="8"/>
  <c r="G43" i="8"/>
  <c r="H43" i="8"/>
  <c r="B47" i="8"/>
  <c r="C47" i="8"/>
  <c r="D47" i="8"/>
  <c r="B48" i="8"/>
  <c r="C48" i="8"/>
  <c r="D48" i="8"/>
  <c r="B51" i="8"/>
  <c r="C51" i="8"/>
  <c r="D51" i="8"/>
  <c r="E51" i="8"/>
  <c r="F51" i="8"/>
  <c r="G51" i="8"/>
  <c r="H51" i="8"/>
  <c r="I51" i="8"/>
  <c r="J51" i="8"/>
  <c r="K51" i="8"/>
  <c r="L51" i="8"/>
  <c r="M51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N55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8" headerRowCount="1">
  <autoFilter ref="A34:D3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9" headerRowCount="1">
  <autoFilter ref="A46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("|" &amp; SUBSTITUTE(Demographics_Q_MS_EXPORT_F_resolved_criteria, ", ", "|") &amp; "|"))),1,0),0))*1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("|" &amp; SUBSTITUTE(Demographics_Q_MS_EXPORT_F_resolved_criteria, ", ", "|") &amp; "|"))),1,0),0))*1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("|" &amp; SUBSTITUTE(Demographics_Q_MS_EXPORT_F_resolved_criteria, ", ", "|") &amp; "|"))),1,0),0))*1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("|" &amp; SUBSTITUTE(Demographics_Q_MS_EXPORT_F_resolved_criteria, ", ", "|") &amp; "|"))),1,0),0))*1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("|" &amp; SUBSTITUTE(Demographics_Q_MS_EXPORT_F_resolved_criteria, ", ", "|") &amp; "|"))),1,0),0))*1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("|" &amp; SUBSTITUTE(Demographics_Q_MS_EXPORT_F_resolved_criteria, ", ", "|") &amp; "|"))),1,0),0))*1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("|" &amp; SUBSTITUTE(Demographics_Q_MS_EXPORT_F_resolved_criteria, ", ", "|") &amp; "|"))),1,0),0))*1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("|" &amp; SUBSTITUTE(Demographics_Q_MS_EXPORT_F_resolved_criteria, ", ", "|") &amp; "|"))),1,0),0))*1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("|" &amp; SUBSTITUTE(Demographics_Q_MS_EXPORT_F_resolved_criteria, ", ", "|") &amp; "|"))),1,0),0))*1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("|" &amp; SUBSTITUTE(Demographics_Q_MS_EXPORT_F_resolved_criteria, ", ", "|") &amp; "|"))),1,0),0))*1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5" t="str">
        <f>"|" &amp; SUBSTITUTE(Demographics_Q_SS_EXPORT_F_V, ", ", "|") &amp; "|"</f>
        <v>|(All)|</v>
      </c>
      <c r="H15" t="str">
        <f>IFERROR(INDEX(All_Questions_Value_Criteria,MATCH(Demographics_Q_SS_EXPORT_F_Q&amp;"|"&amp;Demographics_Q_SS_EXPORT_F_V,All_Questions_Value_Keys,0)),Demographics_Q_SS_EXPORT_F_V)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IF(Demographics_Q_SS_EXPORT_CT="(None)","",IFERROR(INDEX(INDIRECT(IFERROR(INDEX(Cross_Tab_Questions_Options_Names,MATCH(Demographics_Q_SS_EXPORT_CT,Cross_Tab_Questions,0)),"'_Options'!$E$2:$E$2")),2),""))</f>
        <v/>
      </c>
      <c r="C23" s="2" t="str">
        <f>IF(Demographics_Q_SS_EXPORT_CT="(None)","",IFERROR(INDEX(INDIRECT(IFERROR(INDEX(Cross_Tab_Questions_Options_Names,MATCH(Demographics_Q_SS_EXPORT_CT,Cross_Tab_Questions,0)),"'_Options'!$E$2:$E$2")),3),""))</f>
        <v/>
      </c>
      <c r="D23" s="2" t="str">
        <f>IF(Demographics_Q_SS_EXPORT_CT="(None)","",IFERROR(INDEX(INDIRECT(IFERROR(INDEX(Cross_Tab_Questions_Options_Names,MATCH(Demographics_Q_SS_EXPORT_CT,Cross_Tab_Questions,0)),"'_Options'!$E$2:$E$2")),4),""))</f>
        <v/>
      </c>
      <c r="E23" s="2" t="str">
        <f>IF(Demographics_Q_SS_EXPORT_CT="(None)","",IFERROR(INDEX(INDIRECT(IFERROR(INDEX(Cross_Tab_Questions_Options_Names,MATCH(Demographics_Q_SS_EXPORT_CT,Cross_Tab_Questions,0)),"'_Options'!$E$2:$E$2")),5),""))</f>
        <v/>
      </c>
      <c r="F23" s="2" t="str">
        <f>IF(Demographics_Q_SS_EXPORT_CT="(None)","",IFERROR(INDEX(INDIRECT(IFERROR(INDEX(Cross_Tab_Questions_Options_Names,MATCH(Demographics_Q_SS_EXPORT_CT,Cross_Tab_Questions,0)),"'_Options'!$E$2:$E$2")),6),""))</f>
        <v/>
      </c>
      <c r="G23" s="2" t="str">
        <f>IF(Demographics_Q_SS_EXPORT_CT="(None)","",IFERROR(INDEX(INDIRECT(IFERROR(INDEX(Cross_Tab_Questions_Options_Names,MATCH(Demographics_Q_SS_EXPORT_CT,Cross_Tab_Questions,0)),"'_Options'!$E$2:$E$2")),7),""))</f>
        <v/>
      </c>
      <c r="H23" s="2" t="str">
        <f>IF(Demographics_Q_SS_EXPORT_CT="(None)","",IFERROR(INDEX(INDIRECT(IFERROR(INDEX(Cross_Tab_Questions_Options_Names,MATCH(Demographics_Q_SS_EXPORT_CT,Cross_Tab_Questions,0)),"'_Options'!$E$2:$E$2")),8),""))</f>
        <v/>
      </c>
      <c r="I23" s="2" t="str">
        <f>IF(Demographics_Q_SS_EXPORT_CT="(None)","",IFERROR(INDEX(INDIRECT(IFERROR(INDEX(Cross_Tab_Questions_Options_Names,MATCH(Demographics_Q_SS_EXPORT_CT,Cross_Tab_Questions,0)),"'_Options'!$E$2:$E$2")),9),""))</f>
        <v/>
      </c>
      <c r="J23" s="2" t="str">
        <f>IF(Demographics_Q_SS_EXPORT_CT="(None)","",IFERROR(INDEX(INDIRECT(IFERROR(INDEX(Cross_Tab_Questions_Options_Names,MATCH(Demographics_Q_SS_EXPORT_CT,Cross_Tab_Questions,0)),"'_Options'!$E$2:$E$2")),10),""))</f>
        <v/>
      </c>
      <c r="K23" s="2" t="str">
        <f>IF(Demographics_Q_SS_EXPORT_CT="(None)","",IFERROR(INDEX(INDIRECT(IFERROR(INDEX(Cross_Tab_Questions_Options_Names,MATCH(Demographics_Q_SS_EXPORT_CT,Cross_Tab_Questions,0)),"'_Options'!$E$2:$E$2")),11),""))</f>
        <v/>
      </c>
      <c r="L23" s="2" t="str">
        <f>IF(Demographics_Q_SS_EXPORT_CT="(None)","",IFERROR(INDEX(INDIRECT(IFERROR(INDEX(Cross_Tab_Questions_Options_Names,MATCH(Demographics_Q_SS_EXPORT_CT,Cross_Tab_Questions,0)),"'_Options'!$E$2:$E$2")),12),""))</f>
        <v/>
      </c>
      <c r="M23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Yes</t>
        </is>
      </c>
      <c r="B25" s="14">
        <f>IF(OR(Demographics_Q_SS_EXPORT_CT="(None)",B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5" s="14">
        <f>IF(OR(Demographics_Q_SS_EXPORT_CT="(None)",C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5" s="14">
        <f>IF(OR(Demographics_Q_SS_EXPORT_CT="(None)",D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5" s="14">
        <f>IF(OR(Demographics_Q_SS_EXPORT_CT="(None)",E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5" s="14">
        <f>IF(OR(Demographics_Q_SS_EXPORT_CT="(None)",F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5" s="14">
        <f>IF(OR(Demographics_Q_SS_EXPORT_CT="(None)",G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5" s="14">
        <f>IF(OR(Demographics_Q_SS_EXPORT_CT="(None)",H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5" s="14">
        <f>IF(OR(Demographics_Q_SS_EXPORT_CT="(None)",I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5" s="14">
        <f>IF(OR(Demographics_Q_SS_EXPORT_CT="(None)",J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5" s="14">
        <f>IF(OR(Demographics_Q_SS_EXPORT_CT="(None)",K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5" s="14">
        <f>IF(OR(Demographics_Q_SS_EXPORT_CT="(None)",L$23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5" s="14">
        <f>IF(OR(Demographics_Q_SS_EXPORT_CT="(None)",M$23=""),"",IF(M$23="Other",COUNTIFS(Q_SS_EXPORT_data,"Yes",passes_workbook_filters_data,1,passes_workbook_custom_filters_data,1,Demographics_passes_local_filters_data,1,Demographics_Q_SS_EXPORT_F_passes_per_q_filter_data,1)-SUM(B25,C25,D25,E25,F25,G25,H25,I25,J25,K25,L25)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5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6">
      <c r="A26" t="inlineStr">
        <is>
          <t>No</t>
        </is>
      </c>
      <c r="B26" s="14">
        <f>IF(OR(Demographics_Q_SS_EXPORT_CT="(None)",B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$23))</f>
        <v>0</v>
      </c>
      <c r="C26" s="14">
        <f>IF(OR(Demographics_Q_SS_EXPORT_CT="(None)",C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$23))</f>
        <v>0</v>
      </c>
      <c r="D26" s="14">
        <f>IF(OR(Demographics_Q_SS_EXPORT_CT="(None)",D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$23))</f>
        <v>0</v>
      </c>
      <c r="E26" s="14">
        <f>IF(OR(Demographics_Q_SS_EXPORT_CT="(None)",E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$23))</f>
        <v>0</v>
      </c>
      <c r="F26" s="14">
        <f>IF(OR(Demographics_Q_SS_EXPORT_CT="(None)",F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$23))</f>
        <v>0</v>
      </c>
      <c r="G26" s="14">
        <f>IF(OR(Demographics_Q_SS_EXPORT_CT="(None)",G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$23))</f>
        <v>0</v>
      </c>
      <c r="H26" s="14">
        <f>IF(OR(Demographics_Q_SS_EXPORT_CT="(None)",H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$23))</f>
        <v>0</v>
      </c>
      <c r="I26" s="14">
        <f>IF(OR(Demographics_Q_SS_EXPORT_CT="(None)",I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$23))</f>
        <v>0</v>
      </c>
      <c r="J26" s="14">
        <f>IF(OR(Demographics_Q_SS_EXPORT_CT="(None)",J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$23))</f>
        <v>0</v>
      </c>
      <c r="K26" s="14">
        <f>IF(OR(Demographics_Q_SS_EXPORT_CT="(None)",K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$23))</f>
        <v>0</v>
      </c>
      <c r="L26" s="14">
        <f>IF(OR(Demographics_Q_SS_EXPORT_CT="(None)",L$23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$23))</f>
        <v>0</v>
      </c>
      <c r="M26" s="14">
        <f>IF(OR(Demographics_Q_SS_EXPORT_CT="(None)",M$23=""),"",IF(M$23="Other",COUNTIFS(Q_SS_EXPORT_data,"No",passes_workbook_filters_data,1,passes_workbook_custom_filters_data,1,Demographics_passes_local_filters_data,1,Demographics_Q_SS_EXPORT_F_passes_per_q_filter_data,1)-SUM(B26,C26,D26,E26,F26,G26,H26,I26,J26,K26,L26)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$23)))</f>
        <v>0</v>
      </c>
      <c r="N26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Q_MS_EXPORT - Multi select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IFERROR(INDEX(All_Questions_Value_Data_Names,MATCH(Demographics_Q_MS_EXPORT_F_Q&amp;"|"&amp;Demographics_Q_MS_EXPORT_F_V,All_Questions_Value_Keys,0)),IFERROR(INDEX(All_Questions_Data_Names,MATCH(Demographics_Q_MS_EXPORT_F_Q,All_Questions,0)),"'_RawData'!$A:$A"))</f>
        <v>respondent_id_data</v>
      </c>
      <c r="G31" t="str">
        <f>"|" &amp; SUBSTITUTE(Demographics_Q_MS_EXPORT_F_V, ", ", "|") &amp; "|"</f>
        <v>|(All)|</v>
      </c>
      <c r="H31" t="str">
        <f>IFERROR(INDEX(All_Questions_Value_Criteria,MATCH(Demographics_Q_MS_EXPORT_F_Q&amp;"|"&amp;Demographics_Q_MS_EXPORT_F_V,All_Questions_Value_Keys,0)),Demographics_Q_MS_EXPORT_F_V)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First</t>
        </is>
      </c>
      <c r="B35">
        <f>COUNTIFS(Q_MS_EXPORTr1_data,"Selected",passes_workbook_filters_data,1,passes_workbook_custom_filters_data,1,Demographics_passes_local_filters_data,1,Demographics_Q_MS_EXPORT_F_passes_per_q_filter_data,1)</f>
        <v>5</v>
      </c>
      <c r="C35" s="7">
        <f>IFERROR(B35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35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6">
      <c r="A36" t="inlineStr">
        <is>
          <t>Second</t>
        </is>
      </c>
      <c r="B36">
        <f>COUNTIFS(Q_MS_EXPORTr2_data,"Selected",passes_workbook_filters_data,1,passes_workbook_custom_filters_data,1,Demographics_passes_local_filters_data,1,Demographics_Q_MS_EXPORT_F_passes_per_q_filter_data,1)</f>
        <v>2</v>
      </c>
      <c r="C36" s="7">
        <f>IFERROR(B36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6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</row>
    <row r="37">
      <c r="A37" s="15" t="inlineStr">
        <is>
          <t>Total respondents</t>
        </is>
      </c>
      <c r="B37" s="15" t="n">
        <v>10</v>
      </c>
      <c r="C37" s="15" t="n"/>
      <c r="D37" s="15" t="n"/>
    </row>
    <row r="38">
      <c r="A38" s="4" t="inlineStr">
        <is>
          <t>Total responses</t>
        </is>
      </c>
      <c r="B38" s="4" t="n">
        <v>7</v>
      </c>
      <c r="C38" s="4" t="n"/>
      <c r="D38" s="4" t="n"/>
    </row>
    <row r="39"/>
    <row r="40">
      <c r="A40" s="4" t="inlineStr">
        <is>
          <t>Option</t>
        </is>
      </c>
      <c r="B40" s="2" t="str">
        <f>IF(Demographics_Q_MS_EXPORT_CT="(None)","",IFERROR(INDEX(INDIRECT(IFERROR(INDEX(Cross_Tab_Questions_Options_Names,MATCH(Demographics_Q_MS_EXPORT_CT,Cross_Tab_Questions,0)),"'_Options'!$E$2:$E$2")),2),""))</f>
        <v/>
      </c>
      <c r="C40" s="2" t="str">
        <f>IF(Demographics_Q_MS_EXPORT_CT="(None)","",IFERROR(INDEX(INDIRECT(IFERROR(INDEX(Cross_Tab_Questions_Options_Names,MATCH(Demographics_Q_MS_EXPORT_CT,Cross_Tab_Questions,0)),"'_Options'!$E$2:$E$2")),3),""))</f>
        <v/>
      </c>
      <c r="D40" s="2" t="str">
        <f>IF(Demographics_Q_MS_EXPORT_CT="(None)","",IFERROR(INDEX(INDIRECT(IFERROR(INDEX(Cross_Tab_Questions_Options_Names,MATCH(Demographics_Q_MS_EXPORT_CT,Cross_Tab_Questions,0)),"'_Options'!$E$2:$E$2")),4),""))</f>
        <v/>
      </c>
      <c r="E40" s="2" t="str">
        <f>IF(Demographics_Q_MS_EXPORT_CT="(None)","",IFERROR(INDEX(INDIRECT(IFERROR(INDEX(Cross_Tab_Questions_Options_Names,MATCH(Demographics_Q_MS_EXPORT_CT,Cross_Tab_Questions,0)),"'_Options'!$E$2:$E$2")),5),""))</f>
        <v/>
      </c>
      <c r="F40" s="2" t="str">
        <f>IF(Demographics_Q_MS_EXPORT_CT="(None)","",IFERROR(INDEX(INDIRECT(IFERROR(INDEX(Cross_Tab_Questions_Options_Names,MATCH(Demographics_Q_MS_EXPORT_CT,Cross_Tab_Questions,0)),"'_Options'!$E$2:$E$2")),6),""))</f>
        <v/>
      </c>
      <c r="G40" s="2" t="str">
        <f>IF(Demographics_Q_MS_EXPORT_CT="(None)","",IFERROR(INDEX(INDIRECT(IFERROR(INDEX(Cross_Tab_Questions_Options_Names,MATCH(Demographics_Q_MS_EXPORT_CT,Cross_Tab_Questions,0)),"'_Options'!$E$2:$E$2")),7),""))</f>
        <v/>
      </c>
      <c r="H40" s="2" t="str">
        <f>IF(Demographics_Q_MS_EXPORT_CT="(None)","",IFERROR(INDEX(INDIRECT(IFERROR(INDEX(Cross_Tab_Questions_Options_Names,MATCH(Demographics_Q_MS_EXPORT_CT,Cross_Tab_Questions,0)),"'_Options'!$E$2:$E$2")),8),""))</f>
        <v/>
      </c>
      <c r="I40" s="2" t="str">
        <f>IF(Demographics_Q_MS_EXPORT_CT="(None)","",IFERROR(INDEX(INDIRECT(IFERROR(INDEX(Cross_Tab_Questions_Options_Names,MATCH(Demographics_Q_MS_EXPORT_CT,Cross_Tab_Questions,0)),"'_Options'!$E$2:$E$2")),9),""))</f>
        <v/>
      </c>
      <c r="J40" s="2" t="str">
        <f>IF(Demographics_Q_MS_EXPORT_CT="(None)","",IFERROR(INDEX(INDIRECT(IFERROR(INDEX(Cross_Tab_Questions_Options_Names,MATCH(Demographics_Q_MS_EXPORT_CT,Cross_Tab_Questions,0)),"'_Options'!$E$2:$E$2")),10),""))</f>
        <v/>
      </c>
      <c r="K40" s="2" t="str">
        <f>IF(Demographics_Q_MS_EXPORT_CT="(None)","",IFERROR(INDEX(INDIRECT(IFERROR(INDEX(Cross_Tab_Questions_Options_Names,MATCH(Demographics_Q_MS_EXPORT_CT,Cross_Tab_Questions,0)),"'_Options'!$E$2:$E$2")),11),""))</f>
        <v/>
      </c>
      <c r="L40" s="2" t="str">
        <f>IF(Demographics_Q_MS_EXPORT_CT="(None)","",IFERROR(INDEX(INDIRECT(IFERROR(INDEX(Cross_Tab_Questions_Options_Names,MATCH(Demographics_Q_MS_EXPORT_CT,Cross_Tab_Questions,0)),"'_Options'!$E$2:$E$2")),12),""))</f>
        <v/>
      </c>
      <c r="M40" s="2" t="str">
        <f>IF(Demographics_Q_MS_EXPORT_CT="(None)","",IF(COUNTA(INDIRECT(IFERROR(INDEX(Cross_Tab_Questions_Options_Names,MATCH(Demographics_Q_MS_EXPORT_CT,Cross_Tab_Questions,0)),"'_Options'!$E$2:$E$2")))-1&gt;11,"Other",IFERROR(INDEX(INDIRECT(IFERROR(INDEX(Cross_Tab_Questions_Options_Names,MATCH(Demographics_Q_MS_EXPORT_CT,Cross_Tab_Questions,0)),"'_Options'!$E$2:$E$2")),13),"")))</f>
        <v/>
      </c>
      <c r="N40" s="4" t="inlineStr">
        <is>
          <t>Total</t>
        </is>
      </c>
    </row>
    <row r="41">
      <c r="A41" s="4" t="inlineStr"/>
      <c r="B41" s="4" t="inlineStr">
        <is>
          <t>% selected</t>
        </is>
      </c>
      <c r="C41" s="4" t="inlineStr">
        <is>
          <t>% selected</t>
        </is>
      </c>
      <c r="D41" s="4" t="inlineStr">
        <is>
          <t>% selected</t>
        </is>
      </c>
      <c r="E41" s="4" t="inlineStr">
        <is>
          <t>% selected</t>
        </is>
      </c>
      <c r="F41" s="4" t="inlineStr">
        <is>
          <t>% selected</t>
        </is>
      </c>
      <c r="G41" s="4" t="inlineStr">
        <is>
          <t>% selected</t>
        </is>
      </c>
      <c r="H41" s="4" t="inlineStr">
        <is>
          <t>% selected</t>
        </is>
      </c>
      <c r="I41" s="4" t="inlineStr">
        <is>
          <t>% selected</t>
        </is>
      </c>
      <c r="J41" s="4" t="inlineStr">
        <is>
          <t>% selected</t>
        </is>
      </c>
      <c r="K41" s="4" t="inlineStr">
        <is>
          <t>% selected</t>
        </is>
      </c>
      <c r="L41" s="4" t="inlineStr">
        <is>
          <t>% selected</t>
        </is>
      </c>
      <c r="M41" s="4" t="inlineStr">
        <is>
          <t>% selected</t>
        </is>
      </c>
      <c r="N41" s="4" t="inlineStr">
        <is>
          <t>% selected</t>
        </is>
      </c>
    </row>
    <row r="42">
      <c r="A42" t="inlineStr">
        <is>
          <t>First</t>
        </is>
      </c>
      <c r="B42" s="7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0.5</v>
      </c>
      <c r="C42" s="7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0.5</v>
      </c>
      <c r="D42" s="7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0.5</v>
      </c>
      <c r="E42" s="7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0.5</v>
      </c>
      <c r="F42" s="7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0.5</v>
      </c>
      <c r="G42" s="7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0.5</v>
      </c>
      <c r="H42" s="7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0.5</v>
      </c>
      <c r="I42" s="7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0.5</v>
      </c>
      <c r="J42" s="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0.5</v>
      </c>
      <c r="K42" s="7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0.5</v>
      </c>
      <c r="L42" s="7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0.5</v>
      </c>
      <c r="M42" s="7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0.5</v>
      </c>
      <c r="N42" s="7">
        <f>IF(Demographics_Q_MS_EXPORT_CT="(None)","",IFERROR(COUNTIFS(Q_MS_EXPORTr1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0.5</v>
      </c>
    </row>
    <row r="43">
      <c r="A43" t="inlineStr">
        <is>
          <t>Second</t>
        </is>
      </c>
      <c r="B43" s="7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0.2</v>
      </c>
      <c r="C43" s="7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0.2</v>
      </c>
      <c r="D43" s="7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0.2</v>
      </c>
      <c r="E43" s="7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0.2</v>
      </c>
      <c r="F43" s="7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0.2</v>
      </c>
      <c r="G43" s="7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0.2</v>
      </c>
      <c r="H43" s="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0.2</v>
      </c>
      <c r="I43" s="7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0.2</v>
      </c>
      <c r="J43" s="7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0.2</v>
      </c>
      <c r="K43" s="7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0.2</v>
      </c>
      <c r="L43" s="7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0.2</v>
      </c>
      <c r="M43" s="7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0.2</v>
      </c>
      <c r="N43" s="7">
        <f>IF(Demographics_Q_MS_EXPORT_CT="(None)","",IFERROR(COUNTIFS(Q_MS_EXPORTr2_data,"Selected",passes_workbook_filters_data,1,passes_workbook_custom_filters_data,1,Demographics_passes_local_filters_data,1,Demographics_Q_MS_EXPORT_F_passes_per_q_filter_data,1)/SUMPRODUCT(--((--(Q_MS_EXPORTr1_data&lt;&gt;"")+--(Q_MS_EXPORTr2_data&lt;&gt;""))&gt;0),--(passes_workbook_filters_data=1),--(passes_workbook_custom_filters_data=1),--(Demographics_passes_local_filters_data=1),--(Demographics_Q_MS_EXPORT_F_passes_per_q_filter_data=1)),""))</f>
        <v>0.2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2:E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8" t="str">
        <f>IFERROR(INDEX(All_Questions_Value_Criteria,MATCH(All_Questions_F_Custom1_Q_resolved&amp;"|"&amp;All_Questions_F_Custom1_V_resolved,All_Questions_Value_Keys,0)),All_Questions_F_Custom1_V_resolved)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10" t="str">
        <f>IFERROR(INDEX(All_Questions_Value_Criteria,MATCH(All_Questions_F_Custom2_Q_resolved&amp;"|"&amp;All_Questions_F_Custom2_V_resolved,All_Questions_Value_Keys,0)),All_Questions_F_Custom2_V_resolved)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15" t="str">
        <f>"|" &amp; SUBSTITUTE(All_Questions_Q_NUM_EXPORT_F_V, ", ", "|") &amp; "|"</f>
        <v>|(All)|</v>
      </c>
      <c r="H15" t="str">
        <f>IFERROR(INDEX(All_Questions_Value_Criteria,MATCH(All_Questions_Q_NUM_EXPORT_F_Q&amp;"|"&amp;All_Questions_Q_NUM_EXPORT_F_V,All_Questions_Value_Keys,0)),All_Questions_Q_NUM_EXPORT_F_V)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4" t="inlineStr">
        <is>
          <t>Option</t>
        </is>
      </c>
      <c r="B25" s="2" t="str">
        <f>IF(All_Questions_Q_NUM_EXPORT_CT="(None)","",IFERROR(INDEX(INDIRECT(IFERROR(INDEX(Cross_Tab_Questions_Options_Names,MATCH(All_Questions_Q_NUM_EXPORT_CT,Cross_Tab_Questions,0)),"'_Options'!$E$2:$E$2")),2),""))</f>
        <v/>
      </c>
      <c r="C25" s="2" t="str">
        <f>IF(All_Questions_Q_NUM_EXPORT_CT="(None)","",IFERROR(INDEX(INDIRECT(IFERROR(INDEX(Cross_Tab_Questions_Options_Names,MATCH(All_Questions_Q_NUM_EXPORT_CT,Cross_Tab_Questions,0)),"'_Options'!$E$2:$E$2")),3),""))</f>
        <v/>
      </c>
      <c r="D25" s="2" t="str">
        <f>IF(All_Questions_Q_NUM_EXPORT_CT="(None)","",IFERROR(INDEX(INDIRECT(IFERROR(INDEX(Cross_Tab_Questions_Options_Names,MATCH(All_Questions_Q_NUM_EXPORT_CT,Cross_Tab_Questions,0)),"'_Options'!$E$2:$E$2")),4),""))</f>
        <v/>
      </c>
      <c r="E25" s="2" t="str">
        <f>IF(All_Questions_Q_NUM_EXPORT_CT="(None)","",IFERROR(INDEX(INDIRECT(IFERROR(INDEX(Cross_Tab_Questions_Options_Names,MATCH(All_Questions_Q_NUM_EXPORT_CT,Cross_Tab_Questions,0)),"'_Options'!$E$2:$E$2")),5),""))</f>
        <v/>
      </c>
      <c r="F25" s="2" t="str">
        <f>IF(All_Questions_Q_NUM_EXPORT_CT="(None)","",IFERROR(INDEX(INDIRECT(IFERROR(INDEX(Cross_Tab_Questions_Options_Names,MATCH(All_Questions_Q_NUM_EXPORT_CT,Cross_Tab_Questions,0)),"'_Options'!$E$2:$E$2")),6),""))</f>
        <v/>
      </c>
      <c r="G25" s="2" t="str">
        <f>IF(All_Questions_Q_NUM_EXPORT_CT="(None)","",IFERROR(INDEX(INDIRECT(IFERROR(INDEX(Cross_Tab_Questions_Options_Names,MATCH(All_Questions_Q_NUM_EXPORT_CT,Cross_Tab_Questions,0)),"'_Options'!$E$2:$E$2")),7),""))</f>
        <v/>
      </c>
      <c r="H25" s="2" t="str">
        <f>IF(All_Questions_Q_NUM_EXPORT_CT="(None)","",IFERROR(INDEX(INDIRECT(IFERROR(INDEX(Cross_Tab_Questions_Options_Names,MATCH(All_Questions_Q_NUM_EXPORT_CT,Cross_Tab_Questions,0)),"'_Options'!$E$2:$E$2")),8),""))</f>
        <v/>
      </c>
      <c r="I25" s="2" t="str">
        <f>IF(All_Questions_Q_NUM_EXPORT_CT="(None)","",IFERROR(INDEX(INDIRECT(IFERROR(INDEX(Cross_Tab_Questions_Options_Names,MATCH(All_Questions_Q_NUM_EXPORT_CT,Cross_Tab_Questions,0)),"'_Options'!$E$2:$E$2")),9),""))</f>
        <v/>
      </c>
      <c r="J25" s="2" t="str">
        <f>IF(All_Questions_Q_NUM_EXPORT_CT="(None)","",IFERROR(INDEX(INDIRECT(IFERROR(INDEX(Cross_Tab_Questions_Options_Names,MATCH(All_Questions_Q_NUM_EXPORT_CT,Cross_Tab_Questions,0)),"'_Options'!$E$2:$E$2")),10),""))</f>
        <v/>
      </c>
      <c r="K25" s="2" t="str">
        <f>IF(All_Questions_Q_NUM_EXPORT_CT="(None)","",IFERROR(INDEX(INDIRECT(IFERROR(INDEX(Cross_Tab_Questions_Options_Names,MATCH(All_Questions_Q_NUM_EXPORT_CT,Cross_Tab_Questions,0)),"'_Options'!$E$2:$E$2")),11),""))</f>
        <v/>
      </c>
      <c r="L25" s="2" t="str">
        <f>IF(All_Questions_Q_NUM_EXPORT_CT="(None)","",IFERROR(INDEX(INDIRECT(IFERROR(INDEX(Cross_Tab_Questions_Options_Names,MATCH(All_Questions_Q_NUM_EXPORT_CT,Cross_Tab_Questions,0)),"'_Options'!$E$2:$E$2")),12),""))</f>
        <v/>
      </c>
      <c r="M2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25" s="4" t="inlineStr">
        <is>
          <t>Total</t>
        </is>
      </c>
    </row>
    <row r="26">
      <c r="A26" s="4" t="inlineStr"/>
      <c r="B26" s="4" t="inlineStr">
        <is>
          <t>Mean</t>
        </is>
      </c>
      <c r="C26" s="4" t="inlineStr">
        <is>
          <t>Mean</t>
        </is>
      </c>
      <c r="D26" s="4" t="inlineStr">
        <is>
          <t>Mean</t>
        </is>
      </c>
      <c r="E26" s="4" t="inlineStr">
        <is>
          <t>Mean</t>
        </is>
      </c>
      <c r="F26" s="4" t="inlineStr">
        <is>
          <t>Mean</t>
        </is>
      </c>
      <c r="G26" s="4" t="inlineStr">
        <is>
          <t>Mean</t>
        </is>
      </c>
      <c r="H26" s="4" t="inlineStr">
        <is>
          <t>Mean</t>
        </is>
      </c>
      <c r="I26" s="4" t="inlineStr">
        <is>
          <t>Mean</t>
        </is>
      </c>
      <c r="J26" s="4" t="inlineStr">
        <is>
          <t>Mean</t>
        </is>
      </c>
      <c r="K26" s="4" t="inlineStr">
        <is>
          <t>Mean</t>
        </is>
      </c>
      <c r="L26" s="4" t="inlineStr">
        <is>
          <t>Mean</t>
        </is>
      </c>
      <c r="M26" s="4" t="inlineStr">
        <is>
          <t>Mean</t>
        </is>
      </c>
      <c r="N26" s="4" t="inlineStr">
        <is>
          <t>Mean</t>
        </is>
      </c>
    </row>
    <row r="27">
      <c r="A27" t="inlineStr">
        <is>
          <t>Numeric export question</t>
        </is>
      </c>
      <c r="B27" s="16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5.5</v>
      </c>
      <c r="C27" s="16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5.5</v>
      </c>
      <c r="D27" s="16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5.5</v>
      </c>
      <c r="E27" s="1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5.5</v>
      </c>
      <c r="F27" s="16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5.5</v>
      </c>
      <c r="G27" s="16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5.5</v>
      </c>
      <c r="H27" s="16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5.5</v>
      </c>
      <c r="I27" s="16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5.5</v>
      </c>
      <c r="J27" s="16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5.5</v>
      </c>
      <c r="K27" s="16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5.5</v>
      </c>
      <c r="L27" s="16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5.5</v>
      </c>
      <c r="M27" s="16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5.5</v>
      </c>
      <c r="N2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28">
      <c r="A28" s="4" t="inlineStr">
        <is>
          <t>Total respondents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29"/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A31" s="12" t="inlineStr">
        <is>
          <t>Q_GRID_EXPORT - Grid export question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>
      <c r="A32" s="13" t="inlineStr">
        <is>
          <t>Per-question filter</t>
        </is>
      </c>
      <c r="B32" t="inlineStr">
        <is>
          <t>Filter Q</t>
        </is>
      </c>
      <c r="C32" t="inlineStr">
        <is>
          <t>(None)</t>
        </is>
      </c>
      <c r="D32" t="inlineStr">
        <is>
          <t>Value</t>
        </is>
      </c>
      <c r="E32" t="inlineStr">
        <is>
          <t>(All)</t>
        </is>
      </c>
      <c r="F3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32" t="str">
        <f>"|" &amp; SUBSTITUTE(All_Questions_Q_GRID_EXPORT_F_V, ", ", "|") &amp; "|"</f>
        <v>|(All)|</v>
      </c>
      <c r="H32" t="str">
        <f>IFERROR(INDEX(All_Questions_Value_Criteria,MATCH(All_Questions_Q_GRID_EXPORT_F_Q&amp;"|"&amp;All_Questions_Q_GRID_EXPORT_F_V,All_Questions_Value_Keys,0)),All_Questions_Q_GRID_EXPORT_F_V)</f>
        <v>(All)</v>
      </c>
    </row>
    <row r="33"/>
    <row r="34">
      <c r="A34" s="4" t="inlineStr">
        <is>
          <t>Sub-question ID</t>
        </is>
      </c>
      <c r="B34" s="4" t="inlineStr">
        <is>
          <t>Sub-question</t>
        </is>
      </c>
      <c r="C34" s="4" t="inlineStr">
        <is>
          <t>High</t>
        </is>
      </c>
      <c r="D34" s="2" t="n"/>
      <c r="E34" s="4" t="inlineStr">
        <is>
          <t>Low</t>
        </is>
      </c>
      <c r="F34" s="2" t="n"/>
    </row>
    <row r="35">
      <c r="A35" s="2" t="inlineStr"/>
      <c r="B35" s="2" t="inlineStr"/>
      <c r="C35" s="4" t="inlineStr">
        <is>
          <t>Count</t>
        </is>
      </c>
      <c r="D35" s="4" t="inlineStr">
        <is>
          <t>%</t>
        </is>
      </c>
      <c r="E35" s="4" t="inlineStr">
        <is>
          <t>Count</t>
        </is>
      </c>
      <c r="F35" s="4" t="inlineStr">
        <is>
          <t>%</t>
        </is>
      </c>
    </row>
    <row r="36">
      <c r="A36" s="17" t="inlineStr">
        <is>
          <t>Q_GRID_EXPORTr1</t>
        </is>
      </c>
      <c r="B36" t="inlineStr">
        <is>
          <t>Grid first row</t>
        </is>
      </c>
      <c r="C36">
        <f>COUNTIFS(Q_GRID_EXPORTr1_data,"High",passes_workbook_filters_data,1,passes_workbook_custom_filters_data,1,All_Questions_passes_local_filters_data,1,All_Questions_Q_GRID_EXPORT_F_passes_per_q_filter_data,1)</f>
        <v>6</v>
      </c>
      <c r="D36" s="7">
        <f>IFERROR(C36/10,0)</f>
        <v>0.6</v>
      </c>
      <c r="E36">
        <f>COUNTIFS(Q_GRID_EXPORTr1_data,"Low",passes_workbook_filters_data,1,passes_workbook_custom_filters_data,1,All_Questions_passes_local_filters_data,1,All_Questions_Q_GRID_EXPORT_F_passes_per_q_filter_data,1)</f>
        <v>4</v>
      </c>
      <c r="F36" s="7">
        <f>IFERROR(E36/10,0)</f>
        <v>0.4</v>
      </c>
    </row>
    <row r="37">
      <c r="A37" s="17" t="inlineStr">
        <is>
          <t>Q_GRID_EXPORTr2</t>
        </is>
      </c>
      <c r="B37" t="inlineStr">
        <is>
          <t>Grid second row</t>
        </is>
      </c>
      <c r="C37">
        <f>COUNTIFS(Q_GRID_EXPORTr2_data,"High",passes_workbook_filters_data,1,passes_workbook_custom_filters_data,1,All_Questions_passes_local_filters_data,1,All_Questions_Q_GRID_EXPORT_F_passes_per_q_filter_data,1)</f>
        <v>5</v>
      </c>
      <c r="D37" s="7">
        <f>IFERROR(C37/10,0)</f>
        <v>0.5</v>
      </c>
      <c r="E37">
        <f>COUNTIFS(Q_GRID_EXPORTr2_data,"Low",passes_workbook_filters_data,1,passes_workbook_custom_filters_data,1,All_Questions_passes_local_filters_data,1,All_Questions_Q_GRID_EXPORT_F_passes_per_q_filter_data,1)</f>
        <v>5</v>
      </c>
      <c r="F37" s="7">
        <f>IFERROR(E37/10,0)</f>
        <v>0.5</v>
      </c>
    </row>
    <row r="38">
      <c r="A38" s="15" t="inlineStr">
        <is>
          <t>Total respondents</t>
        </is>
      </c>
      <c r="B38" s="15" t="n">
        <v>10</v>
      </c>
      <c r="C38" s="15" t="n"/>
      <c r="D38" s="15" t="n"/>
      <c r="E38" s="15" t="n"/>
      <c r="F38" s="15" t="n"/>
    </row>
    <row r="39">
      <c r="A39" s="4" t="inlineStr">
        <is>
          <t>Total responses</t>
        </is>
      </c>
      <c r="B39" s="4" t="n">
        <v>20</v>
      </c>
      <c r="C39" s="4" t="n"/>
      <c r="D39" s="4" t="n"/>
      <c r="E39" s="4" t="n"/>
      <c r="F39" s="4" t="n"/>
    </row>
    <row r="40"/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Q_VERY_LONG_SINGLE_SELECT_EXPORT_NAME - Long sheet name export question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43" t="str">
        <f>"|" &amp; SUBSTITUTE(All_Questions_Q_VERY_LONG_SINGLE_SELECT_EXPORT_NAME_F_V, ", ", "|") &amp; "|"</f>
        <v>|(All)|</v>
      </c>
      <c r="H43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44">
      <c r="A44" s="13" t="inlineStr">
        <is>
          <t>Cross-tab by</t>
        </is>
      </c>
      <c r="C44" t="inlineStr">
        <is>
          <t>(None)</t>
        </is>
      </c>
    </row>
    <row r="45"/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</row>
    <row r="47">
      <c r="A47" t="inlineStr">
        <is>
          <t>A</t>
        </is>
      </c>
      <c r="B4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7" s="7">
        <f>IFERROR(B47/SUBTOTAL(9,B47:B48),0)</f>
        <v>0.7</v>
      </c>
      <c r="D47" s="14">
        <f>SUBTOTAL(9,B47:B48)</f>
        <v>10</v>
      </c>
    </row>
    <row r="48">
      <c r="A48" t="inlineStr">
        <is>
          <t>B</t>
        </is>
      </c>
      <c r="B4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8" s="7">
        <f>IFERROR(B48/SUBTOTAL(9,B47:B48),0)</f>
        <v>0.3</v>
      </c>
      <c r="D48" s="14">
        <f>SUBTOTAL(9,B47:B48)</f>
        <v>10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</row>
    <row r="50"/>
    <row r="51">
      <c r="A51" s="4" t="inlineStr">
        <is>
          <t>Option</t>
        </is>
      </c>
      <c r="B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51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51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51" s="4" t="inlineStr">
        <is>
          <t>Total</t>
        </is>
      </c>
    </row>
    <row r="52">
      <c r="A52" s="4" t="inlineStr"/>
      <c r="B52" s="4" t="inlineStr">
        <is>
          <t># of resp</t>
        </is>
      </c>
      <c r="C52" s="4" t="inlineStr">
        <is>
          <t># of resp</t>
        </is>
      </c>
      <c r="D52" s="4" t="inlineStr">
        <is>
          <t># of resp</t>
        </is>
      </c>
      <c r="E52" s="4" t="inlineStr">
        <is>
          <t># of resp</t>
        </is>
      </c>
      <c r="F52" s="4" t="inlineStr">
        <is>
          <t># of resp</t>
        </is>
      </c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</row>
    <row r="53">
      <c r="A53" t="inlineStr">
        <is>
          <t>A</t>
        </is>
      </c>
      <c r="B53" s="14">
        <f>IF(OR(All_Questions_Q_VERY_LONG_SINGLE_SELECT_EXPORT_NAME_CT="(None)",B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3" s="14">
        <f>IF(OR(All_Questions_Q_VERY_LONG_SINGLE_SELECT_EXPORT_NAME_CT="(None)",C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3" s="14">
        <f>IF(OR(All_Questions_Q_VERY_LONG_SINGLE_SELECT_EXPORT_NAME_CT="(None)",D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3" s="14">
        <f>IF(OR(All_Questions_Q_VERY_LONG_SINGLE_SELECT_EXPORT_NAME_CT="(None)",E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3" s="14">
        <f>IF(OR(All_Questions_Q_VERY_LONG_SINGLE_SELECT_EXPORT_NAME_CT="(None)",F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3" s="14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3" s="14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3" s="14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3" s="14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3" s="14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3" s="14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3" s="14">
        <f>IF(OR(All_Questions_Q_VERY_LONG_SINGLE_SELECT_EXPORT_NAME_CT="(None)",M$51=""),"",IF(M$51="Other",COUNTIFS(Q_VERY_LONG_SINGLE_SELECT_EXPOR_data,"A",passes_workbook_filters_data,1,passes_workbook_custom_filters_data,1,All_Questions_passes_local_filters_data,1,All_Questions_Q_VERY_LONG_SINGLE_SELECT_EXPORT_NAME_F_passes_per_q_filter_data,1)-SUM(B53,C53,D53,E53,F53,G53,H53,I53,J53,K53,L53)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3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t="inlineStr">
        <is>
          <t>B</t>
        </is>
      </c>
      <c r="B54" s="14">
        <f>IF(OR(All_Questions_Q_VERY_LONG_SINGLE_SELECT_EXPORT_NAME_CT="(None)",B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$51))</f>
        <v>0</v>
      </c>
      <c r="C54" s="14">
        <f>IF(OR(All_Questions_Q_VERY_LONG_SINGLE_SELECT_EXPORT_NAME_CT="(None)",C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$51))</f>
        <v>0</v>
      </c>
      <c r="D54" s="14">
        <f>IF(OR(All_Questions_Q_VERY_LONG_SINGLE_SELECT_EXPORT_NAME_CT="(None)",D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$51))</f>
        <v>0</v>
      </c>
      <c r="E54" s="14">
        <f>IF(OR(All_Questions_Q_VERY_LONG_SINGLE_SELECT_EXPORT_NAME_CT="(None)",E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$51))</f>
        <v>0</v>
      </c>
      <c r="F54" s="14">
        <f>IF(OR(All_Questions_Q_VERY_LONG_SINGLE_SELECT_EXPORT_NAME_CT="(None)",F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$51))</f>
        <v>0</v>
      </c>
      <c r="G54" s="1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$51))</f>
        <v>0</v>
      </c>
      <c r="H54" s="1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$51))</f>
        <v>0</v>
      </c>
      <c r="I54" s="1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$51))</f>
        <v>0</v>
      </c>
      <c r="J54" s="1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$51))</f>
        <v>0</v>
      </c>
      <c r="K54" s="1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$51))</f>
        <v>0</v>
      </c>
      <c r="L54" s="1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$51))</f>
        <v>0</v>
      </c>
      <c r="M54" s="14">
        <f>IF(OR(All_Questions_Q_VERY_LONG_SINGLE_SELECT_EXPORT_NAME_CT="(None)",M$51=""),"",IF(M$51="Other",COUNTIFS(Q_VERY_LONG_SINGLE_SELECT_EXPOR_data,"B",passes_workbook_filters_data,1,passes_workbook_custom_filters_data,1,All_Questions_passes_local_filters_data,1,All_Questions_Q_VERY_LONG_SINGLE_SELECT_EXPORT_NAME_F_passes_per_q_filter_data,1)-SUM(B54,C54,D54,E54,F54,G54,H54,I54,J54,K54,L54)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$51)))</f>
        <v>0</v>
      </c>
      <c r="N54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A55" s="4" t="inlineStr">
        <is>
          <t>Total respondents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34:F34"/>
    <mergeCell ref="C34:D34"/>
    <mergeCell ref="A1:J1"/>
  </mergeCells>
  <conditionalFormatting sqref="B2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6:D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6:F3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7:B4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7:C4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3:D5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3:E5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3:F5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4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2" showDropDown="0" showInputMessage="0" showErrorMessage="0" allowBlank="1" type="list">
      <formula1>=All_Questions</formula1>
    </dataValidation>
    <dataValidation sqref="E3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4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Demographics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Demographics_Q_MS_EXPORT_CT = B$40</t>
        </is>
      </c>
      <c r="H9">
        <f>IF(OR(Demographics_Q_MS_EXPORT_CT="(None)",B$40=""),"",IF(B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9" t="n">
        <v>0.5</v>
      </c>
      <c r="J9" t="n">
        <v>0</v>
      </c>
      <c r="K9" t="n">
        <v>0</v>
      </c>
      <c r="L9" t="inlineStr">
        <is>
          <t>2026-06-09T11:19:06.031271+00:00</t>
        </is>
      </c>
    </row>
    <row r="10">
      <c r="A10" t="inlineStr">
        <is>
          <t>Demographics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Demographics_Q_MS_EXPORT_CT = C$40</t>
        </is>
      </c>
      <c r="H10">
        <f>IF(OR(Demographics_Q_MS_EXPORT_CT="(None)",C$40=""),"",IF(C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10" t="n">
        <v>0.5</v>
      </c>
      <c r="J10" t="n">
        <v>0</v>
      </c>
      <c r="K10" t="n">
        <v>0</v>
      </c>
      <c r="L10" t="inlineStr">
        <is>
          <t>2026-06-09T11:19:06.031327+00:00</t>
        </is>
      </c>
    </row>
    <row r="11">
      <c r="A11" t="inlineStr">
        <is>
          <t>Demographics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Demographics_Q_MS_EXPORT_CT = D$40</t>
        </is>
      </c>
      <c r="H11">
        <f>IF(OR(Demographics_Q_MS_EXPORT_CT="(None)",D$40=""),"",IF(D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11" t="n">
        <v>0.5</v>
      </c>
      <c r="J11" t="n">
        <v>0</v>
      </c>
      <c r="K11" t="n">
        <v>0</v>
      </c>
      <c r="L11" t="inlineStr">
        <is>
          <t>2026-06-09T11:19:06.031369+00:00</t>
        </is>
      </c>
    </row>
    <row r="12">
      <c r="A12" t="inlineStr">
        <is>
          <t>Demographics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Demographics_Q_MS_EXPORT_CT = E$40</t>
        </is>
      </c>
      <c r="H12">
        <f>IF(OR(Demographics_Q_MS_EXPORT_CT="(None)",E$40=""),"",IF(E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12" t="n">
        <v>0.5</v>
      </c>
      <c r="J12" t="n">
        <v>0</v>
      </c>
      <c r="K12" t="n">
        <v>0</v>
      </c>
      <c r="L12" t="inlineStr">
        <is>
          <t>2026-06-09T11:19:06.031407+00:00</t>
        </is>
      </c>
    </row>
    <row r="13">
      <c r="A13" t="inlineStr">
        <is>
          <t>Demographics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Demographics_Q_MS_EXPORT_CT = F$40</t>
        </is>
      </c>
      <c r="H13">
        <f>IF(OR(Demographics_Q_MS_EXPORT_CT="(None)",F$40=""),"",IF(F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13" t="n">
        <v>0.5</v>
      </c>
      <c r="J13" t="n">
        <v>0</v>
      </c>
      <c r="K13" t="n">
        <v>0</v>
      </c>
      <c r="L13" t="inlineStr">
        <is>
          <t>2026-06-09T11:19:06.031444+00:00</t>
        </is>
      </c>
    </row>
    <row r="14">
      <c r="A14" t="inlineStr">
        <is>
          <t>Demographics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Demographics_Q_MS_EXPORT_CT = G$40</t>
        </is>
      </c>
      <c r="H14">
        <f>IF(OR(Demographics_Q_MS_EXPORT_CT="(None)",G$40=""),"",IF(G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14" t="n">
        <v>0.5</v>
      </c>
      <c r="J14" t="n">
        <v>0</v>
      </c>
      <c r="K14" t="n">
        <v>0</v>
      </c>
      <c r="L14" t="inlineStr">
        <is>
          <t>2026-06-09T11:19:06.031483+00:00</t>
        </is>
      </c>
    </row>
    <row r="15">
      <c r="A15" t="inlineStr">
        <is>
          <t>Demographics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Demographics_Q_MS_EXPORT_CT = H$40</t>
        </is>
      </c>
      <c r="H15">
        <f>IF(OR(Demographics_Q_MS_EXPORT_CT="(None)",H$40=""),"",IF(H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15" t="n">
        <v>0.5</v>
      </c>
      <c r="J15" t="n">
        <v>0</v>
      </c>
      <c r="K15" t="n">
        <v>0</v>
      </c>
      <c r="L15" t="inlineStr">
        <is>
          <t>2026-06-09T11:19:06.031521+00:00</t>
        </is>
      </c>
    </row>
    <row r="16">
      <c r="A16" t="inlineStr">
        <is>
          <t>Demographics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Demographics_Q_MS_EXPORT_CT = I$40</t>
        </is>
      </c>
      <c r="H16">
        <f>IF(OR(Demographics_Q_MS_EXPORT_CT="(None)",I$40=""),"",IF(I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16" t="n">
        <v>0.5</v>
      </c>
      <c r="J16" t="n">
        <v>0</v>
      </c>
      <c r="K16" t="n">
        <v>0</v>
      </c>
      <c r="L16" t="inlineStr">
        <is>
          <t>2026-06-09T11:19:06.031558+00:00</t>
        </is>
      </c>
    </row>
    <row r="17">
      <c r="A17" t="inlineStr">
        <is>
          <t>Demographics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Demographics_Q_MS_EXPORT_CT = J$40</t>
        </is>
      </c>
      <c r="H17">
        <f>IF(OR(Demographics_Q_MS_EXPORT_CT="(None)",J$40=""),"",IF(J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17" t="n">
        <v>0.5</v>
      </c>
      <c r="J17" t="n">
        <v>0</v>
      </c>
      <c r="K17" t="n">
        <v>0</v>
      </c>
      <c r="L17" t="inlineStr">
        <is>
          <t>2026-06-09T11:19:06.031595+00:00</t>
        </is>
      </c>
    </row>
    <row r="18">
      <c r="A18" t="inlineStr">
        <is>
          <t>Demographics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Demographics_Q_MS_EXPORT_CT = K$40</t>
        </is>
      </c>
      <c r="H18">
        <f>IF(OR(Demographics_Q_MS_EXPORT_CT="(None)",K$40=""),"",IF(K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18" t="n">
        <v>0.5</v>
      </c>
      <c r="J18" t="n">
        <v>0</v>
      </c>
      <c r="K18" t="n">
        <v>0</v>
      </c>
      <c r="L18" t="inlineStr">
        <is>
          <t>2026-06-09T11:19:06.031631+00:00</t>
        </is>
      </c>
    </row>
    <row r="19">
      <c r="A19" t="inlineStr">
        <is>
          <t>Demographics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Demographics_Q_MS_EXPORT_CT = L$40</t>
        </is>
      </c>
      <c r="H19">
        <f>IF(OR(Demographics_Q_MS_EXPORT_CT="(None)",L$40=""),"",IF(L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19" t="n">
        <v>0.5</v>
      </c>
      <c r="J19" t="n">
        <v>0</v>
      </c>
      <c r="K19" t="n">
        <v>0</v>
      </c>
      <c r="L19" t="inlineStr">
        <is>
          <t>2026-06-09T11:19:06.031668+00:00</t>
        </is>
      </c>
    </row>
    <row r="20">
      <c r="A20" t="inlineStr">
        <is>
          <t>Demographics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Demographics_Q_MS_EXPORT_CT = M$40</t>
        </is>
      </c>
      <c r="H20">
        <f>IF(OR(Demographics_Q_MS_EXPORT_CT="(None)",M$40=""),"",IF(M$40="Other","",IFERROR(COUNTIFS(Q_MS_EXPORTr1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20" t="n">
        <v>0.5</v>
      </c>
      <c r="J20" t="n">
        <v>0</v>
      </c>
      <c r="K20" t="n">
        <v>0</v>
      </c>
      <c r="L20" t="inlineStr">
        <is>
          <t>2026-06-09T11:19:06.031714+00:00</t>
        </is>
      </c>
    </row>
    <row r="21">
      <c r="A21" t="inlineStr">
        <is>
          <t>Demographics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Demographics_Q_MS_EXPORT_CT = B$40</t>
        </is>
      </c>
      <c r="H21">
        <f>IF(OR(Demographics_Q_MS_EXPORT_CT="(None)",B$40=""),"",IF(B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B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B$40)),"")))</f>
        <v>0</v>
      </c>
      <c r="I21" t="n">
        <v>0.2</v>
      </c>
      <c r="J21" t="n">
        <v>0</v>
      </c>
      <c r="K21" t="n">
        <v>0</v>
      </c>
      <c r="L21" t="inlineStr">
        <is>
          <t>2026-06-09T11:19:06.031785+00:00</t>
        </is>
      </c>
    </row>
    <row r="22">
      <c r="A22" t="inlineStr">
        <is>
          <t>Demographics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Demographics_Q_MS_EXPORT_CT = C$40</t>
        </is>
      </c>
      <c r="H22">
        <f>IF(OR(Demographics_Q_MS_EXPORT_CT="(None)",C$40=""),"",IF(C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C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C$40)),"")))</f>
        <v>0</v>
      </c>
      <c r="I22" t="n">
        <v>0.2</v>
      </c>
      <c r="J22" t="n">
        <v>0</v>
      </c>
      <c r="K22" t="n">
        <v>0</v>
      </c>
      <c r="L22" t="inlineStr">
        <is>
          <t>2026-06-09T11:19:06.031821+00:00</t>
        </is>
      </c>
    </row>
    <row r="23">
      <c r="A23" t="inlineStr">
        <is>
          <t>Demographics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Demographics_Q_MS_EXPORT_CT = D$40</t>
        </is>
      </c>
      <c r="H23">
        <f>IF(OR(Demographics_Q_MS_EXPORT_CT="(None)",D$40=""),"",IF(D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D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D$40)),"")))</f>
        <v>0</v>
      </c>
      <c r="I23" t="n">
        <v>0.2</v>
      </c>
      <c r="J23" t="n">
        <v>0</v>
      </c>
      <c r="K23" t="n">
        <v>0</v>
      </c>
      <c r="L23" t="inlineStr">
        <is>
          <t>2026-06-09T11:19:06.031857+00:00</t>
        </is>
      </c>
    </row>
    <row r="24">
      <c r="A24" t="inlineStr">
        <is>
          <t>Demographics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Demographics_Q_MS_EXPORT_CT = E$40</t>
        </is>
      </c>
      <c r="H24">
        <f>IF(OR(Demographics_Q_MS_EXPORT_CT="(None)",E$40=""),"",IF(E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E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E$40)),"")))</f>
        <v>0</v>
      </c>
      <c r="I24" t="n">
        <v>0.2</v>
      </c>
      <c r="J24" t="n">
        <v>0</v>
      </c>
      <c r="K24" t="n">
        <v>0</v>
      </c>
      <c r="L24" t="inlineStr">
        <is>
          <t>2026-06-09T11:19:06.031891+00:00</t>
        </is>
      </c>
    </row>
    <row r="25">
      <c r="A25" t="inlineStr">
        <is>
          <t>Demographics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Demographics_Q_MS_EXPORT_CT = F$40</t>
        </is>
      </c>
      <c r="H25">
        <f>IF(OR(Demographics_Q_MS_EXPORT_CT="(None)",F$40=""),"",IF(F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F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F$40)),"")))</f>
        <v>0</v>
      </c>
      <c r="I25" t="n">
        <v>0.2</v>
      </c>
      <c r="J25" t="n">
        <v>0</v>
      </c>
      <c r="K25" t="n">
        <v>0</v>
      </c>
      <c r="L25" t="inlineStr">
        <is>
          <t>2026-06-09T11:19:06.031977+00:00</t>
        </is>
      </c>
    </row>
    <row r="26">
      <c r="A26" t="inlineStr">
        <is>
          <t>Demographics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Demographics_Q_MS_EXPORT_CT = G$40</t>
        </is>
      </c>
      <c r="H26">
        <f>IF(OR(Demographics_Q_MS_EXPORT_CT="(None)",G$40=""),"",IF(G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G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G$40)),"")))</f>
        <v>0</v>
      </c>
      <c r="I26" t="n">
        <v>0.2</v>
      </c>
      <c r="J26" t="n">
        <v>0</v>
      </c>
      <c r="K26" t="n">
        <v>0</v>
      </c>
      <c r="L26" t="inlineStr">
        <is>
          <t>2026-06-09T11:19:06.032028+00:00</t>
        </is>
      </c>
    </row>
    <row r="27">
      <c r="A27" t="inlineStr">
        <is>
          <t>Demographics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Demographics_Q_MS_EXPORT_CT = H$40</t>
        </is>
      </c>
      <c r="H27">
        <f>IF(OR(Demographics_Q_MS_EXPORT_CT="(None)",H$40=""),"",IF(H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H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H$40)),"")))</f>
        <v>0</v>
      </c>
      <c r="I27" t="n">
        <v>0.2</v>
      </c>
      <c r="J27" t="n">
        <v>0</v>
      </c>
      <c r="K27" t="n">
        <v>0</v>
      </c>
      <c r="L27" t="inlineStr">
        <is>
          <t>2026-06-09T11:19:06.032069+00:00</t>
        </is>
      </c>
    </row>
    <row r="28">
      <c r="A28" t="inlineStr">
        <is>
          <t>Demographics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Demographics_Q_MS_EXPORT_CT = I$40</t>
        </is>
      </c>
      <c r="H28">
        <f>IF(OR(Demographics_Q_MS_EXPORT_CT="(None)",I$40=""),"",IF(I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I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I$40)),"")))</f>
        <v>0</v>
      </c>
      <c r="I28" t="n">
        <v>0.2</v>
      </c>
      <c r="J28" t="n">
        <v>0</v>
      </c>
      <c r="K28" t="n">
        <v>0</v>
      </c>
      <c r="L28" t="inlineStr">
        <is>
          <t>2026-06-09T11:19:06.032110+00:00</t>
        </is>
      </c>
    </row>
    <row r="29">
      <c r="A29" t="inlineStr">
        <is>
          <t>Demographics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Demographics_Q_MS_EXPORT_CT = J$40</t>
        </is>
      </c>
      <c r="H29">
        <f>IF(OR(Demographics_Q_MS_EXPORT_CT="(None)",J$40=""),"",IF(J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J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J$40)),"")))</f>
        <v>0</v>
      </c>
      <c r="I29" t="n">
        <v>0.2</v>
      </c>
      <c r="J29" t="n">
        <v>0</v>
      </c>
      <c r="K29" t="n">
        <v>0</v>
      </c>
      <c r="L29" t="inlineStr">
        <is>
          <t>2026-06-09T11:19:06.032149+00:00</t>
        </is>
      </c>
    </row>
    <row r="30">
      <c r="A30" t="inlineStr">
        <is>
          <t>Demographics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Demographics_Q_MS_EXPORT_CT = K$40</t>
        </is>
      </c>
      <c r="H30">
        <f>IF(OR(Demographics_Q_MS_EXPORT_CT="(None)",K$40=""),"",IF(K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K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K$40)),"")))</f>
        <v>0</v>
      </c>
      <c r="I30" t="n">
        <v>0.2</v>
      </c>
      <c r="J30" t="n">
        <v>0</v>
      </c>
      <c r="K30" t="n">
        <v>0</v>
      </c>
      <c r="L30" t="inlineStr">
        <is>
          <t>2026-06-09T11:19:06.032187+00:00</t>
        </is>
      </c>
    </row>
    <row r="31">
      <c r="A31" t="inlineStr">
        <is>
          <t>Demographics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Demographics_Q_MS_EXPORT_CT = L$40</t>
        </is>
      </c>
      <c r="H31">
        <f>IF(OR(Demographics_Q_MS_EXPORT_CT="(None)",L$40=""),"",IF(L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L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L$40)),"")))</f>
        <v>0</v>
      </c>
      <c r="I31" t="n">
        <v>0.2</v>
      </c>
      <c r="J31" t="n">
        <v>0</v>
      </c>
      <c r="K31" t="n">
        <v>0</v>
      </c>
      <c r="L31" t="inlineStr">
        <is>
          <t>2026-06-09T11:19:06.032224+00:00</t>
        </is>
      </c>
    </row>
    <row r="32">
      <c r="A32" t="inlineStr">
        <is>
          <t>Demographics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Demographics_Q_MS_EXPORT_CT = M$40</t>
        </is>
      </c>
      <c r="H32">
        <f>IF(OR(Demographics_Q_MS_EXPORT_CT="(None)",M$40=""),"",IF(M$40="Other","",IFERROR(COUNTIFS(Q_MS_EXPORTr2_data,"Selected",passes_workbook_filters_data,1,passes_workbook_custom_filters_data,1,Demographics_passes_local_filters_data,1,Demographics_Q_MS_EXPORT_F_passes_per_q_filter_data,1,INDIRECT(IFERROR(INDEX(Cross_Tab_Questions_Data_Names,MATCH(Demographics_Q_MS_EXPORT_CT,Cross_Tab_Questions,0)),"'_RawData'!$A:$A")),M$40)/SUMPRODUCT(--((--(Q_MS_EXPORTr1_data&lt;&gt;"")+--(Q_MS_EXPORTr2_data&lt;&gt;""))&gt;0),--(passes_workbook_filters_data=1),--(passes_workbook_custom_filters_data=1),--(Demographics_passes_local_filters_data=1),--(Demographics_Q_MS_EXPORT_F_passes_per_q_filter_data=1),--(INDIRECT(IFERROR(INDEX(Cross_Tab_Questions_Data_Names,MATCH(Demographics_Q_MS_EXPORT_CT,Cross_Tab_Questions,0)),"'_RawData'!$A:$A"))=M$40)),"")))</f>
        <v>0</v>
      </c>
      <c r="I32" t="n">
        <v>0.2</v>
      </c>
      <c r="J32" t="n">
        <v>0</v>
      </c>
      <c r="K32" t="n">
        <v>0</v>
      </c>
      <c r="L32" t="inlineStr">
        <is>
          <t>2026-06-09T11:19:06.032270+00:00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B$25</t>
        </is>
      </c>
      <c r="H33">
        <f>IF(OR(All_Questions_Q_NUM_EXPORT_CT="(None)",B$25=""),"",IF(B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$25),"")))</f>
        <v>0</v>
      </c>
      <c r="I33" t="n">
        <v>5.5</v>
      </c>
      <c r="J33" t="n">
        <v>0</v>
      </c>
      <c r="K33" t="n">
        <v>0</v>
      </c>
      <c r="L33" t="inlineStr">
        <is>
          <t>2026-06-09T11:19:06.039502+00:00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C$25</t>
        </is>
      </c>
      <c r="H34">
        <f>IF(OR(All_Questions_Q_NUM_EXPORT_CT="(None)",C$25=""),"",IF(C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$25),"")))</f>
        <v>0</v>
      </c>
      <c r="I34" t="n">
        <v>5.5</v>
      </c>
      <c r="J34" t="n">
        <v>0</v>
      </c>
      <c r="K34" t="n">
        <v>0</v>
      </c>
      <c r="L34" t="inlineStr">
        <is>
          <t>2026-06-09T11:19:06.039543+00:00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D$25</t>
        </is>
      </c>
      <c r="H35">
        <f>IF(OR(All_Questions_Q_NUM_EXPORT_CT="(None)",D$25=""),"",IF(D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$25),"")))</f>
        <v>0</v>
      </c>
      <c r="I35" t="n">
        <v>5.5</v>
      </c>
      <c r="J35" t="n">
        <v>0</v>
      </c>
      <c r="K35" t="n">
        <v>0</v>
      </c>
      <c r="L35" t="inlineStr">
        <is>
          <t>2026-06-09T11:19:06.039572+00:00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E$25</t>
        </is>
      </c>
      <c r="H36">
        <f>IF(OR(All_Questions_Q_NUM_EXPORT_CT="(None)",E$25=""),"",IF(E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$25),"")))</f>
        <v>0</v>
      </c>
      <c r="I36" t="n">
        <v>5.5</v>
      </c>
      <c r="J36" t="n">
        <v>0</v>
      </c>
      <c r="K36" t="n">
        <v>0</v>
      </c>
      <c r="L36" t="inlineStr">
        <is>
          <t>2026-06-09T11:19:06.039598+00:00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F$25</t>
        </is>
      </c>
      <c r="H37">
        <f>IF(OR(All_Questions_Q_NUM_EXPORT_CT="(None)",F$25=""),"",IF(F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$25),"")))</f>
        <v>0</v>
      </c>
      <c r="I37" t="n">
        <v>5.5</v>
      </c>
      <c r="J37" t="n">
        <v>0</v>
      </c>
      <c r="K37" t="n">
        <v>0</v>
      </c>
      <c r="L37" t="inlineStr">
        <is>
          <t>2026-06-09T11:19:06.039623+00:00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G$25</t>
        </is>
      </c>
      <c r="H38">
        <f>IF(OR(All_Questions_Q_NUM_EXPORT_CT="(None)",G$25=""),"",IF(G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$25),"")))</f>
        <v>0</v>
      </c>
      <c r="I38" t="n">
        <v>5.5</v>
      </c>
      <c r="J38" t="n">
        <v>0</v>
      </c>
      <c r="K38" t="n">
        <v>0</v>
      </c>
      <c r="L38" t="inlineStr">
        <is>
          <t>2026-06-09T11:19:06.039648+00:00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H$25</t>
        </is>
      </c>
      <c r="H39">
        <f>IF(OR(All_Questions_Q_NUM_EXPORT_CT="(None)",H$25=""),"",IF(H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$25),"")))</f>
        <v>0</v>
      </c>
      <c r="I39" t="n">
        <v>5.5</v>
      </c>
      <c r="J39" t="n">
        <v>0</v>
      </c>
      <c r="K39" t="n">
        <v>0</v>
      </c>
      <c r="L39" t="inlineStr">
        <is>
          <t>2026-06-09T11:19:06.039675+00:00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I$25</t>
        </is>
      </c>
      <c r="H40">
        <f>IF(OR(All_Questions_Q_NUM_EXPORT_CT="(None)",I$25=""),"",IF(I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$25),"")))</f>
        <v>0</v>
      </c>
      <c r="I40" t="n">
        <v>5.5</v>
      </c>
      <c r="J40" t="n">
        <v>0</v>
      </c>
      <c r="K40" t="n">
        <v>0</v>
      </c>
      <c r="L40" t="inlineStr">
        <is>
          <t>2026-06-09T11:19:06.039699+00:00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J$25</t>
        </is>
      </c>
      <c r="H41">
        <f>IF(OR(All_Questions_Q_NUM_EXPORT_CT="(None)",J$25=""),"",IF(J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$25),"")))</f>
        <v>0</v>
      </c>
      <c r="I41" t="n">
        <v>5.5</v>
      </c>
      <c r="J41" t="n">
        <v>0</v>
      </c>
      <c r="K41" t="n">
        <v>0</v>
      </c>
      <c r="L41" t="inlineStr">
        <is>
          <t>2026-06-09T11:19:06.039722+00:00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K$25</t>
        </is>
      </c>
      <c r="H42">
        <f>IF(OR(All_Questions_Q_NUM_EXPORT_CT="(None)",K$25=""),"",IF(K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$25),"")))</f>
        <v>0</v>
      </c>
      <c r="I42" t="n">
        <v>5.5</v>
      </c>
      <c r="J42" t="n">
        <v>0</v>
      </c>
      <c r="K42" t="n">
        <v>0</v>
      </c>
      <c r="L42" t="inlineStr">
        <is>
          <t>2026-06-09T11:19:06.039747+00:00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L$25</t>
        </is>
      </c>
      <c r="H43">
        <f>IF(OR(All_Questions_Q_NUM_EXPORT_CT="(None)",L$25=""),"",IF(L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$25),"")))</f>
        <v>0</v>
      </c>
      <c r="I43" t="n">
        <v>5.5</v>
      </c>
      <c r="J43" t="n">
        <v>0</v>
      </c>
      <c r="K43" t="n">
        <v>0</v>
      </c>
      <c r="L43" t="inlineStr">
        <is>
          <t>2026-06-09T11:19:06.039771+00:00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M$25</t>
        </is>
      </c>
      <c r="H44">
        <f>IF(OR(All_Questions_Q_NUM_EXPORT_CT="(None)",M$25=""),"",IF(M$25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$25),"")))</f>
        <v>0</v>
      </c>
      <c r="I44" t="n">
        <v>5.5</v>
      </c>
      <c r="J44" t="n">
        <v>0</v>
      </c>
      <c r="K44" t="n">
        <v>0</v>
      </c>
      <c r="L44" t="inlineStr">
        <is>
          <t>2026-06-09T11:19:06.039806+00:00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2026-06-09T11:19:06Z</dcterms:created>
  <dcterms:modified xmlns:dcterms="http://purl.org/dc/terms/" xmlns:xsi="http://www.w3.org/2001/XMLSchema-instance" xsi:type="dcterms:W3CDTF">2026-06-09T11:19:06Z</dcterms:modified>
</cp:coreProperties>
</file>