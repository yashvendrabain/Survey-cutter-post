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GRID_RATEDr1_data">'_RawData'!$B$2:$B$5</definedName>
    <definedName name="Q_DIRECT_NUM_data">'_RawData'!$C$2:$C$5</definedName>
    <definedName name="Q_CATEGORY_data">'_RawData'!$D$2:$D$5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_GRID_RATEDr1_options">'_Options'!$F$2:$F$5</definedName>
    <definedName name="Q_GRID_RATEDr1_local_options">'_Options'!$I$2:$I$6</definedName>
    <definedName name="Q_DIRECT_NUM_options">'_Options'!$G$2:$G$4</definedName>
    <definedName name="Q_DIRECT_NUM_local_options">'_Options'!$J$2:$J$5</definedName>
    <definedName name="Q_CATEGORY_options">'_Options'!$H$2:$H$6</definedName>
    <definedName name="Q_CATEGORY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'_RawData'!$E$2:$E$5</definedName>
    <definedName name="F_Custom1_match_data">'_RawData'!$F$2:$F$5</definedName>
    <definedName name="F_Custom2_match_data">'_RawData'!$G$2:$G$5</definedName>
    <definedName name="passes_workbook_custom_filters_data">'_RawData'!$H$2:$H$5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'_RawData'!$I$2:$I$5</definedName>
    <definedName name="All_Questions_Q_GRID_RATED_F_Q">'All Questions'!$C$13</definedName>
    <definedName name="All_Questions_Q_GRID_RATED_F_V">'All Questions'!$E$13</definedName>
    <definedName name="All_Questions_Q_GRID_RATED_F_resolved_column">'All Questions'!$F$13</definedName>
    <definedName name="All_Questions_Q_GRID_RATED_F_wrapped">'All Questions'!$G$13</definedName>
    <definedName name="All_Questions_Q_GRID_RATED_F_resolved_criteria">'All Questions'!$H$13</definedName>
    <definedName name="All_Questions_Q_GRID_RATED_F_passes_per_q_filter_data">'_RawData'!$J$2:$J$5</definedName>
    <definedName name="All_Questions_Q_DIRECT_NUM_F_Q">'All Questions'!$C$24</definedName>
    <definedName name="All_Questions_Q_DIRECT_NUM_F_V">'All Questions'!$E$24</definedName>
    <definedName name="All_Questions_Q_DIRECT_NUM_F_resolved_column">'All Questions'!$F$24</definedName>
    <definedName name="All_Questions_Q_DIRECT_NUM_F_wrapped">'All Questions'!$G$24</definedName>
    <definedName name="All_Questions_Q_DIRECT_NUM_F_resolved_criteria">'All Questions'!$H$24</definedName>
    <definedName name="All_Questions_Q_DIRECT_NUM_F_passes_per_q_filter_data">'_RawData'!$K$2:$K$5</definedName>
    <definedName name="All_Questions_Q_DIRECT_NUM_CT">'All Questions'!$C$25</definedName>
    <definedName name="All_Questions_Q_CATEGORY_F_Q">'All Questions'!$C$42</definedName>
    <definedName name="All_Questions_Q_CATEGORY_F_V">'All Questions'!$E$42</definedName>
    <definedName name="All_Questions_Q_CATEGORY_F_resolved_column">'All Questions'!$F$42</definedName>
    <definedName name="All_Questions_Q_CATEGORY_F_wrapped">'All Questions'!$G$42</definedName>
    <definedName name="All_Questions_Q_CATEGORY_F_resolved_criteria">'All Questions'!$H$42</definedName>
    <definedName name="All_Questions_Q_CATEGORY_F_passes_per_q_filter_data">'_RawData'!$L$2:$L$5</definedName>
    <definedName name="All_Questions_Q_CATEGORY_CT">'All Questions'!$C$43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B18" i="7"/>
  <c r="B19" i="7"/>
  <c r="C20" i="7"/>
  <c r="F24" i="7"/>
  <c r="G24" i="7"/>
  <c r="H24" i="7"/>
  <c r="B29" i="7"/>
  <c r="D29" i="7"/>
  <c r="B30" i="7"/>
  <c r="D30" i="7"/>
  <c r="B31" i="7"/>
  <c r="D31" i="7"/>
  <c r="D32" i="7"/>
  <c r="B35" i="7"/>
  <c r="C35" i="7"/>
  <c r="D35" i="7"/>
  <c r="E35" i="7"/>
  <c r="F35" i="7"/>
  <c r="G35" i="7"/>
  <c r="H35" i="7"/>
  <c r="I35" i="7"/>
  <c r="J35" i="7"/>
  <c r="K35" i="7"/>
  <c r="L35" i="7"/>
  <c r="M35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N38" i="7"/>
  <c r="F42" i="7"/>
  <c r="G42" i="7"/>
  <c r="H42" i="7"/>
  <c r="B46" i="7"/>
  <c r="C46" i="7"/>
  <c r="D46" i="7"/>
  <c r="B47" i="7"/>
  <c r="C47" i="7"/>
  <c r="D47" i="7"/>
  <c r="B48" i="7"/>
  <c r="C48" i="7"/>
  <c r="D48" i="7"/>
  <c r="B49" i="7"/>
  <c r="C49" i="7"/>
  <c r="D49" i="7"/>
  <c r="B52" i="7"/>
  <c r="C52" i="7"/>
  <c r="D52" i="7"/>
  <c r="E52" i="7"/>
  <c r="F52" i="7"/>
  <c r="G52" i="7"/>
  <c r="H52" i="7"/>
  <c r="I52" i="7"/>
  <c r="J52" i="7"/>
  <c r="K52" i="7"/>
  <c r="L52" i="7"/>
  <c r="M52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N58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45_1" displayName="T_All_Questions_45_1" ref="A45:D50" headerRowCount="1">
  <autoFilter ref="A45:D5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Q_GRID_RATEDr1</t>
        </is>
      </c>
      <c r="C1" t="inlineStr">
        <is>
          <t>Q_DIRECT_NUM</t>
        </is>
      </c>
      <c r="D1" t="inlineStr">
        <is>
          <t>Q_CATEGORY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All_Questions_Q_GRID_RATED_F_passes_per_q_filter</t>
        </is>
      </c>
      <c r="K1" t="inlineStr">
        <is>
          <t>All_Questions_Q_DIRECT_NUM_F_passes_per_q_filter</t>
        </is>
      </c>
      <c r="L1" t="inlineStr">
        <is>
          <t>All_Questions_Q_CATEGORY_F_passes_per_q_filter</t>
        </is>
      </c>
    </row>
    <row r="2">
      <c r="A2" t="n">
        <v>1</v>
      </c>
      <c r="B2" t="n">
        <v>4</v>
      </c>
      <c r="C2" t="n">
        <v>10.5</v>
      </c>
      <c r="D2" t="inlineStr">
        <is>
          <t>4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1)&amp;"|",("|" &amp; SUBSTITUTE(All_Questions_Q_GRID_RATED_F_resolved_criteria, ", ", "|") &amp; "|"))),1,0),0))*1</f>
        <v>1</v>
      </c>
      <c r="K2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1)&amp;"|",("|" &amp; SUBSTITUTE(All_Questions_Q_DIRECT_NUM_F_resolved_criteria, ", ", "|") &amp; "|"))),1,0),0))*1</f>
        <v>1</v>
      </c>
      <c r="L2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1)&amp;"|",("|" &amp; SUBSTITUTE(All_Questions_Q_CATEGORY_F_resolved_criteria, ", ", "|") &amp; "|"))),1,0),0))*1</f>
        <v>1</v>
      </c>
    </row>
    <row r="3">
      <c r="A3" t="n">
        <v>2</v>
      </c>
      <c r="B3" t="n">
        <v>5</v>
      </c>
      <c r="D3" t="inlineStr">
        <is>
          <t>5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2)&amp;"|",("|" &amp; SUBSTITUTE(All_Questions_Q_GRID_RATED_F_resolved_criteria, ", ", "|") &amp; "|"))),1,0),0))*1</f>
        <v>1</v>
      </c>
      <c r="K3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2)&amp;"|",("|" &amp; SUBSTITUTE(All_Questions_Q_DIRECT_NUM_F_resolved_criteria, ", ", "|") &amp; "|"))),1,0),0))*1</f>
        <v>1</v>
      </c>
      <c r="L3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2)&amp;"|",("|" &amp; SUBSTITUTE(All_Questions_Q_CATEGORY_F_resolved_criteria, ", ", "|") &amp; "|"))),1,0),0))*1</f>
        <v>1</v>
      </c>
    </row>
    <row r="4">
      <c r="A4" t="n">
        <v>3</v>
      </c>
      <c r="D4" t="inlineStr">
        <is>
          <t>N/A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3)&amp;"|",("|" &amp; SUBSTITUTE(All_Questions_Q_GRID_RATED_F_resolved_criteria, ", ", "|") &amp; "|"))),1,0),0))*1</f>
        <v>1</v>
      </c>
      <c r="K4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3)&amp;"|",("|" &amp; SUBSTITUTE(All_Questions_Q_DIRECT_NUM_F_resolved_criteria, ", ", "|") &amp; "|"))),1,0),0))*1</f>
        <v>1</v>
      </c>
      <c r="L4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3)&amp;"|",("|" &amp; SUBSTITUTE(All_Questions_Q_CATEGORY_F_resolved_criteria, ", ", "|") &amp; "|"))),1,0),0))*1</f>
        <v>1</v>
      </c>
    </row>
    <row r="5">
      <c r="A5" t="n">
        <v>4</v>
      </c>
      <c r="B5" t="n">
        <v>3</v>
      </c>
      <c r="C5" t="n">
        <v>7</v>
      </c>
      <c r="D5" t="inlineStr">
        <is>
          <t>3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4)&amp;"|",("|" &amp; SUBSTITUTE(All_Questions_Q_GRID_RATED_F_resolved_criteria, ", ", "|") &amp; "|"))),1,0),0))*1</f>
        <v>1</v>
      </c>
      <c r="K5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4)&amp;"|",("|" &amp; SUBSTITUTE(All_Questions_Q_DIRECT_NUM_F_resolved_criteria, ", ", "|") &amp; "|"))),1,0),0))*1</f>
        <v>1</v>
      </c>
      <c r="L5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4)&amp;"|",("|" &amp; SUBSTITUTE(All_Questions_Q_CATEGORY_F_resolved_criteria,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Q_GRID_RATEDr1_options</t>
        </is>
      </c>
      <c r="G1" t="inlineStr">
        <is>
          <t>Q_DIRECT_NUM_options</t>
        </is>
      </c>
      <c r="H1" t="inlineStr">
        <is>
          <t>Q_CATEGORY_options</t>
        </is>
      </c>
      <c r="I1" t="inlineStr">
        <is>
          <t>Q_GRID_RATEDr1_local_options</t>
        </is>
      </c>
      <c r="J1" t="inlineStr">
        <is>
          <t>Q_DIRECT_NUM_local_options</t>
        </is>
      </c>
      <c r="K1" t="inlineStr">
        <is>
          <t>Q_CATEGORY_local_options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Q_CATEGORY - Categorical Numeric-Looking Values</t>
        </is>
      </c>
      <c r="B3" t="inlineStr">
        <is>
          <t>(None)</t>
        </is>
      </c>
      <c r="C3" t="inlineStr">
        <is>
          <t>'_RawData'!$D$2:$D$5</t>
        </is>
      </c>
      <c r="D3" t="inlineStr">
        <is>
          <t>'_Options'!$H$2:$H$6</t>
        </is>
      </c>
      <c r="F3" t="inlineStr">
        <is>
          <t>4</t>
        </is>
      </c>
      <c r="G3" t="inlineStr">
        <is>
          <t>10.5</t>
        </is>
      </c>
      <c r="H3" t="inlineStr">
        <is>
          <t>4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Q_CATEGORY - Categorical Numeric-Looking Values</t>
        </is>
      </c>
      <c r="M3" t="inlineStr">
        <is>
          <t>'_RawData'!$D$2:$D$5</t>
        </is>
      </c>
      <c r="N3" t="inlineStr">
        <is>
          <t>'_Options'!$H$2:$H$6</t>
        </is>
      </c>
    </row>
    <row r="4">
      <c r="B4" t="inlineStr">
        <is>
          <t>Q_CATEGORY - Categorical Numeric-Looking Values</t>
        </is>
      </c>
      <c r="F4" t="inlineStr">
        <is>
          <t>5</t>
        </is>
      </c>
      <c r="G4" t="inlineStr">
        <is>
          <t>7</t>
        </is>
      </c>
      <c r="H4" t="inlineStr">
        <is>
          <t>5</t>
        </is>
      </c>
      <c r="I4" t="inlineStr">
        <is>
          <t>4</t>
        </is>
      </c>
      <c r="J4" t="inlineStr">
        <is>
          <t>10.5</t>
        </is>
      </c>
      <c r="K4" t="inlineStr">
        <is>
          <t>4</t>
        </is>
      </c>
    </row>
    <row r="5">
      <c r="F5" t="inlineStr">
        <is>
          <t>3</t>
        </is>
      </c>
      <c r="H5" t="inlineStr">
        <is>
          <t>N/A</t>
        </is>
      </c>
      <c r="I5" t="inlineStr">
        <is>
          <t>5</t>
        </is>
      </c>
      <c r="J5" t="inlineStr">
        <is>
          <t>7</t>
        </is>
      </c>
      <c r="K5" t="inlineStr">
        <is>
          <t>5</t>
        </is>
      </c>
    </row>
    <row r="6">
      <c r="H6" t="inlineStr">
        <is>
          <t>3</t>
        </is>
      </c>
      <c r="I6" t="inlineStr">
        <is>
          <t>3</t>
        </is>
      </c>
      <c r="K6" t="inlineStr">
        <is>
          <t>N/A</t>
        </is>
      </c>
    </row>
    <row r="7">
      <c r="K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6" customWidth="1" min="4" max="4"/>
    <col width="1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[Q_GRID_RATED]</t>
        </is>
      </c>
      <c r="B2" t="inlineStr">
        <is>
          <t>Q_GRID_RATED</t>
        </is>
      </c>
      <c r="C2" t="inlineStr">
        <is>
          <t>Rate importance</t>
        </is>
      </c>
      <c r="D2" t="inlineStr">
        <is>
          <t>GRID_RATED</t>
        </is>
      </c>
      <c r="E2" t="inlineStr">
        <is>
          <t>Q_GRID_RATEDr1</t>
        </is>
      </c>
      <c r="F2" t="n">
        <v>5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[Q_DIRECT_NUM]</t>
        </is>
      </c>
      <c r="B3" t="inlineStr">
        <is>
          <t>Q_DIRECT_NUM</t>
        </is>
      </c>
      <c r="C3" t="inlineStr">
        <is>
          <t>Direct numeric</t>
        </is>
      </c>
      <c r="D3" t="inlineStr">
        <is>
          <t>DIRECT_NUMERIC</t>
        </is>
      </c>
      <c r="E3" t="inlineStr">
        <is>
          <t>Q_DIRECT_NUM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[Q_CATEGORY]</t>
        </is>
      </c>
      <c r="B4" t="inlineStr">
        <is>
          <t>Q_CATEGORY</t>
        </is>
      </c>
      <c r="C4" t="inlineStr">
        <is>
          <t>Categorical numeric-looking values</t>
        </is>
      </c>
      <c r="D4" t="inlineStr">
        <is>
          <t>SINGLE_SELECT</t>
        </is>
      </c>
      <c r="E4" t="inlineStr">
        <is>
          <t>Q_CATEGORY</t>
        </is>
      </c>
      <c r="F4" t="n">
        <v>4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Q_GRID_RATED</t>
        </is>
      </c>
      <c r="B2" t="inlineStr">
        <is>
          <t>Q_GRID_RATED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1</v>
      </c>
      <c r="H2" s="7" t="n">
        <v>0.25</v>
      </c>
      <c r="I2" t="inlineStr"/>
    </row>
    <row r="3">
      <c r="A3" t="inlineStr">
        <is>
          <t>Q_DIRECT_NUM</t>
        </is>
      </c>
      <c r="B3" t="inlineStr">
        <is>
          <t>Q_DIRECT_NUM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</v>
      </c>
      <c r="G3" t="n">
        <v>2</v>
      </c>
      <c r="H3" s="7" t="n">
        <v>0.5</v>
      </c>
      <c r="I3" t="inlineStr"/>
    </row>
    <row r="4">
      <c r="A4" t="inlineStr">
        <is>
          <t>Q_CATEGORY</t>
        </is>
      </c>
      <c r="B4" t="inlineStr">
        <is>
          <t>Q_CATEGORY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4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Q_GRID_RATED - Rate importance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IFERROR(INDEX(All_Questions_Value_Data_Names,MATCH(All_Questions_Q_GRID_RATED_F_Q&amp;"|"&amp;All_Questions_Q_GRID_RATED_F_V,All_Questions_Value_Keys,0)),IFERROR(INDEX(All_Questions_Data_Names,MATCH(All_Questions_Q_GRID_RATED_F_Q,All_Questions,0)),"'_RawData'!$A:$A"))</f>
        <v>respondent_id_data</v>
      </c>
      <c r="G13" t="str">
        <f>"|" &amp; SUBSTITUTE(All_Questions_Q_GRID_RATED_F_V, ", ", "|") &amp; "|"</f>
        <v>|(All)|</v>
      </c>
      <c r="H13" t="str">
        <f>IFERROR(INDEX(All_Questions_Value_Criteria,MATCH(All_Questions_Q_GRID_RATED_F_Q&amp;"|"&amp;All_Questions_Q_GRID_RATED_F_V,All_Questions_Value_Keys,0)),All_Questions_Q_GRID_RATED_F_V)</f>
        <v>(All)</v>
      </c>
    </row>
    <row r="14">
      <c r="A14" s="14" t="inlineStr">
        <is>
          <t>Note: This question was shown to a subset. Total respondents shown: 3.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All</t>
        </is>
      </c>
    </row>
    <row r="17">
      <c r="A17" s="15" t="inlineStr">
        <is>
          <t>Q_GRID_RATEDr1</t>
        </is>
      </c>
      <c r="B17" t="inlineStr">
        <is>
          <t>Reduces time spent on key workflows</t>
        </is>
      </c>
      <c r="C17" s="16">
        <f>IFERROR(AVERAGEIFS(Q_GRID_RATEDr1_data,Q_GRID_RATEDr1_data,"&gt;=0",passes_workbook_filters_data,1,passes_workbook_custom_filters_data,1,All_Questions_passes_local_filters_data,1,All_Questions_Q_GRID_RATED_F_passes_per_q_filter_data,1),"-")</f>
        <v>4.0</v>
      </c>
    </row>
    <row r="18">
      <c r="A18" s="17" t="inlineStr">
        <is>
          <t>Total respondents</t>
        </is>
      </c>
      <c r="B18" s="18">
        <f>COUNTIFS(Q_GRID_RATEDr1_data,"&lt;&gt;",passes_workbook_filters_data,1,passes_workbook_custom_filters_data,1,All_Questions_passes_local_filters_data,1,All_Questions_Q_GRID_RATED_F_passes_per_q_filter_data,1)</f>
        <v>3</v>
      </c>
      <c r="C18" s="17" t="n"/>
    </row>
    <row r="19">
      <c r="A19" s="4" t="inlineStr">
        <is>
          <t>Total responses</t>
        </is>
      </c>
      <c r="B19" s="19">
        <f>SUM(COUNTIFS(Q_GRID_RATEDr1_data,"&lt;&gt;",passes_workbook_filters_data,1,passes_workbook_custom_filters_data,1,All_Questions_passes_local_filters_data,1,All_Questions_Q_GRID_RATED_F_passes_per_q_filter_data,1))</f>
        <v>3</v>
      </c>
      <c r="C19" s="4" t="n"/>
    </row>
    <row r="20">
      <c r="B20" s="5" t="inlineStr">
        <is>
          <t>QC check</t>
        </is>
      </c>
      <c r="C20">
        <f>B19=SUM(COUNTIFS(Q_GRID_RATEDr1_data,"&lt;&gt;",passes_workbook_filters_data,1,passes_workbook_custom_filters_data,1,All_Questions_passes_local_filters_data,1,All_Questions_Q_GRID_RATED_F_passes_per_q_filter_data,1))</f>
        <v>1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Q_DIRECT_NUM - Direct numeric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IFERROR(INDEX(All_Questions_Value_Data_Names,MATCH(All_Questions_Q_DIRECT_NUM_F_Q&amp;"|"&amp;All_Questions_Q_DIRECT_NUM_F_V,All_Questions_Value_Keys,0)),IFERROR(INDEX(All_Questions_Data_Names,MATCH(All_Questions_Q_DIRECT_NUM_F_Q,All_Questions,0)),"'_RawData'!$A:$A"))</f>
        <v>respondent_id_data</v>
      </c>
      <c r="G24" t="str">
        <f>"|" &amp; SUBSTITUTE(All_Questions_Q_DIRECT_NUM_F_V, ", ", "|") &amp; "|"</f>
        <v>|(All)|</v>
      </c>
      <c r="H24" t="str">
        <f>IFERROR(INDEX(All_Questions_Value_Criteria,MATCH(All_Questions_Q_DIRECT_NUM_F_Q&amp;"|"&amp;All_Questions_Q_DIRECT_NUM_F_V,All_Questions_Value_Keys,0)),All_Questions_Q_DIRECT_NUM_F_V)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>
      <c r="A26" s="14" t="inlineStr">
        <is>
          <t>Note: This question was shown to a subset. Total respondents shown: 2.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IFERROR(AVERAGEIFS(Q_DIRECT_NUM_data,passes_workbook_filters_data,1,passes_workbook_custom_filters_data,1,All_Questions_passes_local_filters_data,1,All_Questions_Q_DIRECT_NUM_F_passes_per_q_filter_data,1),0)</f>
        <v>8.75</v>
      </c>
      <c r="D29">
        <f>COUNTIFS(Q_DIRECT_NUM_data,"&lt;&gt;",passes_workbook_filters_data,1,passes_workbook_custom_filters_data,1,All_Questions_passes_local_filters_data,1,All_Questions_Q_DIRECT_NUM_F_passes_per_q_filter_data,1)</f>
        <v>2</v>
      </c>
    </row>
    <row r="30">
      <c r="A30" t="inlineStr">
        <is>
          <t>Min</t>
        </is>
      </c>
      <c r="B30" s="16">
        <f>IFERROR(MINIFS(Q_DIRECT_NUM_data,passes_workbook_filters_data,1,passes_workbook_custom_filters_data,1,All_Questions_passes_local_filters_data,1,All_Questions_Q_DIRECT_NUM_F_passes_per_q_filter_data,1),0)</f>
        <v>7.0</v>
      </c>
      <c r="D30">
        <f>COUNTIFS(Q_DIRECT_NUM_data,"&lt;&gt;",passes_workbook_filters_data,1,passes_workbook_custom_filters_data,1,All_Questions_passes_local_filters_data,1,All_Questions_Q_DIRECT_NUM_F_passes_per_q_filter_data,1)</f>
        <v>2</v>
      </c>
    </row>
    <row r="31">
      <c r="A31" t="inlineStr">
        <is>
          <t>Max</t>
        </is>
      </c>
      <c r="B31" s="16">
        <f>IFERROR(MAXIFS(Q_DIRECT_NUM_data,passes_workbook_filters_data,1,passes_workbook_custom_filters_data,1,All_Questions_passes_local_filters_data,1,All_Questions_Q_DIRECT_NUM_F_passes_per_q_filter_data,1),0)</f>
        <v>10.5</v>
      </c>
      <c r="D31">
        <f>COUNTIFS(Q_DIRECT_NUM_data,"&lt;&gt;",passes_workbook_filters_data,1,passes_workbook_custom_filters_data,1,All_Questions_passes_local_filters_data,1,All_Questions_Q_DIRECT_NUM_F_passes_per_q_filter_data,1)</f>
        <v>2</v>
      </c>
    </row>
    <row r="32">
      <c r="A32" t="inlineStr">
        <is>
          <t>Std</t>
        </is>
      </c>
      <c r="B32" s="16" t="n">
        <v>2.4749</v>
      </c>
      <c r="C32" t="inlineStr">
        <is>
          <t>static baseline</t>
        </is>
      </c>
      <c r="D32">
        <f>COUNTIFS(Q_DIRECT_NUM_data,"&lt;&gt;",passes_workbook_filters_data,1,passes_workbook_custom_filters_data,1,All_Questions_passes_local_filters_data,1,All_Questions_Q_DIRECT_NUM_F_passes_per_q_filter_data,1)</f>
        <v>2</v>
      </c>
    </row>
    <row r="33">
      <c r="A33" t="inlineStr">
        <is>
          <t>Median</t>
        </is>
      </c>
      <c r="B33" s="16" t="n">
        <v>8.75</v>
      </c>
      <c r="C33" t="inlineStr">
        <is>
          <t>static baseline</t>
        </is>
      </c>
      <c r="D33" s="20" t="n">
        <v>2</v>
      </c>
    </row>
    <row r="34"/>
    <row r="35">
      <c r="A35" s="4" t="inlineStr">
        <is>
          <t>Option</t>
        </is>
      </c>
      <c r="B35" s="2" t="str">
        <f>IF(All_Questions_Q_DIRECT_NUM_CT="(None)","",IFERROR(INDEX(INDIRECT(IFERROR(INDEX(Cross_Tab_Questions_Options_Names,MATCH(All_Questions_Q_DIRECT_NUM_CT,Cross_Tab_Questions,0)),"'_Options'!$E$2:$E$2")),2),""))</f>
        <v/>
      </c>
      <c r="C35" s="2" t="str">
        <f>IF(All_Questions_Q_DIRECT_NUM_CT="(None)","",IFERROR(INDEX(INDIRECT(IFERROR(INDEX(Cross_Tab_Questions_Options_Names,MATCH(All_Questions_Q_DIRECT_NUM_CT,Cross_Tab_Questions,0)),"'_Options'!$E$2:$E$2")),3),""))</f>
        <v/>
      </c>
      <c r="D35" s="2" t="str">
        <f>IF(All_Questions_Q_DIRECT_NUM_CT="(None)","",IFERROR(INDEX(INDIRECT(IFERROR(INDEX(Cross_Tab_Questions_Options_Names,MATCH(All_Questions_Q_DIRECT_NUM_CT,Cross_Tab_Questions,0)),"'_Options'!$E$2:$E$2")),4),""))</f>
        <v/>
      </c>
      <c r="E35" s="2" t="str">
        <f>IF(All_Questions_Q_DIRECT_NUM_CT="(None)","",IFERROR(INDEX(INDIRECT(IFERROR(INDEX(Cross_Tab_Questions_Options_Names,MATCH(All_Questions_Q_DIRECT_NUM_CT,Cross_Tab_Questions,0)),"'_Options'!$E$2:$E$2")),5),""))</f>
        <v/>
      </c>
      <c r="F35" s="2" t="str">
        <f>IF(All_Questions_Q_DIRECT_NUM_CT="(None)","",IFERROR(INDEX(INDIRECT(IFERROR(INDEX(Cross_Tab_Questions_Options_Names,MATCH(All_Questions_Q_DIRECT_NUM_CT,Cross_Tab_Questions,0)),"'_Options'!$E$2:$E$2")),6),""))</f>
        <v/>
      </c>
      <c r="G35" s="2" t="str">
        <f>IF(All_Questions_Q_DIRECT_NUM_CT="(None)","",IFERROR(INDEX(INDIRECT(IFERROR(INDEX(Cross_Tab_Questions_Options_Names,MATCH(All_Questions_Q_DIRECT_NUM_CT,Cross_Tab_Questions,0)),"'_Options'!$E$2:$E$2")),7),""))</f>
        <v/>
      </c>
      <c r="H35" s="2" t="str">
        <f>IF(All_Questions_Q_DIRECT_NUM_CT="(None)","",IFERROR(INDEX(INDIRECT(IFERROR(INDEX(Cross_Tab_Questions_Options_Names,MATCH(All_Questions_Q_DIRECT_NUM_CT,Cross_Tab_Questions,0)),"'_Options'!$E$2:$E$2")),8),""))</f>
        <v/>
      </c>
      <c r="I35" s="2" t="str">
        <f>IF(All_Questions_Q_DIRECT_NUM_CT="(None)","",IFERROR(INDEX(INDIRECT(IFERROR(INDEX(Cross_Tab_Questions_Options_Names,MATCH(All_Questions_Q_DIRECT_NUM_CT,Cross_Tab_Questions,0)),"'_Options'!$E$2:$E$2")),9),""))</f>
        <v/>
      </c>
      <c r="J35" s="2" t="str">
        <f>IF(All_Questions_Q_DIRECT_NUM_CT="(None)","",IFERROR(INDEX(INDIRECT(IFERROR(INDEX(Cross_Tab_Questions_Options_Names,MATCH(All_Questions_Q_DIRECT_NUM_CT,Cross_Tab_Questions,0)),"'_Options'!$E$2:$E$2")),10),""))</f>
        <v/>
      </c>
      <c r="K35" s="2" t="str">
        <f>IF(All_Questions_Q_DIRECT_NUM_CT="(None)","",IFERROR(INDEX(INDIRECT(IFERROR(INDEX(Cross_Tab_Questions_Options_Names,MATCH(All_Questions_Q_DIRECT_NUM_CT,Cross_Tab_Questions,0)),"'_Options'!$E$2:$E$2")),11),""))</f>
        <v/>
      </c>
      <c r="L35" s="2" t="str">
        <f>IF(All_Questions_Q_DIRECT_NUM_CT="(None)","",IFERROR(INDEX(INDIRECT(IFERROR(INDEX(Cross_Tab_Questions_Options_Names,MATCH(All_Questions_Q_DIRECT_NUM_CT,Cross_Tab_Questions,0)),"'_Options'!$E$2:$E$2")),12),""))</f>
        <v/>
      </c>
      <c r="M35" s="2" t="str">
        <f>IF(All_Questions_Q_DIRECT_NUM_CT="(None)","",IF(COUNTA(INDIRECT(IFERROR(INDEX(Cross_Tab_Questions_Options_Names,MATCH(All_Questions_Q_DIRECT_NUM_CT,Cross_Tab_Questions,0)),"'_Options'!$E$2:$E$2")))-1&gt;11,"Other",IFERROR(INDEX(INDIRECT(IFERROR(INDEX(Cross_Tab_Questions_Options_Names,MATCH(All_Questions_Q_DIRECT_NUM_CT,Cross_Tab_Questions,0)),"'_Options'!$E$2:$E$2")),13),"")))</f>
        <v/>
      </c>
      <c r="N35" s="4" t="inlineStr">
        <is>
          <t>Total</t>
        </is>
      </c>
    </row>
    <row r="36">
      <c r="A36" s="4" t="inlineStr"/>
      <c r="B36" s="4" t="inlineStr">
        <is>
          <t>Mean</t>
        </is>
      </c>
      <c r="C36" s="4" t="inlineStr">
        <is>
          <t>Mean</t>
        </is>
      </c>
      <c r="D36" s="4" t="inlineStr">
        <is>
          <t>Mean</t>
        </is>
      </c>
      <c r="E36" s="4" t="inlineStr">
        <is>
          <t>Mean</t>
        </is>
      </c>
      <c r="F36" s="4" t="inlineStr">
        <is>
          <t>Mean</t>
        </is>
      </c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</row>
    <row r="37">
      <c r="A37" t="inlineStr">
        <is>
          <t>Direct numeric</t>
        </is>
      </c>
      <c r="B37" s="16">
        <f>IF(OR(All_Questions_Q_DIRECT_NUM_CT="(None)",B$35=""),"",IF(B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B$35),"")))</f>
        <v>8.75</v>
      </c>
      <c r="C37" s="16">
        <f>IF(OR(All_Questions_Q_DIRECT_NUM_CT="(None)",C$35=""),"",IF(C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C$35),"")))</f>
        <v>8.75</v>
      </c>
      <c r="D37" s="16">
        <f>IF(OR(All_Questions_Q_DIRECT_NUM_CT="(None)",D$35=""),"",IF(D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D$35),"")))</f>
        <v>8.75</v>
      </c>
      <c r="E37" s="16">
        <f>IF(OR(All_Questions_Q_DIRECT_NUM_CT="(None)",E$35=""),"",IF(E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E$35),"")))</f>
        <v>8.75</v>
      </c>
      <c r="F37" s="16">
        <f>IF(OR(All_Questions_Q_DIRECT_NUM_CT="(None)",F$35=""),"",IF(F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F$35),"")))</f>
        <v>8.75</v>
      </c>
      <c r="G37" s="16">
        <f>IF(OR(All_Questions_Q_DIRECT_NUM_CT="(None)",G$35=""),"",IF(G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$35),"")))</f>
        <v>8.75</v>
      </c>
      <c r="H37" s="16">
        <f>IF(OR(All_Questions_Q_DIRECT_NUM_CT="(None)",H$35=""),"",IF(H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$35),"")))</f>
        <v>8.75</v>
      </c>
      <c r="I37" s="16">
        <f>IF(OR(All_Questions_Q_DIRECT_NUM_CT="(None)",I$35=""),"",IF(I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$35),"")))</f>
        <v>8.75</v>
      </c>
      <c r="J37" s="16">
        <f>IF(OR(All_Questions_Q_DIRECT_NUM_CT="(None)",J$35=""),"",IF(J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$35),"")))</f>
        <v>8.75</v>
      </c>
      <c r="K37" s="16">
        <f>IF(OR(All_Questions_Q_DIRECT_NUM_CT="(None)",K$35=""),"",IF(K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$35),"")))</f>
        <v>8.75</v>
      </c>
      <c r="L37" s="16">
        <f>IF(OR(All_Questions_Q_DIRECT_NUM_CT="(None)",L$35=""),"",IF(L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$35),"")))</f>
        <v>8.75</v>
      </c>
      <c r="M37" s="16">
        <f>IF(OR(All_Questions_Q_DIRECT_NUM_CT="(None)",M$35=""),"",IF(M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$35),"")))</f>
        <v>8.75</v>
      </c>
      <c r="N37" s="16">
        <f>IF(All_Questions_Q_DIRECT_NUM_CT="(None)","",IFERROR(AVERAGEIFS(Q_DIRECT_NUM_data,Q_DIRECT_NUM_data,"&lt;&gt;",passes_workbook_filters_data,1,passes_workbook_custom_filters_data,1,All_Questions_passes_local_filters_data,1,All_Questions_Q_DIRECT_NUM_F_passes_per_q_filter_data,1),""))</f>
        <v>8.75</v>
      </c>
    </row>
    <row r="38">
      <c r="A38" s="4" t="inlineStr">
        <is>
          <t>Total respondents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>
        <f>IF(All_Questions_Q_DIRECT_NUM_CT="(None)","",COUNTIFS(respondent_id_data,"&lt;&gt;",passes_workbook_filters_data,1,passes_workbook_custom_filters_data,1,All_Questions_passes_local_filters_data,1,All_Questions_Q_DIRECT_NUM_F_passes_per_q_filter_data,1))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Q_CATEGORY - Categorical numeric-looking values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IFERROR(INDEX(All_Questions_Value_Data_Names,MATCH(All_Questions_Q_CATEGORY_F_Q&amp;"|"&amp;All_Questions_Q_CATEGORY_F_V,All_Questions_Value_Keys,0)),IFERROR(INDEX(All_Questions_Data_Names,MATCH(All_Questions_Q_CATEGORY_F_Q,All_Questions,0)),"'_RawData'!$A:$A"))</f>
        <v>respondent_id_data</v>
      </c>
      <c r="G42" t="str">
        <f>"|" &amp; SUBSTITUTE(All_Questions_Q_CATEGORY_F_V, ", ", "|") &amp; "|"</f>
        <v>|(All)|</v>
      </c>
      <c r="H42" t="str">
        <f>IFERROR(INDEX(All_Questions_Value_Criteria,MATCH(All_Questions_Q_CATEGORY_F_Q&amp;"|"&amp;All_Questions_Q_CATEGORY_F_V,All_Questions_Value_Keys,0)),All_Questions_Q_CATEGORY_F_V)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Option</t>
        </is>
      </c>
      <c r="B45" s="4" t="inlineStr">
        <is>
          <t>Count</t>
        </is>
      </c>
      <c r="C45" s="4" t="inlineStr">
        <is>
          <t>%</t>
        </is>
      </c>
      <c r="D45" s="4" t="inlineStr">
        <is>
          <t>Denominator</t>
        </is>
      </c>
    </row>
    <row r="46">
      <c r="A46" t="inlineStr">
        <is>
          <t>4</t>
        </is>
      </c>
      <c r="B46">
        <f>COUNTIFS(Q_CATEGORY_data,"4",passes_workbook_filters_data,1,passes_workbook_custom_filters_data,1,All_Questions_passes_local_filters_data,1,All_Questions_Q_CATEGORY_F_passes_per_q_filter_data,1)</f>
        <v>1</v>
      </c>
      <c r="C46" s="7">
        <f>IFERROR(B46/SUBTOTAL(9,B46:B49),0)</f>
        <v>0.25</v>
      </c>
      <c r="D46" s="20">
        <f>SUBTOTAL(9,B46:B49)</f>
        <v>4</v>
      </c>
    </row>
    <row r="47">
      <c r="A47" t="inlineStr">
        <is>
          <t>5</t>
        </is>
      </c>
      <c r="B47">
        <f>COUNTIFS(Q_CATEGORY_data,"5",passes_workbook_filters_data,1,passes_workbook_custom_filters_data,1,All_Questions_passes_local_filters_data,1,All_Questions_Q_CATEGORY_F_passes_per_q_filter_data,1)</f>
        <v>1</v>
      </c>
      <c r="C47" s="7">
        <f>IFERROR(B47/SUBTOTAL(9,B46:B49),0)</f>
        <v>0.25</v>
      </c>
      <c r="D47" s="20">
        <f>SUBTOTAL(9,B46:B49)</f>
        <v>4</v>
      </c>
    </row>
    <row r="48">
      <c r="A48" t="inlineStr">
        <is>
          <t>N/A</t>
        </is>
      </c>
      <c r="B48">
        <f>COUNTIFS(Q_CATEGORY_data,"N/A",passes_workbook_filters_data,1,passes_workbook_custom_filters_data,1,All_Questions_passes_local_filters_data,1,All_Questions_Q_CATEGORY_F_passes_per_q_filter_data,1)</f>
        <v>1</v>
      </c>
      <c r="C48" s="7">
        <f>IFERROR(B48/SUBTOTAL(9,B46:B49),0)</f>
        <v>0.25</v>
      </c>
      <c r="D48" s="20">
        <f>SUBTOTAL(9,B46:B49)</f>
        <v>4</v>
      </c>
    </row>
    <row r="49">
      <c r="A49" t="inlineStr">
        <is>
          <t>3</t>
        </is>
      </c>
      <c r="B49">
        <f>COUNTIFS(Q_CATEGORY_data,"3",passes_workbook_filters_data,1,passes_workbook_custom_filters_data,1,All_Questions_passes_local_filters_data,1,All_Questions_Q_CATEGORY_F_passes_per_q_filter_data,1)</f>
        <v>1</v>
      </c>
      <c r="C49" s="7">
        <f>IFERROR(B49/SUBTOTAL(9,B46:B49),0)</f>
        <v>0.25</v>
      </c>
      <c r="D49" s="20">
        <f>SUBTOTAL(9,B46:B49)</f>
        <v>4</v>
      </c>
    </row>
    <row r="50">
      <c r="A50" s="17" t="inlineStr">
        <is>
          <t>Total respondents</t>
        </is>
      </c>
      <c r="B50" s="17" t="n">
        <v>4</v>
      </c>
      <c r="C50" s="17" t="n"/>
      <c r="D50" s="17" t="n"/>
    </row>
    <row r="51"/>
    <row r="52">
      <c r="A52" s="4" t="inlineStr">
        <is>
          <t>Option</t>
        </is>
      </c>
      <c r="B52" s="2" t="str">
        <f>IF(All_Questions_Q_CATEGORY_CT="(None)","",IFERROR(INDEX(INDIRECT(IFERROR(INDEX(Cross_Tab_Questions_Options_Names,MATCH(All_Questions_Q_CATEGORY_CT,Cross_Tab_Questions,0)),"'_Options'!$E$2:$E$2")),2),""))</f>
        <v/>
      </c>
      <c r="C52" s="2" t="str">
        <f>IF(All_Questions_Q_CATEGORY_CT="(None)","",IFERROR(INDEX(INDIRECT(IFERROR(INDEX(Cross_Tab_Questions_Options_Names,MATCH(All_Questions_Q_CATEGORY_CT,Cross_Tab_Questions,0)),"'_Options'!$E$2:$E$2")),3),""))</f>
        <v/>
      </c>
      <c r="D52" s="2" t="str">
        <f>IF(All_Questions_Q_CATEGORY_CT="(None)","",IFERROR(INDEX(INDIRECT(IFERROR(INDEX(Cross_Tab_Questions_Options_Names,MATCH(All_Questions_Q_CATEGORY_CT,Cross_Tab_Questions,0)),"'_Options'!$E$2:$E$2")),4),""))</f>
        <v/>
      </c>
      <c r="E52" s="2" t="str">
        <f>IF(All_Questions_Q_CATEGORY_CT="(None)","",IFERROR(INDEX(INDIRECT(IFERROR(INDEX(Cross_Tab_Questions_Options_Names,MATCH(All_Questions_Q_CATEGORY_CT,Cross_Tab_Questions,0)),"'_Options'!$E$2:$E$2")),5),""))</f>
        <v/>
      </c>
      <c r="F52" s="2" t="str">
        <f>IF(All_Questions_Q_CATEGORY_CT="(None)","",IFERROR(INDEX(INDIRECT(IFERROR(INDEX(Cross_Tab_Questions_Options_Names,MATCH(All_Questions_Q_CATEGORY_CT,Cross_Tab_Questions,0)),"'_Options'!$E$2:$E$2")),6),""))</f>
        <v/>
      </c>
      <c r="G52" s="2" t="str">
        <f>IF(All_Questions_Q_CATEGORY_CT="(None)","",IFERROR(INDEX(INDIRECT(IFERROR(INDEX(Cross_Tab_Questions_Options_Names,MATCH(All_Questions_Q_CATEGORY_CT,Cross_Tab_Questions,0)),"'_Options'!$E$2:$E$2")),7),""))</f>
        <v/>
      </c>
      <c r="H52" s="2" t="str">
        <f>IF(All_Questions_Q_CATEGORY_CT="(None)","",IFERROR(INDEX(INDIRECT(IFERROR(INDEX(Cross_Tab_Questions_Options_Names,MATCH(All_Questions_Q_CATEGORY_CT,Cross_Tab_Questions,0)),"'_Options'!$E$2:$E$2")),8),""))</f>
        <v/>
      </c>
      <c r="I52" s="2" t="str">
        <f>IF(All_Questions_Q_CATEGORY_CT="(None)","",IFERROR(INDEX(INDIRECT(IFERROR(INDEX(Cross_Tab_Questions_Options_Names,MATCH(All_Questions_Q_CATEGORY_CT,Cross_Tab_Questions,0)),"'_Options'!$E$2:$E$2")),9),""))</f>
        <v/>
      </c>
      <c r="J52" s="2" t="str">
        <f>IF(All_Questions_Q_CATEGORY_CT="(None)","",IFERROR(INDEX(INDIRECT(IFERROR(INDEX(Cross_Tab_Questions_Options_Names,MATCH(All_Questions_Q_CATEGORY_CT,Cross_Tab_Questions,0)),"'_Options'!$E$2:$E$2")),10),""))</f>
        <v/>
      </c>
      <c r="K52" s="2" t="str">
        <f>IF(All_Questions_Q_CATEGORY_CT="(None)","",IFERROR(INDEX(INDIRECT(IFERROR(INDEX(Cross_Tab_Questions_Options_Names,MATCH(All_Questions_Q_CATEGORY_CT,Cross_Tab_Questions,0)),"'_Options'!$E$2:$E$2")),11),""))</f>
        <v/>
      </c>
      <c r="L52" s="2" t="str">
        <f>IF(All_Questions_Q_CATEGORY_CT="(None)","",IFERROR(INDEX(INDIRECT(IFERROR(INDEX(Cross_Tab_Questions_Options_Names,MATCH(All_Questions_Q_CATEGORY_CT,Cross_Tab_Questions,0)),"'_Options'!$E$2:$E$2")),12),""))</f>
        <v/>
      </c>
      <c r="M52" s="2" t="str">
        <f>IF(All_Questions_Q_CATEGORY_CT="(None)","",IF(COUNTA(INDIRECT(IFERROR(INDEX(Cross_Tab_Questions_Options_Names,MATCH(All_Questions_Q_CATEGORY_CT,Cross_Tab_Questions,0)),"'_Options'!$E$2:$E$2")))-1&gt;11,"Other",IFERROR(INDEX(INDIRECT(IFERROR(INDEX(Cross_Tab_Questions_Options_Names,MATCH(All_Questions_Q_CATEGORY_CT,Cross_Tab_Questions,0)),"'_Options'!$E$2:$E$2")),13),"")))</f>
        <v/>
      </c>
      <c r="N52" s="4" t="inlineStr">
        <is>
          <t>Total</t>
        </is>
      </c>
    </row>
    <row r="53">
      <c r="A53" s="4" t="inlineStr"/>
      <c r="B53" s="4" t="inlineStr">
        <is>
          <t># of resp</t>
        </is>
      </c>
      <c r="C53" s="4" t="inlineStr">
        <is>
          <t># of resp</t>
        </is>
      </c>
      <c r="D53" s="4" t="inlineStr">
        <is>
          <t># of resp</t>
        </is>
      </c>
      <c r="E53" s="4" t="inlineStr">
        <is>
          <t># of resp</t>
        </is>
      </c>
      <c r="F53" s="4" t="inlineStr">
        <is>
          <t># of resp</t>
        </is>
      </c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</row>
    <row r="54">
      <c r="A54" t="inlineStr">
        <is>
          <t>4</t>
        </is>
      </c>
      <c r="B54" s="20">
        <f>IF(OR(All_Questions_Q_CATEGORY_CT="(None)",B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4" s="20">
        <f>IF(OR(All_Questions_Q_CATEGORY_CT="(None)",C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4" s="20">
        <f>IF(OR(All_Questions_Q_CATEGORY_CT="(None)",D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4" s="20">
        <f>IF(OR(All_Questions_Q_CATEGORY_CT="(None)",E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4" s="20">
        <f>IF(OR(All_Questions_Q_CATEGORY_CT="(None)",F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4" s="20">
        <f>IF(OR(All_Questions_Q_CATEGORY_CT="(None)",G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4" s="20">
        <f>IF(OR(All_Questions_Q_CATEGORY_CT="(None)",H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4" s="20">
        <f>IF(OR(All_Questions_Q_CATEGORY_CT="(None)",I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4" s="20">
        <f>IF(OR(All_Questions_Q_CATEGORY_CT="(None)",J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4" s="20">
        <f>IF(OR(All_Questions_Q_CATEGORY_CT="(None)",K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4" s="20">
        <f>IF(OR(All_Questions_Q_CATEGORY_CT="(None)",L$52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4" s="20">
        <f>IF(OR(All_Questions_Q_CATEGORY_CT="(None)",M$52=""),"",IF(M$52="Other",COUNTIFS(Q_CATEGORY_data,"4",passes_workbook_filters_data,1,passes_workbook_custom_filters_data,1,All_Questions_passes_local_filters_data,1,All_Questions_Q_CATEGORY_F_passes_per_q_filter_data,1)-SUM(B54,C54,D54,E54,F54,G54,H54,I54,J54,K54,L54)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4" s="20">
        <f>IF(All_Questions_Q_CATEGORY_CT="(None)","",COUNTIFS(Q_CATEGORY_data,"4",passes_workbook_filters_data,1,passes_workbook_custom_filters_data,1,All_Questions_passes_local_filters_data,1,All_Questions_Q_CATEGORY_F_passes_per_q_filter_data,1))</f>
        <v>0</v>
      </c>
    </row>
    <row r="55">
      <c r="A55" t="inlineStr">
        <is>
          <t>5</t>
        </is>
      </c>
      <c r="B55" s="20">
        <f>IF(OR(All_Questions_Q_CATEGORY_CT="(None)",B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5" s="20">
        <f>IF(OR(All_Questions_Q_CATEGORY_CT="(None)",C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5" s="20">
        <f>IF(OR(All_Questions_Q_CATEGORY_CT="(None)",D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5" s="20">
        <f>IF(OR(All_Questions_Q_CATEGORY_CT="(None)",E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5" s="20">
        <f>IF(OR(All_Questions_Q_CATEGORY_CT="(None)",F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5" s="20">
        <f>IF(OR(All_Questions_Q_CATEGORY_CT="(None)",G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5" s="20">
        <f>IF(OR(All_Questions_Q_CATEGORY_CT="(None)",H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5" s="20">
        <f>IF(OR(All_Questions_Q_CATEGORY_CT="(None)",I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5" s="20">
        <f>IF(OR(All_Questions_Q_CATEGORY_CT="(None)",J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5" s="20">
        <f>IF(OR(All_Questions_Q_CATEGORY_CT="(None)",K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5" s="20">
        <f>IF(OR(All_Questions_Q_CATEGORY_CT="(None)",L$52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5" s="20">
        <f>IF(OR(All_Questions_Q_CATEGORY_CT="(None)",M$52=""),"",IF(M$52="Other",COUNTIFS(Q_CATEGORY_data,"5",passes_workbook_filters_data,1,passes_workbook_custom_filters_data,1,All_Questions_passes_local_filters_data,1,All_Questions_Q_CATEGORY_F_passes_per_q_filter_data,1)-SUM(B55,C55,D55,E55,F55,G55,H55,I55,J55,K55,L55)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5" s="20">
        <f>IF(All_Questions_Q_CATEGORY_CT="(None)","",COUNTIFS(Q_CATEGORY_data,"5",passes_workbook_filters_data,1,passes_workbook_custom_filters_data,1,All_Questions_passes_local_filters_data,1,All_Questions_Q_CATEGORY_F_passes_per_q_filter_data,1))</f>
        <v>0</v>
      </c>
    </row>
    <row r="56">
      <c r="A56" t="inlineStr">
        <is>
          <t>N/A</t>
        </is>
      </c>
      <c r="B56" s="20">
        <f>IF(OR(All_Questions_Q_CATEGORY_CT="(None)",B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6" s="20">
        <f>IF(OR(All_Questions_Q_CATEGORY_CT="(None)",C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6" s="20">
        <f>IF(OR(All_Questions_Q_CATEGORY_CT="(None)",D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6" s="20">
        <f>IF(OR(All_Questions_Q_CATEGORY_CT="(None)",E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6" s="20">
        <f>IF(OR(All_Questions_Q_CATEGORY_CT="(None)",F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6" s="20">
        <f>IF(OR(All_Questions_Q_CATEGORY_CT="(None)",G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6" s="20">
        <f>IF(OR(All_Questions_Q_CATEGORY_CT="(None)",H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6" s="20">
        <f>IF(OR(All_Questions_Q_CATEGORY_CT="(None)",I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6" s="20">
        <f>IF(OR(All_Questions_Q_CATEGORY_CT="(None)",J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6" s="20">
        <f>IF(OR(All_Questions_Q_CATEGORY_CT="(None)",K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6" s="20">
        <f>IF(OR(All_Questions_Q_CATEGORY_CT="(None)",L$52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6" s="20">
        <f>IF(OR(All_Questions_Q_CATEGORY_CT="(None)",M$52=""),"",IF(M$52="Other",COUNTIFS(Q_CATEGORY_data,"N/A",passes_workbook_filters_data,1,passes_workbook_custom_filters_data,1,All_Questions_passes_local_filters_data,1,All_Questions_Q_CATEGORY_F_passes_per_q_filter_data,1)-SUM(B56,C56,D56,E56,F56,G56,H56,I56,J56,K56,L56)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6" s="20">
        <f>IF(All_Questions_Q_CATEGORY_CT="(None)","",COUNTIFS(Q_CATEGORY_data,"N/A",passes_workbook_filters_data,1,passes_workbook_custom_filters_data,1,All_Questions_passes_local_filters_data,1,All_Questions_Q_CATEGORY_F_passes_per_q_filter_data,1))</f>
        <v>0</v>
      </c>
    </row>
    <row r="57">
      <c r="A57" t="inlineStr">
        <is>
          <t>3</t>
        </is>
      </c>
      <c r="B57" s="20">
        <f>IF(OR(All_Questions_Q_CATEGORY_CT="(None)",B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B$52))</f>
        <v>0</v>
      </c>
      <c r="C57" s="20">
        <f>IF(OR(All_Questions_Q_CATEGORY_CT="(None)",C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C$52))</f>
        <v>0</v>
      </c>
      <c r="D57" s="20">
        <f>IF(OR(All_Questions_Q_CATEGORY_CT="(None)",D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D$52))</f>
        <v>0</v>
      </c>
      <c r="E57" s="20">
        <f>IF(OR(All_Questions_Q_CATEGORY_CT="(None)",E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E$52))</f>
        <v>0</v>
      </c>
      <c r="F57" s="20">
        <f>IF(OR(All_Questions_Q_CATEGORY_CT="(None)",F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F$52))</f>
        <v>0</v>
      </c>
      <c r="G57" s="20">
        <f>IF(OR(All_Questions_Q_CATEGORY_CT="(None)",G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$52))</f>
        <v>0</v>
      </c>
      <c r="H57" s="20">
        <f>IF(OR(All_Questions_Q_CATEGORY_CT="(None)",H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$52))</f>
        <v>0</v>
      </c>
      <c r="I57" s="20">
        <f>IF(OR(All_Questions_Q_CATEGORY_CT="(None)",I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$52))</f>
        <v>0</v>
      </c>
      <c r="J57" s="20">
        <f>IF(OR(All_Questions_Q_CATEGORY_CT="(None)",J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$52))</f>
        <v>0</v>
      </c>
      <c r="K57" s="20">
        <f>IF(OR(All_Questions_Q_CATEGORY_CT="(None)",K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$52))</f>
        <v>0</v>
      </c>
      <c r="L57" s="20">
        <f>IF(OR(All_Questions_Q_CATEGORY_CT="(None)",L$52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$52))</f>
        <v>0</v>
      </c>
      <c r="M57" s="20">
        <f>IF(OR(All_Questions_Q_CATEGORY_CT="(None)",M$52=""),"",IF(M$52="Other",COUNTIFS(Q_CATEGORY_data,"3",passes_workbook_filters_data,1,passes_workbook_custom_filters_data,1,All_Questions_passes_local_filters_data,1,All_Questions_Q_CATEGORY_F_passes_per_q_filter_data,1)-SUM(B57,C57,D57,E57,F57,G57,H57,I57,J57,K57,L57)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$52)))</f>
        <v>0</v>
      </c>
      <c r="N57" s="20">
        <f>IF(All_Questions_Q_CATEGORY_CT="(None)","",COUNTIFS(Q_CATEGORY_data,"3",passes_workbook_filters_data,1,passes_workbook_custom_filters_data,1,All_Questions_passes_local_filters_data,1,All_Questions_Q_CATEGORY_F_passes_per_q_filter_data,1))</f>
        <v>0</v>
      </c>
    </row>
    <row r="58">
      <c r="A58" s="4" t="inlineStr">
        <is>
          <t>Total respondents</t>
        </is>
      </c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>
        <f>IF(All_Questions_Q_CATEGORY_CT="(None)","",COUNTIFS(respondent_id_data,"&lt;&gt;",passes_workbook_filters_data,1,passes_workbook_custom_filters_data,1,All_Questions_passes_local_filters_data,1,All_Questions_Q_CATEGORY_F_passes_per_q_filter_data,1))</f>
        <v>0</v>
      </c>
    </row>
  </sheetData>
  <mergeCells count="1">
    <mergeCell ref="A1:J1"/>
  </mergeCells>
  <conditionalFormatting sqref="C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6:B4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6:C4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4:B5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4:C5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4:D5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4:E5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4:F5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=INDIRECT(IFERROR(INDEX(All_Questions_Options_Names,MATCH(All_Questions_Q_GRID_RATED_F_Q,All_Questions,0)),"'_Options'!$E$2:$E$2"))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=INDIRECT(IFERROR(INDEX(All_Questions_Options_Names,MATCH(All_Questions_Q_DIRECT_NUM_F_Q,All_Questions,0)),"'_Options'!$E$2:$E$2"))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=INDIRECT(IFERROR(INDEX(All_Questions_Options_Names,MATCH(All_Questions_Q_CATEGORY_F_Q,All_Questions,0)),"'_Options'!$E$2:$E$2"))</formula1>
    </dataValidation>
    <dataValidation sqref="C43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Q_DIRECT_NUM</t>
        </is>
      </c>
      <c r="D2" t="inlineStr">
        <is>
          <t>Q_DIRECT_NUM</t>
        </is>
      </c>
      <c r="E2" t="inlineStr">
        <is>
          <t>All_Questions_Q_DIRECT_NUM_CT = B$35</t>
        </is>
      </c>
      <c r="H2">
        <f>IF(OR(All_Questions_Q_DIRECT_NUM_CT="(None)",B$35=""),"",IF(B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B$35),"")))</f>
        <v>0</v>
      </c>
      <c r="I2" t="n">
        <v>8.75</v>
      </c>
      <c r="J2" t="n">
        <v>0</v>
      </c>
      <c r="K2" t="n">
        <v>0</v>
      </c>
      <c r="L2" t="inlineStr">
        <is>
          <t>2026-06-09T11:23:08.647556+00:00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Q_DIRECT_NUM</t>
        </is>
      </c>
      <c r="D3" t="inlineStr">
        <is>
          <t>Q_DIRECT_NUM</t>
        </is>
      </c>
      <c r="E3" t="inlineStr">
        <is>
          <t>All_Questions_Q_DIRECT_NUM_CT = C$35</t>
        </is>
      </c>
      <c r="H3">
        <f>IF(OR(All_Questions_Q_DIRECT_NUM_CT="(None)",C$35=""),"",IF(C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C$35),"")))</f>
        <v>0</v>
      </c>
      <c r="I3" t="n">
        <v>8.75</v>
      </c>
      <c r="J3" t="n">
        <v>0</v>
      </c>
      <c r="K3" t="n">
        <v>0</v>
      </c>
      <c r="L3" t="inlineStr">
        <is>
          <t>2026-06-09T11:23:08.647779+00:00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Q_DIRECT_NUM</t>
        </is>
      </c>
      <c r="D4" t="inlineStr">
        <is>
          <t>Q_DIRECT_NUM</t>
        </is>
      </c>
      <c r="E4" t="inlineStr">
        <is>
          <t>All_Questions_Q_DIRECT_NUM_CT = D$35</t>
        </is>
      </c>
      <c r="H4">
        <f>IF(OR(All_Questions_Q_DIRECT_NUM_CT="(None)",D$35=""),"",IF(D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D$35),"")))</f>
        <v>0</v>
      </c>
      <c r="I4" t="n">
        <v>8.75</v>
      </c>
      <c r="J4" t="n">
        <v>0</v>
      </c>
      <c r="K4" t="n">
        <v>0</v>
      </c>
      <c r="L4" t="inlineStr">
        <is>
          <t>2026-06-09T11:23:08.647999+00:00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Q_DIRECT_NUM</t>
        </is>
      </c>
      <c r="D5" t="inlineStr">
        <is>
          <t>Q_DIRECT_NUM</t>
        </is>
      </c>
      <c r="E5" t="inlineStr">
        <is>
          <t>All_Questions_Q_DIRECT_NUM_CT = E$35</t>
        </is>
      </c>
      <c r="H5">
        <f>IF(OR(All_Questions_Q_DIRECT_NUM_CT="(None)",E$35=""),"",IF(E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E$35),"")))</f>
        <v>0</v>
      </c>
      <c r="I5" t="n">
        <v>8.75</v>
      </c>
      <c r="J5" t="n">
        <v>0</v>
      </c>
      <c r="K5" t="n">
        <v>0</v>
      </c>
      <c r="L5" t="inlineStr">
        <is>
          <t>2026-06-09T11:23:08.648188+00:00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Q_DIRECT_NUM</t>
        </is>
      </c>
      <c r="D6" t="inlineStr">
        <is>
          <t>Q_DIRECT_NUM</t>
        </is>
      </c>
      <c r="E6" t="inlineStr">
        <is>
          <t>All_Questions_Q_DIRECT_NUM_CT = F$35</t>
        </is>
      </c>
      <c r="H6">
        <f>IF(OR(All_Questions_Q_DIRECT_NUM_CT="(None)",F$35=""),"",IF(F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F$35),"")))</f>
        <v>0</v>
      </c>
      <c r="I6" t="n">
        <v>8.75</v>
      </c>
      <c r="J6" t="n">
        <v>0</v>
      </c>
      <c r="K6" t="n">
        <v>0</v>
      </c>
      <c r="L6" t="inlineStr">
        <is>
          <t>2026-06-09T11:23:08.648365+00:00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Q_DIRECT_NUM</t>
        </is>
      </c>
      <c r="D7" t="inlineStr">
        <is>
          <t>Q_DIRECT_NUM</t>
        </is>
      </c>
      <c r="E7" t="inlineStr">
        <is>
          <t>All_Questions_Q_DIRECT_NUM_CT = G$35</t>
        </is>
      </c>
      <c r="H7">
        <f>IF(OR(All_Questions_Q_DIRECT_NUM_CT="(None)",G$35=""),"",IF(G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$35),"")))</f>
        <v>0</v>
      </c>
      <c r="I7" t="n">
        <v>8.75</v>
      </c>
      <c r="J7" t="n">
        <v>0</v>
      </c>
      <c r="K7" t="n">
        <v>0</v>
      </c>
      <c r="L7" t="inlineStr">
        <is>
          <t>2026-06-09T11:23:08.648539+00:00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Q_DIRECT_NUM</t>
        </is>
      </c>
      <c r="D8" t="inlineStr">
        <is>
          <t>Q_DIRECT_NUM</t>
        </is>
      </c>
      <c r="E8" t="inlineStr">
        <is>
          <t>All_Questions_Q_DIRECT_NUM_CT = H$35</t>
        </is>
      </c>
      <c r="H8">
        <f>IF(OR(All_Questions_Q_DIRECT_NUM_CT="(None)",H$35=""),"",IF(H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$35),"")))</f>
        <v>0</v>
      </c>
      <c r="I8" t="n">
        <v>8.75</v>
      </c>
      <c r="J8" t="n">
        <v>0</v>
      </c>
      <c r="K8" t="n">
        <v>0</v>
      </c>
      <c r="L8" t="inlineStr">
        <is>
          <t>2026-06-09T11:23:08.648709+00:00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Q_DIRECT_NUM</t>
        </is>
      </c>
      <c r="D9" t="inlineStr">
        <is>
          <t>Q_DIRECT_NUM</t>
        </is>
      </c>
      <c r="E9" t="inlineStr">
        <is>
          <t>All_Questions_Q_DIRECT_NUM_CT = I$35</t>
        </is>
      </c>
      <c r="H9">
        <f>IF(OR(All_Questions_Q_DIRECT_NUM_CT="(None)",I$35=""),"",IF(I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$35),"")))</f>
        <v>0</v>
      </c>
      <c r="I9" t="n">
        <v>8.75</v>
      </c>
      <c r="J9" t="n">
        <v>0</v>
      </c>
      <c r="K9" t="n">
        <v>0</v>
      </c>
      <c r="L9" t="inlineStr">
        <is>
          <t>2026-06-09T11:23:08.648881+00:00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Q_DIRECT_NUM</t>
        </is>
      </c>
      <c r="D10" t="inlineStr">
        <is>
          <t>Q_DIRECT_NUM</t>
        </is>
      </c>
      <c r="E10" t="inlineStr">
        <is>
          <t>All_Questions_Q_DIRECT_NUM_CT = J$35</t>
        </is>
      </c>
      <c r="H10">
        <f>IF(OR(All_Questions_Q_DIRECT_NUM_CT="(None)",J$35=""),"",IF(J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$35),"")))</f>
        <v>0</v>
      </c>
      <c r="I10" t="n">
        <v>8.75</v>
      </c>
      <c r="J10" t="n">
        <v>0</v>
      </c>
      <c r="K10" t="n">
        <v>0</v>
      </c>
      <c r="L10" t="inlineStr">
        <is>
          <t>2026-06-09T11:23:08.649124+00:00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Q_DIRECT_NUM</t>
        </is>
      </c>
      <c r="D11" t="inlineStr">
        <is>
          <t>Q_DIRECT_NUM</t>
        </is>
      </c>
      <c r="E11" t="inlineStr">
        <is>
          <t>All_Questions_Q_DIRECT_NUM_CT = K$35</t>
        </is>
      </c>
      <c r="H11">
        <f>IF(OR(All_Questions_Q_DIRECT_NUM_CT="(None)",K$35=""),"",IF(K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$35),"")))</f>
        <v>0</v>
      </c>
      <c r="I11" t="n">
        <v>8.75</v>
      </c>
      <c r="J11" t="n">
        <v>0</v>
      </c>
      <c r="K11" t="n">
        <v>0</v>
      </c>
      <c r="L11" t="inlineStr">
        <is>
          <t>2026-06-09T11:23:08.649328+00:00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Q_DIRECT_NUM</t>
        </is>
      </c>
      <c r="D12" t="inlineStr">
        <is>
          <t>Q_DIRECT_NUM</t>
        </is>
      </c>
      <c r="E12" t="inlineStr">
        <is>
          <t>All_Questions_Q_DIRECT_NUM_CT = L$35</t>
        </is>
      </c>
      <c r="H12">
        <f>IF(OR(All_Questions_Q_DIRECT_NUM_CT="(None)",L$35=""),"",IF(L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$35),"")))</f>
        <v>0</v>
      </c>
      <c r="I12" t="n">
        <v>8.75</v>
      </c>
      <c r="J12" t="n">
        <v>0</v>
      </c>
      <c r="K12" t="n">
        <v>0</v>
      </c>
      <c r="L12" t="inlineStr">
        <is>
          <t>2026-06-09T11:23:08.649518+00:00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Q_DIRECT_NUM</t>
        </is>
      </c>
      <c r="D13" t="inlineStr">
        <is>
          <t>Q_DIRECT_NUM</t>
        </is>
      </c>
      <c r="E13" t="inlineStr">
        <is>
          <t>All_Questions_Q_DIRECT_NUM_CT = M$35</t>
        </is>
      </c>
      <c r="H13">
        <f>IF(OR(All_Questions_Q_DIRECT_NUM_CT="(None)",M$35=""),"",IF(M$35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$35),"")))</f>
        <v>0</v>
      </c>
      <c r="I13" t="n">
        <v>8.75</v>
      </c>
      <c r="J13" t="n">
        <v>0</v>
      </c>
      <c r="K13" t="n">
        <v>0</v>
      </c>
      <c r="L13" t="inlineStr">
        <is>
          <t>2026-06-09T11:23:08.649766+00:00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2026-06-09T11:23:07Z</dcterms:created>
  <dcterms:modified xmlns:dcterms="http://purl.org/dc/terms/" xmlns:xsi="http://www.w3.org/2001/XMLSchema-instance" xsi:type="dcterms:W3CDTF">2026-06-09T11:23:08Z</dcterms:modified>
</cp:coreProperties>
</file>