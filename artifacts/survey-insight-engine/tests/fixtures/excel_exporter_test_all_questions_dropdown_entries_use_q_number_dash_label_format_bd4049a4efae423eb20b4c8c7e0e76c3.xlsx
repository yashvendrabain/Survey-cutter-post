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Which survey version did the respondent see?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Country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IFERROR(INDEX(INDIRECT(XLOOKUP(Demographics_Q1_CT,All_Questions,All_Questions_Options_Names,"None_options")),2),"")</f>
        <v/>
      </c>
      <c r="H17" t="str">
        <f>IFERROR(INDEX(INDIRECT(XLOOKUP(Demographics_Q1_CT,All_Questions,All_Questions_Options_Names,"None_options")),3),"")</f>
        <v/>
      </c>
      <c r="I17" t="str">
        <f>IFERROR(INDEX(INDIRECT(XLOOKUP(Demographics_Q1_CT,All_Questions,All_Questions_Options_Names,"None_options")),4),"")</f>
        <v/>
      </c>
      <c r="J17" t="str">
        <f>IFERROR(INDEX(INDIRECT(XLOOKUP(Demographics_Q1_CT,All_Questions,All_Questions_Options_Names,"None_options")),5),"")</f>
        <v/>
      </c>
      <c r="K17" t="str">
        <f>IFERROR(INDEX(INDIRECT(XLOOKUP(Demographics_Q1_CT,All_Questions,All_Questions_Options_Names,"None_options")),6),"")</f>
        <v/>
      </c>
      <c r="L17" t="str">
        <f>IFERROR(INDEX(INDIRECT(XLOOKUP(Demographics_Q1_CT,All_Questions,All_Questions_Options_Names,"None_options")),7),"")</f>
        <v/>
      </c>
      <c r="M17" t="str">
        <f>IFERROR(INDEX(INDIRECT(XLOOKUP(Demographics_Q1_CT,All_Questions,All_Questions_Options_Names,"None_options")),8),"")</f>
        <v/>
      </c>
      <c r="N17" t="str">
        <f>IFERROR(INDEX(INDIRECT(XLOOKUP(Demographics_Q1_CT,All_Questions,All_Questions_Options_Names,"None_options")),9),"")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t="inlineStr">
        <is>
          <t>United States</t>
        </is>
      </c>
      <c r="G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8">
        <f>SUM(G18:N18)</f>
        <v>0</v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Canada</t>
        </is>
      </c>
      <c r="G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9">
        <f>SUM(G19:N19)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India</t>
        </is>
      </c>
      <c r="G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Survey Version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IFERROR(INDEX(INDIRECT(XLOOKUP(All_Questions_Q2_CT,All_Questions,All_Questions_Options_Names,"None_options")),2),"")</f>
        <v/>
      </c>
      <c r="H17" t="str">
        <f>IFERROR(INDEX(INDIRECT(XLOOKUP(All_Questions_Q2_CT,All_Questions,All_Questions_Options_Names,"None_options")),3),"")</f>
        <v/>
      </c>
      <c r="I17" t="str">
        <f>IFERROR(INDEX(INDIRECT(XLOOKUP(All_Questions_Q2_CT,All_Questions,All_Questions_Options_Names,"None_options")),4),"")</f>
        <v/>
      </c>
      <c r="J17" t="str">
        <f>IFERROR(INDEX(INDIRECT(XLOOKUP(All_Questions_Q2_CT,All_Questions,All_Questions_Options_Names,"None_options")),5),"")</f>
        <v/>
      </c>
      <c r="K17" t="str">
        <f>IFERROR(INDEX(INDIRECT(XLOOKUP(All_Questions_Q2_CT,All_Questions,All_Questions_Options_Names,"None_options")),6),"")</f>
        <v/>
      </c>
      <c r="L17" t="str">
        <f>IFERROR(INDEX(INDIRECT(XLOOKUP(All_Questions_Q2_CT,All_Questions,All_Questions_Options_Names,"None_options")),7),"")</f>
        <v/>
      </c>
      <c r="M17" t="str">
        <f>IFERROR(INDEX(INDIRECT(XLOOKUP(All_Questions_Q2_CT,All_Questions,All_Questions_Options_Names,"None_options")),8),"")</f>
        <v/>
      </c>
      <c r="N17" t="str">
        <f>IFERROR(INDEX(INDIRECT(XLOOKUP(All_Questions_Q2_CT,All_Questions,All_Questions_Options_Names,"None_options")),9),"")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t="inlineStr">
        <is>
          <t>Version 2</t>
        </is>
      </c>
      <c r="G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8">
        <f>SUM(G18:N18)</f>
        <v>0</v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3</t>
        </is>
      </c>
      <c r="G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2026-05-15T22:33:34Z</dcterms:created>
  <dcterms:modified xmlns:dcterms="http://purl.org/dc/terms/" xmlns:xsi="http://www.w3.org/2001/XMLSchema-instance" xsi:type="dcterms:W3CDTF">2026-05-15T22:33:34Z</dcterms:modified>
</cp:coreProperties>
</file>