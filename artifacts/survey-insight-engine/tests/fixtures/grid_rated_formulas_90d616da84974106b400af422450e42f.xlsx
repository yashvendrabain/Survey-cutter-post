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Cross_Tab_Questions_Options_Names">'_Options'!$P$2:$P$2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resolved_criteria">'All Questions'!$H$13</definedName>
    <definedName name="All_Questions_Q30_F_passes_per_q_filter_data">'_RawData'!$K$2:$K$5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6" i="7"/>
  <c r="D16" i="7"/>
  <c r="E16" i="7"/>
  <c r="C17" i="7"/>
  <c r="D17" i="7"/>
  <c r="E17" i="7"/>
  <c r="B18" i="7"/>
  <c r="B19" i="7"/>
  <c r="C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n">
        <v>8</v>
      </c>
      <c r="C2" t="n">
        <v>6</v>
      </c>
      <c r="D2" t="n">
        <v>9</v>
      </c>
      <c r="E2" t="n">
        <v>7</v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("|" &amp; SUBSTITUTE(All_Questions_Q30_F_resolved_criteria, ", ", "|") &amp; "|"))),1,0),0))*1</f>
        <v>1</v>
      </c>
    </row>
    <row r="3">
      <c r="A3" t="n">
        <v>2</v>
      </c>
      <c r="B3" t="n">
        <v>9</v>
      </c>
      <c r="C3" t="n">
        <v>7</v>
      </c>
      <c r="D3" t="n">
        <v>9</v>
      </c>
      <c r="E3" t="n">
        <v>6</v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("|" &amp; SUBSTITUTE(All_Questions_Q30_F_resolved_criteria, ", ", "|") &amp; "|"))),1,0),0))*1</f>
        <v>1</v>
      </c>
    </row>
    <row r="4">
      <c r="A4" t="n">
        <v>3</v>
      </c>
      <c r="B4" t="n">
        <v>8</v>
      </c>
      <c r="C4" t="n">
        <v>7</v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("|" &amp; SUBSTITUTE(All_Questions_Q30_F_resolved_criteria, ", ", "|") &amp; "|"))),1,0),0))*1</f>
        <v>1</v>
      </c>
    </row>
    <row r="5">
      <c r="A5" t="n">
        <v>4</v>
      </c>
      <c r="D5" t="n">
        <v>8</v>
      </c>
      <c r="E5" t="n">
        <v>6</v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("|" &amp; SUBSTITUTE(All_Questions_Q30_F_resolved_criteria,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'_RawData'!$A$2:$A$5</t>
        </is>
      </c>
      <c r="P2" t="inlineStr">
        <is>
          <t>'_Options'!$E$2:$E$2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IFERROR(INDEX(All_Questions_Value_Data_Names,MATCH(All_Questions_Q30_F_Q&amp;"|"&amp;All_Questions_Q30_F_V,All_Questions_Value_Keys,0)),IFERROR(INDEX(All_Questions_Data_Names,MATCH(All_Questions_Q30_F_Q,All_Questions,0)),"'_RawData'!$A:$A"))</f>
        <v>respondent_id_data</v>
      </c>
      <c r="G13" t="str">
        <f>"|" &amp; SUBSTITUTE(All_Questions_Q30_F_V, ", ", "|") &amp; "|"</f>
        <v>|(All)|</v>
      </c>
      <c r="H13" t="str">
        <f>IFERROR(INDEX(All_Questions_Value_Criteria,MATCH(All_Questions_Q30_F_Q&amp;"|"&amp;All_Questions_Q30_F_V,All_Questions_Value_Keys,0)),All_Questions_Q30_F_V)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Winner</t>
        </is>
      </c>
      <c r="D15" s="4" t="inlineStr">
        <is>
          <t>Other vendor</t>
        </is>
      </c>
      <c r="E15" s="4" t="inlineStr">
        <is>
          <t>Delta</t>
        </is>
      </c>
    </row>
    <row r="16">
      <c r="A16" s="14" t="inlineStr">
        <is>
          <t>Q30r1</t>
        </is>
      </c>
      <c r="B16" t="inlineStr">
        <is>
          <t>Pre-purchase familiarity</t>
        </is>
      </c>
      <c r="C16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6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6" s="15">
        <f>C16-D16</f>
        <v>1.6</v>
      </c>
    </row>
    <row r="17">
      <c r="A17" s="14" t="inlineStr">
        <is>
          <t>Q30r2</t>
        </is>
      </c>
      <c r="B17" t="inlineStr">
        <is>
          <t>Customer validation</t>
        </is>
      </c>
      <c r="C17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7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7" s="15">
        <f>C17-D17</f>
        <v>2.4</v>
      </c>
    </row>
    <row r="18">
      <c r="A18" s="16" t="inlineStr">
        <is>
          <t>Total respondents</t>
        </is>
      </c>
      <c r="B18" s="17">
        <f>COUNTIFS(Q30r1c1_data,"&lt;&gt;",passes_workbook_filters_data,1,passes_workbook_custom_filters_data,1,All_Questions_passes_local_filters_data,1,All_Questions_Q30_F_passes_per_q_filter_data,1)</f>
        <v>4</v>
      </c>
      <c r="C18" s="16" t="n"/>
      <c r="D18" s="16" t="n"/>
      <c r="E18" s="16" t="n"/>
    </row>
    <row r="19">
      <c r="A19" s="4" t="inlineStr">
        <is>
          <t>Total responses</t>
        </is>
      </c>
      <c r="B19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19" s="4" t="n"/>
      <c r="D19" s="4" t="n"/>
      <c r="E19" s="4" t="n"/>
    </row>
    <row r="20">
      <c r="B20" s="5" t="inlineStr">
        <is>
          <t>QC check</t>
        </is>
      </c>
      <c r="C20">
        <f>B19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6: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6:D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2026-06-09T11:23:50Z</dcterms:created>
  <dcterms:modified xmlns:dcterms="http://purl.org/dc/terms/" xmlns:xsi="http://www.w3.org/2001/XMLSchema-instance" xsi:type="dcterms:W3CDTF">2026-06-09T11:23:50Z</dcterms:modified>
</cp:coreProperties>
</file>