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One'!$C$24</definedName>
    <definedName name="Theme_One_Q_MS_EXPORT_F_V">'Theme One'!$E$24</definedName>
    <definedName name="Theme_One_Q_MS_EXPORT_F_resolved_column">'Theme One'!$F$24</definedName>
    <definedName name="Theme_One_Q_MS_EXPORT_F_wrapped">'Theme One'!$G$24</definedName>
    <definedName name="Theme_One_Q_MS_EXPORT_F_passes_per_q_filter_data">'_RawData'!$O$2:$O$11</definedName>
    <definedName name="Theme_One_Q_MS_EXPORT_CT">'Theme One'!$C$25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Questions'!$C$31</definedName>
    <definedName name="All_Questions_Q_VERY_LONG_SINGLE_SELECT_EXPORT_NAME_F_V">'All Questions'!$E$31</definedName>
    <definedName name="All_Questions_Q_VERY_LONG_SINGLE_SELECT_EXPORT_NAME_F_resolved_column">'All Questions'!$F$31</definedName>
    <definedName name="All_Questions_Q_VERY_LONG_SINGLE_SELECT_EXPORT_NAME_F_wrapped">'All Questions'!$G$31</definedName>
    <definedName name="All_Questions_Q_VERY_LONG_SINGLE_SELECT_EXPORT_NAME_F_passes_per_q_filter_data">'_RawData'!$T$2:$T$11</definedName>
    <definedName name="All_Questions_Q_VERY_LONG_SINGLE_SELECT_EXPORT_NAME_CT">'All Questions'!$C$32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G23" i="8"/>
  <c r="H23" i="8"/>
  <c r="I23" i="8"/>
  <c r="J23" i="8"/>
  <c r="K23" i="8"/>
  <c r="L23" i="8"/>
  <c r="M23" i="8"/>
  <c r="N23" i="8"/>
  <c r="O23" i="8"/>
  <c r="P23" i="8"/>
  <c r="Q23" i="8"/>
  <c r="R23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S26" i="8"/>
  <c r="C5" i="9"/>
  <c r="C6" i="9"/>
  <c r="D6" i="9"/>
  <c r="F6" i="9"/>
  <c r="C7" i="9"/>
  <c r="C8" i="9"/>
  <c r="D8" i="9"/>
  <c r="F8" i="9"/>
  <c r="F13" i="9"/>
  <c r="G13" i="9"/>
  <c r="C18" i="9"/>
  <c r="D18" i="9"/>
  <c r="E18" i="9"/>
  <c r="F18" i="9"/>
  <c r="C19" i="9"/>
  <c r="D19" i="9"/>
  <c r="E19" i="9"/>
  <c r="F19" i="9"/>
  <c r="G23" i="9"/>
  <c r="H23" i="9"/>
  <c r="I23" i="9"/>
  <c r="J23" i="9"/>
  <c r="K23" i="9"/>
  <c r="L23" i="9"/>
  <c r="M23" i="9"/>
  <c r="N23" i="9"/>
  <c r="O23" i="9"/>
  <c r="P23" i="9"/>
  <c r="Q23" i="9"/>
  <c r="R23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S27" i="9"/>
  <c r="F31" i="9"/>
  <c r="G31" i="9"/>
  <c r="G34" i="9"/>
  <c r="H34" i="9"/>
  <c r="I34" i="9"/>
  <c r="J34" i="9"/>
  <c r="K34" i="9"/>
  <c r="L34" i="9"/>
  <c r="M34" i="9"/>
  <c r="N34" i="9"/>
  <c r="O34" i="9"/>
  <c r="P34" i="9"/>
  <c r="Q34" i="9"/>
  <c r="R34" i="9"/>
  <c r="B35" i="9"/>
  <c r="C35" i="9"/>
  <c r="D35" i="9"/>
  <c r="B36" i="9"/>
  <c r="C36" i="9"/>
  <c r="D36" i="9"/>
  <c r="G36" i="9"/>
  <c r="H36" i="9"/>
  <c r="I36" i="9"/>
  <c r="J36" i="9"/>
  <c r="K36" i="9"/>
  <c r="L36" i="9"/>
  <c r="M36" i="9"/>
  <c r="N36" i="9"/>
  <c r="O36" i="9"/>
  <c r="P36" i="9"/>
  <c r="Q36" i="9"/>
  <c r="R36" i="9"/>
  <c r="S36" i="9"/>
  <c r="G37" i="9"/>
  <c r="H37" i="9"/>
  <c r="I37" i="9"/>
  <c r="J37" i="9"/>
  <c r="K37" i="9"/>
  <c r="L37" i="9"/>
  <c r="M37" i="9"/>
  <c r="N37" i="9"/>
  <c r="O37" i="9"/>
  <c r="P37" i="9"/>
  <c r="Q37" i="9"/>
  <c r="R37" i="9"/>
  <c r="S37" i="9"/>
  <c r="S38" i="9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7_1" displayName="T_Theme_One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4_1" displayName="T_All_Questions_34_1" ref="A34:D37" headerRowCount="1">
  <autoFilter ref="A34:D3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*1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*1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*1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*1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*1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*1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*1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*1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*1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*1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 s="14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 s="14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 s="14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 s="14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 s="14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 s="14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 s="14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 s="14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 s="14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 s="14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 s="14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 s="14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 s="14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 s="14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 s="14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 s="14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 s="14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 s="14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 s="14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 s="14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 s="14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 s="14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 s="14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 s="14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IFERROR(INDEX(All_Questions_Data_Names,MATCH(Theme_One_Q_MS_EXPORT_F_Q,All_Questions,0)),"'_RawData'!$A:$A")</f>
        <v>respondent_id_data</v>
      </c>
      <c r="G24" t="str">
        <f>"|" &amp; SUBSTITUTE(Theme_One_Q_MS_EXPORT_F_V,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IF(Theme_One_Q_MS_EXPORT_CT="(None)","",IFERROR(INDEX(INDIRECT(IFERROR(INDEX(All_Questions_Options_Names,MATCH(Theme_One_Q_MS_EXPORT_CT,All_Questions,0)),"'_Options'!$E$2:$E$2")),2),""))</f>
        <v/>
      </c>
      <c r="H27" s="2" t="str">
        <f>IF(Theme_One_Q_MS_EXPORT_CT="(None)","",IFERROR(INDEX(INDIRECT(IFERROR(INDEX(All_Questions_Options_Names,MATCH(Theme_One_Q_MS_EXPORT_CT,All_Questions,0)),"'_Options'!$E$2:$E$2")),3),""))</f>
        <v/>
      </c>
      <c r="I27" s="2" t="str">
        <f>IF(Theme_One_Q_MS_EXPORT_CT="(None)","",IFERROR(INDEX(INDIRECT(IFERROR(INDEX(All_Questions_Options_Names,MATCH(Theme_One_Q_MS_EXPORT_CT,All_Questions,0)),"'_Options'!$E$2:$E$2")),4),""))</f>
        <v/>
      </c>
      <c r="J27" s="2" t="str">
        <f>IF(Theme_One_Q_MS_EXPORT_CT="(None)","",IFERROR(INDEX(INDIRECT(IFERROR(INDEX(All_Questions_Options_Names,MATCH(Theme_One_Q_MS_EXPORT_CT,All_Questions,0)),"'_Options'!$E$2:$E$2")),5),""))</f>
        <v/>
      </c>
      <c r="K27" s="2" t="str">
        <f>IF(Theme_One_Q_MS_EXPORT_CT="(None)","",IFERROR(INDEX(INDIRECT(IFERROR(INDEX(All_Questions_Options_Names,MATCH(Theme_One_Q_MS_EXPORT_CT,All_Questions,0)),"'_Options'!$E$2:$E$2")),6),""))</f>
        <v/>
      </c>
      <c r="L27" s="2" t="str">
        <f>IF(Theme_One_Q_MS_EXPORT_CT="(None)","",IFERROR(INDEX(INDIRECT(IFERROR(INDEX(All_Questions_Options_Names,MATCH(Theme_One_Q_MS_EXPORT_CT,All_Questions,0)),"'_Options'!$E$2:$E$2")),7),""))</f>
        <v/>
      </c>
      <c r="M27" s="2" t="str">
        <f>IF(Theme_One_Q_MS_EXPORT_CT="(None)","",IFERROR(INDEX(INDIRECT(IFERROR(INDEX(All_Questions_Options_Names,MATCH(Theme_One_Q_MS_EXPORT_CT,All_Questions,0)),"'_Options'!$E$2:$E$2")),8),""))</f>
        <v/>
      </c>
      <c r="N27" s="2" t="str">
        <f>IF(Theme_One_Q_MS_EXPORT_CT="(None)","",IFERROR(INDEX(INDIRECT(IFERROR(INDEX(All_Questions_Options_Names,MATCH(Theme_One_Q_MS_EXPORT_CT,All_Questions,0)),"'_Options'!$E$2:$E$2")),9),""))</f>
        <v/>
      </c>
      <c r="O27" s="2" t="str">
        <f>IF(Theme_One_Q_MS_EXPORT_CT="(None)","",IFERROR(INDEX(INDIRECT(IFERROR(INDEX(All_Questions_Options_Names,MATCH(Theme_One_Q_MS_EXPORT_CT,All_Questions,0)),"'_Options'!$E$2:$E$2")),10),""))</f>
        <v/>
      </c>
      <c r="P27" s="2" t="str">
        <f>IF(Theme_One_Q_MS_EXPORT_CT="(None)","",IFERROR(INDEX(INDIRECT(IFERROR(INDEX(All_Questions_Options_Names,MATCH(Theme_One_Q_MS_EXPORT_CT,All_Questions,0)),"'_Options'!$E$2:$E$2")),11),""))</f>
        <v/>
      </c>
      <c r="Q27" s="2" t="str">
        <f>IF(Theme_One_Q_MS_EXPORT_CT="(None)","",IFERROR(INDEX(INDIRECT(IFERROR(INDEX(All_Questions_Options_Names,MATCH(Theme_One_Q_MS_EXPORT_CT,All_Questions,0)),"'_Options'!$E$2:$E$2")),12),""))</f>
        <v/>
      </c>
      <c r="R27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COUNTIFS(Q_MS_EXPORTr1_data,"Selected",passes_workbook_filters_data,1,passes_workbook_custom_filters_data,1,Theme_One_passes_local_filters_data,1,Theme_One_Q_MS_EXPORT_F_passes_per_q_filter_data,1)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IFERROR(B28/SUMPRODUCT(--((--(Q_MS_EXPORTr1_data&lt;&gt;"")+--(Q_MS_EXPORTr2_data&lt;&gt;""))&gt;0),--(passes_workbook_filters_data=1),--(passes_workbook_custom_filters_data=1),--(Theme_One_passes_local_filters_data=1),--(Theme_One_Q_MS_EXPORT_F_passes_per_q_filter_data=1)),0)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SUMPRODUCT(--((--(Q_MS_EXPORTr1_data&lt;&gt;"")+--(Q_MS_EXPORTr2_data&lt;&gt;""))&gt;0),--(passes_workbook_filters_data=1),--(passes_workbook_custom_filters_data=1),--(Theme_One_passes_local_filters_data=1),--(Theme_One_Q_MS_EXPORT_F_passes_per_q_filter_data=1))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COUNTIFS(Q_MS_EXPORTr2_data,"Selected",passes_workbook_filters_data,1,passes_workbook_custom_filters_data,1,Theme_One_passes_local_filters_data,1,Theme_One_Q_MS_EXPORT_F_passes_per_q_filter_data,1)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IFERROR(B29/SUMPRODUCT(--((--(Q_MS_EXPORTr1_data&lt;&gt;"")+--(Q_MS_EXPORTr2_data&lt;&gt;""))&gt;0),--(passes_workbook_filters_data=1),--(passes_workbook_custom_filters_data=1),--(Theme_One_passes_local_filters_data=1),--(Theme_One_Q_MS_EXPORT_F_passes_per_q_filter_data=1)),0)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SUMPRODUCT(--((--(Q_MS_EXPORTr1_data&lt;&gt;"")+--(Q_MS_EXPORTr2_data&lt;&gt;""))&gt;0),--(passes_workbook_filters_data=1),--(passes_workbook_custom_filters_data=1),--(Theme_One_passes_local_filters_data=1),--(Theme_One_Q_MS_EXPORT_F_passes_per_q_filter_data=1))</f>
        <v>10</v>
      </c>
      <c r="F29" t="inlineStr">
        <is>
          <t>First</t>
        </is>
      </c>
      <c r="G29" s="7">
        <f>IF(OR(Theme_One_Q_MS_EXPORT_CT="(None)",G$27=""),"",IF(G$27="Other","",IFERROR(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G$27)),"")))</f>
        <v>0.5</v>
      </c>
      <c r="H29" s="7">
        <f>IF(OR(Theme_One_Q_MS_EXPORT_CT="(None)",H$27=""),"",IF(H$27="Other","",IFERROR(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H$27)),"")))</f>
        <v>0.5</v>
      </c>
      <c r="I29" s="7">
        <f>IF(OR(Theme_One_Q_MS_EXPORT_CT="(None)",I$27=""),"",IF(I$27="Other","",IFERROR(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I$27)),"")))</f>
        <v>0.5</v>
      </c>
      <c r="J29" s="7">
        <f>IF(OR(Theme_One_Q_MS_EXPORT_CT="(None)",J$27=""),"",IF(J$27="Other","",IFERROR(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J$27)),"")))</f>
        <v>0.5</v>
      </c>
      <c r="K29" s="7">
        <f>IF(OR(Theme_One_Q_MS_EXPORT_CT="(None)",K$27=""),"",IF(K$27="Other","",IFERROR(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K$27)),"")))</f>
        <v>0.5</v>
      </c>
      <c r="L29" s="7">
        <f>IF(OR(Theme_One_Q_MS_EXPORT_CT="(None)",L$27=""),"",IF(L$27="Other","",IFERROR(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L$27)),"")))</f>
        <v>0.5</v>
      </c>
      <c r="M29" s="7">
        <f>IF(OR(Theme_One_Q_MS_EXPORT_CT="(None)",M$27=""),"",IF(M$27="Other","",IFERROR(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M$27)),"")))</f>
        <v>0.5</v>
      </c>
      <c r="N29" s="7">
        <f>IF(OR(Theme_One_Q_MS_EXPORT_CT="(None)",N$27=""),"",IF(N$27="Other","",IFERROR(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N$27)),"")))</f>
        <v>0.5</v>
      </c>
      <c r="O29" s="7">
        <f>IF(OR(Theme_One_Q_MS_EXPORT_CT="(None)",O$27=""),"",IF(O$27="Other","",IFERROR(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O$27)),"")))</f>
        <v>0.5</v>
      </c>
      <c r="P29" s="7">
        <f>IF(OR(Theme_One_Q_MS_EXPORT_CT="(None)",P$27=""),"",IF(P$27="Other","",IFERROR(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P$27)),"")))</f>
        <v>0.5</v>
      </c>
      <c r="Q29" s="7">
        <f>IF(OR(Theme_One_Q_MS_EXPORT_CT="(None)",Q$27=""),"",IF(Q$27="Other","",IFERROR(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Q$27)),"")))</f>
        <v>0.5</v>
      </c>
      <c r="R29" s="7">
        <f>IF(OR(Theme_One_Q_MS_EXPORT_CT="(None)",R$27=""),"",IF(R$27="Other","",IFERROR(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R$27)),"")))</f>
        <v>0.5</v>
      </c>
      <c r="S29" s="7">
        <f>IF(Theme_One_Q_MS_EXPORT_CT="(None)","",IFERROR(COUNTIFS(Q_MS_EXPORTr1_data,"Selected",passes_workbook_filters_data,1,passes_workbook_custom_filters_data,1,Theme_One_passes_local_filters_data,1,Theme_One_Q_MS_EXPORT_F_passes_per_q_filter_data,1)/SUMPRODUCT(--((--(Q_MS_EXPORTr1_data&lt;&gt;"")+--(Q_MS_EXPORTr2_data&lt;&gt;""))&gt;0),--(passes_workbook_filters_data=1),--(passes_workbook_custom_filters_data=1),--(Theme_One_passes_local_filters_data=1),--(Theme_One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Theme_One_Q_MS_EXPORT_CT="(None)",G$27=""),"",IF(G$27="Other","",IFERROR(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G$27)),"")))</f>
        <v>0.2</v>
      </c>
      <c r="H30" s="7">
        <f>IF(OR(Theme_One_Q_MS_EXPORT_CT="(None)",H$27=""),"",IF(H$27="Other","",IFERROR(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H$27)),"")))</f>
        <v>0.2</v>
      </c>
      <c r="I30" s="7">
        <f>IF(OR(Theme_One_Q_MS_EXPORT_CT="(None)",I$27=""),"",IF(I$27="Other","",IFERROR(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I$27)),"")))</f>
        <v>0.2</v>
      </c>
      <c r="J30" s="7">
        <f>IF(OR(Theme_One_Q_MS_EXPORT_CT="(None)",J$27=""),"",IF(J$27="Other","",IFERROR(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J$27)),"")))</f>
        <v>0.2</v>
      </c>
      <c r="K30" s="7">
        <f>IF(OR(Theme_One_Q_MS_EXPORT_CT="(None)",K$27=""),"",IF(K$27="Other","",IFERROR(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K$27)),"")))</f>
        <v>0.2</v>
      </c>
      <c r="L30" s="7">
        <f>IF(OR(Theme_One_Q_MS_EXPORT_CT="(None)",L$27=""),"",IF(L$27="Other","",IFERROR(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L$27)),"")))</f>
        <v>0.2</v>
      </c>
      <c r="M30" s="7">
        <f>IF(OR(Theme_One_Q_MS_EXPORT_CT="(None)",M$27=""),"",IF(M$27="Other","",IFERROR(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M$27)),"")))</f>
        <v>0.2</v>
      </c>
      <c r="N30" s="7">
        <f>IF(OR(Theme_One_Q_MS_EXPORT_CT="(None)",N$27=""),"",IF(N$27="Other","",IFERROR(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N$27)),"")))</f>
        <v>0.2</v>
      </c>
      <c r="O30" s="7">
        <f>IF(OR(Theme_One_Q_MS_EXPORT_CT="(None)",O$27=""),"",IF(O$27="Other","",IFERROR(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O$27)),"")))</f>
        <v>0.2</v>
      </c>
      <c r="P30" s="7">
        <f>IF(OR(Theme_One_Q_MS_EXPORT_CT="(None)",P$27=""),"",IF(P$27="Other","",IFERROR(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P$27)),"")))</f>
        <v>0.2</v>
      </c>
      <c r="Q30" s="7">
        <f>IF(OR(Theme_One_Q_MS_EXPORT_CT="(None)",Q$27=""),"",IF(Q$27="Other","",IFERROR(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Q$27)),"")))</f>
        <v>0.2</v>
      </c>
      <c r="R30" s="7">
        <f>IF(OR(Theme_One_Q_MS_EXPORT_CT="(None)",R$27=""),"",IF(R$27="Other","",IFERROR(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R$27)),"")))</f>
        <v>0.2</v>
      </c>
      <c r="S30" s="7">
        <f>IF(Theme_One_Q_MS_EXPORT_CT="(None)","",IFERROR(COUNTIFS(Q_MS_EXPORTr2_data,"Selected",passes_workbook_filters_data,1,passes_workbook_custom_filters_data,1,Theme_One_passes_local_filters_data,1,Theme_One_Q_MS_EXPORT_F_passes_per_q_filter_data,1)/SUMPRODUCT(--((--(Q_MS_EXPORTr1_data&lt;&gt;"")+--(Q_MS_EXPORTr2_data&lt;&gt;""))&gt;0),--(passes_workbook_filters_data=1),--(passes_workbook_custom_filters_data=1),--(Theme_One_passes_local_filters_data=1),--(Theme_One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6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 s="16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 s="16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s="16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t="inlineStr">
        <is>
          <t>Median</t>
        </is>
      </c>
      <c r="B21" s="16" t="n">
        <v>5.5</v>
      </c>
      <c r="C21" t="inlineStr">
        <is>
          <t>static baseline</t>
        </is>
      </c>
      <c r="D21" s="14" t="n">
        <v>10</v>
      </c>
    </row>
    <row r="22"/>
    <row r="23">
      <c r="F23" s="4" t="inlineStr">
        <is>
          <t>Option</t>
        </is>
      </c>
      <c r="G23" s="2" t="str">
        <f>IF(Theme_Two_Q_NUM_EXPORT_CT="(None)","",IFERROR(INDEX(INDIRECT(IFERROR(INDEX(All_Questions_Options_Names,MATCH(Theme_Two_Q_NUM_EXPORT_CT,All_Questions,0)),"'_Options'!$E$2:$E$2")),2),""))</f>
        <v/>
      </c>
      <c r="H23" s="2" t="str">
        <f>IF(Theme_Two_Q_NUM_EXPORT_CT="(None)","",IFERROR(INDEX(INDIRECT(IFERROR(INDEX(All_Questions_Options_Names,MATCH(Theme_Two_Q_NUM_EXPORT_CT,All_Questions,0)),"'_Options'!$E$2:$E$2")),3),""))</f>
        <v/>
      </c>
      <c r="I23" s="2" t="str">
        <f>IF(Theme_Two_Q_NUM_EXPORT_CT="(None)","",IFERROR(INDEX(INDIRECT(IFERROR(INDEX(All_Questions_Options_Names,MATCH(Theme_Two_Q_NUM_EXPORT_CT,All_Questions,0)),"'_Options'!$E$2:$E$2")),4),""))</f>
        <v/>
      </c>
      <c r="J23" s="2" t="str">
        <f>IF(Theme_Two_Q_NUM_EXPORT_CT="(None)","",IFERROR(INDEX(INDIRECT(IFERROR(INDEX(All_Questions_Options_Names,MATCH(Theme_Two_Q_NUM_EXPORT_CT,All_Questions,0)),"'_Options'!$E$2:$E$2")),5),""))</f>
        <v/>
      </c>
      <c r="K23" s="2" t="str">
        <f>IF(Theme_Two_Q_NUM_EXPORT_CT="(None)","",IFERROR(INDEX(INDIRECT(IFERROR(INDEX(All_Questions_Options_Names,MATCH(Theme_Two_Q_NUM_EXPORT_CT,All_Questions,0)),"'_Options'!$E$2:$E$2")),6),""))</f>
        <v/>
      </c>
      <c r="L23" s="2" t="str">
        <f>IF(Theme_Two_Q_NUM_EXPORT_CT="(None)","",IFERROR(INDEX(INDIRECT(IFERROR(INDEX(All_Questions_Options_Names,MATCH(Theme_Two_Q_NUM_EXPORT_CT,All_Questions,0)),"'_Options'!$E$2:$E$2")),7),""))</f>
        <v/>
      </c>
      <c r="M23" s="2" t="str">
        <f>IF(Theme_Two_Q_NUM_EXPORT_CT="(None)","",IFERROR(INDEX(INDIRECT(IFERROR(INDEX(All_Questions_Options_Names,MATCH(Theme_Two_Q_NUM_EXPORT_CT,All_Questions,0)),"'_Options'!$E$2:$E$2")),8),""))</f>
        <v/>
      </c>
      <c r="N23" s="2" t="str">
        <f>IF(Theme_Two_Q_NUM_EXPORT_CT="(None)","",IFERROR(INDEX(INDIRECT(IFERROR(INDEX(All_Questions_Options_Names,MATCH(Theme_Two_Q_NUM_EXPORT_CT,All_Questions,0)),"'_Options'!$E$2:$E$2")),9),""))</f>
        <v/>
      </c>
      <c r="O23" s="2" t="str">
        <f>IF(Theme_Two_Q_NUM_EXPORT_CT="(None)","",IFERROR(INDEX(INDIRECT(IFERROR(INDEX(All_Questions_Options_Names,MATCH(Theme_Two_Q_NUM_EXPORT_CT,All_Questions,0)),"'_Options'!$E$2:$E$2")),10),""))</f>
        <v/>
      </c>
      <c r="P23" s="2" t="str">
        <f>IF(Theme_Two_Q_NUM_EXPORT_CT="(None)","",IFERROR(INDEX(INDIRECT(IFERROR(INDEX(All_Questions_Options_Names,MATCH(Theme_Two_Q_NUM_EXPORT_CT,All_Questions,0)),"'_Options'!$E$2:$E$2")),11),""))</f>
        <v/>
      </c>
      <c r="Q23" s="2" t="str">
        <f>IF(Theme_Two_Q_NUM_EXPORT_CT="(None)","",IFERROR(INDEX(INDIRECT(IFERROR(INDEX(All_Questions_Options_Names,MATCH(Theme_Two_Q_NUM_EXPORT_CT,All_Questions,0)),"'_Options'!$E$2:$E$2")),12),""))</f>
        <v/>
      </c>
      <c r="R23" s="2" t="str">
        <f>IF(Theme_Two_Q_NUM_EXPORT_CT="(None)","",IF(COUNTA(INDIRECT(IFERROR(INDEX(All_Questions_Options_Names,MATCH(Theme_Two_Q_NUM_EXPORT_CT,All_Questions,0)),"'_Options'!$E$2:$E$2")))-1&gt;11,"Other",IFERROR(INDEX(INDIRECT(IFERROR(INDEX(All_Questions_Options_Names,MATCH(Theme_Two_Q_NUM_EXPORT_CT,All_Questions,0)),"'_Options'!$E$2:$E$2")),13),"")))</f>
        <v/>
      </c>
      <c r="S23" s="4" t="inlineStr">
        <is>
          <t>Total</t>
        </is>
      </c>
    </row>
    <row r="24">
      <c r="F24" s="4" t="inlineStr"/>
      <c r="G24" s="4" t="inlineStr">
        <is>
          <t>Mean</t>
        </is>
      </c>
      <c r="H24" s="4" t="inlineStr">
        <is>
          <t>Mean</t>
        </is>
      </c>
      <c r="I24" s="4" t="inlineStr">
        <is>
          <t>Mean</t>
        </is>
      </c>
      <c r="J24" s="4" t="inlineStr">
        <is>
          <t>Mean</t>
        </is>
      </c>
      <c r="K24" s="4" t="inlineStr">
        <is>
          <t>Mean</t>
        </is>
      </c>
      <c r="L24" s="4" t="inlineStr">
        <is>
          <t>Mean</t>
        </is>
      </c>
      <c r="M24" s="4" t="inlineStr">
        <is>
          <t>Mean</t>
        </is>
      </c>
      <c r="N24" s="4" t="inlineStr">
        <is>
          <t>Mean</t>
        </is>
      </c>
      <c r="O24" s="4" t="inlineStr">
        <is>
          <t>Mean</t>
        </is>
      </c>
      <c r="P24" s="4" t="inlineStr">
        <is>
          <t>Mean</t>
        </is>
      </c>
      <c r="Q24" s="4" t="inlineStr">
        <is>
          <t>Mean</t>
        </is>
      </c>
      <c r="R24" s="4" t="inlineStr">
        <is>
          <t>Mean</t>
        </is>
      </c>
      <c r="S24" s="4" t="inlineStr">
        <is>
          <t>Mean</t>
        </is>
      </c>
    </row>
    <row r="25">
      <c r="F25" t="inlineStr">
        <is>
          <t>Numeric export question</t>
        </is>
      </c>
      <c r="G25" s="16">
        <f>IF(OR(Theme_Two_Q_NUM_EXPORT_CT="(None)",G$23=""),"",IF(G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G$23),"")))</f>
        <v>5.5</v>
      </c>
      <c r="H25" s="16">
        <f>IF(OR(Theme_Two_Q_NUM_EXPORT_CT="(None)",H$23=""),"",IF(H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H$23),"")))</f>
        <v>5.5</v>
      </c>
      <c r="I25" s="16">
        <f>IF(OR(Theme_Two_Q_NUM_EXPORT_CT="(None)",I$23=""),"",IF(I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I$23),"")))</f>
        <v>5.5</v>
      </c>
      <c r="J25" s="16">
        <f>IF(OR(Theme_Two_Q_NUM_EXPORT_CT="(None)",J$23=""),"",IF(J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J$23),"")))</f>
        <v>5.5</v>
      </c>
      <c r="K25" s="16">
        <f>IF(OR(Theme_Two_Q_NUM_EXPORT_CT="(None)",K$23=""),"",IF(K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K$23),"")))</f>
        <v>5.5</v>
      </c>
      <c r="L25" s="16">
        <f>IF(OR(Theme_Two_Q_NUM_EXPORT_CT="(None)",L$23=""),"",IF(L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L$23),"")))</f>
        <v>5.5</v>
      </c>
      <c r="M25" s="16">
        <f>IF(OR(Theme_Two_Q_NUM_EXPORT_CT="(None)",M$23=""),"",IF(M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M$23),"")))</f>
        <v>5.5</v>
      </c>
      <c r="N25" s="16">
        <f>IF(OR(Theme_Two_Q_NUM_EXPORT_CT="(None)",N$23=""),"",IF(N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N$23),"")))</f>
        <v>5.5</v>
      </c>
      <c r="O25" s="16">
        <f>IF(OR(Theme_Two_Q_NUM_EXPORT_CT="(None)",O$23=""),"",IF(O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O$23),"")))</f>
        <v>5.5</v>
      </c>
      <c r="P25" s="16">
        <f>IF(OR(Theme_Two_Q_NUM_EXPORT_CT="(None)",P$23=""),"",IF(P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P$23),"")))</f>
        <v>5.5</v>
      </c>
      <c r="Q25" s="16">
        <f>IF(OR(Theme_Two_Q_NUM_EXPORT_CT="(None)",Q$23=""),"",IF(Q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Q$23),"")))</f>
        <v>5.5</v>
      </c>
      <c r="R25" s="16">
        <f>IF(OR(Theme_Two_Q_NUM_EXPORT_CT="(None)",R$23=""),"",IF(R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R$23),"")))</f>
        <v>5.5</v>
      </c>
      <c r="S25" s="16">
        <f>IF(Theme_Two_Q_NUM_EXPORT_CT="(None)","",IFERROR(AVERAGEIFS(Q_NUM_EXPORT_data,Q_NUM_EXPORT_data,"&lt;&gt;",passes_workbook_filters_data,1,passes_workbook_custom_filters_data,1,Theme_Two_passes_local_filters_data,1,Theme_Two_Q_NUM_EXPORT_F_passes_per_q_filter_data,1),""))</f>
        <v>5.5</v>
      </c>
    </row>
    <row r="26">
      <c r="F26" s="4" t="inlineStr">
        <is>
          <t>Total respondents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>
        <f>IF(Theme_Two_Q_NUM_EXPORT_CT="(None)","",COUNTIFS(respondent_id_data,"&lt;&gt;",passes_workbook_filters_data,1,passes_workbook_custom_filters_data,1,Theme_Two_passes_local_filters_data,1,Theme_Two_Q_NUM_EXPORT_F_passes_per_q_filter_data,1))</f>
        <v>0</v>
      </c>
    </row>
  </sheetData>
  <mergeCells count="1">
    <mergeCell ref="A1:J1"/>
  </mergeCells>
  <conditionalFormatting sqref="G2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High</t>
        </is>
      </c>
      <c r="D16" s="2" t="n"/>
      <c r="E16" s="4" t="inlineStr">
        <is>
          <t>Low</t>
        </is>
      </c>
      <c r="F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</row>
    <row r="18">
      <c r="A18" s="17" t="inlineStr">
        <is>
          <t>Q_GRID_EXPORTr1</t>
        </is>
      </c>
      <c r="B18" t="inlineStr">
        <is>
          <t>Grid first row</t>
        </is>
      </c>
      <c r="C18">
        <f>COUNTIFS(Q_GRID_EXPORTr1_data,"High",passes_workbook_filters_data,1,passes_workbook_custom_filters_data,1,All_Questions_passes_local_filters_data,1,All_Questions_Q_GRID_EXPORT_F_passes_per_q_filter_data,1)</f>
        <v>6</v>
      </c>
      <c r="D18" s="7">
        <f>IFERROR(C18/10,0)</f>
        <v>0.6</v>
      </c>
      <c r="E18">
        <f>COUNTIFS(Q_GRID_EXPORTr1_data,"Low",passes_workbook_filters_data,1,passes_workbook_custom_filters_data,1,All_Questions_passes_local_filters_data,1,All_Questions_Q_GRID_EXPORT_F_passes_per_q_filter_data,1)</f>
        <v>4</v>
      </c>
      <c r="F18" s="7">
        <f>IFERROR(E18/10,0)</f>
        <v>0.4</v>
      </c>
    </row>
    <row r="19">
      <c r="A19" s="17" t="inlineStr">
        <is>
          <t>Q_GRID_EXPORTr2</t>
        </is>
      </c>
      <c r="B19" t="inlineStr">
        <is>
          <t>Grid second row</t>
        </is>
      </c>
      <c r="C19">
        <f>COUNTIFS(Q_GRID_EXPORTr2_data,"High",passes_workbook_filters_data,1,passes_workbook_custom_filters_data,1,All_Questions_passes_local_filters_data,1,All_Questions_Q_GRID_EXPORT_F_passes_per_q_filter_data,1)</f>
        <v>5</v>
      </c>
      <c r="D19" s="7">
        <f>IFERROR(C19/10,0)</f>
        <v>0.5</v>
      </c>
      <c r="E19">
        <f>COUNTIFS(Q_GRID_EXPORTr2_data,"Low",passes_workbook_filters_data,1,passes_workbook_custom_filters_data,1,All_Questions_passes_local_filters_data,1,All_Questions_Q_GRID_EXPORT_F_passes_per_q_filter_data,1)</f>
        <v>5</v>
      </c>
      <c r="F19" s="7">
        <f>IFERROR(E19/10,0)</f>
        <v>0.5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E20" s="15" t="n"/>
      <c r="F20" s="15" t="n"/>
    </row>
    <row r="21">
      <c r="A21" s="4" t="inlineStr">
        <is>
          <t>Total responses</t>
        </is>
      </c>
      <c r="B21" s="4" t="n">
        <v>20</v>
      </c>
      <c r="C21" s="4" t="n"/>
      <c r="D21" s="4" t="n"/>
      <c r="E21" s="4" t="n"/>
      <c r="F21" s="4" t="n"/>
    </row>
    <row r="22"/>
    <row r="23">
      <c r="F23" s="4" t="inlineStr">
        <is>
          <t>Option</t>
        </is>
      </c>
      <c r="G23" s="2" t="str">
        <f>IF(All_Questions_Q_GRID_EXPORT_CT="(None)","",IFERROR(INDEX(INDIRECT(IFERROR(INDEX(All_Questions_Options_Names,MATCH(All_Questions_Q_GRID_EXPORT_CT,All_Questions,0)),"'_Options'!$E$2:$E$2")),2),""))</f>
        <v/>
      </c>
      <c r="H23" s="2" t="str">
        <f>IF(All_Questions_Q_GRID_EXPORT_CT="(None)","",IFERROR(INDEX(INDIRECT(IFERROR(INDEX(All_Questions_Options_Names,MATCH(All_Questions_Q_GRID_EXPORT_CT,All_Questions,0)),"'_Options'!$E$2:$E$2")),3),""))</f>
        <v/>
      </c>
      <c r="I23" s="2" t="str">
        <f>IF(All_Questions_Q_GRID_EXPORT_CT="(None)","",IFERROR(INDEX(INDIRECT(IFERROR(INDEX(All_Questions_Options_Names,MATCH(All_Questions_Q_GRID_EXPORT_CT,All_Questions,0)),"'_Options'!$E$2:$E$2")),4),""))</f>
        <v/>
      </c>
      <c r="J23" s="2" t="str">
        <f>IF(All_Questions_Q_GRID_EXPORT_CT="(None)","",IFERROR(INDEX(INDIRECT(IFERROR(INDEX(All_Questions_Options_Names,MATCH(All_Questions_Q_GRID_EXPORT_CT,All_Questions,0)),"'_Options'!$E$2:$E$2")),5),""))</f>
        <v/>
      </c>
      <c r="K23" s="2" t="str">
        <f>IF(All_Questions_Q_GRID_EXPORT_CT="(None)","",IFERROR(INDEX(INDIRECT(IFERROR(INDEX(All_Questions_Options_Names,MATCH(All_Questions_Q_GRID_EXPORT_CT,All_Questions,0)),"'_Options'!$E$2:$E$2")),6),""))</f>
        <v/>
      </c>
      <c r="L23" s="2" t="str">
        <f>IF(All_Questions_Q_GRID_EXPORT_CT="(None)","",IFERROR(INDEX(INDIRECT(IFERROR(INDEX(All_Questions_Options_Names,MATCH(All_Questions_Q_GRID_EXPORT_CT,All_Questions,0)),"'_Options'!$E$2:$E$2")),7),""))</f>
        <v/>
      </c>
      <c r="M23" s="2" t="str">
        <f>IF(All_Questions_Q_GRID_EXPORT_CT="(None)","",IFERROR(INDEX(INDIRECT(IFERROR(INDEX(All_Questions_Options_Names,MATCH(All_Questions_Q_GRID_EXPORT_CT,All_Questions,0)),"'_Options'!$E$2:$E$2")),8),""))</f>
        <v/>
      </c>
      <c r="N23" s="2" t="str">
        <f>IF(All_Questions_Q_GRID_EXPORT_CT="(None)","",IFERROR(INDEX(INDIRECT(IFERROR(INDEX(All_Questions_Options_Names,MATCH(All_Questions_Q_GRID_EXPORT_CT,All_Questions,0)),"'_Options'!$E$2:$E$2")),9),""))</f>
        <v/>
      </c>
      <c r="O23" s="2" t="str">
        <f>IF(All_Questions_Q_GRID_EXPORT_CT="(None)","",IFERROR(INDEX(INDIRECT(IFERROR(INDEX(All_Questions_Options_Names,MATCH(All_Questions_Q_GRID_EXPORT_CT,All_Questions,0)),"'_Options'!$E$2:$E$2")),10),""))</f>
        <v/>
      </c>
      <c r="P23" s="2" t="str">
        <f>IF(All_Questions_Q_GRID_EXPORT_CT="(None)","",IFERROR(INDEX(INDIRECT(IFERROR(INDEX(All_Questions_Options_Names,MATCH(All_Questions_Q_GRID_EXPORT_CT,All_Questions,0)),"'_Options'!$E$2:$E$2")),11),""))</f>
        <v/>
      </c>
      <c r="Q23" s="2" t="str">
        <f>IF(All_Questions_Q_GRID_EXPORT_CT="(None)","",IFERROR(INDEX(INDIRECT(IFERROR(INDEX(All_Questions_Options_Names,MATCH(All_Questions_Q_GRID_EXPORT_CT,All_Questions,0)),"'_Options'!$E$2:$E$2")),12),""))</f>
        <v/>
      </c>
      <c r="R23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3" s="4" t="inlineStr">
        <is>
          <t>Total</t>
        </is>
      </c>
    </row>
    <row r="24">
      <c r="F24" s="4" t="inlineStr"/>
      <c r="G24" s="4" t="inlineStr">
        <is>
          <t># of resp</t>
        </is>
      </c>
      <c r="H24" s="4" t="inlineStr">
        <is>
          <t># of resp</t>
        </is>
      </c>
      <c r="I24" s="4" t="inlineStr">
        <is>
          <t># of resp</t>
        </is>
      </c>
      <c r="J24" s="4" t="inlineStr">
        <is>
          <t># of resp</t>
        </is>
      </c>
      <c r="K24" s="4" t="inlineStr">
        <is>
          <t># of resp</t>
        </is>
      </c>
      <c r="L24" s="4" t="inlineStr">
        <is>
          <t># of resp</t>
        </is>
      </c>
      <c r="M24" s="4" t="inlineStr">
        <is>
          <t># of resp</t>
        </is>
      </c>
      <c r="N24" s="4" t="inlineStr">
        <is>
          <t># of resp</t>
        </is>
      </c>
      <c r="O24" s="4" t="inlineStr">
        <is>
          <t># of resp</t>
        </is>
      </c>
      <c r="P24" s="4" t="inlineStr">
        <is>
          <t># of resp</t>
        </is>
      </c>
      <c r="Q24" s="4" t="inlineStr">
        <is>
          <t># of resp</t>
        </is>
      </c>
      <c r="R24" s="4" t="inlineStr">
        <is>
          <t># of resp</t>
        </is>
      </c>
      <c r="S24" s="4" t="inlineStr">
        <is>
          <t># of resp</t>
        </is>
      </c>
    </row>
    <row r="25">
      <c r="F25" t="inlineStr">
        <is>
          <t>Grid first row</t>
        </is>
      </c>
      <c r="G25" s="14">
        <f>IF(OR(All_Questions_Q_GRID_EXPORT_CT="(None)",G$23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$23))</f>
        <v>0</v>
      </c>
      <c r="H25" s="14">
        <f>IF(OR(All_Questions_Q_GRID_EXPORT_CT="(None)",H$23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$23))</f>
        <v>0</v>
      </c>
      <c r="I25" s="14">
        <f>IF(OR(All_Questions_Q_GRID_EXPORT_CT="(None)",I$23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$23))</f>
        <v>0</v>
      </c>
      <c r="J25" s="14">
        <f>IF(OR(All_Questions_Q_GRID_EXPORT_CT="(None)",J$23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$23))</f>
        <v>0</v>
      </c>
      <c r="K25" s="14">
        <f>IF(OR(All_Questions_Q_GRID_EXPORT_CT="(None)",K$23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$23))</f>
        <v>0</v>
      </c>
      <c r="L25" s="14">
        <f>IF(OR(All_Questions_Q_GRID_EXPORT_CT="(None)",L$23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$23))</f>
        <v>0</v>
      </c>
      <c r="M25" s="14">
        <f>IF(OR(All_Questions_Q_GRID_EXPORT_CT="(None)",M$23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$23))</f>
        <v>0</v>
      </c>
      <c r="N25" s="14">
        <f>IF(OR(All_Questions_Q_GRID_EXPORT_CT="(None)",N$23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$23))</f>
        <v>0</v>
      </c>
      <c r="O25" s="14">
        <f>IF(OR(All_Questions_Q_GRID_EXPORT_CT="(None)",O$23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$23))</f>
        <v>0</v>
      </c>
      <c r="P25" s="14">
        <f>IF(OR(All_Questions_Q_GRID_EXPORT_CT="(None)",P$23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$23))</f>
        <v>0</v>
      </c>
      <c r="Q25" s="14">
        <f>IF(OR(All_Questions_Q_GRID_EXPORT_CT="(None)",Q$23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$23))</f>
        <v>0</v>
      </c>
      <c r="R25" s="14">
        <f>IF(OR(All_Questions_Q_GRID_EXPORT_CT="(None)",R$23=""),"",IF(R$23="Other",COUNTIFS(Q_GRID_EXPORTr1_data,"Selected",passes_workbook_filters_data,1,passes_workbook_custom_filters_data,1,All_Questions_passes_local_filters_data,1,All_Questions_Q_GRID_EXPORT_F_passes_per_q_filter_data,1)-SUM(G25,H25,I25,J25,K25,L25,M25,N25,O25,P25,Q25)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$23)))</f>
        <v>0</v>
      </c>
      <c r="S25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26">
      <c r="F26" t="inlineStr">
        <is>
          <t>Grid second row</t>
        </is>
      </c>
      <c r="G26" s="14">
        <f>IF(OR(All_Questions_Q_GRID_EXPORT_CT="(None)",G$23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$23))</f>
        <v>0</v>
      </c>
      <c r="H26" s="14">
        <f>IF(OR(All_Questions_Q_GRID_EXPORT_CT="(None)",H$23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$23))</f>
        <v>0</v>
      </c>
      <c r="I26" s="14">
        <f>IF(OR(All_Questions_Q_GRID_EXPORT_CT="(None)",I$23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$23))</f>
        <v>0</v>
      </c>
      <c r="J26" s="14">
        <f>IF(OR(All_Questions_Q_GRID_EXPORT_CT="(None)",J$23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$23))</f>
        <v>0</v>
      </c>
      <c r="K26" s="14">
        <f>IF(OR(All_Questions_Q_GRID_EXPORT_CT="(None)",K$23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$23))</f>
        <v>0</v>
      </c>
      <c r="L26" s="14">
        <f>IF(OR(All_Questions_Q_GRID_EXPORT_CT="(None)",L$23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$23))</f>
        <v>0</v>
      </c>
      <c r="M26" s="14">
        <f>IF(OR(All_Questions_Q_GRID_EXPORT_CT="(None)",M$23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$23))</f>
        <v>0</v>
      </c>
      <c r="N26" s="14">
        <f>IF(OR(All_Questions_Q_GRID_EXPORT_CT="(None)",N$23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$23))</f>
        <v>0</v>
      </c>
      <c r="O26" s="14">
        <f>IF(OR(All_Questions_Q_GRID_EXPORT_CT="(None)",O$23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$23))</f>
        <v>0</v>
      </c>
      <c r="P26" s="14">
        <f>IF(OR(All_Questions_Q_GRID_EXPORT_CT="(None)",P$23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$23))</f>
        <v>0</v>
      </c>
      <c r="Q26" s="14">
        <f>IF(OR(All_Questions_Q_GRID_EXPORT_CT="(None)",Q$23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$23))</f>
        <v>0</v>
      </c>
      <c r="R26" s="14">
        <f>IF(OR(All_Questions_Q_GRID_EXPORT_CT="(None)",R$23=""),"",IF(R$23="Other",COUNTIFS(Q_GRID_EXPORTr2_data,"Selected",passes_workbook_filters_data,1,passes_workbook_custom_filters_data,1,All_Questions_passes_local_filters_data,1,All_Questions_Q_GRID_EXPORT_F_passes_per_q_filter_data,1)-SUM(G26,H26,I26,J26,K26,L26,M26,N26,O26,P26,Q26)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$23)))</f>
        <v>0</v>
      </c>
      <c r="S26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7">
      <c r="F27" s="4" t="inlineStr">
        <is>
          <t>Total respondents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8"/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Q_VERY_LONG_SINGLE_SELECT_EXPORT_NAME - Long sheet name export question</t>
        </is>
      </c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IFERROR(INDEX(All_Questions_Data_Names,MATCH(All_Questions_Q_VERY_LONG_SINGLE_SELECT_EXPORT_NAME_F_Q,All_Questions,0)),"'_RawData'!$A:$A")</f>
        <v>respondent_id_data</v>
      </c>
      <c r="G31" t="str">
        <f>"|" &amp; SUBSTITUTE(All_Questions_Q_VERY_LONG_SINGLE_SELECT_EXPORT_NAME_F_V,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3"/>
    <row r="34">
      <c r="A34" s="4" t="inlineStr">
        <is>
          <t>Option</t>
        </is>
      </c>
      <c r="B34" s="4" t="inlineStr">
        <is>
          <t>Count</t>
        </is>
      </c>
      <c r="C34" s="4" t="inlineStr">
        <is>
          <t>%</t>
        </is>
      </c>
      <c r="D34" s="4" t="inlineStr">
        <is>
          <t>Denominator</t>
        </is>
      </c>
      <c r="F34" s="4" t="inlineStr">
        <is>
          <t>Option</t>
        </is>
      </c>
      <c r="G34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4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4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4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4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4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4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4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4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4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4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4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4" s="4" t="inlineStr">
        <is>
          <t>Total</t>
        </is>
      </c>
    </row>
    <row r="35">
      <c r="A35" t="inlineStr">
        <is>
          <t>A</t>
        </is>
      </c>
      <c r="B35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5" s="7">
        <f>IFERROR(B35/SUBTOTAL(9,B35:B36),0)</f>
        <v>0.7</v>
      </c>
      <c r="D35" s="14">
        <f>SUBTOTAL(9,B35:B36)</f>
        <v>10</v>
      </c>
      <c r="F35" s="4" t="inlineStr"/>
      <c r="G35" s="4" t="inlineStr">
        <is>
          <t># of resp</t>
        </is>
      </c>
      <c r="H35" s="4" t="inlineStr">
        <is>
          <t># of resp</t>
        </is>
      </c>
      <c r="I35" s="4" t="inlineStr">
        <is>
          <t># of resp</t>
        </is>
      </c>
      <c r="J35" s="4" t="inlineStr">
        <is>
          <t># of resp</t>
        </is>
      </c>
      <c r="K35" s="4" t="inlineStr">
        <is>
          <t># of resp</t>
        </is>
      </c>
      <c r="L35" s="4" t="inlineStr">
        <is>
          <t># of resp</t>
        </is>
      </c>
      <c r="M35" s="4" t="inlineStr">
        <is>
          <t># of resp</t>
        </is>
      </c>
      <c r="N35" s="4" t="inlineStr">
        <is>
          <t># of resp</t>
        </is>
      </c>
      <c r="O35" s="4" t="inlineStr">
        <is>
          <t># of resp</t>
        </is>
      </c>
      <c r="P35" s="4" t="inlineStr">
        <is>
          <t># of resp</t>
        </is>
      </c>
      <c r="Q35" s="4" t="inlineStr">
        <is>
          <t># of resp</t>
        </is>
      </c>
      <c r="R35" s="4" t="inlineStr">
        <is>
          <t># of resp</t>
        </is>
      </c>
      <c r="S35" s="4" t="inlineStr">
        <is>
          <t># of resp</t>
        </is>
      </c>
    </row>
    <row r="36">
      <c r="A36" t="inlineStr">
        <is>
          <t>B</t>
        </is>
      </c>
      <c r="B36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36" s="7">
        <f>IFERROR(B36/SUBTOTAL(9,B35:B36),0)</f>
        <v>0.3</v>
      </c>
      <c r="D36" s="14">
        <f>SUBTOTAL(9,B35:B36)</f>
        <v>10</v>
      </c>
      <c r="F36" t="inlineStr">
        <is>
          <t>A</t>
        </is>
      </c>
      <c r="G36" s="14">
        <f>IF(OR(All_Questions_Q_VERY_LONG_SINGLE_SELECT_EXPORT_NAME_CT="(None)",G$34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$34))</f>
        <v>0</v>
      </c>
      <c r="H36" s="14">
        <f>IF(OR(All_Questions_Q_VERY_LONG_SINGLE_SELECT_EXPORT_NAME_CT="(None)",H$34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$34))</f>
        <v>0</v>
      </c>
      <c r="I36" s="14">
        <f>IF(OR(All_Questions_Q_VERY_LONG_SINGLE_SELECT_EXPORT_NAME_CT="(None)",I$34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$34))</f>
        <v>0</v>
      </c>
      <c r="J36" s="14">
        <f>IF(OR(All_Questions_Q_VERY_LONG_SINGLE_SELECT_EXPORT_NAME_CT="(None)",J$34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$34))</f>
        <v>0</v>
      </c>
      <c r="K36" s="14">
        <f>IF(OR(All_Questions_Q_VERY_LONG_SINGLE_SELECT_EXPORT_NAME_CT="(None)",K$34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$34))</f>
        <v>0</v>
      </c>
      <c r="L36" s="14">
        <f>IF(OR(All_Questions_Q_VERY_LONG_SINGLE_SELECT_EXPORT_NAME_CT="(None)",L$34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$34))</f>
        <v>0</v>
      </c>
      <c r="M36" s="14">
        <f>IF(OR(All_Questions_Q_VERY_LONG_SINGLE_SELECT_EXPORT_NAME_CT="(None)",M$34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$34))</f>
        <v>0</v>
      </c>
      <c r="N36" s="14">
        <f>IF(OR(All_Questions_Q_VERY_LONG_SINGLE_SELECT_EXPORT_NAME_CT="(None)",N$34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$34))</f>
        <v>0</v>
      </c>
      <c r="O36" s="14">
        <f>IF(OR(All_Questions_Q_VERY_LONG_SINGLE_SELECT_EXPORT_NAME_CT="(None)",O$34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$34))</f>
        <v>0</v>
      </c>
      <c r="P36" s="14">
        <f>IF(OR(All_Questions_Q_VERY_LONG_SINGLE_SELECT_EXPORT_NAME_CT="(None)",P$34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$34))</f>
        <v>0</v>
      </c>
      <c r="Q36" s="14">
        <f>IF(OR(All_Questions_Q_VERY_LONG_SINGLE_SELECT_EXPORT_NAME_CT="(None)",Q$34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$34))</f>
        <v>0</v>
      </c>
      <c r="R36" s="14">
        <f>IF(OR(All_Questions_Q_VERY_LONG_SINGLE_SELECT_EXPORT_NAME_CT="(None)",R$34=""),"",IF(R$34="Other",COUNTIFS(Q_VERY_LONG_SINGLE_SELECT_EXPOR_data,"A",passes_workbook_filters_data,1,passes_workbook_custom_filters_data,1,All_Questions_passes_local_filters_data,1,All_Questions_Q_VERY_LONG_SINGLE_SELECT_EXPORT_NAME_F_passes_per_q_filter_data,1)-SUM(G36,H36,I36,J36,K36,L36,M36,N36,O36,P36,Q36)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$34)))</f>
        <v>0</v>
      </c>
      <c r="S36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7">
      <c r="A37" s="15" t="inlineStr">
        <is>
          <t>Total respondents</t>
        </is>
      </c>
      <c r="B37" s="15" t="n">
        <v>10</v>
      </c>
      <c r="C37" s="15" t="n"/>
      <c r="D37" s="15" t="n"/>
      <c r="F37" t="inlineStr">
        <is>
          <t>B</t>
        </is>
      </c>
      <c r="G37" s="14">
        <f>IF(OR(All_Questions_Q_VERY_LONG_SINGLE_SELECT_EXPORT_NAME_CT="(None)",G$34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$34))</f>
        <v>0</v>
      </c>
      <c r="H37" s="14">
        <f>IF(OR(All_Questions_Q_VERY_LONG_SINGLE_SELECT_EXPORT_NAME_CT="(None)",H$34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$34))</f>
        <v>0</v>
      </c>
      <c r="I37" s="14">
        <f>IF(OR(All_Questions_Q_VERY_LONG_SINGLE_SELECT_EXPORT_NAME_CT="(None)",I$34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$34))</f>
        <v>0</v>
      </c>
      <c r="J37" s="14">
        <f>IF(OR(All_Questions_Q_VERY_LONG_SINGLE_SELECT_EXPORT_NAME_CT="(None)",J$34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$34))</f>
        <v>0</v>
      </c>
      <c r="K37" s="14">
        <f>IF(OR(All_Questions_Q_VERY_LONG_SINGLE_SELECT_EXPORT_NAME_CT="(None)",K$34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$34))</f>
        <v>0</v>
      </c>
      <c r="L37" s="14">
        <f>IF(OR(All_Questions_Q_VERY_LONG_SINGLE_SELECT_EXPORT_NAME_CT="(None)",L$34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$34))</f>
        <v>0</v>
      </c>
      <c r="M37" s="14">
        <f>IF(OR(All_Questions_Q_VERY_LONG_SINGLE_SELECT_EXPORT_NAME_CT="(None)",M$34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$34))</f>
        <v>0</v>
      </c>
      <c r="N37" s="14">
        <f>IF(OR(All_Questions_Q_VERY_LONG_SINGLE_SELECT_EXPORT_NAME_CT="(None)",N$34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$34))</f>
        <v>0</v>
      </c>
      <c r="O37" s="14">
        <f>IF(OR(All_Questions_Q_VERY_LONG_SINGLE_SELECT_EXPORT_NAME_CT="(None)",O$34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$34))</f>
        <v>0</v>
      </c>
      <c r="P37" s="14">
        <f>IF(OR(All_Questions_Q_VERY_LONG_SINGLE_SELECT_EXPORT_NAME_CT="(None)",P$34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$34))</f>
        <v>0</v>
      </c>
      <c r="Q37" s="14">
        <f>IF(OR(All_Questions_Q_VERY_LONG_SINGLE_SELECT_EXPORT_NAME_CT="(None)",Q$34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$34))</f>
        <v>0</v>
      </c>
      <c r="R37" s="14">
        <f>IF(OR(All_Questions_Q_VERY_LONG_SINGLE_SELECT_EXPORT_NAME_CT="(None)",R$34=""),"",IF(R$34="Other",COUNTIFS(Q_VERY_LONG_SINGLE_SELECT_EXPOR_data,"B",passes_workbook_filters_data,1,passes_workbook_custom_filters_data,1,All_Questions_passes_local_filters_data,1,All_Questions_Q_VERY_LONG_SINGLE_SELECT_EXPORT_NAME_F_passes_per_q_filter_data,1)-SUM(G37,H37,I37,J37,K37,L37,M37,N37,O37,P37,Q37)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$34)))</f>
        <v>0</v>
      </c>
      <c r="S37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8">
      <c r="F38" s="4" t="inlineStr">
        <is>
          <t>Total respondents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5:N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5:O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5:P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5:Q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5:R2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5:B3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5:C3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6:G3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6:H3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6:I3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6:J3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6:K3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6:L3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6:M3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6:N3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6:O3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6:P3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6:Q3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6:R3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2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4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Theme One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Theme_One_Q_MS_EXPORT_CT = G$27</t>
        </is>
      </c>
      <c r="H9">
        <f>IF(OR(Theme_One_Q_MS_EXPORT_CT="(None)",G$27=""),"",IF(G$27="Other","",IFERROR(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2026-06-08T09:16:58.677878+00:00</t>
        </is>
      </c>
    </row>
    <row r="10">
      <c r="A10" t="inlineStr">
        <is>
          <t>Theme One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Theme_One_Q_MS_EXPORT_CT = H$27</t>
        </is>
      </c>
      <c r="H10">
        <f>IF(OR(Theme_One_Q_MS_EXPORT_CT="(None)",H$27=""),"",IF(H$27="Other","",IFERROR(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2026-06-08T09:16:58.678179+00:00</t>
        </is>
      </c>
    </row>
    <row r="11">
      <c r="A11" t="inlineStr">
        <is>
          <t>Theme One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Theme_One_Q_MS_EXPORT_CT = I$27</t>
        </is>
      </c>
      <c r="H11">
        <f>IF(OR(Theme_One_Q_MS_EXPORT_CT="(None)",I$27=""),"",IF(I$27="Other","",IFERROR(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2026-06-08T09:16:58.678394+00:00</t>
        </is>
      </c>
    </row>
    <row r="12">
      <c r="A12" t="inlineStr">
        <is>
          <t>Theme One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Theme_One_Q_MS_EXPORT_CT = J$27</t>
        </is>
      </c>
      <c r="H12">
        <f>IF(OR(Theme_One_Q_MS_EXPORT_CT="(None)",J$27=""),"",IF(J$27="Other","",IFERROR(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2026-06-08T09:16:58.678594+00:00</t>
        </is>
      </c>
    </row>
    <row r="13">
      <c r="A13" t="inlineStr">
        <is>
          <t>Theme One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Theme_One_Q_MS_EXPORT_CT = K$27</t>
        </is>
      </c>
      <c r="H13">
        <f>IF(OR(Theme_One_Q_MS_EXPORT_CT="(None)",K$27=""),"",IF(K$27="Other","",IFERROR(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2026-06-08T09:16:58.678792+00:00</t>
        </is>
      </c>
    </row>
    <row r="14">
      <c r="A14" t="inlineStr">
        <is>
          <t>Theme One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Theme_One_Q_MS_EXPORT_CT = L$27</t>
        </is>
      </c>
      <c r="H14">
        <f>IF(OR(Theme_One_Q_MS_EXPORT_CT="(None)",L$27=""),"",IF(L$27="Other","",IFERROR(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2026-06-08T09:16:58.678990+00:00</t>
        </is>
      </c>
    </row>
    <row r="15">
      <c r="A15" t="inlineStr">
        <is>
          <t>Theme One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Theme_One_Q_MS_EXPORT_CT = M$27</t>
        </is>
      </c>
      <c r="H15">
        <f>IF(OR(Theme_One_Q_MS_EXPORT_CT="(None)",M$27=""),"",IF(M$27="Other","",IFERROR(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2026-06-08T09:16:58.679235+00:00</t>
        </is>
      </c>
    </row>
    <row r="16">
      <c r="A16" t="inlineStr">
        <is>
          <t>Theme One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Theme_One_Q_MS_EXPORT_CT = N$27</t>
        </is>
      </c>
      <c r="H16">
        <f>IF(OR(Theme_One_Q_MS_EXPORT_CT="(None)",N$27=""),"",IF(N$27="Other","",IFERROR(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2026-06-08T09:16:58.679435+00:00</t>
        </is>
      </c>
    </row>
    <row r="17">
      <c r="A17" t="inlineStr">
        <is>
          <t>Theme One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Theme_One_Q_MS_EXPORT_CT = O$27</t>
        </is>
      </c>
      <c r="H17">
        <f>IF(OR(Theme_One_Q_MS_EXPORT_CT="(None)",O$27=""),"",IF(O$27="Other","",IFERROR(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2026-06-08T09:16:58.679632+00:00</t>
        </is>
      </c>
    </row>
    <row r="18">
      <c r="A18" t="inlineStr">
        <is>
          <t>Theme One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Theme_One_Q_MS_EXPORT_CT = P$27</t>
        </is>
      </c>
      <c r="H18">
        <f>IF(OR(Theme_One_Q_MS_EXPORT_CT="(None)",P$27=""),"",IF(P$27="Other","",IFERROR(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2026-06-08T09:16:58.679830+00:00</t>
        </is>
      </c>
    </row>
    <row r="19">
      <c r="A19" t="inlineStr">
        <is>
          <t>Theme One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Theme_One_Q_MS_EXPORT_CT = Q$27</t>
        </is>
      </c>
      <c r="H19">
        <f>IF(OR(Theme_One_Q_MS_EXPORT_CT="(None)",Q$27=""),"",IF(Q$27="Other","",IFERROR(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2026-06-08T09:16:58.680032+00:00</t>
        </is>
      </c>
    </row>
    <row r="20">
      <c r="A20" t="inlineStr">
        <is>
          <t>Theme One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Theme_One_Q_MS_EXPORT_CT = R$27</t>
        </is>
      </c>
      <c r="H20">
        <f>IF(OR(Theme_One_Q_MS_EXPORT_CT="(None)",R$27=""),"",IF(R$27="Other","",IFERROR(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2026-06-08T09:16:58.680336+00:00</t>
        </is>
      </c>
    </row>
    <row r="21">
      <c r="A21" t="inlineStr">
        <is>
          <t>Theme One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Theme_One_Q_MS_EXPORT_CT = G$27</t>
        </is>
      </c>
      <c r="H21">
        <f>IF(OR(Theme_One_Q_MS_EXPORT_CT="(None)",G$27=""),"",IF(G$27="Other","",IFERROR(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2026-06-08T09:16:58.680694+00:00</t>
        </is>
      </c>
    </row>
    <row r="22">
      <c r="A22" t="inlineStr">
        <is>
          <t>Theme One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Theme_One_Q_MS_EXPORT_CT = H$27</t>
        </is>
      </c>
      <c r="H22">
        <f>IF(OR(Theme_One_Q_MS_EXPORT_CT="(None)",H$27=""),"",IF(H$27="Other","",IFERROR(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2026-06-08T09:16:58.680891+00:00</t>
        </is>
      </c>
    </row>
    <row r="23">
      <c r="A23" t="inlineStr">
        <is>
          <t>Theme One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Theme_One_Q_MS_EXPORT_CT = I$27</t>
        </is>
      </c>
      <c r="H23">
        <f>IF(OR(Theme_One_Q_MS_EXPORT_CT="(None)",I$27=""),"",IF(I$27="Other","",IFERROR(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2026-06-08T09:16:58.681104+00:00</t>
        </is>
      </c>
    </row>
    <row r="24">
      <c r="A24" t="inlineStr">
        <is>
          <t>Theme One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Theme_One_Q_MS_EXPORT_CT = J$27</t>
        </is>
      </c>
      <c r="H24">
        <f>IF(OR(Theme_One_Q_MS_EXPORT_CT="(None)",J$27=""),"",IF(J$27="Other","",IFERROR(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2026-06-08T09:16:58.681357+00:00</t>
        </is>
      </c>
    </row>
    <row r="25">
      <c r="A25" t="inlineStr">
        <is>
          <t>Theme One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Theme_One_Q_MS_EXPORT_CT = K$27</t>
        </is>
      </c>
      <c r="H25">
        <f>IF(OR(Theme_One_Q_MS_EXPORT_CT="(None)",K$27=""),"",IF(K$27="Other","",IFERROR(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2026-06-08T09:16:58.681558+00:00</t>
        </is>
      </c>
    </row>
    <row r="26">
      <c r="A26" t="inlineStr">
        <is>
          <t>Theme One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Theme_One_Q_MS_EXPORT_CT = L$27</t>
        </is>
      </c>
      <c r="H26">
        <f>IF(OR(Theme_One_Q_MS_EXPORT_CT="(None)",L$27=""),"",IF(L$27="Other","",IFERROR(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2026-06-08T09:16:58.681753+00:00</t>
        </is>
      </c>
    </row>
    <row r="27">
      <c r="A27" t="inlineStr">
        <is>
          <t>Theme One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Theme_One_Q_MS_EXPORT_CT = M$27</t>
        </is>
      </c>
      <c r="H27">
        <f>IF(OR(Theme_One_Q_MS_EXPORT_CT="(None)",M$27=""),"",IF(M$27="Other","",IFERROR(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2026-06-08T09:16:58.681946+00:00</t>
        </is>
      </c>
    </row>
    <row r="28">
      <c r="A28" t="inlineStr">
        <is>
          <t>Theme One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Theme_One_Q_MS_EXPORT_CT = N$27</t>
        </is>
      </c>
      <c r="H28">
        <f>IF(OR(Theme_One_Q_MS_EXPORT_CT="(None)",N$27=""),"",IF(N$27="Other","",IFERROR(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2026-06-08T09:16:58.682189+00:00</t>
        </is>
      </c>
    </row>
    <row r="29">
      <c r="A29" t="inlineStr">
        <is>
          <t>Theme One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Theme_One_Q_MS_EXPORT_CT = O$27</t>
        </is>
      </c>
      <c r="H29">
        <f>IF(OR(Theme_One_Q_MS_EXPORT_CT="(None)",O$27=""),"",IF(O$27="Other","",IFERROR(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2026-06-08T09:16:58.682445+00:00</t>
        </is>
      </c>
    </row>
    <row r="30">
      <c r="A30" t="inlineStr">
        <is>
          <t>Theme One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Theme_One_Q_MS_EXPORT_CT = P$27</t>
        </is>
      </c>
      <c r="H30">
        <f>IF(OR(Theme_One_Q_MS_EXPORT_CT="(None)",P$27=""),"",IF(P$27="Other","",IFERROR(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2026-06-08T09:16:58.682644+00:00</t>
        </is>
      </c>
    </row>
    <row r="31">
      <c r="A31" t="inlineStr">
        <is>
          <t>Theme One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Theme_One_Q_MS_EXPORT_CT = Q$27</t>
        </is>
      </c>
      <c r="H31">
        <f>IF(OR(Theme_One_Q_MS_EXPORT_CT="(None)",Q$27=""),"",IF(Q$27="Other","",IFERROR(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2026-06-08T09:16:58.682840+00:00</t>
        </is>
      </c>
    </row>
    <row r="32">
      <c r="A32" t="inlineStr">
        <is>
          <t>Theme One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Theme_One_Q_MS_EXPORT_CT = R$27</t>
        </is>
      </c>
      <c r="H32">
        <f>IF(OR(Theme_One_Q_MS_EXPORT_CT="(None)",R$27=""),"",IF(R$27="Other","",IFERROR(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$27)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All_Questions_Data_Names,MATCH(Theme_One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2026-06-08T09:16:58.683139+00:00</t>
        </is>
      </c>
    </row>
    <row r="33">
      <c r="A33" t="inlineStr">
        <is>
          <t>Theme Two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Theme_Two_Q_NUM_EXPORT_CT = G$23</t>
        </is>
      </c>
      <c r="H33">
        <f>IF(OR(Theme_Two_Q_NUM_EXPORT_CT="(None)",G$23=""),"",IF(G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G$23),"")))</f>
        <v>0</v>
      </c>
      <c r="I33" t="n">
        <v>5.5</v>
      </c>
      <c r="J33" t="n">
        <v>0</v>
      </c>
      <c r="K33" t="n">
        <v>0</v>
      </c>
      <c r="L33" t="inlineStr">
        <is>
          <t>2026-06-08T09:16:58.713105+00:00</t>
        </is>
      </c>
    </row>
    <row r="34">
      <c r="A34" t="inlineStr">
        <is>
          <t>Theme Two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Theme_Two_Q_NUM_EXPORT_CT = H$23</t>
        </is>
      </c>
      <c r="H34">
        <f>IF(OR(Theme_Two_Q_NUM_EXPORT_CT="(None)",H$23=""),"",IF(H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H$23),"")))</f>
        <v>0</v>
      </c>
      <c r="I34" t="n">
        <v>5.5</v>
      </c>
      <c r="J34" t="n">
        <v>0</v>
      </c>
      <c r="K34" t="n">
        <v>0</v>
      </c>
      <c r="L34" t="inlineStr">
        <is>
          <t>2026-06-08T09:16:58.713303+00:00</t>
        </is>
      </c>
    </row>
    <row r="35">
      <c r="A35" t="inlineStr">
        <is>
          <t>Theme Two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Theme_Two_Q_NUM_EXPORT_CT = I$23</t>
        </is>
      </c>
      <c r="H35">
        <f>IF(OR(Theme_Two_Q_NUM_EXPORT_CT="(None)",I$23=""),"",IF(I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I$23),"")))</f>
        <v>0</v>
      </c>
      <c r="I35" t="n">
        <v>5.5</v>
      </c>
      <c r="J35" t="n">
        <v>0</v>
      </c>
      <c r="K35" t="n">
        <v>0</v>
      </c>
      <c r="L35" t="inlineStr">
        <is>
          <t>2026-06-08T09:16:58.713448+00:00</t>
        </is>
      </c>
    </row>
    <row r="36">
      <c r="A36" t="inlineStr">
        <is>
          <t>Theme Two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Theme_Two_Q_NUM_EXPORT_CT = J$23</t>
        </is>
      </c>
      <c r="H36">
        <f>IF(OR(Theme_Two_Q_NUM_EXPORT_CT="(None)",J$23=""),"",IF(J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J$23),"")))</f>
        <v>0</v>
      </c>
      <c r="I36" t="n">
        <v>5.5</v>
      </c>
      <c r="J36" t="n">
        <v>0</v>
      </c>
      <c r="K36" t="n">
        <v>0</v>
      </c>
      <c r="L36" t="inlineStr">
        <is>
          <t>2026-06-08T09:16:58.713587+00:00</t>
        </is>
      </c>
    </row>
    <row r="37">
      <c r="A37" t="inlineStr">
        <is>
          <t>Theme Two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Theme_Two_Q_NUM_EXPORT_CT = K$23</t>
        </is>
      </c>
      <c r="H37">
        <f>IF(OR(Theme_Two_Q_NUM_EXPORT_CT="(None)",K$23=""),"",IF(K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K$23),"")))</f>
        <v>0</v>
      </c>
      <c r="I37" t="n">
        <v>5.5</v>
      </c>
      <c r="J37" t="n">
        <v>0</v>
      </c>
      <c r="K37" t="n">
        <v>0</v>
      </c>
      <c r="L37" t="inlineStr">
        <is>
          <t>2026-06-08T09:16:58.713724+00:00</t>
        </is>
      </c>
    </row>
    <row r="38">
      <c r="A38" t="inlineStr">
        <is>
          <t>Theme Two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Theme_Two_Q_NUM_EXPORT_CT = L$23</t>
        </is>
      </c>
      <c r="H38">
        <f>IF(OR(Theme_Two_Q_NUM_EXPORT_CT="(None)",L$23=""),"",IF(L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L$23),"")))</f>
        <v>0</v>
      </c>
      <c r="I38" t="n">
        <v>5.5</v>
      </c>
      <c r="J38" t="n">
        <v>0</v>
      </c>
      <c r="K38" t="n">
        <v>0</v>
      </c>
      <c r="L38" t="inlineStr">
        <is>
          <t>2026-06-08T09:16:58.713863+00:00</t>
        </is>
      </c>
    </row>
    <row r="39">
      <c r="A39" t="inlineStr">
        <is>
          <t>Theme Two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Theme_Two_Q_NUM_EXPORT_CT = M$23</t>
        </is>
      </c>
      <c r="H39">
        <f>IF(OR(Theme_Two_Q_NUM_EXPORT_CT="(None)",M$23=""),"",IF(M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M$23),"")))</f>
        <v>0</v>
      </c>
      <c r="I39" t="n">
        <v>5.5</v>
      </c>
      <c r="J39" t="n">
        <v>0</v>
      </c>
      <c r="K39" t="n">
        <v>0</v>
      </c>
      <c r="L39" t="inlineStr">
        <is>
          <t>2026-06-08T09:16:58.713998+00:00</t>
        </is>
      </c>
    </row>
    <row r="40">
      <c r="A40" t="inlineStr">
        <is>
          <t>Theme Two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Theme_Two_Q_NUM_EXPORT_CT = N$23</t>
        </is>
      </c>
      <c r="H40">
        <f>IF(OR(Theme_Two_Q_NUM_EXPORT_CT="(None)",N$23=""),"",IF(N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N$23),"")))</f>
        <v>0</v>
      </c>
      <c r="I40" t="n">
        <v>5.5</v>
      </c>
      <c r="J40" t="n">
        <v>0</v>
      </c>
      <c r="K40" t="n">
        <v>0</v>
      </c>
      <c r="L40" t="inlineStr">
        <is>
          <t>2026-06-08T09:16:58.714179+00:00</t>
        </is>
      </c>
    </row>
    <row r="41">
      <c r="A41" t="inlineStr">
        <is>
          <t>Theme Two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Theme_Two_Q_NUM_EXPORT_CT = O$23</t>
        </is>
      </c>
      <c r="H41">
        <f>IF(OR(Theme_Two_Q_NUM_EXPORT_CT="(None)",O$23=""),"",IF(O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O$23),"")))</f>
        <v>0</v>
      </c>
      <c r="I41" t="n">
        <v>5.5</v>
      </c>
      <c r="J41" t="n">
        <v>0</v>
      </c>
      <c r="K41" t="n">
        <v>0</v>
      </c>
      <c r="L41" t="inlineStr">
        <is>
          <t>2026-06-08T09:16:58.714322+00:00</t>
        </is>
      </c>
    </row>
    <row r="42">
      <c r="A42" t="inlineStr">
        <is>
          <t>Theme Two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Theme_Two_Q_NUM_EXPORT_CT = P$23</t>
        </is>
      </c>
      <c r="H42">
        <f>IF(OR(Theme_Two_Q_NUM_EXPORT_CT="(None)",P$23=""),"",IF(P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P$23),"")))</f>
        <v>0</v>
      </c>
      <c r="I42" t="n">
        <v>5.5</v>
      </c>
      <c r="J42" t="n">
        <v>0</v>
      </c>
      <c r="K42" t="n">
        <v>0</v>
      </c>
      <c r="L42" t="inlineStr">
        <is>
          <t>2026-06-08T09:16:58.714460+00:00</t>
        </is>
      </c>
    </row>
    <row r="43">
      <c r="A43" t="inlineStr">
        <is>
          <t>Theme Two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Theme_Two_Q_NUM_EXPORT_CT = Q$23</t>
        </is>
      </c>
      <c r="H43">
        <f>IF(OR(Theme_Two_Q_NUM_EXPORT_CT="(None)",Q$23=""),"",IF(Q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Q$23),"")))</f>
        <v>0</v>
      </c>
      <c r="I43" t="n">
        <v>5.5</v>
      </c>
      <c r="J43" t="n">
        <v>0</v>
      </c>
      <c r="K43" t="n">
        <v>0</v>
      </c>
      <c r="L43" t="inlineStr">
        <is>
          <t>2026-06-08T09:16:58.714598+00:00</t>
        </is>
      </c>
    </row>
    <row r="44">
      <c r="A44" t="inlineStr">
        <is>
          <t>Theme Two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Theme_Two_Q_NUM_EXPORT_CT = R$23</t>
        </is>
      </c>
      <c r="H44">
        <f>IF(OR(Theme_Two_Q_NUM_EXPORT_CT="(None)",R$23=""),"",IF(R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R$23),"")))</f>
        <v>0</v>
      </c>
      <c r="I44" t="n">
        <v>5.5</v>
      </c>
      <c r="J44" t="n">
        <v>0</v>
      </c>
      <c r="K44" t="n">
        <v>0</v>
      </c>
      <c r="L44" t="inlineStr">
        <is>
          <t>2026-06-08T09:16:58.714792+00:00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2026-06-08T09:16:58Z</dcterms:created>
  <dcterms:modified xmlns:dcterms="http://purl.org/dc/terms/" xmlns:xsi="http://www.w3.org/2001/XMLSchema-instance" xsi:type="dcterms:W3CDTF">2026-06-08T09:16:58Z</dcterms:modified>
</cp:coreProperties>
</file>