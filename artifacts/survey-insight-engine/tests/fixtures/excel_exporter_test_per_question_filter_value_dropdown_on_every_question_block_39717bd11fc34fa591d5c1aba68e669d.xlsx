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tables/table8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'_Options'!$J$2:$J$3</definedName>
    <definedName name="Q_GRID_EXPORTr1_local_options">'_Options'!$T$2:$T$4</definedName>
    <definedName name="Q_GRID_EXPORTr2_options">'_Options'!$K$2:$K$3</definedName>
    <definedName name="Q_GRID_EXPORTr2_local_options">'_Options'!$U$2:$U$4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'_Options'!$C$2:$C$7</definedName>
    <definedName name="All_Questions_Options_Names">'_Options'!$D$2:$D$7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'_RawData'!$S$2:$S$11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'_RawData'!$T$2:$T$11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'_RawData'!$U$2:$U$11</definedName>
    <definedName name="All_Questions_Q_VERY_LONG_SINGLE_SELECT_EXPORT_NAME_CT">'All Questions'!$C$56</definedName>
    <definedName name="All_Questions_Q_EXTRA_1_F_Q">'All Questions'!$C$65</definedName>
    <definedName name="All_Questions_Q_EXTRA_1_F_V">'All Questions'!$E$65</definedName>
    <definedName name="All_Questions_Q_EXTRA_1_F_resolved_column">'All Questions'!$F$65</definedName>
    <definedName name="All_Questions_Q_EXTRA_1_F_wrapped">'All Questions'!$G$65</definedName>
    <definedName name="All_Questions_Q_EXTRA_1_F_passes_per_q_filter_data">'_RawData'!$V$2:$V$11</definedName>
    <definedName name="All_Questions_Q_EXTRA_1_CT">'All Questions'!$C$66</definedName>
    <definedName name="All_Questions_Q_EXTRA_2_F_Q">'All Questions'!$C$75</definedName>
    <definedName name="All_Questions_Q_EXTRA_2_F_V">'All Questions'!$E$75</definedName>
    <definedName name="All_Questions_Q_EXTRA_2_F_resolved_column">'All Questions'!$F$75</definedName>
    <definedName name="All_Questions_Q_EXTRA_2_F_wrapped">'All Questions'!$G$75</definedName>
    <definedName name="All_Questions_Q_EXTRA_2_F_passes_per_q_filter_data">'_RawData'!$W$2:$W$11</definedName>
    <definedName name="All_Questions_Q_EXTRA_2_CT">'All Questions'!$C$76</definedName>
    <definedName name="All_Questions_Q_EXTRA_3_F_Q">'All Questions'!$C$85</definedName>
    <definedName name="All_Questions_Q_EXTRA_3_F_V">'All Questions'!$E$85</definedName>
    <definedName name="All_Questions_Q_EXTRA_3_F_resolved_column">'All Questions'!$F$85</definedName>
    <definedName name="All_Questions_Q_EXTRA_3_F_wrapped">'All Questions'!$G$85</definedName>
    <definedName name="All_Questions_Q_EXTRA_3_F_passes_per_q_filter_data">'_RawData'!$X$2:$X$11</definedName>
    <definedName name="All_Questions_Q_EXTRA_3_CT">'All Questions'!$C$86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  <c r="F65" i="7"/>
  <c r="G65" i="7"/>
  <c r="G68" i="7"/>
  <c r="H68" i="7"/>
  <c r="I68" i="7"/>
  <c r="J68" i="7"/>
  <c r="K68" i="7"/>
  <c r="L68" i="7"/>
  <c r="M68" i="7"/>
  <c r="N68" i="7"/>
  <c r="O68" i="7"/>
  <c r="P68" i="7"/>
  <c r="Q68" i="7"/>
  <c r="R68" i="7"/>
  <c r="B69" i="7"/>
  <c r="C69" i="7"/>
  <c r="D69" i="7"/>
  <c r="B70" i="7"/>
  <c r="C70" i="7"/>
  <c r="D70" i="7"/>
  <c r="G70" i="7"/>
  <c r="H70" i="7"/>
  <c r="I70" i="7"/>
  <c r="J70" i="7"/>
  <c r="K70" i="7"/>
  <c r="L70" i="7"/>
  <c r="M70" i="7"/>
  <c r="N70" i="7"/>
  <c r="O70" i="7"/>
  <c r="P70" i="7"/>
  <c r="Q70" i="7"/>
  <c r="R70" i="7"/>
  <c r="S70" i="7"/>
  <c r="G71" i="7"/>
  <c r="H71" i="7"/>
  <c r="I71" i="7"/>
  <c r="J71" i="7"/>
  <c r="K71" i="7"/>
  <c r="L71" i="7"/>
  <c r="M71" i="7"/>
  <c r="N71" i="7"/>
  <c r="O71" i="7"/>
  <c r="P71" i="7"/>
  <c r="Q71" i="7"/>
  <c r="R71" i="7"/>
  <c r="S71" i="7"/>
  <c r="S72" i="7"/>
  <c r="F75" i="7"/>
  <c r="G75" i="7"/>
  <c r="G78" i="7"/>
  <c r="H78" i="7"/>
  <c r="I78" i="7"/>
  <c r="J78" i="7"/>
  <c r="K78" i="7"/>
  <c r="L78" i="7"/>
  <c r="M78" i="7"/>
  <c r="N78" i="7"/>
  <c r="O78" i="7"/>
  <c r="P78" i="7"/>
  <c r="Q78" i="7"/>
  <c r="R78" i="7"/>
  <c r="B79" i="7"/>
  <c r="C79" i="7"/>
  <c r="D79" i="7"/>
  <c r="B80" i="7"/>
  <c r="C80" i="7"/>
  <c r="D80" i="7"/>
  <c r="G80" i="7"/>
  <c r="H80" i="7"/>
  <c r="I80" i="7"/>
  <c r="J80" i="7"/>
  <c r="K80" i="7"/>
  <c r="L80" i="7"/>
  <c r="M80" i="7"/>
  <c r="N80" i="7"/>
  <c r="O80" i="7"/>
  <c r="P80" i="7"/>
  <c r="Q80" i="7"/>
  <c r="R80" i="7"/>
  <c r="S80" i="7"/>
  <c r="G81" i="7"/>
  <c r="H81" i="7"/>
  <c r="I81" i="7"/>
  <c r="J81" i="7"/>
  <c r="K81" i="7"/>
  <c r="L81" i="7"/>
  <c r="M81" i="7"/>
  <c r="N81" i="7"/>
  <c r="O81" i="7"/>
  <c r="P81" i="7"/>
  <c r="Q81" i="7"/>
  <c r="R81" i="7"/>
  <c r="S81" i="7"/>
  <c r="S82" i="7"/>
  <c r="F85" i="7"/>
  <c r="G85" i="7"/>
  <c r="G88" i="7"/>
  <c r="H88" i="7"/>
  <c r="I88" i="7"/>
  <c r="J88" i="7"/>
  <c r="K88" i="7"/>
  <c r="L88" i="7"/>
  <c r="M88" i="7"/>
  <c r="N88" i="7"/>
  <c r="O88" i="7"/>
  <c r="P88" i="7"/>
  <c r="Q88" i="7"/>
  <c r="R88" i="7"/>
  <c r="B89" i="7"/>
  <c r="C89" i="7"/>
  <c r="D89" i="7"/>
  <c r="B90" i="7"/>
  <c r="C90" i="7"/>
  <c r="D90" i="7"/>
  <c r="G90" i="7"/>
  <c r="H90" i="7"/>
  <c r="I90" i="7"/>
  <c r="J90" i="7"/>
  <c r="K90" i="7"/>
  <c r="L90" i="7"/>
  <c r="M90" i="7"/>
  <c r="N90" i="7"/>
  <c r="O90" i="7"/>
  <c r="P90" i="7"/>
  <c r="Q90" i="7"/>
  <c r="R90" i="7"/>
  <c r="S90" i="7"/>
  <c r="G91" i="7"/>
  <c r="H91" i="7"/>
  <c r="I91" i="7"/>
  <c r="J91" i="7"/>
  <c r="K91" i="7"/>
  <c r="L91" i="7"/>
  <c r="M91" i="7"/>
  <c r="N91" i="7"/>
  <c r="O91" i="7"/>
  <c r="P91" i="7"/>
  <c r="Q91" i="7"/>
  <c r="R91" i="7"/>
  <c r="S91" i="7"/>
  <c r="S9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68_1" displayName="T_All_Questions_68_1" ref="A68:D71" headerRowCount="1">
  <autoFilter ref="A68:D7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78_1" displayName="T_All_Questions_78_1" ref="A78:D81" headerRowCount="1">
  <autoFilter ref="A78:D8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_All_Questions_88_1" displayName="T_All_Questions_88_1" ref="A88:D91" headerRowCount="1">
  <autoFilter ref="A88:D9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'_Options'!$M$2:$M$4</t>
        </is>
      </c>
      <c r="P5" t="inlineStr">
        <is>
          <t>No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'_RawData'!$J$2:$J$11</t>
        </is>
      </c>
      <c r="D6" t="inlineStr">
        <is>
          <t>'_Options'!$N$2:$N$4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'_RawData'!$K$2:$K$11</t>
        </is>
      </c>
      <c r="D7" t="inlineStr">
        <is>
          <t>'_Options'!$O$2:$O$4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3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</row>
    <row r="64">
      <c r="A64" s="12" t="inlineStr">
        <is>
          <t>Q_EXTRA_1 - Extra mixed block question 1</t>
        </is>
      </c>
      <c r="B64" s="12" t="n"/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</row>
    <row r="65">
      <c r="A65" s="13" t="inlineStr">
        <is>
          <t>Per-question filter</t>
        </is>
      </c>
      <c r="B65" t="inlineStr">
        <is>
          <t>Filter Q</t>
        </is>
      </c>
      <c r="C65" t="inlineStr">
        <is>
          <t>(None)</t>
        </is>
      </c>
      <c r="D65" t="inlineStr">
        <is>
          <t>Value</t>
        </is>
      </c>
      <c r="E65" t="inlineStr">
        <is>
          <t>(All)</t>
        </is>
      </c>
      <c r="F65" t="str">
        <f>IFERROR(INDEX(All_Questions_Data_Names,MATCH(All_Questions_Q_EXTRA_1_F_Q,All_Questions,0)),"'_RawData'!$A:$A")</f>
        <v>respondent_id_data</v>
      </c>
      <c r="G65" t="str">
        <f>"|" &amp; SUBSTITUTE(All_Questions_Q_EXTRA_1_F_V, ", ", "|") &amp; "|"</f>
        <v>|(All)|</v>
      </c>
    </row>
    <row r="66">
      <c r="A66" s="13" t="inlineStr">
        <is>
          <t>Cross-tab by</t>
        </is>
      </c>
      <c r="C66" t="inlineStr">
        <is>
          <t>(None)</t>
        </is>
      </c>
    </row>
    <row r="68">
      <c r="A68" s="4" t="inlineStr">
        <is>
          <t>Option</t>
        </is>
      </c>
      <c r="B68" s="4" t="inlineStr">
        <is>
          <t>Count</t>
        </is>
      </c>
      <c r="C68" s="4" t="inlineStr">
        <is>
          <t>%</t>
        </is>
      </c>
      <c r="D68" s="4" t="inlineStr">
        <is>
          <t>Denominator</t>
        </is>
      </c>
      <c r="F68" s="4" t="inlineStr">
        <is>
          <t>Option</t>
        </is>
      </c>
      <c r="G68" s="2" t="str">
        <f>IF(All_Questions_Q_EXTRA_1_CT="(None)","",IFERROR(INDEX(INDIRECT(IFERROR(INDEX(All_Questions_Options_Names,MATCH(All_Questions_Q_EXTRA_1_CT,All_Questions,0)),"'_Options'!$E$2:$E$2")),2),""))</f>
        <v/>
      </c>
      <c r="H68" s="2" t="str">
        <f>IF(All_Questions_Q_EXTRA_1_CT="(None)","",IFERROR(INDEX(INDIRECT(IFERROR(INDEX(All_Questions_Options_Names,MATCH(All_Questions_Q_EXTRA_1_CT,All_Questions,0)),"'_Options'!$E$2:$E$2")),3),""))</f>
        <v/>
      </c>
      <c r="I68" s="2" t="str">
        <f>IF(All_Questions_Q_EXTRA_1_CT="(None)","",IFERROR(INDEX(INDIRECT(IFERROR(INDEX(All_Questions_Options_Names,MATCH(All_Questions_Q_EXTRA_1_CT,All_Questions,0)),"'_Options'!$E$2:$E$2")),4),""))</f>
        <v/>
      </c>
      <c r="J68" s="2" t="str">
        <f>IF(All_Questions_Q_EXTRA_1_CT="(None)","",IFERROR(INDEX(INDIRECT(IFERROR(INDEX(All_Questions_Options_Names,MATCH(All_Questions_Q_EXTRA_1_CT,All_Questions,0)),"'_Options'!$E$2:$E$2")),5),""))</f>
        <v/>
      </c>
      <c r="K68" s="2" t="str">
        <f>IF(All_Questions_Q_EXTRA_1_CT="(None)","",IFERROR(INDEX(INDIRECT(IFERROR(INDEX(All_Questions_Options_Names,MATCH(All_Questions_Q_EXTRA_1_CT,All_Questions,0)),"'_Options'!$E$2:$E$2")),6),""))</f>
        <v/>
      </c>
      <c r="L68" s="2" t="str">
        <f>IF(All_Questions_Q_EXTRA_1_CT="(None)","",IFERROR(INDEX(INDIRECT(IFERROR(INDEX(All_Questions_Options_Names,MATCH(All_Questions_Q_EXTRA_1_CT,All_Questions,0)),"'_Options'!$E$2:$E$2")),7),""))</f>
        <v/>
      </c>
      <c r="M68" s="2" t="str">
        <f>IF(All_Questions_Q_EXTRA_1_CT="(None)","",IFERROR(INDEX(INDIRECT(IFERROR(INDEX(All_Questions_Options_Names,MATCH(All_Questions_Q_EXTRA_1_CT,All_Questions,0)),"'_Options'!$E$2:$E$2")),8),""))</f>
        <v/>
      </c>
      <c r="N68" s="2" t="str">
        <f>IF(All_Questions_Q_EXTRA_1_CT="(None)","",IFERROR(INDEX(INDIRECT(IFERROR(INDEX(All_Questions_Options_Names,MATCH(All_Questions_Q_EXTRA_1_CT,All_Questions,0)),"'_Options'!$E$2:$E$2")),9),""))</f>
        <v/>
      </c>
      <c r="O68" s="2" t="str">
        <f>IF(All_Questions_Q_EXTRA_1_CT="(None)","",IFERROR(INDEX(INDIRECT(IFERROR(INDEX(All_Questions_Options_Names,MATCH(All_Questions_Q_EXTRA_1_CT,All_Questions,0)),"'_Options'!$E$2:$E$2")),10),""))</f>
        <v/>
      </c>
      <c r="P68" s="2" t="str">
        <f>IF(All_Questions_Q_EXTRA_1_CT="(None)","",IFERROR(INDEX(INDIRECT(IFERROR(INDEX(All_Questions_Options_Names,MATCH(All_Questions_Q_EXTRA_1_CT,All_Questions,0)),"'_Options'!$E$2:$E$2")),11),""))</f>
        <v/>
      </c>
      <c r="Q68" s="2" t="str">
        <f>IF(All_Questions_Q_EXTRA_1_CT="(None)","",IFERROR(INDEX(INDIRECT(IFERROR(INDEX(All_Questions_Options_Names,MATCH(All_Questions_Q_EXTRA_1_CT,All_Questions,0)),"'_Options'!$E$2:$E$2")),12),""))</f>
        <v/>
      </c>
      <c r="R68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68" s="4" t="inlineStr">
        <is>
          <t>Total</t>
        </is>
      </c>
    </row>
    <row r="69">
      <c r="A69" t="inlineStr">
        <is>
          <t>Extra 1 A</t>
        </is>
      </c>
      <c r="B69">
        <f>COUNTIFS(Q_EXTRA_1_data,"Extra 1 A",passes_workbook_filters_data,1,passes_workbook_custom_filters_data,1,All_Questions_passes_local_filters_data,1,All_Questions_Q_EXTRA_1_F_passes_per_q_filter_data,1)</f>
        <v>6</v>
      </c>
      <c r="C69" s="7">
        <f>IFERROR(B69/SUBTOTAL(9,B69:B70),0)</f>
        <v>0.6</v>
      </c>
      <c r="D69" s="14">
        <f>SUBTOTAL(9,B69:B70)</f>
        <v>10</v>
      </c>
      <c r="F69" s="4" t="inlineStr"/>
      <c r="G69" s="4" t="inlineStr">
        <is>
          <t># of resp</t>
        </is>
      </c>
      <c r="H69" s="4" t="inlineStr">
        <is>
          <t># of resp</t>
        </is>
      </c>
      <c r="I69" s="4" t="inlineStr">
        <is>
          <t># of resp</t>
        </is>
      </c>
      <c r="J69" s="4" t="inlineStr">
        <is>
          <t># of resp</t>
        </is>
      </c>
      <c r="K69" s="4" t="inlineStr">
        <is>
          <t># of resp</t>
        </is>
      </c>
      <c r="L69" s="4" t="inlineStr">
        <is>
          <t># of resp</t>
        </is>
      </c>
      <c r="M69" s="4" t="inlineStr">
        <is>
          <t># of resp</t>
        </is>
      </c>
      <c r="N69" s="4" t="inlineStr">
        <is>
          <t># of resp</t>
        </is>
      </c>
      <c r="O69" s="4" t="inlineStr">
        <is>
          <t># of resp</t>
        </is>
      </c>
      <c r="P69" s="4" t="inlineStr">
        <is>
          <t># of resp</t>
        </is>
      </c>
      <c r="Q69" s="4" t="inlineStr">
        <is>
          <t># of resp</t>
        </is>
      </c>
      <c r="R69" s="4" t="inlineStr">
        <is>
          <t># of resp</t>
        </is>
      </c>
      <c r="S69" s="4" t="inlineStr">
        <is>
          <t># of resp</t>
        </is>
      </c>
    </row>
    <row r="70">
      <c r="A70" t="inlineStr">
        <is>
          <t>Extra 1 B</t>
        </is>
      </c>
      <c r="B70">
        <f>COUNTIFS(Q_EXTRA_1_data,"Extra 1 B",passes_workbook_filters_data,1,passes_workbook_custom_filters_data,1,All_Questions_passes_local_filters_data,1,All_Questions_Q_EXTRA_1_F_passes_per_q_filter_data,1)</f>
        <v>4</v>
      </c>
      <c r="C70" s="7">
        <f>IFERROR(B70/SUBTOTAL(9,B69:B70),0)</f>
        <v>0.4</v>
      </c>
      <c r="D70" s="14">
        <f>SUBTOTAL(9,B69:B70)</f>
        <v>10</v>
      </c>
      <c r="F70" t="inlineStr">
        <is>
          <t>Extra 1 A</t>
        </is>
      </c>
      <c r="G70">
        <f>IF(OR(All_Questions_Q_EXTRA_1_CT="(None)",G$68=""),"",COUNTIFS(Q_EXTRA_1_data,"Extra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$68))</f>
        <v>0</v>
      </c>
      <c r="H70">
        <f>IF(OR(All_Questions_Q_EXTRA_1_CT="(None)",H$68=""),"",COUNTIFS(Q_EXTRA_1_data,"Extra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$68))</f>
        <v>0</v>
      </c>
      <c r="I70">
        <f>IF(OR(All_Questions_Q_EXTRA_1_CT="(None)",I$68=""),"",COUNTIFS(Q_EXTRA_1_data,"Extra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$68))</f>
        <v>0</v>
      </c>
      <c r="J70">
        <f>IF(OR(All_Questions_Q_EXTRA_1_CT="(None)",J$68=""),"",COUNTIFS(Q_EXTRA_1_data,"Extra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$68))</f>
        <v>0</v>
      </c>
      <c r="K70">
        <f>IF(OR(All_Questions_Q_EXTRA_1_CT="(None)",K$68=""),"",COUNTIFS(Q_EXTRA_1_data,"Extra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$68))</f>
        <v>0</v>
      </c>
      <c r="L70">
        <f>IF(OR(All_Questions_Q_EXTRA_1_CT="(None)",L$68=""),"",COUNTIFS(Q_EXTRA_1_data,"Extra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$68))</f>
        <v>0</v>
      </c>
      <c r="M70">
        <f>IF(OR(All_Questions_Q_EXTRA_1_CT="(None)",M$68=""),"",COUNTIFS(Q_EXTRA_1_data,"Extra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$68))</f>
        <v>0</v>
      </c>
      <c r="N70">
        <f>IF(OR(All_Questions_Q_EXTRA_1_CT="(None)",N$68=""),"",COUNTIFS(Q_EXTRA_1_data,"Extra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$68))</f>
        <v>0</v>
      </c>
      <c r="O70">
        <f>IF(OR(All_Questions_Q_EXTRA_1_CT="(None)",O$68=""),"",COUNTIFS(Q_EXTRA_1_data,"Extra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$68))</f>
        <v>0</v>
      </c>
      <c r="P70">
        <f>IF(OR(All_Questions_Q_EXTRA_1_CT="(None)",P$68=""),"",COUNTIFS(Q_EXTRA_1_data,"Extra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$68))</f>
        <v>0</v>
      </c>
      <c r="Q70">
        <f>IF(OR(All_Questions_Q_EXTRA_1_CT="(None)",Q$68=""),"",COUNTIFS(Q_EXTRA_1_data,"Extra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$68))</f>
        <v>0</v>
      </c>
      <c r="R70">
        <f>IF(OR(All_Questions_Q_EXTRA_1_CT="(None)",R$68=""),"",IF(R$68="Other",COUNTIFS(Q_EXTRA_1_data,"Extra 1 A",passes_workbook_filters_data,1,passes_workbook_custom_filters_data,1,All_Questions_passes_local_filters_data,1,All_Questions_Q_EXTRA_1_F_passes_per_q_filter_data,1)-SUM(G70,H70,I70,J70,K70,L70,M70,N70,O70,P70,Q70),COUNTIFS(Q_EXTRA_1_data,"Extra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$68)))</f>
        <v>0</v>
      </c>
      <c r="S70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1">
      <c r="A71" s="15" t="inlineStr">
        <is>
          <t>Total respondents</t>
        </is>
      </c>
      <c r="B71" s="15" t="n">
        <v>10</v>
      </c>
      <c r="C71" s="15" t="n"/>
      <c r="D71" s="15" t="n"/>
      <c r="F71" t="inlineStr">
        <is>
          <t>Extra 1 B</t>
        </is>
      </c>
      <c r="G71">
        <f>IF(OR(All_Questions_Q_EXTRA_1_CT="(None)",G$68=""),"",COUNTIFS(Q_EXTRA_1_data,"Extra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$68))</f>
        <v>0</v>
      </c>
      <c r="H71">
        <f>IF(OR(All_Questions_Q_EXTRA_1_CT="(None)",H$68=""),"",COUNTIFS(Q_EXTRA_1_data,"Extra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$68))</f>
        <v>0</v>
      </c>
      <c r="I71">
        <f>IF(OR(All_Questions_Q_EXTRA_1_CT="(None)",I$68=""),"",COUNTIFS(Q_EXTRA_1_data,"Extra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$68))</f>
        <v>0</v>
      </c>
      <c r="J71">
        <f>IF(OR(All_Questions_Q_EXTRA_1_CT="(None)",J$68=""),"",COUNTIFS(Q_EXTRA_1_data,"Extra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$68))</f>
        <v>0</v>
      </c>
      <c r="K71">
        <f>IF(OR(All_Questions_Q_EXTRA_1_CT="(None)",K$68=""),"",COUNTIFS(Q_EXTRA_1_data,"Extra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$68))</f>
        <v>0</v>
      </c>
      <c r="L71">
        <f>IF(OR(All_Questions_Q_EXTRA_1_CT="(None)",L$68=""),"",COUNTIFS(Q_EXTRA_1_data,"Extra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$68))</f>
        <v>0</v>
      </c>
      <c r="M71">
        <f>IF(OR(All_Questions_Q_EXTRA_1_CT="(None)",M$68=""),"",COUNTIFS(Q_EXTRA_1_data,"Extra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$68))</f>
        <v>0</v>
      </c>
      <c r="N71">
        <f>IF(OR(All_Questions_Q_EXTRA_1_CT="(None)",N$68=""),"",COUNTIFS(Q_EXTRA_1_data,"Extra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$68))</f>
        <v>0</v>
      </c>
      <c r="O71">
        <f>IF(OR(All_Questions_Q_EXTRA_1_CT="(None)",O$68=""),"",COUNTIFS(Q_EXTRA_1_data,"Extra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$68))</f>
        <v>0</v>
      </c>
      <c r="P71">
        <f>IF(OR(All_Questions_Q_EXTRA_1_CT="(None)",P$68=""),"",COUNTIFS(Q_EXTRA_1_data,"Extra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$68))</f>
        <v>0</v>
      </c>
      <c r="Q71">
        <f>IF(OR(All_Questions_Q_EXTRA_1_CT="(None)",Q$68=""),"",COUNTIFS(Q_EXTRA_1_data,"Extra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$68))</f>
        <v>0</v>
      </c>
      <c r="R71">
        <f>IF(OR(All_Questions_Q_EXTRA_1_CT="(None)",R$68=""),"",IF(R$68="Other",COUNTIFS(Q_EXTRA_1_data,"Extra 1 B",passes_workbook_filters_data,1,passes_workbook_custom_filters_data,1,All_Questions_passes_local_filters_data,1,All_Questions_Q_EXTRA_1_F_passes_per_q_filter_data,1)-SUM(G71,H71,I71,J71,K71,L71,M71,N71,O71,P71,Q71),COUNTIFS(Q_EXTRA_1_data,"Extra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$68)))</f>
        <v>0</v>
      </c>
      <c r="S71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2">
      <c r="F72" s="4" t="inlineStr">
        <is>
          <t>Total respondents</t>
        </is>
      </c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3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</row>
    <row r="74">
      <c r="A74" s="12" t="inlineStr">
        <is>
          <t>Q_EXTRA_2 - Extra mixed block question 2</t>
        </is>
      </c>
      <c r="B74" s="12" t="n"/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n"/>
      <c r="L74" s="12" t="n"/>
      <c r="M74" s="12" t="n"/>
      <c r="N74" s="12" t="n"/>
    </row>
    <row r="75">
      <c r="A75" s="13" t="inlineStr">
        <is>
          <t>Per-question filter</t>
        </is>
      </c>
      <c r="B75" t="inlineStr">
        <is>
          <t>Filter Q</t>
        </is>
      </c>
      <c r="C75" t="inlineStr">
        <is>
          <t>(None)</t>
        </is>
      </c>
      <c r="D75" t="inlineStr">
        <is>
          <t>Value</t>
        </is>
      </c>
      <c r="E75" t="inlineStr">
        <is>
          <t>(All)</t>
        </is>
      </c>
      <c r="F75" t="str">
        <f>IFERROR(INDEX(All_Questions_Data_Names,MATCH(All_Questions_Q_EXTRA_2_F_Q,All_Questions,0)),"'_RawData'!$A:$A")</f>
        <v>respondent_id_data</v>
      </c>
      <c r="G75" t="str">
        <f>"|" &amp; SUBSTITUTE(All_Questions_Q_EXTRA_2_F_V, ", ", "|") &amp; "|"</f>
        <v>|(All)|</v>
      </c>
    </row>
    <row r="76">
      <c r="A76" s="13" t="inlineStr">
        <is>
          <t>Cross-tab by</t>
        </is>
      </c>
      <c r="C76" t="inlineStr">
        <is>
          <t>(None)</t>
        </is>
      </c>
    </row>
    <row r="78">
      <c r="A78" s="4" t="inlineStr">
        <is>
          <t>Option</t>
        </is>
      </c>
      <c r="B78" s="4" t="inlineStr">
        <is>
          <t>Count</t>
        </is>
      </c>
      <c r="C78" s="4" t="inlineStr">
        <is>
          <t>%</t>
        </is>
      </c>
      <c r="D78" s="4" t="inlineStr">
        <is>
          <t>Denominator</t>
        </is>
      </c>
      <c r="F78" s="4" t="inlineStr">
        <is>
          <t>Option</t>
        </is>
      </c>
      <c r="G78" s="2" t="str">
        <f>IF(All_Questions_Q_EXTRA_2_CT="(None)","",IFERROR(INDEX(INDIRECT(IFERROR(INDEX(All_Questions_Options_Names,MATCH(All_Questions_Q_EXTRA_2_CT,All_Questions,0)),"'_Options'!$E$2:$E$2")),2),""))</f>
        <v/>
      </c>
      <c r="H78" s="2" t="str">
        <f>IF(All_Questions_Q_EXTRA_2_CT="(None)","",IFERROR(INDEX(INDIRECT(IFERROR(INDEX(All_Questions_Options_Names,MATCH(All_Questions_Q_EXTRA_2_CT,All_Questions,0)),"'_Options'!$E$2:$E$2")),3),""))</f>
        <v/>
      </c>
      <c r="I78" s="2" t="str">
        <f>IF(All_Questions_Q_EXTRA_2_CT="(None)","",IFERROR(INDEX(INDIRECT(IFERROR(INDEX(All_Questions_Options_Names,MATCH(All_Questions_Q_EXTRA_2_CT,All_Questions,0)),"'_Options'!$E$2:$E$2")),4),""))</f>
        <v/>
      </c>
      <c r="J78" s="2" t="str">
        <f>IF(All_Questions_Q_EXTRA_2_CT="(None)","",IFERROR(INDEX(INDIRECT(IFERROR(INDEX(All_Questions_Options_Names,MATCH(All_Questions_Q_EXTRA_2_CT,All_Questions,0)),"'_Options'!$E$2:$E$2")),5),""))</f>
        <v/>
      </c>
      <c r="K78" s="2" t="str">
        <f>IF(All_Questions_Q_EXTRA_2_CT="(None)","",IFERROR(INDEX(INDIRECT(IFERROR(INDEX(All_Questions_Options_Names,MATCH(All_Questions_Q_EXTRA_2_CT,All_Questions,0)),"'_Options'!$E$2:$E$2")),6),""))</f>
        <v/>
      </c>
      <c r="L78" s="2" t="str">
        <f>IF(All_Questions_Q_EXTRA_2_CT="(None)","",IFERROR(INDEX(INDIRECT(IFERROR(INDEX(All_Questions_Options_Names,MATCH(All_Questions_Q_EXTRA_2_CT,All_Questions,0)),"'_Options'!$E$2:$E$2")),7),""))</f>
        <v/>
      </c>
      <c r="M78" s="2" t="str">
        <f>IF(All_Questions_Q_EXTRA_2_CT="(None)","",IFERROR(INDEX(INDIRECT(IFERROR(INDEX(All_Questions_Options_Names,MATCH(All_Questions_Q_EXTRA_2_CT,All_Questions,0)),"'_Options'!$E$2:$E$2")),8),""))</f>
        <v/>
      </c>
      <c r="N78" s="2" t="str">
        <f>IF(All_Questions_Q_EXTRA_2_CT="(None)","",IFERROR(INDEX(INDIRECT(IFERROR(INDEX(All_Questions_Options_Names,MATCH(All_Questions_Q_EXTRA_2_CT,All_Questions,0)),"'_Options'!$E$2:$E$2")),9),""))</f>
        <v/>
      </c>
      <c r="O78" s="2" t="str">
        <f>IF(All_Questions_Q_EXTRA_2_CT="(None)","",IFERROR(INDEX(INDIRECT(IFERROR(INDEX(All_Questions_Options_Names,MATCH(All_Questions_Q_EXTRA_2_CT,All_Questions,0)),"'_Options'!$E$2:$E$2")),10),""))</f>
        <v/>
      </c>
      <c r="P78" s="2" t="str">
        <f>IF(All_Questions_Q_EXTRA_2_CT="(None)","",IFERROR(INDEX(INDIRECT(IFERROR(INDEX(All_Questions_Options_Names,MATCH(All_Questions_Q_EXTRA_2_CT,All_Questions,0)),"'_Options'!$E$2:$E$2")),11),""))</f>
        <v/>
      </c>
      <c r="Q78" s="2" t="str">
        <f>IF(All_Questions_Q_EXTRA_2_CT="(None)","",IFERROR(INDEX(INDIRECT(IFERROR(INDEX(All_Questions_Options_Names,MATCH(All_Questions_Q_EXTRA_2_CT,All_Questions,0)),"'_Options'!$E$2:$E$2")),12),""))</f>
        <v/>
      </c>
      <c r="R78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78" s="4" t="inlineStr">
        <is>
          <t>Total</t>
        </is>
      </c>
    </row>
    <row r="79">
      <c r="A79" t="inlineStr">
        <is>
          <t>Extra 2 A</t>
        </is>
      </c>
      <c r="B79">
        <f>COUNTIFS(Q_EXTRA_2_data,"Extra 2 A",passes_workbook_filters_data,1,passes_workbook_custom_filters_data,1,All_Questions_passes_local_filters_data,1,All_Questions_Q_EXTRA_2_F_passes_per_q_filter_data,1)</f>
        <v>6</v>
      </c>
      <c r="C79" s="7">
        <f>IFERROR(B79/SUBTOTAL(9,B79:B80),0)</f>
        <v>0.6</v>
      </c>
      <c r="D79" s="14">
        <f>SUBTOTAL(9,B79:B80)</f>
        <v>10</v>
      </c>
      <c r="F79" s="4" t="inlineStr"/>
      <c r="G79" s="4" t="inlineStr">
        <is>
          <t># of resp</t>
        </is>
      </c>
      <c r="H79" s="4" t="inlineStr">
        <is>
          <t># of resp</t>
        </is>
      </c>
      <c r="I79" s="4" t="inlineStr">
        <is>
          <t># of resp</t>
        </is>
      </c>
      <c r="J79" s="4" t="inlineStr">
        <is>
          <t># of resp</t>
        </is>
      </c>
      <c r="K79" s="4" t="inlineStr">
        <is>
          <t># of resp</t>
        </is>
      </c>
      <c r="L79" s="4" t="inlineStr">
        <is>
          <t># of resp</t>
        </is>
      </c>
      <c r="M79" s="4" t="inlineStr">
        <is>
          <t># of resp</t>
        </is>
      </c>
      <c r="N79" s="4" t="inlineStr">
        <is>
          <t># of resp</t>
        </is>
      </c>
      <c r="O79" s="4" t="inlineStr">
        <is>
          <t># of resp</t>
        </is>
      </c>
      <c r="P79" s="4" t="inlineStr">
        <is>
          <t># of resp</t>
        </is>
      </c>
      <c r="Q79" s="4" t="inlineStr">
        <is>
          <t># of resp</t>
        </is>
      </c>
      <c r="R79" s="4" t="inlineStr">
        <is>
          <t># of resp</t>
        </is>
      </c>
      <c r="S79" s="4" t="inlineStr">
        <is>
          <t># of resp</t>
        </is>
      </c>
    </row>
    <row r="80">
      <c r="A80" t="inlineStr">
        <is>
          <t>Extra 2 B</t>
        </is>
      </c>
      <c r="B80">
        <f>COUNTIFS(Q_EXTRA_2_data,"Extra 2 B",passes_workbook_filters_data,1,passes_workbook_custom_filters_data,1,All_Questions_passes_local_filters_data,1,All_Questions_Q_EXTRA_2_F_passes_per_q_filter_data,1)</f>
        <v>4</v>
      </c>
      <c r="C80" s="7">
        <f>IFERROR(B80/SUBTOTAL(9,B79:B80),0)</f>
        <v>0.4</v>
      </c>
      <c r="D80" s="14">
        <f>SUBTOTAL(9,B79:B80)</f>
        <v>10</v>
      </c>
      <c r="F80" t="inlineStr">
        <is>
          <t>Extra 2 A</t>
        </is>
      </c>
      <c r="G80">
        <f>IF(OR(All_Questions_Q_EXTRA_2_CT="(None)",G$78=""),"",COUNTIFS(Q_EXTRA_2_data,"Extra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$78))</f>
        <v>0</v>
      </c>
      <c r="H80">
        <f>IF(OR(All_Questions_Q_EXTRA_2_CT="(None)",H$78=""),"",COUNTIFS(Q_EXTRA_2_data,"Extra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$78))</f>
        <v>0</v>
      </c>
      <c r="I80">
        <f>IF(OR(All_Questions_Q_EXTRA_2_CT="(None)",I$78=""),"",COUNTIFS(Q_EXTRA_2_data,"Extra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$78))</f>
        <v>0</v>
      </c>
      <c r="J80">
        <f>IF(OR(All_Questions_Q_EXTRA_2_CT="(None)",J$78=""),"",COUNTIFS(Q_EXTRA_2_data,"Extra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$78))</f>
        <v>0</v>
      </c>
      <c r="K80">
        <f>IF(OR(All_Questions_Q_EXTRA_2_CT="(None)",K$78=""),"",COUNTIFS(Q_EXTRA_2_data,"Extra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$78))</f>
        <v>0</v>
      </c>
      <c r="L80">
        <f>IF(OR(All_Questions_Q_EXTRA_2_CT="(None)",L$78=""),"",COUNTIFS(Q_EXTRA_2_data,"Extra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$78))</f>
        <v>0</v>
      </c>
      <c r="M80">
        <f>IF(OR(All_Questions_Q_EXTRA_2_CT="(None)",M$78=""),"",COUNTIFS(Q_EXTRA_2_data,"Extra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$78))</f>
        <v>0</v>
      </c>
      <c r="N80">
        <f>IF(OR(All_Questions_Q_EXTRA_2_CT="(None)",N$78=""),"",COUNTIFS(Q_EXTRA_2_data,"Extra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$78))</f>
        <v>0</v>
      </c>
      <c r="O80">
        <f>IF(OR(All_Questions_Q_EXTRA_2_CT="(None)",O$78=""),"",COUNTIFS(Q_EXTRA_2_data,"Extra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$78))</f>
        <v>0</v>
      </c>
      <c r="P80">
        <f>IF(OR(All_Questions_Q_EXTRA_2_CT="(None)",P$78=""),"",COUNTIFS(Q_EXTRA_2_data,"Extra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$78))</f>
        <v>0</v>
      </c>
      <c r="Q80">
        <f>IF(OR(All_Questions_Q_EXTRA_2_CT="(None)",Q$78=""),"",COUNTIFS(Q_EXTRA_2_data,"Extra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$78))</f>
        <v>0</v>
      </c>
      <c r="R80">
        <f>IF(OR(All_Questions_Q_EXTRA_2_CT="(None)",R$78=""),"",IF(R$78="Other",COUNTIFS(Q_EXTRA_2_data,"Extra 2 A",passes_workbook_filters_data,1,passes_workbook_custom_filters_data,1,All_Questions_passes_local_filters_data,1,All_Questions_Q_EXTRA_2_F_passes_per_q_filter_data,1)-SUM(G80,H80,I80,J80,K80,L80,M80,N80,O80,P80,Q80),COUNTIFS(Q_EXTRA_2_data,"Extra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$78)))</f>
        <v>0</v>
      </c>
      <c r="S80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1">
      <c r="A81" s="15" t="inlineStr">
        <is>
          <t>Total respondents</t>
        </is>
      </c>
      <c r="B81" s="15" t="n">
        <v>10</v>
      </c>
      <c r="C81" s="15" t="n"/>
      <c r="D81" s="15" t="n"/>
      <c r="F81" t="inlineStr">
        <is>
          <t>Extra 2 B</t>
        </is>
      </c>
      <c r="G81">
        <f>IF(OR(All_Questions_Q_EXTRA_2_CT="(None)",G$78=""),"",COUNTIFS(Q_EXTRA_2_data,"Extra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$78))</f>
        <v>0</v>
      </c>
      <c r="H81">
        <f>IF(OR(All_Questions_Q_EXTRA_2_CT="(None)",H$78=""),"",COUNTIFS(Q_EXTRA_2_data,"Extra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$78))</f>
        <v>0</v>
      </c>
      <c r="I81">
        <f>IF(OR(All_Questions_Q_EXTRA_2_CT="(None)",I$78=""),"",COUNTIFS(Q_EXTRA_2_data,"Extra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$78))</f>
        <v>0</v>
      </c>
      <c r="J81">
        <f>IF(OR(All_Questions_Q_EXTRA_2_CT="(None)",J$78=""),"",COUNTIFS(Q_EXTRA_2_data,"Extra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$78))</f>
        <v>0</v>
      </c>
      <c r="K81">
        <f>IF(OR(All_Questions_Q_EXTRA_2_CT="(None)",K$78=""),"",COUNTIFS(Q_EXTRA_2_data,"Extra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$78))</f>
        <v>0</v>
      </c>
      <c r="L81">
        <f>IF(OR(All_Questions_Q_EXTRA_2_CT="(None)",L$78=""),"",COUNTIFS(Q_EXTRA_2_data,"Extra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$78))</f>
        <v>0</v>
      </c>
      <c r="M81">
        <f>IF(OR(All_Questions_Q_EXTRA_2_CT="(None)",M$78=""),"",COUNTIFS(Q_EXTRA_2_data,"Extra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$78))</f>
        <v>0</v>
      </c>
      <c r="N81">
        <f>IF(OR(All_Questions_Q_EXTRA_2_CT="(None)",N$78=""),"",COUNTIFS(Q_EXTRA_2_data,"Extra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$78))</f>
        <v>0</v>
      </c>
      <c r="O81">
        <f>IF(OR(All_Questions_Q_EXTRA_2_CT="(None)",O$78=""),"",COUNTIFS(Q_EXTRA_2_data,"Extra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$78))</f>
        <v>0</v>
      </c>
      <c r="P81">
        <f>IF(OR(All_Questions_Q_EXTRA_2_CT="(None)",P$78=""),"",COUNTIFS(Q_EXTRA_2_data,"Extra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$78))</f>
        <v>0</v>
      </c>
      <c r="Q81">
        <f>IF(OR(All_Questions_Q_EXTRA_2_CT="(None)",Q$78=""),"",COUNTIFS(Q_EXTRA_2_data,"Extra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$78))</f>
        <v>0</v>
      </c>
      <c r="R81">
        <f>IF(OR(All_Questions_Q_EXTRA_2_CT="(None)",R$78=""),"",IF(R$78="Other",COUNTIFS(Q_EXTRA_2_data,"Extra 2 B",passes_workbook_filters_data,1,passes_workbook_custom_filters_data,1,All_Questions_passes_local_filters_data,1,All_Questions_Q_EXTRA_2_F_passes_per_q_filter_data,1)-SUM(G81,H81,I81,J81,K81,L81,M81,N81,O81,P81,Q81),COUNTIFS(Q_EXTRA_2_data,"Extra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$78)))</f>
        <v>0</v>
      </c>
      <c r="S81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2">
      <c r="F82" s="4" t="inlineStr">
        <is>
          <t>Total respondents</t>
        </is>
      </c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3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</row>
    <row r="84">
      <c r="A84" s="12" t="inlineStr">
        <is>
          <t>Q_EXTRA_3 - Extra mixed block question 3</t>
        </is>
      </c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</row>
    <row r="85">
      <c r="A85" s="13" t="inlineStr">
        <is>
          <t>Per-question filter</t>
        </is>
      </c>
      <c r="B85" t="inlineStr">
        <is>
          <t>Filter Q</t>
        </is>
      </c>
      <c r="C85" t="inlineStr">
        <is>
          <t>(None)</t>
        </is>
      </c>
      <c r="D85" t="inlineStr">
        <is>
          <t>Value</t>
        </is>
      </c>
      <c r="E85" t="inlineStr">
        <is>
          <t>(All)</t>
        </is>
      </c>
      <c r="F85" t="str">
        <f>IFERROR(INDEX(All_Questions_Data_Names,MATCH(All_Questions_Q_EXTRA_3_F_Q,All_Questions,0)),"'_RawData'!$A:$A")</f>
        <v>respondent_id_data</v>
      </c>
      <c r="G85" t="str">
        <f>"|" &amp; SUBSTITUTE(All_Questions_Q_EXTRA_3_F_V, ", ", "|") &amp; "|"</f>
        <v>|(All)|</v>
      </c>
    </row>
    <row r="86">
      <c r="A86" s="13" t="inlineStr">
        <is>
          <t>Cross-tab by</t>
        </is>
      </c>
      <c r="C86" t="inlineStr">
        <is>
          <t>(None)</t>
        </is>
      </c>
    </row>
    <row r="88">
      <c r="A88" s="4" t="inlineStr">
        <is>
          <t>Option</t>
        </is>
      </c>
      <c r="B88" s="4" t="inlineStr">
        <is>
          <t>Count</t>
        </is>
      </c>
      <c r="C88" s="4" t="inlineStr">
        <is>
          <t>%</t>
        </is>
      </c>
      <c r="D88" s="4" t="inlineStr">
        <is>
          <t>Denominator</t>
        </is>
      </c>
      <c r="F88" s="4" t="inlineStr">
        <is>
          <t>Option</t>
        </is>
      </c>
      <c r="G88" s="2" t="str">
        <f>IF(All_Questions_Q_EXTRA_3_CT="(None)","",IFERROR(INDEX(INDIRECT(IFERROR(INDEX(All_Questions_Options_Names,MATCH(All_Questions_Q_EXTRA_3_CT,All_Questions,0)),"'_Options'!$E$2:$E$2")),2),""))</f>
        <v/>
      </c>
      <c r="H88" s="2" t="str">
        <f>IF(All_Questions_Q_EXTRA_3_CT="(None)","",IFERROR(INDEX(INDIRECT(IFERROR(INDEX(All_Questions_Options_Names,MATCH(All_Questions_Q_EXTRA_3_CT,All_Questions,0)),"'_Options'!$E$2:$E$2")),3),""))</f>
        <v/>
      </c>
      <c r="I88" s="2" t="str">
        <f>IF(All_Questions_Q_EXTRA_3_CT="(None)","",IFERROR(INDEX(INDIRECT(IFERROR(INDEX(All_Questions_Options_Names,MATCH(All_Questions_Q_EXTRA_3_CT,All_Questions,0)),"'_Options'!$E$2:$E$2")),4),""))</f>
        <v/>
      </c>
      <c r="J88" s="2" t="str">
        <f>IF(All_Questions_Q_EXTRA_3_CT="(None)","",IFERROR(INDEX(INDIRECT(IFERROR(INDEX(All_Questions_Options_Names,MATCH(All_Questions_Q_EXTRA_3_CT,All_Questions,0)),"'_Options'!$E$2:$E$2")),5),""))</f>
        <v/>
      </c>
      <c r="K88" s="2" t="str">
        <f>IF(All_Questions_Q_EXTRA_3_CT="(None)","",IFERROR(INDEX(INDIRECT(IFERROR(INDEX(All_Questions_Options_Names,MATCH(All_Questions_Q_EXTRA_3_CT,All_Questions,0)),"'_Options'!$E$2:$E$2")),6),""))</f>
        <v/>
      </c>
      <c r="L88" s="2" t="str">
        <f>IF(All_Questions_Q_EXTRA_3_CT="(None)","",IFERROR(INDEX(INDIRECT(IFERROR(INDEX(All_Questions_Options_Names,MATCH(All_Questions_Q_EXTRA_3_CT,All_Questions,0)),"'_Options'!$E$2:$E$2")),7),""))</f>
        <v/>
      </c>
      <c r="M88" s="2" t="str">
        <f>IF(All_Questions_Q_EXTRA_3_CT="(None)","",IFERROR(INDEX(INDIRECT(IFERROR(INDEX(All_Questions_Options_Names,MATCH(All_Questions_Q_EXTRA_3_CT,All_Questions,0)),"'_Options'!$E$2:$E$2")),8),""))</f>
        <v/>
      </c>
      <c r="N88" s="2" t="str">
        <f>IF(All_Questions_Q_EXTRA_3_CT="(None)","",IFERROR(INDEX(INDIRECT(IFERROR(INDEX(All_Questions_Options_Names,MATCH(All_Questions_Q_EXTRA_3_CT,All_Questions,0)),"'_Options'!$E$2:$E$2")),9),""))</f>
        <v/>
      </c>
      <c r="O88" s="2" t="str">
        <f>IF(All_Questions_Q_EXTRA_3_CT="(None)","",IFERROR(INDEX(INDIRECT(IFERROR(INDEX(All_Questions_Options_Names,MATCH(All_Questions_Q_EXTRA_3_CT,All_Questions,0)),"'_Options'!$E$2:$E$2")),10),""))</f>
        <v/>
      </c>
      <c r="P88" s="2" t="str">
        <f>IF(All_Questions_Q_EXTRA_3_CT="(None)","",IFERROR(INDEX(INDIRECT(IFERROR(INDEX(All_Questions_Options_Names,MATCH(All_Questions_Q_EXTRA_3_CT,All_Questions,0)),"'_Options'!$E$2:$E$2")),11),""))</f>
        <v/>
      </c>
      <c r="Q88" s="2" t="str">
        <f>IF(All_Questions_Q_EXTRA_3_CT="(None)","",IFERROR(INDEX(INDIRECT(IFERROR(INDEX(All_Questions_Options_Names,MATCH(All_Questions_Q_EXTRA_3_CT,All_Questions,0)),"'_Options'!$E$2:$E$2")),12),""))</f>
        <v/>
      </c>
      <c r="R88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88" s="4" t="inlineStr">
        <is>
          <t>Total</t>
        </is>
      </c>
    </row>
    <row r="89">
      <c r="A89" t="inlineStr">
        <is>
          <t>Extra 3 A</t>
        </is>
      </c>
      <c r="B89">
        <f>COUNTIFS(Q_EXTRA_3_data,"Extra 3 A",passes_workbook_filters_data,1,passes_workbook_custom_filters_data,1,All_Questions_passes_local_filters_data,1,All_Questions_Q_EXTRA_3_F_passes_per_q_filter_data,1)</f>
        <v>6</v>
      </c>
      <c r="C89" s="7">
        <f>IFERROR(B89/SUBTOTAL(9,B89:B90),0)</f>
        <v>0.6</v>
      </c>
      <c r="D89" s="14">
        <f>SUBTOTAL(9,B89:B90)</f>
        <v>10</v>
      </c>
      <c r="F89" s="4" t="inlineStr"/>
      <c r="G89" s="4" t="inlineStr">
        <is>
          <t># of resp</t>
        </is>
      </c>
      <c r="H89" s="4" t="inlineStr">
        <is>
          <t># of resp</t>
        </is>
      </c>
      <c r="I89" s="4" t="inlineStr">
        <is>
          <t># of resp</t>
        </is>
      </c>
      <c r="J89" s="4" t="inlineStr">
        <is>
          <t># of resp</t>
        </is>
      </c>
      <c r="K89" s="4" t="inlineStr">
        <is>
          <t># of resp</t>
        </is>
      </c>
      <c r="L89" s="4" t="inlineStr">
        <is>
          <t># of resp</t>
        </is>
      </c>
      <c r="M89" s="4" t="inlineStr">
        <is>
          <t># of resp</t>
        </is>
      </c>
      <c r="N89" s="4" t="inlineStr">
        <is>
          <t># of resp</t>
        </is>
      </c>
      <c r="O89" s="4" t="inlineStr">
        <is>
          <t># of resp</t>
        </is>
      </c>
      <c r="P89" s="4" t="inlineStr">
        <is>
          <t># of resp</t>
        </is>
      </c>
      <c r="Q89" s="4" t="inlineStr">
        <is>
          <t># of resp</t>
        </is>
      </c>
      <c r="R89" s="4" t="inlineStr">
        <is>
          <t># of resp</t>
        </is>
      </c>
      <c r="S89" s="4" t="inlineStr">
        <is>
          <t># of resp</t>
        </is>
      </c>
    </row>
    <row r="90">
      <c r="A90" t="inlineStr">
        <is>
          <t>Extra 3 B</t>
        </is>
      </c>
      <c r="B90">
        <f>COUNTIFS(Q_EXTRA_3_data,"Extra 3 B",passes_workbook_filters_data,1,passes_workbook_custom_filters_data,1,All_Questions_passes_local_filters_data,1,All_Questions_Q_EXTRA_3_F_passes_per_q_filter_data,1)</f>
        <v>4</v>
      </c>
      <c r="C90" s="7">
        <f>IFERROR(B90/SUBTOTAL(9,B89:B90),0)</f>
        <v>0.4</v>
      </c>
      <c r="D90" s="14">
        <f>SUBTOTAL(9,B89:B90)</f>
        <v>10</v>
      </c>
      <c r="F90" t="inlineStr">
        <is>
          <t>Extra 3 A</t>
        </is>
      </c>
      <c r="G90">
        <f>IF(OR(All_Questions_Q_EXTRA_3_CT="(None)",G$88=""),"",COUNTIFS(Q_EXTRA_3_data,"Extra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$88))</f>
        <v>0</v>
      </c>
      <c r="H90">
        <f>IF(OR(All_Questions_Q_EXTRA_3_CT="(None)",H$88=""),"",COUNTIFS(Q_EXTRA_3_data,"Extra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$88))</f>
        <v>0</v>
      </c>
      <c r="I90">
        <f>IF(OR(All_Questions_Q_EXTRA_3_CT="(None)",I$88=""),"",COUNTIFS(Q_EXTRA_3_data,"Extra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$88))</f>
        <v>0</v>
      </c>
      <c r="J90">
        <f>IF(OR(All_Questions_Q_EXTRA_3_CT="(None)",J$88=""),"",COUNTIFS(Q_EXTRA_3_data,"Extra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$88))</f>
        <v>0</v>
      </c>
      <c r="K90">
        <f>IF(OR(All_Questions_Q_EXTRA_3_CT="(None)",K$88=""),"",COUNTIFS(Q_EXTRA_3_data,"Extra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$88))</f>
        <v>0</v>
      </c>
      <c r="L90">
        <f>IF(OR(All_Questions_Q_EXTRA_3_CT="(None)",L$88=""),"",COUNTIFS(Q_EXTRA_3_data,"Extra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$88))</f>
        <v>0</v>
      </c>
      <c r="M90">
        <f>IF(OR(All_Questions_Q_EXTRA_3_CT="(None)",M$88=""),"",COUNTIFS(Q_EXTRA_3_data,"Extra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$88))</f>
        <v>0</v>
      </c>
      <c r="N90">
        <f>IF(OR(All_Questions_Q_EXTRA_3_CT="(None)",N$88=""),"",COUNTIFS(Q_EXTRA_3_data,"Extra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$88))</f>
        <v>0</v>
      </c>
      <c r="O90">
        <f>IF(OR(All_Questions_Q_EXTRA_3_CT="(None)",O$88=""),"",COUNTIFS(Q_EXTRA_3_data,"Extra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$88))</f>
        <v>0</v>
      </c>
      <c r="P90">
        <f>IF(OR(All_Questions_Q_EXTRA_3_CT="(None)",P$88=""),"",COUNTIFS(Q_EXTRA_3_data,"Extra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$88))</f>
        <v>0</v>
      </c>
      <c r="Q90">
        <f>IF(OR(All_Questions_Q_EXTRA_3_CT="(None)",Q$88=""),"",COUNTIFS(Q_EXTRA_3_data,"Extra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$88))</f>
        <v>0</v>
      </c>
      <c r="R90">
        <f>IF(OR(All_Questions_Q_EXTRA_3_CT="(None)",R$88=""),"",IF(R$88="Other",COUNTIFS(Q_EXTRA_3_data,"Extra 3 A",passes_workbook_filters_data,1,passes_workbook_custom_filters_data,1,All_Questions_passes_local_filters_data,1,All_Questions_Q_EXTRA_3_F_passes_per_q_filter_data,1)-SUM(G90,H90,I90,J90,K90,L90,M90,N90,O90,P90,Q90),COUNTIFS(Q_EXTRA_3_data,"Extra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$88)))</f>
        <v>0</v>
      </c>
      <c r="S90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1">
      <c r="A91" s="15" t="inlineStr">
        <is>
          <t>Total respondents</t>
        </is>
      </c>
      <c r="B91" s="15" t="n">
        <v>10</v>
      </c>
      <c r="C91" s="15" t="n"/>
      <c r="D91" s="15" t="n"/>
      <c r="F91" t="inlineStr">
        <is>
          <t>Extra 3 B</t>
        </is>
      </c>
      <c r="G91">
        <f>IF(OR(All_Questions_Q_EXTRA_3_CT="(None)",G$88=""),"",COUNTIFS(Q_EXTRA_3_data,"Extra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$88))</f>
        <v>0</v>
      </c>
      <c r="H91">
        <f>IF(OR(All_Questions_Q_EXTRA_3_CT="(None)",H$88=""),"",COUNTIFS(Q_EXTRA_3_data,"Extra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$88))</f>
        <v>0</v>
      </c>
      <c r="I91">
        <f>IF(OR(All_Questions_Q_EXTRA_3_CT="(None)",I$88=""),"",COUNTIFS(Q_EXTRA_3_data,"Extra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$88))</f>
        <v>0</v>
      </c>
      <c r="J91">
        <f>IF(OR(All_Questions_Q_EXTRA_3_CT="(None)",J$88=""),"",COUNTIFS(Q_EXTRA_3_data,"Extra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$88))</f>
        <v>0</v>
      </c>
      <c r="K91">
        <f>IF(OR(All_Questions_Q_EXTRA_3_CT="(None)",K$88=""),"",COUNTIFS(Q_EXTRA_3_data,"Extra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$88))</f>
        <v>0</v>
      </c>
      <c r="L91">
        <f>IF(OR(All_Questions_Q_EXTRA_3_CT="(None)",L$88=""),"",COUNTIFS(Q_EXTRA_3_data,"Extra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$88))</f>
        <v>0</v>
      </c>
      <c r="M91">
        <f>IF(OR(All_Questions_Q_EXTRA_3_CT="(None)",M$88=""),"",COUNTIFS(Q_EXTRA_3_data,"Extra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$88))</f>
        <v>0</v>
      </c>
      <c r="N91">
        <f>IF(OR(All_Questions_Q_EXTRA_3_CT="(None)",N$88=""),"",COUNTIFS(Q_EXTRA_3_data,"Extra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$88))</f>
        <v>0</v>
      </c>
      <c r="O91">
        <f>IF(OR(All_Questions_Q_EXTRA_3_CT="(None)",O$88=""),"",COUNTIFS(Q_EXTRA_3_data,"Extra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$88))</f>
        <v>0</v>
      </c>
      <c r="P91">
        <f>IF(OR(All_Questions_Q_EXTRA_3_CT="(None)",P$88=""),"",COUNTIFS(Q_EXTRA_3_data,"Extra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$88))</f>
        <v>0</v>
      </c>
      <c r="Q91">
        <f>IF(OR(All_Questions_Q_EXTRA_3_CT="(None)",Q$88=""),"",COUNTIFS(Q_EXTRA_3_data,"Extra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$88))</f>
        <v>0</v>
      </c>
      <c r="R91">
        <f>IF(OR(All_Questions_Q_EXTRA_3_CT="(None)",R$88=""),"",IF(R$88="Other",COUNTIFS(Q_EXTRA_3_data,"Extra 3 B",passes_workbook_filters_data,1,passes_workbook_custom_filters_data,1,All_Questions_passes_local_filters_data,1,All_Questions_Q_EXTRA_3_F_passes_per_q_filter_data,1)-SUM(G91,H91,I91,J91,K91,L91,M91,N91,O91,P91,Q91),COUNTIFS(Q_EXTRA_3_data,"Extra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$88)))</f>
        <v>0</v>
      </c>
      <c r="S91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2">
      <c r="F92" s="4" t="inlineStr">
        <is>
          <t>Total respondents</t>
        </is>
      </c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9:B70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9:C70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0:G71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0:H71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0:I71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0:J71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0:K71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0:L71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0:M71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0:N71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0:O71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0:P71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0:Q71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0:R71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9:B80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9:C80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0:G81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0:H81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0:I81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0:J81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0:K81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0:L81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0:M81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0:N81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0:O81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0:P81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0:Q81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0:R81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9:B90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9:C90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0:G91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0:H91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0:I91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0:J91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0:K91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0:L91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0:M91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0:N91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0:O91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0:P91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0:Q91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0:R91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  <dataValidation sqref="C65" showDropDown="0" showInputMessage="0" showErrorMessage="0" allowBlank="1" type="list">
      <formula1>=All_Questions</formula1>
    </dataValidation>
    <dataValidation sqref="E65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6" showDropDown="0" showInputMessage="0" showErrorMessage="0" allowBlank="1" type="list">
      <formula1>=All_Questions</formula1>
    </dataValidation>
    <dataValidation sqref="C75" showDropDown="0" showInputMessage="0" showErrorMessage="0" allowBlank="1" type="list">
      <formula1>=All_Questions</formula1>
    </dataValidation>
    <dataValidation sqref="E75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6" showDropDown="0" showInputMessage="0" showErrorMessage="0" allowBlank="1" type="list">
      <formula1>=All_Questions</formula1>
    </dataValidation>
    <dataValidation sqref="C85" showDropDown="0" showInputMessage="0" showErrorMessage="0" allowBlank="1" type="list">
      <formula1>=All_Questions</formula1>
    </dataValidation>
    <dataValidation sqref="E85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2026-05-18T19:34:23Z</dcterms:created>
  <dcterms:modified xmlns:dcterms="http://purl.org/dc/terms/" xmlns:xsi="http://www.w3.org/2001/XMLSchema-instance" xsi:type="dcterms:W3CDTF">2026-05-18T19:34:26Z</dcterms:modified>
</cp:coreProperties>
</file>