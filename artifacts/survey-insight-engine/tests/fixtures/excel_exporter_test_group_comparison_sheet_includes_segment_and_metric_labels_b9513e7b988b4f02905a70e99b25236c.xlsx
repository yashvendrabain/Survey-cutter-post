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tables/table5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Q_SEG_1_data">'_RawData'!$I$2:$I$11</definedName>
    <definedName name="Q_TGT_1_data">'_RawData'!$J$2:$J$11</definedName>
    <definedName name="Q_NUM_3_data">'_RawData'!$K$2:$K$11</definedName>
    <definedName name="Q_EXP_1_data">'_RawData'!$L$2:$L$11</definedName>
    <definedName name="Q_REAL_1_data">'_RawData'!$M$2:$M$11</definedName>
    <definedName name="All_Questions">'_Options'!$A$2:$A$6</definedName>
    <definedName name="All_Questions_Local">'_Options'!$B$2:$B$7</definedName>
    <definedName name="None_options">'_Options'!$E$2:$E$2</definedName>
    <definedName name="Q_SS_EXPORT_options">'_Options'!$F$2:$F$4</definedName>
    <definedName name="Q_SS_EXPORT_local_options">'_Options'!$R$2:$R$5</definedName>
    <definedName name="Q_MS_EXPORTr1_options">'_Options'!$G$2:$G$3</definedName>
    <definedName name="Q_MS_EXPORTr1_local_options">'_Options'!$S$2:$S$4</definedName>
    <definedName name="Q_MS_EXPORTr2_options">'_Options'!$H$2:$H$3</definedName>
    <definedName name="Q_MS_EXPORTr2_local_options">'_Options'!$T$2:$T$4</definedName>
    <definedName name="Q_NUM_EXPORT_options">'_Options'!$I$2:$I$3</definedName>
    <definedName name="Q_NUM_EXPORT_local_options">'_Options'!$U$2:$U$4</definedName>
    <definedName name="Q_GRID_EXPORTr1_options">'_Options'!$J$2:$J$3</definedName>
    <definedName name="Q_GRID_EXPORTr1_local_options">'_Options'!$V$2:$V$4</definedName>
    <definedName name="Q_GRID_EXPORTr2_options">'_Options'!$K$2:$K$3</definedName>
    <definedName name="Q_GRID_EXPORTr2_local_options">'_Options'!$W$2:$W$4</definedName>
    <definedName name="Q_VERY_LONG_SINGLE_SELECT_EXPOR_options">'_Options'!$L$2:$L$4</definedName>
    <definedName name="Q_VERY_LONG_SINGLE_SELECT_EXPOR_local_options">'_Options'!$X$2:$X$5</definedName>
    <definedName name="Q_SEG_1_options">'_Options'!$M$2:$M$5</definedName>
    <definedName name="Q_SEG_1_local_options">'_Options'!$Y$2:$Y$6</definedName>
    <definedName name="Q_TGT_1_options">'_Options'!$N$2:$N$6</definedName>
    <definedName name="Q_TGT_1_local_options">'_Options'!$Z$2:$Z$7</definedName>
    <definedName name="Q_NUM_3_options">'_Options'!$O$2:$O$2</definedName>
    <definedName name="Q_NUM_3_local_options">'_Options'!$AA$2:$AA$3</definedName>
    <definedName name="Q_EXP_1_options">'_Options'!$P$2:$P$2</definedName>
    <definedName name="Q_EXP_1_local_options">'_Options'!$AB$2:$AB$3</definedName>
    <definedName name="Q_REAL_1_options">'_Options'!$Q$2:$Q$2</definedName>
    <definedName name="Q_REAL_1_local_options">'_Options'!$AC$2:$AC$3</definedName>
    <definedName name="All_Questions_Data_Names">'_Options'!$C$2:$C$6</definedName>
    <definedName name="All_Questions_Options_Names">'_Options'!$D$2:$D$6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'_RawData'!$N$2:$N$11</definedName>
    <definedName name="F_Custom1_match_data">'_RawData'!$O$2:$O$11</definedName>
    <definedName name="F_Custom2_match_data">'_RawData'!$P$2:$P$11</definedName>
    <definedName name="passes_workbook_custom_filters_data">'_RawData'!$Q$2:$Q$11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'_RawData'!$R$2:$R$11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passes_per_q_filter_data">'_RawData'!$S$2:$S$11</definedName>
    <definedName name="All_Questions_Q_SS_EXPORT_CT">'All Questions'!$C$14</definedName>
    <definedName name="All_Questions_Q_MS_EXPORT_F_Q">'All Questions'!$C$23</definedName>
    <definedName name="All_Questions_Q_MS_EXPORT_F_V">'All Questions'!$E$23</definedName>
    <definedName name="All_Questions_Q_MS_EXPORT_F_resolved_column">'All Questions'!$F$23</definedName>
    <definedName name="All_Questions_Q_MS_EXPORT_F_wrapped">'All Questions'!$G$23</definedName>
    <definedName name="All_Questions_Q_MS_EXPORT_F_passes_per_q_filter_data">'_RawData'!$T$2:$T$11</definedName>
    <definedName name="All_Questions_Q_MS_EXPORT_CT">'All Questions'!$C$24</definedName>
    <definedName name="All_Questions_Q_NUM_EXPORT_F_Q">'All Questions'!$C$34</definedName>
    <definedName name="All_Questions_Q_NUM_EXPORT_F_V">'All Questions'!$E$34</definedName>
    <definedName name="All_Questions_Q_NUM_EXPORT_F_resolved_column">'All Questions'!$F$34</definedName>
    <definedName name="All_Questions_Q_NUM_EXPORT_F_wrapped">'All Questions'!$G$34</definedName>
    <definedName name="All_Questions_Q_NUM_EXPORT_F_passes_per_q_filter_data">'_RawData'!$U$2:$U$11</definedName>
    <definedName name="All_Questions_Q_NUM_EXPORT_CT">'All Questions'!$C$35</definedName>
    <definedName name="All_Questions_Q_GRID_EXPORT_F_Q">'All Questions'!$C$46</definedName>
    <definedName name="All_Questions_Q_GRID_EXPORT_F_V">'All Questions'!$E$46</definedName>
    <definedName name="All_Questions_Q_GRID_EXPORT_F_resolved_column">'All Questions'!$F$46</definedName>
    <definedName name="All_Questions_Q_GRID_EXPORT_F_wrapped">'All Questions'!$G$46</definedName>
    <definedName name="All_Questions_Q_GRID_EXPORT_F_passes_per_q_filter_data">'_RawData'!$V$2:$V$11</definedName>
    <definedName name="All_Questions_Q_GRID_EXPORT_CT">'All Questions'!$C$47</definedName>
    <definedName name="All_Questions_Q_VERY_LONG_SINGLE_SELECT_EXPORT_NAME_F_Q">'All Questions'!$C$57</definedName>
    <definedName name="All_Questions_Q_VERY_LONG_SINGLE_SELECT_EXPORT_NAME_F_V">'All Questions'!$E$57</definedName>
    <definedName name="All_Questions_Q_VERY_LONG_SINGLE_SELECT_EXPORT_NAME_F_resolved_column">'All Questions'!$F$57</definedName>
    <definedName name="All_Questions_Q_VERY_LONG_SINGLE_SELECT_EXPORT_NAME_F_wrapped">'All Questions'!$G$57</definedName>
    <definedName name="All_Questions_Q_VERY_LONG_SINGLE_SELECT_EXPORT_NAME_F_passes_per_q_filter_data">'_RawData'!$W$2:$W$11</definedName>
    <definedName name="All_Questions_Q_VERY_LONG_SINGLE_SELECT_EXPORT_NAME_CT">'All Questions'!$C$58</definedName>
  </definedNames>
  <calcPr calcId="124519" fullCalcOnLoad="1"/>
</workbook>
</file>

<file path=xl/calcChain.xml><?xml version="1.0" encoding="utf-8"?>
<calcChain xmlns="http://schemas.openxmlformats.org/spreadsheetml/2006/main">
  <c r="N2" i="1"/>
  <c r="O2" i="1"/>
  <c r="P2" i="1"/>
  <c r="Q2" i="1"/>
  <c r="R2" i="1"/>
  <c r="S2" i="1"/>
  <c r="T2" i="1"/>
  <c r="U2" i="1"/>
  <c r="V2" i="1"/>
  <c r="W2" i="1"/>
  <c r="N3" i="1"/>
  <c r="O3" i="1"/>
  <c r="P3" i="1"/>
  <c r="Q3" i="1"/>
  <c r="R3" i="1"/>
  <c r="S3" i="1"/>
  <c r="T3" i="1"/>
  <c r="U3" i="1"/>
  <c r="V3" i="1"/>
  <c r="W3" i="1"/>
  <c r="N4" i="1"/>
  <c r="O4" i="1"/>
  <c r="P4" i="1"/>
  <c r="Q4" i="1"/>
  <c r="R4" i="1"/>
  <c r="S4" i="1"/>
  <c r="T4" i="1"/>
  <c r="U4" i="1"/>
  <c r="V4" i="1"/>
  <c r="W4" i="1"/>
  <c r="N5" i="1"/>
  <c r="O5" i="1"/>
  <c r="P5" i="1"/>
  <c r="Q5" i="1"/>
  <c r="R5" i="1"/>
  <c r="S5" i="1"/>
  <c r="T5" i="1"/>
  <c r="U5" i="1"/>
  <c r="V5" i="1"/>
  <c r="W5" i="1"/>
  <c r="N6" i="1"/>
  <c r="O6" i="1"/>
  <c r="P6" i="1"/>
  <c r="Q6" i="1"/>
  <c r="R6" i="1"/>
  <c r="S6" i="1"/>
  <c r="T6" i="1"/>
  <c r="U6" i="1"/>
  <c r="V6" i="1"/>
  <c r="W6" i="1"/>
  <c r="N7" i="1"/>
  <c r="O7" i="1"/>
  <c r="P7" i="1"/>
  <c r="Q7" i="1"/>
  <c r="R7" i="1"/>
  <c r="S7" i="1"/>
  <c r="T7" i="1"/>
  <c r="U7" i="1"/>
  <c r="V7" i="1"/>
  <c r="W7" i="1"/>
  <c r="N8" i="1"/>
  <c r="O8" i="1"/>
  <c r="P8" i="1"/>
  <c r="Q8" i="1"/>
  <c r="R8" i="1"/>
  <c r="S8" i="1"/>
  <c r="T8" i="1"/>
  <c r="U8" i="1"/>
  <c r="V8" i="1"/>
  <c r="W8" i="1"/>
  <c r="N9" i="1"/>
  <c r="O9" i="1"/>
  <c r="P9" i="1"/>
  <c r="Q9" i="1"/>
  <c r="R9" i="1"/>
  <c r="S9" i="1"/>
  <c r="T9" i="1"/>
  <c r="U9" i="1"/>
  <c r="V9" i="1"/>
  <c r="W9" i="1"/>
  <c r="N10" i="1"/>
  <c r="O10" i="1"/>
  <c r="P10" i="1"/>
  <c r="Q10" i="1"/>
  <c r="R10" i="1"/>
  <c r="S10" i="1"/>
  <c r="T10" i="1"/>
  <c r="U10" i="1"/>
  <c r="V10" i="1"/>
  <c r="W10" i="1"/>
  <c r="N11" i="1"/>
  <c r="O11" i="1"/>
  <c r="P11" i="1"/>
  <c r="Q11" i="1"/>
  <c r="R11" i="1"/>
  <c r="S11" i="1"/>
  <c r="T11" i="1"/>
  <c r="U11" i="1"/>
  <c r="V11" i="1"/>
  <c r="W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O16" i="7"/>
  <c r="P16" i="7"/>
  <c r="Q16" i="7"/>
  <c r="R16" i="7"/>
  <c r="B17" i="7"/>
  <c r="C17" i="7"/>
  <c r="D17" i="7"/>
  <c r="B18" i="7"/>
  <c r="C18" i="7"/>
  <c r="D18" i="7"/>
  <c r="G18" i="7"/>
  <c r="H18" i="7"/>
  <c r="I18" i="7"/>
  <c r="J18" i="7"/>
  <c r="K18" i="7"/>
  <c r="L18" i="7"/>
  <c r="M18" i="7"/>
  <c r="N18" i="7"/>
  <c r="O18" i="7"/>
  <c r="P18" i="7"/>
  <c r="Q18" i="7"/>
  <c r="R18" i="7"/>
  <c r="S18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S20" i="7"/>
  <c r="F23" i="7"/>
  <c r="G23" i="7"/>
  <c r="G26" i="7"/>
  <c r="H26" i="7"/>
  <c r="I26" i="7"/>
  <c r="J26" i="7"/>
  <c r="K26" i="7"/>
  <c r="L26" i="7"/>
  <c r="M26" i="7"/>
  <c r="N26" i="7"/>
  <c r="O26" i="7"/>
  <c r="P26" i="7"/>
  <c r="Q26" i="7"/>
  <c r="R26" i="7"/>
  <c r="B27" i="7"/>
  <c r="C27" i="7"/>
  <c r="D27" i="7"/>
  <c r="B28" i="7"/>
  <c r="C28" i="7"/>
  <c r="D28" i="7"/>
  <c r="G28" i="7"/>
  <c r="H28" i="7"/>
  <c r="I28" i="7"/>
  <c r="J28" i="7"/>
  <c r="K28" i="7"/>
  <c r="L28" i="7"/>
  <c r="M28" i="7"/>
  <c r="N28" i="7"/>
  <c r="O28" i="7"/>
  <c r="P28" i="7"/>
  <c r="Q28" i="7"/>
  <c r="R28" i="7"/>
  <c r="S28" i="7"/>
  <c r="G29" i="7"/>
  <c r="H29" i="7"/>
  <c r="I29" i="7"/>
  <c r="J29" i="7"/>
  <c r="K29" i="7"/>
  <c r="L29" i="7"/>
  <c r="M29" i="7"/>
  <c r="N29" i="7"/>
  <c r="O29" i="7"/>
  <c r="P29" i="7"/>
  <c r="Q29" i="7"/>
  <c r="R29" i="7"/>
  <c r="S29" i="7"/>
  <c r="S30" i="7"/>
  <c r="F34" i="7"/>
  <c r="G34" i="7"/>
  <c r="B38" i="7"/>
  <c r="D38" i="7"/>
  <c r="B39" i="7"/>
  <c r="D39" i="7"/>
  <c r="B40" i="7"/>
  <c r="D40" i="7"/>
  <c r="D41" i="7"/>
  <c r="F46" i="7"/>
  <c r="G46" i="7"/>
  <c r="G49" i="7"/>
  <c r="H49" i="7"/>
  <c r="I49" i="7"/>
  <c r="J49" i="7"/>
  <c r="K49" i="7"/>
  <c r="L49" i="7"/>
  <c r="M49" i="7"/>
  <c r="N49" i="7"/>
  <c r="O49" i="7"/>
  <c r="P49" i="7"/>
  <c r="Q49" i="7"/>
  <c r="R49" i="7"/>
  <c r="B50" i="7"/>
  <c r="C50" i="7"/>
  <c r="D50" i="7"/>
  <c r="B51" i="7"/>
  <c r="C51" i="7"/>
  <c r="D51" i="7"/>
  <c r="G51" i="7"/>
  <c r="H51" i="7"/>
  <c r="I51" i="7"/>
  <c r="J51" i="7"/>
  <c r="K51" i="7"/>
  <c r="L51" i="7"/>
  <c r="M51" i="7"/>
  <c r="N51" i="7"/>
  <c r="O51" i="7"/>
  <c r="P51" i="7"/>
  <c r="Q51" i="7"/>
  <c r="R51" i="7"/>
  <c r="S51" i="7"/>
  <c r="G52" i="7"/>
  <c r="H52" i="7"/>
  <c r="I52" i="7"/>
  <c r="J52" i="7"/>
  <c r="K52" i="7"/>
  <c r="L52" i="7"/>
  <c r="M52" i="7"/>
  <c r="N52" i="7"/>
  <c r="O52" i="7"/>
  <c r="P52" i="7"/>
  <c r="Q52" i="7"/>
  <c r="R52" i="7"/>
  <c r="S52" i="7"/>
  <c r="S53" i="7"/>
  <c r="F57" i="7"/>
  <c r="G57" i="7"/>
  <c r="G60" i="7"/>
  <c r="H60" i="7"/>
  <c r="I60" i="7"/>
  <c r="J60" i="7"/>
  <c r="K60" i="7"/>
  <c r="L60" i="7"/>
  <c r="M60" i="7"/>
  <c r="N60" i="7"/>
  <c r="O60" i="7"/>
  <c r="P60" i="7"/>
  <c r="Q60" i="7"/>
  <c r="R60" i="7"/>
  <c r="B61" i="7"/>
  <c r="C61" i="7"/>
  <c r="D61" i="7"/>
  <c r="B62" i="7"/>
  <c r="C62" i="7"/>
  <c r="D62" i="7"/>
  <c r="G62" i="7"/>
  <c r="H62" i="7"/>
  <c r="I62" i="7"/>
  <c r="J62" i="7"/>
  <c r="K62" i="7"/>
  <c r="L62" i="7"/>
  <c r="M62" i="7"/>
  <c r="N62" i="7"/>
  <c r="O62" i="7"/>
  <c r="P62" i="7"/>
  <c r="Q62" i="7"/>
  <c r="R62" i="7"/>
  <c r="S62" i="7"/>
  <c r="G63" i="7"/>
  <c r="H63" i="7"/>
  <c r="I63" i="7"/>
  <c r="J63" i="7"/>
  <c r="K63" i="7"/>
  <c r="L63" i="7"/>
  <c r="M63" i="7"/>
  <c r="N63" i="7"/>
  <c r="O63" i="7"/>
  <c r="P63" i="7"/>
  <c r="Q63" i="7"/>
  <c r="R63" i="7"/>
  <c r="S63" i="7"/>
  <c r="S64" i="7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6_1" displayName="T_All_Questions_26_1" ref="A26:D30" headerRowCount="1">
  <autoFilter ref="A26:D30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7_1" displayName="T_All_Questions_37_1" ref="A37:D41" headerRowCount="1">
  <autoFilter ref="A37:D41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49_1" displayName="T_All_Questions_49_1" ref="A49:D53" headerRowCount="1">
  <autoFilter ref="A49:D5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60_1" displayName="T_All_Questions_60_1" ref="A60:D63" headerRowCount="1">
  <autoFilter ref="A60:D6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Relationship Type="http://schemas.openxmlformats.org/officeDocument/2006/relationships/table" Target="/xl/tables/table5.xml" Id="rId5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Q_SEG_1</t>
        </is>
      </c>
      <c r="J1" t="inlineStr">
        <is>
          <t>Q_TGT_1</t>
        </is>
      </c>
      <c r="K1" t="inlineStr">
        <is>
          <t>Q_NUM_3</t>
        </is>
      </c>
      <c r="L1" t="inlineStr">
        <is>
          <t>Q_EXP_1</t>
        </is>
      </c>
      <c r="M1" t="inlineStr">
        <is>
          <t>Q_REAL_1</t>
        </is>
      </c>
      <c r="N1" t="inlineStr">
        <is>
          <t>passes_workbook_filters</t>
        </is>
      </c>
      <c r="O1" t="inlineStr">
        <is>
          <t>F_Custom1_match</t>
        </is>
      </c>
      <c r="P1" t="inlineStr">
        <is>
          <t>F_Custom2_match</t>
        </is>
      </c>
      <c r="Q1" t="inlineStr">
        <is>
          <t>passes_workbook_custom_filters</t>
        </is>
      </c>
      <c r="R1" t="inlineStr">
        <is>
          <t>All_Questions_passes_local_filters</t>
        </is>
      </c>
      <c r="S1" t="inlineStr">
        <is>
          <t>All_Questions_Q_SS_EXPORT_F_passes_per_q_filter</t>
        </is>
      </c>
      <c r="T1" t="inlineStr">
        <is>
          <t>All_Questions_Q_MS_EXPORT_F_passes_per_q_filter</t>
        </is>
      </c>
      <c r="U1" t="inlineStr">
        <is>
          <t>All_Questions_Q_NUM_EXPORT_F_passes_per_q_filter</t>
        </is>
      </c>
      <c r="V1" t="inlineStr">
        <is>
          <t>All_Questions_Q_GRID_EXPORT_F_passes_per_q_filter</t>
        </is>
      </c>
      <c r="W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  <c r="N2">
        <f>1</f>
        <v>1</v>
      </c>
      <c r="O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P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Q2">
        <f>O2*P2*1</f>
        <v>1</v>
      </c>
      <c r="R2">
        <f>1</f>
        <v>1</v>
      </c>
      <c r="S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1)&amp;"|",All_Questions_Q_SS_EXPORT_F_wrapped)),1,0),0))*1</f>
        <v>1</v>
      </c>
      <c r="T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*1</f>
        <v>1</v>
      </c>
      <c r="U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*1</f>
        <v>1</v>
      </c>
      <c r="V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*1</f>
        <v>1</v>
      </c>
      <c r="W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*1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  <c r="N3">
        <f>1</f>
        <v>1</v>
      </c>
      <c r="O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P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Q3">
        <f>O3*P3*1</f>
        <v>1</v>
      </c>
      <c r="R3">
        <f>1</f>
        <v>1</v>
      </c>
      <c r="S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2)&amp;"|",All_Questions_Q_SS_EXPORT_F_wrapped)),1,0),0))*1</f>
        <v>1</v>
      </c>
      <c r="T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*1</f>
        <v>1</v>
      </c>
      <c r="U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*1</f>
        <v>1</v>
      </c>
      <c r="V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*1</f>
        <v>1</v>
      </c>
      <c r="W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*1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  <c r="N4">
        <f>1</f>
        <v>1</v>
      </c>
      <c r="O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P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Q4">
        <f>O4*P4*1</f>
        <v>1</v>
      </c>
      <c r="R4">
        <f>1</f>
        <v>1</v>
      </c>
      <c r="S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3)&amp;"|",All_Questions_Q_SS_EXPORT_F_wrapped)),1,0),0))*1</f>
        <v>1</v>
      </c>
      <c r="T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*1</f>
        <v>1</v>
      </c>
      <c r="U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*1</f>
        <v>1</v>
      </c>
      <c r="V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*1</f>
        <v>1</v>
      </c>
      <c r="W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*1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  <c r="N5">
        <f>1</f>
        <v>1</v>
      </c>
      <c r="O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P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Q5">
        <f>O5*P5*1</f>
        <v>1</v>
      </c>
      <c r="R5">
        <f>1</f>
        <v>1</v>
      </c>
      <c r="S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4)&amp;"|",All_Questions_Q_SS_EXPORT_F_wrapped)),1,0),0))*1</f>
        <v>1</v>
      </c>
      <c r="T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*1</f>
        <v>1</v>
      </c>
      <c r="U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*1</f>
        <v>1</v>
      </c>
      <c r="V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*1</f>
        <v>1</v>
      </c>
      <c r="W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*1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  <c r="N6">
        <f>1</f>
        <v>1</v>
      </c>
      <c r="O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P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Q6">
        <f>O6*P6*1</f>
        <v>1</v>
      </c>
      <c r="R6">
        <f>1</f>
        <v>1</v>
      </c>
      <c r="S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5)&amp;"|",All_Questions_Q_SS_EXPORT_F_wrapped)),1,0),0))*1</f>
        <v>1</v>
      </c>
      <c r="T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*1</f>
        <v>1</v>
      </c>
      <c r="U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*1</f>
        <v>1</v>
      </c>
      <c r="V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*1</f>
        <v>1</v>
      </c>
      <c r="W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*1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  <c r="N7">
        <f>1</f>
        <v>1</v>
      </c>
      <c r="O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P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Q7">
        <f>O7*P7*1</f>
        <v>1</v>
      </c>
      <c r="R7">
        <f>1</f>
        <v>1</v>
      </c>
      <c r="S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6)&amp;"|",All_Questions_Q_SS_EXPORT_F_wrapped)),1,0),0))*1</f>
        <v>1</v>
      </c>
      <c r="T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*1</f>
        <v>1</v>
      </c>
      <c r="U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*1</f>
        <v>1</v>
      </c>
      <c r="V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*1</f>
        <v>1</v>
      </c>
      <c r="W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*1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  <c r="N8">
        <f>1</f>
        <v>1</v>
      </c>
      <c r="O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P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Q8">
        <f>O8*P8*1</f>
        <v>1</v>
      </c>
      <c r="R8">
        <f>1</f>
        <v>1</v>
      </c>
      <c r="S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7)&amp;"|",All_Questions_Q_SS_EXPORT_F_wrapped)),1,0),0))*1</f>
        <v>1</v>
      </c>
      <c r="T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*1</f>
        <v>1</v>
      </c>
      <c r="U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*1</f>
        <v>1</v>
      </c>
      <c r="V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*1</f>
        <v>1</v>
      </c>
      <c r="W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*1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  <c r="N9">
        <f>1</f>
        <v>1</v>
      </c>
      <c r="O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P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Q9">
        <f>O9*P9*1</f>
        <v>1</v>
      </c>
      <c r="R9">
        <f>1</f>
        <v>1</v>
      </c>
      <c r="S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8)&amp;"|",All_Questions_Q_SS_EXPORT_F_wrapped)),1,0),0))*1</f>
        <v>1</v>
      </c>
      <c r="T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*1</f>
        <v>1</v>
      </c>
      <c r="U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*1</f>
        <v>1</v>
      </c>
      <c r="V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*1</f>
        <v>1</v>
      </c>
      <c r="W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*1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  <c r="N10">
        <f>1</f>
        <v>1</v>
      </c>
      <c r="O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P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Q10">
        <f>O10*P10*1</f>
        <v>1</v>
      </c>
      <c r="R10">
        <f>1</f>
        <v>1</v>
      </c>
      <c r="S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9)&amp;"|",All_Questions_Q_SS_EXPORT_F_wrapped)),1,0),0))*1</f>
        <v>1</v>
      </c>
      <c r="T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*1</f>
        <v>1</v>
      </c>
      <c r="U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*1</f>
        <v>1</v>
      </c>
      <c r="V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*1</f>
        <v>1</v>
      </c>
      <c r="W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*1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  <c r="N11">
        <f>1</f>
        <v>1</v>
      </c>
      <c r="O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P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Q11">
        <f>O11*P11*1</f>
        <v>1</v>
      </c>
      <c r="R11">
        <f>1</f>
        <v>1</v>
      </c>
      <c r="S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10)&amp;"|",All_Questions_Q_SS_EXPORT_F_wrapped)),1,0),0))*1</f>
        <v>1</v>
      </c>
      <c r="T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*1</f>
        <v>1</v>
      </c>
      <c r="U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*1</f>
        <v>1</v>
      </c>
      <c r="V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*1</f>
        <v>1</v>
      </c>
      <c r="W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*1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C7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Q_SEG_1_options</t>
        </is>
      </c>
      <c r="N1" t="inlineStr">
        <is>
          <t>Q_TGT_1_options</t>
        </is>
      </c>
      <c r="O1" t="inlineStr">
        <is>
          <t>Q_NUM_3_options</t>
        </is>
      </c>
      <c r="P1" t="inlineStr">
        <is>
          <t>Q_EXP_1_options</t>
        </is>
      </c>
      <c r="Q1" t="inlineStr">
        <is>
          <t>Q_REAL_1_options</t>
        </is>
      </c>
      <c r="R1" t="inlineStr">
        <is>
          <t>Q_SS_EXPORT_local_options</t>
        </is>
      </c>
      <c r="S1" t="inlineStr">
        <is>
          <t>Q_MS_EXPORTr1_local_options</t>
        </is>
      </c>
      <c r="T1" t="inlineStr">
        <is>
          <t>Q_MS_EXPORTr2_local_options</t>
        </is>
      </c>
      <c r="U1" t="inlineStr">
        <is>
          <t>Q_NUM_EXPORT_local_options</t>
        </is>
      </c>
      <c r="V1" t="inlineStr">
        <is>
          <t>Q_GRID_EXPORTr1_local_options</t>
        </is>
      </c>
      <c r="W1" t="inlineStr">
        <is>
          <t>Q_GRID_EXPORTr2_local_options</t>
        </is>
      </c>
      <c r="X1" t="inlineStr">
        <is>
          <t>Q_VERY_LONG_SINGLE_SELECT_EXPOR_local_options</t>
        </is>
      </c>
      <c r="Y1" t="inlineStr">
        <is>
          <t>Q_SEG_1_local_options</t>
        </is>
      </c>
      <c r="Z1" t="inlineStr">
        <is>
          <t>Q_TGT_1_local_options</t>
        </is>
      </c>
      <c r="AA1" t="inlineStr">
        <is>
          <t>Q_NUM_3_local_options</t>
        </is>
      </c>
      <c r="AB1" t="inlineStr">
        <is>
          <t>Q_EXP_1_local_options</t>
        </is>
      </c>
      <c r="AC1" t="inlineStr">
        <is>
          <t>Q_REAL_1_local_options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(All)</t>
        </is>
      </c>
      <c r="N2" t="inlineStr">
        <is>
          <t>(All)</t>
        </is>
      </c>
      <c r="O2" t="inlineStr">
        <is>
          <t>(All)</t>
        </is>
      </c>
      <c r="P2" t="inlineStr">
        <is>
          <t>(All)</t>
        </is>
      </c>
      <c r="Q2" t="inlineStr">
        <is>
          <t>(All)</t>
        </is>
      </c>
      <c r="R2" t="inlineStr">
        <is>
          <t>(Inherit)</t>
        </is>
      </c>
      <c r="S2" t="inlineStr">
        <is>
          <t>(Inherit)</t>
        </is>
      </c>
      <c r="T2" t="inlineStr">
        <is>
          <t>(Inherit)</t>
        </is>
      </c>
      <c r="U2" t="inlineStr">
        <is>
          <t>(Inherit)</t>
        </is>
      </c>
      <c r="V2" t="inlineStr">
        <is>
          <t>(Inherit)</t>
        </is>
      </c>
      <c r="W2" t="inlineStr">
        <is>
          <t>(Inherit)</t>
        </is>
      </c>
      <c r="X2" t="inlineStr">
        <is>
          <t>(Inherit)</t>
        </is>
      </c>
      <c r="Y2" t="inlineStr">
        <is>
          <t>(Inherit)</t>
        </is>
      </c>
      <c r="Z2" t="inlineStr">
        <is>
          <t>(Inherit)</t>
        </is>
      </c>
      <c r="AA2" t="inlineStr">
        <is>
          <t>(Inherit)</t>
        </is>
      </c>
      <c r="AB2" t="inlineStr">
        <is>
          <t>(Inherit)</t>
        </is>
      </c>
      <c r="AC2" t="inlineStr">
        <is>
          <t>(Inherit)</t>
        </is>
      </c>
    </row>
    <row r="3">
      <c r="A3" t="inlineStr">
        <is>
          <t>Q_SS_EXPORT - Single Select Export Question</t>
        </is>
      </c>
      <c r="B3" t="inlineStr">
        <is>
          <t>(None)</t>
        </is>
      </c>
      <c r="C3" t="inlineStr">
        <is>
          <t>'_RawData'!$B$2:$B$11</t>
        </is>
      </c>
      <c r="D3" t="inlineStr">
        <is>
          <t>'_Options'!$F$2:$F$4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Selected</t>
        </is>
      </c>
      <c r="K3" t="inlineStr">
        <is>
          <t>Selected</t>
        </is>
      </c>
      <c r="L3" t="inlineStr">
        <is>
          <t>A</t>
        </is>
      </c>
      <c r="M3" t="inlineStr">
        <is>
          <t>Segment 1</t>
        </is>
      </c>
      <c r="N3" t="inlineStr">
        <is>
          <t>A</t>
        </is>
      </c>
      <c r="R3" t="inlineStr">
        <is>
          <t>(All)</t>
        </is>
      </c>
      <c r="S3" t="inlineStr">
        <is>
          <t>(All)</t>
        </is>
      </c>
      <c r="T3" t="inlineStr">
        <is>
          <t>(All)</t>
        </is>
      </c>
      <c r="U3" t="inlineStr">
        <is>
          <t>(All)</t>
        </is>
      </c>
      <c r="V3" t="inlineStr">
        <is>
          <t>(All)</t>
        </is>
      </c>
      <c r="W3" t="inlineStr">
        <is>
          <t>(All)</t>
        </is>
      </c>
      <c r="X3" t="inlineStr">
        <is>
          <t>(All)</t>
        </is>
      </c>
      <c r="Y3" t="inlineStr">
        <is>
          <t>(All)</t>
        </is>
      </c>
      <c r="Z3" t="inlineStr">
        <is>
          <t>(All)</t>
        </is>
      </c>
      <c r="AA3" t="inlineStr">
        <is>
          <t>(All)</t>
        </is>
      </c>
      <c r="AB3" t="inlineStr">
        <is>
          <t>(All)</t>
        </is>
      </c>
      <c r="AC3" t="inlineStr">
        <is>
          <t>(All)</t>
        </is>
      </c>
    </row>
    <row r="4">
      <c r="A4" t="inlineStr">
        <is>
          <t>Q_VERY_LONG_SINGLE_SELECT_EXPORT_NAME - Long Sheet Name Export Question</t>
        </is>
      </c>
      <c r="B4" t="inlineStr">
        <is>
          <t>Q_SS_EXPORT - Single Select Export Question</t>
        </is>
      </c>
      <c r="C4" t="inlineStr">
        <is>
          <t>'_RawData'!$H$2:$H$11</t>
        </is>
      </c>
      <c r="D4" t="inlineStr">
        <is>
          <t>'_Options'!$L$2:$L$4</t>
        </is>
      </c>
      <c r="F4" t="inlineStr">
        <is>
          <t>No</t>
        </is>
      </c>
      <c r="L4" t="inlineStr">
        <is>
          <t>B</t>
        </is>
      </c>
      <c r="M4" t="inlineStr">
        <is>
          <t>Segment 2</t>
        </is>
      </c>
      <c r="N4" t="inlineStr">
        <is>
          <t>B</t>
        </is>
      </c>
      <c r="R4" t="inlineStr">
        <is>
          <t>Yes</t>
        </is>
      </c>
      <c r="S4" t="inlineStr">
        <is>
          <t>Selected</t>
        </is>
      </c>
      <c r="T4" t="inlineStr">
        <is>
          <t>Selected</t>
        </is>
      </c>
      <c r="U4" t="inlineStr">
        <is>
          <t>5.5</t>
        </is>
      </c>
      <c r="V4" t="inlineStr">
        <is>
          <t>Selected</t>
        </is>
      </c>
      <c r="W4" t="inlineStr">
        <is>
          <t>Selected</t>
        </is>
      </c>
      <c r="X4" t="inlineStr">
        <is>
          <t>A</t>
        </is>
      </c>
      <c r="Y4" t="inlineStr">
        <is>
          <t>Segment 1</t>
        </is>
      </c>
      <c r="Z4" t="inlineStr">
        <is>
          <t>A</t>
        </is>
      </c>
    </row>
    <row r="5">
      <c r="A5" t="inlineStr">
        <is>
          <t>Q_SEG_1 - Segment</t>
        </is>
      </c>
      <c r="B5" t="inlineStr">
        <is>
          <t>Q_VERY_LONG_SINGLE_SELECT_EXPORT_NAME - Long Sheet Name Export Question</t>
        </is>
      </c>
      <c r="C5" t="inlineStr">
        <is>
          <t>'_RawData'!$I$2:$I$11</t>
        </is>
      </c>
      <c r="D5" t="inlineStr">
        <is>
          <t>'_Options'!$M$2:$M$5</t>
        </is>
      </c>
      <c r="M5" t="inlineStr">
        <is>
          <t>Segment 3</t>
        </is>
      </c>
      <c r="N5" t="inlineStr">
        <is>
          <t>C</t>
        </is>
      </c>
      <c r="R5" t="inlineStr">
        <is>
          <t>No</t>
        </is>
      </c>
      <c r="X5" t="inlineStr">
        <is>
          <t>B</t>
        </is>
      </c>
      <c r="Y5" t="inlineStr">
        <is>
          <t>Segment 2</t>
        </is>
      </c>
      <c r="Z5" t="inlineStr">
        <is>
          <t>B</t>
        </is>
      </c>
    </row>
    <row r="6">
      <c r="A6" t="inlineStr">
        <is>
          <t>Q_TGT_1 - Target Categorical</t>
        </is>
      </c>
      <c r="B6" t="inlineStr">
        <is>
          <t>Q_SEG_1 - Segment</t>
        </is>
      </c>
      <c r="C6" t="inlineStr">
        <is>
          <t>'_RawData'!$J$2:$J$11</t>
        </is>
      </c>
      <c r="D6" t="inlineStr">
        <is>
          <t>'_Options'!$N$2:$N$6</t>
        </is>
      </c>
      <c r="N6" t="inlineStr">
        <is>
          <t>D</t>
        </is>
      </c>
      <c r="Y6" t="inlineStr">
        <is>
          <t>Segment 3</t>
        </is>
      </c>
      <c r="Z6" t="inlineStr">
        <is>
          <t>C</t>
        </is>
      </c>
    </row>
    <row r="7">
      <c r="B7" t="inlineStr">
        <is>
          <t>Q_TGT_1 - Target Categorical</t>
        </is>
      </c>
      <c r="Z7" t="inlineStr">
        <is>
          <t>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11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4</v>
      </c>
    </row>
    <row r="9">
      <c r="A9" s="5" t="inlineStr">
        <is>
          <t>Cross cut skips:</t>
        </is>
      </c>
      <c r="B9" t="n">
        <v>1</v>
      </c>
    </row>
    <row r="10">
      <c r="A10" s="5" t="inlineStr">
        <is>
          <t>Audit log records:</t>
        </is>
      </c>
      <c r="B10" t="n">
        <v>19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  <row r="8">
      <c r="A8" t="inlineStr">
        <is>
          <t>[Q_SEG_1]</t>
        </is>
      </c>
      <c r="B8" t="inlineStr">
        <is>
          <t>Q_SEG_1</t>
        </is>
      </c>
      <c r="C8" t="inlineStr">
        <is>
          <t>Segment</t>
        </is>
      </c>
      <c r="D8" t="inlineStr">
        <is>
          <t>SINGLE_SELECT</t>
        </is>
      </c>
      <c r="E8" t="inlineStr">
        <is>
          <t>Q_SEG_1</t>
        </is>
      </c>
      <c r="F8" t="n">
        <v>3</v>
      </c>
      <c r="G8" t="inlineStr">
        <is>
          <t>Yes</t>
        </is>
      </c>
      <c r="H8" t="inlineStr">
        <is>
          <t>No</t>
        </is>
      </c>
      <c r="I8" t="inlineStr"/>
    </row>
    <row r="9">
      <c r="A9" t="inlineStr">
        <is>
          <t>[Q_TGT_1]</t>
        </is>
      </c>
      <c r="B9" t="inlineStr">
        <is>
          <t>Q_TGT_1</t>
        </is>
      </c>
      <c r="C9" t="inlineStr">
        <is>
          <t>Target categorical</t>
        </is>
      </c>
      <c r="D9" t="inlineStr">
        <is>
          <t>SINGLE_SELECT</t>
        </is>
      </c>
      <c r="E9" t="inlineStr">
        <is>
          <t>Q_TGT_1</t>
        </is>
      </c>
      <c r="F9" t="n">
        <v>4</v>
      </c>
      <c r="G9" t="inlineStr">
        <is>
          <t>Yes</t>
        </is>
      </c>
      <c r="H9" t="inlineStr">
        <is>
          <t>No</t>
        </is>
      </c>
      <c r="I9" t="inlineStr"/>
    </row>
    <row r="10">
      <c r="A10" t="inlineStr">
        <is>
          <t>[Q_NUM_3]</t>
        </is>
      </c>
      <c r="B10" t="inlineStr">
        <is>
          <t>Q_NUM_3</t>
        </is>
      </c>
      <c r="C10" t="inlineStr">
        <is>
          <t>Numeric metric</t>
        </is>
      </c>
      <c r="D10" t="inlineStr">
        <is>
          <t>DIRECT_NUMERIC</t>
        </is>
      </c>
      <c r="E10" t="inlineStr">
        <is>
          <t>Q_NUM_3</t>
        </is>
      </c>
      <c r="F10" t="n">
        <v>0</v>
      </c>
      <c r="G10" t="inlineStr">
        <is>
          <t>Yes</t>
        </is>
      </c>
      <c r="H10" t="inlineStr">
        <is>
          <t>No</t>
        </is>
      </c>
      <c r="I10" t="inlineStr"/>
    </row>
    <row r="11">
      <c r="A11" t="inlineStr">
        <is>
          <t>[Q_EXP_1]</t>
        </is>
      </c>
      <c r="B11" t="inlineStr">
        <is>
          <t>Q_EXP_1</t>
        </is>
      </c>
      <c r="C11" t="inlineStr">
        <is>
          <t>Expected</t>
        </is>
      </c>
      <c r="D11" t="inlineStr">
        <is>
          <t>DIRECT_NUMERIC</t>
        </is>
      </c>
      <c r="E11" t="inlineStr">
        <is>
          <t>Q_EXP_1</t>
        </is>
      </c>
      <c r="F11" t="n">
        <v>0</v>
      </c>
      <c r="G11" t="inlineStr">
        <is>
          <t>Yes</t>
        </is>
      </c>
      <c r="H11" t="inlineStr">
        <is>
          <t>No</t>
        </is>
      </c>
      <c r="I11" t="inlineStr"/>
    </row>
    <row r="12">
      <c r="A12" t="inlineStr">
        <is>
          <t>[Q_REAL_1]</t>
        </is>
      </c>
      <c r="B12" t="inlineStr">
        <is>
          <t>Q_REAL_1</t>
        </is>
      </c>
      <c r="C12" t="inlineStr">
        <is>
          <t>Realized</t>
        </is>
      </c>
      <c r="D12" t="inlineStr">
        <is>
          <t>DIRECT_NUMERIC</t>
        </is>
      </c>
      <c r="E12" t="inlineStr">
        <is>
          <t>Q_REAL_1</t>
        </is>
      </c>
      <c r="F12" t="n">
        <v>0</v>
      </c>
      <c r="G12" t="inlineStr">
        <is>
          <t>Yes</t>
        </is>
      </c>
      <c r="H12" t="inlineStr">
        <is>
          <t>No</t>
        </is>
      </c>
      <c r="I12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6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IFERROR(INDEX(All_Questions_Data_Names,MATCH(All_Questions_Q_SS_EXPORT_F_Q,All_Questions,0)),"'_RawData'!$A:$A")</f>
        <v>respondent_id_data</v>
      </c>
      <c r="G13" t="str">
        <f>"|" &amp; SUBSTITUTE(All_Questions_Q_SS_EXPORT_F_V,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4" t="inlineStr">
        <is>
          <t>Option</t>
        </is>
      </c>
      <c r="G16" s="2" t="str">
        <f>IF(All_Questions_Q_SS_EXPORT_CT="(None)","",IFERROR(INDEX(INDIRECT(IFERROR(INDEX(All_Questions_Options_Names,MATCH(All_Questions_Q_SS_EXPORT_CT,All_Questions,0)),"'_Options'!$E$2:$E$2")),2),""))</f>
        <v/>
      </c>
      <c r="H16" s="2" t="str">
        <f>IF(All_Questions_Q_SS_EXPORT_CT="(None)","",IFERROR(INDEX(INDIRECT(IFERROR(INDEX(All_Questions_Options_Names,MATCH(All_Questions_Q_SS_EXPORT_CT,All_Questions,0)),"'_Options'!$E$2:$E$2")),3),""))</f>
        <v/>
      </c>
      <c r="I16" s="2" t="str">
        <f>IF(All_Questions_Q_SS_EXPORT_CT="(None)","",IFERROR(INDEX(INDIRECT(IFERROR(INDEX(All_Questions_Options_Names,MATCH(All_Questions_Q_SS_EXPORT_CT,All_Questions,0)),"'_Options'!$E$2:$E$2")),4),""))</f>
        <v/>
      </c>
      <c r="J16" s="2" t="str">
        <f>IF(All_Questions_Q_SS_EXPORT_CT="(None)","",IFERROR(INDEX(INDIRECT(IFERROR(INDEX(All_Questions_Options_Names,MATCH(All_Questions_Q_SS_EXPORT_CT,All_Questions,0)),"'_Options'!$E$2:$E$2")),5),""))</f>
        <v/>
      </c>
      <c r="K16" s="2" t="str">
        <f>IF(All_Questions_Q_SS_EXPORT_CT="(None)","",IFERROR(INDEX(INDIRECT(IFERROR(INDEX(All_Questions_Options_Names,MATCH(All_Questions_Q_SS_EXPORT_CT,All_Questions,0)),"'_Options'!$E$2:$E$2")),6),""))</f>
        <v/>
      </c>
      <c r="L16" s="2" t="str">
        <f>IF(All_Questions_Q_SS_EXPORT_CT="(None)","",IFERROR(INDEX(INDIRECT(IFERROR(INDEX(All_Questions_Options_Names,MATCH(All_Questions_Q_SS_EXPORT_CT,All_Questions,0)),"'_Options'!$E$2:$E$2")),7),""))</f>
        <v/>
      </c>
      <c r="M16" s="2" t="str">
        <f>IF(All_Questions_Q_SS_EXPORT_CT="(None)","",IFERROR(INDEX(INDIRECT(IFERROR(INDEX(All_Questions_Options_Names,MATCH(All_Questions_Q_SS_EXPORT_CT,All_Questions,0)),"'_Options'!$E$2:$E$2")),8),""))</f>
        <v/>
      </c>
      <c r="N16" s="2" t="str">
        <f>IF(All_Questions_Q_SS_EXPORT_CT="(None)","",IFERROR(INDEX(INDIRECT(IFERROR(INDEX(All_Questions_Options_Names,MATCH(All_Questions_Q_SS_EXPORT_CT,All_Questions,0)),"'_Options'!$E$2:$E$2")),9),""))</f>
        <v/>
      </c>
      <c r="O16" s="2" t="str">
        <f>IF(All_Questions_Q_SS_EXPORT_CT="(None)","",IFERROR(INDEX(INDIRECT(IFERROR(INDEX(All_Questions_Options_Names,MATCH(All_Questions_Q_SS_EXPORT_CT,All_Questions,0)),"'_Options'!$E$2:$E$2")),10),""))</f>
        <v/>
      </c>
      <c r="P16" s="2" t="str">
        <f>IF(All_Questions_Q_SS_EXPORT_CT="(None)","",IFERROR(INDEX(INDIRECT(IFERROR(INDEX(All_Questions_Options_Names,MATCH(All_Questions_Q_SS_EXPORT_CT,All_Questions,0)),"'_Options'!$E$2:$E$2")),11),""))</f>
        <v/>
      </c>
      <c r="Q16" s="2" t="str">
        <f>IF(All_Questions_Q_SS_EXPORT_CT="(None)","",IFERROR(INDEX(INDIRECT(IFERROR(INDEX(All_Questions_Options_Names,MATCH(All_Questions_Q_SS_EXPORT_CT,All_Questions,0)),"'_Options'!$E$2:$E$2")),12),""))</f>
        <v/>
      </c>
      <c r="R16" s="2" t="str">
        <f>IF(All_Questions_Q_SS_EXPORT_CT="(None)","",IF(COUNTA(INDIRECT(IFERROR(INDEX(All_Questions_Options_Names,MATCH(All_Questions_Q_SS_EXPORT_CT,All_Questions,0)),"'_Options'!$E$2:$E$2")))-1&gt;11,"Other",IFERROR(INDEX(INDIRECT(IFERROR(INDEX(All_Questions_Options_Names,MATCH(All_Questions_Q_SS_EXPORT_CT,All_Questions,0)),"'_Options'!$E$2:$E$2")),13),"")))</f>
        <v/>
      </c>
      <c r="S16" s="4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s="4" t="inlineStr"/>
      <c r="G17" s="4" t="inlineStr">
        <is>
          <t># of resp</t>
        </is>
      </c>
      <c r="H17" s="4" t="inlineStr">
        <is>
          <t># of resp</t>
        </is>
      </c>
      <c r="I17" s="4" t="inlineStr">
        <is>
          <t># of resp</t>
        </is>
      </c>
      <c r="J17" s="4" t="inlineStr">
        <is>
          <t># of resp</t>
        </is>
      </c>
      <c r="K17" s="4" t="inlineStr">
        <is>
          <t># of resp</t>
        </is>
      </c>
      <c r="L17" s="4" t="inlineStr">
        <is>
          <t># of resp</t>
        </is>
      </c>
      <c r="M17" s="4" t="inlineStr">
        <is>
          <t># of resp</t>
        </is>
      </c>
      <c r="N17" s="4" t="inlineStr">
        <is>
          <t># of resp</t>
        </is>
      </c>
      <c r="O17" s="4" t="inlineStr">
        <is>
          <t># of resp</t>
        </is>
      </c>
      <c r="P17" s="4" t="inlineStr">
        <is>
          <t># of resp</t>
        </is>
      </c>
      <c r="Q17" s="4" t="inlineStr">
        <is>
          <t># of resp</t>
        </is>
      </c>
      <c r="R17" s="4" t="inlineStr">
        <is>
          <t># of resp</t>
        </is>
      </c>
      <c r="S17" s="4" t="inlineStr">
        <is>
          <t># of resp</t>
        </is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Yes</t>
        </is>
      </c>
      <c r="G18">
        <f>IF(OR(All_Questions_Q_SS_EXPORT_CT="(None)",G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8">
        <f>IF(OR(All_Questions_Q_SS_EXPORT_CT="(None)",H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8">
        <f>IF(OR(All_Questions_Q_SS_EXPORT_CT="(None)",I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8">
        <f>IF(OR(All_Questions_Q_SS_EXPORT_CT="(None)",J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8">
        <f>IF(OR(All_Questions_Q_SS_EXPORT_CT="(None)",K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8">
        <f>IF(OR(All_Questions_Q_SS_EXPORT_CT="(None)",L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8">
        <f>IF(OR(All_Questions_Q_SS_EXPORT_CT="(None)",M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8">
        <f>IF(OR(All_Questions_Q_SS_EXPORT_CT="(None)",N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8">
        <f>IF(OR(All_Questions_Q_SS_EXPORT_CT="(None)",O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8">
        <f>IF(OR(All_Questions_Q_SS_EXPORT_CT="(None)",P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8">
        <f>IF(OR(All_Questions_Q_SS_EXPORT_CT="(None)",Q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8">
        <f>IF(OR(All_Questions_Q_SS_EXPORT_CT="(None)",R$16=""),"",IF(R$16="Other",COUNTIFS(Q_SS_EXPORT_data,"Yes",passes_workbook_filters_data,1,passes_workbook_custom_filters_data,1,All_Questions_passes_local_filters_data,1,All_Questions_Q_SS_EXPORT_F_passes_per_q_filter_data,1)-SUM(G18,H18,I18,J18,K18,L18,M18,N18,O18,P18,Q18)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8">
        <f>IF(All_Questions_Q_SS_EXPORT_CT="(None)","",COUNTIFS(Q_SS_EXPORT_data,"Yes",passes_workbook_filters_data,1,passes_workbook_custom_filters_data,1,All_Questions_passes_local_filters_data,1,All_Questions_Q_SS_EXPORT_F_passes_per_q_filter_data,1))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  <c r="F19" t="inlineStr">
        <is>
          <t>No</t>
        </is>
      </c>
      <c r="G19">
        <f>IF(OR(All_Questions_Q_SS_EXPORT_CT="(None)",G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9">
        <f>IF(OR(All_Questions_Q_SS_EXPORT_CT="(None)",H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9">
        <f>IF(OR(All_Questions_Q_SS_EXPORT_CT="(None)",I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9">
        <f>IF(OR(All_Questions_Q_SS_EXPORT_CT="(None)",J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9">
        <f>IF(OR(All_Questions_Q_SS_EXPORT_CT="(None)",K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9">
        <f>IF(OR(All_Questions_Q_SS_EXPORT_CT="(None)",L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9">
        <f>IF(OR(All_Questions_Q_SS_EXPORT_CT="(None)",M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9">
        <f>IF(OR(All_Questions_Q_SS_EXPORT_CT="(None)",N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9">
        <f>IF(OR(All_Questions_Q_SS_EXPORT_CT="(None)",O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9">
        <f>IF(OR(All_Questions_Q_SS_EXPORT_CT="(None)",P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9">
        <f>IF(OR(All_Questions_Q_SS_EXPORT_CT="(None)",Q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9">
        <f>IF(OR(All_Questions_Q_SS_EXPORT_CT="(None)",R$16=""),"",IF(R$16="Other",COUNTIFS(Q_SS_EXPORT_data,"No",passes_workbook_filters_data,1,passes_workbook_custom_filters_data,1,All_Questions_passes_local_filters_data,1,All_Questions_Q_SS_EXPORT_F_passes_per_q_filter_data,1)-SUM(G19,H19,I19,J19,K19,L19,M19,N19,O19,P19,Q19)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9">
        <f>IF(All_Questions_Q_SS_EXPORT_CT="(None)","",COUNTIFS(Q_SS_EXPORT_data,"No",passes_workbook_filters_data,1,passes_workbook_custom_filters_data,1,All_Questions_passes_local_filters_data,1,All_Questions_Q_SS_EXPORT_F_passes_per_q_filter_data,1))</f>
        <v>0</v>
      </c>
    </row>
    <row r="20">
      <c r="F20" s="4" t="inlineStr">
        <is>
          <t>Total respondents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>
        <f>IF(All_Questions_Q_SS_EXPORT_CT="(None)","",COUNTIFS(respondent_id_data,"&lt;&gt;",passes_workbook_filters_data,1,passes_workbook_custom_filters_data,1,All_Questions_passes_local_filters_data,1,All_Questions_Q_SS_EXPORT_F_passes_per_q_filter_data,1))</f>
        <v>0</v>
      </c>
    </row>
    <row r="21">
      <c r="A21" s="11" t="n"/>
      <c r="B21" s="11" t="n"/>
      <c r="C21" s="11" t="n"/>
      <c r="D21" s="11" t="n"/>
      <c r="E21" s="11" t="n"/>
      <c r="F21" s="11" t="n"/>
      <c r="G21" s="11" t="n"/>
      <c r="H21" s="11" t="n"/>
      <c r="I21" s="11" t="n"/>
      <c r="J21" s="11" t="n"/>
    </row>
    <row r="22">
      <c r="A22" s="12" t="inlineStr">
        <is>
          <t>Q_MS_EXPORT - Multi select export question</t>
        </is>
      </c>
      <c r="B22" s="12" t="n"/>
      <c r="C22" s="12" t="n"/>
      <c r="D22" s="12" t="n"/>
      <c r="E22" s="12" t="n"/>
      <c r="F22" s="12" t="n"/>
      <c r="G22" s="12" t="n"/>
      <c r="H22" s="12" t="n"/>
      <c r="I22" s="12" t="n"/>
      <c r="J22" s="12" t="n"/>
      <c r="K22" s="12" t="n"/>
      <c r="L22" s="12" t="n"/>
      <c r="M22" s="12" t="n"/>
      <c r="N22" s="12" t="n"/>
    </row>
    <row r="23">
      <c r="A23" s="13" t="inlineStr">
        <is>
          <t>Per-question filter</t>
        </is>
      </c>
      <c r="B23" t="inlineStr">
        <is>
          <t>Filter Q</t>
        </is>
      </c>
      <c r="C23" t="inlineStr">
        <is>
          <t>(None)</t>
        </is>
      </c>
      <c r="D23" t="inlineStr">
        <is>
          <t>Value</t>
        </is>
      </c>
      <c r="E23" t="inlineStr">
        <is>
          <t>(All)</t>
        </is>
      </c>
      <c r="F23" t="str">
        <f>IFERROR(INDEX(All_Questions_Data_Names,MATCH(All_Questions_Q_MS_EXPORT_F_Q,All_Questions,0)),"'_RawData'!$A:$A")</f>
        <v>respondent_id_data</v>
      </c>
      <c r="G23" t="str">
        <f>"|" &amp; SUBSTITUTE(All_Questions_Q_MS_EXPORT_F_V, ", ", "|") &amp; "|"</f>
        <v>|(All)|</v>
      </c>
    </row>
    <row r="24">
      <c r="A24" s="13" t="inlineStr">
        <is>
          <t>Cross-tab by</t>
        </is>
      </c>
      <c r="C24" t="inlineStr">
        <is>
          <t>(None)</t>
        </is>
      </c>
    </row>
    <row r="26">
      <c r="A26" s="4" t="inlineStr">
        <is>
          <t>Option</t>
        </is>
      </c>
      <c r="B26" s="4" t="inlineStr">
        <is>
          <t>Count</t>
        </is>
      </c>
      <c r="C26" s="4" t="inlineStr">
        <is>
          <t>%</t>
        </is>
      </c>
      <c r="D26" s="4" t="inlineStr">
        <is>
          <t>Denominator</t>
        </is>
      </c>
      <c r="F26" s="4" t="inlineStr">
        <is>
          <t>Option</t>
        </is>
      </c>
      <c r="G26" s="2" t="str">
        <f>IF(All_Questions_Q_MS_EXPORT_CT="(None)","",IFERROR(INDEX(INDIRECT(IFERROR(INDEX(All_Questions_Options_Names,MATCH(All_Questions_Q_MS_EXPORT_CT,All_Questions,0)),"'_Options'!$E$2:$E$2")),2),""))</f>
        <v/>
      </c>
      <c r="H26" s="2" t="str">
        <f>IF(All_Questions_Q_MS_EXPORT_CT="(None)","",IFERROR(INDEX(INDIRECT(IFERROR(INDEX(All_Questions_Options_Names,MATCH(All_Questions_Q_MS_EXPORT_CT,All_Questions,0)),"'_Options'!$E$2:$E$2")),3),""))</f>
        <v/>
      </c>
      <c r="I26" s="2" t="str">
        <f>IF(All_Questions_Q_MS_EXPORT_CT="(None)","",IFERROR(INDEX(INDIRECT(IFERROR(INDEX(All_Questions_Options_Names,MATCH(All_Questions_Q_MS_EXPORT_CT,All_Questions,0)),"'_Options'!$E$2:$E$2")),4),""))</f>
        <v/>
      </c>
      <c r="J26" s="2" t="str">
        <f>IF(All_Questions_Q_MS_EXPORT_CT="(None)","",IFERROR(INDEX(INDIRECT(IFERROR(INDEX(All_Questions_Options_Names,MATCH(All_Questions_Q_MS_EXPORT_CT,All_Questions,0)),"'_Options'!$E$2:$E$2")),5),""))</f>
        <v/>
      </c>
      <c r="K26" s="2" t="str">
        <f>IF(All_Questions_Q_MS_EXPORT_CT="(None)","",IFERROR(INDEX(INDIRECT(IFERROR(INDEX(All_Questions_Options_Names,MATCH(All_Questions_Q_MS_EXPORT_CT,All_Questions,0)),"'_Options'!$E$2:$E$2")),6),""))</f>
        <v/>
      </c>
      <c r="L26" s="2" t="str">
        <f>IF(All_Questions_Q_MS_EXPORT_CT="(None)","",IFERROR(INDEX(INDIRECT(IFERROR(INDEX(All_Questions_Options_Names,MATCH(All_Questions_Q_MS_EXPORT_CT,All_Questions,0)),"'_Options'!$E$2:$E$2")),7),""))</f>
        <v/>
      </c>
      <c r="M26" s="2" t="str">
        <f>IF(All_Questions_Q_MS_EXPORT_CT="(None)","",IFERROR(INDEX(INDIRECT(IFERROR(INDEX(All_Questions_Options_Names,MATCH(All_Questions_Q_MS_EXPORT_CT,All_Questions,0)),"'_Options'!$E$2:$E$2")),8),""))</f>
        <v/>
      </c>
      <c r="N26" s="2" t="str">
        <f>IF(All_Questions_Q_MS_EXPORT_CT="(None)","",IFERROR(INDEX(INDIRECT(IFERROR(INDEX(All_Questions_Options_Names,MATCH(All_Questions_Q_MS_EXPORT_CT,All_Questions,0)),"'_Options'!$E$2:$E$2")),9),""))</f>
        <v/>
      </c>
      <c r="O26" s="2" t="str">
        <f>IF(All_Questions_Q_MS_EXPORT_CT="(None)","",IFERROR(INDEX(INDIRECT(IFERROR(INDEX(All_Questions_Options_Names,MATCH(All_Questions_Q_MS_EXPORT_CT,All_Questions,0)),"'_Options'!$E$2:$E$2")),10),""))</f>
        <v/>
      </c>
      <c r="P26" s="2" t="str">
        <f>IF(All_Questions_Q_MS_EXPORT_CT="(None)","",IFERROR(INDEX(INDIRECT(IFERROR(INDEX(All_Questions_Options_Names,MATCH(All_Questions_Q_MS_EXPORT_CT,All_Questions,0)),"'_Options'!$E$2:$E$2")),11),""))</f>
        <v/>
      </c>
      <c r="Q26" s="2" t="str">
        <f>IF(All_Questions_Q_MS_EXPORT_CT="(None)","",IFERROR(INDEX(INDIRECT(IFERROR(INDEX(All_Questions_Options_Names,MATCH(All_Questions_Q_MS_EXPORT_CT,All_Questions,0)),"'_Options'!$E$2:$E$2")),12),""))</f>
        <v/>
      </c>
      <c r="R26" s="2" t="str">
        <f>IF(All_Questions_Q_MS_EXPORT_CT="(None)","",IF(COUNTA(INDIRECT(IFERROR(INDEX(All_Questions_Options_Names,MATCH(All_Questions_Q_MS_EXPORT_CT,All_Questions,0)),"'_Options'!$E$2:$E$2")))-1&gt;11,"Other",IFERROR(INDEX(INDIRECT(IFERROR(INDEX(All_Questions_Options_Names,MATCH(All_Questions_Q_MS_EXPORT_CT,All_Questions,0)),"'_Options'!$E$2:$E$2")),13),"")))</f>
        <v/>
      </c>
      <c r="S26" s="4" t="inlineStr">
        <is>
          <t>Total</t>
        </is>
      </c>
    </row>
    <row r="27">
      <c r="A27" t="inlineStr">
        <is>
          <t>First</t>
        </is>
      </c>
      <c r="B27">
        <f>COUNTIFS(Q_MS_EXPORTr1_data,"Selected",passes_workbook_filters_data,1,passes_workbook_custom_filters_data,1,All_Questions_passes_local_filters_data,1,All_Questions_Q_MS_EXPORT_F_passes_per_q_filter_data,1)</f>
        <v>5</v>
      </c>
      <c r="C27" s="7">
        <f>IFERROR(B27/SUBTOTAL(9,B27:B28),0)</f>
        <v>0.7142857142857143</v>
      </c>
      <c r="D27" s="14">
        <f>SUBTOTAL(9,B27:B28)</f>
        <v>7</v>
      </c>
      <c r="F27" s="4" t="inlineStr"/>
      <c r="G27" s="4" t="inlineStr">
        <is>
          <t># of resp</t>
        </is>
      </c>
      <c r="H27" s="4" t="inlineStr">
        <is>
          <t># of resp</t>
        </is>
      </c>
      <c r="I27" s="4" t="inlineStr">
        <is>
          <t># of resp</t>
        </is>
      </c>
      <c r="J27" s="4" t="inlineStr">
        <is>
          <t># of resp</t>
        </is>
      </c>
      <c r="K27" s="4" t="inlineStr">
        <is>
          <t># of resp</t>
        </is>
      </c>
      <c r="L27" s="4" t="inlineStr">
        <is>
          <t># of resp</t>
        </is>
      </c>
      <c r="M27" s="4" t="inlineStr">
        <is>
          <t># of resp</t>
        </is>
      </c>
      <c r="N27" s="4" t="inlineStr">
        <is>
          <t># of resp</t>
        </is>
      </c>
      <c r="O27" s="4" t="inlineStr">
        <is>
          <t># of resp</t>
        </is>
      </c>
      <c r="P27" s="4" t="inlineStr">
        <is>
          <t># of resp</t>
        </is>
      </c>
      <c r="Q27" s="4" t="inlineStr">
        <is>
          <t># of resp</t>
        </is>
      </c>
      <c r="R27" s="4" t="inlineStr">
        <is>
          <t># of resp</t>
        </is>
      </c>
      <c r="S27" s="4" t="inlineStr">
        <is>
          <t># of resp</t>
        </is>
      </c>
    </row>
    <row r="28">
      <c r="A28" t="inlineStr">
        <is>
          <t>Second</t>
        </is>
      </c>
      <c r="B28">
        <f>COUNTIFS(Q_MS_EXPORTr2_data,"Selected",passes_workbook_filters_data,1,passes_workbook_custom_filters_data,1,All_Questions_passes_local_filters_data,1,All_Questions_Q_MS_EXPORT_F_passes_per_q_filter_data,1)</f>
        <v>2</v>
      </c>
      <c r="C28" s="7">
        <f>IFERROR(B28/SUBTOTAL(9,B27:B28),0)</f>
        <v>0.2857142857142857</v>
      </c>
      <c r="D28" s="14">
        <f>SUBTOTAL(9,B27:B28)</f>
        <v>7</v>
      </c>
      <c r="F28" t="inlineStr">
        <is>
          <t>First</t>
        </is>
      </c>
      <c r="G28">
        <f>IF(OR(All_Questions_Q_MS_EXPORT_CT="(None)",G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8">
        <f>IF(OR(All_Questions_Q_MS_EXPORT_CT="(None)",H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8">
        <f>IF(OR(All_Questions_Q_MS_EXPORT_CT="(None)",I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8">
        <f>IF(OR(All_Questions_Q_MS_EXPORT_CT="(None)",J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8">
        <f>IF(OR(All_Questions_Q_MS_EXPORT_CT="(None)",K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8">
        <f>IF(OR(All_Questions_Q_MS_EXPORT_CT="(None)",L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8">
        <f>IF(OR(All_Questions_Q_MS_EXPORT_CT="(None)",M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8">
        <f>IF(OR(All_Questions_Q_MS_EXPORT_CT="(None)",N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8">
        <f>IF(OR(All_Questions_Q_MS_EXPORT_CT="(None)",O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8">
        <f>IF(OR(All_Questions_Q_MS_EXPORT_CT="(None)",P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8">
        <f>IF(OR(All_Questions_Q_MS_EXPORT_CT="(None)",Q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8">
        <f>IF(OR(All_Questions_Q_MS_EXPORT_CT="(None)",R$26=""),"",IF(R$26="Other",COUNTIFS(Q_MS_EXPORTr1_data,"Selected",passes_workbook_filters_data,1,passes_workbook_custom_filters_data,1,All_Questions_passes_local_filters_data,1,All_Questions_Q_MS_EXPORT_F_passes_per_q_filter_data,1)-SUM(G28,H28,I28,J28,K28,L28,M28,N28,O28,P28,Q28)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8">
        <f>IF(All_Questions_Q_MS_EXPORT_CT="(None)","",COUNTIFS(Q_MS_EXPORTr1_data,"Selected",passes_workbook_filters_data,1,passes_workbook_custom_filters_data,1,All_Questions_passes_local_filters_data,1,All_Questions_Q_MS_EXPORT_F_passes_per_q_filter_data,1))</f>
        <v>0</v>
      </c>
    </row>
    <row r="29">
      <c r="A29" s="15" t="inlineStr">
        <is>
          <t>Total respondents</t>
        </is>
      </c>
      <c r="B29" s="15" t="n">
        <v>10</v>
      </c>
      <c r="C29" s="15" t="n"/>
      <c r="D29" s="15" t="n"/>
      <c r="F29" t="inlineStr">
        <is>
          <t>Second</t>
        </is>
      </c>
      <c r="G29">
        <f>IF(OR(All_Questions_Q_MS_EXPORT_CT="(None)",G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9">
        <f>IF(OR(All_Questions_Q_MS_EXPORT_CT="(None)",H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9">
        <f>IF(OR(All_Questions_Q_MS_EXPORT_CT="(None)",I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9">
        <f>IF(OR(All_Questions_Q_MS_EXPORT_CT="(None)",J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9">
        <f>IF(OR(All_Questions_Q_MS_EXPORT_CT="(None)",K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9">
        <f>IF(OR(All_Questions_Q_MS_EXPORT_CT="(None)",L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9">
        <f>IF(OR(All_Questions_Q_MS_EXPORT_CT="(None)",M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9">
        <f>IF(OR(All_Questions_Q_MS_EXPORT_CT="(None)",N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9">
        <f>IF(OR(All_Questions_Q_MS_EXPORT_CT="(None)",O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9">
        <f>IF(OR(All_Questions_Q_MS_EXPORT_CT="(None)",P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9">
        <f>IF(OR(All_Questions_Q_MS_EXPORT_CT="(None)",Q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9">
        <f>IF(OR(All_Questions_Q_MS_EXPORT_CT="(None)",R$26=""),"",IF(R$26="Other",COUNTIFS(Q_MS_EXPORTr2_data,"Selected",passes_workbook_filters_data,1,passes_workbook_custom_filters_data,1,All_Questions_passes_local_filters_data,1,All_Questions_Q_MS_EXPORT_F_passes_per_q_filter_data,1)-SUM(G29,H29,I29,J29,K29,L29,M29,N29,O29,P29,Q29)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9">
        <f>IF(All_Questions_Q_MS_EXPORT_CT="(None)","",COUNTIFS(Q_MS_EXPORTr2_data,"Selected",passes_workbook_filters_data,1,passes_workbook_custom_filters_data,1,All_Questions_passes_local_filters_data,1,All_Questions_Q_MS_EXPORT_F_passes_per_q_filter_data,1))</f>
        <v>0</v>
      </c>
    </row>
    <row r="30">
      <c r="A30" s="4" t="inlineStr">
        <is>
          <t>Total responses</t>
        </is>
      </c>
      <c r="B30" s="4" t="n">
        <v>7</v>
      </c>
      <c r="C30" s="4" t="n"/>
      <c r="D30" s="4" t="n"/>
      <c r="F30" s="4" t="inlineStr">
        <is>
          <t>Total respondents</t>
        </is>
      </c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  <c r="Q30" s="2" t="n"/>
      <c r="R30" s="2" t="n"/>
      <c r="S30" s="2">
        <f>IF(All_Questions_Q_MS_EXPORT_CT="(None)","",COUNTIFS(respondent_id_data,"&lt;&gt;",passes_workbook_filters_data,1,passes_workbook_custom_filters_data,1,All_Questions_passes_local_filters_data,1,All_Questions_Q_MS_EXPORT_F_passes_per_q_filter_data,1))</f>
        <v>0</v>
      </c>
    </row>
    <row r="32">
      <c r="A32" s="11" t="n"/>
      <c r="B32" s="11" t="n"/>
      <c r="C32" s="11" t="n"/>
      <c r="D32" s="11" t="n"/>
      <c r="E32" s="11" t="n"/>
      <c r="F32" s="11" t="n"/>
      <c r="G32" s="11" t="n"/>
      <c r="H32" s="11" t="n"/>
      <c r="I32" s="11" t="n"/>
      <c r="J32" s="11" t="n"/>
    </row>
    <row r="33">
      <c r="A33" s="12" t="inlineStr">
        <is>
          <t>Q_NUM_EXPORT - Numeric export question</t>
        </is>
      </c>
      <c r="B33" s="12" t="n"/>
      <c r="C33" s="12" t="n"/>
      <c r="D33" s="12" t="n"/>
      <c r="E33" s="12" t="n"/>
      <c r="F33" s="12" t="n"/>
      <c r="G33" s="12" t="n"/>
      <c r="H33" s="12" t="n"/>
      <c r="I33" s="12" t="n"/>
      <c r="J33" s="12" t="n"/>
      <c r="K33" s="12" t="n"/>
      <c r="L33" s="12" t="n"/>
      <c r="M33" s="12" t="n"/>
      <c r="N33" s="12" t="n"/>
    </row>
    <row r="34">
      <c r="A34" s="13" t="inlineStr">
        <is>
          <t>Per-question filter</t>
        </is>
      </c>
      <c r="B34" t="inlineStr">
        <is>
          <t>Filter Q</t>
        </is>
      </c>
      <c r="C34" t="inlineStr">
        <is>
          <t>(None)</t>
        </is>
      </c>
      <c r="D34" t="inlineStr">
        <is>
          <t>Value</t>
        </is>
      </c>
      <c r="E34" t="inlineStr">
        <is>
          <t>(All)</t>
        </is>
      </c>
      <c r="F34" t="str">
        <f>IFERROR(INDEX(All_Questions_Data_Names,MATCH(All_Questions_Q_NUM_EXPORT_F_Q,All_Questions,0)),"'_RawData'!$A:$A")</f>
        <v>respondent_id_data</v>
      </c>
      <c r="G34" t="str">
        <f>"|" &amp; SUBSTITUTE(All_Questions_Q_NUM_EXPORT_F_V, ", ", "|") &amp; "|"</f>
        <v>|(All)|</v>
      </c>
    </row>
    <row r="35">
      <c r="A35" s="13" t="inlineStr">
        <is>
          <t>Cross-tab by</t>
        </is>
      </c>
      <c r="C35" t="inlineStr">
        <is>
          <t>(None)</t>
        </is>
      </c>
    </row>
    <row r="37">
      <c r="A37" s="4" t="inlineStr">
        <is>
          <t>Metric</t>
        </is>
      </c>
      <c r="B37" s="4" t="inlineStr">
        <is>
          <t>Value</t>
        </is>
      </c>
      <c r="C37" s="4" t="inlineStr">
        <is>
          <t>Note</t>
        </is>
      </c>
      <c r="D37" s="4" t="inlineStr">
        <is>
          <t>Denominator</t>
        </is>
      </c>
    </row>
    <row r="38">
      <c r="A38" t="inlineStr">
        <is>
          <t>Mean</t>
        </is>
      </c>
      <c r="B38">
        <f>IFERROR(AVERAGEIFS(Q_NUM_EXPORT_data,passes_workbook_filters_data,1,passes_workbook_custom_filters_data,1,All_Questions_passes_local_filters_data,1,All_Questions_Q_NUM_EXPORT_F_passes_per_q_filter_data,1),0)</f>
        <v>5.5</v>
      </c>
      <c r="D38">
        <f>COUNTIFS(Q_NUM_EXPORT_data,"&lt;&gt;",passes_workbook_filters_data,1,passes_workbook_custom_filters_data,1,All_Questions_passes_local_filters_data,1,All_Questions_Q_NUM_EXPORT_F_passes_per_q_filter_data,1)</f>
        <v>10</v>
      </c>
    </row>
    <row r="39">
      <c r="A39" t="inlineStr">
        <is>
          <t>Min</t>
        </is>
      </c>
      <c r="B39">
        <f>IFERROR(MINIFS(Q_NUM_EXPORT_data,passes_workbook_filters_data,1,passes_workbook_custom_filters_data,1,All_Questions_passes_local_filters_data,1,All_Questions_Q_NUM_EXPORT_F_passes_per_q_filter_data,1),0)</f>
        <v>1.0</v>
      </c>
      <c r="D39">
        <f>COUNTIFS(Q_NUM_EXPORT_data,"&lt;&gt;",passes_workbook_filters_data,1,passes_workbook_custom_filters_data,1,All_Questions_passes_local_filters_data,1,All_Questions_Q_NUM_EXPORT_F_passes_per_q_filter_data,1)</f>
        <v>10</v>
      </c>
    </row>
    <row r="40">
      <c r="A40" t="inlineStr">
        <is>
          <t>Max</t>
        </is>
      </c>
      <c r="B40">
        <f>IFERROR(MAXIFS(Q_NUM_EXPORT_data,passes_workbook_filters_data,1,passes_workbook_custom_filters_data,1,All_Questions_passes_local_filters_data,1,All_Questions_Q_NUM_EXPORT_F_passes_per_q_filter_data,1),0)</f>
        <v>10.0</v>
      </c>
      <c r="D40">
        <f>COUNTIFS(Q_NUM_EXPORT_data,"&lt;&gt;",passes_workbook_filters_data,1,passes_workbook_custom_filters_data,1,All_Questions_passes_local_filters_data,1,All_Questions_Q_NUM_EXPORT_F_passes_per_q_filter_data,1)</f>
        <v>10</v>
      </c>
    </row>
    <row r="41">
      <c r="A41" t="inlineStr">
        <is>
          <t>Std</t>
        </is>
      </c>
      <c r="B41" t="n">
        <v>2.9</v>
      </c>
      <c r="C41" t="inlineStr">
        <is>
          <t>static baseline</t>
        </is>
      </c>
      <c r="D41">
        <f>COUNTIFS(Q_NUM_EXPORT_data,"&lt;&gt;",passes_workbook_filters_data,1,passes_workbook_custom_filters_data,1,All_Questions_passes_local_filters_data,1,All_Questions_Q_NUM_EXPORT_F_passes_per_q_filter_data,1)</f>
        <v>10</v>
      </c>
    </row>
    <row r="42">
      <c r="A42" s="10" t="inlineStr">
        <is>
          <t>Median not available in filtered view - see static baseline in audit log.</t>
        </is>
      </c>
    </row>
    <row r="44">
      <c r="A44" s="11" t="n"/>
      <c r="B44" s="11" t="n"/>
      <c r="C44" s="11" t="n"/>
      <c r="D44" s="11" t="n"/>
      <c r="E44" s="11" t="n"/>
      <c r="F44" s="11" t="n"/>
      <c r="G44" s="11" t="n"/>
      <c r="H44" s="11" t="n"/>
      <c r="I44" s="11" t="n"/>
      <c r="J44" s="11" t="n"/>
    </row>
    <row r="45">
      <c r="A45" s="12" t="inlineStr">
        <is>
          <t>Q_GRID_EXPORT - Grid export question</t>
        </is>
      </c>
      <c r="B45" s="12" t="n"/>
      <c r="C45" s="12" t="n"/>
      <c r="D45" s="12" t="n"/>
      <c r="E45" s="12" t="n"/>
      <c r="F45" s="12" t="n"/>
      <c r="G45" s="12" t="n"/>
      <c r="H45" s="12" t="n"/>
      <c r="I45" s="12" t="n"/>
      <c r="J45" s="12" t="n"/>
      <c r="K45" s="12" t="n"/>
      <c r="L45" s="12" t="n"/>
      <c r="M45" s="12" t="n"/>
      <c r="N45" s="12" t="n"/>
    </row>
    <row r="46">
      <c r="A46" s="13" t="inlineStr">
        <is>
          <t>Per-question filter</t>
        </is>
      </c>
      <c r="B46" t="inlineStr">
        <is>
          <t>Filter Q</t>
        </is>
      </c>
      <c r="C46" t="inlineStr">
        <is>
          <t>(None)</t>
        </is>
      </c>
      <c r="D46" t="inlineStr">
        <is>
          <t>Value</t>
        </is>
      </c>
      <c r="E46" t="inlineStr">
        <is>
          <t>(All)</t>
        </is>
      </c>
      <c r="F46" t="str">
        <f>IFERROR(INDEX(All_Questions_Data_Names,MATCH(All_Questions_Q_GRID_EXPORT_F_Q,All_Questions,0)),"'_RawData'!$A:$A")</f>
        <v>respondent_id_data</v>
      </c>
      <c r="G46" t="str">
        <f>"|" &amp; SUBSTITUTE(All_Questions_Q_GRID_EXPORT_F_V, ", ", "|") &amp; "|"</f>
        <v>|(All)|</v>
      </c>
    </row>
    <row r="47">
      <c r="A47" s="13" t="inlineStr">
        <is>
          <t>Cross-tab by</t>
        </is>
      </c>
      <c r="C47" t="inlineStr">
        <is>
          <t>(None)</t>
        </is>
      </c>
    </row>
    <row r="49">
      <c r="A49" s="4" t="inlineStr">
        <is>
          <t>Option</t>
        </is>
      </c>
      <c r="B49" s="4" t="inlineStr">
        <is>
          <t>Count</t>
        </is>
      </c>
      <c r="C49" s="4" t="inlineStr">
        <is>
          <t>%</t>
        </is>
      </c>
      <c r="D49" s="4" t="inlineStr">
        <is>
          <t>Denominator</t>
        </is>
      </c>
      <c r="F49" s="4" t="inlineStr">
        <is>
          <t>Option</t>
        </is>
      </c>
      <c r="G49" s="2" t="str">
        <f>IF(All_Questions_Q_GRID_EXPORT_CT="(None)","",IFERROR(INDEX(INDIRECT(IFERROR(INDEX(All_Questions_Options_Names,MATCH(All_Questions_Q_GRID_EXPORT_CT,All_Questions,0)),"'_Options'!$E$2:$E$2")),2),""))</f>
        <v/>
      </c>
      <c r="H49" s="2" t="str">
        <f>IF(All_Questions_Q_GRID_EXPORT_CT="(None)","",IFERROR(INDEX(INDIRECT(IFERROR(INDEX(All_Questions_Options_Names,MATCH(All_Questions_Q_GRID_EXPORT_CT,All_Questions,0)),"'_Options'!$E$2:$E$2")),3),""))</f>
        <v/>
      </c>
      <c r="I49" s="2" t="str">
        <f>IF(All_Questions_Q_GRID_EXPORT_CT="(None)","",IFERROR(INDEX(INDIRECT(IFERROR(INDEX(All_Questions_Options_Names,MATCH(All_Questions_Q_GRID_EXPORT_CT,All_Questions,0)),"'_Options'!$E$2:$E$2")),4),""))</f>
        <v/>
      </c>
      <c r="J49" s="2" t="str">
        <f>IF(All_Questions_Q_GRID_EXPORT_CT="(None)","",IFERROR(INDEX(INDIRECT(IFERROR(INDEX(All_Questions_Options_Names,MATCH(All_Questions_Q_GRID_EXPORT_CT,All_Questions,0)),"'_Options'!$E$2:$E$2")),5),""))</f>
        <v/>
      </c>
      <c r="K49" s="2" t="str">
        <f>IF(All_Questions_Q_GRID_EXPORT_CT="(None)","",IFERROR(INDEX(INDIRECT(IFERROR(INDEX(All_Questions_Options_Names,MATCH(All_Questions_Q_GRID_EXPORT_CT,All_Questions,0)),"'_Options'!$E$2:$E$2")),6),""))</f>
        <v/>
      </c>
      <c r="L49" s="2" t="str">
        <f>IF(All_Questions_Q_GRID_EXPORT_CT="(None)","",IFERROR(INDEX(INDIRECT(IFERROR(INDEX(All_Questions_Options_Names,MATCH(All_Questions_Q_GRID_EXPORT_CT,All_Questions,0)),"'_Options'!$E$2:$E$2")),7),""))</f>
        <v/>
      </c>
      <c r="M49" s="2" t="str">
        <f>IF(All_Questions_Q_GRID_EXPORT_CT="(None)","",IFERROR(INDEX(INDIRECT(IFERROR(INDEX(All_Questions_Options_Names,MATCH(All_Questions_Q_GRID_EXPORT_CT,All_Questions,0)),"'_Options'!$E$2:$E$2")),8),""))</f>
        <v/>
      </c>
      <c r="N49" s="2" t="str">
        <f>IF(All_Questions_Q_GRID_EXPORT_CT="(None)","",IFERROR(INDEX(INDIRECT(IFERROR(INDEX(All_Questions_Options_Names,MATCH(All_Questions_Q_GRID_EXPORT_CT,All_Questions,0)),"'_Options'!$E$2:$E$2")),9),""))</f>
        <v/>
      </c>
      <c r="O49" s="2" t="str">
        <f>IF(All_Questions_Q_GRID_EXPORT_CT="(None)","",IFERROR(INDEX(INDIRECT(IFERROR(INDEX(All_Questions_Options_Names,MATCH(All_Questions_Q_GRID_EXPORT_CT,All_Questions,0)),"'_Options'!$E$2:$E$2")),10),""))</f>
        <v/>
      </c>
      <c r="P49" s="2" t="str">
        <f>IF(All_Questions_Q_GRID_EXPORT_CT="(None)","",IFERROR(INDEX(INDIRECT(IFERROR(INDEX(All_Questions_Options_Names,MATCH(All_Questions_Q_GRID_EXPORT_CT,All_Questions,0)),"'_Options'!$E$2:$E$2")),11),""))</f>
        <v/>
      </c>
      <c r="Q49" s="2" t="str">
        <f>IF(All_Questions_Q_GRID_EXPORT_CT="(None)","",IFERROR(INDEX(INDIRECT(IFERROR(INDEX(All_Questions_Options_Names,MATCH(All_Questions_Q_GRID_EXPORT_CT,All_Questions,0)),"'_Options'!$E$2:$E$2")),12),""))</f>
        <v/>
      </c>
      <c r="R49" s="2" t="str">
        <f>IF(All_Questions_Q_GRID_EXPORT_CT="(None)","",IF(COUNTA(INDIRECT(IFERROR(INDEX(All_Questions_Options_Names,MATCH(All_Questions_Q_GRID_EXPORT_CT,All_Questions,0)),"'_Options'!$E$2:$E$2")))-1&gt;11,"Other",IFERROR(INDEX(INDIRECT(IFERROR(INDEX(All_Questions_Options_Names,MATCH(All_Questions_Q_GRID_EXPORT_CT,All_Questions,0)),"'_Options'!$E$2:$E$2")),13),"")))</f>
        <v/>
      </c>
      <c r="S49" s="4" t="inlineStr">
        <is>
          <t>Total</t>
        </is>
      </c>
    </row>
    <row r="50">
      <c r="A50" t="inlineStr">
        <is>
          <t>Grid first row</t>
        </is>
      </c>
      <c r="B50">
        <f>COUNTIFS(Q_GRID_EXPORTr1_data,"Selected",passes_workbook_filters_data,1,passes_workbook_custom_filters_data,1,All_Questions_passes_local_filters_data,1,All_Questions_Q_GRID_EXPORT_F_passes_per_q_filter_data,1)</f>
        <v>10</v>
      </c>
      <c r="C50" s="7">
        <f>IFERROR(B50/SUBTOTAL(9,B50:B51),0)</f>
        <v>0.5</v>
      </c>
      <c r="D50" s="14">
        <f>SUBTOTAL(9,B50:B51)</f>
        <v>20</v>
      </c>
      <c r="F50" s="4" t="inlineStr"/>
      <c r="G50" s="4" t="inlineStr">
        <is>
          <t># of resp</t>
        </is>
      </c>
      <c r="H50" s="4" t="inlineStr">
        <is>
          <t># of resp</t>
        </is>
      </c>
      <c r="I50" s="4" t="inlineStr">
        <is>
          <t># of resp</t>
        </is>
      </c>
      <c r="J50" s="4" t="inlineStr">
        <is>
          <t># of resp</t>
        </is>
      </c>
      <c r="K50" s="4" t="inlineStr">
        <is>
          <t># of resp</t>
        </is>
      </c>
      <c r="L50" s="4" t="inlineStr">
        <is>
          <t># of resp</t>
        </is>
      </c>
      <c r="M50" s="4" t="inlineStr">
        <is>
          <t># of resp</t>
        </is>
      </c>
      <c r="N50" s="4" t="inlineStr">
        <is>
          <t># of resp</t>
        </is>
      </c>
      <c r="O50" s="4" t="inlineStr">
        <is>
          <t># of resp</t>
        </is>
      </c>
      <c r="P50" s="4" t="inlineStr">
        <is>
          <t># of resp</t>
        </is>
      </c>
      <c r="Q50" s="4" t="inlineStr">
        <is>
          <t># of resp</t>
        </is>
      </c>
      <c r="R50" s="4" t="inlineStr">
        <is>
          <t># of resp</t>
        </is>
      </c>
      <c r="S50" s="4" t="inlineStr">
        <is>
          <t># of resp</t>
        </is>
      </c>
    </row>
    <row r="51">
      <c r="A51" t="inlineStr">
        <is>
          <t>Grid second row</t>
        </is>
      </c>
      <c r="B51">
        <f>COUNTIFS(Q_GRID_EXPORTr2_data,"Selected",passes_workbook_filters_data,1,passes_workbook_custom_filters_data,1,All_Questions_passes_local_filters_data,1,All_Questions_Q_GRID_EXPORT_F_passes_per_q_filter_data,1)</f>
        <v>10</v>
      </c>
      <c r="C51" s="7">
        <f>IFERROR(B51/SUBTOTAL(9,B50:B51),0)</f>
        <v>0.5</v>
      </c>
      <c r="D51" s="14">
        <f>SUBTOTAL(9,B50:B51)</f>
        <v>20</v>
      </c>
      <c r="F51" t="inlineStr">
        <is>
          <t>Grid first row</t>
        </is>
      </c>
      <c r="G51">
        <f>IF(OR(All_Questions_Q_GRID_EXPORT_CT="(None)",G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1">
        <f>IF(OR(All_Questions_Q_GRID_EXPORT_CT="(None)",H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1">
        <f>IF(OR(All_Questions_Q_GRID_EXPORT_CT="(None)",I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1">
        <f>IF(OR(All_Questions_Q_GRID_EXPORT_CT="(None)",J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1">
        <f>IF(OR(All_Questions_Q_GRID_EXPORT_CT="(None)",K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1">
        <f>IF(OR(All_Questions_Q_GRID_EXPORT_CT="(None)",L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1">
        <f>IF(OR(All_Questions_Q_GRID_EXPORT_CT="(None)",M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1">
        <f>IF(OR(All_Questions_Q_GRID_EXPORT_CT="(None)",N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1">
        <f>IF(OR(All_Questions_Q_GRID_EXPORT_CT="(None)",O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1">
        <f>IF(OR(All_Questions_Q_GRID_EXPORT_CT="(None)",P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1">
        <f>IF(OR(All_Questions_Q_GRID_EXPORT_CT="(None)",Q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1">
        <f>IF(OR(All_Questions_Q_GRID_EXPORT_CT="(None)",R$49=""),"",IF(R$49="Other",COUNTIFS(Q_GRID_EXPORTr1_data,"Selected",passes_workbook_filters_data,1,passes_workbook_custom_filters_data,1,All_Questions_passes_local_filters_data,1,All_Questions_Q_GRID_EXPORT_F_passes_per_q_filter_data,1)-SUM(G51,H51,I51,J51,K51,L51,M51,N51,O51,P51,Q51)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1">
        <f>IF(All_Questions_Q_GRID_EXPORT_CT="(None)","",COUNTIFS(Q_GRID_EXPORTr1_data,"Selected",passes_workbook_filters_data,1,passes_workbook_custom_filters_data,1,All_Questions_passes_local_filters_data,1,All_Questions_Q_GRID_EXPORT_F_passes_per_q_filter_data,1))</f>
        <v>0</v>
      </c>
    </row>
    <row r="52">
      <c r="A52" s="15" t="inlineStr">
        <is>
          <t>Total respondents</t>
        </is>
      </c>
      <c r="B52" s="15" t="n">
        <v>10</v>
      </c>
      <c r="C52" s="15" t="n"/>
      <c r="D52" s="15" t="n"/>
      <c r="F52" t="inlineStr">
        <is>
          <t>Grid second row</t>
        </is>
      </c>
      <c r="G52">
        <f>IF(OR(All_Questions_Q_GRID_EXPORT_CT="(None)",G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2">
        <f>IF(OR(All_Questions_Q_GRID_EXPORT_CT="(None)",H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2">
        <f>IF(OR(All_Questions_Q_GRID_EXPORT_CT="(None)",I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2">
        <f>IF(OR(All_Questions_Q_GRID_EXPORT_CT="(None)",J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2">
        <f>IF(OR(All_Questions_Q_GRID_EXPORT_CT="(None)",K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2">
        <f>IF(OR(All_Questions_Q_GRID_EXPORT_CT="(None)",L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2">
        <f>IF(OR(All_Questions_Q_GRID_EXPORT_CT="(None)",M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2">
        <f>IF(OR(All_Questions_Q_GRID_EXPORT_CT="(None)",N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2">
        <f>IF(OR(All_Questions_Q_GRID_EXPORT_CT="(None)",O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2">
        <f>IF(OR(All_Questions_Q_GRID_EXPORT_CT="(None)",P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2">
        <f>IF(OR(All_Questions_Q_GRID_EXPORT_CT="(None)",Q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2">
        <f>IF(OR(All_Questions_Q_GRID_EXPORT_CT="(None)",R$49=""),"",IF(R$49="Other",COUNTIFS(Q_GRID_EXPORTr2_data,"Selected",passes_workbook_filters_data,1,passes_workbook_custom_filters_data,1,All_Questions_passes_local_filters_data,1,All_Questions_Q_GRID_EXPORT_F_passes_per_q_filter_data,1)-SUM(G52,H52,I52,J52,K52,L52,M52,N52,O52,P52,Q52)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2">
        <f>IF(All_Questions_Q_GRID_EXPORT_CT="(None)","",COUNTIFS(Q_GRID_EXPORTr2_data,"Selected",passes_workbook_filters_data,1,passes_workbook_custom_filters_data,1,All_Questions_passes_local_filters_data,1,All_Questions_Q_GRID_EXPORT_F_passes_per_q_filter_data,1))</f>
        <v>0</v>
      </c>
    </row>
    <row r="53">
      <c r="A53" s="4" t="inlineStr">
        <is>
          <t>Total responses</t>
        </is>
      </c>
      <c r="B53" s="4" t="n">
        <v>20</v>
      </c>
      <c r="C53" s="4" t="n"/>
      <c r="D53" s="4" t="n"/>
      <c r="F53" s="4" t="inlineStr">
        <is>
          <t>Total respondents</t>
        </is>
      </c>
      <c r="G53" s="2" t="n"/>
      <c r="H53" s="2" t="n"/>
      <c r="I53" s="2" t="n"/>
      <c r="J53" s="2" t="n"/>
      <c r="K53" s="2" t="n"/>
      <c r="L53" s="2" t="n"/>
      <c r="M53" s="2" t="n"/>
      <c r="N53" s="2" t="n"/>
      <c r="O53" s="2" t="n"/>
      <c r="P53" s="2" t="n"/>
      <c r="Q53" s="2" t="n"/>
      <c r="R53" s="2" t="n"/>
      <c r="S53" s="2">
        <f>IF(All_Questions_Q_GRID_EXPORT_CT="(None)","",COUNTIFS(respondent_id_data,"&lt;&gt;",passes_workbook_filters_data,1,passes_workbook_custom_filters_data,1,All_Questions_passes_local_filters_data,1,All_Questions_Q_GRID_EXPORT_F_passes_per_q_filter_data,1))</f>
        <v>0</v>
      </c>
    </row>
    <row r="55">
      <c r="A55" s="11" t="n"/>
      <c r="B55" s="11" t="n"/>
      <c r="C55" s="11" t="n"/>
      <c r="D55" s="11" t="n"/>
      <c r="E55" s="11" t="n"/>
      <c r="F55" s="11" t="n"/>
      <c r="G55" s="11" t="n"/>
      <c r="H55" s="11" t="n"/>
      <c r="I55" s="11" t="n"/>
      <c r="J55" s="11" t="n"/>
    </row>
    <row r="56">
      <c r="A56" s="12" t="inlineStr">
        <is>
          <t>Q_VERY_LONG_SINGLE_SELECT_EXPORT_NAME - Long sheet name export question</t>
        </is>
      </c>
      <c r="B56" s="12" t="n"/>
      <c r="C56" s="12" t="n"/>
      <c r="D56" s="12" t="n"/>
      <c r="E56" s="12" t="n"/>
      <c r="F56" s="12" t="n"/>
      <c r="G56" s="12" t="n"/>
      <c r="H56" s="12" t="n"/>
      <c r="I56" s="12" t="n"/>
      <c r="J56" s="12" t="n"/>
      <c r="K56" s="12" t="n"/>
      <c r="L56" s="12" t="n"/>
      <c r="M56" s="12" t="n"/>
      <c r="N56" s="12" t="n"/>
    </row>
    <row r="57">
      <c r="A57" s="13" t="inlineStr">
        <is>
          <t>Per-question filter</t>
        </is>
      </c>
      <c r="B57" t="inlineStr">
        <is>
          <t>Filter Q</t>
        </is>
      </c>
      <c r="C57" t="inlineStr">
        <is>
          <t>(None)</t>
        </is>
      </c>
      <c r="D57" t="inlineStr">
        <is>
          <t>Value</t>
        </is>
      </c>
      <c r="E57" t="inlineStr">
        <is>
          <t>(All)</t>
        </is>
      </c>
      <c r="F57" t="str">
        <f>IFERROR(INDEX(All_Questions_Data_Names,MATCH(All_Questions_Q_VERY_LONG_SINGLE_SELECT_EXPORT_NAME_F_Q,All_Questions,0)),"'_RawData'!$A:$A")</f>
        <v>respondent_id_data</v>
      </c>
      <c r="G57" t="str">
        <f>"|" &amp; SUBSTITUTE(All_Questions_Q_VERY_LONG_SINGLE_SELECT_EXPORT_NAME_F_V, ", ", "|") &amp; "|"</f>
        <v>|(All)|</v>
      </c>
    </row>
    <row r="58">
      <c r="A58" s="13" t="inlineStr">
        <is>
          <t>Cross-tab by</t>
        </is>
      </c>
      <c r="C58" t="inlineStr">
        <is>
          <t>(None)</t>
        </is>
      </c>
    </row>
    <row r="60">
      <c r="A60" s="4" t="inlineStr">
        <is>
          <t>Option</t>
        </is>
      </c>
      <c r="B60" s="4" t="inlineStr">
        <is>
          <t>Count</t>
        </is>
      </c>
      <c r="C60" s="4" t="inlineStr">
        <is>
          <t>%</t>
        </is>
      </c>
      <c r="D60" s="4" t="inlineStr">
        <is>
          <t>Denominator</t>
        </is>
      </c>
      <c r="F60" s="4" t="inlineStr">
        <is>
          <t>Option</t>
        </is>
      </c>
      <c r="G60" s="2" t="str">
        <f>IF(All_Questions_Q_VERY_LONG_SINGLE_SELECT_EXPORT_NAME_CT="(None)","",IFERROR(INDEX(INDIRECT(IFERROR(INDEX(All_Questions_Options_Names,MATCH(All_Questions_Q_VERY_LONG_SINGLE_SELECT_EXPORT_NAME_CT,All_Questions,0)),"'_Options'!$E$2:$E$2")),2),""))</f>
        <v/>
      </c>
      <c r="H60" s="2" t="str">
        <f>IF(All_Questions_Q_VERY_LONG_SINGLE_SELECT_EXPORT_NAME_CT="(None)","",IFERROR(INDEX(INDIRECT(IFERROR(INDEX(All_Questions_Options_Names,MATCH(All_Questions_Q_VERY_LONG_SINGLE_SELECT_EXPORT_NAME_CT,All_Questions,0)),"'_Options'!$E$2:$E$2")),3),""))</f>
        <v/>
      </c>
      <c r="I60" s="2" t="str">
        <f>IF(All_Questions_Q_VERY_LONG_SINGLE_SELECT_EXPORT_NAME_CT="(None)","",IFERROR(INDEX(INDIRECT(IFERROR(INDEX(All_Questions_Options_Names,MATCH(All_Questions_Q_VERY_LONG_SINGLE_SELECT_EXPORT_NAME_CT,All_Questions,0)),"'_Options'!$E$2:$E$2")),4),""))</f>
        <v/>
      </c>
      <c r="J60" s="2" t="str">
        <f>IF(All_Questions_Q_VERY_LONG_SINGLE_SELECT_EXPORT_NAME_CT="(None)","",IFERROR(INDEX(INDIRECT(IFERROR(INDEX(All_Questions_Options_Names,MATCH(All_Questions_Q_VERY_LONG_SINGLE_SELECT_EXPORT_NAME_CT,All_Questions,0)),"'_Options'!$E$2:$E$2")),5),""))</f>
        <v/>
      </c>
      <c r="K60" s="2" t="str">
        <f>IF(All_Questions_Q_VERY_LONG_SINGLE_SELECT_EXPORT_NAME_CT="(None)","",IFERROR(INDEX(INDIRECT(IFERROR(INDEX(All_Questions_Options_Names,MATCH(All_Questions_Q_VERY_LONG_SINGLE_SELECT_EXPORT_NAME_CT,All_Questions,0)),"'_Options'!$E$2:$E$2")),6),""))</f>
        <v/>
      </c>
      <c r="L60" s="2" t="str">
        <f>IF(All_Questions_Q_VERY_LONG_SINGLE_SELECT_EXPORT_NAME_CT="(None)","",IFERROR(INDEX(INDIRECT(IFERROR(INDEX(All_Questions_Options_Names,MATCH(All_Questions_Q_VERY_LONG_SINGLE_SELECT_EXPORT_NAME_CT,All_Questions,0)),"'_Options'!$E$2:$E$2")),7),""))</f>
        <v/>
      </c>
      <c r="M60" s="2" t="str">
        <f>IF(All_Questions_Q_VERY_LONG_SINGLE_SELECT_EXPORT_NAME_CT="(None)","",IFERROR(INDEX(INDIRECT(IFERROR(INDEX(All_Questions_Options_Names,MATCH(All_Questions_Q_VERY_LONG_SINGLE_SELECT_EXPORT_NAME_CT,All_Questions,0)),"'_Options'!$E$2:$E$2")),8),""))</f>
        <v/>
      </c>
      <c r="N60" s="2" t="str">
        <f>IF(All_Questions_Q_VERY_LONG_SINGLE_SELECT_EXPORT_NAME_CT="(None)","",IFERROR(INDEX(INDIRECT(IFERROR(INDEX(All_Questions_Options_Names,MATCH(All_Questions_Q_VERY_LONG_SINGLE_SELECT_EXPORT_NAME_CT,All_Questions,0)),"'_Options'!$E$2:$E$2")),9),""))</f>
        <v/>
      </c>
      <c r="O60" s="2" t="str">
        <f>IF(All_Questions_Q_VERY_LONG_SINGLE_SELECT_EXPORT_NAME_CT="(None)","",IFERROR(INDEX(INDIRECT(IFERROR(INDEX(All_Questions_Options_Names,MATCH(All_Questions_Q_VERY_LONG_SINGLE_SELECT_EXPORT_NAME_CT,All_Questions,0)),"'_Options'!$E$2:$E$2")),10),""))</f>
        <v/>
      </c>
      <c r="P60" s="2" t="str">
        <f>IF(All_Questions_Q_VERY_LONG_SINGLE_SELECT_EXPORT_NAME_CT="(None)","",IFERROR(INDEX(INDIRECT(IFERROR(INDEX(All_Questions_Options_Names,MATCH(All_Questions_Q_VERY_LONG_SINGLE_SELECT_EXPORT_NAME_CT,All_Questions,0)),"'_Options'!$E$2:$E$2")),11),""))</f>
        <v/>
      </c>
      <c r="Q60" s="2" t="str">
        <f>IF(All_Questions_Q_VERY_LONG_SINGLE_SELECT_EXPORT_NAME_CT="(None)","",IFERROR(INDEX(INDIRECT(IFERROR(INDEX(All_Questions_Options_Names,MATCH(All_Questions_Q_VERY_LONG_SINGLE_SELECT_EXPORT_NAME_CT,All_Questions,0)),"'_Options'!$E$2:$E$2")),12),""))</f>
        <v/>
      </c>
      <c r="R60" s="2" t="str">
        <f>IF(All_Questions_Q_VERY_LONG_SINGLE_SELECT_EXPORT_NAME_CT="(None)","",IF(COUNTA(INDIRECT(IFERROR(INDEX(All_Questions_Options_Names,MATCH(All_Questions_Q_VERY_LONG_SINGLE_SELECT_EXPORT_NAME_CT,All_Questions,0)),"'_Options'!$E$2:$E$2")))-1&gt;11,"Other",IFERROR(INDEX(INDIRECT(IFERROR(INDEX(All_Questions_Options_Names,MATCH(All_Questions_Q_VERY_LONG_SINGLE_SELECT_EXPORT_NAME_CT,All_Questions,0)),"'_Options'!$E$2:$E$2")),13),"")))</f>
        <v/>
      </c>
      <c r="S60" s="4" t="inlineStr">
        <is>
          <t>Total</t>
        </is>
      </c>
    </row>
    <row r="61">
      <c r="A61" t="inlineStr">
        <is>
          <t>A</t>
        </is>
      </c>
      <c r="B61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61" s="7">
        <f>IFERROR(B61/SUBTOTAL(9,B61:B62),0)</f>
        <v>0.7</v>
      </c>
      <c r="D61" s="14">
        <f>SUBTOTAL(9,B61:B62)</f>
        <v>10</v>
      </c>
      <c r="F61" s="4" t="inlineStr"/>
      <c r="G61" s="4" t="inlineStr">
        <is>
          <t># of resp</t>
        </is>
      </c>
      <c r="H61" s="4" t="inlineStr">
        <is>
          <t># of resp</t>
        </is>
      </c>
      <c r="I61" s="4" t="inlineStr">
        <is>
          <t># of resp</t>
        </is>
      </c>
      <c r="J61" s="4" t="inlineStr">
        <is>
          <t># of resp</t>
        </is>
      </c>
      <c r="K61" s="4" t="inlineStr">
        <is>
          <t># of resp</t>
        </is>
      </c>
      <c r="L61" s="4" t="inlineStr">
        <is>
          <t># of resp</t>
        </is>
      </c>
      <c r="M61" s="4" t="inlineStr">
        <is>
          <t># of resp</t>
        </is>
      </c>
      <c r="N61" s="4" t="inlineStr">
        <is>
          <t># of resp</t>
        </is>
      </c>
      <c r="O61" s="4" t="inlineStr">
        <is>
          <t># of resp</t>
        </is>
      </c>
      <c r="P61" s="4" t="inlineStr">
        <is>
          <t># of resp</t>
        </is>
      </c>
      <c r="Q61" s="4" t="inlineStr">
        <is>
          <t># of resp</t>
        </is>
      </c>
      <c r="R61" s="4" t="inlineStr">
        <is>
          <t># of resp</t>
        </is>
      </c>
      <c r="S61" s="4" t="inlineStr">
        <is>
          <t># of resp</t>
        </is>
      </c>
    </row>
    <row r="62">
      <c r="A62" t="inlineStr">
        <is>
          <t>B</t>
        </is>
      </c>
      <c r="B62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62" s="7">
        <f>IFERROR(B62/SUBTOTAL(9,B61:B62),0)</f>
        <v>0.3</v>
      </c>
      <c r="D62" s="14">
        <f>SUBTOTAL(9,B61:B62)</f>
        <v>10</v>
      </c>
      <c r="F62" t="inlineStr">
        <is>
          <t>A</t>
        </is>
      </c>
      <c r="G62">
        <f>IF(OR(All_Questions_Q_VERY_LONG_SINGLE_SELECT_EXPORT_NAME_CT="(None)",G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2">
        <f>IF(OR(All_Questions_Q_VERY_LONG_SINGLE_SELECT_EXPORT_NAME_CT="(None)",H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2">
        <f>IF(OR(All_Questions_Q_VERY_LONG_SINGLE_SELECT_EXPORT_NAME_CT="(None)",I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2">
        <f>IF(OR(All_Questions_Q_VERY_LONG_SINGLE_SELECT_EXPORT_NAME_CT="(None)",J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2">
        <f>IF(OR(All_Questions_Q_VERY_LONG_SINGLE_SELECT_EXPORT_NAME_CT="(None)",K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2">
        <f>IF(OR(All_Questions_Q_VERY_LONG_SINGLE_SELECT_EXPORT_NAME_CT="(None)",L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2">
        <f>IF(OR(All_Questions_Q_VERY_LONG_SINGLE_SELECT_EXPORT_NAME_CT="(None)",M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2">
        <f>IF(OR(All_Questions_Q_VERY_LONG_SINGLE_SELECT_EXPORT_NAME_CT="(None)",N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2">
        <f>IF(OR(All_Questions_Q_VERY_LONG_SINGLE_SELECT_EXPORT_NAME_CT="(None)",O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2">
        <f>IF(OR(All_Questions_Q_VERY_LONG_SINGLE_SELECT_EXPORT_NAME_CT="(None)",P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2">
        <f>IF(OR(All_Questions_Q_VERY_LONG_SINGLE_SELECT_EXPORT_NAME_CT="(None)",Q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2">
        <f>IF(OR(All_Questions_Q_VERY_LONG_SINGLE_SELECT_EXPORT_NAME_CT="(None)",R$60=""),"",IF(R$60="Other",COUNTIFS(Q_VERY_LONG_SINGLE_SELECT_EXPOR_data,"A",passes_workbook_filters_data,1,passes_workbook_custom_filters_data,1,All_Questions_passes_local_filters_data,1,All_Questions_Q_VERY_LONG_SINGLE_SELECT_EXPORT_NAME_F_passes_per_q_filter_data,1)-SUM(G62,H62,I62,J62,K62,L62,M62,N62,O62,P62,Q62)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2">
        <f>IF(All_Questions_Q_VERY_LONG_SINGLE_SELECT_EXPORT_NAME_CT="(None)","",COUNTIFS(Q_VERY_LONG_SINGLE_SELECT_EXPOR_data,"A",passes_workbook_filters_data,1,passes_workbook_custom_filters_data,1,All_Questions_passes_local_filters_data,1,All_Questions_Q_VERY_LONG_SINGLE_SELECT_EXPORT_NAME_F_passes_per_q_filter_data,1))</f>
        <v>0</v>
      </c>
    </row>
    <row r="63">
      <c r="A63" s="15" t="inlineStr">
        <is>
          <t>Total respondents</t>
        </is>
      </c>
      <c r="B63" s="15" t="n">
        <v>10</v>
      </c>
      <c r="C63" s="15" t="n"/>
      <c r="D63" s="15" t="n"/>
      <c r="F63" t="inlineStr">
        <is>
          <t>B</t>
        </is>
      </c>
      <c r="G63">
        <f>IF(OR(All_Questions_Q_VERY_LONG_SINGLE_SELECT_EXPORT_NAME_CT="(None)",G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3">
        <f>IF(OR(All_Questions_Q_VERY_LONG_SINGLE_SELECT_EXPORT_NAME_CT="(None)",H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3">
        <f>IF(OR(All_Questions_Q_VERY_LONG_SINGLE_SELECT_EXPORT_NAME_CT="(None)",I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3">
        <f>IF(OR(All_Questions_Q_VERY_LONG_SINGLE_SELECT_EXPORT_NAME_CT="(None)",J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3">
        <f>IF(OR(All_Questions_Q_VERY_LONG_SINGLE_SELECT_EXPORT_NAME_CT="(None)",K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3">
        <f>IF(OR(All_Questions_Q_VERY_LONG_SINGLE_SELECT_EXPORT_NAME_CT="(None)",L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3">
        <f>IF(OR(All_Questions_Q_VERY_LONG_SINGLE_SELECT_EXPORT_NAME_CT="(None)",M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3">
        <f>IF(OR(All_Questions_Q_VERY_LONG_SINGLE_SELECT_EXPORT_NAME_CT="(None)",N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3">
        <f>IF(OR(All_Questions_Q_VERY_LONG_SINGLE_SELECT_EXPORT_NAME_CT="(None)",O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3">
        <f>IF(OR(All_Questions_Q_VERY_LONG_SINGLE_SELECT_EXPORT_NAME_CT="(None)",P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3">
        <f>IF(OR(All_Questions_Q_VERY_LONG_SINGLE_SELECT_EXPORT_NAME_CT="(None)",Q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3">
        <f>IF(OR(All_Questions_Q_VERY_LONG_SINGLE_SELECT_EXPORT_NAME_CT="(None)",R$60=""),"",IF(R$60="Other",COUNTIFS(Q_VERY_LONG_SINGLE_SELECT_EXPOR_data,"B",passes_workbook_filters_data,1,passes_workbook_custom_filters_data,1,All_Questions_passes_local_filters_data,1,All_Questions_Q_VERY_LONG_SINGLE_SELECT_EXPORT_NAME_F_passes_per_q_filter_data,1)-SUM(G63,H63,I63,J63,K63,L63,M63,N63,O63,P63,Q63)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3">
        <f>IF(All_Questions_Q_VERY_LONG_SINGLE_SELECT_EXPORT_NAME_CT="(None)","",COUNTIFS(Q_VERY_LONG_SINGLE_SELECT_EXPOR_data,"B",passes_workbook_filters_data,1,passes_workbook_custom_filters_data,1,All_Questions_passes_local_filters_data,1,All_Questions_Q_VERY_LONG_SINGLE_SELECT_EXPORT_NAME_F_passes_per_q_filter_data,1))</f>
        <v>0</v>
      </c>
    </row>
    <row r="64">
      <c r="F64" s="4" t="inlineStr">
        <is>
          <t>Total respondents</t>
        </is>
      </c>
      <c r="G64" s="2" t="n"/>
      <c r="H64" s="2" t="n"/>
      <c r="I64" s="2" t="n"/>
      <c r="J64" s="2" t="n"/>
      <c r="K64" s="2" t="n"/>
      <c r="L64" s="2" t="n"/>
      <c r="M64" s="2" t="n"/>
      <c r="N64" s="2" t="n"/>
      <c r="O64" s="2" t="n"/>
      <c r="P64" s="2" t="n"/>
      <c r="Q64" s="2" t="n"/>
      <c r="R64" s="2" t="n"/>
      <c r="S64" s="2">
        <f>IF(All_Questions_Q_VERY_LONG_SINGLE_SELECT_EXPORT_NAME_CT="(None)","",COUNTIFS(respondent_id_data,"&lt;&gt;",passes_workbook_filters_data,1,passes_workbook_custom_filters_data,1,All_Questions_passes_local_filters_data,1,All_Questions_Q_VERY_LONG_SINGLE_SELECT_EXPORT_NAME_F_passes_per_q_filter_data,1))</f>
        <v>0</v>
      </c>
    </row>
  </sheetData>
  <mergeCells count="1">
    <mergeCell ref="A1:J1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8:I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8:K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8:L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8:M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8:N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8:O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8:P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8:Q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8:R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7:B28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7:C28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8:G29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8:H29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8:I29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8:J29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8:K29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8:L29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28:M29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28:N29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8:O29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28:P29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28:Q29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28:R29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50:B51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50:C51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51:G52">
    <cfRule type="colorScale" priority="3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51:H52">
    <cfRule type="colorScale" priority="3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51:I52">
    <cfRule type="colorScale" priority="3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51:J52">
    <cfRule type="colorScale" priority="3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51:K52">
    <cfRule type="colorScale" priority="3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51:L52">
    <cfRule type="colorScale" priority="3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51:M52">
    <cfRule type="colorScale" priority="3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51:N52">
    <cfRule type="colorScale" priority="3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51:O52">
    <cfRule type="colorScale" priority="3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51:P52">
    <cfRule type="colorScale" priority="4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51:Q52">
    <cfRule type="colorScale" priority="4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51:R52">
    <cfRule type="colorScale" priority="4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61:B62">
    <cfRule type="colorScale" priority="4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61:C62">
    <cfRule type="colorScale" priority="4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62:G63">
    <cfRule type="colorScale" priority="4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62:H63">
    <cfRule type="colorScale" priority="4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62:I63">
    <cfRule type="colorScale" priority="4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62:J63">
    <cfRule type="colorScale" priority="4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62:K63">
    <cfRule type="colorScale" priority="4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62:L63">
    <cfRule type="colorScale" priority="5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62:M63">
    <cfRule type="colorScale" priority="5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62:N63">
    <cfRule type="colorScale" priority="5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62:O63">
    <cfRule type="colorScale" priority="5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62:P63">
    <cfRule type="colorScale" priority="5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62:Q63">
    <cfRule type="colorScale" priority="5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62:R63">
    <cfRule type="colorScale" priority="5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=INDIRECT(IFERROR(INDEX(All_Questions_Options_Names,MATCH(All_Questions_Q_SS_EXPORT_F_Q,All_Questions,0)),"'_Options'!$E$2:$E$2"))</formula1>
    </dataValidation>
    <dataValidation sqref="C14" showDropDown="0" showInputMessage="0" showErrorMessage="0" allowBlank="1" type="list">
      <formula1>=All_Questions</formula1>
    </dataValidation>
    <dataValidation sqref="C23" showDropDown="0" showInputMessage="0" showErrorMessage="0" allowBlank="1" type="list">
      <formula1>=All_Questions</formula1>
    </dataValidation>
    <dataValidation sqref="E23" showDropDown="0" showInputMessage="0" showErrorMessage="0" allowBlank="1" type="list">
      <formula1>=INDIRECT(IFERROR(INDEX(All_Questions_Options_Names,MATCH(All_Questions_Q_MS_EXPORT_F_Q,All_Questions,0)),"'_Options'!$E$2:$E$2"))</formula1>
    </dataValidation>
    <dataValidation sqref="C24" showDropDown="0" showInputMessage="0" showErrorMessage="0" allowBlank="1" type="list">
      <formula1>=All_Questions</formula1>
    </dataValidation>
    <dataValidation sqref="C34" showDropDown="0" showInputMessage="0" showErrorMessage="0" allowBlank="1" type="list">
      <formula1>=All_Questions</formula1>
    </dataValidation>
    <dataValidation sqref="E34" showDropDown="0" showInputMessage="0" showErrorMessage="0" allowBlank="1" type="list">
      <formula1>=INDIRECT(IFERROR(INDEX(All_Questions_Options_Names,MATCH(All_Questions_Q_NUM_EXPORT_F_Q,All_Questions,0)),"'_Options'!$E$2:$E$2"))</formula1>
    </dataValidation>
    <dataValidation sqref="C35" showDropDown="0" showInputMessage="0" showErrorMessage="0" allowBlank="1" type="list">
      <formula1>=All_Questions</formula1>
    </dataValidation>
    <dataValidation sqref="C46" showDropDown="0" showInputMessage="0" showErrorMessage="0" allowBlank="1" type="list">
      <formula1>=All_Questions</formula1>
    </dataValidation>
    <dataValidation sqref="E46" showDropDown="0" showInputMessage="0" showErrorMessage="0" allowBlank="1" type="list">
      <formula1>=INDIRECT(IFERROR(INDEX(All_Questions_Options_Names,MATCH(All_Questions_Q_GRID_EXPORT_F_Q,All_Questions,0)),"'_Options'!$E$2:$E$2"))</formula1>
    </dataValidation>
    <dataValidation sqref="C47" showDropDown="0" showInputMessage="0" showErrorMessage="0" allowBlank="1" type="list">
      <formula1>=All_Questions</formula1>
    </dataValidation>
    <dataValidation sqref="C57" showDropDown="0" showInputMessage="0" showErrorMessage="0" allowBlank="1" type="list">
      <formula1>=All_Questions</formula1>
    </dataValidation>
    <dataValidation sqref="E57" showDropDown="0" showInputMessage="0" showErrorMessage="0" allowBlank="1" type="list">
      <formula1>=INDIRECT(IFERROR(INDEX(All_Questions_Options_Names,MATCH(All_Questions_Q_VERY_LONG_SINGLE_SELECT_EXPORT_NAME_F_Q,All_Questions,0)),"'_Options'!$E$2:$E$2"))</formula1>
    </dataValidation>
    <dataValidation sqref="C58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5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  <tablePart xmlns:r="http://schemas.openxmlformats.org/officeDocument/2006/relationships" r:id="rId5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2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22" customWidth="1" min="2" max="2"/>
    <col width="39" customWidth="1" min="3" max="3"/>
    <col width="39" customWidth="1" min="4" max="4"/>
    <col width="21" customWidth="1" min="5" max="5"/>
    <col width="11" customWidth="1" min="6" max="6"/>
    <col width="13" customWidth="1" min="7" max="7"/>
    <col width="60" customWidth="1" min="8" max="8"/>
    <col width="20" customWidth="1" min="9" max="9"/>
    <col width="9" customWidth="1" min="10" max="10"/>
    <col width="11" customWidth="1" min="11" max="11"/>
    <col width="34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  <row r="9">
      <c r="A9" t="inlineStr">
        <is>
          <t>CC_CC_TAB_EXPORT</t>
        </is>
      </c>
      <c r="B9" t="inlineStr">
        <is>
          <t>cross_tab</t>
        </is>
      </c>
      <c r="C9" t="inlineStr">
        <is>
          <t>Q_SEG_1 x Q_TGT_1</t>
        </is>
      </c>
      <c r="D9" t="inlineStr">
        <is>
          <t>Q_SEG_1, Q_TGT_1</t>
        </is>
      </c>
      <c r="E9" t="inlineStr"/>
      <c r="G9" t="n">
        <v>30</v>
      </c>
      <c r="H9" t="inlineStr">
        <is>
          <t>pd.crosstab(col_a, col_b, dropna=True); row% = count/row_total; col% = count/col_total</t>
        </is>
      </c>
      <c r="I9" t="n">
        <v>30</v>
      </c>
      <c r="J9" t="n">
        <v>30</v>
      </c>
      <c r="K9" t="n">
        <v>0</v>
      </c>
      <c r="L9" t="inlineStr">
        <is>
          <t>2026-06-01T18:26:23.052039+00:00</t>
        </is>
      </c>
    </row>
    <row r="10">
      <c r="A10" t="inlineStr">
        <is>
          <t>Single Cuts</t>
        </is>
      </c>
      <c r="B10" t="inlineStr">
        <is>
          <t>rate_per_value</t>
        </is>
      </c>
      <c r="C10" t="inlineStr">
        <is>
          <t>Q_TGT_1</t>
        </is>
      </c>
      <c r="D10" t="inlineStr">
        <is>
          <t>Q_TGT_1</t>
        </is>
      </c>
      <c r="E10" t="inlineStr">
        <is>
          <t>Q_SEG_1 = Segment 1</t>
        </is>
      </c>
      <c r="G10" t="n">
        <v>10</v>
      </c>
      <c r="H10" t="inlineStr">
        <is>
          <t>count(value) / count(non-NA values)</t>
        </is>
      </c>
      <c r="I10" t="n">
        <v>10</v>
      </c>
      <c r="J10" t="n">
        <v>10</v>
      </c>
      <c r="K10" t="n">
        <v>0</v>
      </c>
      <c r="L10" t="inlineStr">
        <is>
          <t>2026-06-01T18:26:23.052767+00:00</t>
        </is>
      </c>
    </row>
    <row r="11">
      <c r="A11" t="inlineStr">
        <is>
          <t>CC_CC_SEG_EXPORT</t>
        </is>
      </c>
      <c r="B11" t="inlineStr">
        <is>
          <t>segment_profile</t>
        </is>
      </c>
      <c r="C11" t="inlineStr">
        <is>
          <t>Q_TGT_1</t>
        </is>
      </c>
      <c r="D11" t="inlineStr">
        <is>
          <t>Q_TGT_1</t>
        </is>
      </c>
      <c r="E11" t="inlineStr">
        <is>
          <t>Q_SEG_1 == 1</t>
        </is>
      </c>
      <c r="G11" t="n">
        <v>10</v>
      </c>
      <c r="H11" t="inlineStr">
        <is>
          <t>single_cut(target) restricted to filter_expr</t>
        </is>
      </c>
      <c r="I11" t="n">
        <v>10</v>
      </c>
      <c r="J11" t="n">
        <v>10</v>
      </c>
      <c r="K11" t="n">
        <v>20</v>
      </c>
      <c r="L11" t="inlineStr">
        <is>
          <t>2026-06-01T18:26:23.052850+00:00</t>
        </is>
      </c>
    </row>
    <row r="12">
      <c r="A12" t="inlineStr">
        <is>
          <t>CC_CC_GROUP_EXPORT</t>
        </is>
      </c>
      <c r="B12" t="inlineStr">
        <is>
          <t>numeric_summary</t>
        </is>
      </c>
      <c r="C12" t="inlineStr">
        <is>
          <t>Q_NUM_3</t>
        </is>
      </c>
      <c r="D12" t="inlineStr">
        <is>
          <t>Q_NUM_3</t>
        </is>
      </c>
      <c r="E12" t="inlineStr">
        <is>
          <t>Q_SEG_1 == 1</t>
        </is>
      </c>
      <c r="G12" t="n">
        <v>10</v>
      </c>
      <c r="H12" t="inlineStr">
        <is>
          <t>mean / median / std (ddof=1) / percentiles over non-NA values</t>
        </is>
      </c>
      <c r="I12" t="n">
        <v>55</v>
      </c>
      <c r="J12" t="n">
        <v>10</v>
      </c>
      <c r="K12" t="n">
        <v>0</v>
      </c>
      <c r="L12" t="inlineStr">
        <is>
          <t>2026-06-01T18:26:23.054016+00:00</t>
        </is>
      </c>
    </row>
    <row r="13">
      <c r="A13" t="inlineStr">
        <is>
          <t>CC_CC_GROUP_EXPORT</t>
        </is>
      </c>
      <c r="B13" t="inlineStr">
        <is>
          <t>numeric_summary</t>
        </is>
      </c>
      <c r="C13" t="inlineStr">
        <is>
          <t>Q_NUM_3</t>
        </is>
      </c>
      <c r="D13" t="inlineStr">
        <is>
          <t>Q_NUM_3</t>
        </is>
      </c>
      <c r="E13" t="inlineStr">
        <is>
          <t>Q_SEG_1 == 2</t>
        </is>
      </c>
      <c r="G13" t="n">
        <v>10</v>
      </c>
      <c r="H13" t="inlineStr">
        <is>
          <t>mean / median / std (ddof=1) / percentiles over non-NA values</t>
        </is>
      </c>
      <c r="I13" t="n">
        <v>50</v>
      </c>
      <c r="J13" t="n">
        <v>10</v>
      </c>
      <c r="K13" t="n">
        <v>0</v>
      </c>
      <c r="L13" t="inlineStr">
        <is>
          <t>2026-06-01T18:26:23.054908+00:00</t>
        </is>
      </c>
    </row>
    <row r="14">
      <c r="A14" t="inlineStr">
        <is>
          <t>CC_CC_GROUP_EXPORT</t>
        </is>
      </c>
      <c r="B14" t="inlineStr">
        <is>
          <t>numeric_summary</t>
        </is>
      </c>
      <c r="C14" t="inlineStr">
        <is>
          <t>Q_NUM_3</t>
        </is>
      </c>
      <c r="D14" t="inlineStr">
        <is>
          <t>Q_NUM_3</t>
        </is>
      </c>
      <c r="E14" t="inlineStr">
        <is>
          <t>Q_SEG_1 == 3</t>
        </is>
      </c>
      <c r="G14" t="n">
        <v>10</v>
      </c>
      <c r="H14" t="inlineStr">
        <is>
          <t>mean / median / std (ddof=1) / percentiles over non-NA values</t>
        </is>
      </c>
      <c r="I14" t="n">
        <v>5.5</v>
      </c>
      <c r="J14" t="n">
        <v>10</v>
      </c>
      <c r="K14" t="n">
        <v>0</v>
      </c>
      <c r="L14" t="inlineStr">
        <is>
          <t>2026-06-01T18:26:23.055742+00:00</t>
        </is>
      </c>
    </row>
    <row r="15">
      <c r="A15" t="inlineStr">
        <is>
          <t>CC_CC_GROUP_EXPORT</t>
        </is>
      </c>
      <c r="B15" t="inlineStr">
        <is>
          <t>numeric_summary</t>
        </is>
      </c>
      <c r="C15" t="inlineStr">
        <is>
          <t>Q_NUM_3</t>
        </is>
      </c>
      <c r="D15" t="inlineStr">
        <is>
          <t>Q_NUM_3</t>
        </is>
      </c>
      <c r="E15" t="inlineStr"/>
      <c r="G15" t="n">
        <v>30</v>
      </c>
      <c r="H15" t="inlineStr">
        <is>
          <t>mean / median / std (ddof=1) / percentiles over non-NA values</t>
        </is>
      </c>
      <c r="I15" t="n">
        <v>36.83333333333334</v>
      </c>
      <c r="J15" t="n">
        <v>30</v>
      </c>
      <c r="K15" t="n">
        <v>0</v>
      </c>
      <c r="L15" t="inlineStr">
        <is>
          <t>2026-06-01T18:26:23.056392+00:00</t>
        </is>
      </c>
    </row>
    <row r="16">
      <c r="A16" t="inlineStr">
        <is>
          <t>CC_CC_GROUP_EXPORT</t>
        </is>
      </c>
      <c r="B16" t="inlineStr">
        <is>
          <t>group_comparison</t>
        </is>
      </c>
      <c r="C16" t="inlineStr">
        <is>
          <t>Q_SEG_1 x Q_NUM_3</t>
        </is>
      </c>
      <c r="D16" t="inlineStr">
        <is>
          <t>Q_SEG_1, Q_NUM_3</t>
        </is>
      </c>
      <c r="E16" t="inlineStr"/>
      <c r="G16" t="n">
        <v>30</v>
      </c>
      <c r="H16" t="inlineStr">
        <is>
          <t>numeric_summary(metric) per unique segment value + overall</t>
        </is>
      </c>
      <c r="I16" t="n">
        <v>30</v>
      </c>
      <c r="J16" t="n">
        <v>30</v>
      </c>
      <c r="K16" t="n">
        <v>0</v>
      </c>
      <c r="L16" t="inlineStr">
        <is>
          <t>2026-06-01T18:26:23.056411+00:00</t>
        </is>
      </c>
    </row>
    <row r="17">
      <c r="A17" t="inlineStr">
        <is>
          <t>CC_CC_EVR_EXPORT</t>
        </is>
      </c>
      <c r="B17" t="inlineStr">
        <is>
          <t>numeric_summary</t>
        </is>
      </c>
      <c r="C17" t="inlineStr">
        <is>
          <t>Q_EXP_1</t>
        </is>
      </c>
      <c r="D17" t="inlineStr">
        <is>
          <t>Q_EXP_1</t>
        </is>
      </c>
      <c r="E17" t="inlineStr"/>
      <c r="G17" t="n">
        <v>15</v>
      </c>
      <c r="H17" t="inlineStr">
        <is>
          <t>mean / median / std (ddof=1) / percentiles over non-NA values</t>
        </is>
      </c>
      <c r="I17" t="n">
        <v>70</v>
      </c>
      <c r="J17" t="n">
        <v>15</v>
      </c>
      <c r="K17" t="n">
        <v>15</v>
      </c>
      <c r="L17" t="inlineStr">
        <is>
          <t>2026-06-01T18:26:23.057309+00:00</t>
        </is>
      </c>
    </row>
    <row r="18">
      <c r="A18" t="inlineStr">
        <is>
          <t>CC_CC_EVR_EXPORT</t>
        </is>
      </c>
      <c r="B18" t="inlineStr">
        <is>
          <t>numeric_summary</t>
        </is>
      </c>
      <c r="C18" t="inlineStr">
        <is>
          <t>Q_REAL_1</t>
        </is>
      </c>
      <c r="D18" t="inlineStr">
        <is>
          <t>Q_REAL_1</t>
        </is>
      </c>
      <c r="E18" t="inlineStr"/>
      <c r="G18" t="n">
        <v>15</v>
      </c>
      <c r="H18" t="inlineStr">
        <is>
          <t>mean / median / std (ddof=1) / percentiles over non-NA values</t>
        </is>
      </c>
      <c r="I18" t="n">
        <v>60</v>
      </c>
      <c r="J18" t="n">
        <v>15</v>
      </c>
      <c r="K18" t="n">
        <v>15</v>
      </c>
      <c r="L18" t="inlineStr">
        <is>
          <t>2026-06-01T18:26:23.057999+00:00</t>
        </is>
      </c>
    </row>
    <row r="19">
      <c r="A19" t="inlineStr">
        <is>
          <t>CC_CC_EVR_EXPORT</t>
        </is>
      </c>
      <c r="B19" t="inlineStr">
        <is>
          <t>numeric_summary</t>
        </is>
      </c>
      <c r="C19" t="inlineStr">
        <is>
          <t>Q_REAL_1_minus_Q_EXP_1</t>
        </is>
      </c>
      <c r="D19" t="inlineStr">
        <is>
          <t>Q_EXP_1, Q_REAL_1</t>
        </is>
      </c>
      <c r="E19" t="inlineStr"/>
      <c r="G19" t="n">
        <v>12</v>
      </c>
      <c r="H19" t="inlineStr">
        <is>
          <t>mean / median / std (ddof=1) / percentiles over non-NA values</t>
        </is>
      </c>
      <c r="I19" t="n">
        <v>-5</v>
      </c>
      <c r="J19" t="n">
        <v>12</v>
      </c>
      <c r="K19" t="n">
        <v>18</v>
      </c>
      <c r="L19" t="inlineStr">
        <is>
          <t>2026-06-01T18:26:23.058609+00:00</t>
        </is>
      </c>
    </row>
    <row r="20">
      <c r="A20" t="inlineStr">
        <is>
          <t>CC_CC_EVR_EXPORT</t>
        </is>
      </c>
      <c r="B20" t="inlineStr">
        <is>
          <t>expected_vs_realized</t>
        </is>
      </c>
      <c r="C20" t="inlineStr">
        <is>
          <t>Q_EXP_1 x Q_REAL_1</t>
        </is>
      </c>
      <c r="D20" t="inlineStr">
        <is>
          <t>Q_EXP_1, Q_REAL_1</t>
        </is>
      </c>
      <c r="E20" t="inlineStr"/>
      <c r="G20" t="n">
        <v>12</v>
      </c>
      <c r="H20" t="inlineStr">
        <is>
          <t>expected, realized, and gap = realized - expected; numeric_summary on each</t>
        </is>
      </c>
      <c r="I20" t="n">
        <v>12</v>
      </c>
      <c r="J20" t="n">
        <v>12</v>
      </c>
      <c r="K20" t="n">
        <v>18</v>
      </c>
      <c r="L20" t="inlineStr">
        <is>
          <t>2026-06-01T18:26:23.058704+00:00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7" customWidth="1" min="2" max="2"/>
    <col width="19" customWidth="1" min="3" max="3"/>
    <col width="21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  <row r="2">
      <c r="A2" t="inlineStr">
        <is>
          <t>CC_SEG_EXPORT</t>
        </is>
      </c>
      <c r="B2" t="inlineStr">
        <is>
          <t>Segment profile</t>
        </is>
      </c>
      <c r="C2" t="inlineStr">
        <is>
          <t>Q_SEG_1 == 1</t>
        </is>
      </c>
      <c r="D2" t="inlineStr">
        <is>
          <t>Q_SEG_1 = Segment 1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  <row r="5">
      <c r="A5" t="inlineStr">
        <is>
          <t>skip:CC_BAD_EXPORT</t>
        </is>
      </c>
      <c r="B5" t="inlineStr">
        <is>
          <t>ValueError: synthetic cross cut failure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2026-06-01T18:26:23Z</dcterms:created>
  <dcterms:modified xmlns:dcterms="http://purl.org/dc/terms/" xmlns:xsi="http://www.w3.org/2001/XMLSchema-instance" xsi:type="dcterms:W3CDTF">2026-06-01T18:26:23Z</dcterms:modified>
</cp:coreProperties>
</file>