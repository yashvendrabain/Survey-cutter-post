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Questions'!$C$47</definedName>
    <definedName name="All_Questions_Q_GRID_EXPORT_F_V">'All Questions'!$E$47</definedName>
    <definedName name="All_Questions_Q_GRID_EXPORT_F_resolved_column">'All Questions'!$F$47</definedName>
    <definedName name="All_Questions_Q_GRID_EXPORT_F_wrapped">'All Questions'!$G$47</definedName>
    <definedName name="All_Questions_Q_GRID_EXPORT_F_passes_per_q_filter_data">'_RawData'!$Q$2:$Q$11</definedName>
    <definedName name="All_Questions_Q_GRID_EXPORT_CT">'All Questions'!$C$48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F47" i="7"/>
  <c r="G47" i="7"/>
  <c r="G50" i="7"/>
  <c r="H50" i="7"/>
  <c r="I50" i="7"/>
  <c r="J50" i="7"/>
  <c r="K50" i="7"/>
  <c r="L50" i="7"/>
  <c r="M50" i="7"/>
  <c r="N50" i="7"/>
  <c r="O50" i="7"/>
  <c r="P50" i="7"/>
  <c r="Q50" i="7"/>
  <c r="R50" i="7"/>
  <c r="B51" i="7"/>
  <c r="C51" i="7"/>
  <c r="D51" i="7"/>
  <c r="B52" i="7"/>
  <c r="C52" i="7"/>
  <c r="D52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G53" i="7"/>
  <c r="H53" i="7"/>
  <c r="I53" i="7"/>
  <c r="J53" i="7"/>
  <c r="K53" i="7"/>
  <c r="L53" i="7"/>
  <c r="M53" i="7"/>
  <c r="N53" i="7"/>
  <c r="O53" i="7"/>
  <c r="P53" i="7"/>
  <c r="Q53" i="7"/>
  <c r="R53" i="7"/>
  <c r="S53" i="7"/>
  <c r="S54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i val="1"/>
      <color rgb="00808080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2" headerRowCount="1">
  <autoFilter ref="A38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50_1" displayName="T_All_Questions_50_1" ref="A50:D54" headerRowCount="1">
  <autoFilter ref="A50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No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No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5</v>
      </c>
      <c r="G2" t="n">
        <v>5</v>
      </c>
      <c r="H2" s="7" t="n">
        <v>0.5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>
      <c r="A15" s="14" t="inlineStr">
        <is>
          <t>Note: This question was shown to a subset. Total respondents shown: 5.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IF(All_Questions_Q_SS_EXPORT_CT="(None)","",IFERROR(INDEX(INDIRECT(IFERROR(INDEX(All_Questions_Options_Names,MATCH(All_Questions_Q_SS_EXPORT_CT,All_Questions,0)),"'_Options'!$E$2:$E$2")),2),""))</f>
        <v/>
      </c>
      <c r="H17" s="2" t="str">
        <f>IF(All_Questions_Q_SS_EXPORT_CT="(None)","",IFERROR(INDEX(INDIRECT(IFERROR(INDEX(All_Questions_Options_Names,MATCH(All_Questions_Q_SS_EXPORT_CT,All_Questions,0)),"'_Options'!$E$2:$E$2")),3),""))</f>
        <v/>
      </c>
      <c r="I17" s="2" t="str">
        <f>IF(All_Questions_Q_SS_EXPORT_CT="(None)","",IFERROR(INDEX(INDIRECT(IFERROR(INDEX(All_Questions_Options_Names,MATCH(All_Questions_Q_SS_EXPORT_CT,All_Questions,0)),"'_Options'!$E$2:$E$2")),4),""))</f>
        <v/>
      </c>
      <c r="J17" s="2" t="str">
        <f>IF(All_Questions_Q_SS_EXPORT_CT="(None)","",IFERROR(INDEX(INDIRECT(IFERROR(INDEX(All_Questions_Options_Names,MATCH(All_Questions_Q_SS_EXPORT_CT,All_Questions,0)),"'_Options'!$E$2:$E$2")),5),""))</f>
        <v/>
      </c>
      <c r="K17" s="2" t="str">
        <f>IF(All_Questions_Q_SS_EXPORT_CT="(None)","",IFERROR(INDEX(INDIRECT(IFERROR(INDEX(All_Questions_Options_Names,MATCH(All_Questions_Q_SS_EXPORT_CT,All_Questions,0)),"'_Options'!$E$2:$E$2")),6),""))</f>
        <v/>
      </c>
      <c r="L17" s="2" t="str">
        <f>IF(All_Questions_Q_SS_EXPORT_CT="(None)","",IFERROR(INDEX(INDIRECT(IFERROR(INDEX(All_Questions_Options_Names,MATCH(All_Questions_Q_SS_EXPORT_CT,All_Questions,0)),"'_Options'!$E$2:$E$2")),7),""))</f>
        <v/>
      </c>
      <c r="M17" s="2" t="str">
        <f>IF(All_Questions_Q_SS_EXPORT_CT="(None)","",IFERROR(INDEX(INDIRECT(IFERROR(INDEX(All_Questions_Options_Names,MATCH(All_Questions_Q_SS_EXPORT_CT,All_Questions,0)),"'_Options'!$E$2:$E$2")),8),""))</f>
        <v/>
      </c>
      <c r="N17" s="2" t="str">
        <f>IF(All_Questions_Q_SS_EXPORT_CT="(None)","",IFERROR(INDEX(INDIRECT(IFERROR(INDEX(All_Questions_Options_Names,MATCH(All_Questions_Q_SS_EXPORT_CT,All_Questions,0)),"'_Options'!$E$2:$E$2")),9),""))</f>
        <v/>
      </c>
      <c r="O17" s="2" t="str">
        <f>IF(All_Questions_Q_SS_EXPORT_CT="(None)","",IFERROR(INDEX(INDIRECT(IFERROR(INDEX(All_Questions_Options_Names,MATCH(All_Questions_Q_SS_EXPORT_CT,All_Questions,0)),"'_Options'!$E$2:$E$2")),10),""))</f>
        <v/>
      </c>
      <c r="P17" s="2" t="str">
        <f>IF(All_Questions_Q_SS_EXPORT_CT="(None)","",IFERROR(INDEX(INDIRECT(IFERROR(INDEX(All_Questions_Options_Names,MATCH(All_Questions_Q_SS_EXPORT_CT,All_Questions,0)),"'_Options'!$E$2:$E$2")),11),""))</f>
        <v/>
      </c>
      <c r="Q17" s="2" t="str">
        <f>IF(All_Questions_Q_SS_EXPORT_CT="(None)","",IFERROR(INDEX(INDIRECT(IFERROR(INDEX(All_Questions_Options_Names,MATCH(All_Questions_Q_SS_EXPORT_CT,All_Questions,0)),"'_Options'!$E$2:$E$2")),12),""))</f>
        <v/>
      </c>
      <c r="R17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COUNTIFS(Q_SS_EXPORT_data,"Yes",passes_workbook_filters_data,1,passes_workbook_custom_filters_data,1,All_Questions_passes_local_filters_data,1,All_Questions_Q_SS_EXPORT_F_passes_per_q_filter_data,1)</f>
        <v>3</v>
      </c>
      <c r="C18" s="7">
        <f>IFERROR(B18/SUBTOTAL(9,B18:B19),0)</f>
        <v>0.6</v>
      </c>
      <c r="D18" s="15">
        <f>SUBTOTAL(9,B18:B19)</f>
        <v>5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COUNTIFS(Q_SS_EXPORT_data,"No",passes_workbook_filters_data,1,passes_workbook_custom_filters_data,1,All_Questions_passes_local_filters_data,1,All_Questions_Q_SS_EXPORT_F_passes_per_q_filter_data,1)</f>
        <v>2</v>
      </c>
      <c r="C19" s="7">
        <f>IFERROR(B19/SUBTOTAL(9,B18:B19),0)</f>
        <v>0.4</v>
      </c>
      <c r="D19" s="15">
        <f>SUBTOTAL(9,B18:B19)</f>
        <v>5</v>
      </c>
      <c r="F19" t="inlineStr">
        <is>
          <t>Yes</t>
        </is>
      </c>
      <c r="G19">
        <f>IF(OR(All_Questions_Q_SS_EXPORT_CT="(None)",G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$17))</f>
        <v>0</v>
      </c>
      <c r="H19">
        <f>IF(OR(All_Questions_Q_SS_EXPORT_CT="(None)",H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$17))</f>
        <v>0</v>
      </c>
      <c r="I19">
        <f>IF(OR(All_Questions_Q_SS_EXPORT_CT="(None)",I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$17))</f>
        <v>0</v>
      </c>
      <c r="J19">
        <f>IF(OR(All_Questions_Q_SS_EXPORT_CT="(None)",J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$17))</f>
        <v>0</v>
      </c>
      <c r="K19">
        <f>IF(OR(All_Questions_Q_SS_EXPORT_CT="(None)",K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$17))</f>
        <v>0</v>
      </c>
      <c r="L19">
        <f>IF(OR(All_Questions_Q_SS_EXPORT_CT="(None)",L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$17))</f>
        <v>0</v>
      </c>
      <c r="M19">
        <f>IF(OR(All_Questions_Q_SS_EXPORT_CT="(None)",M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$17))</f>
        <v>0</v>
      </c>
      <c r="N19">
        <f>IF(OR(All_Questions_Q_SS_EXPORT_CT="(None)",N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$17))</f>
        <v>0</v>
      </c>
      <c r="O19">
        <f>IF(OR(All_Questions_Q_SS_EXPORT_CT="(None)",O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$17))</f>
        <v>0</v>
      </c>
      <c r="P19">
        <f>IF(OR(All_Questions_Q_SS_EXPORT_CT="(None)",P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$17))</f>
        <v>0</v>
      </c>
      <c r="Q19">
        <f>IF(OR(All_Questions_Q_SS_EXPORT_CT="(None)",Q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$17))</f>
        <v>0</v>
      </c>
      <c r="R19">
        <f>IF(OR(All_Questions_Q_SS_EXPORT_CT="(None)",R$17=""),"",IF(R$17="Other",COUNTIFS(Q_SS_EXPORT_data,"Yes",passes_workbook_filters_data,1,passes_workbook_custom_filters_data,1,All_Questions_passes_local_filters_data,1,All_Questions_Q_SS_EXPORT_F_passes_per_q_filter_data,1)-SUM(G19,H19,I19,J19,K19,L19,M19,N19,O19,P19,Q19)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$17)))</f>
        <v>0</v>
      </c>
      <c r="S19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0">
      <c r="A20" s="16" t="inlineStr">
        <is>
          <t>Total respondents</t>
        </is>
      </c>
      <c r="B20" s="16" t="n">
        <v>5</v>
      </c>
      <c r="C20" s="16" t="n"/>
      <c r="D20" s="16" t="n"/>
      <c r="F20" t="inlineStr">
        <is>
          <t>No</t>
        </is>
      </c>
      <c r="G20">
        <f>IF(OR(All_Questions_Q_SS_EXPORT_CT="(None)",G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$17))</f>
        <v>0</v>
      </c>
      <c r="H20">
        <f>IF(OR(All_Questions_Q_SS_EXPORT_CT="(None)",H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$17))</f>
        <v>0</v>
      </c>
      <c r="I20">
        <f>IF(OR(All_Questions_Q_SS_EXPORT_CT="(None)",I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$17))</f>
        <v>0</v>
      </c>
      <c r="J20">
        <f>IF(OR(All_Questions_Q_SS_EXPORT_CT="(None)",J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$17))</f>
        <v>0</v>
      </c>
      <c r="K20">
        <f>IF(OR(All_Questions_Q_SS_EXPORT_CT="(None)",K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$17))</f>
        <v>0</v>
      </c>
      <c r="L20">
        <f>IF(OR(All_Questions_Q_SS_EXPORT_CT="(None)",L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$17))</f>
        <v>0</v>
      </c>
      <c r="M20">
        <f>IF(OR(All_Questions_Q_SS_EXPORT_CT="(None)",M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$17))</f>
        <v>0</v>
      </c>
      <c r="N20">
        <f>IF(OR(All_Questions_Q_SS_EXPORT_CT="(None)",N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$17))</f>
        <v>0</v>
      </c>
      <c r="O20">
        <f>IF(OR(All_Questions_Q_SS_EXPORT_CT="(None)",O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$17))</f>
        <v>0</v>
      </c>
      <c r="P20">
        <f>IF(OR(All_Questions_Q_SS_EXPORT_CT="(None)",P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$17))</f>
        <v>0</v>
      </c>
      <c r="Q20">
        <f>IF(OR(All_Questions_Q_SS_EXPORT_CT="(None)",Q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$17))</f>
        <v>0</v>
      </c>
      <c r="R20">
        <f>IF(OR(All_Questions_Q_SS_EXPORT_CT="(None)",R$17=""),"",IF(R$17="Other",COUNTIFS(Q_SS_EXPORT_data,"No",passes_workbook_filters_data,1,passes_workbook_custom_filters_data,1,All_Questions_passes_local_filters_data,1,All_Questions_Q_SS_EXPORT_F_passes_per_q_filter_data,1)-SUM(G20,H20,I20,J20,K20,L20,M20,N20,O20,P20,Q20)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$17)))</f>
        <v>0</v>
      </c>
      <c r="S20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IFERROR(B28/SUBTOTAL(9,B28:B29),0)</f>
        <v>0.7142857142857143</v>
      </c>
      <c r="D28" s="15">
        <f>SUBTOTAL(9,B28:B29)</f>
        <v>7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IFERROR(B29/SUBTOTAL(9,B28:B29),0)</f>
        <v>0.2857142857142857</v>
      </c>
      <c r="D29" s="15">
        <f>SUBTOTAL(9,B28:B29)</f>
        <v>7</v>
      </c>
      <c r="F29" t="inlineStr">
        <is>
          <t>First</t>
        </is>
      </c>
      <c r="G29">
        <f>IF(OR(All_Questions_Q_MS_EXPORT_CT="(None)",G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)</f>
        <v>0</v>
      </c>
      <c r="H29">
        <f>IF(OR(All_Questions_Q_MS_EXPORT_CT="(None)",H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)</f>
        <v>0</v>
      </c>
      <c r="I29">
        <f>IF(OR(All_Questions_Q_MS_EXPORT_CT="(None)",I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)</f>
        <v>0</v>
      </c>
      <c r="J29">
        <f>IF(OR(All_Questions_Q_MS_EXPORT_CT="(None)",J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)</f>
        <v>0</v>
      </c>
      <c r="K29">
        <f>IF(OR(All_Questions_Q_MS_EXPORT_CT="(None)",K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)</f>
        <v>0</v>
      </c>
      <c r="L29">
        <f>IF(OR(All_Questions_Q_MS_EXPORT_CT="(None)",L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)</f>
        <v>0</v>
      </c>
      <c r="M29">
        <f>IF(OR(All_Questions_Q_MS_EXPORT_CT="(None)",M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)</f>
        <v>0</v>
      </c>
      <c r="N29">
        <f>IF(OR(All_Questions_Q_MS_EXPORT_CT="(None)",N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)</f>
        <v>0</v>
      </c>
      <c r="O29">
        <f>IF(OR(All_Questions_Q_MS_EXPORT_CT="(None)",O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)</f>
        <v>0</v>
      </c>
      <c r="P29">
        <f>IF(OR(All_Questions_Q_MS_EXPORT_CT="(None)",P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)</f>
        <v>0</v>
      </c>
      <c r="Q29">
        <f>IF(OR(All_Questions_Q_MS_EXPORT_CT="(None)",Q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)</f>
        <v>0</v>
      </c>
      <c r="R29">
        <f>IF(OR(All_Questions_Q_MS_EXPORT_CT="(None)",R$27=""),"",IF(R$27="Other",COUNTIFS(Q_MS_EXPORTr1_data,"Selected",passes_workbook_filters_data,1,passes_workbook_custom_filters_data,1,All_Questions_passes_local_filters_data,1,All_Questions_Q_MS_EXPORT_F_passes_per_q_filter_data,1)-SUM(G29,H29,I29,J29,K29,L29,M29,N29,O29,P29,Q29)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))</f>
        <v>0</v>
      </c>
      <c r="S2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30">
      <c r="A30" s="16" t="inlineStr">
        <is>
          <t>Total respondents</t>
        </is>
      </c>
      <c r="B30" s="16" t="n">
        <v>10</v>
      </c>
      <c r="C30" s="16" t="n"/>
      <c r="D30" s="16" t="n"/>
      <c r="F30" t="inlineStr">
        <is>
          <t>Second</t>
        </is>
      </c>
      <c r="G30">
        <f>IF(OR(All_Questions_Q_MS_EXPORT_CT="(None)",G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)</f>
        <v>0</v>
      </c>
      <c r="H30">
        <f>IF(OR(All_Questions_Q_MS_EXPORT_CT="(None)",H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)</f>
        <v>0</v>
      </c>
      <c r="I30">
        <f>IF(OR(All_Questions_Q_MS_EXPORT_CT="(None)",I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)</f>
        <v>0</v>
      </c>
      <c r="J30">
        <f>IF(OR(All_Questions_Q_MS_EXPORT_CT="(None)",J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)</f>
        <v>0</v>
      </c>
      <c r="K30">
        <f>IF(OR(All_Questions_Q_MS_EXPORT_CT="(None)",K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)</f>
        <v>0</v>
      </c>
      <c r="L30">
        <f>IF(OR(All_Questions_Q_MS_EXPORT_CT="(None)",L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)</f>
        <v>0</v>
      </c>
      <c r="M30">
        <f>IF(OR(All_Questions_Q_MS_EXPORT_CT="(None)",M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)</f>
        <v>0</v>
      </c>
      <c r="N30">
        <f>IF(OR(All_Questions_Q_MS_EXPORT_CT="(None)",N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)</f>
        <v>0</v>
      </c>
      <c r="O30">
        <f>IF(OR(All_Questions_Q_MS_EXPORT_CT="(None)",O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)</f>
        <v>0</v>
      </c>
      <c r="P30">
        <f>IF(OR(All_Questions_Q_MS_EXPORT_CT="(None)",P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)</f>
        <v>0</v>
      </c>
      <c r="Q30">
        <f>IF(OR(All_Questions_Q_MS_EXPORT_CT="(None)",Q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)</f>
        <v>0</v>
      </c>
      <c r="R30">
        <f>IF(OR(All_Questions_Q_MS_EXPORT_CT="(None)",R$27=""),"",IF(R$27="Other",COUNTIFS(Q_MS_EXPORTr2_data,"Selected",passes_workbook_filters_data,1,passes_workbook_custom_filters_data,1,All_Questions_passes_local_filters_data,1,All_Questions_Q_MS_EXPORT_F_passes_per_q_filter_data,1)-SUM(G30,H30,I30,J30,K30,L30,M30,N30,O30,P30,Q30)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))</f>
        <v>0</v>
      </c>
      <c r="S3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s="10" t="inlineStr">
        <is>
          <t>Median not available in filtered view - see static baseline in audit log.</t>
        </is>
      </c>
    </row>
    <row r="45">
      <c r="A45" s="11" t="n"/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 t="n"/>
    </row>
    <row r="46">
      <c r="A46" s="12" t="inlineStr">
        <is>
          <t>Q_GRID_EXPORT - Grid export question</t>
        </is>
      </c>
      <c r="B46" s="12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2" t="n"/>
    </row>
    <row r="47">
      <c r="A47" s="13" t="inlineStr">
        <is>
          <t>Per-question filter</t>
        </is>
      </c>
      <c r="B47" t="inlineStr">
        <is>
          <t>Filter Q</t>
        </is>
      </c>
      <c r="C47" t="inlineStr">
        <is>
          <t>(None)</t>
        </is>
      </c>
      <c r="D47" t="inlineStr">
        <is>
          <t>Value</t>
        </is>
      </c>
      <c r="E47" t="inlineStr">
        <is>
          <t>(All)</t>
        </is>
      </c>
      <c r="F47" t="str">
        <f>IFERROR(INDEX(All_Questions_Data_Names,MATCH(All_Questions_Q_GRID_EXPORT_F_Q,All_Questions,0)),"'_RawData'!$A:$A")</f>
        <v>respondent_id_data</v>
      </c>
      <c r="G47" t="str">
        <f>"|" &amp; SUBSTITUTE(All_Questions_Q_GRID_EXPORT_F_V, ", ", "|") &amp; "|"</f>
        <v>|(All)|</v>
      </c>
    </row>
    <row r="48">
      <c r="A48" s="13" t="inlineStr">
        <is>
          <t>Cross-tab by</t>
        </is>
      </c>
      <c r="C48" t="inlineStr">
        <is>
          <t>(None)</t>
        </is>
      </c>
    </row>
    <row r="50">
      <c r="A50" s="4" t="inlineStr">
        <is>
          <t>Option</t>
        </is>
      </c>
      <c r="B50" s="4" t="inlineStr">
        <is>
          <t>Count</t>
        </is>
      </c>
      <c r="C50" s="4" t="inlineStr">
        <is>
          <t>%</t>
        </is>
      </c>
      <c r="D50" s="4" t="inlineStr">
        <is>
          <t>Denominator</t>
        </is>
      </c>
      <c r="F50" s="4" t="inlineStr">
        <is>
          <t>Option</t>
        </is>
      </c>
      <c r="G50" s="2" t="str">
        <f>IF(All_Questions_Q_GRID_EXPORT_CT="(None)","",IFERROR(INDEX(INDIRECT(IFERROR(INDEX(All_Questions_Options_Names,MATCH(All_Questions_Q_GRID_EXPORT_CT,All_Questions,0)),"'_Options'!$E$2:$E$2")),2),""))</f>
        <v/>
      </c>
      <c r="H50" s="2" t="str">
        <f>IF(All_Questions_Q_GRID_EXPORT_CT="(None)","",IFERROR(INDEX(INDIRECT(IFERROR(INDEX(All_Questions_Options_Names,MATCH(All_Questions_Q_GRID_EXPORT_CT,All_Questions,0)),"'_Options'!$E$2:$E$2")),3),""))</f>
        <v/>
      </c>
      <c r="I50" s="2" t="str">
        <f>IF(All_Questions_Q_GRID_EXPORT_CT="(None)","",IFERROR(INDEX(INDIRECT(IFERROR(INDEX(All_Questions_Options_Names,MATCH(All_Questions_Q_GRID_EXPORT_CT,All_Questions,0)),"'_Options'!$E$2:$E$2")),4),""))</f>
        <v/>
      </c>
      <c r="J50" s="2" t="str">
        <f>IF(All_Questions_Q_GRID_EXPORT_CT="(None)","",IFERROR(INDEX(INDIRECT(IFERROR(INDEX(All_Questions_Options_Names,MATCH(All_Questions_Q_GRID_EXPORT_CT,All_Questions,0)),"'_Options'!$E$2:$E$2")),5),""))</f>
        <v/>
      </c>
      <c r="K50" s="2" t="str">
        <f>IF(All_Questions_Q_GRID_EXPORT_CT="(None)","",IFERROR(INDEX(INDIRECT(IFERROR(INDEX(All_Questions_Options_Names,MATCH(All_Questions_Q_GRID_EXPORT_CT,All_Questions,0)),"'_Options'!$E$2:$E$2")),6),""))</f>
        <v/>
      </c>
      <c r="L50" s="2" t="str">
        <f>IF(All_Questions_Q_GRID_EXPORT_CT="(None)","",IFERROR(INDEX(INDIRECT(IFERROR(INDEX(All_Questions_Options_Names,MATCH(All_Questions_Q_GRID_EXPORT_CT,All_Questions,0)),"'_Options'!$E$2:$E$2")),7),""))</f>
        <v/>
      </c>
      <c r="M50" s="2" t="str">
        <f>IF(All_Questions_Q_GRID_EXPORT_CT="(None)","",IFERROR(INDEX(INDIRECT(IFERROR(INDEX(All_Questions_Options_Names,MATCH(All_Questions_Q_GRID_EXPORT_CT,All_Questions,0)),"'_Options'!$E$2:$E$2")),8),""))</f>
        <v/>
      </c>
      <c r="N50" s="2" t="str">
        <f>IF(All_Questions_Q_GRID_EXPORT_CT="(None)","",IFERROR(INDEX(INDIRECT(IFERROR(INDEX(All_Questions_Options_Names,MATCH(All_Questions_Q_GRID_EXPORT_CT,All_Questions,0)),"'_Options'!$E$2:$E$2")),9),""))</f>
        <v/>
      </c>
      <c r="O50" s="2" t="str">
        <f>IF(All_Questions_Q_GRID_EXPORT_CT="(None)","",IFERROR(INDEX(INDIRECT(IFERROR(INDEX(All_Questions_Options_Names,MATCH(All_Questions_Q_GRID_EXPORT_CT,All_Questions,0)),"'_Options'!$E$2:$E$2")),10),""))</f>
        <v/>
      </c>
      <c r="P50" s="2" t="str">
        <f>IF(All_Questions_Q_GRID_EXPORT_CT="(None)","",IFERROR(INDEX(INDIRECT(IFERROR(INDEX(All_Questions_Options_Names,MATCH(All_Questions_Q_GRID_EXPORT_CT,All_Questions,0)),"'_Options'!$E$2:$E$2")),11),""))</f>
        <v/>
      </c>
      <c r="Q50" s="2" t="str">
        <f>IF(All_Questions_Q_GRID_EXPORT_CT="(None)","",IFERROR(INDEX(INDIRECT(IFERROR(INDEX(All_Questions_Options_Names,MATCH(All_Questions_Q_GRID_EXPORT_CT,All_Questions,0)),"'_Options'!$E$2:$E$2")),12),""))</f>
        <v/>
      </c>
      <c r="R5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50" s="4" t="inlineStr">
        <is>
          <t>Total</t>
        </is>
      </c>
    </row>
    <row r="51">
      <c r="A51" t="inlineStr">
        <is>
          <t>Grid first row</t>
        </is>
      </c>
      <c r="B51">
        <f>COUNTIFS(Q_GRID_EXPORTr1_data,"Selected",passes_workbook_filters_data,1,passes_workbook_custom_filters_data,1,All_Questions_passes_local_filters_data,1,All_Questions_Q_GRID_EXPORT_F_passes_per_q_filter_data,1)</f>
        <v>10</v>
      </c>
      <c r="C51" s="7">
        <f>IFERROR(B51/SUBTOTAL(9,B51:B52),0)</f>
        <v>0.5</v>
      </c>
      <c r="D51" s="15">
        <f>SUBTOTAL(9,B51:B52)</f>
        <v>20</v>
      </c>
      <c r="F51" s="4" t="inlineStr"/>
      <c r="G51" s="4" t="inlineStr">
        <is>
          <t># of resp</t>
        </is>
      </c>
      <c r="H51" s="4" t="inlineStr">
        <is>
          <t># of resp</t>
        </is>
      </c>
      <c r="I51" s="4" t="inlineStr">
        <is>
          <t># of resp</t>
        </is>
      </c>
      <c r="J51" s="4" t="inlineStr">
        <is>
          <t># of resp</t>
        </is>
      </c>
      <c r="K51" s="4" t="inlineStr">
        <is>
          <t># of resp</t>
        </is>
      </c>
      <c r="L51" s="4" t="inlineStr">
        <is>
          <t># of resp</t>
        </is>
      </c>
      <c r="M51" s="4" t="inlineStr">
        <is>
          <t># of resp</t>
        </is>
      </c>
      <c r="N51" s="4" t="inlineStr">
        <is>
          <t># of resp</t>
        </is>
      </c>
      <c r="O51" s="4" t="inlineStr">
        <is>
          <t># of resp</t>
        </is>
      </c>
      <c r="P51" s="4" t="inlineStr">
        <is>
          <t># of resp</t>
        </is>
      </c>
      <c r="Q51" s="4" t="inlineStr">
        <is>
          <t># of resp</t>
        </is>
      </c>
      <c r="R51" s="4" t="inlineStr">
        <is>
          <t># of resp</t>
        </is>
      </c>
      <c r="S51" s="4" t="inlineStr">
        <is>
          <t># of resp</t>
        </is>
      </c>
    </row>
    <row r="52">
      <c r="A52" t="inlineStr">
        <is>
          <t>Grid second row</t>
        </is>
      </c>
      <c r="B52">
        <f>COUNTIFS(Q_GRID_EXPORTr2_data,"Selected",passes_workbook_filters_data,1,passes_workbook_custom_filters_data,1,All_Questions_passes_local_filters_data,1,All_Questions_Q_GRID_EXPORT_F_passes_per_q_filter_data,1)</f>
        <v>10</v>
      </c>
      <c r="C52" s="7">
        <f>IFERROR(B52/SUBTOTAL(9,B51:B52),0)</f>
        <v>0.5</v>
      </c>
      <c r="D52" s="15">
        <f>SUBTOTAL(9,B51:B52)</f>
        <v>20</v>
      </c>
      <c r="F52" t="inlineStr">
        <is>
          <t>Grid first row</t>
        </is>
      </c>
      <c r="G52">
        <f>IF(OR(All_Questions_Q_GRID_EXPORT_CT="(None)",G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$50))</f>
        <v>0</v>
      </c>
      <c r="H52">
        <f>IF(OR(All_Questions_Q_GRID_EXPORT_CT="(None)",H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$50))</f>
        <v>0</v>
      </c>
      <c r="I52">
        <f>IF(OR(All_Questions_Q_GRID_EXPORT_CT="(None)",I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$50))</f>
        <v>0</v>
      </c>
      <c r="J52">
        <f>IF(OR(All_Questions_Q_GRID_EXPORT_CT="(None)",J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$50))</f>
        <v>0</v>
      </c>
      <c r="K52">
        <f>IF(OR(All_Questions_Q_GRID_EXPORT_CT="(None)",K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$50))</f>
        <v>0</v>
      </c>
      <c r="L52">
        <f>IF(OR(All_Questions_Q_GRID_EXPORT_CT="(None)",L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$50))</f>
        <v>0</v>
      </c>
      <c r="M52">
        <f>IF(OR(All_Questions_Q_GRID_EXPORT_CT="(None)",M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$50))</f>
        <v>0</v>
      </c>
      <c r="N52">
        <f>IF(OR(All_Questions_Q_GRID_EXPORT_CT="(None)",N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$50))</f>
        <v>0</v>
      </c>
      <c r="O52">
        <f>IF(OR(All_Questions_Q_GRID_EXPORT_CT="(None)",O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$50))</f>
        <v>0</v>
      </c>
      <c r="P52">
        <f>IF(OR(All_Questions_Q_GRID_EXPORT_CT="(None)",P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$50))</f>
        <v>0</v>
      </c>
      <c r="Q52">
        <f>IF(OR(All_Questions_Q_GRID_EXPORT_CT="(None)",Q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$50))</f>
        <v>0</v>
      </c>
      <c r="R52">
        <f>IF(OR(All_Questions_Q_GRID_EXPORT_CT="(None)",R$50=""),"",IF(R$50="Other",COUNTIFS(Q_GRID_EXPORTr1_data,"Selected",passes_workbook_filters_data,1,passes_workbook_custom_filters_data,1,All_Questions_passes_local_filters_data,1,All_Questions_Q_GRID_EXPORT_F_passes_per_q_filter_data,1)-SUM(G52,H52,I52,J52,K52,L52,M52,N52,O52,P52,Q52)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$50)))</f>
        <v>0</v>
      </c>
      <c r="S5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3">
      <c r="A53" s="16" t="inlineStr">
        <is>
          <t>Total respondents</t>
        </is>
      </c>
      <c r="B53" s="16" t="n">
        <v>10</v>
      </c>
      <c r="C53" s="16" t="n"/>
      <c r="D53" s="16" t="n"/>
      <c r="F53" t="inlineStr">
        <is>
          <t>Grid second row</t>
        </is>
      </c>
      <c r="G53">
        <f>IF(OR(All_Questions_Q_GRID_EXPORT_CT="(None)",G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$50))</f>
        <v>0</v>
      </c>
      <c r="H53">
        <f>IF(OR(All_Questions_Q_GRID_EXPORT_CT="(None)",H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$50))</f>
        <v>0</v>
      </c>
      <c r="I53">
        <f>IF(OR(All_Questions_Q_GRID_EXPORT_CT="(None)",I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$50))</f>
        <v>0</v>
      </c>
      <c r="J53">
        <f>IF(OR(All_Questions_Q_GRID_EXPORT_CT="(None)",J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$50))</f>
        <v>0</v>
      </c>
      <c r="K53">
        <f>IF(OR(All_Questions_Q_GRID_EXPORT_CT="(None)",K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$50))</f>
        <v>0</v>
      </c>
      <c r="L53">
        <f>IF(OR(All_Questions_Q_GRID_EXPORT_CT="(None)",L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$50))</f>
        <v>0</v>
      </c>
      <c r="M53">
        <f>IF(OR(All_Questions_Q_GRID_EXPORT_CT="(None)",M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$50))</f>
        <v>0</v>
      </c>
      <c r="N53">
        <f>IF(OR(All_Questions_Q_GRID_EXPORT_CT="(None)",N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$50))</f>
        <v>0</v>
      </c>
      <c r="O53">
        <f>IF(OR(All_Questions_Q_GRID_EXPORT_CT="(None)",O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$50))</f>
        <v>0</v>
      </c>
      <c r="P53">
        <f>IF(OR(All_Questions_Q_GRID_EXPORT_CT="(None)",P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$50))</f>
        <v>0</v>
      </c>
      <c r="Q53">
        <f>IF(OR(All_Questions_Q_GRID_EXPORT_CT="(None)",Q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$50))</f>
        <v>0</v>
      </c>
      <c r="R53">
        <f>IF(OR(All_Questions_Q_GRID_EXPORT_CT="(None)",R$50=""),"",IF(R$50="Other",COUNTIFS(Q_GRID_EXPORTr2_data,"Selected",passes_workbook_filters_data,1,passes_workbook_custom_filters_data,1,All_Questions_passes_local_filters_data,1,All_Questions_Q_GRID_EXPORT_F_passes_per_q_filter_data,1)-SUM(G53,H53,I53,J53,K53,L53,M53,N53,O53,P53,Q53)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$50)))</f>
        <v>0</v>
      </c>
      <c r="S5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4">
      <c r="A54" s="4" t="inlineStr">
        <is>
          <t>Total responses</t>
        </is>
      </c>
      <c r="B54" s="4" t="n">
        <v>20</v>
      </c>
      <c r="C54" s="4" t="n"/>
      <c r="D54" s="4" t="n"/>
      <c r="F54" s="4" t="inlineStr">
        <is>
          <t>Total respondents</t>
        </is>
      </c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5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5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6" t="inlineStr">
        <is>
          <t>Total respondents</t>
        </is>
      </c>
      <c r="B64" s="16" t="n">
        <v>10</v>
      </c>
      <c r="C64" s="16" t="n"/>
      <c r="D64" s="16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1:B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1:C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2:G5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2:H5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2:I53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2:J53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2:K53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2:L53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2:M53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2:N53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2:O53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2:P53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2:Q53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2:R53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47" showDropDown="0" showInputMessage="0" showErrorMessage="0" allowBlank="1" type="list">
      <formula1>=All_Questions</formula1>
    </dataValidation>
    <dataValidation sqref="E4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8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2026-05-26T06:15:03Z</dcterms:created>
  <dcterms:modified xmlns:dcterms="http://purl.org/dc/terms/" xmlns:xsi="http://www.w3.org/2001/XMLSchema-instance" xsi:type="dcterms:W3CDTF">2026-05-26T06:15:03Z</dcterms:modified>
</cp:coreProperties>
</file>