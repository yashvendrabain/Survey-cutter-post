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Cross_Tab_Questions">'_Options'!$J$2:$J$4</definedName>
    <definedName name="Cross_Tab_Questions_Data_Names">'_Options'!$K$2:$K$4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Cross_Tab_Questions_Options_Names">'_Options'!$L$2:$L$4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1_resolved_criteria">'Filters'!$G$8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ustom2_resolved_criteria">'Filters'!$G$9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1_resolved_criteria">'Demographics'!$G$8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ustom2_resolved_criteria">'Demographics'!$G$10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resolved_criteria">'Demographics'!$H$15</definedName>
    <definedName name="Demographics_Q4_F_passes_per_q_filter_data">'_RawData'!$M$2:$M$3</definedName>
    <definedName name="Demographics_Q4_CT">'Demographics'!$C$16</definedName>
    <definedName name="Demographics_Q14_F_Q">'Demographics'!$C$31</definedName>
    <definedName name="Demographics_Q14_F_V">'Demographics'!$E$31</definedName>
    <definedName name="Demographics_Q14_F_resolved_column">'Demographics'!$F$31</definedName>
    <definedName name="Demographics_Q14_F_wrapped">'Demographics'!$G$31</definedName>
    <definedName name="Demographics_Q14_F_resolved_criteria">'Demographics'!$H$31</definedName>
    <definedName name="Demographics_Q14_F_passes_per_q_filter_data">'_RawData'!$N$2:$N$3</definedName>
    <definedName name="Demographics_Q14_CT">'Demographics'!$C$32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G8" i="3"/>
  <c r="E9" i="3"/>
  <c r="F9" i="3"/>
  <c r="G9" i="3"/>
  <c r="C5" i="7"/>
  <c r="D5" i="7"/>
  <c r="C6" i="7"/>
  <c r="D6" i="7"/>
  <c r="C7" i="7"/>
  <c r="C8" i="7"/>
  <c r="D8" i="7"/>
  <c r="F8" i="7"/>
  <c r="G8" i="7"/>
  <c r="C9" i="7"/>
  <c r="C10" i="7"/>
  <c r="D10" i="7"/>
  <c r="F10" i="7"/>
  <c r="G10" i="7"/>
  <c r="F15" i="7"/>
  <c r="G15" i="7"/>
  <c r="H15" i="7"/>
  <c r="B19" i="7"/>
  <c r="C19" i="7"/>
  <c r="D19" i="7"/>
  <c r="B20" i="7"/>
  <c r="C20" i="7"/>
  <c r="D20" i="7"/>
  <c r="B23" i="7"/>
  <c r="C23" i="7"/>
  <c r="D23" i="7"/>
  <c r="E23" i="7"/>
  <c r="F23" i="7"/>
  <c r="G23" i="7"/>
  <c r="H23" i="7"/>
  <c r="I23" i="7"/>
  <c r="J23" i="7"/>
  <c r="K23" i="7"/>
  <c r="L23" i="7"/>
  <c r="M23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N27" i="7"/>
  <c r="F31" i="7"/>
  <c r="G31" i="7"/>
  <c r="H31" i="7"/>
  <c r="B35" i="7"/>
  <c r="C35" i="7"/>
  <c r="D35" i="7"/>
  <c r="B36" i="7"/>
  <c r="C36" i="7"/>
  <c r="D36" i="7"/>
  <c r="B39" i="7"/>
  <c r="C39" i="7"/>
  <c r="D39" i="7"/>
  <c r="E39" i="7"/>
  <c r="F39" i="7"/>
  <c r="G39" i="7"/>
  <c r="H39" i="7"/>
  <c r="I39" i="7"/>
  <c r="J39" i="7"/>
  <c r="K39" i="7"/>
  <c r="L39" i="7"/>
  <c r="M39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N43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34_1" displayName="T_Demographics_34_1" ref="A34:D37" headerRowCount="1">
  <autoFilter ref="A34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IF(OR(Demographics_Q4_F_Q="(None)",Demographics_Q4_F_Q="",ISBLANK(Demographics_Q4_F_Q),Demographics_Q4_F_V="(All)",Demographics_Q4_F_V="",ISBLANK(Demographics_Q4_F_V)),1,IFERROR(IF(ISNUMBER(SEARCH("|"&amp;INDEX(INDIRECT(Demographics_Q4_F_resolved_column),1)&amp;"|",("|" &amp; SUBSTITUTE(Demographics_Q4_F_resolved_criteria, ", ", "|") &amp; "|"))),1,0),0))*1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IF(OR(Demographics_Q14_F_Q="(None)",Demographics_Q14_F_Q="",ISBLANK(Demographics_Q14_F_Q),Demographics_Q14_F_V="(All)",Demographics_Q14_F_V="",ISBLANK(Demographics_Q14_F_V)),1,IFERROR(IF(ISNUMBER(SEARCH("|"&amp;INDEX(INDIRECT(Demographics_Q14_F_resolved_column),1)&amp;"|",("|" &amp; SUBSTITUTE(Demographics_Q14_F_resolved_criteria, ", ", "|") &amp; "|"))),1,0),0))*1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IF(OR(Demographics_Q4_F_Q="(None)",Demographics_Q4_F_Q="",ISBLANK(Demographics_Q4_F_Q),Demographics_Q4_F_V="(All)",Demographics_Q4_F_V="",ISBLANK(Demographics_Q4_F_V)),1,IFERROR(IF(ISNUMBER(SEARCH("|"&amp;INDEX(INDIRECT(Demographics_Q4_F_resolved_column),2)&amp;"|",("|" &amp; SUBSTITUTE(Demographics_Q4_F_resolved_criteria, ", ", "|") &amp; "|"))),1,0),0))*1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IF(OR(Demographics_Q14_F_Q="(None)",Demographics_Q14_F_Q="",ISBLANK(Demographics_Q14_F_Q),Demographics_Q14_F_V="(All)",Demographics_Q14_F_V="",ISBLANK(Demographics_Q14_F_V)),1,IFERROR(IF(ISNUMBER(SEARCH("|"&amp;INDEX(INDIRECT(Demographics_Q14_F_resolved_column),2)&amp;"|",("|" &amp; SUBSTITUTE(Demographics_Q14_F_resolved_criteria,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'_RawData'!$A$2:$A$3</t>
        </is>
      </c>
      <c r="L2" t="inlineStr">
        <is>
          <t>'_Options'!$E$2:$E$2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  <c r="J3" t="inlineStr">
        <is>
          <t>Q4 - Which Of The Following Best Describes The Size Of Your Organization</t>
        </is>
      </c>
      <c r="K3" t="inlineStr">
        <is>
          <t>'_RawData'!$B$2:$B$3</t>
        </is>
      </c>
      <c r="L3" t="inlineStr">
        <is>
          <t>'_Options'!$F$2:$F$4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  <c r="J4" t="inlineStr">
        <is>
          <t>Q14 - Approximately How Old Is The Organization</t>
        </is>
      </c>
      <c r="K4" t="inlineStr">
        <is>
          <t>'_RawData'!$C$2:$C$3</t>
        </is>
      </c>
      <c r="L4" t="inlineStr">
        <is>
          <t>'_Options'!$G$2:$G$4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8" t="str">
        <f>"|" &amp; SUBSTITUTE(F_Custom1_V, ", ", "|") &amp; "|"</f>
        <v>|(All)|</v>
      </c>
      <c r="G8" t="str">
        <f>IFERROR(INDEX(All_Questions_Value_Criteria,MATCH(F_Custom1_Q&amp;"|"&amp;F_Custom1_V,All_Questions_Value_Keys,0)),F_Custom1_V)</f>
        <v>(All)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9" t="str">
        <f>"|" &amp; SUBSTITUTE(F_Custom2_V, ", ", "|") &amp; "|"</f>
        <v>|(All)|</v>
      </c>
      <c r="G9" t="str">
        <f>IFERROR(INDEX(All_Questions_Value_Criteria,MATCH(F_Custom2_Q&amp;"|"&amp;F_Custom2_V,All_Questions_Value_Keys,0)),F_Custom2_V)</f>
        <v>(All)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8" t="str">
        <f>IFERROR(INDEX(All_Questions_Value_Criteria,MATCH(Demographics_F_Custom1_Q_resolved&amp;"|"&amp;Demographics_F_Custom1_V_resolved,All_Questions_Value_Keys,0)),Demographics_F_Custom1_V_resolved)</f>
        <v>(All)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10" t="str">
        <f>IFERROR(INDEX(All_Questions_Value_Criteria,MATCH(Demographics_F_Custom2_Q_resolved&amp;"|"&amp;Demographics_F_Custom2_V_resolved,All_Questions_Value_Keys,0)),Demographics_F_Custom2_V_resolved)</f>
        <v>(All)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IFERROR(INDEX(All_Questions_Value_Data_Names,MATCH(Demographics_Q4_F_Q&amp;"|"&amp;Demographics_Q4_F_V,All_Questions_Value_Keys,0)),IFERROR(INDEX(All_Questions_Data_Names,MATCH(Demographics_Q4_F_Q,All_Questions,0)),"'_RawData'!$A:$A"))</f>
        <v>respondent_id_data</v>
      </c>
      <c r="G15" t="str">
        <f>"|" &amp; SUBSTITUTE(Demographics_Q4_F_V, ", ", "|") &amp; "|"</f>
        <v>|(All)|</v>
      </c>
      <c r="H15" t="str">
        <f>IFERROR(INDEX(All_Questions_Value_Criteria,MATCH(Demographics_Q4_F_Q&amp;"|"&amp;Demographics_Q4_F_V,All_Questions_Value_Keys,0)),Demographics_Q4_F_V)</f>
        <v>(All)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</row>
    <row r="22"/>
    <row r="23">
      <c r="A23" s="4" t="inlineStr">
        <is>
          <t>Option</t>
        </is>
      </c>
      <c r="B23" s="2" t="str">
        <f>IF(Demographics_Q4_CT="(None)","",IFERROR(INDEX(INDIRECT(IFERROR(INDEX(Cross_Tab_Questions_Options_Names,MATCH(Demographics_Q4_CT,Cross_Tab_Questions,0)),"'_Options'!$E$2:$E$2")),2),""))</f>
        <v/>
      </c>
      <c r="C23" s="2" t="str">
        <f>IF(Demographics_Q4_CT="(None)","",IFERROR(INDEX(INDIRECT(IFERROR(INDEX(Cross_Tab_Questions_Options_Names,MATCH(Demographics_Q4_CT,Cross_Tab_Questions,0)),"'_Options'!$E$2:$E$2")),3),""))</f>
        <v/>
      </c>
      <c r="D23" s="2" t="str">
        <f>IF(Demographics_Q4_CT="(None)","",IFERROR(INDEX(INDIRECT(IFERROR(INDEX(Cross_Tab_Questions_Options_Names,MATCH(Demographics_Q4_CT,Cross_Tab_Questions,0)),"'_Options'!$E$2:$E$2")),4),""))</f>
        <v/>
      </c>
      <c r="E23" s="2" t="str">
        <f>IF(Demographics_Q4_CT="(None)","",IFERROR(INDEX(INDIRECT(IFERROR(INDEX(Cross_Tab_Questions_Options_Names,MATCH(Demographics_Q4_CT,Cross_Tab_Questions,0)),"'_Options'!$E$2:$E$2")),5),""))</f>
        <v/>
      </c>
      <c r="F23" s="2" t="str">
        <f>IF(Demographics_Q4_CT="(None)","",IFERROR(INDEX(INDIRECT(IFERROR(INDEX(Cross_Tab_Questions_Options_Names,MATCH(Demographics_Q4_CT,Cross_Tab_Questions,0)),"'_Options'!$E$2:$E$2")),6),""))</f>
        <v/>
      </c>
      <c r="G23" s="2" t="str">
        <f>IF(Demographics_Q4_CT="(None)","",IFERROR(INDEX(INDIRECT(IFERROR(INDEX(Cross_Tab_Questions_Options_Names,MATCH(Demographics_Q4_CT,Cross_Tab_Questions,0)),"'_Options'!$E$2:$E$2")),7),""))</f>
        <v/>
      </c>
      <c r="H23" s="2" t="str">
        <f>IF(Demographics_Q4_CT="(None)","",IFERROR(INDEX(INDIRECT(IFERROR(INDEX(Cross_Tab_Questions_Options_Names,MATCH(Demographics_Q4_CT,Cross_Tab_Questions,0)),"'_Options'!$E$2:$E$2")),8),""))</f>
        <v/>
      </c>
      <c r="I23" s="2" t="str">
        <f>IF(Demographics_Q4_CT="(None)","",IFERROR(INDEX(INDIRECT(IFERROR(INDEX(Cross_Tab_Questions_Options_Names,MATCH(Demographics_Q4_CT,Cross_Tab_Questions,0)),"'_Options'!$E$2:$E$2")),9),""))</f>
        <v/>
      </c>
      <c r="J23" s="2" t="str">
        <f>IF(Demographics_Q4_CT="(None)","",IFERROR(INDEX(INDIRECT(IFERROR(INDEX(Cross_Tab_Questions_Options_Names,MATCH(Demographics_Q4_CT,Cross_Tab_Questions,0)),"'_Options'!$E$2:$E$2")),10),""))</f>
        <v/>
      </c>
      <c r="K23" s="2" t="str">
        <f>IF(Demographics_Q4_CT="(None)","",IFERROR(INDEX(INDIRECT(IFERROR(INDEX(Cross_Tab_Questions_Options_Names,MATCH(Demographics_Q4_CT,Cross_Tab_Questions,0)),"'_Options'!$E$2:$E$2")),11),""))</f>
        <v/>
      </c>
      <c r="L23" s="2" t="str">
        <f>IF(Demographics_Q4_CT="(None)","",IFERROR(INDEX(INDIRECT(IFERROR(INDEX(Cross_Tab_Questions_Options_Names,MATCH(Demographics_Q4_CT,Cross_Tab_Questions,0)),"'_Options'!$E$2:$E$2")),12),""))</f>
        <v/>
      </c>
      <c r="M23" s="2" t="str">
        <f>IF(Demographics_Q4_CT="(None)","",IF(COUNTA(INDIRECT(IFERROR(INDEX(Cross_Tab_Questions_Options_Names,MATCH(Demographics_Q4_CT,Cross_Tab_Questions,0)),"'_Options'!$E$2:$E$2")))-1&gt;11,"Other",IFERROR(INDEX(INDIRECT(IFERROR(INDEX(Cross_Tab_Questions_Options_Names,MATCH(Demographics_Q4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# of resp</t>
        </is>
      </c>
      <c r="C24" s="4" t="inlineStr">
        <is>
          <t># of resp</t>
        </is>
      </c>
      <c r="D24" s="4" t="inlineStr">
        <is>
          <t># of resp</t>
        </is>
      </c>
      <c r="E24" s="4" t="inlineStr">
        <is>
          <t># of resp</t>
        </is>
      </c>
      <c r="F24" s="4" t="inlineStr">
        <is>
          <t># of resp</t>
        </is>
      </c>
      <c r="G24" s="4" t="inlineStr">
        <is>
          <t># of resp</t>
        </is>
      </c>
      <c r="H24" s="4" t="inlineStr">
        <is>
          <t># of resp</t>
        </is>
      </c>
      <c r="I24" s="4" t="inlineStr">
        <is>
          <t># of resp</t>
        </is>
      </c>
      <c r="J24" s="4" t="inlineStr">
        <is>
          <t># of resp</t>
        </is>
      </c>
      <c r="K24" s="4" t="inlineStr">
        <is>
          <t># of resp</t>
        </is>
      </c>
      <c r="L24" s="4" t="inlineStr">
        <is>
          <t># of resp</t>
        </is>
      </c>
      <c r="M24" s="4" t="inlineStr">
        <is>
          <t># of resp</t>
        </is>
      </c>
      <c r="N24" s="4" t="inlineStr">
        <is>
          <t># of resp</t>
        </is>
      </c>
    </row>
    <row r="25">
      <c r="A25" t="inlineStr">
        <is>
          <t>Small</t>
        </is>
      </c>
      <c r="B25" s="14">
        <f>IF(OR(Demographics_Q4_CT="(None)",B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B$23))</f>
        <v>0</v>
      </c>
      <c r="C25" s="14">
        <f>IF(OR(Demographics_Q4_CT="(None)",C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C$23))</f>
        <v>0</v>
      </c>
      <c r="D25" s="14">
        <f>IF(OR(Demographics_Q4_CT="(None)",D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D$23))</f>
        <v>0</v>
      </c>
      <c r="E25" s="14">
        <f>IF(OR(Demographics_Q4_CT="(None)",E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E$23))</f>
        <v>0</v>
      </c>
      <c r="F25" s="14">
        <f>IF(OR(Demographics_Q4_CT="(None)",F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F$23))</f>
        <v>0</v>
      </c>
      <c r="G25" s="14">
        <f>IF(OR(Demographics_Q4_CT="(None)",G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G$23))</f>
        <v>0</v>
      </c>
      <c r="H25" s="14">
        <f>IF(OR(Demographics_Q4_CT="(None)",H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H$23))</f>
        <v>0</v>
      </c>
      <c r="I25" s="14">
        <f>IF(OR(Demographics_Q4_CT="(None)",I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I$23))</f>
        <v>0</v>
      </c>
      <c r="J25" s="14">
        <f>IF(OR(Demographics_Q4_CT="(None)",J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J$23))</f>
        <v>0</v>
      </c>
      <c r="K25" s="14">
        <f>IF(OR(Demographics_Q4_CT="(None)",K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K$23))</f>
        <v>0</v>
      </c>
      <c r="L25" s="14">
        <f>IF(OR(Demographics_Q4_CT="(None)",L$23=""),""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L$23))</f>
        <v>0</v>
      </c>
      <c r="M25" s="14">
        <f>IF(OR(Demographics_Q4_CT="(None)",M$23=""),"",IF(M$23="Other",COUNTIFS(Q4_data,"Small",passes_workbook_filters_data,1,passes_workbook_custom_filters_data,1,Demographics_passes_local_filters_data,1,Demographics_Q4_F_passes_per_q_filter_data,1)-SUM(B25,C25,D25,E25,F25,G25,H25,I25,J25,K25,L25),COUNTIFS(Q4_data,"Small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M$23)))</f>
        <v>0</v>
      </c>
      <c r="N25" s="14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6">
      <c r="A26" t="inlineStr">
        <is>
          <t>Large</t>
        </is>
      </c>
      <c r="B26" s="14">
        <f>IF(OR(Demographics_Q4_CT="(None)",B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B$23))</f>
        <v>0</v>
      </c>
      <c r="C26" s="14">
        <f>IF(OR(Demographics_Q4_CT="(None)",C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C$23))</f>
        <v>0</v>
      </c>
      <c r="D26" s="14">
        <f>IF(OR(Demographics_Q4_CT="(None)",D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D$23))</f>
        <v>0</v>
      </c>
      <c r="E26" s="14">
        <f>IF(OR(Demographics_Q4_CT="(None)",E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E$23))</f>
        <v>0</v>
      </c>
      <c r="F26" s="14">
        <f>IF(OR(Demographics_Q4_CT="(None)",F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F$23))</f>
        <v>0</v>
      </c>
      <c r="G26" s="14">
        <f>IF(OR(Demographics_Q4_CT="(None)",G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G$23))</f>
        <v>0</v>
      </c>
      <c r="H26" s="14">
        <f>IF(OR(Demographics_Q4_CT="(None)",H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H$23))</f>
        <v>0</v>
      </c>
      <c r="I26" s="14">
        <f>IF(OR(Demographics_Q4_CT="(None)",I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I$23))</f>
        <v>0</v>
      </c>
      <c r="J26" s="14">
        <f>IF(OR(Demographics_Q4_CT="(None)",J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J$23))</f>
        <v>0</v>
      </c>
      <c r="K26" s="14">
        <f>IF(OR(Demographics_Q4_CT="(None)",K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K$23))</f>
        <v>0</v>
      </c>
      <c r="L26" s="14">
        <f>IF(OR(Demographics_Q4_CT="(None)",L$23=""),""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L$23))</f>
        <v>0</v>
      </c>
      <c r="M26" s="14">
        <f>IF(OR(Demographics_Q4_CT="(None)",M$23=""),"",IF(M$23="Other",COUNTIFS(Q4_data,"Large",passes_workbook_filters_data,1,passes_workbook_custom_filters_data,1,Demographics_passes_local_filters_data,1,Demographics_Q4_F_passes_per_q_filter_data,1)-SUM(B26,C26,D26,E26,F26,G26,H26,I26,J26,K26,L26),COUNTIFS(Q4_data,"Large",passes_workbook_filters_data,1,passes_workbook_custom_filters_data,1,Demographics_passes_local_filters_data,1,Demographics_Q4_F_passes_per_q_filter_data,1,INDIRECT(IFERROR(INDEX(Cross_Tab_Questions_Data_Names,MATCH(Demographics_Q4_CT,Cross_Tab_Questions,0)),"'_RawData'!$A:$A")),M$23)))</f>
        <v>0</v>
      </c>
      <c r="N26" s="14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Q14 - Approximately how old is the organization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IFERROR(INDEX(All_Questions_Value_Data_Names,MATCH(Demographics_Q14_F_Q&amp;"|"&amp;Demographics_Q14_F_V,All_Questions_Value_Keys,0)),IFERROR(INDEX(All_Questions_Data_Names,MATCH(Demographics_Q14_F_Q,All_Questions,0)),"'_RawData'!$A:$A"))</f>
        <v>respondent_id_data</v>
      </c>
      <c r="G31" t="str">
        <f>"|" &amp; SUBSTITUTE(Demographics_Q14_F_V, ", ", "|") &amp; "|"</f>
        <v>|(All)|</v>
      </c>
      <c r="H31" t="str">
        <f>IFERROR(INDEX(All_Questions_Value_Criteria,MATCH(Demographics_Q14_F_Q&amp;"|"&amp;Demographics_Q14_F_V,All_Questions_Value_Keys,0)),Demographics_Q14_F_V)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Option</t>
        </is>
      </c>
      <c r="B34" s="4" t="inlineStr">
        <is>
          <t>Count</t>
        </is>
      </c>
      <c r="C34" s="4" t="inlineStr">
        <is>
          <t>%</t>
        </is>
      </c>
      <c r="D34" s="4" t="inlineStr">
        <is>
          <t>Denominator</t>
        </is>
      </c>
    </row>
    <row r="35">
      <c r="A35" t="inlineStr">
        <is>
          <t>New</t>
        </is>
      </c>
      <c r="B35">
        <f>COUNTIFS(Q14_data,"New",passes_workbook_filters_data,1,passes_workbook_custom_filters_data,1,Demographics_passes_local_filters_data,1,Demographics_Q14_F_passes_per_q_filter_data,1)</f>
        <v>1</v>
      </c>
      <c r="C35" s="7">
        <f>IFERROR(B35/SUBTOTAL(9,B35:B36),0)</f>
        <v>0.5</v>
      </c>
      <c r="D35" s="14">
        <f>SUBTOTAL(9,B35:B36)</f>
        <v>2</v>
      </c>
    </row>
    <row r="36">
      <c r="A36" t="inlineStr">
        <is>
          <t>Established</t>
        </is>
      </c>
      <c r="B36">
        <f>COUNTIFS(Q14_data,"Established",passes_workbook_filters_data,1,passes_workbook_custom_filters_data,1,Demographics_passes_local_filters_data,1,Demographics_Q14_F_passes_per_q_filter_data,1)</f>
        <v>1</v>
      </c>
      <c r="C36" s="7">
        <f>IFERROR(B36/SUBTOTAL(9,B35:B36),0)</f>
        <v>0.5</v>
      </c>
      <c r="D36" s="14">
        <f>SUBTOTAL(9,B35:B36)</f>
        <v>2</v>
      </c>
    </row>
    <row r="37">
      <c r="A37" s="15" t="inlineStr">
        <is>
          <t>Total respondents</t>
        </is>
      </c>
      <c r="B37" s="15" t="n">
        <v>2</v>
      </c>
      <c r="C37" s="15" t="n"/>
      <c r="D37" s="15" t="n"/>
    </row>
    <row r="38"/>
    <row r="39">
      <c r="A39" s="4" t="inlineStr">
        <is>
          <t>Option</t>
        </is>
      </c>
      <c r="B39" s="2" t="str">
        <f>IF(Demographics_Q14_CT="(None)","",IFERROR(INDEX(INDIRECT(IFERROR(INDEX(Cross_Tab_Questions_Options_Names,MATCH(Demographics_Q14_CT,Cross_Tab_Questions,0)),"'_Options'!$E$2:$E$2")),2),""))</f>
        <v/>
      </c>
      <c r="C39" s="2" t="str">
        <f>IF(Demographics_Q14_CT="(None)","",IFERROR(INDEX(INDIRECT(IFERROR(INDEX(Cross_Tab_Questions_Options_Names,MATCH(Demographics_Q14_CT,Cross_Tab_Questions,0)),"'_Options'!$E$2:$E$2")),3),""))</f>
        <v/>
      </c>
      <c r="D39" s="2" t="str">
        <f>IF(Demographics_Q14_CT="(None)","",IFERROR(INDEX(INDIRECT(IFERROR(INDEX(Cross_Tab_Questions_Options_Names,MATCH(Demographics_Q14_CT,Cross_Tab_Questions,0)),"'_Options'!$E$2:$E$2")),4),""))</f>
        <v/>
      </c>
      <c r="E39" s="2" t="str">
        <f>IF(Demographics_Q14_CT="(None)","",IFERROR(INDEX(INDIRECT(IFERROR(INDEX(Cross_Tab_Questions_Options_Names,MATCH(Demographics_Q14_CT,Cross_Tab_Questions,0)),"'_Options'!$E$2:$E$2")),5),""))</f>
        <v/>
      </c>
      <c r="F39" s="2" t="str">
        <f>IF(Demographics_Q14_CT="(None)","",IFERROR(INDEX(INDIRECT(IFERROR(INDEX(Cross_Tab_Questions_Options_Names,MATCH(Demographics_Q14_CT,Cross_Tab_Questions,0)),"'_Options'!$E$2:$E$2")),6),""))</f>
        <v/>
      </c>
      <c r="G39" s="2" t="str">
        <f>IF(Demographics_Q14_CT="(None)","",IFERROR(INDEX(INDIRECT(IFERROR(INDEX(Cross_Tab_Questions_Options_Names,MATCH(Demographics_Q14_CT,Cross_Tab_Questions,0)),"'_Options'!$E$2:$E$2")),7),""))</f>
        <v/>
      </c>
      <c r="H39" s="2" t="str">
        <f>IF(Demographics_Q14_CT="(None)","",IFERROR(INDEX(INDIRECT(IFERROR(INDEX(Cross_Tab_Questions_Options_Names,MATCH(Demographics_Q14_CT,Cross_Tab_Questions,0)),"'_Options'!$E$2:$E$2")),8),""))</f>
        <v/>
      </c>
      <c r="I39" s="2" t="str">
        <f>IF(Demographics_Q14_CT="(None)","",IFERROR(INDEX(INDIRECT(IFERROR(INDEX(Cross_Tab_Questions_Options_Names,MATCH(Demographics_Q14_CT,Cross_Tab_Questions,0)),"'_Options'!$E$2:$E$2")),9),""))</f>
        <v/>
      </c>
      <c r="J39" s="2" t="str">
        <f>IF(Demographics_Q14_CT="(None)","",IFERROR(INDEX(INDIRECT(IFERROR(INDEX(Cross_Tab_Questions_Options_Names,MATCH(Demographics_Q14_CT,Cross_Tab_Questions,0)),"'_Options'!$E$2:$E$2")),10),""))</f>
        <v/>
      </c>
      <c r="K39" s="2" t="str">
        <f>IF(Demographics_Q14_CT="(None)","",IFERROR(INDEX(INDIRECT(IFERROR(INDEX(Cross_Tab_Questions_Options_Names,MATCH(Demographics_Q14_CT,Cross_Tab_Questions,0)),"'_Options'!$E$2:$E$2")),11),""))</f>
        <v/>
      </c>
      <c r="L39" s="2" t="str">
        <f>IF(Demographics_Q14_CT="(None)","",IFERROR(INDEX(INDIRECT(IFERROR(INDEX(Cross_Tab_Questions_Options_Names,MATCH(Demographics_Q14_CT,Cross_Tab_Questions,0)),"'_Options'!$E$2:$E$2")),12),""))</f>
        <v/>
      </c>
      <c r="M39" s="2" t="str">
        <f>IF(Demographics_Q14_CT="(None)","",IF(COUNTA(INDIRECT(IFERROR(INDEX(Cross_Tab_Questions_Options_Names,MATCH(Demographics_Q14_CT,Cross_Tab_Questions,0)),"'_Options'!$E$2:$E$2")))-1&gt;11,"Other",IFERROR(INDEX(INDIRECT(IFERROR(INDEX(Cross_Tab_Questions_Options_Names,MATCH(Demographics_Q14_CT,Cross_Tab_Questions,0)),"'_Options'!$E$2:$E$2")),13),"")))</f>
        <v/>
      </c>
      <c r="N39" s="4" t="inlineStr">
        <is>
          <t>Total</t>
        </is>
      </c>
    </row>
    <row r="40">
      <c r="A40" s="4" t="inlineStr"/>
      <c r="B40" s="4" t="inlineStr">
        <is>
          <t># of resp</t>
        </is>
      </c>
      <c r="C40" s="4" t="inlineStr">
        <is>
          <t># of resp</t>
        </is>
      </c>
      <c r="D40" s="4" t="inlineStr">
        <is>
          <t># of resp</t>
        </is>
      </c>
      <c r="E40" s="4" t="inlineStr">
        <is>
          <t># of resp</t>
        </is>
      </c>
      <c r="F40" s="4" t="inlineStr">
        <is>
          <t># of resp</t>
        </is>
      </c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</row>
    <row r="41">
      <c r="A41" t="inlineStr">
        <is>
          <t>New</t>
        </is>
      </c>
      <c r="B41" s="14">
        <f>IF(OR(Demographics_Q14_CT="(None)",B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B$39))</f>
        <v>0</v>
      </c>
      <c r="C41" s="14">
        <f>IF(OR(Demographics_Q14_CT="(None)",C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C$39))</f>
        <v>0</v>
      </c>
      <c r="D41" s="14">
        <f>IF(OR(Demographics_Q14_CT="(None)",D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D$39))</f>
        <v>0</v>
      </c>
      <c r="E41" s="14">
        <f>IF(OR(Demographics_Q14_CT="(None)",E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E$39))</f>
        <v>0</v>
      </c>
      <c r="F41" s="14">
        <f>IF(OR(Demographics_Q14_CT="(None)",F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F$39))</f>
        <v>0</v>
      </c>
      <c r="G41" s="14">
        <f>IF(OR(Demographics_Q14_CT="(None)",G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G$39))</f>
        <v>0</v>
      </c>
      <c r="H41" s="14">
        <f>IF(OR(Demographics_Q14_CT="(None)",H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H$39))</f>
        <v>0</v>
      </c>
      <c r="I41" s="14">
        <f>IF(OR(Demographics_Q14_CT="(None)",I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I$39))</f>
        <v>0</v>
      </c>
      <c r="J41" s="14">
        <f>IF(OR(Demographics_Q14_CT="(None)",J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J$39))</f>
        <v>0</v>
      </c>
      <c r="K41" s="14">
        <f>IF(OR(Demographics_Q14_CT="(None)",K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K$39))</f>
        <v>0</v>
      </c>
      <c r="L41" s="14">
        <f>IF(OR(Demographics_Q14_CT="(None)",L$39=""),""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L$39))</f>
        <v>0</v>
      </c>
      <c r="M41" s="14">
        <f>IF(OR(Demographics_Q14_CT="(None)",M$39=""),"",IF(M$39="Other",COUNTIFS(Q14_data,"New",passes_workbook_filters_data,1,passes_workbook_custom_filters_data,1,Demographics_passes_local_filters_data,1,Demographics_Q14_F_passes_per_q_filter_data,1)-SUM(B41,C41,D41,E41,F41,G41,H41,I41,J41,K41,L41),COUNTIFS(Q14_data,"New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M$39)))</f>
        <v>0</v>
      </c>
      <c r="N41" s="14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42">
      <c r="A42" t="inlineStr">
        <is>
          <t>Established</t>
        </is>
      </c>
      <c r="B42" s="14">
        <f>IF(OR(Demographics_Q14_CT="(None)",B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B$39))</f>
        <v>0</v>
      </c>
      <c r="C42" s="14">
        <f>IF(OR(Demographics_Q14_CT="(None)",C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C$39))</f>
        <v>0</v>
      </c>
      <c r="D42" s="14">
        <f>IF(OR(Demographics_Q14_CT="(None)",D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D$39))</f>
        <v>0</v>
      </c>
      <c r="E42" s="14">
        <f>IF(OR(Demographics_Q14_CT="(None)",E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E$39))</f>
        <v>0</v>
      </c>
      <c r="F42" s="14">
        <f>IF(OR(Demographics_Q14_CT="(None)",F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F$39))</f>
        <v>0</v>
      </c>
      <c r="G42" s="14">
        <f>IF(OR(Demographics_Q14_CT="(None)",G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G$39))</f>
        <v>0</v>
      </c>
      <c r="H42" s="14">
        <f>IF(OR(Demographics_Q14_CT="(None)",H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H$39))</f>
        <v>0</v>
      </c>
      <c r="I42" s="14">
        <f>IF(OR(Demographics_Q14_CT="(None)",I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I$39))</f>
        <v>0</v>
      </c>
      <c r="J42" s="14">
        <f>IF(OR(Demographics_Q14_CT="(None)",J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J$39))</f>
        <v>0</v>
      </c>
      <c r="K42" s="14">
        <f>IF(OR(Demographics_Q14_CT="(None)",K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K$39))</f>
        <v>0</v>
      </c>
      <c r="L42" s="14">
        <f>IF(OR(Demographics_Q14_CT="(None)",L$39=""),""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L$39))</f>
        <v>0</v>
      </c>
      <c r="M42" s="14">
        <f>IF(OR(Demographics_Q14_CT="(None)",M$39=""),"",IF(M$39="Other",COUNTIFS(Q14_data,"Established",passes_workbook_filters_data,1,passes_workbook_custom_filters_data,1,Demographics_passes_local_filters_data,1,Demographics_Q14_F_passes_per_q_filter_data,1)-SUM(B42,C42,D42,E42,F42,G42,H42,I42,J42,K42,L42),COUNTIFS(Q14_data,"Established",passes_workbook_filters_data,1,passes_workbook_custom_filters_data,1,Demographics_passes_local_filters_data,1,Demographics_Q14_F_passes_per_q_filter_data,1,INDIRECT(IFERROR(INDEX(Cross_Tab_Questions_Data_Names,MATCH(Demographics_Q14_CT,Cross_Tab_Questions,0)),"'_RawData'!$A:$A")),M$39)))</f>
        <v>0</v>
      </c>
      <c r="N42" s="14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43">
      <c r="A43" s="4" t="inlineStr">
        <is>
          <t>Total respondents</t>
        </is>
      </c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5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5:B3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5:C3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1:D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1:E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1:F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32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2026-06-09T11:22:21Z</dcterms:created>
  <dcterms:modified xmlns:dcterms="http://purl.org/dc/terms/" xmlns:xsi="http://www.w3.org/2001/XMLSchema-instance" xsi:type="dcterms:W3CDTF">2026-06-09T11:22:21Z</dcterms:modified>
</cp:coreProperties>
</file>