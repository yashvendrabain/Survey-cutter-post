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G20" i="7"/>
  <c r="H20" i="7"/>
  <c r="I20" i="7"/>
  <c r="J20" i="7"/>
  <c r="K20" i="7"/>
  <c r="L20" i="7"/>
  <c r="M20" i="7"/>
  <c r="N20" i="7"/>
  <c r="O20" i="7"/>
  <c r="P20" i="7"/>
  <c r="Q20" i="7"/>
  <c r="R20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S23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  <row r="19"/>
    <row r="20">
      <c r="F20" s="4" t="inlineStr">
        <is>
          <t>Option</t>
        </is>
      </c>
      <c r="G20" s="2" t="str">
        <f>IF(All_Questions_Q6_CT="(None)","",IFERROR(INDEX(INDIRECT(IFERROR(INDEX(All_Questions_Options_Names,MATCH(All_Questions_Q6_CT,All_Questions,0)),"'_Options'!$E$2:$E$2")),2),""))</f>
        <v/>
      </c>
      <c r="H20" s="2" t="str">
        <f>IF(All_Questions_Q6_CT="(None)","",IFERROR(INDEX(INDIRECT(IFERROR(INDEX(All_Questions_Options_Names,MATCH(All_Questions_Q6_CT,All_Questions,0)),"'_Options'!$E$2:$E$2")),3),""))</f>
        <v/>
      </c>
      <c r="I20" s="2" t="str">
        <f>IF(All_Questions_Q6_CT="(None)","",IFERROR(INDEX(INDIRECT(IFERROR(INDEX(All_Questions_Options_Names,MATCH(All_Questions_Q6_CT,All_Questions,0)),"'_Options'!$E$2:$E$2")),4),""))</f>
        <v/>
      </c>
      <c r="J20" s="2" t="str">
        <f>IF(All_Questions_Q6_CT="(None)","",IFERROR(INDEX(INDIRECT(IFERROR(INDEX(All_Questions_Options_Names,MATCH(All_Questions_Q6_CT,All_Questions,0)),"'_Options'!$E$2:$E$2")),5),""))</f>
        <v/>
      </c>
      <c r="K20" s="2" t="str">
        <f>IF(All_Questions_Q6_CT="(None)","",IFERROR(INDEX(INDIRECT(IFERROR(INDEX(All_Questions_Options_Names,MATCH(All_Questions_Q6_CT,All_Questions,0)),"'_Options'!$E$2:$E$2")),6),""))</f>
        <v/>
      </c>
      <c r="L20" s="2" t="str">
        <f>IF(All_Questions_Q6_CT="(None)","",IFERROR(INDEX(INDIRECT(IFERROR(INDEX(All_Questions_Options_Names,MATCH(All_Questions_Q6_CT,All_Questions,0)),"'_Options'!$E$2:$E$2")),7),""))</f>
        <v/>
      </c>
      <c r="M20" s="2" t="str">
        <f>IF(All_Questions_Q6_CT="(None)","",IFERROR(INDEX(INDIRECT(IFERROR(INDEX(All_Questions_Options_Names,MATCH(All_Questions_Q6_CT,All_Questions,0)),"'_Options'!$E$2:$E$2")),8),""))</f>
        <v/>
      </c>
      <c r="N20" s="2" t="str">
        <f>IF(All_Questions_Q6_CT="(None)","",IFERROR(INDEX(INDIRECT(IFERROR(INDEX(All_Questions_Options_Names,MATCH(All_Questions_Q6_CT,All_Questions,0)),"'_Options'!$E$2:$E$2")),9),""))</f>
        <v/>
      </c>
      <c r="O20" s="2" t="str">
        <f>IF(All_Questions_Q6_CT="(None)","",IFERROR(INDEX(INDIRECT(IFERROR(INDEX(All_Questions_Options_Names,MATCH(All_Questions_Q6_CT,All_Questions,0)),"'_Options'!$E$2:$E$2")),10),""))</f>
        <v/>
      </c>
      <c r="P20" s="2" t="str">
        <f>IF(All_Questions_Q6_CT="(None)","",IFERROR(INDEX(INDIRECT(IFERROR(INDEX(All_Questions_Options_Names,MATCH(All_Questions_Q6_CT,All_Questions,0)),"'_Options'!$E$2:$E$2")),11),""))</f>
        <v/>
      </c>
      <c r="Q20" s="2" t="str">
        <f>IF(All_Questions_Q6_CT="(None)","",IFERROR(INDEX(INDIRECT(IFERROR(INDEX(All_Questions_Options_Names,MATCH(All_Questions_Q6_CT,All_Questions,0)),"'_Options'!$E$2:$E$2")),12),""))</f>
        <v/>
      </c>
      <c r="R20" s="2" t="str">
        <f>IF(All_Questions_Q6_CT="(None)","",IF(COUNTA(INDIRECT(IFERROR(INDEX(All_Questions_Options_Names,MATCH(All_Questions_Q6_CT,All_Questions,0)),"'_Options'!$E$2:$E$2")))-1&gt;11,"Other",IFERROR(INDEX(INDIRECT(IFERROR(INDEX(All_Questions_Options_Names,MATCH(All_Questions_Q6_CT,All_Questions,0)),"'_Options'!$E$2:$E$2")),13),"")))</f>
        <v/>
      </c>
      <c r="S20" s="4" t="inlineStr">
        <is>
          <t>Total</t>
        </is>
      </c>
    </row>
    <row r="21">
      <c r="F21" s="4" t="inlineStr"/>
      <c r="G21" s="4" t="inlineStr">
        <is>
          <t>Mean</t>
        </is>
      </c>
      <c r="H21" s="4" t="inlineStr">
        <is>
          <t>Mean</t>
        </is>
      </c>
      <c r="I21" s="4" t="inlineStr">
        <is>
          <t>Mean</t>
        </is>
      </c>
      <c r="J21" s="4" t="inlineStr">
        <is>
          <t>Mean</t>
        </is>
      </c>
      <c r="K21" s="4" t="inlineStr">
        <is>
          <t>Mean</t>
        </is>
      </c>
      <c r="L21" s="4" t="inlineStr">
        <is>
          <t>Mean</t>
        </is>
      </c>
      <c r="M21" s="4" t="inlineStr">
        <is>
          <t>Mean</t>
        </is>
      </c>
      <c r="N21" s="4" t="inlineStr">
        <is>
          <t>Mean</t>
        </is>
      </c>
      <c r="O21" s="4" t="inlineStr">
        <is>
          <t>Mean</t>
        </is>
      </c>
      <c r="P21" s="4" t="inlineStr">
        <is>
          <t>Mean</t>
        </is>
      </c>
      <c r="Q21" s="4" t="inlineStr">
        <is>
          <t>Mean</t>
        </is>
      </c>
      <c r="R21" s="4" t="inlineStr">
        <is>
          <t>Mean</t>
        </is>
      </c>
      <c r="S21" s="4" t="inlineStr">
        <is>
          <t>Mean</t>
        </is>
      </c>
    </row>
    <row r="22">
      <c r="F22" t="inlineStr">
        <is>
          <t>CRM &amp; sales tools</t>
        </is>
      </c>
      <c r="G22" s="14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G$20),"")))</f>
        <v>26.3695</v>
      </c>
      <c r="H22" s="14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H$20),"")))</f>
        <v>26.3695</v>
      </c>
      <c r="I22" s="1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I$20),"")))</f>
        <v>26.3695</v>
      </c>
      <c r="J22" s="14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J$20),"")))</f>
        <v>26.3695</v>
      </c>
      <c r="K22" s="14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K$20),"")))</f>
        <v>26.3695</v>
      </c>
      <c r="L22" s="14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L$20),"")))</f>
        <v>26.3695</v>
      </c>
      <c r="M22" s="14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M$20),"")))</f>
        <v>26.3695</v>
      </c>
      <c r="N22" s="14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N$20),"")))</f>
        <v>26.3695</v>
      </c>
      <c r="O22" s="14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O$20),"")))</f>
        <v>26.3695</v>
      </c>
      <c r="P22" s="14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P$20),"")))</f>
        <v>26.3695</v>
      </c>
      <c r="Q22" s="14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Q$20),"")))</f>
        <v>26.3695</v>
      </c>
      <c r="R22" s="14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R$20),"")))</f>
        <v>26.3695</v>
      </c>
      <c r="S22" s="14">
        <f>IF(All_Questions_Q6_CT="(None)","",IFERROR(AVERAGEIFS(Q6r1_data,Q6r1_data,"&lt;&gt;",passes_workbook_filters_data,1,passes_workbook_custom_filters_data,1,All_Questions_passes_local_filters_data,1,All_Questions_Q6_F_passes_per_q_filter_data,1),""))</f>
        <v>26.3695</v>
      </c>
    </row>
    <row r="23">
      <c r="F23" s="4" t="inlineStr">
        <is>
          <t>Total respondents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>
        <f>IF(All_Questions_Q6_CT="(None)","",COUNTIFS(respondent_id_data,"&lt;&gt;",passes_workbook_filters_data,1,passes_workbook_custom_filters_data,1,All_Questions_passes_local_filters_data,1,All_Questions_Q6_F_passes_per_q_filter_data,1))</f>
        <v>0</v>
      </c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Q6</t>
        </is>
      </c>
      <c r="D2" t="inlineStr">
        <is>
          <t>Q6r1</t>
        </is>
      </c>
      <c r="E2" t="inlineStr">
        <is>
          <t>All_Questions_Q6_CT = G$20</t>
        </is>
      </c>
      <c r="H2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G$20),"")))</f>
        <v>0</v>
      </c>
      <c r="I2" t="n">
        <v>26.3695</v>
      </c>
      <c r="J2" t="n">
        <v>0</v>
      </c>
      <c r="K2" t="n">
        <v>0</v>
      </c>
      <c r="L2" t="inlineStr">
        <is>
          <t>2026-06-08T13:15:15.677394+00:00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Q6</t>
        </is>
      </c>
      <c r="D3" t="inlineStr">
        <is>
          <t>Q6r1</t>
        </is>
      </c>
      <c r="E3" t="inlineStr">
        <is>
          <t>All_Questions_Q6_CT = H$20</t>
        </is>
      </c>
      <c r="H3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H$20),"")))</f>
        <v>0</v>
      </c>
      <c r="I3" t="n">
        <v>26.3695</v>
      </c>
      <c r="J3" t="n">
        <v>0</v>
      </c>
      <c r="K3" t="n">
        <v>0</v>
      </c>
      <c r="L3" t="inlineStr">
        <is>
          <t>2026-06-08T13:15:15.677598+00:00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Q6</t>
        </is>
      </c>
      <c r="D4" t="inlineStr">
        <is>
          <t>Q6r1</t>
        </is>
      </c>
      <c r="E4" t="inlineStr">
        <is>
          <t>All_Questions_Q6_CT = I$20</t>
        </is>
      </c>
      <c r="H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I$20),"")))</f>
        <v>0</v>
      </c>
      <c r="I4" t="n">
        <v>26.3695</v>
      </c>
      <c r="J4" t="n">
        <v>0</v>
      </c>
      <c r="K4" t="n">
        <v>0</v>
      </c>
      <c r="L4" t="inlineStr">
        <is>
          <t>2026-06-08T13:15:15.677766+00:00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Q6</t>
        </is>
      </c>
      <c r="D5" t="inlineStr">
        <is>
          <t>Q6r1</t>
        </is>
      </c>
      <c r="E5" t="inlineStr">
        <is>
          <t>All_Questions_Q6_CT = J$20</t>
        </is>
      </c>
      <c r="H5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J$20),"")))</f>
        <v>0</v>
      </c>
      <c r="I5" t="n">
        <v>26.3695</v>
      </c>
      <c r="J5" t="n">
        <v>0</v>
      </c>
      <c r="K5" t="n">
        <v>0</v>
      </c>
      <c r="L5" t="inlineStr">
        <is>
          <t>2026-06-08T13:15:15.677929+00:00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Q6</t>
        </is>
      </c>
      <c r="D6" t="inlineStr">
        <is>
          <t>Q6r1</t>
        </is>
      </c>
      <c r="E6" t="inlineStr">
        <is>
          <t>All_Questions_Q6_CT = K$20</t>
        </is>
      </c>
      <c r="H6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K$20),"")))</f>
        <v>0</v>
      </c>
      <c r="I6" t="n">
        <v>26.3695</v>
      </c>
      <c r="J6" t="n">
        <v>0</v>
      </c>
      <c r="K6" t="n">
        <v>0</v>
      </c>
      <c r="L6" t="inlineStr">
        <is>
          <t>2026-06-08T13:15:15.678131+00:00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Q6</t>
        </is>
      </c>
      <c r="D7" t="inlineStr">
        <is>
          <t>Q6r1</t>
        </is>
      </c>
      <c r="E7" t="inlineStr">
        <is>
          <t>All_Questions_Q6_CT = L$20</t>
        </is>
      </c>
      <c r="H7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L$20),"")))</f>
        <v>0</v>
      </c>
      <c r="I7" t="n">
        <v>26.3695</v>
      </c>
      <c r="J7" t="n">
        <v>0</v>
      </c>
      <c r="K7" t="n">
        <v>0</v>
      </c>
      <c r="L7" t="inlineStr">
        <is>
          <t>2026-06-08T13:15:15.678319+00:00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Q6</t>
        </is>
      </c>
      <c r="D8" t="inlineStr">
        <is>
          <t>Q6r1</t>
        </is>
      </c>
      <c r="E8" t="inlineStr">
        <is>
          <t>All_Questions_Q6_CT = M$20</t>
        </is>
      </c>
      <c r="H8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M$20),"")))</f>
        <v>0</v>
      </c>
      <c r="I8" t="n">
        <v>26.3695</v>
      </c>
      <c r="J8" t="n">
        <v>0</v>
      </c>
      <c r="K8" t="n">
        <v>0</v>
      </c>
      <c r="L8" t="inlineStr">
        <is>
          <t>2026-06-08T13:15:15.678492+00:00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Q6</t>
        </is>
      </c>
      <c r="D9" t="inlineStr">
        <is>
          <t>Q6r1</t>
        </is>
      </c>
      <c r="E9" t="inlineStr">
        <is>
          <t>All_Questions_Q6_CT = N$20</t>
        </is>
      </c>
      <c r="H9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N$20),"")))</f>
        <v>0</v>
      </c>
      <c r="I9" t="n">
        <v>26.3695</v>
      </c>
      <c r="J9" t="n">
        <v>0</v>
      </c>
      <c r="K9" t="n">
        <v>0</v>
      </c>
      <c r="L9" t="inlineStr">
        <is>
          <t>2026-06-08T13:15:15.678656+00:00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Q6</t>
        </is>
      </c>
      <c r="D10" t="inlineStr">
        <is>
          <t>Q6r1</t>
        </is>
      </c>
      <c r="E10" t="inlineStr">
        <is>
          <t>All_Questions_Q6_CT = O$20</t>
        </is>
      </c>
      <c r="H10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O$20),"")))</f>
        <v>0</v>
      </c>
      <c r="I10" t="n">
        <v>26.3695</v>
      </c>
      <c r="J10" t="n">
        <v>0</v>
      </c>
      <c r="K10" t="n">
        <v>0</v>
      </c>
      <c r="L10" t="inlineStr">
        <is>
          <t>2026-06-08T13:15:15.678819+00:00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Q6</t>
        </is>
      </c>
      <c r="D11" t="inlineStr">
        <is>
          <t>Q6r1</t>
        </is>
      </c>
      <c r="E11" t="inlineStr">
        <is>
          <t>All_Questions_Q6_CT = P$20</t>
        </is>
      </c>
      <c r="H11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P$20),"")))</f>
        <v>0</v>
      </c>
      <c r="I11" t="n">
        <v>26.3695</v>
      </c>
      <c r="J11" t="n">
        <v>0</v>
      </c>
      <c r="K11" t="n">
        <v>0</v>
      </c>
      <c r="L11" t="inlineStr">
        <is>
          <t>2026-06-08T13:15:15.679003+00:00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Q6</t>
        </is>
      </c>
      <c r="D12" t="inlineStr">
        <is>
          <t>Q6r1</t>
        </is>
      </c>
      <c r="E12" t="inlineStr">
        <is>
          <t>All_Questions_Q6_CT = Q$20</t>
        </is>
      </c>
      <c r="H12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Q$20),"")))</f>
        <v>0</v>
      </c>
      <c r="I12" t="n">
        <v>26.3695</v>
      </c>
      <c r="J12" t="n">
        <v>0</v>
      </c>
      <c r="K12" t="n">
        <v>0</v>
      </c>
      <c r="L12" t="inlineStr">
        <is>
          <t>2026-06-08T13:15:15.679175+00:00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Q6</t>
        </is>
      </c>
      <c r="D13" t="inlineStr">
        <is>
          <t>Q6r1</t>
        </is>
      </c>
      <c r="E13" t="inlineStr">
        <is>
          <t>All_Questions_Q6_CT = R$20</t>
        </is>
      </c>
      <c r="H13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R$20),"")))</f>
        <v>0</v>
      </c>
      <c r="I13" t="n">
        <v>26.3695</v>
      </c>
      <c r="J13" t="n">
        <v>0</v>
      </c>
      <c r="K13" t="n">
        <v>0</v>
      </c>
      <c r="L13" t="inlineStr">
        <is>
          <t>2026-06-08T13:15:15.679444+00:00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2026-06-08T13:15:14Z</dcterms:created>
  <dcterms:modified xmlns:dcterms="http://purl.org/dc/terms/" xmlns:xsi="http://www.w3.org/2001/XMLSchema-instance" xsi:type="dcterms:W3CDTF">2026-06-08T13:15:15Z</dcterms:modified>
</cp:coreProperties>
</file>