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Questions'!$C$23</definedName>
    <definedName name="All_Questions_Q56_Expected_2025_Gross_margin_growth_outlook_F_V">'All Questions'!$E$23</definedName>
    <definedName name="All_Questions_Q56_Expected_2025_Gross_margin_growth_outlook_F_resolved_column">'All Questions'!$F$23</definedName>
    <definedName name="All_Questions_Q56_Expected_2025_Gross_margin_growth_outlook_F_wrapped">'All Questions'!$G$23</definedName>
    <definedName name="All_Questions_Q56_Expected_2025_Gross_margin_growth_outlook_F_passes_per_q_filter_data">'_RawData'!$K$2:$K$7</definedName>
    <definedName name="All_Questions_Q56_Expected_2025_Gross_margin_growth_outlook_CT">'All Questions'!$C$24</definedName>
    <definedName name="All_Questions_Q102_Expected_2025_EBITDA_margin_growth_outlook_F_Q">'All Questions'!$C$33</definedName>
    <definedName name="All_Questions_Q102_Expected_2025_EBITDA_margin_growth_outlook_F_V">'All Questions'!$E$33</definedName>
    <definedName name="All_Questions_Q102_Expected_2025_EBITDA_margin_growth_outlook_F_resolved_column">'All Questions'!$F$33</definedName>
    <definedName name="All_Questions_Q102_Expected_2025_EBITDA_margin_growth_outlook_F_wrapped">'All Questions'!$G$33</definedName>
    <definedName name="All_Questions_Q102_Expected_2025_EBITDA_margin_growth_outlook_F_passes_per_q_filter_data">'_RawData'!$L$2:$L$7</definedName>
    <definedName name="All_Questions_Q102_Expected_2025_EBITDA_margin_growth_outlook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B38" i="7"/>
  <c r="C38" i="7"/>
  <c r="D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S4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Q56 Expected 2025 Gross margin growth outlook question text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IFERROR(INDEX(All_Questions_Data_Names,MATCH(All_Questions_Q56_Expected_2025_Gross_margin_growth_outlook_F_Q,All_Questions,0)),"'_RawData'!$A:$A")</f>
        <v>respondent_id_data</v>
      </c>
      <c r="G23" t="str">
        <f>"|" &amp; SUBSTITUTE(All_Questions_Q56_Expected_2025_Gross_margin_growth_outlook_F_V,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6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6" s="4" t="inlineStr">
        <is>
          <t>Total</t>
        </is>
      </c>
    </row>
    <row r="27">
      <c r="A27" t="inlineStr">
        <is>
          <t>Higher</t>
        </is>
      </c>
      <c r="B27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7" s="7">
        <f>IFERROR(B27/SUBTOTAL(9,B27:B28),0)</f>
        <v>0.5</v>
      </c>
      <c r="D27" s="14">
        <f>SUBTOTAL(9,B27:B28)</f>
        <v>6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Lower</t>
        </is>
      </c>
      <c r="B28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IFERROR(B28/SUBTOTAL(9,B27:B28),0)</f>
        <v>0.5</v>
      </c>
      <c r="D28" s="14">
        <f>SUBTOTAL(9,B27:B28)</f>
        <v>6</v>
      </c>
      <c r="F28" t="inlineStr">
        <is>
          <t>Higher</t>
        </is>
      </c>
      <c r="G28">
        <f>IF(OR(All_Questions_Q56_Expected_2025_Gross_margin_growth_outlook_CT="(None)",G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8">
        <f>IF(OR(All_Questions_Q56_Expected_2025_Gross_margin_growth_outlook_CT="(None)",H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8">
        <f>IF(OR(All_Questions_Q56_Expected_2025_Gross_margin_growth_outlook_CT="(None)",I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8">
        <f>IF(OR(All_Questions_Q56_Expected_2025_Gross_margin_growth_outlook_CT="(None)",J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8">
        <f>IF(OR(All_Questions_Q56_Expected_2025_Gross_margin_growth_outlook_CT="(None)",K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8">
        <f>IF(OR(All_Questions_Q56_Expected_2025_Gross_margin_growth_outlook_CT="(None)",L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8">
        <f>IF(OR(All_Questions_Q56_Expected_2025_Gross_margin_growth_outlook_CT="(None)",M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8">
        <f>IF(OR(All_Questions_Q56_Expected_2025_Gross_margin_growth_outlook_CT="(None)",N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8">
        <f>IF(OR(All_Questions_Q56_Expected_2025_Gross_margin_growth_outlook_CT="(None)",O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8">
        <f>IF(OR(All_Questions_Q56_Expected_2025_Gross_margin_growth_outlook_CT="(None)",P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8">
        <f>IF(OR(All_Questions_Q56_Expected_2025_Gross_margin_growth_outlook_CT="(None)",Q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8">
        <f>IF(OR(All_Questions_Q56_Expected_2025_Gross_margin_growth_outlook_CT="(None)",R$26=""),"",IF(R$26="Other",COUNTIFS(Q56_Expected_2025_Gross_margin_data,"Higher",passes_workbook_filters_data,1,passes_workbook_custom_filters_data,1,All_Questions_passes_local_filters_data,1,All_Questions_Q56_Expected_2025_Gross_margin_growth_outlook_F_passes_per_q_filter_data,1)-SUM(G28,H28,I28,J28,K28,L28,M28,N28,O28,P28,Q28)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8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29">
      <c r="A29" s="15" t="inlineStr">
        <is>
          <t>Total respondents</t>
        </is>
      </c>
      <c r="B29" s="15" t="n">
        <v>6</v>
      </c>
      <c r="C29" s="15" t="n"/>
      <c r="D29" s="15" t="n"/>
      <c r="F29" t="inlineStr">
        <is>
          <t>Lower</t>
        </is>
      </c>
      <c r="G29">
        <f>IF(OR(All_Questions_Q56_Expected_2025_Gross_margin_growth_outlook_CT="(None)",G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9">
        <f>IF(OR(All_Questions_Q56_Expected_2025_Gross_margin_growth_outlook_CT="(None)",H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9">
        <f>IF(OR(All_Questions_Q56_Expected_2025_Gross_margin_growth_outlook_CT="(None)",I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9">
        <f>IF(OR(All_Questions_Q56_Expected_2025_Gross_margin_growth_outlook_CT="(None)",J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9">
        <f>IF(OR(All_Questions_Q56_Expected_2025_Gross_margin_growth_outlook_CT="(None)",K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9">
        <f>IF(OR(All_Questions_Q56_Expected_2025_Gross_margin_growth_outlook_CT="(None)",L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9">
        <f>IF(OR(All_Questions_Q56_Expected_2025_Gross_margin_growth_outlook_CT="(None)",M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9">
        <f>IF(OR(All_Questions_Q56_Expected_2025_Gross_margin_growth_outlook_CT="(None)",N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9">
        <f>IF(OR(All_Questions_Q56_Expected_2025_Gross_margin_growth_outlook_CT="(None)",O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9">
        <f>IF(OR(All_Questions_Q56_Expected_2025_Gross_margin_growth_outlook_CT="(None)",P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9">
        <f>IF(OR(All_Questions_Q56_Expected_2025_Gross_margin_growth_outlook_CT="(None)",Q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9">
        <f>IF(OR(All_Questions_Q56_Expected_2025_Gross_margin_growth_outlook_CT="(None)",R$26=""),"",IF(R$26="Other",COUNTIFS(Q56_Expected_2025_Gross_margin_data,"Low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9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Q102 Expected 2025 EBITDA margin growth outlook question text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IFERROR(INDEX(All_Questions_Data_Names,MATCH(All_Questions_Q102_Expected_2025_EBITDA_margin_growth_outlook_F_Q,All_Questions,0)),"'_RawData'!$A:$A")</f>
        <v>respondent_id_data</v>
      </c>
      <c r="G33" t="str">
        <f>"|" &amp; SUBSTITUTE(All_Questions_Q102_Expected_2025_EBITDA_margin_growth_outlook_F_V,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5"/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6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6" s="4" t="inlineStr">
        <is>
          <t>Total</t>
        </is>
      </c>
    </row>
    <row r="37">
      <c r="A37" t="inlineStr">
        <is>
          <t>Higher</t>
        </is>
      </c>
      <c r="B37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7" s="7">
        <f>IFERROR(B37/SUBTOTAL(9,B37:B38),0)</f>
        <v>0.5</v>
      </c>
      <c r="D37" s="14">
        <f>SUBTOTAL(9,B37:B38)</f>
        <v>6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Lower</t>
        </is>
      </c>
      <c r="B38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38" s="7">
        <f>IFERROR(B38/SUBTOTAL(9,B37:B38),0)</f>
        <v>0.5</v>
      </c>
      <c r="D38" s="14">
        <f>SUBTOTAL(9,B37:B38)</f>
        <v>6</v>
      </c>
      <c r="F38" t="inlineStr">
        <is>
          <t>Higher</t>
        </is>
      </c>
      <c r="G38">
        <f>IF(OR(All_Questions_Q102_Expected_2025_EBITDA_margin_growth_outlook_CT="(None)",G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8">
        <f>IF(OR(All_Questions_Q102_Expected_2025_EBITDA_margin_growth_outlook_CT="(None)",H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8">
        <f>IF(OR(All_Questions_Q102_Expected_2025_EBITDA_margin_growth_outlook_CT="(None)",I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8">
        <f>IF(OR(All_Questions_Q102_Expected_2025_EBITDA_margin_growth_outlook_CT="(None)",J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8">
        <f>IF(OR(All_Questions_Q102_Expected_2025_EBITDA_margin_growth_outlook_CT="(None)",K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8">
        <f>IF(OR(All_Questions_Q102_Expected_2025_EBITDA_margin_growth_outlook_CT="(None)",L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8">
        <f>IF(OR(All_Questions_Q102_Expected_2025_EBITDA_margin_growth_outlook_CT="(None)",M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8">
        <f>IF(OR(All_Questions_Q102_Expected_2025_EBITDA_margin_growth_outlook_CT="(None)",N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8">
        <f>IF(OR(All_Questions_Q102_Expected_2025_EBITDA_margin_growth_outlook_CT="(None)",O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8">
        <f>IF(OR(All_Questions_Q102_Expected_2025_EBITDA_margin_growth_outlook_CT="(None)",P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8">
        <f>IF(OR(All_Questions_Q102_Expected_2025_EBITDA_margin_growth_outlook_CT="(None)",Q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8">
        <f>IF(OR(All_Questions_Q102_Expected_2025_EBITDA_margin_growth_outlook_CT="(None)",R$36=""),"",IF(R$36="Other",COUNTIFS(Q102_Expected_2025_EBITDA_margi_data,"Higher",passes_workbook_filters_data,1,passes_workbook_custom_filters_data,1,All_Questions_passes_local_filters_data,1,All_Questions_Q102_Expected_2025_EBITDA_margin_growth_outlook_F_passes_per_q_filter_data,1)-SUM(G38,H38,I38,J38,K38,L38,M38,N38,O38,P38,Q38)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8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39">
      <c r="A39" s="15" t="inlineStr">
        <is>
          <t>Total respondents</t>
        </is>
      </c>
      <c r="B39" s="15" t="n">
        <v>6</v>
      </c>
      <c r="C39" s="15" t="n"/>
      <c r="D39" s="15" t="n"/>
      <c r="F39" t="inlineStr">
        <is>
          <t>Lower</t>
        </is>
      </c>
      <c r="G39">
        <f>IF(OR(All_Questions_Q102_Expected_2025_EBITDA_margin_growth_outlook_CT="(None)",G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9">
        <f>IF(OR(All_Questions_Q102_Expected_2025_EBITDA_margin_growth_outlook_CT="(None)",H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9">
        <f>IF(OR(All_Questions_Q102_Expected_2025_EBITDA_margin_growth_outlook_CT="(None)",I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9">
        <f>IF(OR(All_Questions_Q102_Expected_2025_EBITDA_margin_growth_outlook_CT="(None)",J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9">
        <f>IF(OR(All_Questions_Q102_Expected_2025_EBITDA_margin_growth_outlook_CT="(None)",K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9">
        <f>IF(OR(All_Questions_Q102_Expected_2025_EBITDA_margin_growth_outlook_CT="(None)",L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9">
        <f>IF(OR(All_Questions_Q102_Expected_2025_EBITDA_margin_growth_outlook_CT="(None)",M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9">
        <f>IF(OR(All_Questions_Q102_Expected_2025_EBITDA_margin_growth_outlook_CT="(None)",N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9">
        <f>IF(OR(All_Questions_Q102_Expected_2025_EBITDA_margin_growth_outlook_CT="(None)",O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9">
        <f>IF(OR(All_Questions_Q102_Expected_2025_EBITDA_margin_growth_outlook_CT="(None)",P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9">
        <f>IF(OR(All_Questions_Q102_Expected_2025_EBITDA_margin_growth_outlook_CT="(None)",Q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9">
        <f>IF(OR(All_Questions_Q102_Expected_2025_EBITDA_margin_growth_outlook_CT="(None)",R$36=""),"",IF(R$36="Other",COUNTIFS(Q102_Expected_2025_EBITDA_margi_data,"Lower",passes_workbook_filters_data,1,passes_workbook_custom_filters_data,1,All_Questions_passes_local_filters_data,1,All_Questions_Q102_Expected_2025_EBITDA_margin_growth_outlook_F_passes_per_q_filter_data,1)-SUM(G39,H39,I39,J39,K39,L39,M39,N39,O39,P39,Q39)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9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2026-06-03T21:14:46Z</dcterms:created>
  <dcterms:modified xmlns:dcterms="http://purl.org/dc/terms/" xmlns:xsi="http://www.w3.org/2001/XMLSchema-instance" xsi:type="dcterms:W3CDTF">2026-06-03T21:14:46Z</dcterms:modified>
</cp:coreProperties>
</file>