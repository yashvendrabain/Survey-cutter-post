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/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/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/>
      </c>
      <c r="L2">
        <f>J2*K2*1</f>
        <v/>
      </c>
      <c r="M2">
        <f>1</f>
        <v/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/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/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/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/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/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/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/>
      </c>
      <c r="L3">
        <f>J3*K3*1</f>
        <v/>
      </c>
      <c r="M3">
        <f>1</f>
        <v/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/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/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/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/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/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/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/>
      </c>
      <c r="L4">
        <f>J4*K4*1</f>
        <v/>
      </c>
      <c r="M4">
        <f>1</f>
        <v/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/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/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/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/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/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/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/>
      </c>
      <c r="L5">
        <f>J5*K5*1</f>
        <v/>
      </c>
      <c r="M5">
        <f>1</f>
        <v/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/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/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/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/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/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/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/>
      </c>
      <c r="L6">
        <f>J6*K6*1</f>
        <v/>
      </c>
      <c r="M6">
        <f>1</f>
        <v/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/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/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/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/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/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/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/>
      </c>
      <c r="L7">
        <f>J7*K7*1</f>
        <v/>
      </c>
      <c r="M7">
        <f>1</f>
        <v/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/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/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/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/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/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/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/>
      </c>
      <c r="L8">
        <f>J8*K8*1</f>
        <v/>
      </c>
      <c r="M8">
        <f>1</f>
        <v/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/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/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/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/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/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/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/>
      </c>
      <c r="L9">
        <f>J9*K9*1</f>
        <v/>
      </c>
      <c r="M9">
        <f>1</f>
        <v/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/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/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/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/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/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/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/>
      </c>
      <c r="L10">
        <f>J10*K10*1</f>
        <v/>
      </c>
      <c r="M10">
        <f>1</f>
        <v/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/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/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/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/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/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/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/>
      </c>
      <c r="L11">
        <f>J11*K11*1</f>
        <v/>
      </c>
      <c r="M11">
        <f>1</f>
        <v/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/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/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/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/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IFERROR(INDEX(All_Questions_Data_Names,MATCH(F_Custom1_Q,All_Questions,0)),"'_RawData'!$A:$A")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IFERROR(INDEX(All_Questions_Data_Names,MATCH(F_Custom2_Q,All_Questions,0)),"'_RawData'!$A:$A")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IFERROR(INDEX(All_Questions_Data_Names,MATCH(All_Questions_F_Custom1_Q_resolved,All_Questions,0)),"'_RawData'!$A:$A")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IFERROR(INDEX(All_Questions_Data_Names,MATCH(All_Questions_F_Custom2_Q_resolved,All_Questions,0)),"'_RawData'!$A:$A")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IFERROR(INDEX(All_Questions_Data_Names,MATCH(All_Questions_Q_SS_EXPORT_F_Q,All_Questions,0)),"'_RawData'!$A:$A")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>
        <f>IF(All_Questions_Q_SS_EXPORT_CT="(None)","",IFERROR(INDEX(INDIRECT(IFERROR(INDEX(All_Questions_Options_Names,MATCH(All_Questions_Q_SS_EXPORT_CT,All_Questions,0)),"'_Options'!$E$2:$E$2")),2),""))</f>
        <v/>
      </c>
      <c r="H16" s="2">
        <f>IF(All_Questions_Q_SS_EXPORT_CT="(None)","",IFERROR(INDEX(INDIRECT(IFERROR(INDEX(All_Questions_Options_Names,MATCH(All_Questions_Q_SS_EXPORT_CT,All_Questions,0)),"'_Options'!$E$2:$E$2")),3),""))</f>
        <v/>
      </c>
      <c r="I16" s="2">
        <f>IF(All_Questions_Q_SS_EXPORT_CT="(None)","",IFERROR(INDEX(INDIRECT(IFERROR(INDEX(All_Questions_Options_Names,MATCH(All_Questions_Q_SS_EXPORT_CT,All_Questions,0)),"'_Options'!$E$2:$E$2")),4),""))</f>
        <v/>
      </c>
      <c r="J16" s="2">
        <f>IF(All_Questions_Q_SS_EXPORT_CT="(None)","",IFERROR(INDEX(INDIRECT(IFERROR(INDEX(All_Questions_Options_Names,MATCH(All_Questions_Q_SS_EXPORT_CT,All_Questions,0)),"'_Options'!$E$2:$E$2")),5),""))</f>
        <v/>
      </c>
      <c r="K16" s="2">
        <f>IF(All_Questions_Q_SS_EXPORT_CT="(None)","",IFERROR(INDEX(INDIRECT(IFERROR(INDEX(All_Questions_Options_Names,MATCH(All_Questions_Q_SS_EXPORT_CT,All_Questions,0)),"'_Options'!$E$2:$E$2")),6),""))</f>
        <v/>
      </c>
      <c r="L16" s="2">
        <f>IF(All_Questions_Q_SS_EXPORT_CT="(None)","",IFERROR(INDEX(INDIRECT(IFERROR(INDEX(All_Questions_Options_Names,MATCH(All_Questions_Q_SS_EXPORT_CT,All_Questions,0)),"'_Options'!$E$2:$E$2")),7),""))</f>
        <v/>
      </c>
      <c r="M16" s="2">
        <f>IF(All_Questions_Q_SS_EXPORT_CT="(None)","",IFERROR(INDEX(INDIRECT(IFERROR(INDEX(All_Questions_Options_Names,MATCH(All_Questions_Q_SS_EXPORT_CT,All_Questions,0)),"'_Options'!$E$2:$E$2")),8),""))</f>
        <v/>
      </c>
      <c r="N16" s="2">
        <f>IF(All_Questions_Q_SS_EXPORT_CT="(None)","",IFERROR(INDEX(INDIRECT(IFERROR(INDEX(All_Questions_Options_Names,MATCH(All_Questions_Q_SS_EXPORT_CT,All_Questions,0)),"'_Options'!$E$2:$E$2")),9),""))</f>
        <v/>
      </c>
      <c r="O16" s="2">
        <f>IF(All_Questions_Q_SS_EXPORT_CT="(None)","",IFERROR(INDEX(INDIRECT(IFERROR(INDEX(All_Questions_Options_Names,MATCH(All_Questions_Q_SS_EXPORT_CT,All_Questions,0)),"'_Options'!$E$2:$E$2")),10),""))</f>
        <v/>
      </c>
      <c r="P16" s="2">
        <f>IF(All_Questions_Q_SS_EXPORT_CT="(None)","",IFERROR(INDEX(INDIRECT(IFERROR(INDEX(All_Questions_Options_Names,MATCH(All_Questions_Q_SS_EXPORT_CT,All_Questions,0)),"'_Options'!$E$2:$E$2")),11),""))</f>
        <v/>
      </c>
      <c r="Q16" s="2">
        <f>IF(All_Questions_Q_SS_EXPORT_CT="(None)","",IFERROR(INDEX(INDIRECT(IFERROR(INDEX(All_Questions_Options_Names,MATCH(All_Questions_Q_SS_EXPORT_CT,All_Questions,0)),"'_Options'!$E$2:$E$2")),12),""))</f>
        <v/>
      </c>
      <c r="R16" s="2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/>
      </c>
      <c r="C17" s="7">
        <f>IFERROR(B17/SUBTOTAL(9,B17:B18),0)</f>
        <v/>
      </c>
      <c r="D17" s="14">
        <f>SUBTOTAL(9,B17:B18)</f>
        <v/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/>
      </c>
      <c r="C18" s="7">
        <f>IFERROR(B18/SUBTOTAL(9,B17:B18),0)</f>
        <v/>
      </c>
      <c r="D18" s="14">
        <f>SUBTOTAL(9,B17:B18)</f>
        <v/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/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/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/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/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/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/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/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/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/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/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/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/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/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/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/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/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/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/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/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/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/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/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/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/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/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/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IFERROR(INDEX(All_Questions_Data_Names,MATCH(All_Questions_Q_MS_EXPORT_F_Q,All_Questions,0)),"'_RawData'!$A:$A")</f>
        <v/>
      </c>
      <c r="G23">
        <f>"|" &amp; SUBSTITUTE(All_Questions_Q_MS_EXPORT_F_V,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>
        <f>IF(All_Questions_Q_MS_EXPORT_CT="(None)","",IFERROR(INDEX(INDIRECT(IFERROR(INDEX(All_Questions_Options_Names,MATCH(All_Questions_Q_MS_EXPORT_CT,All_Questions,0)),"'_Options'!$E$2:$E$2")),2),""))</f>
        <v/>
      </c>
      <c r="H26" s="2">
        <f>IF(All_Questions_Q_MS_EXPORT_CT="(None)","",IFERROR(INDEX(INDIRECT(IFERROR(INDEX(All_Questions_Options_Names,MATCH(All_Questions_Q_MS_EXPORT_CT,All_Questions,0)),"'_Options'!$E$2:$E$2")),3),""))</f>
        <v/>
      </c>
      <c r="I26" s="2">
        <f>IF(All_Questions_Q_MS_EXPORT_CT="(None)","",IFERROR(INDEX(INDIRECT(IFERROR(INDEX(All_Questions_Options_Names,MATCH(All_Questions_Q_MS_EXPORT_CT,All_Questions,0)),"'_Options'!$E$2:$E$2")),4),""))</f>
        <v/>
      </c>
      <c r="J26" s="2">
        <f>IF(All_Questions_Q_MS_EXPORT_CT="(None)","",IFERROR(INDEX(INDIRECT(IFERROR(INDEX(All_Questions_Options_Names,MATCH(All_Questions_Q_MS_EXPORT_CT,All_Questions,0)),"'_Options'!$E$2:$E$2")),5),""))</f>
        <v/>
      </c>
      <c r="K26" s="2">
        <f>IF(All_Questions_Q_MS_EXPORT_CT="(None)","",IFERROR(INDEX(INDIRECT(IFERROR(INDEX(All_Questions_Options_Names,MATCH(All_Questions_Q_MS_EXPORT_CT,All_Questions,0)),"'_Options'!$E$2:$E$2")),6),""))</f>
        <v/>
      </c>
      <c r="L26" s="2">
        <f>IF(All_Questions_Q_MS_EXPORT_CT="(None)","",IFERROR(INDEX(INDIRECT(IFERROR(INDEX(All_Questions_Options_Names,MATCH(All_Questions_Q_MS_EXPORT_CT,All_Questions,0)),"'_Options'!$E$2:$E$2")),7),""))</f>
        <v/>
      </c>
      <c r="M26" s="2">
        <f>IF(All_Questions_Q_MS_EXPORT_CT="(None)","",IFERROR(INDEX(INDIRECT(IFERROR(INDEX(All_Questions_Options_Names,MATCH(All_Questions_Q_MS_EXPORT_CT,All_Questions,0)),"'_Options'!$E$2:$E$2")),8),""))</f>
        <v/>
      </c>
      <c r="N26" s="2">
        <f>IF(All_Questions_Q_MS_EXPORT_CT="(None)","",IFERROR(INDEX(INDIRECT(IFERROR(INDEX(All_Questions_Options_Names,MATCH(All_Questions_Q_MS_EXPORT_CT,All_Questions,0)),"'_Options'!$E$2:$E$2")),9),""))</f>
        <v/>
      </c>
      <c r="O26" s="2">
        <f>IF(All_Questions_Q_MS_EXPORT_CT="(None)","",IFERROR(INDEX(INDIRECT(IFERROR(INDEX(All_Questions_Options_Names,MATCH(All_Questions_Q_MS_EXPORT_CT,All_Questions,0)),"'_Options'!$E$2:$E$2")),10),""))</f>
        <v/>
      </c>
      <c r="P26" s="2">
        <f>IF(All_Questions_Q_MS_EXPORT_CT="(None)","",IFERROR(INDEX(INDIRECT(IFERROR(INDEX(All_Questions_Options_Names,MATCH(All_Questions_Q_MS_EXPORT_CT,All_Questions,0)),"'_Options'!$E$2:$E$2")),11),""))</f>
        <v/>
      </c>
      <c r="Q26" s="2">
        <f>IF(All_Questions_Q_MS_EXPORT_CT="(None)","",IFERROR(INDEX(INDIRECT(IFERROR(INDEX(All_Questions_Options_Names,MATCH(All_Questions_Q_MS_EXPORT_CT,All_Questions,0)),"'_Options'!$E$2:$E$2")),12),""))</f>
        <v/>
      </c>
      <c r="R26" s="2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/>
      </c>
      <c r="C27" s="7">
        <f>IFERROR(B27/SUBTOTAL(9,B27:B28),0)</f>
        <v/>
      </c>
      <c r="D27" s="14">
        <f>SUBTOTAL(9,B27:B28)</f>
        <v/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/>
      </c>
      <c r="C28" s="7">
        <f>IFERROR(B28/SUBTOTAL(9,B27:B28),0)</f>
        <v/>
      </c>
      <c r="D28" s="14">
        <f>SUBTOTAL(9,B27:B28)</f>
        <v/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/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/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/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/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/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/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/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/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/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/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/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/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/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/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/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/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/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/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/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/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/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/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/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/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/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/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/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>
        <f>IFERROR(INDEX(All_Questions_Data_Names,MATCH(All_Questions_Q_NUM_EXPORT_F_Q,All_Questions,0)),"'_RawData'!$A:$A")</f>
        <v/>
      </c>
      <c r="G34">
        <f>"|" &amp; SUBSTITUTE(All_Questions_Q_NUM_EXPORT_F_V, ", ", "|") &amp; "|"</f>
        <v/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/>
      </c>
      <c r="D38">
        <f>COUNTIFS(Q_NUM_EXPORT_data,"&lt;&gt;",passes_workbook_filters_data,1,passes_workbook_custom_filters_data,1,All_Questions_passes_local_filters_data,1,All_Questions_Q_NUM_EXPORT_F_passes_per_q_filter_data,1)</f>
        <v/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/>
      </c>
      <c r="D39">
        <f>COUNTIFS(Q_NUM_EXPORT_data,"&lt;&gt;",passes_workbook_filters_data,1,passes_workbook_custom_filters_data,1,All_Questions_passes_local_filters_data,1,All_Questions_Q_NUM_EXPORT_F_passes_per_q_filter_data,1)</f>
        <v/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/>
      </c>
      <c r="D40">
        <f>COUNTIFS(Q_NUM_EXPORT_data,"&lt;&gt;",passes_workbook_filters_data,1,passes_workbook_custom_filters_data,1,All_Questions_passes_local_filters_data,1,All_Questions_Q_NUM_EXPORT_F_passes_per_q_filter_data,1)</f>
        <v/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/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>
        <f>IFERROR(INDEX(All_Questions_Data_Names,MATCH(All_Questions_Q_GRID_EXPORT_F_Q,All_Questions,0)),"'_RawData'!$A:$A")</f>
        <v/>
      </c>
      <c r="G46">
        <f>"|" &amp; SUBSTITUTE(All_Questions_Q_GRID_EXPORT_F_V, ", ", "|") &amp; "|"</f>
        <v/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>
        <f>IF(All_Questions_Q_GRID_EXPORT_CT="(None)","",IFERROR(INDEX(INDIRECT(IFERROR(INDEX(All_Questions_Options_Names,MATCH(All_Questions_Q_GRID_EXPORT_CT,All_Questions,0)),"'_Options'!$E$2:$E$2")),2),""))</f>
        <v/>
      </c>
      <c r="H49" s="2">
        <f>IF(All_Questions_Q_GRID_EXPORT_CT="(None)","",IFERROR(INDEX(INDIRECT(IFERROR(INDEX(All_Questions_Options_Names,MATCH(All_Questions_Q_GRID_EXPORT_CT,All_Questions,0)),"'_Options'!$E$2:$E$2")),3),""))</f>
        <v/>
      </c>
      <c r="I49" s="2">
        <f>IF(All_Questions_Q_GRID_EXPORT_CT="(None)","",IFERROR(INDEX(INDIRECT(IFERROR(INDEX(All_Questions_Options_Names,MATCH(All_Questions_Q_GRID_EXPORT_CT,All_Questions,0)),"'_Options'!$E$2:$E$2")),4),""))</f>
        <v/>
      </c>
      <c r="J49" s="2">
        <f>IF(All_Questions_Q_GRID_EXPORT_CT="(None)","",IFERROR(INDEX(INDIRECT(IFERROR(INDEX(All_Questions_Options_Names,MATCH(All_Questions_Q_GRID_EXPORT_CT,All_Questions,0)),"'_Options'!$E$2:$E$2")),5),""))</f>
        <v/>
      </c>
      <c r="K49" s="2">
        <f>IF(All_Questions_Q_GRID_EXPORT_CT="(None)","",IFERROR(INDEX(INDIRECT(IFERROR(INDEX(All_Questions_Options_Names,MATCH(All_Questions_Q_GRID_EXPORT_CT,All_Questions,0)),"'_Options'!$E$2:$E$2")),6),""))</f>
        <v/>
      </c>
      <c r="L49" s="2">
        <f>IF(All_Questions_Q_GRID_EXPORT_CT="(None)","",IFERROR(INDEX(INDIRECT(IFERROR(INDEX(All_Questions_Options_Names,MATCH(All_Questions_Q_GRID_EXPORT_CT,All_Questions,0)),"'_Options'!$E$2:$E$2")),7),""))</f>
        <v/>
      </c>
      <c r="M49" s="2">
        <f>IF(All_Questions_Q_GRID_EXPORT_CT="(None)","",IFERROR(INDEX(INDIRECT(IFERROR(INDEX(All_Questions_Options_Names,MATCH(All_Questions_Q_GRID_EXPORT_CT,All_Questions,0)),"'_Options'!$E$2:$E$2")),8),""))</f>
        <v/>
      </c>
      <c r="N49" s="2">
        <f>IF(All_Questions_Q_GRID_EXPORT_CT="(None)","",IFERROR(INDEX(INDIRECT(IFERROR(INDEX(All_Questions_Options_Names,MATCH(All_Questions_Q_GRID_EXPORT_CT,All_Questions,0)),"'_Options'!$E$2:$E$2")),9),""))</f>
        <v/>
      </c>
      <c r="O49" s="2">
        <f>IF(All_Questions_Q_GRID_EXPORT_CT="(None)","",IFERROR(INDEX(INDIRECT(IFERROR(INDEX(All_Questions_Options_Names,MATCH(All_Questions_Q_GRID_EXPORT_CT,All_Questions,0)),"'_Options'!$E$2:$E$2")),10),""))</f>
        <v/>
      </c>
      <c r="P49" s="2">
        <f>IF(All_Questions_Q_GRID_EXPORT_CT="(None)","",IFERROR(INDEX(INDIRECT(IFERROR(INDEX(All_Questions_Options_Names,MATCH(All_Questions_Q_GRID_EXPORT_CT,All_Questions,0)),"'_Options'!$E$2:$E$2")),11),""))</f>
        <v/>
      </c>
      <c r="Q49" s="2">
        <f>IF(All_Questions_Q_GRID_EXPORT_CT="(None)","",IFERROR(INDEX(INDIRECT(IFERROR(INDEX(All_Questions_Options_Names,MATCH(All_Questions_Q_GRID_EXPORT_CT,All_Questions,0)),"'_Options'!$E$2:$E$2")),12),""))</f>
        <v/>
      </c>
      <c r="R49" s="2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/>
      </c>
      <c r="C50" s="7">
        <f>IFERROR(B50/SUBTOTAL(9,B50:B51),0)</f>
        <v/>
      </c>
      <c r="D50" s="14">
        <f>SUBTOTAL(9,B50:B51)</f>
        <v/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/>
      </c>
      <c r="C51" s="7">
        <f>IFERROR(B51/SUBTOTAL(9,B50:B51),0)</f>
        <v/>
      </c>
      <c r="D51" s="14">
        <f>SUBTOTAL(9,B50:B51)</f>
        <v/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/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/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/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/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/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/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/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/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/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/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/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/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/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/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/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/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/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/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/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/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/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/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/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/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/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/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/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>
        <f>IFERROR(INDEX(All_Questions_Data_Names,MATCH(All_Questions_Q_VERY_LONG_SINGLE_SELECT_EXPORT_NAME_F_Q,All_Questions,0)),"'_RawData'!$A:$A")</f>
        <v/>
      </c>
      <c r="G57">
        <f>"|" &amp; SUBSTITUTE(All_Questions_Q_VERY_LONG_SINGLE_SELECT_EXPORT_NAME_F_V, ", ", "|") &amp; "|"</f>
        <v/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/>
      </c>
      <c r="C61" s="7">
        <f>IFERROR(B61/SUBTOTAL(9,B61:B62),0)</f>
        <v/>
      </c>
      <c r="D61" s="14">
        <f>SUBTOTAL(9,B61:B62)</f>
        <v/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/>
      </c>
      <c r="C62" s="7">
        <f>IFERROR(B62/SUBTOTAL(9,B61:B62),0)</f>
        <v/>
      </c>
      <c r="D62" s="14">
        <f>SUBTOTAL(9,B61:B62)</f>
        <v/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/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/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/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/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/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/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/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/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/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/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/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/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/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/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/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/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/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/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/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/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/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/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/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/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/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/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/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2026-06-01T18:28:48Z</dcterms:created>
  <dcterms:modified xmlns:dcterms="http://purl.org/dc/terms/" xmlns:xsi="http://www.w3.org/2001/XMLSchema-instance" xsi:type="dcterms:W3CDTF">2026-06-01T18:28:48Z</dcterms:modified>
</cp:coreProperties>
</file>