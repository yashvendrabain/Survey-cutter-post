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IF(All_Questions_Q_RATED_DIRECT_CT="(None)","",IFERROR(INDEX(INDIRECT(IFERROR(INDEX(Cross_Tab_Questions_Options_Names,MATCH(All_Questions_Q_RATED_DIRECT_CT,Cross_Tab_Questions,0)),"'_Options'!$E$2:$E$2")),2),""))</f>
        <v/>
      </c>
      <c r="H22" s="2" t="str">
        <f>IF(All_Questions_Q_RATED_DIRECT_CT="(None)","",IFERROR(INDEX(INDIRECT(IFERROR(INDEX(Cross_Tab_Questions_Options_Names,MATCH(All_Questions_Q_RATED_DIRECT_CT,Cross_Tab_Questions,0)),"'_Options'!$E$2:$E$2")),3),""))</f>
        <v/>
      </c>
      <c r="I22" s="2" t="str">
        <f>IF(All_Questions_Q_RATED_DIRECT_CT="(None)","",IFERROR(INDEX(INDIRECT(IFERROR(INDEX(Cross_Tab_Questions_Options_Names,MATCH(All_Questions_Q_RATED_DIRECT_CT,Cross_Tab_Questions,0)),"'_Options'!$E$2:$E$2")),4),""))</f>
        <v/>
      </c>
      <c r="J22" s="2" t="str">
        <f>IF(All_Questions_Q_RATED_DIRECT_CT="(None)","",IFERROR(INDEX(INDIRECT(IFERROR(INDEX(Cross_Tab_Questions_Options_Names,MATCH(All_Questions_Q_RATED_DIRECT_CT,Cross_Tab_Questions,0)),"'_Options'!$E$2:$E$2")),5),""))</f>
        <v/>
      </c>
      <c r="K22" s="2" t="str">
        <f>IF(All_Questions_Q_RATED_DIRECT_CT="(None)","",IFERROR(INDEX(INDIRECT(IFERROR(INDEX(Cross_Tab_Questions_Options_Names,MATCH(All_Questions_Q_RATED_DIRECT_CT,Cross_Tab_Questions,0)),"'_Options'!$E$2:$E$2")),6),""))</f>
        <v/>
      </c>
      <c r="L22" s="2" t="str">
        <f>IF(All_Questions_Q_RATED_DIRECT_CT="(None)","",IFERROR(INDEX(INDIRECT(IFERROR(INDEX(Cross_Tab_Questions_Options_Names,MATCH(All_Questions_Q_RATED_DIRECT_CT,Cross_Tab_Questions,0)),"'_Options'!$E$2:$E$2")),7),""))</f>
        <v/>
      </c>
      <c r="M22" s="2" t="str">
        <f>IF(All_Questions_Q_RATED_DIRECT_CT="(None)","",IFERROR(INDEX(INDIRECT(IFERROR(INDEX(Cross_Tab_Questions_Options_Names,MATCH(All_Questions_Q_RATED_DIRECT_CT,Cross_Tab_Questions,0)),"'_Options'!$E$2:$E$2")),8),""))</f>
        <v/>
      </c>
      <c r="N22" s="2" t="str">
        <f>IF(All_Questions_Q_RATED_DIRECT_CT="(None)","",IFERROR(INDEX(INDIRECT(IFERROR(INDEX(Cross_Tab_Questions_Options_Names,MATCH(All_Questions_Q_RATED_DIRECT_CT,Cross_Tab_Questions,0)),"'_Options'!$E$2:$E$2")),9),""))</f>
        <v/>
      </c>
      <c r="O22" s="2" t="str">
        <f>IF(All_Questions_Q_RATED_DIRECT_CT="(None)","",IFERROR(INDEX(INDIRECT(IFERROR(INDEX(Cross_Tab_Questions_Options_Names,MATCH(All_Questions_Q_RATED_DIRECT_CT,Cross_Tab_Questions,0)),"'_Options'!$E$2:$E$2")),10),""))</f>
        <v/>
      </c>
      <c r="P22" s="2" t="str">
        <f>IF(All_Questions_Q_RATED_DIRECT_CT="(None)","",IFERROR(INDEX(INDIRECT(IFERROR(INDEX(Cross_Tab_Questions_Options_Names,MATCH(All_Questions_Q_RATED_DIRECT_CT,Cross_Tab_Questions,0)),"'_Options'!$E$2:$E$2")),11),""))</f>
        <v/>
      </c>
      <c r="Q22" s="2" t="str">
        <f>IF(All_Questions_Q_RATED_DIRECT_CT="(None)","",IFERROR(INDEX(INDIRECT(IFERROR(INDEX(Cross_Tab_Questions_Options_Names,MATCH(All_Questions_Q_RATED_DIRECT_CT,Cross_Tab_Questions,0)),"'_Options'!$E$2:$E$2")),12),""))</f>
        <v/>
      </c>
      <c r="R22" s="2" t="str">
        <f>IF(All_Questions_Q_RATED_DIRECT_CT="(None)","",IF(COUNTA(INDIRECT(IFERROR(INDEX(Cross_Tab_Questions_Options_Names,MATCH(All_Questions_Q_RATED_DIRECT_CT,Cross_Tab_Questions,0)),"'_Options'!$E$2:$E$2")))-1&gt;11,"Other",IFERROR(INDEX(INDIRECT(IFERROR(INDEX(Cross_Tab_Questions_Options_Names,MATCH(All_Questions_Q_RATED_DIREC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2026-06-08T13:42:53.622836+00:00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2026-06-08T13:42:53.622896+00:00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2026-06-08T13:42:53.622926+00:00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2026-06-08T13:42:53.622985+00:00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2026-06-08T13:42:53.623019+00:00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2026-06-08T13:42:53.623048+00:00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2026-06-08T13:42:53.623075+00:00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2026-06-08T13:42:53.623103+00:00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2026-06-08T13:42:53.623128+00:00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2026-06-08T13:42:53.623154+00:00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2026-06-08T13:42:53.623180+00:00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2026-06-08T13:42:53.623217+00:00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2026-06-08T13:42:53.623295+00:00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2026-06-08T13:42:53.623335+00:00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2026-06-08T13:42:53.623365+00:00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2026-06-08T13:42:53.623395+00:00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2026-06-08T13:42:53.623421+00:00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2026-06-08T13:42:53.623448+00:00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2026-06-08T13:42:53.623475+00:00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2026-06-08T13:42:53.623502+00:00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2026-06-08T13:42:53.623528+00:00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2026-06-08T13:42:53.623554+00:00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2026-06-08T13:42:53.623580+00:00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2026-06-08T13:42:53.623616+00:00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2026-06-08T13:42:52Z</dcterms:created>
  <dcterms:modified xmlns:dcterms="http://purl.org/dc/terms/" xmlns:xsi="http://www.w3.org/2001/XMLSchema-instance" xsi:type="dcterms:W3CDTF">2026-06-08T13:42:53Z</dcterms:modified>
</cp:coreProperties>
</file>