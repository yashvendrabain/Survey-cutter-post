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All_Questions_Data_Names">'_Options'!$C$2:$C$3</definedName>
    <definedName name="All_Questions_Options_Names">'_Options'!$D$2:$D$3</definedName>
    <definedName name="None_options">'_Options'!$E$2:$E$2</definedName>
    <definedName name="Q7_options">'_Options'!$F$2:$F$4</definedName>
    <definedName name="Q7_local_options">'_Options'!$G$2:$G$5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Q7_data</t>
        </is>
      </c>
      <c r="D3" t="inlineStr">
        <is>
          <t>Q7_options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XLOOKUP(All_Questions_Q7_F_Q,All_Questions,All_Questions_Data_Names,"respondent_id_data")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IF(All_Questions_Q7_CT="(None)","",IFERROR(INDEX(INDIRECT(XLOOKUP(All_Questions_Q7_CT,All_Questions,All_Questions_Options_Names,"None_options")),2),""))</f>
        <v/>
      </c>
      <c r="H16" s="2" t="n"/>
      <c r="I16" s="2" t="str">
        <f>IF(All_Questions_Q7_CT="(None)","",IFERROR(INDEX(INDIRECT(XLOOKUP(All_Questions_Q7_CT,All_Questions,All_Questions_Options_Names,"None_options")),3),""))</f>
        <v/>
      </c>
      <c r="J16" s="2" t="n"/>
      <c r="K16" s="2" t="str">
        <f>IF(All_Questions_Q7_CT="(None)","",IFERROR(INDEX(INDIRECT(XLOOKUP(All_Questions_Q7_CT,All_Questions,All_Questions_Options_Names,"None_options")),4),""))</f>
        <v/>
      </c>
      <c r="L16" s="2" t="n"/>
      <c r="M16" s="2" t="str">
        <f>IF(All_Questions_Q7_CT="(None)","",IFERROR(INDEX(INDIRECT(XLOOKUP(All_Questions_Q7_CT,All_Questions,All_Questions_Options_Names,"None_options")),5),""))</f>
        <v/>
      </c>
      <c r="N16" s="2" t="n"/>
      <c r="O16" s="2" t="str">
        <f>IF(All_Questions_Q7_CT="(None)","",IFERROR(INDEX(INDIRECT(XLOOKUP(All_Questions_Q7_CT,All_Questions,All_Questions_Options_Names,"None_options")),6),""))</f>
        <v/>
      </c>
      <c r="P16" s="2" t="n"/>
      <c r="Q16" s="2" t="str">
        <f>IF(All_Questions_Q7_CT="(None)","",IFERROR(INDEX(INDIRECT(XLOOKUP(All_Questions_Q7_CT,All_Questions,All_Questions_Options_Names,"None_options")),7),""))</f>
        <v/>
      </c>
      <c r="R16" s="2" t="n"/>
      <c r="S16" s="2" t="str">
        <f>IF(All_Questions_Q7_CT="(None)","",IFERROR(INDEX(INDIRECT(XLOOKUP(All_Questions_Q7_CT,All_Questions,All_Questions_Options_Names,"None_options")),8),""))</f>
        <v/>
      </c>
      <c r="T16" s="2" t="n"/>
      <c r="U16" s="2" t="str">
        <f>IF(All_Questions_Q7_CT="(None)","",IFERROR(INDEX(INDIRECT(XLOOKUP(All_Questions_Q7_CT,All_Questions,All_Questions_Options_Names,"None_options")),9),""))</f>
        <v/>
      </c>
      <c r="V16" s="2" t="n"/>
      <c r="W16" s="2" t="str">
        <f>IF(All_Questions_Q7_CT="(None)","",IFERROR(INDEX(INDIRECT(XLOOKUP(All_Questions_Q7_CT,All_Questions,All_Questions_Options_Names,"None_options")),10),""))</f>
        <v/>
      </c>
      <c r="X16" s="2" t="n"/>
      <c r="Y16" s="2" t="str">
        <f>IF(All_Questions_Q7_CT="(None)","",IFERROR(INDEX(INDIRECT(XLOOKUP(All_Questions_Q7_CT,All_Questions,All_Questions_Options_Names,"None_options")),11),""))</f>
        <v/>
      </c>
      <c r="Z16" s="2" t="n"/>
      <c r="AA16" s="2" t="str">
        <f>IF(All_Questions_Q7_CT="(None)","",IFERROR(INDEX(INDIRECT(XLOOKUP(All_Questions_Q7_CT,All_Questions,All_Questions_Options_Names,"None_options")),12),""))</f>
        <v/>
      </c>
      <c r="AB16" s="2" t="n"/>
      <c r="AC16" s="2" t="str">
        <f>IF(All_Questions_Q7_CT="(None)","",IF(COUNTA(INDIRECT(XLOOKUP(All_Questions_Q7_CT,All_Questions,All_Questions_Options_Names,"None_options")))-1&gt;11,"Other",IFERROR(INDEX(INDIRECT(XLOOKUP(All_Questions_Q7_CT,All_Questions,All_Questions_Options_Names,"None_options")),13),"")))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G$16)),0)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I$16)),0)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K$16)),0)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M$16)),0)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O$16)),0)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Q$16)),0)</f>
        <v>0</v>
      </c>
      <c r="S18">
        <f>IF(OR(All_Questions_Q7_CT="(None)",S$16=""),"",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S$16)),0)</f>
        <v>0</v>
      </c>
      <c r="U18">
        <f>IF(OR(All_Questions_Q7_CT="(None)",U$16=""),"",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U$16)),0)</f>
        <v>0</v>
      </c>
      <c r="W18">
        <f>IF(OR(All_Questions_Q7_CT="(None)",W$16=""),"",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W$16)),0)</f>
        <v>0</v>
      </c>
      <c r="Y18">
        <f>IF(OR(All_Questions_Q7_CT="(None)",Y$16=""),"",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Y$16)),0)</f>
        <v>0</v>
      </c>
      <c r="AA18">
        <f>IF(OR(All_Questions_Q7_CT="(None)",AA$16=""),"",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AA$16)),0)</f>
        <v>0</v>
      </c>
      <c r="AC18">
        <f>IF(OR(All_Questions_Q7_CT="(None)",AC$16=""),"",IF(AC$16="Other",COUNTIFS(Q7_data,"Manager",passes_workbook_filters_data,1,passes_workbook_custom_filters_data,1,All_Questions_passes_local_filters_data,1,All_Questions_Q7_F_passes_per_q_filter_data,1)-SUM(G18,I18,K18,M18,O18,Q18,S18,U18,W18,Y18,AA18),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7_F_passes_per_q_filter_data,1)-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G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I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K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M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O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Q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S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U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W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Y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AA$16)),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AC$16))),0)</f>
        <v>0</v>
      </c>
      <c r="AE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G$16)),0)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I$16)),0)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K$16)),0)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M$16)),0)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O$16)),0)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Q$16)),0)</f>
        <v>0</v>
      </c>
      <c r="S19">
        <f>IF(OR(All_Questions_Q7_CT="(None)",S$16=""),"",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S$16)),0)</f>
        <v>0</v>
      </c>
      <c r="U19">
        <f>IF(OR(All_Questions_Q7_CT="(None)",U$16=""),"",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U$16)),0)</f>
        <v>0</v>
      </c>
      <c r="W19">
        <f>IF(OR(All_Questions_Q7_CT="(None)",W$16=""),"",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W$16)),0)</f>
        <v>0</v>
      </c>
      <c r="Y19">
        <f>IF(OR(All_Questions_Q7_CT="(None)",Y$16=""),"",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Y$16)),0)</f>
        <v>0</v>
      </c>
      <c r="AA19">
        <f>IF(OR(All_Questions_Q7_CT="(None)",AA$16=""),"",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AA$16)),0)</f>
        <v>0</v>
      </c>
      <c r="AC19">
        <f>IF(OR(All_Questions_Q7_CT="(None)",AC$16=""),"",IF(AC$16="Other",COUNTIFS(Q7_data,"Executive",passes_workbook_filters_data,1,passes_workbook_custom_filters_data,1,All_Questions_passes_local_filters_data,1,All_Questions_Q7_F_passes_per_q_filter_data,1)-SUM(G19,I19,K19,M19,O19,Q19,S19,U19,W19,Y19,AA19),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7_F_passes_per_q_filter_data,1)-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G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I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K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M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O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Q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S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U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W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Y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AA$16)),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AC$16))),0)</f>
        <v>0</v>
      </c>
      <c r="AE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3">
    <mergeCell ref="K16:L16"/>
    <mergeCell ref="Q16:R16"/>
    <mergeCell ref="A1:J1"/>
    <mergeCell ref="O16:P16"/>
    <mergeCell ref="S16:T16"/>
    <mergeCell ref="W16:X16"/>
    <mergeCell ref="I16:J16"/>
    <mergeCell ref="G16:H16"/>
    <mergeCell ref="Y16:Z16"/>
    <mergeCell ref="AA16:AB16"/>
    <mergeCell ref="AC16:AD16"/>
    <mergeCell ref="U16:V16"/>
    <mergeCell ref="M16:N16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=INDIRECT(XLOOKUP(All_Questions_Q7_F_Q,All_Questions,All_Questions_Options_Names,"None_options"))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2026-05-18T10:55:19Z</dcterms:created>
  <dcterms:modified xmlns:dcterms="http://purl.org/dc/terms/" xmlns:xsi="http://www.w3.org/2001/XMLSchema-instance" xsi:type="dcterms:W3CDTF">2026-05-18T10:55:20Z</dcterms:modified>
</cp:coreProperties>
</file>