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IF(All_Questions_Q20_CT="(None)","",IFERROR(INDEX(INDIRECT(IFERROR(INDEX(All_Questions_Options_Names,MATCH(All_Questions_Q20_CT,All_Questions,0)),"'_Options'!$E$2:$E$2")),2),""))</f>
        <v/>
      </c>
      <c r="H22" s="2" t="str">
        <f>IF(All_Questions_Q20_CT="(None)","",IFERROR(INDEX(INDIRECT(IFERROR(INDEX(All_Questions_Options_Names,MATCH(All_Questions_Q20_CT,All_Questions,0)),"'_Options'!$E$2:$E$2")),3),""))</f>
        <v/>
      </c>
      <c r="I22" s="2" t="str">
        <f>IF(All_Questions_Q20_CT="(None)","",IFERROR(INDEX(INDIRECT(IFERROR(INDEX(All_Questions_Options_Names,MATCH(All_Questions_Q20_CT,All_Questions,0)),"'_Options'!$E$2:$E$2")),4),""))</f>
        <v/>
      </c>
      <c r="J22" s="2" t="str">
        <f>IF(All_Questions_Q20_CT="(None)","",IFERROR(INDEX(INDIRECT(IFERROR(INDEX(All_Questions_Options_Names,MATCH(All_Questions_Q20_CT,All_Questions,0)),"'_Options'!$E$2:$E$2")),5),""))</f>
        <v/>
      </c>
      <c r="K22" s="2" t="str">
        <f>IF(All_Questions_Q20_CT="(None)","",IFERROR(INDEX(INDIRECT(IFERROR(INDEX(All_Questions_Options_Names,MATCH(All_Questions_Q20_CT,All_Questions,0)),"'_Options'!$E$2:$E$2")),6),""))</f>
        <v/>
      </c>
      <c r="L22" s="2" t="str">
        <f>IF(All_Questions_Q20_CT="(None)","",IFERROR(INDEX(INDIRECT(IFERROR(INDEX(All_Questions_Options_Names,MATCH(All_Questions_Q20_CT,All_Questions,0)),"'_Options'!$E$2:$E$2")),7),""))</f>
        <v/>
      </c>
      <c r="M22" s="2" t="str">
        <f>IF(All_Questions_Q20_CT="(None)","",IFERROR(INDEX(INDIRECT(IFERROR(INDEX(All_Questions_Options_Names,MATCH(All_Questions_Q20_CT,All_Questions,0)),"'_Options'!$E$2:$E$2")),8),""))</f>
        <v/>
      </c>
      <c r="N22" s="2" t="str">
        <f>IF(All_Questions_Q20_CT="(None)","",IFERROR(INDEX(INDIRECT(IFERROR(INDEX(All_Questions_Options_Names,MATCH(All_Questions_Q20_CT,All_Questions,0)),"'_Options'!$E$2:$E$2")),9),""))</f>
        <v/>
      </c>
      <c r="O22" s="2" t="str">
        <f>IF(All_Questions_Q20_CT="(None)","",IFERROR(INDEX(INDIRECT(IFERROR(INDEX(All_Questions_Options_Names,MATCH(All_Questions_Q20_CT,All_Questions,0)),"'_Options'!$E$2:$E$2")),10),""))</f>
        <v/>
      </c>
      <c r="P22" s="2" t="str">
        <f>IF(All_Questions_Q20_CT="(None)","",IFERROR(INDEX(INDIRECT(IFERROR(INDEX(All_Questions_Options_Names,MATCH(All_Questions_Q20_CT,All_Questions,0)),"'_Options'!$E$2:$E$2")),11),""))</f>
        <v/>
      </c>
      <c r="Q22" s="2" t="str">
        <f>IF(All_Questions_Q20_CT="(None)","",IFERROR(INDEX(INDIRECT(IFERROR(INDEX(All_Questions_Options_Names,MATCH(All_Questions_Q20_CT,All_Questions,0)),"'_Options'!$E$2:$E$2")),12),""))</f>
        <v/>
      </c>
      <c r="R22" s="2" t="str">
        <f>IF(All_Questions_Q20_CT="(None)","",IF(COUNTA(INDIRECT(IFERROR(INDEX(All_Questions_Options_Names,MATCH(All_Questions_Q20_CT,All_Questions,0)),"'_Options'!$E$2:$E$2")))-1&gt;11,"Other",IFERROR(INDEX(INDIRECT(IFERROR(INDEX(All_Questions_Options_Names,MATCH(All_Questions_Q20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2026-06-08T08:49:43.758368+00:00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2026-06-08T08:49:43.758550+00:00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2026-06-08T08:49:43.758686+00:00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2026-06-08T08:49:43.758821+00:00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2026-06-08T08:49:43.758982+00:00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2026-06-08T08:49:43.759159+00:00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2026-06-08T08:49:43.759306+00:00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2026-06-08T08:49:43.759441+00:00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2026-06-08T08:49:43.759574+00:00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2026-06-08T08:49:43.759704+00:00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2026-06-08T08:49:43.759896+00:00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2026-06-08T08:49:43.760137+00:00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2026-06-08T08:49:43.760415+00:00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2026-06-08T08:49:43.760574+00:00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2026-06-08T08:49:43.760709+00:00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2026-06-08T08:49:43.760843+00:00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2026-06-08T08:49:43.761000+00:00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2026-06-08T08:49:43.761166+00:00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2026-06-08T08:49:43.761314+00:00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2026-06-08T08:49:43.761449+00:00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2026-06-08T08:49:43.761580+00:00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2026-06-08T08:49:43.761710+00:00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2026-06-08T08:49:43.761842+00:00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2026-06-08T08:49:43.762057+00:00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2026-06-08T08:49:43.762317+00:00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2026-06-08T08:49:43.762470+00:00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2026-06-08T08:49:43.762650+00:00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2026-06-08T08:49:43.762812+00:00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2026-06-08T08:49:43.762968+00:00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2026-06-08T08:49:43.763168+00:00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2026-06-08T08:49:43.763338+00:00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2026-06-08T08:49:43.763513+00:00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2026-06-08T08:49:43.763666+00:00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2026-06-08T08:49:43.763803+00:00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2026-06-08T08:49:43.763961+00:00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2026-06-08T08:49:43.764195+00:00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2026-06-08T08:49:42Z</dcterms:created>
  <dcterms:modified xmlns:dcterms="http://purl.org/dc/terms/" xmlns:xsi="http://www.w3.org/2001/XMLSchema-instance" xsi:type="dcterms:W3CDTF">2026-06-08T08:49:43Z</dcterms:modified>
</cp:coreProperties>
</file>