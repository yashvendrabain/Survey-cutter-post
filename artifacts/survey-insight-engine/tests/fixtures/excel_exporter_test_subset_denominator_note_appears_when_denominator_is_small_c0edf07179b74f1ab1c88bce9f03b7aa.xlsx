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Questions'!$C$56</definedName>
    <definedName name="All_Questions_Q_VERY_LONG_SINGLE_SELECT_EXPORT_NAME_F_V">'All Questions'!$E$56</definedName>
    <definedName name="All_Questions_Q_VERY_LONG_SINGLE_SELECT_EXPORT_NAME_F_resolved_column">'All Questions'!$F$56</definedName>
    <definedName name="All_Questions_Q_VERY_LONG_SINGLE_SELECT_EXPORT_NAME_F_wrapped">'All Questions'!$G$56</definedName>
    <definedName name="All_Questions_Q_VERY_LONG_SINGLE_SELECT_EXPORT_NAME_F_passes_per_q_filter_data">'_RawData'!$R$2:$R$11</definedName>
    <definedName name="All_Questions_Q_VERY_LONG_SINGLE_SELECT_EXPORT_NAME_CT">'All Questions'!$C$57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F24" i="7"/>
  <c r="G24" i="7"/>
  <c r="G27" i="7"/>
  <c r="H27" i="7"/>
  <c r="I27" i="7"/>
  <c r="J27" i="7"/>
  <c r="K27" i="7"/>
  <c r="L27" i="7"/>
  <c r="M27" i="7"/>
  <c r="N27" i="7"/>
  <c r="B28" i="7"/>
  <c r="C28" i="7"/>
  <c r="D28" i="7"/>
  <c r="G28" i="7"/>
  <c r="H28" i="7"/>
  <c r="I28" i="7"/>
  <c r="J28" i="7"/>
  <c r="K28" i="7"/>
  <c r="L28" i="7"/>
  <c r="M28" i="7"/>
  <c r="N28" i="7"/>
  <c r="O28" i="7"/>
  <c r="B29" i="7"/>
  <c r="C29" i="7"/>
  <c r="D29" i="7"/>
  <c r="G29" i="7"/>
  <c r="H29" i="7"/>
  <c r="I29" i="7"/>
  <c r="J29" i="7"/>
  <c r="K29" i="7"/>
  <c r="L29" i="7"/>
  <c r="M29" i="7"/>
  <c r="N29" i="7"/>
  <c r="O29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B50" i="7"/>
  <c r="C50" i="7"/>
  <c r="D50" i="7"/>
  <c r="G50" i="7"/>
  <c r="H50" i="7"/>
  <c r="I50" i="7"/>
  <c r="J50" i="7"/>
  <c r="K50" i="7"/>
  <c r="L50" i="7"/>
  <c r="M50" i="7"/>
  <c r="N50" i="7"/>
  <c r="O50" i="7"/>
  <c r="B51" i="7"/>
  <c r="C51" i="7"/>
  <c r="D51" i="7"/>
  <c r="G51" i="7"/>
  <c r="H51" i="7"/>
  <c r="I51" i="7"/>
  <c r="J51" i="7"/>
  <c r="K51" i="7"/>
  <c r="L51" i="7"/>
  <c r="M51" i="7"/>
  <c r="N51" i="7"/>
  <c r="O51" i="7"/>
  <c r="F56" i="7"/>
  <c r="G56" i="7"/>
  <c r="G59" i="7"/>
  <c r="H59" i="7"/>
  <c r="I59" i="7"/>
  <c r="J59" i="7"/>
  <c r="K59" i="7"/>
  <c r="L59" i="7"/>
  <c r="M59" i="7"/>
  <c r="N59" i="7"/>
  <c r="B60" i="7"/>
  <c r="C60" i="7"/>
  <c r="D60" i="7"/>
  <c r="G60" i="7"/>
  <c r="H60" i="7"/>
  <c r="I60" i="7"/>
  <c r="J60" i="7"/>
  <c r="K60" i="7"/>
  <c r="L60" i="7"/>
  <c r="M60" i="7"/>
  <c r="N60" i="7"/>
  <c r="O60" i="7"/>
  <c r="B61" i="7"/>
  <c r="C61" i="7"/>
  <c r="D61" i="7"/>
  <c r="G61" i="7"/>
  <c r="H61" i="7"/>
  <c r="I61" i="7"/>
  <c r="J61" i="7"/>
  <c r="K61" i="7"/>
  <c r="L61" i="7"/>
  <c r="M61" i="7"/>
  <c r="N61" i="7"/>
  <c r="O61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3" authorId="0" shapeId="0">
      <text>
        <t>Multi select export question</t>
      </text>
    </comment>
    <comment ref="A33" authorId="0" shapeId="0">
      <text>
        <t>Numeric export question</t>
      </text>
    </comment>
    <comment ref="A45" authorId="0" shapeId="0">
      <text>
        <t>Grid export question</t>
      </text>
    </comment>
    <comment ref="A5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9_1" displayName="T_All_Questions_59_1" ref="A59:D62" headerRowCount="1">
  <autoFilter ref="A59:D6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IFERROR(INDEX(INDIRECT(XLOOKUP(All_Questions_Q_SS_EXPORT_CT,All_Questions,All_Questions_Options_Names,"None_options")),2),"")</f>
        <v/>
      </c>
      <c r="H17" t="str">
        <f>IFERROR(INDEX(INDIRECT(XLOOKUP(All_Questions_Q_SS_EXPORT_CT,All_Questions,All_Questions_Options_Names,"None_options")),3),"")</f>
        <v/>
      </c>
      <c r="I17" t="str">
        <f>IFERROR(INDEX(INDIRECT(XLOOKUP(All_Questions_Q_SS_EXPORT_CT,All_Questions,All_Questions_Options_Names,"None_options")),4),"")</f>
        <v/>
      </c>
      <c r="J17" t="str">
        <f>IFERROR(INDEX(INDIRECT(XLOOKUP(All_Questions_Q_SS_EXPORT_CT,All_Questions,All_Questions_Options_Names,"None_options")),5),"")</f>
        <v/>
      </c>
      <c r="K17" t="str">
        <f>IFERROR(INDEX(INDIRECT(XLOOKUP(All_Questions_Q_SS_EXPORT_CT,All_Questions,All_Questions_Options_Names,"None_options")),6),"")</f>
        <v/>
      </c>
      <c r="L17" t="str">
        <f>IFERROR(INDEX(INDIRECT(XLOOKUP(All_Questions_Q_SS_EXPORT_CT,All_Questions,All_Questions_Options_Names,"None_options")),7),"")</f>
        <v/>
      </c>
      <c r="M17" t="str">
        <f>IFERROR(INDEX(INDIRECT(XLOOKUP(All_Questions_Q_SS_EXPORT_CT,All_Questions,All_Questions_Options_Names,"None_options")),8),"")</f>
        <v/>
      </c>
      <c r="N17" t="str">
        <f>IFERROR(INDEX(INDIRECT(XLOOKUP(All_Questions_Q_SS_EXPORT_CT,All_Questions,All_Questions_Options_Names,"None_options")),9),"")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t="inlineStr">
        <is>
          <t>Yes</t>
        </is>
      </c>
      <c r="G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$17)</f>
        <v>0</v>
      </c>
      <c r="H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$17)</f>
        <v>0</v>
      </c>
      <c r="I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$17)</f>
        <v>0</v>
      </c>
      <c r="J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$17)</f>
        <v>0</v>
      </c>
      <c r="K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$17)</f>
        <v>0</v>
      </c>
      <c r="L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$17)</f>
        <v>0</v>
      </c>
      <c r="M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$17)</f>
        <v>0</v>
      </c>
      <c r="N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No</t>
        </is>
      </c>
      <c r="G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$17)</f>
        <v>0</v>
      </c>
      <c r="H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$17)</f>
        <v>0</v>
      </c>
      <c r="I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$17)</f>
        <v>0</v>
      </c>
      <c r="J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$17)</f>
        <v>0</v>
      </c>
      <c r="K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$17)</f>
        <v>0</v>
      </c>
      <c r="L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$17)</f>
        <v>0</v>
      </c>
      <c r="M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$17)</f>
        <v>0</v>
      </c>
      <c r="N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$17)</f>
        <v>0</v>
      </c>
      <c r="O19">
        <f>SUM(G19:N19)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XLOOKUP(All_Questions_Q_MS_EXPORT_F_Q,All_Questions,All_Questions_Data_Names,"respondent_id_data")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5" t="inlineStr">
        <is>
          <t>Option \ Cross-tab</t>
        </is>
      </c>
      <c r="G27" t="str">
        <f>IFERROR(INDEX(INDIRECT(XLOOKUP(All_Questions_Q_MS_EXPORT_CT,All_Questions,All_Questions_Options_Names,"None_options")),2),"")</f>
        <v/>
      </c>
      <c r="H27" t="str">
        <f>IFERROR(INDEX(INDIRECT(XLOOKUP(All_Questions_Q_MS_EXPORT_CT,All_Questions,All_Questions_Options_Names,"None_options")),3),"")</f>
        <v/>
      </c>
      <c r="I27" t="str">
        <f>IFERROR(INDEX(INDIRECT(XLOOKUP(All_Questions_Q_MS_EXPORT_CT,All_Questions,All_Questions_Options_Names,"None_options")),4),"")</f>
        <v/>
      </c>
      <c r="J27" t="str">
        <f>IFERROR(INDEX(INDIRECT(XLOOKUP(All_Questions_Q_MS_EXPORT_CT,All_Questions,All_Questions_Options_Names,"None_options")),5),"")</f>
        <v/>
      </c>
      <c r="K27" t="str">
        <f>IFERROR(INDEX(INDIRECT(XLOOKUP(All_Questions_Q_MS_EXPORT_CT,All_Questions,All_Questions_Options_Names,"None_options")),6),"")</f>
        <v/>
      </c>
      <c r="L27" t="str">
        <f>IFERROR(INDEX(INDIRECT(XLOOKUP(All_Questions_Q_MS_EXPORT_CT,All_Questions,All_Questions_Options_Names,"None_options")),7),"")</f>
        <v/>
      </c>
      <c r="M27" t="str">
        <f>IFERROR(INDEX(INDIRECT(XLOOKUP(All_Questions_Q_MS_EXPORT_CT,All_Questions,All_Questions_Options_Names,"None_options")),8),"")</f>
        <v/>
      </c>
      <c r="N27" t="str">
        <f>IFERROR(INDEX(INDIRECT(XLOOKUP(All_Questions_Q_MS_EXPORT_CT,All_Questions,All_Questions_Options_Names,"None_options")),9),"")</f>
        <v/>
      </c>
      <c r="O27" s="5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t="inlineStr">
        <is>
          <t>First</t>
        </is>
      </c>
      <c r="G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$27)</f>
        <v>0</v>
      </c>
      <c r="H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$27)</f>
        <v>0</v>
      </c>
      <c r="I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$27)</f>
        <v>0</v>
      </c>
      <c r="J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$27)</f>
        <v>0</v>
      </c>
      <c r="K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$27)</f>
        <v>0</v>
      </c>
      <c r="L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$27)</f>
        <v>0</v>
      </c>
      <c r="M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$27)</f>
        <v>0</v>
      </c>
      <c r="N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$27)</f>
        <v>0</v>
      </c>
      <c r="O28">
        <f>SUM(G28:N28)</f>
        <v>0</v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Second</t>
        </is>
      </c>
      <c r="G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$27)</f>
        <v>0</v>
      </c>
      <c r="H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$27)</f>
        <v>0</v>
      </c>
      <c r="I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$27)</f>
        <v>0</v>
      </c>
      <c r="J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$27)</f>
        <v>0</v>
      </c>
      <c r="K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$27)</f>
        <v>0</v>
      </c>
      <c r="L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$27)</f>
        <v>0</v>
      </c>
      <c r="M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$27)</f>
        <v>0</v>
      </c>
      <c r="N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$27)</f>
        <v>0</v>
      </c>
      <c r="O29">
        <f>SUM(G29:N29)</f>
        <v>0</v>
      </c>
    </row>
    <row r="30">
      <c r="A30" s="16" t="inlineStr">
        <is>
          <t>Total respondents</t>
        </is>
      </c>
      <c r="B30" s="16" t="n">
        <v>7</v>
      </c>
      <c r="C30" s="16" t="n"/>
      <c r="D30" s="16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XLOOKUP(All_Questions_Q_NUM_EXPORT_F_Q,All_Questions,All_Questions_Data_Names,"respondent_id_data")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XLOOKUP(All_Questions_Q_GRID_EXPORT_F_Q,All_Questions,All_Questions_Data_Names,"respondent_id_data")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IFERROR(INDEX(INDIRECT(XLOOKUP(All_Questions_Q_GRID_EXPORT_CT,All_Questions,All_Questions_Options_Names,"None_options")),2),"")</f>
        <v/>
      </c>
      <c r="H49" t="str">
        <f>IFERROR(INDEX(INDIRECT(XLOOKUP(All_Questions_Q_GRID_EXPORT_CT,All_Questions,All_Questions_Options_Names,"None_options")),3),"")</f>
        <v/>
      </c>
      <c r="I49" t="str">
        <f>IFERROR(INDEX(INDIRECT(XLOOKUP(All_Questions_Q_GRID_EXPORT_CT,All_Questions,All_Questions_Options_Names,"None_options")),4),"")</f>
        <v/>
      </c>
      <c r="J49" t="str">
        <f>IFERROR(INDEX(INDIRECT(XLOOKUP(All_Questions_Q_GRID_EXPORT_CT,All_Questions,All_Questions_Options_Names,"None_options")),5),"")</f>
        <v/>
      </c>
      <c r="K49" t="str">
        <f>IFERROR(INDEX(INDIRECT(XLOOKUP(All_Questions_Q_GRID_EXPORT_CT,All_Questions,All_Questions_Options_Names,"None_options")),6),"")</f>
        <v/>
      </c>
      <c r="L49" t="str">
        <f>IFERROR(INDEX(INDIRECT(XLOOKUP(All_Questions_Q_GRID_EXPORT_CT,All_Questions,All_Questions_Options_Names,"None_options")),7),"")</f>
        <v/>
      </c>
      <c r="M49" t="str">
        <f>IFERROR(INDEX(INDIRECT(XLOOKUP(All_Questions_Q_GRID_EXPORT_CT,All_Questions,All_Questions_Options_Names,"None_options")),8),"")</f>
        <v/>
      </c>
      <c r="N49" t="str">
        <f>IFERROR(INDEX(INDIRECT(XLOOKUP(All_Questions_Q_GRID_EXPORT_CT,All_Questions,All_Questions_Options_Names,"None_options")),9),"")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5">
        <f>SUBTOTAL(9,B50:B51)</f>
        <v>20</v>
      </c>
      <c r="F50" t="inlineStr">
        <is>
          <t>Grid first row</t>
        </is>
      </c>
      <c r="G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$49)</f>
        <v>0</v>
      </c>
      <c r="H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$49)</f>
        <v>0</v>
      </c>
      <c r="I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$49)</f>
        <v>0</v>
      </c>
      <c r="J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$49)</f>
        <v>0</v>
      </c>
      <c r="K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$49)</f>
        <v>0</v>
      </c>
      <c r="L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$49)</f>
        <v>0</v>
      </c>
      <c r="M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$49)</f>
        <v>0</v>
      </c>
      <c r="N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$49)</f>
        <v>0</v>
      </c>
      <c r="O50">
        <f>SUM(G50:N50)</f>
        <v>0</v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5">
        <f>SUBTOTAL(9,B50:B51)</f>
        <v>20</v>
      </c>
      <c r="F51" t="inlineStr">
        <is>
          <t>Grid second row</t>
        </is>
      </c>
      <c r="G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$49)</f>
        <v>0</v>
      </c>
      <c r="H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$49)</f>
        <v>0</v>
      </c>
      <c r="I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$49)</f>
        <v>0</v>
      </c>
      <c r="J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$49)</f>
        <v>0</v>
      </c>
      <c r="K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$49)</f>
        <v>0</v>
      </c>
      <c r="L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$49)</f>
        <v>0</v>
      </c>
      <c r="M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$49)</f>
        <v>0</v>
      </c>
      <c r="N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$49)</f>
        <v>0</v>
      </c>
      <c r="O51">
        <f>SUM(G51:N51)</f>
        <v>0</v>
      </c>
    </row>
    <row r="52">
      <c r="A52" s="16" t="inlineStr">
        <is>
          <t>Total respondents</t>
        </is>
      </c>
      <c r="B52" s="16" t="n">
        <v>20</v>
      </c>
      <c r="C52" s="16" t="n"/>
      <c r="D52" s="16" t="n"/>
    </row>
    <row r="5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</row>
    <row r="55">
      <c r="A55" s="12" t="inlineStr">
        <is>
          <t>Q_VERY_LONG_SINGLE_SELECT_EXPORT_NAME - Long Name Single Select Export</t>
        </is>
      </c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</row>
    <row r="56">
      <c r="A56" s="13" t="inlineStr">
        <is>
          <t>Per-question filter</t>
        </is>
      </c>
      <c r="B56" t="inlineStr">
        <is>
          <t>Filter Q</t>
        </is>
      </c>
      <c r="C56" t="inlineStr">
        <is>
          <t>(None)</t>
        </is>
      </c>
      <c r="D56" t="inlineStr">
        <is>
          <t>Value</t>
        </is>
      </c>
      <c r="E56" t="inlineStr">
        <is>
          <t>(All)</t>
        </is>
      </c>
      <c r="F56" t="str">
        <f>XLOOKUP(All_Questions_Q_VERY_LONG_SINGLE_SELECT_EXPORT_NAME_F_Q,All_Questions,All_Questions_Data_Names,"respondent_id_data")</f>
        <v>respondent_id_data</v>
      </c>
      <c r="G56" t="str">
        <f>"|" &amp; SUBSTITUTE(All_Questions_Q_VERY_LONG_SINGLE_SELECT_EXPORT_NAME_F_V, ", ", "|") &amp; "|"</f>
        <v>|(All)|</v>
      </c>
    </row>
    <row r="57">
      <c r="A57" s="13" t="inlineStr">
        <is>
          <t>Cross-tab by</t>
        </is>
      </c>
      <c r="C57" t="inlineStr">
        <is>
          <t>(None)</t>
        </is>
      </c>
    </row>
    <row r="59">
      <c r="A59" s="4" t="inlineStr">
        <is>
          <t>Option</t>
        </is>
      </c>
      <c r="B59" s="4" t="inlineStr">
        <is>
          <t>Count</t>
        </is>
      </c>
      <c r="C59" s="4" t="inlineStr">
        <is>
          <t>%</t>
        </is>
      </c>
      <c r="D59" s="4" t="inlineStr">
        <is>
          <t>Denominator</t>
        </is>
      </c>
      <c r="F59" s="5" t="inlineStr">
        <is>
          <t>Option \ Cross-tab</t>
        </is>
      </c>
      <c r="G59" t="str">
        <f>IFERROR(INDEX(INDIRECT(XLOOKUP(All_Questions_Q_VERY_LONG_SINGLE_SELECT_EXPORT_NAME_CT,All_Questions,All_Questions_Options_Names,"None_options")),2),"")</f>
        <v/>
      </c>
      <c r="H59" t="str">
        <f>IFERROR(INDEX(INDIRECT(XLOOKUP(All_Questions_Q_VERY_LONG_SINGLE_SELECT_EXPORT_NAME_CT,All_Questions,All_Questions_Options_Names,"None_options")),3),"")</f>
        <v/>
      </c>
      <c r="I59" t="str">
        <f>IFERROR(INDEX(INDIRECT(XLOOKUP(All_Questions_Q_VERY_LONG_SINGLE_SELECT_EXPORT_NAME_CT,All_Questions,All_Questions_Options_Names,"None_options")),4),"")</f>
        <v/>
      </c>
      <c r="J59" t="str">
        <f>IFERROR(INDEX(INDIRECT(XLOOKUP(All_Questions_Q_VERY_LONG_SINGLE_SELECT_EXPORT_NAME_CT,All_Questions,All_Questions_Options_Names,"None_options")),5),"")</f>
        <v/>
      </c>
      <c r="K59" t="str">
        <f>IFERROR(INDEX(INDIRECT(XLOOKUP(All_Questions_Q_VERY_LONG_SINGLE_SELECT_EXPORT_NAME_CT,All_Questions,All_Questions_Options_Names,"None_options")),6),"")</f>
        <v/>
      </c>
      <c r="L59" t="str">
        <f>IFERROR(INDEX(INDIRECT(XLOOKUP(All_Questions_Q_VERY_LONG_SINGLE_SELECT_EXPORT_NAME_CT,All_Questions,All_Questions_Options_Names,"None_options")),7),"")</f>
        <v/>
      </c>
      <c r="M59" t="str">
        <f>IFERROR(INDEX(INDIRECT(XLOOKUP(All_Questions_Q_VERY_LONG_SINGLE_SELECT_EXPORT_NAME_CT,All_Questions,All_Questions_Options_Names,"None_options")),8),"")</f>
        <v/>
      </c>
      <c r="N59" t="str">
        <f>IFERROR(INDEX(INDIRECT(XLOOKUP(All_Questions_Q_VERY_LONG_SINGLE_SELECT_EXPORT_NAME_CT,All_Questions,All_Questions_Options_Names,"None_options")),9),"")</f>
        <v/>
      </c>
      <c r="O59" s="5" t="inlineStr">
        <is>
          <t>TOTAL</t>
        </is>
      </c>
    </row>
    <row r="60">
      <c r="A60" t="inlineStr">
        <is>
          <t>A</t>
        </is>
      </c>
      <c r="B6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0" s="7">
        <f>IFERROR(B60/SUBTOTAL(9,B60:B61),0)</f>
        <v>0.7</v>
      </c>
      <c r="D60" s="15">
        <f>SUBTOTAL(9,B60:B61)</f>
        <v>10</v>
      </c>
      <c r="F60" t="inlineStr">
        <is>
          <t>A</t>
        </is>
      </c>
      <c r="G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$59)</f>
        <v>0</v>
      </c>
      <c r="H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$59)</f>
        <v>0</v>
      </c>
      <c r="I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$59)</f>
        <v>0</v>
      </c>
      <c r="J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$59)</f>
        <v>0</v>
      </c>
      <c r="K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$59)</f>
        <v>0</v>
      </c>
      <c r="L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$59)</f>
        <v>0</v>
      </c>
      <c r="M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$59)</f>
        <v>0</v>
      </c>
      <c r="N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$59)</f>
        <v>0</v>
      </c>
      <c r="O60">
        <f>SUM(G60:N60)</f>
        <v>0</v>
      </c>
    </row>
    <row r="61">
      <c r="A61" t="inlineStr">
        <is>
          <t>B</t>
        </is>
      </c>
      <c r="B6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1" s="7">
        <f>IFERROR(B61/SUBTOTAL(9,B60:B61),0)</f>
        <v>0.3</v>
      </c>
      <c r="D61" s="15">
        <f>SUBTOTAL(9,B60:B61)</f>
        <v>10</v>
      </c>
      <c r="F61" t="inlineStr">
        <is>
          <t>B</t>
        </is>
      </c>
      <c r="G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$59)</f>
        <v>0</v>
      </c>
      <c r="H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$59)</f>
        <v>0</v>
      </c>
      <c r="I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$59)</f>
        <v>0</v>
      </c>
      <c r="J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$59)</f>
        <v>0</v>
      </c>
      <c r="K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$59)</f>
        <v>0</v>
      </c>
      <c r="L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$59)</f>
        <v>0</v>
      </c>
      <c r="M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$59)</f>
        <v>0</v>
      </c>
      <c r="N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$59)</f>
        <v>0</v>
      </c>
      <c r="O61">
        <f>SUM(G61:N61)</f>
        <v>0</v>
      </c>
    </row>
    <row r="62">
      <c r="A62" s="16" t="inlineStr">
        <is>
          <t>Total respondents</t>
        </is>
      </c>
      <c r="B62" s="16" t="n">
        <v>10</v>
      </c>
      <c r="C62" s="16" t="n"/>
      <c r="D62" s="16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N2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0:B6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0:C6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N6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=INDIRECT(XLOOKUP(All_Questions_Q_MS_EXPORT_F_Q,All_Questions,All_Questions_Options_Names,"None_options"))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=INDIRECT(XLOOKUP(All_Questions_Q_NUM_EXPORT_F_Q,All_Questions,All_Questions_Options_Names,"None_options"))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=INDIRECT(XLOOKUP(All_Questions_Q_GRID_EXPORT_F_Q,All_Questions,All_Questions_Options_Names,"None_options"))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  <dataValidation sqref="C56" showDropDown="0" showInputMessage="0" showErrorMessage="0" allowBlank="1" type="list">
      <formula1>=All_Questions</formula1>
    </dataValidation>
    <dataValidation sqref="E5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2026-05-17T13:37:53Z</dcterms:created>
  <dcterms:modified xmlns:dcterms="http://purl.org/dc/terms/" xmlns:xsi="http://www.w3.org/2001/XMLSchema-instance" xsi:type="dcterms:W3CDTF">2026-05-17T13:37:53Z</dcterms:modified>
</cp:coreProperties>
</file>