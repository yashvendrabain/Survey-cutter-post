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resolved_criteria">'All Questions'!$H$24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resolved_criteria">'All Questions'!$H$42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H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H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IF(All_Questions_Q_MS_EXPORT_CT="(None)","",IFERROR(INDEX(INDIRECT(IFERROR(INDEX(Cross_Tab_Questions_Options_Names,MATCH(All_Questions_Q_MS_EXPORT_CT,Cross_Tab_Questions,0)),"'_Options'!$E$2:$E$2")),2),""))</f>
        <v/>
      </c>
      <c r="H16" s="2" t="str">
        <f>IF(All_Questions_Q_MS_EXPORT_CT="(None)","",IFERROR(INDEX(INDIRECT(IFERROR(INDEX(Cross_Tab_Questions_Options_Names,MATCH(All_Questions_Q_MS_EXPORT_CT,Cross_Tab_Questions,0)),"'_Options'!$E$2:$E$2")),3),""))</f>
        <v/>
      </c>
      <c r="I16" s="2" t="str">
        <f>IF(All_Questions_Q_MS_EXPORT_CT="(None)","",IFERROR(INDEX(INDIRECT(IFERROR(INDEX(Cross_Tab_Questions_Options_Names,MATCH(All_Questions_Q_MS_EXPORT_CT,Cross_Tab_Questions,0)),"'_Options'!$E$2:$E$2")),4),""))</f>
        <v/>
      </c>
      <c r="J16" s="2" t="str">
        <f>IF(All_Questions_Q_MS_EXPORT_CT="(None)","",IFERROR(INDEX(INDIRECT(IFERROR(INDEX(Cross_Tab_Questions_Options_Names,MATCH(All_Questions_Q_MS_EXPORT_CT,Cross_Tab_Questions,0)),"'_Options'!$E$2:$E$2")),5),""))</f>
        <v/>
      </c>
      <c r="K16" s="2" t="str">
        <f>IF(All_Questions_Q_MS_EXPORT_CT="(None)","",IFERROR(INDEX(INDIRECT(IFERROR(INDEX(Cross_Tab_Questions_Options_Names,MATCH(All_Questions_Q_MS_EXPORT_CT,Cross_Tab_Questions,0)),"'_Options'!$E$2:$E$2")),6),""))</f>
        <v/>
      </c>
      <c r="L16" s="2" t="str">
        <f>IF(All_Questions_Q_MS_EXPORT_CT="(None)","",IFERROR(INDEX(INDIRECT(IFERROR(INDEX(Cross_Tab_Questions_Options_Names,MATCH(All_Questions_Q_MS_EXPORT_CT,Cross_Tab_Questions,0)),"'_Options'!$E$2:$E$2")),7),""))</f>
        <v/>
      </c>
      <c r="M16" s="2" t="str">
        <f>IF(All_Questions_Q_MS_EXPORT_CT="(None)","",IFERROR(INDEX(INDIRECT(IFERROR(INDEX(Cross_Tab_Questions_Options_Names,MATCH(All_Questions_Q_MS_EXPORT_CT,Cross_Tab_Questions,0)),"'_Options'!$E$2:$E$2")),8),""))</f>
        <v/>
      </c>
      <c r="N16" s="2" t="str">
        <f>IF(All_Questions_Q_MS_EXPORT_CT="(None)","",IFERROR(INDEX(INDIRECT(IFERROR(INDEX(Cross_Tab_Questions_Options_Names,MATCH(All_Questions_Q_MS_EXPORT_CT,Cross_Tab_Questions,0)),"'_Options'!$E$2:$E$2")),9),""))</f>
        <v/>
      </c>
      <c r="O16" s="2" t="str">
        <f>IF(All_Questions_Q_MS_EXPORT_CT="(None)","",IFERROR(INDEX(INDIRECT(IFERROR(INDEX(Cross_Tab_Questions_Options_Names,MATCH(All_Questions_Q_MS_EXPORT_CT,Cross_Tab_Questions,0)),"'_Options'!$E$2:$E$2")),10),""))</f>
        <v/>
      </c>
      <c r="P16" s="2" t="str">
        <f>IF(All_Questions_Q_MS_EXPORT_CT="(None)","",IFERROR(INDEX(INDIRECT(IFERROR(INDEX(Cross_Tab_Questions_Options_Names,MATCH(All_Questions_Q_MS_EXPORT_CT,Cross_Tab_Questions,0)),"'_Options'!$E$2:$E$2")),11),""))</f>
        <v/>
      </c>
      <c r="Q16" s="2" t="str">
        <f>IF(All_Questions_Q_MS_EXPORT_CT="(None)","",IFERROR(INDEX(INDIRECT(IFERROR(INDEX(Cross_Tab_Questions_Options_Names,MATCH(All_Questions_Q_MS_EXPORT_CT,Cross_Tab_Questions,0)),"'_Options'!$E$2:$E$2")),12),""))</f>
        <v/>
      </c>
      <c r="R16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24" t="str">
        <f>"|" &amp; SUBSTITUTE(All_Questions_Q_GRID_EXPORT_F_V, ", ", "|") &amp; "|"</f>
        <v>|(All)|</v>
      </c>
      <c r="H24" t="str">
        <f>IFERROR(INDEX(All_Questions_Value_Criteria,MATCH(All_Questions_Q_GRID_EXPORT_F_Q&amp;"|"&amp;All_Questions_Q_GRID_EXPORT_F_V,All_Questions_Value_Keys,0)),All_Questions_Q_GRID_EXPORT_F_V)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34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34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34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34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34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34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34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34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34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34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34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2" t="str">
        <f>"|" &amp; SUBSTITUTE(All_Questions_Q_VERY_LONG_SINGLE_SELECT_EXPORT_NAME_F_V, ", ", "|") &amp; "|"</f>
        <v>|(All)|</v>
      </c>
      <c r="H42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45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2026-06-08T13:46:21.471772+00:00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2026-06-08T13:46:21.471817+00:00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2026-06-08T13:46:21.471846+00:00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2026-06-08T13:46:21.471873+00:00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2026-06-08T13:46:21.471898+00:00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2026-06-08T13:46:21.471924+00:00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2026-06-08T13:46:21.472025+00:00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2026-06-08T13:46:21.472092+00:00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2026-06-08T13:46:21.472136+00:00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2026-06-08T13:46:21.472165+00:00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2026-06-08T13:46:21.472193+00:00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2026-06-08T13:46:21.472230+00:00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2026-06-08T13:46:21.480133+00:00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2026-06-08T13:46:21.480192+00:00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2026-06-08T13:46:21.480235+00:00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2026-06-08T13:46:21.480313+00:00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2026-06-08T13:46:21.480417+00:00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2026-06-08T13:46:21.480470+00:00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2026-06-08T13:46:21.480512+00:00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2026-06-08T13:46:21.480553+00:00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2026-06-08T13:46:21.480594+00:00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2026-06-08T13:46:21.480635+00:00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2026-06-08T13:46:21.480674+00:00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2026-06-08T13:46:21.480725+00:00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2026-06-08T13:46:21.480804+00:00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2026-06-08T13:46:21.480844+00:00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2026-06-08T13:46:21.480887+00:00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2026-06-08T13:46:21.480930+00:00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2026-06-08T13:46:21.481003+00:00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2026-06-08T13:46:21.481047+00:00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2026-06-08T13:46:21.481090+00:00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2026-06-08T13:46:21.481132+00:00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2026-06-08T13:46:21.481173+00:00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2026-06-08T13:46:21.481211+00:00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2026-06-08T13:46:21.481252+00:00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2026-06-08T13:46:21.481339+00:00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2026-06-08T13:46:21Z</dcterms:created>
  <dcterms:modified xmlns:dcterms="http://purl.org/dc/terms/" xmlns:xsi="http://www.w3.org/2001/XMLSchema-instance" xsi:type="dcterms:W3CDTF">2026-06-08T13:46:21Z</dcterms:modified>
</cp:coreProperties>
</file>