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'_Options'!$A$2:$A$3</definedName>
    <definedName name="All_Questions_Local">'_Options'!$B$2:$B$4</definedName>
    <definedName name="Cross_Tab_Questions">'_Options'!$L$2:$L$2</definedName>
    <definedName name="Cross_Tab_Questions_Data_Names">'_Options'!$M$2:$M$2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Q_CATGRID_filter_values_options">'_Options'!$O$2:$O$11</definedName>
    <definedName name="Q_CATGRID_filter_values_local_options">'_Options'!$P$2:$P$12</definedName>
    <definedName name="All_Questions_Data_Names">'_Options'!$C$2:$C$3</definedName>
    <definedName name="All_Questions_Options_Names">'_Options'!$D$2:$D$3</definedName>
    <definedName name="Cross_Tab_Questions_Options_Names">'_Options'!$N$2:$N$2</definedName>
    <definedName name="All_Questions_Value_Keys">'_Options'!$R$2:$R$10</definedName>
    <definedName name="All_Questions_Value_Data_Names">'_Options'!$S$2:$S$10</definedName>
    <definedName name="All_Questions_Value_Criteria">'_Options'!$T$2:$T$10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resolved_criteria">'All Questions'!$H$13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  <c r="G24" i="7"/>
  <c r="H24" i="7"/>
  <c r="I24" i="7"/>
  <c r="J24" i="7"/>
  <c r="K24" i="7"/>
  <c r="L24" i="7"/>
  <c r="M24" i="7"/>
  <c r="N24" i="7"/>
  <c r="O24" i="7"/>
  <c r="P24" i="7"/>
  <c r="Q24" i="7"/>
  <c r="R24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S2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("|" &amp; SUBSTITUTE(All_Questions_Q_CATGRID_F_resolved_criteria, ", ", "|") &amp; "|"))),1,0),0))*1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("|" &amp; SUBSTITUTE(All_Questions_Q_CATGRID_F_resolved_criteria, ", ", "|") &amp; "|"))),1,0),0))*1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("|" &amp; SUBSTITUTE(All_Questions_Q_CATGRID_F_resolved_criteria, ", ", "|") &amp; "|"))),1,0),0))*1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("|" &amp; SUBSTITUTE(All_Questions_Q_CATGRID_F_resolved_criteria, ", ", "|") &amp; "|"))),1,0),0))*1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("|" &amp; SUBSTITUTE(All_Questions_Q_CATGRID_F_resolved_criteria, ", ", "|") &amp; "|"))),1,0),0))*1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("|" &amp; SUBSTITUTE(All_Questions_Q_CATGRID_F_resolved_criteria, ", ", "|") &amp; "|"))),1,0),0))*1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("|" &amp; SUBSTITUTE(All_Questions_Q_CATGRID_F_resolved_criteria, ", ", "|") &amp; "|"))),1,0),0))*1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("|" &amp; SUBSTITUTE(All_Questions_Q_CATGRID_F_resolved_criteria, ", ", "|") &amp; "|"))),1,0),0))*1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("|" &amp; SUBSTITUTE(All_Questions_Q_CATGRID_F_resolved_criteria, ", ", "|") &amp; "|"))),1,0),0))*1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("|" &amp; SUBSTITUTE(All_Questions_Q_CATGRID_F_resolved_criteria,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O1" t="inlineStr">
        <is>
          <t>Q_CATGRID_filter_values_options</t>
        </is>
      </c>
      <c r="P1" t="inlineStr">
        <is>
          <t>Q_CATGRID_filter_values_local_options</t>
        </is>
      </c>
      <c r="R1" t="inlineStr">
        <is>
          <t>All_Questions_Value_Keys</t>
        </is>
      </c>
      <c r="S1" t="inlineStr">
        <is>
          <t>All_Questions_Value_Data_Names</t>
        </is>
      </c>
      <c r="T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'_RawData'!$A$2:$A$11</t>
        </is>
      </c>
      <c r="N2" t="inlineStr">
        <is>
          <t>'_Options'!$E$2:$E$2</t>
        </is>
      </c>
      <c r="O2" t="inlineStr">
        <is>
          <t>(All)</t>
        </is>
      </c>
      <c r="P2" t="inlineStr">
        <is>
          <t>(Inherit)</t>
        </is>
      </c>
      <c r="R2" t="inlineStr">
        <is>
          <t>Q_CATGRID - Stakeholder Role By Function|IT / Technical: Decision maker</t>
        </is>
      </c>
      <c r="S2" t="inlineStr">
        <is>
          <t>'_RawData'!$B$2:$B$11</t>
        </is>
      </c>
      <c r="T2" t="inlineStr">
        <is>
          <t>Decision maker</t>
        </is>
      </c>
    </row>
    <row r="3">
      <c r="A3" t="inlineStr">
        <is>
          <t>Q_CATGRID - Stakeholder Role By Function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'_Options'!$O$2:$O$11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  <c r="O3" t="inlineStr">
        <is>
          <t>IT / Technical: Decision maker</t>
        </is>
      </c>
      <c r="P3" t="inlineStr">
        <is>
          <t>(All)</t>
        </is>
      </c>
      <c r="R3" t="inlineStr">
        <is>
          <t>Q_CATGRID - Stakeholder Role By Function|IT / Technical: Influencer</t>
        </is>
      </c>
      <c r="S3" t="inlineStr">
        <is>
          <t>'_RawData'!$B$2:$B$11</t>
        </is>
      </c>
      <c r="T3" t="inlineStr">
        <is>
          <t>Influencer</t>
        </is>
      </c>
    </row>
    <row r="4">
      <c r="B4" t="inlineStr">
        <is>
          <t>Q_CATGRID - Stakeholder Role By Function</t>
        </is>
      </c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  <c r="O4" t="inlineStr">
        <is>
          <t>IT / Technical: Influencer</t>
        </is>
      </c>
      <c r="P4" t="inlineStr">
        <is>
          <t>IT / Technical: Decision maker</t>
        </is>
      </c>
      <c r="R4" t="inlineStr">
        <is>
          <t>Q_CATGRID - Stakeholder Role By Function|IT / Technical: Not involved</t>
        </is>
      </c>
      <c r="S4" t="inlineStr">
        <is>
          <t>'_RawData'!$B$2:$B$11</t>
        </is>
      </c>
      <c r="T4" t="inlineStr">
        <is>
          <t>Not involved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  <c r="O5" t="inlineStr">
        <is>
          <t>IT / Technical: Not involved</t>
        </is>
      </c>
      <c r="P5" t="inlineStr">
        <is>
          <t>IT / Technical: Influencer</t>
        </is>
      </c>
      <c r="R5" t="inlineStr">
        <is>
          <t>Q_CATGRID - Stakeholder Role By Function|Security: Decision maker</t>
        </is>
      </c>
      <c r="S5" t="inlineStr">
        <is>
          <t>'_RawData'!$C$2:$C$11</t>
        </is>
      </c>
      <c r="T5" t="inlineStr">
        <is>
          <t>Decision maker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  <c r="O6" t="inlineStr">
        <is>
          <t>Security: Decision maker</t>
        </is>
      </c>
      <c r="P6" t="inlineStr">
        <is>
          <t>IT / Technical: Not involved</t>
        </is>
      </c>
      <c r="R6" t="inlineStr">
        <is>
          <t>Q_CATGRID - Stakeholder Role By Function|Security: Influencer</t>
        </is>
      </c>
      <c r="S6" t="inlineStr">
        <is>
          <t>'_RawData'!$C$2:$C$11</t>
        </is>
      </c>
      <c r="T6" t="inlineStr">
        <is>
          <t>Influencer</t>
        </is>
      </c>
    </row>
    <row r="7">
      <c r="O7" t="inlineStr">
        <is>
          <t>Security: Influencer</t>
        </is>
      </c>
      <c r="P7" t="inlineStr">
        <is>
          <t>Security: Decision maker</t>
        </is>
      </c>
      <c r="R7" t="inlineStr">
        <is>
          <t>Q_CATGRID - Stakeholder Role By Function|Security: Not involved</t>
        </is>
      </c>
      <c r="S7" t="inlineStr">
        <is>
          <t>'_RawData'!$C$2:$C$11</t>
        </is>
      </c>
      <c r="T7" t="inlineStr">
        <is>
          <t>Not involved</t>
        </is>
      </c>
    </row>
    <row r="8">
      <c r="O8" t="inlineStr">
        <is>
          <t>Security: Not involved</t>
        </is>
      </c>
      <c r="P8" t="inlineStr">
        <is>
          <t>Security: Influencer</t>
        </is>
      </c>
      <c r="R8" t="inlineStr">
        <is>
          <t>Q_CATGRID - Stakeholder Role By Function|Human Resources: Decision maker</t>
        </is>
      </c>
      <c r="S8" t="inlineStr">
        <is>
          <t>'_RawData'!$D$2:$D$11</t>
        </is>
      </c>
      <c r="T8" t="inlineStr">
        <is>
          <t>Decision maker</t>
        </is>
      </c>
    </row>
    <row r="9">
      <c r="O9" t="inlineStr">
        <is>
          <t>Human Resources: Decision maker</t>
        </is>
      </c>
      <c r="P9" t="inlineStr">
        <is>
          <t>Security: Not involved</t>
        </is>
      </c>
      <c r="R9" t="inlineStr">
        <is>
          <t>Q_CATGRID - Stakeholder Role By Function|Human Resources: Influencer</t>
        </is>
      </c>
      <c r="S9" t="inlineStr">
        <is>
          <t>'_RawData'!$D$2:$D$11</t>
        </is>
      </c>
      <c r="T9" t="inlineStr">
        <is>
          <t>Influencer</t>
        </is>
      </c>
    </row>
    <row r="10">
      <c r="O10" t="inlineStr">
        <is>
          <t>Human Resources: Influencer</t>
        </is>
      </c>
      <c r="P10" t="inlineStr">
        <is>
          <t>Human Resources: Decision maker</t>
        </is>
      </c>
      <c r="R10" t="inlineStr">
        <is>
          <t>Q_CATGRID - Stakeholder Role By Function|Human Resources: Not involved</t>
        </is>
      </c>
      <c r="S10" t="inlineStr">
        <is>
          <t>'_RawData'!$D$2:$D$11</t>
        </is>
      </c>
      <c r="T10" t="inlineStr">
        <is>
          <t>Not involved</t>
        </is>
      </c>
    </row>
    <row r="11">
      <c r="O11" t="inlineStr">
        <is>
          <t>Human Resources: Not involved</t>
        </is>
      </c>
      <c r="P11" t="inlineStr">
        <is>
          <t>Human Resources: Influencer</t>
        </is>
      </c>
    </row>
    <row r="12">
      <c r="P12" t="inlineStr">
        <is>
          <t>Human Resources: 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IFERROR(INDEX(All_Questions_Value_Data_Names,MATCH(All_Questions_Q_CATGRID_F_Q&amp;"|"&amp;All_Questions_Q_CATGRID_F_V,All_Questions_Value_Keys,0)),IFERROR(INDEX(All_Questions_Data_Names,MATCH(All_Questions_Q_CATGRID_F_Q,All_Questions,0)),"'_RawData'!$A:$A"))</f>
        <v>respondent_id_data</v>
      </c>
      <c r="G13" t="str">
        <f>"|" &amp; SUBSTITUTE(All_Questions_Q_CATGRID_F_V, ", ", "|") &amp; "|"</f>
        <v>|(All)|</v>
      </c>
      <c r="H13" t="str">
        <f>IFERROR(INDEX(All_Questions_Value_Criteria,MATCH(All_Questions_Q_CATGRID_F_Q&amp;"|"&amp;All_Questions_Q_CATGRID_F_V,All_Questions_Value_Keys,0)),All_Questions_Q_CATGRID_F_V)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  <row r="23"/>
    <row r="24">
      <c r="F24" s="4" t="inlineStr">
        <is>
          <t>Option</t>
        </is>
      </c>
      <c r="G24" s="2" t="str">
        <f>IF(All_Questions_Q_CATGRID_CT="(None)","",IFERROR(INDEX(INDIRECT(IFERROR(INDEX(Cross_Tab_Questions_Options_Names,MATCH(All_Questions_Q_CATGRID_CT,Cross_Tab_Questions,0)),"'_Options'!$E$2:$E$2")),2),""))</f>
        <v/>
      </c>
      <c r="H24" s="2" t="str">
        <f>IF(All_Questions_Q_CATGRID_CT="(None)","",IFERROR(INDEX(INDIRECT(IFERROR(INDEX(Cross_Tab_Questions_Options_Names,MATCH(All_Questions_Q_CATGRID_CT,Cross_Tab_Questions,0)),"'_Options'!$E$2:$E$2")),3),""))</f>
        <v/>
      </c>
      <c r="I24" s="2" t="str">
        <f>IF(All_Questions_Q_CATGRID_CT="(None)","",IFERROR(INDEX(INDIRECT(IFERROR(INDEX(Cross_Tab_Questions_Options_Names,MATCH(All_Questions_Q_CATGRID_CT,Cross_Tab_Questions,0)),"'_Options'!$E$2:$E$2")),4),""))</f>
        <v/>
      </c>
      <c r="J24" s="2" t="str">
        <f>IF(All_Questions_Q_CATGRID_CT="(None)","",IFERROR(INDEX(INDIRECT(IFERROR(INDEX(Cross_Tab_Questions_Options_Names,MATCH(All_Questions_Q_CATGRID_CT,Cross_Tab_Questions,0)),"'_Options'!$E$2:$E$2")),5),""))</f>
        <v/>
      </c>
      <c r="K24" s="2" t="str">
        <f>IF(All_Questions_Q_CATGRID_CT="(None)","",IFERROR(INDEX(INDIRECT(IFERROR(INDEX(Cross_Tab_Questions_Options_Names,MATCH(All_Questions_Q_CATGRID_CT,Cross_Tab_Questions,0)),"'_Options'!$E$2:$E$2")),6),""))</f>
        <v/>
      </c>
      <c r="L24" s="2" t="str">
        <f>IF(All_Questions_Q_CATGRID_CT="(None)","",IFERROR(INDEX(INDIRECT(IFERROR(INDEX(Cross_Tab_Questions_Options_Names,MATCH(All_Questions_Q_CATGRID_CT,Cross_Tab_Questions,0)),"'_Options'!$E$2:$E$2")),7),""))</f>
        <v/>
      </c>
      <c r="M24" s="2" t="str">
        <f>IF(All_Questions_Q_CATGRID_CT="(None)","",IFERROR(INDEX(INDIRECT(IFERROR(INDEX(Cross_Tab_Questions_Options_Names,MATCH(All_Questions_Q_CATGRID_CT,Cross_Tab_Questions,0)),"'_Options'!$E$2:$E$2")),8),""))</f>
        <v/>
      </c>
      <c r="N24" s="2" t="str">
        <f>IF(All_Questions_Q_CATGRID_CT="(None)","",IFERROR(INDEX(INDIRECT(IFERROR(INDEX(Cross_Tab_Questions_Options_Names,MATCH(All_Questions_Q_CATGRID_CT,Cross_Tab_Questions,0)),"'_Options'!$E$2:$E$2")),9),""))</f>
        <v/>
      </c>
      <c r="O24" s="2" t="str">
        <f>IF(All_Questions_Q_CATGRID_CT="(None)","",IFERROR(INDEX(INDIRECT(IFERROR(INDEX(Cross_Tab_Questions_Options_Names,MATCH(All_Questions_Q_CATGRID_CT,Cross_Tab_Questions,0)),"'_Options'!$E$2:$E$2")),10),""))</f>
        <v/>
      </c>
      <c r="P24" s="2" t="str">
        <f>IF(All_Questions_Q_CATGRID_CT="(None)","",IFERROR(INDEX(INDIRECT(IFERROR(INDEX(Cross_Tab_Questions_Options_Names,MATCH(All_Questions_Q_CATGRID_CT,Cross_Tab_Questions,0)),"'_Options'!$E$2:$E$2")),11),""))</f>
        <v/>
      </c>
      <c r="Q24" s="2" t="str">
        <f>IF(All_Questions_Q_CATGRID_CT="(None)","",IFERROR(INDEX(INDIRECT(IFERROR(INDEX(Cross_Tab_Questions_Options_Names,MATCH(All_Questions_Q_CATGRID_CT,Cross_Tab_Questions,0)),"'_Options'!$E$2:$E$2")),12),""))</f>
        <v/>
      </c>
      <c r="R24" s="2" t="str">
        <f>IF(All_Questions_Q_CATGRID_CT="(None)","",IF(COUNTA(INDIRECT(IFERROR(INDEX(Cross_Tab_Questions_Options_Names,MATCH(All_Questions_Q_CATGRID_CT,Cross_Tab_Questions,0)),"'_Options'!$E$2:$E$2")))-1&gt;11,"Other",IFERROR(INDEX(INDIRECT(IFERROR(INDEX(Cross_Tab_Questions_Options_Names,MATCH(All_Questions_Q_CATGRID_CT,Cross_Tab_Questions,0)),"'_Options'!$E$2:$E$2")),13),"")))</f>
        <v/>
      </c>
      <c r="S24" s="4" t="inlineStr">
        <is>
          <t>Total</t>
        </is>
      </c>
    </row>
    <row r="25">
      <c r="F25" s="4" t="inlineStr"/>
      <c r="G25" s="4" t="inlineStr">
        <is>
          <t># of resp</t>
        </is>
      </c>
      <c r="H25" s="4" t="inlineStr">
        <is>
          <t># of resp</t>
        </is>
      </c>
      <c r="I25" s="4" t="inlineStr">
        <is>
          <t># of resp</t>
        </is>
      </c>
      <c r="J25" s="4" t="inlineStr">
        <is>
          <t># of resp</t>
        </is>
      </c>
      <c r="K25" s="4" t="inlineStr">
        <is>
          <t># of resp</t>
        </is>
      </c>
      <c r="L25" s="4" t="inlineStr">
        <is>
          <t># of resp</t>
        </is>
      </c>
      <c r="M25" s="4" t="inlineStr">
        <is>
          <t># of resp</t>
        </is>
      </c>
      <c r="N25" s="4" t="inlineStr">
        <is>
          <t># of resp</t>
        </is>
      </c>
      <c r="O25" s="4" t="inlineStr">
        <is>
          <t># of resp</t>
        </is>
      </c>
      <c r="P25" s="4" t="inlineStr">
        <is>
          <t># of resp</t>
        </is>
      </c>
      <c r="Q25" s="4" t="inlineStr">
        <is>
          <t># of resp</t>
        </is>
      </c>
      <c r="R25" s="4" t="inlineStr">
        <is>
          <t># of resp</t>
        </is>
      </c>
      <c r="S25" s="4" t="inlineStr">
        <is>
          <t># of resp</t>
        </is>
      </c>
    </row>
    <row r="26">
      <c r="F26" t="inlineStr">
        <is>
          <t>IT / Technical</t>
        </is>
      </c>
      <c r="G26" s="16">
        <f>IF(OR(All_Questions_Q_CATGRID_CT="(None)",G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G$24))</f>
        <v>0</v>
      </c>
      <c r="H26" s="16">
        <f>IF(OR(All_Questions_Q_CATGRID_CT="(None)",H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H$24))</f>
        <v>0</v>
      </c>
      <c r="I26" s="16">
        <f>IF(OR(All_Questions_Q_CATGRID_CT="(None)",I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I$24))</f>
        <v>0</v>
      </c>
      <c r="J26" s="16">
        <f>IF(OR(All_Questions_Q_CATGRID_CT="(None)",J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J$24))</f>
        <v>0</v>
      </c>
      <c r="K26" s="16">
        <f>IF(OR(All_Questions_Q_CATGRID_CT="(None)",K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K$24))</f>
        <v>0</v>
      </c>
      <c r="L26" s="16">
        <f>IF(OR(All_Questions_Q_CATGRID_CT="(None)",L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L$24))</f>
        <v>0</v>
      </c>
      <c r="M26" s="16">
        <f>IF(OR(All_Questions_Q_CATGRID_CT="(None)",M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M$24))</f>
        <v>0</v>
      </c>
      <c r="N26" s="16">
        <f>IF(OR(All_Questions_Q_CATGRID_CT="(None)",N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N$24))</f>
        <v>0</v>
      </c>
      <c r="O26" s="16">
        <f>IF(OR(All_Questions_Q_CATGRID_CT="(None)",O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O$24))</f>
        <v>0</v>
      </c>
      <c r="P26" s="16">
        <f>IF(OR(All_Questions_Q_CATGRID_CT="(None)",P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P$24))</f>
        <v>0</v>
      </c>
      <c r="Q26" s="16">
        <f>IF(OR(All_Questions_Q_CATGRID_CT="(None)",Q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Q$24))</f>
        <v>0</v>
      </c>
      <c r="R26" s="16">
        <f>IF(OR(All_Questions_Q_CATGRID_CT="(None)",R$24=""),"",IF(R$24="Other",COUNTIFS(Q_CATGRIDr1_data,"Selected",passes_workbook_filters_data,1,passes_workbook_custom_filters_data,1,All_Questions_passes_local_filters_data,1,All_Questions_Q_CATGRID_F_passes_per_q_filter_data,1)-SUM(G26,H26,I26,J26,K26,L26,M26,N26,O26,P26,Q26)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R$24)))</f>
        <v>0</v>
      </c>
      <c r="S26" s="16">
        <f>IF(All_Questions_Q_CATGRID_CT="(None)","",COUNTIFS(Q_CATGRIDr1_data,"Selected",passes_workbook_filters_data,1,passes_workbook_custom_filters_data,1,All_Questions_passes_local_filters_data,1,All_Questions_Q_CATGRID_F_passes_per_q_filter_data,1))</f>
        <v>0</v>
      </c>
    </row>
    <row r="27">
      <c r="F27" t="inlineStr">
        <is>
          <t>Security</t>
        </is>
      </c>
      <c r="G27" s="16">
        <f>IF(OR(All_Questions_Q_CATGRID_CT="(None)",G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G$24))</f>
        <v>0</v>
      </c>
      <c r="H27" s="16">
        <f>IF(OR(All_Questions_Q_CATGRID_CT="(None)",H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H$24))</f>
        <v>0</v>
      </c>
      <c r="I27" s="16">
        <f>IF(OR(All_Questions_Q_CATGRID_CT="(None)",I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I$24))</f>
        <v>0</v>
      </c>
      <c r="J27" s="16">
        <f>IF(OR(All_Questions_Q_CATGRID_CT="(None)",J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J$24))</f>
        <v>0</v>
      </c>
      <c r="K27" s="16">
        <f>IF(OR(All_Questions_Q_CATGRID_CT="(None)",K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K$24))</f>
        <v>0</v>
      </c>
      <c r="L27" s="16">
        <f>IF(OR(All_Questions_Q_CATGRID_CT="(None)",L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L$24))</f>
        <v>0</v>
      </c>
      <c r="M27" s="16">
        <f>IF(OR(All_Questions_Q_CATGRID_CT="(None)",M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M$24))</f>
        <v>0</v>
      </c>
      <c r="N27" s="16">
        <f>IF(OR(All_Questions_Q_CATGRID_CT="(None)",N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N$24))</f>
        <v>0</v>
      </c>
      <c r="O27" s="16">
        <f>IF(OR(All_Questions_Q_CATGRID_CT="(None)",O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O$24))</f>
        <v>0</v>
      </c>
      <c r="P27" s="16">
        <f>IF(OR(All_Questions_Q_CATGRID_CT="(None)",P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P$24))</f>
        <v>0</v>
      </c>
      <c r="Q27" s="16">
        <f>IF(OR(All_Questions_Q_CATGRID_CT="(None)",Q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Q$24))</f>
        <v>0</v>
      </c>
      <c r="R27" s="16">
        <f>IF(OR(All_Questions_Q_CATGRID_CT="(None)",R$24=""),"",IF(R$24="Other",COUNTIFS(Q_CATGRIDr2_data,"Selected",passes_workbook_filters_data,1,passes_workbook_custom_filters_data,1,All_Questions_passes_local_filters_data,1,All_Questions_Q_CATGRID_F_passes_per_q_filter_data,1)-SUM(G27,H27,I27,J27,K27,L27,M27,N27,O27,P27,Q27)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R$24)))</f>
        <v>0</v>
      </c>
      <c r="S27" s="16">
        <f>IF(All_Questions_Q_CATGRID_CT="(None)","",COUNTIFS(Q_CATGRIDr2_data,"Selected",passes_workbook_filters_data,1,passes_workbook_custom_filters_data,1,All_Questions_passes_local_filters_data,1,All_Questions_Q_CATGRID_F_passes_per_q_filter_data,1))</f>
        <v>0</v>
      </c>
    </row>
    <row r="28">
      <c r="F28" t="inlineStr">
        <is>
          <t>Human Resources</t>
        </is>
      </c>
      <c r="G28" s="16">
        <f>IF(OR(All_Questions_Q_CATGRID_CT="(None)",G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G$24))</f>
        <v>0</v>
      </c>
      <c r="H28" s="16">
        <f>IF(OR(All_Questions_Q_CATGRID_CT="(None)",H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H$24))</f>
        <v>0</v>
      </c>
      <c r="I28" s="16">
        <f>IF(OR(All_Questions_Q_CATGRID_CT="(None)",I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I$24))</f>
        <v>0</v>
      </c>
      <c r="J28" s="16">
        <f>IF(OR(All_Questions_Q_CATGRID_CT="(None)",J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J$24))</f>
        <v>0</v>
      </c>
      <c r="K28" s="16">
        <f>IF(OR(All_Questions_Q_CATGRID_CT="(None)",K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K$24))</f>
        <v>0</v>
      </c>
      <c r="L28" s="16">
        <f>IF(OR(All_Questions_Q_CATGRID_CT="(None)",L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L$24))</f>
        <v>0</v>
      </c>
      <c r="M28" s="16">
        <f>IF(OR(All_Questions_Q_CATGRID_CT="(None)",M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M$24))</f>
        <v>0</v>
      </c>
      <c r="N28" s="16">
        <f>IF(OR(All_Questions_Q_CATGRID_CT="(None)",N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N$24))</f>
        <v>0</v>
      </c>
      <c r="O28" s="16">
        <f>IF(OR(All_Questions_Q_CATGRID_CT="(None)",O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O$24))</f>
        <v>0</v>
      </c>
      <c r="P28" s="16">
        <f>IF(OR(All_Questions_Q_CATGRID_CT="(None)",P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P$24))</f>
        <v>0</v>
      </c>
      <c r="Q28" s="16">
        <f>IF(OR(All_Questions_Q_CATGRID_CT="(None)",Q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Q$24))</f>
        <v>0</v>
      </c>
      <c r="R28" s="16">
        <f>IF(OR(All_Questions_Q_CATGRID_CT="(None)",R$24=""),"",IF(R$24="Other",COUNTIFS(Q_CATGRIDr3_data,"Selected",passes_workbook_filters_data,1,passes_workbook_custom_filters_data,1,All_Questions_passes_local_filters_data,1,All_Questions_Q_CATGRID_F_passes_per_q_filter_data,1)-SUM(G28,H28,I28,J28,K28,L28,M28,N28,O28,P28,Q28)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R$24)))</f>
        <v>0</v>
      </c>
      <c r="S28" s="16">
        <f>IF(All_Questions_Q_CATGRID_CT="(None)","",COUNTIFS(Q_CATGRIDr3_data,"Selected",passes_workbook_filters_data,1,passes_workbook_custom_filters_data,1,All_Questions_passes_local_filters_data,1,All_Questions_Q_CATGRID_F_passes_per_q_filter_data,1))</f>
        <v>0</v>
      </c>
    </row>
    <row r="29">
      <c r="F29" s="4" t="inlineStr">
        <is>
          <t>Total respondents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>
        <f>IF(All_Questions_Q_CATGRID_CT="(None)","",COUNTIFS(respondent_id_data,"&lt;&gt;",passes_workbook_filters_data,1,passes_workbook_custom_filters_data,1,All_Questions_passes_local_filters_data,1,All_Questions_Q_CATGRID_F_passes_per_q_filter_data,1))</f>
        <v>0</v>
      </c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6:G2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6:H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6:I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6:J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6:K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6:L2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6:M2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6:N2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6:O2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6:P28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6:Q28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6:R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2026-06-08T13:45:31Z</dcterms:created>
  <dcterms:modified xmlns:dcterms="http://purl.org/dc/terms/" xmlns:xsi="http://www.w3.org/2001/XMLSchema-instance" xsi:type="dcterms:W3CDTF">2026-06-08T13:45:32Z</dcterms:modified>
</cp:coreProperties>
</file>