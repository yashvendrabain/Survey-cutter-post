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CT">'Theme One'!$C$14</definedName>
    <definedName name="Theme_One_Q_MS_EXPORT_F_Q">'Theme One'!$C$22</definedName>
    <definedName name="Theme_One_Q_MS_EXPORT_F_V">'Theme One'!$E$22</definedName>
    <definedName name="Theme_One_Q_MS_EXPORT_F_resolved_column">'Theme One'!$F$22</definedName>
    <definedName name="Theme_One_Q_MS_EXPORT_F_wrapped">'Theme One'!$G$22</definedName>
    <definedName name="Theme_One_Q_MS_EXPORT_CT">'Theme One'!$C$23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CT">'All Questions'!$C$14</definedName>
    <definedName name="All_Questions_Q_VERY_LONG_SINGLE_SELECT_EXPORT_NAME_F_Q">'All Questions'!$C$22</definedName>
    <definedName name="All_Questions_Q_VERY_LONG_SINGLE_SELECT_EXPORT_NAME_F_V">'All Questions'!$E$22</definedName>
    <definedName name="All_Questions_Q_VERY_LONG_SINGLE_SELECT_EXPORT_NAME_F_resolved_column">'All Questions'!$F$22</definedName>
    <definedName name="All_Questions_Q_VERY_LONG_SINGLE_SELECT_EXPORT_NAME_F_wrapped">'All Questions'!$G$22</definedName>
    <definedName name="All_Questions_Q_VERY_LONG_SINGLE_SELECT_EXPORT_NAME_CT">'All Questions'!$C$23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export question</t>
      </text>
    </comment>
    <comment ref="A2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5_1" displayName="T_Theme_One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IF(Theme_One_F_Custom1_Q="(Inherit)",F_Custom1_Q,Theme_One_F_Custom1_Q)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IF(Theme_One_F_Custom1_V="(Inherit)",F_Custom1_V,Theme_One_F_Custom1_V)</f>
        <v/>
      </c>
      <c r="D6">
        <f>"|" &amp; SUBSTITUTE(Theme_One_F_Custom1_V_resolved, ", ", "|") &amp; "|"</f>
        <v/>
      </c>
      <c r="E6" t="inlineStr">
        <is>
          <t>Choose one value or type comma-separated values</t>
        </is>
      </c>
      <c r="F6">
        <f>IF(Theme_One_F_Custom1_Q_resolved="(None)","respondent_id_data",Theme_One_F_Custom1_Q_resolved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IF(Theme_One_F_Custom2_Q="(Inherit)",F_Custom2_Q,Theme_One_F_Custom2_Q)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IF(Theme_One_F_Custom2_V="(Inherit)",F_Custom2_V,Theme_One_F_Custom2_V)</f>
        <v/>
      </c>
      <c r="D8">
        <f>"|" &amp; SUBSTITUTE(Theme_One_F_Custom2_V_resolved, ", ", "|") &amp; "|"</f>
        <v/>
      </c>
      <c r="E8" t="inlineStr">
        <is>
          <t>Choose one value or type comma-separated values</t>
        </is>
      </c>
      <c r="F8">
        <f>IF(Theme_One_F_Custom2_Q_resolved="(None)","respondent_id_data",Theme_One_F_Custom2_Q_resolved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IF(Theme_One_Q_SS_EXPORT_F_Q="(None)","respondent_id_data",Theme_One_Q_SS_EXPORT_F_Q &amp; "_data")</f>
        <v/>
      </c>
      <c r="G13">
        <f>"|" &amp; SUBSTITUTE(Theme_One_Q_SS_EXPORT_F_V,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IFERROR(INDEX(INDIRECT(Theme_One_Q_SS_EXPORT_CT &amp; "_options"),2),"")</f>
        <v/>
      </c>
      <c r="H16">
        <f>IFERROR(INDEX(INDIRECT(Theme_One_Q_SS_EXPORT_CT &amp; "_options"),3),"")</f>
        <v/>
      </c>
      <c r="I16">
        <f>IFERROR(INDEX(INDIRECT(Theme_One_Q_SS_EXPORT_CT &amp; "_options"),4),"")</f>
        <v/>
      </c>
      <c r="J16">
        <f>IFERROR(INDEX(INDIRECT(Theme_One_Q_SS_EXPORT_CT &amp; "_options"),5),"")</f>
        <v/>
      </c>
      <c r="K16">
        <f>IFERROR(INDEX(INDIRECT(Theme_One_Q_SS_EXPORT_CT &amp; "_options"),6),"")</f>
        <v/>
      </c>
      <c r="L16">
        <f>IFERROR(INDEX(INDIRECT(Theme_One_Q_SS_EXPORT_CT &amp; "_options"),7),"")</f>
        <v/>
      </c>
      <c r="M16">
        <f>IFERROR(INDEX(INDIRECT(Theme_One_Q_SS_EXPORT_CT &amp; "_options"),8),"")</f>
        <v/>
      </c>
      <c r="N16">
        <f>IFERROR(INDEX(INDIRECT(Theme_One_Q_SS_EXPORT_CT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(Theme_One_Q_SS_EXPORT_CT&lt;&gt;"(None)")*COUNTIFS(Q_SS_EXPORT_data,"Yes",passes_workbook_filters_data,1,INDIRECT(Theme_One_Q_SS_EXPORT_CT &amp; "_data"),G$16)</f>
        <v/>
      </c>
      <c r="H17">
        <f>(Theme_One_Q_SS_EXPORT_CT&lt;&gt;"(None)")*COUNTIFS(Q_SS_EXPORT_data,"Yes",passes_workbook_filters_data,1,INDIRECT(Theme_One_Q_SS_EXPORT_CT &amp; "_data"),H$16)</f>
        <v/>
      </c>
      <c r="I17">
        <f>(Theme_One_Q_SS_EXPORT_CT&lt;&gt;"(None)")*COUNTIFS(Q_SS_EXPORT_data,"Yes",passes_workbook_filters_data,1,INDIRECT(Theme_One_Q_SS_EXPORT_CT &amp; "_data"),I$16)</f>
        <v/>
      </c>
      <c r="J17">
        <f>(Theme_One_Q_SS_EXPORT_CT&lt;&gt;"(None)")*COUNTIFS(Q_SS_EXPORT_data,"Yes",passes_workbook_filters_data,1,INDIRECT(Theme_One_Q_SS_EXPORT_CT &amp; "_data"),J$16)</f>
        <v/>
      </c>
      <c r="K17">
        <f>(Theme_One_Q_SS_EXPORT_CT&lt;&gt;"(None)")*COUNTIFS(Q_SS_EXPORT_data,"Yes",passes_workbook_filters_data,1,INDIRECT(Theme_One_Q_SS_EXPORT_CT &amp; "_data"),K$16)</f>
        <v/>
      </c>
      <c r="L17">
        <f>(Theme_One_Q_SS_EXPORT_CT&lt;&gt;"(None)")*COUNTIFS(Q_SS_EXPORT_data,"Yes",passes_workbook_filters_data,1,INDIRECT(Theme_One_Q_SS_EXPORT_CT &amp; "_data"),L$16)</f>
        <v/>
      </c>
      <c r="M17">
        <f>(Theme_One_Q_SS_EXPORT_CT&lt;&gt;"(None)")*COUNTIFS(Q_SS_EXPORT_data,"Yes",passes_workbook_filters_data,1,INDIRECT(Theme_One_Q_SS_EXPORT_CT &amp; "_data"),M$16)</f>
        <v/>
      </c>
      <c r="N17">
        <f>(Theme_One_Q_SS_EXPORT_CT&lt;&gt;"(None)")*COUNTIFS(Q_SS_EXPORT_data,"Yes",passes_workbook_filters_data,1,INDIRECT(Theme_One_Q_SS_EXPORT_CT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(Theme_One_Q_SS_EXPORT_CT&lt;&gt;"(None)")*COUNTIFS(Q_SS_EXPORT_data,"No",passes_workbook_filters_data,1,INDIRECT(Theme_One_Q_SS_EXPORT_CT &amp; "_data"),G$16)</f>
        <v/>
      </c>
      <c r="H18">
        <f>(Theme_One_Q_SS_EXPORT_CT&lt;&gt;"(None)")*COUNTIFS(Q_SS_EXPORT_data,"No",passes_workbook_filters_data,1,INDIRECT(Theme_One_Q_SS_EXPORT_CT &amp; "_data"),H$16)</f>
        <v/>
      </c>
      <c r="I18">
        <f>(Theme_One_Q_SS_EXPORT_CT&lt;&gt;"(None)")*COUNTIFS(Q_SS_EXPORT_data,"No",passes_workbook_filters_data,1,INDIRECT(Theme_One_Q_SS_EXPORT_CT &amp; "_data"),I$16)</f>
        <v/>
      </c>
      <c r="J18">
        <f>(Theme_One_Q_SS_EXPORT_CT&lt;&gt;"(None)")*COUNTIFS(Q_SS_EXPORT_data,"No",passes_workbook_filters_data,1,INDIRECT(Theme_One_Q_SS_EXPORT_CT &amp; "_data"),J$16)</f>
        <v/>
      </c>
      <c r="K18">
        <f>(Theme_One_Q_SS_EXPORT_CT&lt;&gt;"(None)")*COUNTIFS(Q_SS_EXPORT_data,"No",passes_workbook_filters_data,1,INDIRECT(Theme_One_Q_SS_EXPORT_CT &amp; "_data"),K$16)</f>
        <v/>
      </c>
      <c r="L18">
        <f>(Theme_One_Q_SS_EXPORT_CT&lt;&gt;"(None)")*COUNTIFS(Q_SS_EXPORT_data,"No",passes_workbook_filters_data,1,INDIRECT(Theme_One_Q_SS_EXPORT_CT &amp; "_data"),L$16)</f>
        <v/>
      </c>
      <c r="M18">
        <f>(Theme_One_Q_SS_EXPORT_CT&lt;&gt;"(None)")*COUNTIFS(Q_SS_EXPORT_data,"No",passes_workbook_filters_data,1,INDIRECT(Theme_One_Q_SS_EXPORT_CT &amp; "_data"),M$16)</f>
        <v/>
      </c>
      <c r="N18">
        <f>(Theme_One_Q_SS_EXPORT_CT&lt;&gt;"(None)")*COUNTIFS(Q_SS_EXPORT_data,"No",passes_workbook_filters_data,1,INDIRECT(Theme_One_Q_SS_EXPORT_CT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IF(Theme_One_Q_MS_EXPORT_F_Q="(None)","respondent_id_data",Theme_One_Q_MS_EXPORT_F_Q &amp; "_data")</f>
        <v/>
      </c>
      <c r="G22">
        <f>"|" &amp; SUBSTITUTE(Theme_One_Q_MS_EXPORT_F_V,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IFERROR(INDEX(INDIRECT(Theme_One_Q_MS_EXPORT_CT &amp; "_options"),2),"")</f>
        <v/>
      </c>
      <c r="H25">
        <f>IFERROR(INDEX(INDIRECT(Theme_One_Q_MS_EXPORT_CT &amp; "_options"),3),"")</f>
        <v/>
      </c>
      <c r="I25">
        <f>IFERROR(INDEX(INDIRECT(Theme_One_Q_MS_EXPORT_CT &amp; "_options"),4),"")</f>
        <v/>
      </c>
      <c r="J25">
        <f>IFERROR(INDEX(INDIRECT(Theme_One_Q_MS_EXPORT_CT &amp; "_options"),5),"")</f>
        <v/>
      </c>
      <c r="K25">
        <f>IFERROR(INDEX(INDIRECT(Theme_One_Q_MS_EXPORT_CT &amp; "_options"),6),"")</f>
        <v/>
      </c>
      <c r="L25">
        <f>IFERROR(INDEX(INDIRECT(Theme_One_Q_MS_EXPORT_CT &amp; "_options"),7),"")</f>
        <v/>
      </c>
      <c r="M25">
        <f>IFERROR(INDEX(INDIRECT(Theme_One_Q_MS_EXPORT_CT &amp; "_options"),8),"")</f>
        <v/>
      </c>
      <c r="N25">
        <f>IFERROR(INDEX(INDIRECT(Theme_One_Q_MS_EXPORT_CT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(Theme_One_Q_MS_EXPORT_CT&lt;&gt;"(None)")*COUNTIFS(Q_MS_EXPORTr1_data,"Selected",passes_workbook_filters_data,1,INDIRECT(Theme_One_Q_MS_EXPORT_CT &amp; "_data"),G$25)</f>
        <v/>
      </c>
      <c r="H26">
        <f>(Theme_One_Q_MS_EXPORT_CT&lt;&gt;"(None)")*COUNTIFS(Q_MS_EXPORTr1_data,"Selected",passes_workbook_filters_data,1,INDIRECT(Theme_One_Q_MS_EXPORT_CT &amp; "_data"),H$25)</f>
        <v/>
      </c>
      <c r="I26">
        <f>(Theme_One_Q_MS_EXPORT_CT&lt;&gt;"(None)")*COUNTIFS(Q_MS_EXPORTr1_data,"Selected",passes_workbook_filters_data,1,INDIRECT(Theme_One_Q_MS_EXPORT_CT &amp; "_data"),I$25)</f>
        <v/>
      </c>
      <c r="J26">
        <f>(Theme_One_Q_MS_EXPORT_CT&lt;&gt;"(None)")*COUNTIFS(Q_MS_EXPORTr1_data,"Selected",passes_workbook_filters_data,1,INDIRECT(Theme_One_Q_MS_EXPORT_CT &amp; "_data"),J$25)</f>
        <v/>
      </c>
      <c r="K26">
        <f>(Theme_One_Q_MS_EXPORT_CT&lt;&gt;"(None)")*COUNTIFS(Q_MS_EXPORTr1_data,"Selected",passes_workbook_filters_data,1,INDIRECT(Theme_One_Q_MS_EXPORT_CT &amp; "_data"),K$25)</f>
        <v/>
      </c>
      <c r="L26">
        <f>(Theme_One_Q_MS_EXPORT_CT&lt;&gt;"(None)")*COUNTIFS(Q_MS_EXPORTr1_data,"Selected",passes_workbook_filters_data,1,INDIRECT(Theme_One_Q_MS_EXPORT_CT &amp; "_data"),L$25)</f>
        <v/>
      </c>
      <c r="M26">
        <f>(Theme_One_Q_MS_EXPORT_CT&lt;&gt;"(None)")*COUNTIFS(Q_MS_EXPORTr1_data,"Selected",passes_workbook_filters_data,1,INDIRECT(Theme_One_Q_MS_EXPORT_CT &amp; "_data"),M$25)</f>
        <v/>
      </c>
      <c r="N26">
        <f>(Theme_One_Q_MS_EXPORT_CT&lt;&gt;"(None)")*COUNTIFS(Q_MS_EXPORTr1_data,"Selected",passes_workbook_filters_data,1,INDIRECT(Theme_One_Q_MS_EXPORT_CT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(Theme_One_Q_MS_EXPORT_CT&lt;&gt;"(None)")*COUNTIFS(Q_MS_EXPORTr2_data,"Selected",passes_workbook_filters_data,1,INDIRECT(Theme_One_Q_MS_EXPORT_CT &amp; "_data"),G$25)</f>
        <v/>
      </c>
      <c r="H27">
        <f>(Theme_One_Q_MS_EXPORT_CT&lt;&gt;"(None)")*COUNTIFS(Q_MS_EXPORTr2_data,"Selected",passes_workbook_filters_data,1,INDIRECT(Theme_One_Q_MS_EXPORT_CT &amp; "_data"),H$25)</f>
        <v/>
      </c>
      <c r="I27">
        <f>(Theme_One_Q_MS_EXPORT_CT&lt;&gt;"(None)")*COUNTIFS(Q_MS_EXPORTr2_data,"Selected",passes_workbook_filters_data,1,INDIRECT(Theme_One_Q_MS_EXPORT_CT &amp; "_data"),I$25)</f>
        <v/>
      </c>
      <c r="J27">
        <f>(Theme_One_Q_MS_EXPORT_CT&lt;&gt;"(None)")*COUNTIFS(Q_MS_EXPORTr2_data,"Selected",passes_workbook_filters_data,1,INDIRECT(Theme_One_Q_MS_EXPORT_CT &amp; "_data"),J$25)</f>
        <v/>
      </c>
      <c r="K27">
        <f>(Theme_One_Q_MS_EXPORT_CT&lt;&gt;"(None)")*COUNTIFS(Q_MS_EXPORTr2_data,"Selected",passes_workbook_filters_data,1,INDIRECT(Theme_One_Q_MS_EXPORT_CT &amp; "_data"),K$25)</f>
        <v/>
      </c>
      <c r="L27">
        <f>(Theme_One_Q_MS_EXPORT_CT&lt;&gt;"(None)")*COUNTIFS(Q_MS_EXPORTr2_data,"Selected",passes_workbook_filters_data,1,INDIRECT(Theme_One_Q_MS_EXPORT_CT &amp; "_data"),L$25)</f>
        <v/>
      </c>
      <c r="M27">
        <f>(Theme_One_Q_MS_EXPORT_CT&lt;&gt;"(None)")*COUNTIFS(Q_MS_EXPORTr2_data,"Selected",passes_workbook_filters_data,1,INDIRECT(Theme_One_Q_MS_EXPORT_CT &amp; "_data"),M$25)</f>
        <v/>
      </c>
      <c r="N27">
        <f>(Theme_One_Q_MS_EXPORT_CT&lt;&gt;"(None)")*COUNTIFS(Q_MS_EXPORTr2_data,"Selected",passes_workbook_filters_data,1,INDIRECT(Theme_One_Q_MS_EXPORT_CT &amp; "_data"),N$25)</f>
        <v/>
      </c>
      <c r="O27">
        <f>SUM(G27:N27)</f>
        <v/>
      </c>
    </row>
  </sheetData>
  <mergeCells count="3">
    <mergeCell ref="A1:J1"/>
    <mergeCell ref="A12:J12"/>
    <mergeCell ref="A21:J2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=INDIRECT(IF(Theme_One_F_Custom1_Q_resolved="(None)","None_options",Theme_One_F_Custom1_Q_resolved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=INDIRECT(IF(Theme_One_F_Custom2_Q_resolved="(None)","None_options",Theme_One_F_Custom2_Q_resolved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=INDIRECT(IF(Theme_One_Q_SS_EXPORT_F_Q="(None)","None_options",Theme_One_Q_SS_EXPORT_F_Q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=INDIRECT(IF(Theme_One_Q_MS_EXPORT_F_Q="(None)","None_options",Theme_One_Q_MS_EXPORT_F_Q &amp; "_options"))</formula1>
    </dataValidation>
    <dataValidation sqref="C2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IF(Theme_Two_F_Custom1_Q="(Inherit)",F_Custom1_Q,Theme_Two_F_Custom1_Q)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IF(Theme_Two_F_Custom1_V="(Inherit)",F_Custom1_V,Theme_Two_F_Custom1_V)</f>
        <v/>
      </c>
      <c r="D6">
        <f>"|" &amp; SUBSTITUTE(Theme_Two_F_Custom1_V_resolved, ", ", "|") &amp; "|"</f>
        <v/>
      </c>
      <c r="E6" t="inlineStr">
        <is>
          <t>Choose one value or type comma-separated values</t>
        </is>
      </c>
      <c r="F6">
        <f>IF(Theme_Two_F_Custom1_Q_resolved="(None)","respondent_id_data",Theme_Two_F_Custom1_Q_resolved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IF(Theme_Two_F_Custom2_Q="(Inherit)",F_Custom2_Q,Theme_Two_F_Custom2_Q)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IF(Theme_Two_F_Custom2_V="(Inherit)",F_Custom2_V,Theme_Two_F_Custom2_V)</f>
        <v/>
      </c>
      <c r="D8">
        <f>"|" &amp; SUBSTITUTE(Theme_Two_F_Custom2_V_resolved, ", ", "|") &amp; "|"</f>
        <v/>
      </c>
      <c r="E8" t="inlineStr">
        <is>
          <t>Choose one value or type comma-separated values</t>
        </is>
      </c>
      <c r="F8">
        <f>IF(Theme_Two_F_Custom2_Q_resolved="(None)","respondent_id_data",Theme_Two_F_Custom2_Q_resolved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IF(Theme_Two_Q_NUM_EXPORT_F_Q="(None)","respondent_id_data",Theme_Two_Q_NUM_EXPORT_F_Q &amp; "_data")</f>
        <v/>
      </c>
      <c r="G13">
        <f>"|" &amp; SUBSTITUTE(Theme_Two_Q_NUM_EXPORT_F_V,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IFERROR(AVERAGEIFS(Q_NUM_EXPORT_data,passes_workbook_filters_data,1),0)</f>
        <v/>
      </c>
      <c r="D17">
        <f>COUNTIFS(Q_NUM_EXPORT_data,"&lt;&gt;",passes_workbook_filters_data,1)</f>
        <v/>
      </c>
    </row>
    <row r="18">
      <c r="A18" t="inlineStr">
        <is>
          <t>Min</t>
        </is>
      </c>
      <c r="B18">
        <f>IFERROR(MINIFS(Q_NUM_EXPORT_data,passes_workbook_filters_data,1),0)</f>
        <v/>
      </c>
      <c r="D18">
        <f>COUNTIFS(Q_NUM_EXPORT_data,"&lt;&gt;",passes_workbook_filters_data,1)</f>
        <v/>
      </c>
    </row>
    <row r="19">
      <c r="A19" t="inlineStr">
        <is>
          <t>Max</t>
        </is>
      </c>
      <c r="B19">
        <f>IFERROR(MAXIFS(Q_NUM_EXPORT_data,passes_workbook_filters_data,1),0)</f>
        <v/>
      </c>
      <c r="D19">
        <f>COUNTIFS(Q_NUM_EXPORT_data,"&lt;&gt;",passes_workbook_filters_data,1)</f>
        <v/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COUNTIFS(Q_NUM_EXPORT_data,"&lt;&gt;",passes_workbook_filters_data,1)</f>
        <v/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=INDIRECT(IF(Theme_Two_F_Custom1_Q_resolved="(None)","None_options",Theme_Two_F_Custom1_Q_resolved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=INDIRECT(IF(Theme_Two_F_Custom2_Q_resolved="(None)","None_options",Theme_Two_F_Custom2_Q_resolved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=INDIRECT(IF(Theme_Two_Q_NUM_EXPORT_F_Q="(None)","None_options",Theme_Two_Q_NUM_EXPORT_F_Q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IF(All_Questions_Q_GRID_EXPORT_F_Q="(None)","respondent_id_data",All_Questions_Q_GRID_EXPORT_F_Q &amp; "_data")</f>
        <v/>
      </c>
      <c r="G13">
        <f>"|" &amp; SUBSTITUTE(All_Questions_Q_GRID_EXPORT_F_V,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IFERROR(INDEX(INDIRECT(All_Questions_Q_GRID_EXPORT_CT &amp; "_options"),2),"")</f>
        <v/>
      </c>
      <c r="H16">
        <f>IFERROR(INDEX(INDIRECT(All_Questions_Q_GRID_EXPORT_CT &amp; "_options"),3),"")</f>
        <v/>
      </c>
      <c r="I16">
        <f>IFERROR(INDEX(INDIRECT(All_Questions_Q_GRID_EXPORT_CT &amp; "_options"),4),"")</f>
        <v/>
      </c>
      <c r="J16">
        <f>IFERROR(INDEX(INDIRECT(All_Questions_Q_GRID_EXPORT_CT &amp; "_options"),5),"")</f>
        <v/>
      </c>
      <c r="K16">
        <f>IFERROR(INDEX(INDIRECT(All_Questions_Q_GRID_EXPORT_CT &amp; "_options"),6),"")</f>
        <v/>
      </c>
      <c r="L16">
        <f>IFERROR(INDEX(INDIRECT(All_Questions_Q_GRID_EXPORT_CT &amp; "_options"),7),"")</f>
        <v/>
      </c>
      <c r="M16">
        <f>IFERROR(INDEX(INDIRECT(All_Questions_Q_GRID_EXPORT_CT &amp; "_options"),8),"")</f>
        <v/>
      </c>
      <c r="N16">
        <f>IFERROR(INDEX(INDIRECT(All_Questions_Q_GRID_EXPORT_CT &amp; "_options"),9),"")</f>
        <v/>
      </c>
      <c r="O16" s="5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Grid first row</t>
        </is>
      </c>
      <c r="G17">
        <f>(All_Questions_Q_GRID_EXPORT_CT&lt;&gt;"(None)")*COUNTIFS(Q_GRID_EXPORTr1_data,"Selected",passes_workbook_filters_data,1,INDIRECT(All_Questions_Q_GRID_EXPORT_CT &amp; "_data"),G$16)</f>
        <v/>
      </c>
      <c r="H17">
        <f>(All_Questions_Q_GRID_EXPORT_CT&lt;&gt;"(None)")*COUNTIFS(Q_GRID_EXPORTr1_data,"Selected",passes_workbook_filters_data,1,INDIRECT(All_Questions_Q_GRID_EXPORT_CT &amp; "_data"),H$16)</f>
        <v/>
      </c>
      <c r="I17">
        <f>(All_Questions_Q_GRID_EXPORT_CT&lt;&gt;"(None)")*COUNTIFS(Q_GRID_EXPORTr1_data,"Selected",passes_workbook_filters_data,1,INDIRECT(All_Questions_Q_GRID_EXPORT_CT &amp; "_data"),I$16)</f>
        <v/>
      </c>
      <c r="J17">
        <f>(All_Questions_Q_GRID_EXPORT_CT&lt;&gt;"(None)")*COUNTIFS(Q_GRID_EXPORTr1_data,"Selected",passes_workbook_filters_data,1,INDIRECT(All_Questions_Q_GRID_EXPORT_CT &amp; "_data"),J$16)</f>
        <v/>
      </c>
      <c r="K17">
        <f>(All_Questions_Q_GRID_EXPORT_CT&lt;&gt;"(None)")*COUNTIFS(Q_GRID_EXPORTr1_data,"Selected",passes_workbook_filters_data,1,INDIRECT(All_Questions_Q_GRID_EXPORT_CT &amp; "_data"),K$16)</f>
        <v/>
      </c>
      <c r="L17">
        <f>(All_Questions_Q_GRID_EXPORT_CT&lt;&gt;"(None)")*COUNTIFS(Q_GRID_EXPORTr1_data,"Selected",passes_workbook_filters_data,1,INDIRECT(All_Questions_Q_GRID_EXPORT_CT &amp; "_data"),L$16)</f>
        <v/>
      </c>
      <c r="M17">
        <f>(All_Questions_Q_GRID_EXPORT_CT&lt;&gt;"(None)")*COUNTIFS(Q_GRID_EXPORTr1_data,"Selected",passes_workbook_filters_data,1,INDIRECT(All_Questions_Q_GRID_EXPORT_CT &amp; "_data"),M$16)</f>
        <v/>
      </c>
      <c r="N17">
        <f>(All_Questions_Q_GRID_EXPORT_CT&lt;&gt;"(None)")*COUNTIFS(Q_GRID_EXPORTr1_data,"Selected",passes_workbook_filters_data,1,INDIRECT(All_Questions_Q_GRID_EXPORT_CT &amp; "_data"),N$16)</f>
        <v/>
      </c>
      <c r="O17">
        <f>SUM(G17:N17)</f>
        <v/>
      </c>
    </row>
    <row r="18">
      <c r="A18" t="inlineStr">
        <is>
          <t>Grid second row</t>
        </is>
      </c>
      <c r="B18">
        <f>COUNTIFS(Q_GRID_EXPORTr2_data,"Selected",passes_workbook_filters_data,1)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Grid second row</t>
        </is>
      </c>
      <c r="G18">
        <f>(All_Questions_Q_GRID_EXPORT_CT&lt;&gt;"(None)")*COUNTIFS(Q_GRID_EXPORTr2_data,"Selected",passes_workbook_filters_data,1,INDIRECT(All_Questions_Q_GRID_EXPORT_CT &amp; "_data"),G$16)</f>
        <v/>
      </c>
      <c r="H18">
        <f>(All_Questions_Q_GRID_EXPORT_CT&lt;&gt;"(None)")*COUNTIFS(Q_GRID_EXPORTr2_data,"Selected",passes_workbook_filters_data,1,INDIRECT(All_Questions_Q_GRID_EXPORT_CT &amp; "_data"),H$16)</f>
        <v/>
      </c>
      <c r="I18">
        <f>(All_Questions_Q_GRID_EXPORT_CT&lt;&gt;"(None)")*COUNTIFS(Q_GRID_EXPORTr2_data,"Selected",passes_workbook_filters_data,1,INDIRECT(All_Questions_Q_GRID_EXPORT_CT &amp; "_data"),I$16)</f>
        <v/>
      </c>
      <c r="J18">
        <f>(All_Questions_Q_GRID_EXPORT_CT&lt;&gt;"(None)")*COUNTIFS(Q_GRID_EXPORTr2_data,"Selected",passes_workbook_filters_data,1,INDIRECT(All_Questions_Q_GRID_EXPORT_CT &amp; "_data"),J$16)</f>
        <v/>
      </c>
      <c r="K18">
        <f>(All_Questions_Q_GRID_EXPORT_CT&lt;&gt;"(None)")*COUNTIFS(Q_GRID_EXPORTr2_data,"Selected",passes_workbook_filters_data,1,INDIRECT(All_Questions_Q_GRID_EXPORT_CT &amp; "_data"),K$16)</f>
        <v/>
      </c>
      <c r="L18">
        <f>(All_Questions_Q_GRID_EXPORT_CT&lt;&gt;"(None)")*COUNTIFS(Q_GRID_EXPORTr2_data,"Selected",passes_workbook_filters_data,1,INDIRECT(All_Questions_Q_GRID_EXPORT_CT &amp; "_data"),L$16)</f>
        <v/>
      </c>
      <c r="M18">
        <f>(All_Questions_Q_GRID_EXPORT_CT&lt;&gt;"(None)")*COUNTIFS(Q_GRID_EXPORTr2_data,"Selected",passes_workbook_filters_data,1,INDIRECT(All_Questions_Q_GRID_EXPORT_CT &amp; "_data"),M$16)</f>
        <v/>
      </c>
      <c r="N18">
        <f>(All_Questions_Q_GRID_EXPORT_CT&lt;&gt;"(None)")*COUNTIFS(Q_GRID_EXPORTr2_data,"Selected",passes_workbook_filters_data,1,INDIRECT(All_Questions_Q_GRID_EXPORT_CT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Q_VERY_LONG_SINGLE_SELECT_EXPORT_NAME - Long sheet name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IF(All_Questions_Q_VERY_LONG_SINGLE_SELECT_EXPORT_NAME_F_Q="(None)","respondent_id_data",All_Questions_Q_VERY_LONG_SINGLE_SELECT_EXPORT_NAME_F_Q &amp; "_data")</f>
        <v/>
      </c>
      <c r="G22">
        <f>"|" &amp; SUBSTITUTE(All_Questions_Q_VERY_LONG_SINGLE_SELECT_EXPORT_NAME_F_V,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IFERROR(INDEX(INDIRECT(All_Questions_Q_VERY_LONG_SINGLE_SELECT_EXPORT_NAME_CT &amp; "_options"),2),"")</f>
        <v/>
      </c>
      <c r="H25">
        <f>IFERROR(INDEX(INDIRECT(All_Questions_Q_VERY_LONG_SINGLE_SELECT_EXPORT_NAME_CT &amp; "_options"),3),"")</f>
        <v/>
      </c>
      <c r="I25">
        <f>IFERROR(INDEX(INDIRECT(All_Questions_Q_VERY_LONG_SINGLE_SELECT_EXPORT_NAME_CT &amp; "_options"),4),"")</f>
        <v/>
      </c>
      <c r="J25">
        <f>IFERROR(INDEX(INDIRECT(All_Questions_Q_VERY_LONG_SINGLE_SELECT_EXPORT_NAME_CT &amp; "_options"),5),"")</f>
        <v/>
      </c>
      <c r="K25">
        <f>IFERROR(INDEX(INDIRECT(All_Questions_Q_VERY_LONG_SINGLE_SELECT_EXPORT_NAME_CT &amp; "_options"),6),"")</f>
        <v/>
      </c>
      <c r="L25">
        <f>IFERROR(INDEX(INDIRECT(All_Questions_Q_VERY_LONG_SINGLE_SELECT_EXPORT_NAME_CT &amp; "_options"),7),"")</f>
        <v/>
      </c>
      <c r="M25">
        <f>IFERROR(INDEX(INDIRECT(All_Questions_Q_VERY_LONG_SINGLE_SELECT_EXPORT_NAME_CT &amp; "_options"),8),"")</f>
        <v/>
      </c>
      <c r="N25">
        <f>IFERROR(INDEX(INDIRECT(All_Questions_Q_VERY_LONG_SINGLE_SELECT_EXPORT_NAME_CT &amp; "_options"),9),"")</f>
        <v/>
      </c>
      <c r="O25" s="5" t="inlineStr">
        <is>
          <t>TOTAL</t>
        </is>
      </c>
    </row>
    <row r="26">
      <c r="A26" t="inlineStr">
        <is>
          <t>A</t>
        </is>
      </c>
      <c r="B26">
        <f>COUNTIFS(Q_VERY_LONG_SINGLE_SELECT_EXPOR_data,"A",passes_workbook_filters_data,1)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A</t>
        </is>
      </c>
      <c r="G26">
        <f>(All_Questions_Q_VERY_LONG_SINGLE_SELECT_EXPORT_NAME_CT&lt;&gt;"(None)")*COUNTIFS(Q_VERY_LONG_SINGLE_SELECT_EXPOR_data,"A",passes_workbook_filters_data,1,INDIRECT(All_Questions_Q_VERY_LONG_SINGLE_SELECT_EXPORT_NAME_CT &amp; "_data"),G$25)</f>
        <v/>
      </c>
      <c r="H26">
        <f>(All_Questions_Q_VERY_LONG_SINGLE_SELECT_EXPORT_NAME_CT&lt;&gt;"(None)")*COUNTIFS(Q_VERY_LONG_SINGLE_SELECT_EXPOR_data,"A",passes_workbook_filters_data,1,INDIRECT(All_Questions_Q_VERY_LONG_SINGLE_SELECT_EXPORT_NAME_CT &amp; "_data"),H$25)</f>
        <v/>
      </c>
      <c r="I26">
        <f>(All_Questions_Q_VERY_LONG_SINGLE_SELECT_EXPORT_NAME_CT&lt;&gt;"(None)")*COUNTIFS(Q_VERY_LONG_SINGLE_SELECT_EXPOR_data,"A",passes_workbook_filters_data,1,INDIRECT(All_Questions_Q_VERY_LONG_SINGLE_SELECT_EXPORT_NAME_CT &amp; "_data"),I$25)</f>
        <v/>
      </c>
      <c r="J26">
        <f>(All_Questions_Q_VERY_LONG_SINGLE_SELECT_EXPORT_NAME_CT&lt;&gt;"(None)")*COUNTIFS(Q_VERY_LONG_SINGLE_SELECT_EXPOR_data,"A",passes_workbook_filters_data,1,INDIRECT(All_Questions_Q_VERY_LONG_SINGLE_SELECT_EXPORT_NAME_CT &amp; "_data"),J$25)</f>
        <v/>
      </c>
      <c r="K26">
        <f>(All_Questions_Q_VERY_LONG_SINGLE_SELECT_EXPORT_NAME_CT&lt;&gt;"(None)")*COUNTIFS(Q_VERY_LONG_SINGLE_SELECT_EXPOR_data,"A",passes_workbook_filters_data,1,INDIRECT(All_Questions_Q_VERY_LONG_SINGLE_SELECT_EXPORT_NAME_CT &amp; "_data"),K$25)</f>
        <v/>
      </c>
      <c r="L26">
        <f>(All_Questions_Q_VERY_LONG_SINGLE_SELECT_EXPORT_NAME_CT&lt;&gt;"(None)")*COUNTIFS(Q_VERY_LONG_SINGLE_SELECT_EXPOR_data,"A",passes_workbook_filters_data,1,INDIRECT(All_Questions_Q_VERY_LONG_SINGLE_SELECT_EXPORT_NAME_CT &amp; "_data"),L$25)</f>
        <v/>
      </c>
      <c r="M26">
        <f>(All_Questions_Q_VERY_LONG_SINGLE_SELECT_EXPORT_NAME_CT&lt;&gt;"(None)")*COUNTIFS(Q_VERY_LONG_SINGLE_SELECT_EXPOR_data,"A",passes_workbook_filters_data,1,INDIRECT(All_Questions_Q_VERY_LONG_SINGLE_SELECT_EXPORT_NAME_CT &amp; "_data"),M$25)</f>
        <v/>
      </c>
      <c r="N26">
        <f>(All_Questions_Q_VERY_LONG_SINGLE_SELECT_EXPORT_NAME_CT&lt;&gt;"(None)")*COUNTIFS(Q_VERY_LONG_SINGLE_SELECT_EXPOR_data,"A",passes_workbook_filters_data,1,INDIRECT(All_Questions_Q_VERY_LONG_SINGLE_SELECT_EXPORT_NAME_CT &amp; "_data"),N$25)</f>
        <v/>
      </c>
      <c r="O26">
        <f>SUM(G26:N26)</f>
        <v/>
      </c>
    </row>
    <row r="27">
      <c r="A27" t="inlineStr">
        <is>
          <t>B</t>
        </is>
      </c>
      <c r="B27">
        <f>COUNTIFS(Q_VERY_LONG_SINGLE_SELECT_EXPOR_data,"B",passes_workbook_filters_data,1)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B</t>
        </is>
      </c>
      <c r="G27">
        <f>(All_Questions_Q_VERY_LONG_SINGLE_SELECT_EXPORT_NAME_CT&lt;&gt;"(None)")*COUNTIFS(Q_VERY_LONG_SINGLE_SELECT_EXPOR_data,"B",passes_workbook_filters_data,1,INDIRECT(All_Questions_Q_VERY_LONG_SINGLE_SELECT_EXPORT_NAME_CT &amp; "_data"),G$25)</f>
        <v/>
      </c>
      <c r="H27">
        <f>(All_Questions_Q_VERY_LONG_SINGLE_SELECT_EXPORT_NAME_CT&lt;&gt;"(None)")*COUNTIFS(Q_VERY_LONG_SINGLE_SELECT_EXPOR_data,"B",passes_workbook_filters_data,1,INDIRECT(All_Questions_Q_VERY_LONG_SINGLE_SELECT_EXPORT_NAME_CT &amp; "_data"),H$25)</f>
        <v/>
      </c>
      <c r="I27">
        <f>(All_Questions_Q_VERY_LONG_SINGLE_SELECT_EXPORT_NAME_CT&lt;&gt;"(None)")*COUNTIFS(Q_VERY_LONG_SINGLE_SELECT_EXPOR_data,"B",passes_workbook_filters_data,1,INDIRECT(All_Questions_Q_VERY_LONG_SINGLE_SELECT_EXPORT_NAME_CT &amp; "_data"),I$25)</f>
        <v/>
      </c>
      <c r="J27">
        <f>(All_Questions_Q_VERY_LONG_SINGLE_SELECT_EXPORT_NAME_CT&lt;&gt;"(None)")*COUNTIFS(Q_VERY_LONG_SINGLE_SELECT_EXPOR_data,"B",passes_workbook_filters_data,1,INDIRECT(All_Questions_Q_VERY_LONG_SINGLE_SELECT_EXPORT_NAME_CT &amp; "_data"),J$25)</f>
        <v/>
      </c>
      <c r="K27">
        <f>(All_Questions_Q_VERY_LONG_SINGLE_SELECT_EXPORT_NAME_CT&lt;&gt;"(None)")*COUNTIFS(Q_VERY_LONG_SINGLE_SELECT_EXPOR_data,"B",passes_workbook_filters_data,1,INDIRECT(All_Questions_Q_VERY_LONG_SINGLE_SELECT_EXPORT_NAME_CT &amp; "_data"),K$25)</f>
        <v/>
      </c>
      <c r="L27">
        <f>(All_Questions_Q_VERY_LONG_SINGLE_SELECT_EXPORT_NAME_CT&lt;&gt;"(None)")*COUNTIFS(Q_VERY_LONG_SINGLE_SELECT_EXPOR_data,"B",passes_workbook_filters_data,1,INDIRECT(All_Questions_Q_VERY_LONG_SINGLE_SELECT_EXPORT_NAME_CT &amp; "_data"),L$25)</f>
        <v/>
      </c>
      <c r="M27">
        <f>(All_Questions_Q_VERY_LONG_SINGLE_SELECT_EXPORT_NAME_CT&lt;&gt;"(None)")*COUNTIFS(Q_VERY_LONG_SINGLE_SELECT_EXPOR_data,"B",passes_workbook_filters_data,1,INDIRECT(All_Questions_Q_VERY_LONG_SINGLE_SELECT_EXPORT_NAME_CT &amp; "_data"),M$25)</f>
        <v/>
      </c>
      <c r="N27">
        <f>(All_Questions_Q_VERY_LONG_SINGLE_SELECT_EXPORT_NAME_CT&lt;&gt;"(None)")*COUNTIFS(Q_VERY_LONG_SINGLE_SELECT_EXPOR_data,"B",passes_workbook_filters_data,1,INDIRECT(All_Questions_Q_VERY_LONG_SINGLE_SELECT_EXPORT_NAME_CT &amp; "_data"),N$25)</f>
        <v/>
      </c>
      <c r="O27">
        <f>SUM(G27:N27)</f>
        <v/>
      </c>
    </row>
  </sheetData>
  <mergeCells count="3">
    <mergeCell ref="A1:J1"/>
    <mergeCell ref="A12:J12"/>
    <mergeCell ref="A21:J2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2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2026-05-14T17:37:19Z</dcterms:created>
  <dcterms:modified xmlns:dcterms="http://purl.org/dc/terms/" xmlns:xsi="http://www.w3.org/2001/XMLSchema-instance" xsi:type="dcterms:W3CDTF">2026-05-14T17:37:19Z</dcterms:modified>
</cp:coreProperties>
</file>