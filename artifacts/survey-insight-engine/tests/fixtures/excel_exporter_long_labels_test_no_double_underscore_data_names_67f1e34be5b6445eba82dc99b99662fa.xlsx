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14_Expected_2025_Gross_margin_data">'_RawData'!$B$2:$B$7</definedName>
    <definedName name="Q56_Expected_2025_Gross_margin_data">'_RawData'!$C$2:$C$7</definedName>
    <definedName name="Q102_Expected_2025_EBITDA_margi_data">'_RawData'!$D$2:$D$7</definedName>
    <definedName name="All_Questions">'_Options'!$A$2:$A$5</definedName>
    <definedName name="All_Questions_Local">'_Options'!$B$2:$B$6</definedName>
    <definedName name="None_options">'_Options'!$E$2:$E$2</definedName>
    <definedName name="Q14_Expected_2025_Gross_margin_options">'_Options'!$F$2:$F$4</definedName>
    <definedName name="Q14_Expected_2025_Gross_margin_local_options">'_Options'!$I$2:$I$5</definedName>
    <definedName name="Q56_Expected_2025_Gross_margin_options">'_Options'!$G$2:$G$4</definedName>
    <definedName name="Q56_Expected_2025_Gross_margin_local_options">'_Options'!$J$2:$J$5</definedName>
    <definedName name="Q102_Expected_2025_EBITDA_margi_options">'_Options'!$H$2:$H$4</definedName>
    <definedName name="Q102_Expected_2025_EBITDA_margi_local_options">'_Options'!$K$2:$K$5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'_RawData'!$E$2:$E$7</definedName>
    <definedName name="F_Custom1_match_data">'_RawData'!$F$2:$F$7</definedName>
    <definedName name="F_Custom2_match_data">'_RawData'!$G$2:$G$7</definedName>
    <definedName name="passes_workbook_custom_filters_data">'_RawData'!$H$2:$H$7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'_RawData'!$I$2:$I$7</definedName>
    <definedName name="All_Questions_Q14_Expected_2025_Gross_margin_growth_outlook_F_Q">'All Questions'!$C$13</definedName>
    <definedName name="All_Questions_Q14_Expected_2025_Gross_margin_growth_outlook_F_V">'All Questions'!$E$13</definedName>
    <definedName name="All_Questions_Q14_Expected_2025_Gross_margin_growth_outlook_F_resolved_column">'All Questions'!$F$13</definedName>
    <definedName name="All_Questions_Q14_Expected_2025_Gross_margin_growth_outlook_F_wrapped">'All Questions'!$G$13</definedName>
    <definedName name="All_Questions_Q14_Expected_2025_Gross_margin_growth_outlook_F_passes_per_q_filter_data">'_RawData'!$J$2:$J$7</definedName>
    <definedName name="All_Questions_Q14_Expected_2025_Gross_margin_growth_outlook_CT">'All Questions'!$C$14</definedName>
    <definedName name="All_Questions_Q56_Expected_2025_Gross_margin_growth_outlook_F_Q">'All Questions'!$C$23</definedName>
    <definedName name="All_Questions_Q56_Expected_2025_Gross_margin_growth_outlook_F_V">'All Questions'!$E$23</definedName>
    <definedName name="All_Questions_Q56_Expected_2025_Gross_margin_growth_outlook_F_resolved_column">'All Questions'!$F$23</definedName>
    <definedName name="All_Questions_Q56_Expected_2025_Gross_margin_growth_outlook_F_wrapped">'All Questions'!$G$23</definedName>
    <definedName name="All_Questions_Q56_Expected_2025_Gross_margin_growth_outlook_F_passes_per_q_filter_data">'_RawData'!$K$2:$K$7</definedName>
    <definedName name="All_Questions_Q56_Expected_2025_Gross_margin_growth_outlook_CT">'All Questions'!$C$24</definedName>
    <definedName name="All_Questions_Q102_Expected_2025_EBITDA_margin_growth_outlook_F_Q">'All Questions'!$C$33</definedName>
    <definedName name="All_Questions_Q102_Expected_2025_EBITDA_margin_growth_outlook_F_V">'All Questions'!$E$33</definedName>
    <definedName name="All_Questions_Q102_Expected_2025_EBITDA_margin_growth_outlook_F_resolved_column">'All Questions'!$F$33</definedName>
    <definedName name="All_Questions_Q102_Expected_2025_EBITDA_margin_growth_outlook_F_wrapped">'All Questions'!$G$33</definedName>
    <definedName name="All_Questions_Q102_Expected_2025_EBITDA_margin_growth_outlook_F_passes_per_q_filter_data">'_RawData'!$L$2:$L$7</definedName>
    <definedName name="All_Questions_Q102_Expected_2025_EBITDA_margin_growth_outlook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1"/>
  <c r="F6" i="1"/>
  <c r="G6" i="1"/>
  <c r="H6" i="1"/>
  <c r="I6" i="1"/>
  <c r="J6" i="1"/>
  <c r="K6" i="1"/>
  <c r="L6" i="1"/>
  <c r="E7" i="1"/>
  <c r="F7" i="1"/>
  <c r="G7" i="1"/>
  <c r="H7" i="1"/>
  <c r="I7" i="1"/>
  <c r="J7" i="1"/>
  <c r="K7" i="1"/>
  <c r="L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G36" i="7"/>
  <c r="H36" i="7"/>
  <c r="I36" i="7"/>
  <c r="J36" i="7"/>
  <c r="K36" i="7"/>
  <c r="L36" i="7"/>
  <c r="M36" i="7"/>
  <c r="N36" i="7"/>
  <c r="O36" i="7"/>
  <c r="P36" i="7"/>
  <c r="Q36" i="7"/>
  <c r="R36" i="7"/>
  <c r="B37" i="7"/>
  <c r="C37" i="7"/>
  <c r="D37" i="7"/>
  <c r="B38" i="7"/>
  <c r="C38" i="7"/>
  <c r="D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S4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Q14_Expected_2025_Gross_margin_</t>
        </is>
      </c>
      <c r="C1" t="inlineStr">
        <is>
          <t>Q56_Expected_2025_Gross_margin_</t>
        </is>
      </c>
      <c r="D1" t="inlineStr">
        <is>
          <t>Q102_Expected_2025_EBITDA_margi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All_Questions_Q14_Expected_2025_Gross_margin_growth_outlook_F_passes_per_q_filter</t>
        </is>
      </c>
      <c r="K1" t="inlineStr">
        <is>
          <t>All_Questions_Q56_Expected_2025_Gross_margin_growth_outlook_F_passes_per_q_filter</t>
        </is>
      </c>
      <c r="L1" t="inlineStr">
        <is>
          <t>All_Questions_Q102_Expected_2025_EBITDA_margin_growth_outlook_F_passes_per_q_filter</t>
        </is>
      </c>
    </row>
    <row r="2">
      <c r="A2" t="n">
        <v>1</v>
      </c>
      <c r="B2" t="inlineStr">
        <is>
          <t>Higher</t>
        </is>
      </c>
      <c r="C2" t="inlineStr">
        <is>
          <t>Higher</t>
        </is>
      </c>
      <c r="D2" t="inlineStr">
        <is>
          <t>Higher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1)&amp;"|",All_Questions_Q14_Expected_2025_Gross_margin_growth_outlook_F_wrapped)),1,0),0))*1</f>
        <v>1</v>
      </c>
      <c r="K2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1)&amp;"|",All_Questions_Q56_Expected_2025_Gross_margin_growth_outlook_F_wrapped)),1,0),0))*1</f>
        <v>1</v>
      </c>
      <c r="L2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1)&amp;"|",All_Questions_Q102_Expected_2025_EBITDA_margin_growth_outlook_F_wrapped)),1,0),0))*1</f>
        <v>1</v>
      </c>
    </row>
    <row r="3">
      <c r="A3" t="n">
        <v>2</v>
      </c>
      <c r="B3" t="inlineStr">
        <is>
          <t>Lower</t>
        </is>
      </c>
      <c r="C3" t="inlineStr">
        <is>
          <t>Lower</t>
        </is>
      </c>
      <c r="D3" t="inlineStr">
        <is>
          <t>Lower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2)&amp;"|",All_Questions_Q14_Expected_2025_Gross_margin_growth_outlook_F_wrapped)),1,0),0))*1</f>
        <v>1</v>
      </c>
      <c r="K3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2)&amp;"|",All_Questions_Q56_Expected_2025_Gross_margin_growth_outlook_F_wrapped)),1,0),0))*1</f>
        <v>1</v>
      </c>
      <c r="L3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2)&amp;"|",All_Questions_Q102_Expected_2025_EBITDA_margin_growth_outlook_F_wrapped)),1,0),0))*1</f>
        <v>1</v>
      </c>
    </row>
    <row r="4">
      <c r="A4" t="n">
        <v>3</v>
      </c>
      <c r="B4" t="inlineStr">
        <is>
          <t>Higher</t>
        </is>
      </c>
      <c r="C4" t="inlineStr">
        <is>
          <t>Higher</t>
        </is>
      </c>
      <c r="D4" t="inlineStr">
        <is>
          <t>Higher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3)&amp;"|",All_Questions_Q14_Expected_2025_Gross_margin_growth_outlook_F_wrapped)),1,0),0))*1</f>
        <v>1</v>
      </c>
      <c r="K4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3)&amp;"|",All_Questions_Q56_Expected_2025_Gross_margin_growth_outlook_F_wrapped)),1,0),0))*1</f>
        <v>1</v>
      </c>
      <c r="L4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3)&amp;"|",All_Questions_Q102_Expected_2025_EBITDA_margin_growth_outlook_F_wrapped)),1,0),0))*1</f>
        <v>1</v>
      </c>
    </row>
    <row r="5">
      <c r="A5" t="n">
        <v>4</v>
      </c>
      <c r="B5" t="inlineStr">
        <is>
          <t>Lower</t>
        </is>
      </c>
      <c r="C5" t="inlineStr">
        <is>
          <t>Lower</t>
        </is>
      </c>
      <c r="D5" t="inlineStr">
        <is>
          <t>Lower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4)&amp;"|",All_Questions_Q14_Expected_2025_Gross_margin_growth_outlook_F_wrapped)),1,0),0))*1</f>
        <v>1</v>
      </c>
      <c r="K5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4)&amp;"|",All_Questions_Q56_Expected_2025_Gross_margin_growth_outlook_F_wrapped)),1,0),0))*1</f>
        <v>1</v>
      </c>
      <c r="L5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4)&amp;"|",All_Questions_Q102_Expected_2025_EBITDA_margin_growth_outlook_F_wrapped)),1,0),0))*1</f>
        <v>1</v>
      </c>
    </row>
    <row r="6">
      <c r="A6" t="n">
        <v>5</v>
      </c>
      <c r="B6" t="inlineStr">
        <is>
          <t>Higher</t>
        </is>
      </c>
      <c r="C6" t="inlineStr">
        <is>
          <t>Higher</t>
        </is>
      </c>
      <c r="D6" t="inlineStr">
        <is>
          <t>Higher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5)&amp;"|",All_Questions_Q14_Expected_2025_Gross_margin_growth_outlook_F_wrapped)),1,0),0))*1</f>
        <v>1</v>
      </c>
      <c r="K6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5)&amp;"|",All_Questions_Q56_Expected_2025_Gross_margin_growth_outlook_F_wrapped)),1,0),0))*1</f>
        <v>1</v>
      </c>
      <c r="L6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5)&amp;"|",All_Questions_Q102_Expected_2025_EBITDA_margin_growth_outlook_F_wrapped)),1,0),0))*1</f>
        <v>1</v>
      </c>
    </row>
    <row r="7">
      <c r="A7" t="n">
        <v>6</v>
      </c>
      <c r="B7" t="inlineStr">
        <is>
          <t>Lower</t>
        </is>
      </c>
      <c r="C7" t="inlineStr">
        <is>
          <t>Lower</t>
        </is>
      </c>
      <c r="D7" t="inlineStr">
        <is>
          <t>Lower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14_Expected_2025_Gross_margin_growth_outlook_F_Q="(None)",All_Questions_Q14_Expected_2025_Gross_margin_growth_outlook_F_Q="",ISBLANK(All_Questions_Q14_Expected_2025_Gross_margin_growth_outlook_F_Q),All_Questions_Q14_Expected_2025_Gross_margin_growth_outlook_F_V="(All)",All_Questions_Q14_Expected_2025_Gross_margin_growth_outlook_F_V="",ISBLANK(All_Questions_Q14_Expected_2025_Gross_margin_growth_outlook_F_V)),1,IFERROR(IF(ISNUMBER(SEARCH("|"&amp;INDEX(INDIRECT(All_Questions_Q14_Expected_2025_Gross_margin_growth_outlook_F_resolved_column),6)&amp;"|",All_Questions_Q14_Expected_2025_Gross_margin_growth_outlook_F_wrapped)),1,0),0))*1</f>
        <v>1</v>
      </c>
      <c r="K7">
        <f>IF(OR(All_Questions_Q56_Expected_2025_Gross_margin_growth_outlook_F_Q="(None)",All_Questions_Q56_Expected_2025_Gross_margin_growth_outlook_F_Q="",ISBLANK(All_Questions_Q56_Expected_2025_Gross_margin_growth_outlook_F_Q),All_Questions_Q56_Expected_2025_Gross_margin_growth_outlook_F_V="(All)",All_Questions_Q56_Expected_2025_Gross_margin_growth_outlook_F_V="",ISBLANK(All_Questions_Q56_Expected_2025_Gross_margin_growth_outlook_F_V)),1,IFERROR(IF(ISNUMBER(SEARCH("|"&amp;INDEX(INDIRECT(All_Questions_Q56_Expected_2025_Gross_margin_growth_outlook_F_resolved_column),6)&amp;"|",All_Questions_Q56_Expected_2025_Gross_margin_growth_outlook_F_wrapped)),1,0),0))*1</f>
        <v>1</v>
      </c>
      <c r="L7">
        <f>IF(OR(All_Questions_Q102_Expected_2025_EBITDA_margin_growth_outlook_F_Q="(None)",All_Questions_Q102_Expected_2025_EBITDA_margin_growth_outlook_F_Q="",ISBLANK(All_Questions_Q102_Expected_2025_EBITDA_margin_growth_outlook_F_Q),All_Questions_Q102_Expected_2025_EBITDA_margin_growth_outlook_F_V="(All)",All_Questions_Q102_Expected_2025_EBITDA_margin_growth_outlook_F_V="",ISBLANK(All_Questions_Q102_Expected_2025_EBITDA_margin_growth_outlook_F_V)),1,IFERROR(IF(ISNUMBER(SEARCH("|"&amp;INDEX(INDIRECT(All_Questions_Q102_Expected_2025_EBITDA_margin_growth_outlook_F_resolved_column),6)&amp;"|",All_Questions_Q102_Expected_2025_EBITDA_margin_growth_outlook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Q14_Expected_2025_Gross_margin__options</t>
        </is>
      </c>
      <c r="G1" t="inlineStr">
        <is>
          <t>Q56_Expected_2025_Gross_margin__options</t>
        </is>
      </c>
      <c r="H1" t="inlineStr">
        <is>
          <t>Q102_Expected_2025_EBITDA_margi_options</t>
        </is>
      </c>
      <c r="I1" t="inlineStr">
        <is>
          <t>Q14_Expected_2025_Gross_margin__local_options</t>
        </is>
      </c>
      <c r="J1" t="inlineStr">
        <is>
          <t>Q56_Expected_2025_Gross_margin__local_options</t>
        </is>
      </c>
      <c r="K1" t="inlineStr">
        <is>
          <t>Q102_Expected_2025_EBITDA_margi_local_options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Q14 Expected 2025 Gross margin growth outlook - Expected 2025 Gross Margin Growth Outlook Question Text</t>
        </is>
      </c>
      <c r="B3" t="inlineStr">
        <is>
          <t>(None)</t>
        </is>
      </c>
      <c r="C3" t="inlineStr">
        <is>
          <t>'_RawData'!$B$2:$B$7</t>
        </is>
      </c>
      <c r="D3" t="inlineStr">
        <is>
          <t>'_Options'!$F$2:$F$4</t>
        </is>
      </c>
      <c r="F3" t="inlineStr">
        <is>
          <t>Higher</t>
        </is>
      </c>
      <c r="G3" t="inlineStr">
        <is>
          <t>Higher</t>
        </is>
      </c>
      <c r="H3" t="inlineStr">
        <is>
          <t>Higher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Q56 Expected 2025 Gross margin growth outlook - Expected 2025 Gross Margin Growth Outlook Question Text</t>
        </is>
      </c>
      <c r="B4" t="inlineStr">
        <is>
          <t>Q14 Expected 2025 Gross margin growth outlook - Expected 2025 Gross Margin Growth Outlook Question Text</t>
        </is>
      </c>
      <c r="C4" t="inlineStr">
        <is>
          <t>'_RawData'!$C$2:$C$7</t>
        </is>
      </c>
      <c r="D4" t="inlineStr">
        <is>
          <t>'_Options'!$G$2:$G$4</t>
        </is>
      </c>
      <c r="F4" t="inlineStr">
        <is>
          <t>Lower</t>
        </is>
      </c>
      <c r="G4" t="inlineStr">
        <is>
          <t>Lower</t>
        </is>
      </c>
      <c r="H4" t="inlineStr">
        <is>
          <t>Lower</t>
        </is>
      </c>
      <c r="I4" t="inlineStr">
        <is>
          <t>Higher</t>
        </is>
      </c>
      <c r="J4" t="inlineStr">
        <is>
          <t>Higher</t>
        </is>
      </c>
      <c r="K4" t="inlineStr">
        <is>
          <t>Higher</t>
        </is>
      </c>
    </row>
    <row r="5">
      <c r="A5" t="inlineStr">
        <is>
          <t>Q102 Expected 2025 EBITDA margin growth outlook - Expected 2025 Ebitda Margin Growth ...</t>
        </is>
      </c>
      <c r="B5" t="inlineStr">
        <is>
          <t>Q56 Expected 2025 Gross margin growth outlook - Expected 2025 Gross Margin Growth Outlook Question Text</t>
        </is>
      </c>
      <c r="C5" t="inlineStr">
        <is>
          <t>'_RawData'!$D$2:$D$7</t>
        </is>
      </c>
      <c r="D5" t="inlineStr">
        <is>
          <t>'_Options'!$H$2:$H$4</t>
        </is>
      </c>
      <c r="I5" t="inlineStr">
        <is>
          <t>Lower</t>
        </is>
      </c>
      <c r="J5" t="inlineStr">
        <is>
          <t>Lower</t>
        </is>
      </c>
      <c r="K5" t="inlineStr">
        <is>
          <t>Lower</t>
        </is>
      </c>
    </row>
    <row r="6">
      <c r="B6" t="inlineStr">
        <is>
          <t>Q102 Expected 2025 EBITDA margin growth outlook - Expected 2025 Ebitda Margin Growth ...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3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1" customWidth="1" min="1" max="1"/>
    <col width="49" customWidth="1" min="2" max="2"/>
    <col width="60" customWidth="1" min="3" max="3"/>
    <col width="15" customWidth="1" min="4" max="4"/>
    <col width="4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[Q14 Expected 2025 Gross margin growth outlook]</t>
        </is>
      </c>
      <c r="B2" t="inlineStr">
        <is>
          <t>Q14 Expected 2025 Gross margin growth outlook</t>
        </is>
      </c>
      <c r="C2" t="inlineStr">
        <is>
          <t>Q14 Expected 2025 Gross margin growth outlook question text</t>
        </is>
      </c>
      <c r="D2" t="inlineStr">
        <is>
          <t>SINGLE_SELECT</t>
        </is>
      </c>
      <c r="E2" t="inlineStr">
        <is>
          <t>Q14 Expected 2025 Gross margin growth outlook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[Q56 Expected 2025 Gross margin growth outlook]</t>
        </is>
      </c>
      <c r="B3" t="inlineStr">
        <is>
          <t>Q56 Expected 2025 Gross margin growth outlook</t>
        </is>
      </c>
      <c r="C3" t="inlineStr">
        <is>
          <t>Q56 Expected 2025 Gross margin growth outlook question text</t>
        </is>
      </c>
      <c r="D3" t="inlineStr">
        <is>
          <t>SINGLE_SELECT</t>
        </is>
      </c>
      <c r="E3" t="inlineStr">
        <is>
          <t>Q56 Expected 2025 Gross margin growth outlook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[Q102 Expected 2025 EBITDA margin growth outlook]</t>
        </is>
      </c>
      <c r="B4" t="inlineStr">
        <is>
          <t>Q102 Expected 2025 EBITDA margin growth outlook</t>
        </is>
      </c>
      <c r="C4" t="inlineStr">
        <is>
          <t>Q102 Expected 2025 EBITDA margin growth outlook question text</t>
        </is>
      </c>
      <c r="D4" t="inlineStr">
        <is>
          <t>SINGLE_SELECT</t>
        </is>
      </c>
      <c r="E4" t="inlineStr">
        <is>
          <t>Q102 Expected 2025 EBITDA margin growth outlook</t>
        </is>
      </c>
      <c r="F4" t="n">
        <v>2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49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Q14 Expected 2025 Gross margin growth outlook</t>
        </is>
      </c>
      <c r="B2" t="inlineStr">
        <is>
          <t>Q14 Expected 2025 Gross margin growth outlook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  <row r="3">
      <c r="A3" t="inlineStr">
        <is>
          <t>Q56 Expected 2025 Gross margin growth outlook</t>
        </is>
      </c>
      <c r="B3" t="inlineStr">
        <is>
          <t>Q56 Expected 2025 Gross margin growth outlook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6</v>
      </c>
      <c r="G3" t="n">
        <v>0</v>
      </c>
      <c r="H3" s="7" t="n">
        <v>0</v>
      </c>
      <c r="I3" t="inlineStr"/>
    </row>
    <row r="4">
      <c r="A4" t="inlineStr">
        <is>
          <t>Q102 Expected 2025 EBITDA margin growth outlook</t>
        </is>
      </c>
      <c r="B4" t="inlineStr">
        <is>
          <t>Q102 Expected 2025 EBITDA margin growth outlook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6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Q14 Expected 2025 Gross margin growth outlook question text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IFERROR(INDEX(All_Questions_Data_Names,MATCH(All_Questions_Q14_Expected_2025_Gross_margin_growth_outlook_F_Q,All_Questions,0)),"'_RawData'!$A:$A")</f>
        <v>respondent_id_data</v>
      </c>
      <c r="G13" t="str">
        <f>"|" &amp; SUBSTITUTE(All_Questions_Q14_Expected_2025_Gross_margin_growth_outlook_F_V,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IF(All_Questions_Q14_Expected_2025_Gross_margin_growth_outlook_CT="(None)","",IFERROR(INDEX(INDIRECT(IFERROR(INDEX(All_Questions_Options_Names,MATCH(All_Questions_Q14_Expected_2025_Gross_margin_growth_outlook_CT,All_Questions,0)),"'_Options'!$E$2:$E$2")),2),""))</f>
        <v/>
      </c>
      <c r="H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IF(All_Questions_Q14_Expected_2025_Gross_margin_growth_outlook_CT="(None)","",IFERROR(INDEX(INDIRECT(IFERROR(INDEX(All_Questions_Options_Names,MATCH(All_Questions_Q14_Expected_2025_Gross_margin_growth_outlook_CT,All_Questions,0)),"'_Options'!$E$2:$E$2")),3),""))</f>
        <v/>
      </c>
      <c r="I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IF(All_Questions_Q14_Expected_2025_Gross_margin_growth_outlook_CT="(None)","",IFERROR(INDEX(INDIRECT(IFERROR(INDEX(All_Questions_Options_Names,MATCH(All_Questions_Q14_Expected_2025_Gross_margin_growth_outlook_CT,All_Questions,0)),"'_Options'!$E$2:$E$2")),4),""))</f>
        <v/>
      </c>
      <c r="J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IF(All_Questions_Q14_Expected_2025_Gross_margin_growth_outlook_CT="(None)","",IFERROR(INDEX(INDIRECT(IFERROR(INDEX(All_Questions_Options_Names,MATCH(All_Questions_Q14_Expected_2025_Gross_margin_growth_outlook_CT,All_Questions,0)),"'_Options'!$E$2:$E$2")),5),""))</f>
        <v/>
      </c>
      <c r="K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IF(All_Questions_Q14_Expected_2025_Gross_margin_growth_outlook_CT="(None)","",IFERROR(INDEX(INDIRECT(IFERROR(INDEX(All_Questions_Options_Names,MATCH(All_Questions_Q14_Expected_2025_Gross_margin_growth_outlook_CT,All_Questions,0)),"'_Options'!$E$2:$E$2")),6),""))</f>
        <v/>
      </c>
      <c r="L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IF(All_Questions_Q14_Expected_2025_Gross_margin_growth_outlook_CT="(None)","",IFERROR(INDEX(INDIRECT(IFERROR(INDEX(All_Questions_Options_Names,MATCH(All_Questions_Q14_Expected_2025_Gross_margin_growth_outlook_CT,All_Questions,0)),"'_Options'!$E$2:$E$2")),7),""))</f>
        <v/>
      </c>
      <c r="M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IF(All_Questions_Q14_Expected_2025_Gross_margin_growth_outlook_CT="(None)","",IFERROR(INDEX(INDIRECT(IFERROR(INDEX(All_Questions_Options_Names,MATCH(All_Questions_Q14_Expected_2025_Gross_margin_growth_outlook_CT,All_Questions,0)),"'_Options'!$E$2:$E$2")),8),""))</f>
        <v/>
      </c>
      <c r="N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IF(All_Questions_Q14_Expected_2025_Gross_margin_growth_outlook_CT="(None)","",IFERROR(INDEX(INDIRECT(IFERROR(INDEX(All_Questions_Options_Names,MATCH(All_Questions_Q14_Expected_2025_Gross_margin_growth_outlook_CT,All_Questions,0)),"'_Options'!$E$2:$E$2")),9),""))</f>
        <v/>
      </c>
      <c r="O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IF(All_Questions_Q14_Expected_2025_Gross_margin_growth_outlook_CT="(None)","",IFERROR(INDEX(INDIRECT(IFERROR(INDEX(All_Questions_Options_Names,MATCH(All_Questions_Q14_Expected_2025_Gross_margin_growth_outlook_CT,All_Questions,0)),"'_Options'!$E$2:$E$2")),10),""))</f>
        <v/>
      </c>
      <c r="P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IF(All_Questions_Q14_Expected_2025_Gross_margin_growth_outlook_CT="(None)","",IFERROR(INDEX(INDIRECT(IFERROR(INDEX(All_Questions_Options_Names,MATCH(All_Questions_Q14_Expected_2025_Gross_margin_growth_outlook_CT,All_Questions,0)),"'_Options'!$E$2:$E$2")),11),""))</f>
        <v/>
      </c>
      <c r="Q16" s="2" t="str">
        <f>IF(All_Questions_Q14_Expected_2025_Gross_margin_growth_outlook_CT="(None)","",IFERROR(INDEX(INDIRECT(IFERROR(INDEX(All_Questions_Options_Names,MATCH(All_Questions_Q14_Expected_2025_Gross_margin_growth_outlook_CT,All_Questions,0)),"'_Options'!$E$2:$E$2")),12),""))</f>
        <v/>
      </c>
      <c r="R16" s="2" t="str">
        <f>IF(All_Questions_Q14_Expected_2025_Gross_margin_growth_outlook_CT="(None)","",IF(COUNTA(INDIRECT(IFERROR(INDEX(All_Questions_Options_Names,MATCH(All_Questions_Q14_Expected_2025_Gross_margin_growth_outlook_CT,All_Questions,0)),"'_Options'!$E$2:$E$2")))-1&gt;11,"Other",IFERROR(INDEX(INDIRECT(IFERROR(INDEX(All_Questions_Options_Names,MATCH(All_Questions_Q14_Expected_2025_Gross_margin_growth_outlook_CT,All_Questions,0)),"'_Options'!$E$2:$E$2")),13),"")))</f>
        <v/>
      </c>
      <c r="S16" s="4" t="inlineStr">
        <is>
          <t>Total</t>
        </is>
      </c>
    </row>
    <row r="17">
      <c r="A17" t="inlineStr">
        <is>
          <t>Higher</t>
        </is>
      </c>
      <c r="B17">
        <f>COUNTIFS(Q14_Expected_2025_Gross_margin_data,"Higher",passes_workbook_filters_data,1,passes_workbook_custom_filters_data,1,All_Questions_passes_local_filters_data,1,All_Questions_Q14_Expected_2025_Gross_margin_growth_outlook_F_passes_per_q_filter_data,1)</f>
        <v>3</v>
      </c>
      <c r="C17" s="7">
        <f>IFERROR(B17/SUBTOTAL(9,B17:B18),0)</f>
        <v>0.5</v>
      </c>
      <c r="D17" s="14">
        <f>SUBTOTAL(9,B17:B18)</f>
        <v>6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Lower</t>
        </is>
      </c>
      <c r="B18">
        <f>COUNTIFS(Q14_Expected_2025_Gross_margin_data,"Lower",passes_workbook_filters_data,1,passes_workbook_custom_filters_data,1,All_Questions_passes_local_filters_data,1,All_Questions_Q14_Expected_2025_Gross_margin_growth_outlook_F_passes_per_q_filter_data,1)</f>
        <v>3</v>
      </c>
      <c r="C18" s="7">
        <f>IFERROR(B18/SUBTOTAL(9,B17:B18),0)</f>
        <v>0.5</v>
      </c>
      <c r="D18" s="14">
        <f>SUBTOTAL(9,B17:B18)</f>
        <v>6</v>
      </c>
      <c r="F18" t="inlineStr">
        <is>
          <t>Higher</t>
        </is>
      </c>
      <c r="G18">
        <f>IF(OR(All_Questions_Q14_Expected_2025_Gross_margin_growth_outlook_CT="(None)",G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8">
        <f>IF(OR(All_Questions_Q14_Expected_2025_Gross_margin_growth_outlook_CT="(None)",H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8">
        <f>IF(OR(All_Questions_Q14_Expected_2025_Gross_margin_growth_outlook_CT="(None)",I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8">
        <f>IF(OR(All_Questions_Q14_Expected_2025_Gross_margin_growth_outlook_CT="(None)",J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8">
        <f>IF(OR(All_Questions_Q14_Expected_2025_Gross_margin_growth_outlook_CT="(None)",K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8">
        <f>IF(OR(All_Questions_Q14_Expected_2025_Gross_margin_growth_outlook_CT="(None)",L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8">
        <f>IF(OR(All_Questions_Q14_Expected_2025_Gross_margin_growth_outlook_CT="(None)",M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8">
        <f>IF(OR(All_Questions_Q14_Expected_2025_Gross_margin_growth_outlook_CT="(None)",N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8">
        <f>IF(OR(All_Questions_Q14_Expected_2025_Gross_margin_growth_outlook_CT="(None)",O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8">
        <f>IF(OR(All_Questions_Q14_Expected_2025_Gross_margin_growth_outlook_CT="(None)",P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8">
        <f>IF(OR(All_Questions_Q14_Expected_2025_Gross_margin_growth_outlook_CT="(None)",Q$16=""),""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8">
        <f>IF(OR(All_Questions_Q14_Expected_2025_Gross_margin_growth_outlook_CT="(None)",R$16=""),"",IF(R$16="Other",COUNTIFS(Q14_Expected_2025_Gross_margin_data,"Higher",passes_workbook_filters_data,1,passes_workbook_custom_filters_data,1,All_Questions_passes_local_filters_data,1,All_Questions_Q14_Expected_2025_Gross_margin_growth_outlook_F_passes_per_q_filter_data,1)-SUM(G18,H18,I18,J18,K18,L18,M18,N18,O18,P18,Q18),COUNTIFS(Q14_Expected_2025_Gross_margin_data,"High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8">
        <f>IF(All_Questions_Q14_Expected_2025_Gross_margin_growth_outlook_CT="(None)","",COUNTIFS(Q14_Expected_2025_Gross_margin_data,"Higher",passes_workbook_filters_data,1,passes_workbook_custom_filters_data,1,All_Questions_passes_local_filters_data,1,All_Questions_Q14_Expected_2025_Gross_margin_growth_outlook_F_passes_per_q_filter_data,1))</f>
        <v>0</v>
      </c>
    </row>
    <row r="19">
      <c r="A19" s="15" t="inlineStr">
        <is>
          <t>Total respondents</t>
        </is>
      </c>
      <c r="B19" s="15" t="n">
        <v>6</v>
      </c>
      <c r="C19" s="15" t="n"/>
      <c r="D19" s="15" t="n"/>
      <c r="F19" t="inlineStr">
        <is>
          <t>Lower</t>
        </is>
      </c>
      <c r="G19">
        <f>IF(OR(All_Questions_Q14_Expected_2025_Gross_margin_growth_outlook_CT="(None)",G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G$16))</f>
        <v>0</v>
      </c>
      <c r="H19">
        <f>IF(OR(All_Questions_Q14_Expected_2025_Gross_margin_growth_outlook_CT="(None)",H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H$16))</f>
        <v>0</v>
      </c>
      <c r="I19">
        <f>IF(OR(All_Questions_Q14_Expected_2025_Gross_margin_growth_outlook_CT="(None)",I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I$16))</f>
        <v>0</v>
      </c>
      <c r="J19">
        <f>IF(OR(All_Questions_Q14_Expected_2025_Gross_margin_growth_outlook_CT="(None)",J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J$16))</f>
        <v>0</v>
      </c>
      <c r="K19">
        <f>IF(OR(All_Questions_Q14_Expected_2025_Gross_margin_growth_outlook_CT="(None)",K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K$16))</f>
        <v>0</v>
      </c>
      <c r="L19">
        <f>IF(OR(All_Questions_Q14_Expected_2025_Gross_margin_growth_outlook_CT="(None)",L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L$16))</f>
        <v>0</v>
      </c>
      <c r="M19">
        <f>IF(OR(All_Questions_Q14_Expected_2025_Gross_margin_growth_outlook_CT="(None)",M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M$16))</f>
        <v>0</v>
      </c>
      <c r="N19">
        <f>IF(OR(All_Questions_Q14_Expected_2025_Gross_margin_growth_outlook_CT="(None)",N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N$16))</f>
        <v>0</v>
      </c>
      <c r="O19">
        <f>IF(OR(All_Questions_Q14_Expected_2025_Gross_margin_growth_outlook_CT="(None)",O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O$16))</f>
        <v>0</v>
      </c>
      <c r="P19">
        <f>IF(OR(All_Questions_Q14_Expected_2025_Gross_margin_growth_outlook_CT="(None)",P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P$16))</f>
        <v>0</v>
      </c>
      <c r="Q19">
        <f>IF(OR(All_Questions_Q14_Expected_2025_Gross_margin_growth_outlook_CT="(None)",Q$16=""),""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Q$16))</f>
        <v>0</v>
      </c>
      <c r="R19">
        <f>IF(OR(All_Questions_Q14_Expected_2025_Gross_margin_growth_outlook_CT="(None)",R$16=""),"",IF(R$16="Other",COUNTIFS(Q14_Expected_2025_Gross_margin_data,"Lower",passes_workbook_filters_data,1,passes_workbook_custom_filters_data,1,All_Questions_passes_local_filters_data,1,All_Questions_Q14_Expected_2025_Gross_margin_growth_outlook_F_passes_per_q_filter_data,1)-SUM(G19,H19,I19,J19,K19,L19,M19,N19,O19,P19,Q19),COUNTIFS(Q14_Expected_2025_Gross_margin_data,"Lower",passes_workbook_filters_data,1,passes_workbook_custom_filters_data,1,All_Questions_passes_local_filters_data,1,All_Questions_Q14_Expected_2025_Gross_margin_growth_outlook_F_passes_per_q_filter_data,1,INDIRECT(IFERROR(INDEX(All_Questions_Data_Names,MATCH(All_Questions_Q14_Expected_2025_Gross_margin_growth_outlook_CT,All_Questions,0)),"'_RawData'!$A:$A")),R$16)))</f>
        <v>0</v>
      </c>
      <c r="S19">
        <f>IF(All_Questions_Q14_Expected_2025_Gross_margin_growth_outlook_CT="(None)","",COUNTIFS(Q14_Expected_2025_Gross_margin_data,"Lower",passes_workbook_filters_data,1,passes_workbook_custom_filters_data,1,All_Questions_passes_local_filters_data,1,All_Questions_Q14_Expected_2025_Gross_margin_growth_outlook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14_Expected_2025_Gross_margin_growth_outlook_CT="(None)","",COUNTIFS(respondent_id_data,"&lt;&gt;",passes_workbook_filters_data,1,passes_workbook_custom_filters_data,1,All_Questions_passes_local_filters_data,1,All_Questions_Q14_Expected_2025_Gross_margin_growth_outlook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Q56 Expected 2025 Gross margin growth outlook question text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IFERROR(INDEX(All_Questions_Data_Names,MATCH(All_Questions_Q56_Expected_2025_Gross_margin_growth_outlook_F_Q,All_Questions,0)),"'_RawData'!$A:$A")</f>
        <v>respondent_id_data</v>
      </c>
      <c r="G23" t="str">
        <f>"|" &amp; SUBSTITUTE(All_Questions_Q56_Expected_2025_Gross_margin_growth_outlook_F_V,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IF(All_Questions_Q56_Expected_2025_Gross_margin_growth_outlook_CT="(None)","",IFERROR(INDEX(INDIRECT(IFERROR(INDEX(All_Questions_Options_Names,MATCH(All_Questions_Q56_Expected_2025_Gross_margin_growth_outlook_CT,All_Questions,0)),"'_Options'!$E$2:$E$2")),2),""))</f>
        <v/>
      </c>
      <c r="H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IF(All_Questions_Q56_Expected_2025_Gross_margin_growth_outlook_CT="(None)","",IFERROR(INDEX(INDIRECT(IFERROR(INDEX(All_Questions_Options_Names,MATCH(All_Questions_Q56_Expected_2025_Gross_margin_growth_outlook_CT,All_Questions,0)),"'_Options'!$E$2:$E$2")),3),""))</f>
        <v/>
      </c>
      <c r="I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IF(All_Questions_Q56_Expected_2025_Gross_margin_growth_outlook_CT="(None)","",IFERROR(INDEX(INDIRECT(IFERROR(INDEX(All_Questions_Options_Names,MATCH(All_Questions_Q56_Expected_2025_Gross_margin_growth_outlook_CT,All_Questions,0)),"'_Options'!$E$2:$E$2")),4),""))</f>
        <v/>
      </c>
      <c r="J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IF(All_Questions_Q56_Expected_2025_Gross_margin_growth_outlook_CT="(None)","",IFERROR(INDEX(INDIRECT(IFERROR(INDEX(All_Questions_Options_Names,MATCH(All_Questions_Q56_Expected_2025_Gross_margin_growth_outlook_CT,All_Questions,0)),"'_Options'!$E$2:$E$2")),5),""))</f>
        <v/>
      </c>
      <c r="K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IF(All_Questions_Q56_Expected_2025_Gross_margin_growth_outlook_CT="(None)","",IFERROR(INDEX(INDIRECT(IFERROR(INDEX(All_Questions_Options_Names,MATCH(All_Questions_Q56_Expected_2025_Gross_margin_growth_outlook_CT,All_Questions,0)),"'_Options'!$E$2:$E$2")),6),""))</f>
        <v/>
      </c>
      <c r="L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IF(All_Questions_Q56_Expected_2025_Gross_margin_growth_outlook_CT="(None)","",IFERROR(INDEX(INDIRECT(IFERROR(INDEX(All_Questions_Options_Names,MATCH(All_Questions_Q56_Expected_2025_Gross_margin_growth_outlook_CT,All_Questions,0)),"'_Options'!$E$2:$E$2")),7),""))</f>
        <v/>
      </c>
      <c r="M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IF(All_Questions_Q56_Expected_2025_Gross_margin_growth_outlook_CT="(None)","",IFERROR(INDEX(INDIRECT(IFERROR(INDEX(All_Questions_Options_Names,MATCH(All_Questions_Q56_Expected_2025_Gross_margin_growth_outlook_CT,All_Questions,0)),"'_Options'!$E$2:$E$2")),8),""))</f>
        <v/>
      </c>
      <c r="N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IF(All_Questions_Q56_Expected_2025_Gross_margin_growth_outlook_CT="(None)","",IFERROR(INDEX(INDIRECT(IFERROR(INDEX(All_Questions_Options_Names,MATCH(All_Questions_Q56_Expected_2025_Gross_margin_growth_outlook_CT,All_Questions,0)),"'_Options'!$E$2:$E$2")),9),""))</f>
        <v/>
      </c>
      <c r="O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IF(All_Questions_Q56_Expected_2025_Gross_margin_growth_outlook_CT="(None)","",IFERROR(INDEX(INDIRECT(IFERROR(INDEX(All_Questions_Options_Names,MATCH(All_Questions_Q56_Expected_2025_Gross_margin_growth_outlook_CT,All_Questions,0)),"'_Options'!$E$2:$E$2")),10),""))</f>
        <v/>
      </c>
      <c r="P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IF(All_Questions_Q56_Expected_2025_Gross_margin_growth_outlook_CT="(None)","",IFERROR(INDEX(INDIRECT(IFERROR(INDEX(All_Questions_Options_Names,MATCH(All_Questions_Q56_Expected_2025_Gross_margin_growth_outlook_CT,All_Questions,0)),"'_Options'!$E$2:$E$2")),11),""))</f>
        <v/>
      </c>
      <c r="Q26" s="2" t="str">
        <f>IF(All_Questions_Q56_Expected_2025_Gross_margin_growth_outlook_CT="(None)","",IFERROR(INDEX(INDIRECT(IFERROR(INDEX(All_Questions_Options_Names,MATCH(All_Questions_Q56_Expected_2025_Gross_margin_growth_outlook_CT,All_Questions,0)),"'_Options'!$E$2:$E$2")),12),""))</f>
        <v/>
      </c>
      <c r="R26" s="2" t="str">
        <f>IF(All_Questions_Q56_Expected_2025_Gross_margin_growth_outlook_CT="(None)","",IF(COUNTA(INDIRECT(IFERROR(INDEX(All_Questions_Options_Names,MATCH(All_Questions_Q56_Expected_2025_Gross_margin_growth_outlook_CT,All_Questions,0)),"'_Options'!$E$2:$E$2")))-1&gt;11,"Other",IFERROR(INDEX(INDIRECT(IFERROR(INDEX(All_Questions_Options_Names,MATCH(All_Questions_Q56_Expected_2025_Gross_margin_growth_outlook_CT,All_Questions,0)),"'_Options'!$E$2:$E$2")),13),"")))</f>
        <v/>
      </c>
      <c r="S26" s="4" t="inlineStr">
        <is>
          <t>Total</t>
        </is>
      </c>
    </row>
    <row r="27">
      <c r="A27" t="inlineStr">
        <is>
          <t>Higher</t>
        </is>
      </c>
      <c r="B27">
        <f>COUNTIFS(Q56_Expected_2025_Gross_margin_data,"Higher",passes_workbook_filters_data,1,passes_workbook_custom_filters_data,1,All_Questions_passes_local_filters_data,1,All_Questions_Q56_Expected_2025_Gross_margin_growth_outlook_F_passes_per_q_filter_data,1)</f>
        <v>3</v>
      </c>
      <c r="C27" s="7">
        <f>IFERROR(B27/SUBTOTAL(9,B27:B28),0)</f>
        <v>0.5</v>
      </c>
      <c r="D27" s="14">
        <f>SUBTOTAL(9,B27:B28)</f>
        <v>6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Lower</t>
        </is>
      </c>
      <c r="B28">
        <f>COUNTIFS(Q56_Expected_2025_Gross_margin_data,"Lower",passes_workbook_filters_data,1,passes_workbook_custom_filters_data,1,All_Questions_passes_local_filters_data,1,All_Questions_Q56_Expected_2025_Gross_margin_growth_outlook_F_passes_per_q_filter_data,1)</f>
        <v>3</v>
      </c>
      <c r="C28" s="7">
        <f>IFERROR(B28/SUBTOTAL(9,B27:B28),0)</f>
        <v>0.5</v>
      </c>
      <c r="D28" s="14">
        <f>SUBTOTAL(9,B27:B28)</f>
        <v>6</v>
      </c>
      <c r="F28" t="inlineStr">
        <is>
          <t>Higher</t>
        </is>
      </c>
      <c r="G28">
        <f>IF(OR(All_Questions_Q56_Expected_2025_Gross_margin_growth_outlook_CT="(None)",G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8">
        <f>IF(OR(All_Questions_Q56_Expected_2025_Gross_margin_growth_outlook_CT="(None)",H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8">
        <f>IF(OR(All_Questions_Q56_Expected_2025_Gross_margin_growth_outlook_CT="(None)",I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8">
        <f>IF(OR(All_Questions_Q56_Expected_2025_Gross_margin_growth_outlook_CT="(None)",J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8">
        <f>IF(OR(All_Questions_Q56_Expected_2025_Gross_margin_growth_outlook_CT="(None)",K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8">
        <f>IF(OR(All_Questions_Q56_Expected_2025_Gross_margin_growth_outlook_CT="(None)",L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8">
        <f>IF(OR(All_Questions_Q56_Expected_2025_Gross_margin_growth_outlook_CT="(None)",M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8">
        <f>IF(OR(All_Questions_Q56_Expected_2025_Gross_margin_growth_outlook_CT="(None)",N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8">
        <f>IF(OR(All_Questions_Q56_Expected_2025_Gross_margin_growth_outlook_CT="(None)",O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8">
        <f>IF(OR(All_Questions_Q56_Expected_2025_Gross_margin_growth_outlook_CT="(None)",P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8">
        <f>IF(OR(All_Questions_Q56_Expected_2025_Gross_margin_growth_outlook_CT="(None)",Q$26=""),""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8">
        <f>IF(OR(All_Questions_Q56_Expected_2025_Gross_margin_growth_outlook_CT="(None)",R$26=""),"",IF(R$26="Other",COUNTIFS(Q56_Expected_2025_Gross_margin_data,"Higher",passes_workbook_filters_data,1,passes_workbook_custom_filters_data,1,All_Questions_passes_local_filters_data,1,All_Questions_Q56_Expected_2025_Gross_margin_growth_outlook_F_passes_per_q_filter_data,1)-SUM(G28,H28,I28,J28,K28,L28,M28,N28,O28,P28,Q28),COUNTIFS(Q56_Expected_2025_Gross_margin_data,"High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8">
        <f>IF(All_Questions_Q56_Expected_2025_Gross_margin_growth_outlook_CT="(None)","",COUNTIFS(Q56_Expected_2025_Gross_margin_data,"Higher",passes_workbook_filters_data,1,passes_workbook_custom_filters_data,1,All_Questions_passes_local_filters_data,1,All_Questions_Q56_Expected_2025_Gross_margin_growth_outlook_F_passes_per_q_filter_data,1))</f>
        <v>0</v>
      </c>
    </row>
    <row r="29">
      <c r="A29" s="15" t="inlineStr">
        <is>
          <t>Total respondents</t>
        </is>
      </c>
      <c r="B29" s="15" t="n">
        <v>6</v>
      </c>
      <c r="C29" s="15" t="n"/>
      <c r="D29" s="15" t="n"/>
      <c r="F29" t="inlineStr">
        <is>
          <t>Lower</t>
        </is>
      </c>
      <c r="G29">
        <f>IF(OR(All_Questions_Q56_Expected_2025_Gross_margin_growth_outlook_CT="(None)",G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G$26))</f>
        <v>0</v>
      </c>
      <c r="H29">
        <f>IF(OR(All_Questions_Q56_Expected_2025_Gross_margin_growth_outlook_CT="(None)",H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H$26))</f>
        <v>0</v>
      </c>
      <c r="I29">
        <f>IF(OR(All_Questions_Q56_Expected_2025_Gross_margin_growth_outlook_CT="(None)",I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I$26))</f>
        <v>0</v>
      </c>
      <c r="J29">
        <f>IF(OR(All_Questions_Q56_Expected_2025_Gross_margin_growth_outlook_CT="(None)",J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J$26))</f>
        <v>0</v>
      </c>
      <c r="K29">
        <f>IF(OR(All_Questions_Q56_Expected_2025_Gross_margin_growth_outlook_CT="(None)",K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K$26))</f>
        <v>0</v>
      </c>
      <c r="L29">
        <f>IF(OR(All_Questions_Q56_Expected_2025_Gross_margin_growth_outlook_CT="(None)",L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L$26))</f>
        <v>0</v>
      </c>
      <c r="M29">
        <f>IF(OR(All_Questions_Q56_Expected_2025_Gross_margin_growth_outlook_CT="(None)",M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M$26))</f>
        <v>0</v>
      </c>
      <c r="N29">
        <f>IF(OR(All_Questions_Q56_Expected_2025_Gross_margin_growth_outlook_CT="(None)",N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N$26))</f>
        <v>0</v>
      </c>
      <c r="O29">
        <f>IF(OR(All_Questions_Q56_Expected_2025_Gross_margin_growth_outlook_CT="(None)",O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O$26))</f>
        <v>0</v>
      </c>
      <c r="P29">
        <f>IF(OR(All_Questions_Q56_Expected_2025_Gross_margin_growth_outlook_CT="(None)",P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P$26))</f>
        <v>0</v>
      </c>
      <c r="Q29">
        <f>IF(OR(All_Questions_Q56_Expected_2025_Gross_margin_growth_outlook_CT="(None)",Q$26=""),""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Q$26))</f>
        <v>0</v>
      </c>
      <c r="R29">
        <f>IF(OR(All_Questions_Q56_Expected_2025_Gross_margin_growth_outlook_CT="(None)",R$26=""),"",IF(R$26="Other",COUNTIFS(Q56_Expected_2025_Gross_margin_data,"Lower",passes_workbook_filters_data,1,passes_workbook_custom_filters_data,1,All_Questions_passes_local_filters_data,1,All_Questions_Q56_Expected_2025_Gross_margin_growth_outlook_F_passes_per_q_filter_data,1)-SUM(G29,H29,I29,J29,K29,L29,M29,N29,O29,P29,Q29),COUNTIFS(Q56_Expected_2025_Gross_margin_data,"Lower",passes_workbook_filters_data,1,passes_workbook_custom_filters_data,1,All_Questions_passes_local_filters_data,1,All_Questions_Q56_Expected_2025_Gross_margin_growth_outlook_F_passes_per_q_filter_data,1,INDIRECT(IFERROR(INDEX(All_Questions_Data_Names,MATCH(All_Questions_Q56_Expected_2025_Gross_margin_growth_outlook_CT,All_Questions,0)),"'_RawData'!$A:$A")),R$26)))</f>
        <v>0</v>
      </c>
      <c r="S29">
        <f>IF(All_Questions_Q56_Expected_2025_Gross_margin_growth_outlook_CT="(None)","",COUNTIFS(Q56_Expected_2025_Gross_margin_data,"Lower",passes_workbook_filters_data,1,passes_workbook_custom_filters_data,1,All_Questions_passes_local_filters_data,1,All_Questions_Q56_Expected_2025_Gross_margin_growth_outlook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56_Expected_2025_Gross_margin_growth_outlook_CT="(None)","",COUNTIFS(respondent_id_data,"&lt;&gt;",passes_workbook_filters_data,1,passes_workbook_custom_filters_data,1,All_Questions_passes_local_filters_data,1,All_Questions_Q56_Expected_2025_Gross_margin_growth_outlook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Q102 Expected 2025 EBITDA margin growth outlook question text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IFERROR(INDEX(All_Questions_Data_Names,MATCH(All_Questions_Q102_Expected_2025_EBITDA_margin_growth_outlook_F_Q,All_Questions,0)),"'_RawData'!$A:$A")</f>
        <v>respondent_id_data</v>
      </c>
      <c r="G33" t="str">
        <f>"|" &amp; SUBSTITUTE(All_Questions_Q102_Expected_2025_EBITDA_margin_growth_outlook_F_V,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5"/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4" t="inlineStr">
        <is>
          <t>Option</t>
        </is>
      </c>
      <c r="G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IF(All_Questions_Q102_Expected_2025_EBITDA_margin_growth_outlook_CT="(None)","",IFERROR(INDEX(INDIRECT(IFERROR(INDEX(All_Questions_Options_Names,MATCH(All_Questions_Q102_Expected_2025_EBITDA_margin_growth_outlook_CT,All_Questions,0)),"'_Options'!$E$2:$E$2")),2),""))</f>
        <v/>
      </c>
      <c r="H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IF(All_Questions_Q102_Expected_2025_EBITDA_margin_growth_outlook_CT="(None)","",IFERROR(INDEX(INDIRECT(IFERROR(INDEX(All_Questions_Options_Names,MATCH(All_Questions_Q102_Expected_2025_EBITDA_margin_growth_outlook_CT,All_Questions,0)),"'_Options'!$E$2:$E$2")),3),""))</f>
        <v/>
      </c>
      <c r="I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IF(All_Questions_Q102_Expected_2025_EBITDA_margin_growth_outlook_CT="(None)","",IFERROR(INDEX(INDIRECT(IFERROR(INDEX(All_Questions_Options_Names,MATCH(All_Questions_Q102_Expected_2025_EBITDA_margin_growth_outlook_CT,All_Questions,0)),"'_Options'!$E$2:$E$2")),4),""))</f>
        <v/>
      </c>
      <c r="J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IF(All_Questions_Q102_Expected_2025_EBITDA_margin_growth_outlook_CT="(None)","",IFERROR(INDEX(INDIRECT(IFERROR(INDEX(All_Questions_Options_Names,MATCH(All_Questions_Q102_Expected_2025_EBITDA_margin_growth_outlook_CT,All_Questions,0)),"'_Options'!$E$2:$E$2")),5),""))</f>
        <v/>
      </c>
      <c r="K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IF(All_Questions_Q102_Expected_2025_EBITDA_margin_growth_outlook_CT="(None)","",IFERROR(INDEX(INDIRECT(IFERROR(INDEX(All_Questions_Options_Names,MATCH(All_Questions_Q102_Expected_2025_EBITDA_margin_growth_outlook_CT,All_Questions,0)),"'_Options'!$E$2:$E$2")),6),""))</f>
        <v/>
      </c>
      <c r="L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IF(All_Questions_Q102_Expected_2025_EBITDA_margin_growth_outlook_CT="(None)","",IFERROR(INDEX(INDIRECT(IFERROR(INDEX(All_Questions_Options_Names,MATCH(All_Questions_Q102_Expected_2025_EBITDA_margin_growth_outlook_CT,All_Questions,0)),"'_Options'!$E$2:$E$2")),7),""))</f>
        <v/>
      </c>
      <c r="M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IF(All_Questions_Q102_Expected_2025_EBITDA_margin_growth_outlook_CT="(None)","",IFERROR(INDEX(INDIRECT(IFERROR(INDEX(All_Questions_Options_Names,MATCH(All_Questions_Q102_Expected_2025_EBITDA_margin_growth_outlook_CT,All_Questions,0)),"'_Options'!$E$2:$E$2")),8),""))</f>
        <v/>
      </c>
      <c r="N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IF(All_Questions_Q102_Expected_2025_EBITDA_margin_growth_outlook_CT="(None)","",IFERROR(INDEX(INDIRECT(IFERROR(INDEX(All_Questions_Options_Names,MATCH(All_Questions_Q102_Expected_2025_EBITDA_margin_growth_outlook_CT,All_Questions,0)),"'_Options'!$E$2:$E$2")),9),""))</f>
        <v/>
      </c>
      <c r="O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IF(All_Questions_Q102_Expected_2025_EBITDA_margin_growth_outlook_CT="(None)","",IFERROR(INDEX(INDIRECT(IFERROR(INDEX(All_Questions_Options_Names,MATCH(All_Questions_Q102_Expected_2025_EBITDA_margin_growth_outlook_CT,All_Questions,0)),"'_Options'!$E$2:$E$2")),10),""))</f>
        <v/>
      </c>
      <c r="P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IF(All_Questions_Q102_Expected_2025_EBITDA_margin_growth_outlook_CT="(None)","",IFERROR(INDEX(INDIRECT(IFERROR(INDEX(All_Questions_Options_Names,MATCH(All_Questions_Q102_Expected_2025_EBITDA_margin_growth_outlook_CT,All_Questions,0)),"'_Options'!$E$2:$E$2")),11),""))</f>
        <v/>
      </c>
      <c r="Q36" s="2" t="str">
        <f>IF(All_Questions_Q102_Expected_2025_EBITDA_margin_growth_outlook_CT="(None)","",IFERROR(INDEX(INDIRECT(IFERROR(INDEX(All_Questions_Options_Names,MATCH(All_Questions_Q102_Expected_2025_EBITDA_margin_growth_outlook_CT,All_Questions,0)),"'_Options'!$E$2:$E$2")),12),""))</f>
        <v/>
      </c>
      <c r="R36" s="2" t="str">
        <f>IF(All_Questions_Q102_Expected_2025_EBITDA_margin_growth_outlook_CT="(None)","",IF(COUNTA(INDIRECT(IFERROR(INDEX(All_Questions_Options_Names,MATCH(All_Questions_Q102_Expected_2025_EBITDA_margin_growth_outlook_CT,All_Questions,0)),"'_Options'!$E$2:$E$2")))-1&gt;11,"Other",IFERROR(INDEX(INDIRECT(IFERROR(INDEX(All_Questions_Options_Names,MATCH(All_Questions_Q102_Expected_2025_EBITDA_margin_growth_outlook_CT,All_Questions,0)),"'_Options'!$E$2:$E$2")),13),"")))</f>
        <v/>
      </c>
      <c r="S36" s="4" t="inlineStr">
        <is>
          <t>Total</t>
        </is>
      </c>
    </row>
    <row r="37">
      <c r="A37" t="inlineStr">
        <is>
          <t>Higher</t>
        </is>
      </c>
      <c r="B37">
        <f>COUNTIFS(Q102_Expected_2025_EBITDA_margi_data,"Higher",passes_workbook_filters_data,1,passes_workbook_custom_filters_data,1,All_Questions_passes_local_filters_data,1,All_Questions_Q102_Expected_2025_EBITDA_margin_growth_outlook_F_passes_per_q_filter_data,1)</f>
        <v>3</v>
      </c>
      <c r="C37" s="7">
        <f>IFERROR(B37/SUBTOTAL(9,B37:B38),0)</f>
        <v>0.5</v>
      </c>
      <c r="D37" s="14">
        <f>SUBTOTAL(9,B37:B38)</f>
        <v>6</v>
      </c>
      <c r="F37" s="4" t="inlineStr"/>
      <c r="G37" s="4" t="inlineStr">
        <is>
          <t># of resp</t>
        </is>
      </c>
      <c r="H37" s="4" t="inlineStr">
        <is>
          <t># of resp</t>
        </is>
      </c>
      <c r="I37" s="4" t="inlineStr">
        <is>
          <t># of resp</t>
        </is>
      </c>
      <c r="J37" s="4" t="inlineStr">
        <is>
          <t># of resp</t>
        </is>
      </c>
      <c r="K37" s="4" t="inlineStr">
        <is>
          <t># of resp</t>
        </is>
      </c>
      <c r="L37" s="4" t="inlineStr">
        <is>
          <t># of resp</t>
        </is>
      </c>
      <c r="M37" s="4" t="inlineStr">
        <is>
          <t># of resp</t>
        </is>
      </c>
      <c r="N37" s="4" t="inlineStr">
        <is>
          <t># of resp</t>
        </is>
      </c>
      <c r="O37" s="4" t="inlineStr">
        <is>
          <t># of resp</t>
        </is>
      </c>
      <c r="P37" s="4" t="inlineStr">
        <is>
          <t># of resp</t>
        </is>
      </c>
      <c r="Q37" s="4" t="inlineStr">
        <is>
          <t># of resp</t>
        </is>
      </c>
      <c r="R37" s="4" t="inlineStr">
        <is>
          <t># of resp</t>
        </is>
      </c>
      <c r="S37" s="4" t="inlineStr">
        <is>
          <t># of resp</t>
        </is>
      </c>
    </row>
    <row r="38">
      <c r="A38" t="inlineStr">
        <is>
          <t>Lower</t>
        </is>
      </c>
      <c r="B38">
        <f>COUNTIFS(Q102_Expected_2025_EBITDA_margi_data,"Lower",passes_workbook_filters_data,1,passes_workbook_custom_filters_data,1,All_Questions_passes_local_filters_data,1,All_Questions_Q102_Expected_2025_EBITDA_margin_growth_outlook_F_passes_per_q_filter_data,1)</f>
        <v>3</v>
      </c>
      <c r="C38" s="7">
        <f>IFERROR(B38/SUBTOTAL(9,B37:B38),0)</f>
        <v>0.5</v>
      </c>
      <c r="D38" s="14">
        <f>SUBTOTAL(9,B37:B38)</f>
        <v>6</v>
      </c>
      <c r="F38" t="inlineStr">
        <is>
          <t>Higher</t>
        </is>
      </c>
      <c r="G38">
        <f>IF(OR(All_Questions_Q102_Expected_2025_EBITDA_margin_growth_outlook_CT="(None)",G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8">
        <f>IF(OR(All_Questions_Q102_Expected_2025_EBITDA_margin_growth_outlook_CT="(None)",H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8">
        <f>IF(OR(All_Questions_Q102_Expected_2025_EBITDA_margin_growth_outlook_CT="(None)",I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8">
        <f>IF(OR(All_Questions_Q102_Expected_2025_EBITDA_margin_growth_outlook_CT="(None)",J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8">
        <f>IF(OR(All_Questions_Q102_Expected_2025_EBITDA_margin_growth_outlook_CT="(None)",K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8">
        <f>IF(OR(All_Questions_Q102_Expected_2025_EBITDA_margin_growth_outlook_CT="(None)",L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8">
        <f>IF(OR(All_Questions_Q102_Expected_2025_EBITDA_margin_growth_outlook_CT="(None)",M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8">
        <f>IF(OR(All_Questions_Q102_Expected_2025_EBITDA_margin_growth_outlook_CT="(None)",N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8">
        <f>IF(OR(All_Questions_Q102_Expected_2025_EBITDA_margin_growth_outlook_CT="(None)",O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8">
        <f>IF(OR(All_Questions_Q102_Expected_2025_EBITDA_margin_growth_outlook_CT="(None)",P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8">
        <f>IF(OR(All_Questions_Q102_Expected_2025_EBITDA_margin_growth_outlook_CT="(None)",Q$36=""),""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8">
        <f>IF(OR(All_Questions_Q102_Expected_2025_EBITDA_margin_growth_outlook_CT="(None)",R$36=""),"",IF(R$36="Other",COUNTIFS(Q102_Expected_2025_EBITDA_margi_data,"Higher",passes_workbook_filters_data,1,passes_workbook_custom_filters_data,1,All_Questions_passes_local_filters_data,1,All_Questions_Q102_Expected_2025_EBITDA_margin_growth_outlook_F_passes_per_q_filter_data,1)-SUM(G38,H38,I38,J38,K38,L38,M38,N38,O38,P38,Q38),COUNTIFS(Q102_Expected_2025_EBITDA_margi_data,"High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8">
        <f>IF(All_Questions_Q102_Expected_2025_EBITDA_margin_growth_outlook_CT="(None)","",COUNTIFS(Q102_Expected_2025_EBITDA_margi_data,"Higher",passes_workbook_filters_data,1,passes_workbook_custom_filters_data,1,All_Questions_passes_local_filters_data,1,All_Questions_Q102_Expected_2025_EBITDA_margin_growth_outlook_F_passes_per_q_filter_data,1))</f>
        <v>0</v>
      </c>
    </row>
    <row r="39">
      <c r="A39" s="15" t="inlineStr">
        <is>
          <t>Total respondents</t>
        </is>
      </c>
      <c r="B39" s="15" t="n">
        <v>6</v>
      </c>
      <c r="C39" s="15" t="n"/>
      <c r="D39" s="15" t="n"/>
      <c r="F39" t="inlineStr">
        <is>
          <t>Lower</t>
        </is>
      </c>
      <c r="G39">
        <f>IF(OR(All_Questions_Q102_Expected_2025_EBITDA_margin_growth_outlook_CT="(None)",G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G$36))</f>
        <v>0</v>
      </c>
      <c r="H39">
        <f>IF(OR(All_Questions_Q102_Expected_2025_EBITDA_margin_growth_outlook_CT="(None)",H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H$36))</f>
        <v>0</v>
      </c>
      <c r="I39">
        <f>IF(OR(All_Questions_Q102_Expected_2025_EBITDA_margin_growth_outlook_CT="(None)",I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I$36))</f>
        <v>0</v>
      </c>
      <c r="J39">
        <f>IF(OR(All_Questions_Q102_Expected_2025_EBITDA_margin_growth_outlook_CT="(None)",J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J$36))</f>
        <v>0</v>
      </c>
      <c r="K39">
        <f>IF(OR(All_Questions_Q102_Expected_2025_EBITDA_margin_growth_outlook_CT="(None)",K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K$36))</f>
        <v>0</v>
      </c>
      <c r="L39">
        <f>IF(OR(All_Questions_Q102_Expected_2025_EBITDA_margin_growth_outlook_CT="(None)",L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L$36))</f>
        <v>0</v>
      </c>
      <c r="M39">
        <f>IF(OR(All_Questions_Q102_Expected_2025_EBITDA_margin_growth_outlook_CT="(None)",M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M$36))</f>
        <v>0</v>
      </c>
      <c r="N39">
        <f>IF(OR(All_Questions_Q102_Expected_2025_EBITDA_margin_growth_outlook_CT="(None)",N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N$36))</f>
        <v>0</v>
      </c>
      <c r="O39">
        <f>IF(OR(All_Questions_Q102_Expected_2025_EBITDA_margin_growth_outlook_CT="(None)",O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O$36))</f>
        <v>0</v>
      </c>
      <c r="P39">
        <f>IF(OR(All_Questions_Q102_Expected_2025_EBITDA_margin_growth_outlook_CT="(None)",P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P$36))</f>
        <v>0</v>
      </c>
      <c r="Q39">
        <f>IF(OR(All_Questions_Q102_Expected_2025_EBITDA_margin_growth_outlook_CT="(None)",Q$36=""),""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Q$36))</f>
        <v>0</v>
      </c>
      <c r="R39">
        <f>IF(OR(All_Questions_Q102_Expected_2025_EBITDA_margin_growth_outlook_CT="(None)",R$36=""),"",IF(R$36="Other",COUNTIFS(Q102_Expected_2025_EBITDA_margi_data,"Lower",passes_workbook_filters_data,1,passes_workbook_custom_filters_data,1,All_Questions_passes_local_filters_data,1,All_Questions_Q102_Expected_2025_EBITDA_margin_growth_outlook_F_passes_per_q_filter_data,1)-SUM(G39,H39,I39,J39,K39,L39,M39,N39,O39,P39,Q39),COUNTIFS(Q102_Expected_2025_EBITDA_margi_data,"Lower",passes_workbook_filters_data,1,passes_workbook_custom_filters_data,1,All_Questions_passes_local_filters_data,1,All_Questions_Q102_Expected_2025_EBITDA_margin_growth_outlook_F_passes_per_q_filter_data,1,INDIRECT(IFERROR(INDEX(All_Questions_Data_Names,MATCH(All_Questions_Q102_Expected_2025_EBITDA_margin_growth_outlook_CT,All_Questions,0)),"'_RawData'!$A:$A")),R$36)))</f>
        <v>0</v>
      </c>
      <c r="S39">
        <f>IF(All_Questions_Q102_Expected_2025_EBITDA_margin_growth_outlook_CT="(None)","",COUNTIFS(Q102_Expected_2025_EBITDA_margi_data,"Lower",passes_workbook_filters_data,1,passes_workbook_custom_filters_data,1,All_Questions_passes_local_filters_data,1,All_Questions_Q102_Expected_2025_EBITDA_margin_growth_outlook_F_passes_per_q_filter_data,1))</f>
        <v>0</v>
      </c>
    </row>
    <row r="40">
      <c r="F40" s="4" t="inlineStr">
        <is>
          <t>Total respondents</t>
        </is>
      </c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>
        <f>IF(All_Questions_Q102_Expected_2025_EBITDA_margin_growth_outlook_CT="(None)","",COUNTIFS(respondent_id_data,"&lt;&gt;",passes_workbook_filters_data,1,passes_workbook_custom_filters_data,1,All_Questions_passes_local_filters_data,1,All_Questions_Q102_Expected_2025_EBITDA_margin_growth_outlook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8:G39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8:H39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8:I39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8:J39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8:K39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8:L39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8:M39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8:N39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8:O39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8:P39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8:Q39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8:R39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=INDIRECT(IFERROR(INDEX(All_Questions_Options_Names,MATCH(All_Questions_Q14_Expected_2025_Gross_margin_growth_outlook_F_Q,All_Questions,0)),"'_Options'!$E$2:$E$2"))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=INDIRECT(IFERROR(INDEX(All_Questions_Options_Names,MATCH(All_Questions_Q56_Expected_2025_Gross_margin_growth_outlook_F_Q,All_Questions,0)),"'_Options'!$E$2:$E$2"))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=INDIRECT(IFERROR(INDEX(All_Questions_Options_Names,MATCH(All_Questions_Q102_Expected_2025_EBITDA_margin_growth_outlook_F_Q,All_Questions,0)),"'_Options'!$E$2:$E$2"))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49" customWidth="1" min="3" max="3"/>
    <col width="49" customWidth="1" min="4" max="4"/>
    <col width="8" customWidth="1" min="5" max="5"/>
    <col width="11" customWidth="1" min="6" max="6"/>
    <col width="13" customWidth="1" min="7" max="7"/>
    <col width="24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SC_Q14 Expected 2025 Gross margin growth outlook</t>
        </is>
      </c>
      <c r="B2" t="inlineStr">
        <is>
          <t>rate_per_value</t>
        </is>
      </c>
      <c r="C2" t="inlineStr">
        <is>
          <t>Q14 Expected 2025 Gross margin growth outlook</t>
        </is>
      </c>
      <c r="D2" t="inlineStr">
        <is>
          <t>Q14 Expected 2025 Gross margin growth outlook</t>
        </is>
      </c>
      <c r="E2" t="inlineStr"/>
      <c r="G2" t="n">
        <v>6</v>
      </c>
      <c r="H2" t="inlineStr">
        <is>
          <t>rate_per_value formula</t>
        </is>
      </c>
      <c r="I2" t="n">
        <v>0.5</v>
      </c>
      <c r="J2" t="n">
        <v>6</v>
      </c>
      <c r="K2" t="n">
        <v>0</v>
      </c>
      <c r="L2" t="inlineStr">
        <is>
          <t>2026-05-04T12:00:00+00:00</t>
        </is>
      </c>
    </row>
    <row r="3">
      <c r="A3" t="inlineStr">
        <is>
          <t>SC_Q56 Expected 2025 Gross margin growth outlook</t>
        </is>
      </c>
      <c r="B3" t="inlineStr">
        <is>
          <t>rate_per_value</t>
        </is>
      </c>
      <c r="C3" t="inlineStr">
        <is>
          <t>Q56 Expected 2025 Gross margin growth outlook</t>
        </is>
      </c>
      <c r="D3" t="inlineStr">
        <is>
          <t>Q56 Expected 2025 Gross margin growth outlook</t>
        </is>
      </c>
      <c r="E3" t="inlineStr"/>
      <c r="G3" t="n">
        <v>6</v>
      </c>
      <c r="H3" t="inlineStr">
        <is>
          <t>rate_per_value formula</t>
        </is>
      </c>
      <c r="I3" t="n">
        <v>0.5</v>
      </c>
      <c r="J3" t="n">
        <v>6</v>
      </c>
      <c r="K3" t="n">
        <v>0</v>
      </c>
      <c r="L3" t="inlineStr">
        <is>
          <t>2026-05-04T12:00:00+00:00</t>
        </is>
      </c>
    </row>
    <row r="4">
      <c r="A4" t="inlineStr">
        <is>
          <t>SC_Q102 Expected 2025 EBITDA margin growth outlook</t>
        </is>
      </c>
      <c r="B4" t="inlineStr">
        <is>
          <t>rate_per_value</t>
        </is>
      </c>
      <c r="C4" t="inlineStr">
        <is>
          <t>Q102 Expected 2025 EBITDA margin growth outlook</t>
        </is>
      </c>
      <c r="D4" t="inlineStr">
        <is>
          <t>Q102 Expected 2025 EBITDA margin growth outlook</t>
        </is>
      </c>
      <c r="E4" t="inlineStr"/>
      <c r="G4" t="n">
        <v>6</v>
      </c>
      <c r="H4" t="inlineStr">
        <is>
          <t>rate_per_value formula</t>
        </is>
      </c>
      <c r="I4" t="n">
        <v>0.5</v>
      </c>
      <c r="J4" t="n">
        <v>6</v>
      </c>
      <c r="K4" t="n">
        <v>0</v>
      </c>
      <c r="L4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2026-06-08T08:21:49Z</dcterms:created>
  <dcterms:modified xmlns:dcterms="http://purl.org/dc/terms/" xmlns:xsi="http://www.w3.org/2001/XMLSchema-instance" xsi:type="dcterms:W3CDTF">2026-06-08T08:21:49Z</dcterms:modified>
</cp:coreProperties>
</file>