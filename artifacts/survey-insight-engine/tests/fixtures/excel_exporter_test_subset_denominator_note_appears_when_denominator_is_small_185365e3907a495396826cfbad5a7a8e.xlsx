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Questions'!$C$59</definedName>
    <definedName name="All_Questions_Q_VERY_LONG_SINGLE_SELECT_EXPORT_NAME_F_V">'All Questions'!$E$59</definedName>
    <definedName name="All_Questions_Q_VERY_LONG_SINGLE_SELECT_EXPORT_NAME_F_resolved_column">'All Questions'!$F$59</definedName>
    <definedName name="All_Questions_Q_VERY_LONG_SINGLE_SELECT_EXPORT_NAME_F_wrapped">'All Questions'!$G$59</definedName>
    <definedName name="All_Questions_Q_VERY_LONG_SINGLE_SELECT_EXPORT_NAME_F_passes_per_q_filter_data">'_RawData'!$R$2:$R$11</definedName>
    <definedName name="All_Questions_Q_VERY_LONG_SINGLE_SELECT_EXPORT_NAME_CT">'All Questions'!$C$60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C52" i="7"/>
  <c r="D52" i="7"/>
  <c r="E52" i="7"/>
  <c r="F52" i="7"/>
  <c r="C53" i="7"/>
  <c r="D53" i="7"/>
  <c r="E53" i="7"/>
  <c r="F53" i="7"/>
  <c r="F59" i="7"/>
  <c r="G59" i="7"/>
  <c r="G62" i="7"/>
  <c r="H62" i="7"/>
  <c r="I62" i="7"/>
  <c r="J62" i="7"/>
  <c r="K62" i="7"/>
  <c r="L62" i="7"/>
  <c r="M62" i="7"/>
  <c r="N62" i="7"/>
  <c r="O62" i="7"/>
  <c r="P62" i="7"/>
  <c r="Q62" i="7"/>
  <c r="R62" i="7"/>
  <c r="B63" i="7"/>
  <c r="C63" i="7"/>
  <c r="D63" i="7"/>
  <c r="B64" i="7"/>
  <c r="C64" i="7"/>
  <c r="D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1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2_1" displayName="T_All_Questions_62_1" ref="A62:D65" headerRowCount="1">
  <autoFilter ref="A62:D6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7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7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7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7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7" t="n">
        <v>5.5</v>
      </c>
      <c r="C43" t="inlineStr">
        <is>
          <t>static baseline</t>
        </is>
      </c>
      <c r="D43" s="15" t="n">
        <v>10</v>
      </c>
    </row>
    <row r="44"/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49"/>
    <row r="50">
      <c r="A50" s="4" t="inlineStr">
        <is>
          <t>Sub-question ID</t>
        </is>
      </c>
      <c r="B50" s="4" t="inlineStr">
        <is>
          <t>Sub-question</t>
        </is>
      </c>
      <c r="C50" s="4" t="inlineStr">
        <is>
          <t>High</t>
        </is>
      </c>
      <c r="D50" s="2" t="n"/>
      <c r="E50" s="4" t="inlineStr">
        <is>
          <t>Low</t>
        </is>
      </c>
      <c r="F50" s="2" t="n"/>
    </row>
    <row r="51">
      <c r="A51" s="2" t="inlineStr"/>
      <c r="B51" s="2" t="inlineStr"/>
      <c r="C51" s="4" t="inlineStr">
        <is>
          <t>Count</t>
        </is>
      </c>
      <c r="D51" s="4" t="inlineStr">
        <is>
          <t>%</t>
        </is>
      </c>
      <c r="E51" s="4" t="inlineStr">
        <is>
          <t>Count</t>
        </is>
      </c>
      <c r="F51" s="4" t="inlineStr">
        <is>
          <t>%</t>
        </is>
      </c>
    </row>
    <row r="52">
      <c r="A52" s="18" t="inlineStr">
        <is>
          <t>Q_GRID_EXPORTr1</t>
        </is>
      </c>
      <c r="B52" t="inlineStr">
        <is>
          <t>Grid first row</t>
        </is>
      </c>
      <c r="C52">
        <f>COUNTIFS(Q_GRID_EXPORTr1_data,"High",passes_workbook_filters_data,1,passes_workbook_custom_filters_data,1,All_Questions_passes_local_filters_data,1,All_Questions_Q_GRID_EXPORT_F_passes_per_q_filter_data,1)</f>
        <v>6</v>
      </c>
      <c r="D52" s="7">
        <f>IFERROR(C52/10,0)</f>
        <v>0.6</v>
      </c>
      <c r="E52">
        <f>COUNTIFS(Q_GRID_EXPORTr1_data,"Low",passes_workbook_filters_data,1,passes_workbook_custom_filters_data,1,All_Questions_passes_local_filters_data,1,All_Questions_Q_GRID_EXPORT_F_passes_per_q_filter_data,1)</f>
        <v>4</v>
      </c>
      <c r="F52" s="7">
        <f>IFERROR(E52/10,0)</f>
        <v>0.4</v>
      </c>
    </row>
    <row r="53">
      <c r="A53" s="18" t="inlineStr">
        <is>
          <t>Q_GRID_EXPORTr2</t>
        </is>
      </c>
      <c r="B53" t="inlineStr">
        <is>
          <t>Grid second row</t>
        </is>
      </c>
      <c r="C53">
        <f>COUNTIFS(Q_GRID_EXPORTr2_data,"High",passes_workbook_filters_data,1,passes_workbook_custom_filters_data,1,All_Questions_passes_local_filters_data,1,All_Questions_Q_GRID_EXPORT_F_passes_per_q_filter_data,1)</f>
        <v>5</v>
      </c>
      <c r="D53" s="7">
        <f>IFERROR(C53/10,0)</f>
        <v>0.5</v>
      </c>
      <c r="E53">
        <f>COUNTIFS(Q_GRID_EXPORTr2_data,"Low",passes_workbook_filters_data,1,passes_workbook_custom_filters_data,1,All_Questions_passes_local_filters_data,1,All_Questions_Q_GRID_EXPORT_F_passes_per_q_filter_data,1)</f>
        <v>5</v>
      </c>
      <c r="F53" s="7">
        <f>IFERROR(E53/10,0)</f>
        <v>0.5</v>
      </c>
    </row>
    <row r="54">
      <c r="A54" s="16" t="inlineStr">
        <is>
          <t>Total respondents</t>
        </is>
      </c>
      <c r="B54" s="16" t="n">
        <v>10</v>
      </c>
      <c r="C54" s="16" t="n"/>
      <c r="D54" s="16" t="n"/>
      <c r="E54" s="16" t="n"/>
      <c r="F54" s="16" t="n"/>
    </row>
    <row r="55">
      <c r="A55" s="4" t="inlineStr">
        <is>
          <t>Total responses</t>
        </is>
      </c>
      <c r="B55" s="4" t="n">
        <v>20</v>
      </c>
      <c r="C55" s="4" t="n"/>
      <c r="D55" s="4" t="n"/>
      <c r="E55" s="4" t="n"/>
      <c r="F55" s="4" t="n"/>
    </row>
    <row r="56"/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2" t="inlineStr">
        <is>
          <t>Q_VERY_LONG_SINGLE_SELECT_EXPORT_NAME - Long sheet name export question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3" t="inlineStr">
        <is>
          <t>Per-question filter</t>
        </is>
      </c>
      <c r="B59" t="inlineStr">
        <is>
          <t>Filter Q</t>
        </is>
      </c>
      <c r="C59" t="inlineStr">
        <is>
          <t>(None)</t>
        </is>
      </c>
      <c r="D59" t="inlineStr">
        <is>
          <t>Value</t>
        </is>
      </c>
      <c r="E59" t="inlineStr">
        <is>
          <t>(All)</t>
        </is>
      </c>
      <c r="F59" t="str">
        <f>IFERROR(INDEX(All_Questions_Data_Names,MATCH(All_Questions_Q_VERY_LONG_SINGLE_SELECT_EXPORT_NAME_F_Q,All_Questions,0)),"'_RawData'!$A:$A")</f>
        <v>respondent_id_data</v>
      </c>
      <c r="G59" t="str">
        <f>"|" &amp; SUBSTITUTE(All_Questions_Q_VERY_LONG_SINGLE_SELECT_EXPORT_NAME_F_V, ", ", "|") &amp; "|"</f>
        <v>|(All)|</v>
      </c>
    </row>
    <row r="60">
      <c r="A60" s="13" t="inlineStr">
        <is>
          <t>Cross-tab by</t>
        </is>
      </c>
      <c r="C60" t="inlineStr">
        <is>
          <t>(None)</t>
        </is>
      </c>
    </row>
    <row r="61"/>
    <row r="62">
      <c r="A62" s="4" t="inlineStr">
        <is>
          <t>Option</t>
        </is>
      </c>
      <c r="B62" s="4" t="inlineStr">
        <is>
          <t>Count</t>
        </is>
      </c>
      <c r="C62" s="4" t="inlineStr">
        <is>
          <t>%</t>
        </is>
      </c>
      <c r="D62" s="4" t="inlineStr">
        <is>
          <t>Denominator</t>
        </is>
      </c>
      <c r="F62" s="4" t="inlineStr">
        <is>
          <t>Option</t>
        </is>
      </c>
      <c r="G6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2" s="4" t="inlineStr">
        <is>
          <t>Total</t>
        </is>
      </c>
    </row>
    <row r="63">
      <c r="A63" t="inlineStr">
        <is>
          <t>A</t>
        </is>
      </c>
      <c r="B6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3" s="7">
        <f>IFERROR(B63/SUBTOTAL(9,B63:B64),0)</f>
        <v>0.7</v>
      </c>
      <c r="D63" s="15">
        <f>SUBTOTAL(9,B63:B64)</f>
        <v>10</v>
      </c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A64" t="inlineStr">
        <is>
          <t>B</t>
        </is>
      </c>
      <c r="B6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4" s="7">
        <f>IFERROR(B64/SUBTOTAL(9,B63:B64),0)</f>
        <v>0.3</v>
      </c>
      <c r="D64" s="15">
        <f>SUBTOTAL(9,B63:B64)</f>
        <v>10</v>
      </c>
      <c r="F64" t="inlineStr">
        <is>
          <t>A</t>
        </is>
      </c>
      <c r="G64">
        <f>IF(OR(All_Questions_Q_VERY_LONG_SINGLE_SELECT_EXPORT_NAME_CT="(None)",G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4">
        <f>IF(OR(All_Questions_Q_VERY_LONG_SINGLE_SELECT_EXPORT_NAME_CT="(None)",H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4">
        <f>IF(OR(All_Questions_Q_VERY_LONG_SINGLE_SELECT_EXPORT_NAME_CT="(None)",I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4">
        <f>IF(OR(All_Questions_Q_VERY_LONG_SINGLE_SELECT_EXPORT_NAME_CT="(None)",J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4">
        <f>IF(OR(All_Questions_Q_VERY_LONG_SINGLE_SELECT_EXPORT_NAME_CT="(None)",K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4">
        <f>IF(OR(All_Questions_Q_VERY_LONG_SINGLE_SELECT_EXPORT_NAME_CT="(None)",L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4">
        <f>IF(OR(All_Questions_Q_VERY_LONG_SINGLE_SELECT_EXPORT_NAME_CT="(None)",M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4">
        <f>IF(OR(All_Questions_Q_VERY_LONG_SINGLE_SELECT_EXPORT_NAME_CT="(None)",N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4">
        <f>IF(OR(All_Questions_Q_VERY_LONG_SINGLE_SELECT_EXPORT_NAME_CT="(None)",O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4">
        <f>IF(OR(All_Questions_Q_VERY_LONG_SINGLE_SELECT_EXPORT_NAME_CT="(None)",P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4">
        <f>IF(OR(All_Questions_Q_VERY_LONG_SINGLE_SELECT_EXPORT_NAME_CT="(None)",Q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4">
        <f>IF(OR(All_Questions_Q_VERY_LONG_SINGLE_SELECT_EXPORT_NAME_CT="(None)",R$62=""),"",IF(R$62="Other",COUNTIFS(Q_VERY_LONG_SINGLE_SELECT_EXPOR_data,"A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5">
      <c r="A65" s="16" t="inlineStr">
        <is>
          <t>Total respondents</t>
        </is>
      </c>
      <c r="B65" s="16" t="n">
        <v>10</v>
      </c>
      <c r="C65" s="16" t="n"/>
      <c r="D65" s="16" t="n"/>
      <c r="F65" t="inlineStr">
        <is>
          <t>B</t>
        </is>
      </c>
      <c r="G65">
        <f>IF(OR(All_Questions_Q_VERY_LONG_SINGLE_SELECT_EXPORT_NAME_CT="(None)",G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5">
        <f>IF(OR(All_Questions_Q_VERY_LONG_SINGLE_SELECT_EXPORT_NAME_CT="(None)",H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5">
        <f>IF(OR(All_Questions_Q_VERY_LONG_SINGLE_SELECT_EXPORT_NAME_CT="(None)",I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5">
        <f>IF(OR(All_Questions_Q_VERY_LONG_SINGLE_SELECT_EXPORT_NAME_CT="(None)",J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5">
        <f>IF(OR(All_Questions_Q_VERY_LONG_SINGLE_SELECT_EXPORT_NAME_CT="(None)",K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5">
        <f>IF(OR(All_Questions_Q_VERY_LONG_SINGLE_SELECT_EXPORT_NAME_CT="(None)",L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5">
        <f>IF(OR(All_Questions_Q_VERY_LONG_SINGLE_SELECT_EXPORT_NAME_CT="(None)",M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5">
        <f>IF(OR(All_Questions_Q_VERY_LONG_SINGLE_SELECT_EXPORT_NAME_CT="(None)",N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5">
        <f>IF(OR(All_Questions_Q_VERY_LONG_SINGLE_SELECT_EXPORT_NAME_CT="(None)",O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5">
        <f>IF(OR(All_Questions_Q_VERY_LONG_SINGLE_SELECT_EXPORT_NAME_CT="(None)",P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5">
        <f>IF(OR(All_Questions_Q_VERY_LONG_SINGLE_SELECT_EXPORT_NAME_CT="(None)",Q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5">
        <f>IF(OR(All_Questions_Q_VERY_LONG_SINGLE_SELECT_EXPORT_NAME_CT="(None)",R$62=""),"",IF(R$62="Other",COUNTIFS(Q_VERY_LONG_SINGLE_SELECT_EXPOR_data,"B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0:D50"/>
    <mergeCell ref="A1:J1"/>
    <mergeCell ref="E50:F5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2:D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2:F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3:B6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3:C6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9" showDropDown="0" showInputMessage="0" showErrorMessage="0" allowBlank="1" type="list">
      <formula1>=All_Questions</formula1>
    </dataValidation>
    <dataValidation sqref="E5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0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2026-06-04T06:00:14Z</dcterms:created>
  <dcterms:modified xmlns:dcterms="http://purl.org/dc/terms/" xmlns:xsi="http://www.w3.org/2001/XMLSchema-instance" xsi:type="dcterms:W3CDTF">2026-06-04T06:00:14Z</dcterms:modified>
</cp:coreProperties>
</file>