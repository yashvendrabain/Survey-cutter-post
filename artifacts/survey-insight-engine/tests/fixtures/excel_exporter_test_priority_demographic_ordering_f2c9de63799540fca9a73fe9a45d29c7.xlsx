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ountry">'Filters'!$B$3</definedName>
    <definedName name="F_Country_wrapped">'Filters'!$C$3</definedName>
    <definedName name="F_Industry">'Filters'!$B$4</definedName>
    <definedName name="F_Indus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CT">'Demographics'!$C$16</definedName>
    <definedName name="Demographics_Q_MS_EXPORT_F_Q">'Demographics'!$C$24</definedName>
    <definedName name="Demographics_Q_MS_EXPORT_F_V">'Demographics'!$E$24</definedName>
    <definedName name="Demographics_Q_MS_EXPORT_F_resolved_column">'Demographics'!$F$24</definedName>
    <definedName name="Demographics_Q_MS_EXPORT_F_wrapped">'Demographics'!$G$24</definedName>
    <definedName name="Demographics_Q_MS_EXPORT_CT">'Demographics'!$C$25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CT">'All Questions'!$C$28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CT">'All Questions'!$C$37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3" authorId="0" shapeId="0">
      <text>
        <t>Single select export question</t>
      </text>
    </comment>
    <comment ref="A4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3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0" headerRowCount="1">
  <autoFilter ref="A18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7_1" displayName="T_Demographics_27_1" ref="A27:D29" headerRowCount="1">
  <autoFilter ref="A27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9_1" displayName="T_All_Questions_39_1" ref="A39:D41" headerRowCount="1">
  <autoFilter ref="A39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3">
      <c r="A3" t="inlineStr">
        <is>
          <t>Q_SS_EXPORT - Single select export question</t>
        </is>
      </c>
      <c r="B3" t="inlineStr">
        <is>
          <t>(All)</t>
        </is>
      </c>
      <c r="C3">
        <f>"|" &amp; SUBSTITUTE(SUBSTITUTE(F_Country, ", ", "|"), ",", "|") &amp; "|"</f>
        <v/>
      </c>
      <c r="D3" t="inlineStr">
        <is>
          <t>Yes, No</t>
        </is>
      </c>
    </row>
    <row r="4">
      <c r="A4" t="inlineStr">
        <is>
          <t>Q_MS_EXPORT - Multi select export question</t>
        </is>
      </c>
      <c r="B4" t="inlineStr">
        <is>
          <t>(All)</t>
        </is>
      </c>
      <c r="C4">
        <f>"|" &amp; SUBSTITUTE(SUBSTITUTE(F_Industry, ", ", "|"), ",", "|") &amp; "|"</f>
        <v/>
      </c>
      <c r="D4" t="inlineStr">
        <is>
          <t>Selected</t>
        </is>
      </c>
    </row>
    <row r="6">
      <c r="A6" s="3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SUBSTITUTE(SUBSTITUTE(F_Custom1_V, ", ", "|"), ",",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SUBSTITUTE(SUBSTITUTE(F_Custom2_V, ", ", "|"), ",", "|") &amp; "|"</f>
        <v/>
      </c>
    </row>
  </sheetData>
  <dataValidations count="6">
    <dataValidation sqref="B3" showDropDown="0" showInputMessage="0" showErrorMessage="0" allowBlank="1" type="list">
      <formula1>=Q_SS_EXPORT_options</formula1>
    </dataValidation>
    <dataValidation sqref="B4" showDropDown="0" showInputMessage="0" showErrorMessage="0" allowBlank="1" type="list">
      <formula1>=Q_MS_EXPORTr1_options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5" t="inlineStr">
        <is>
          <t>Demographics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5" t="inlineStr">
        <is>
          <t>Demographics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Demographics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IF(Demographics_F_Country="(Inherit)",F_Country,Demographics_F_Country)</f>
        <v/>
      </c>
      <c r="D5">
        <f>"|" &amp; SUBSTITUTE(SUBSTITUTE(Demographics_F_Country_resolved, ", ", "|"), ",",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IF(Demographics_F_Industry="(Inherit)",F_Industry,Demographics_F_Industry)</f>
        <v/>
      </c>
      <c r="D6">
        <f>"|" &amp; SUBSTITUTE(SUBSTITUTE(Demographics_F_Industry_resolved, ", ", "|"), ",",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IF(Demographics_F_Custom1_Q="(Inherit)",F_Custom1_Q,Demographics_F_Custom1_Q)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IF(Demographics_F_Custom1_V="(Inherit)",F_Custom1_V,Demographics_F_Custom1_V)</f>
        <v/>
      </c>
      <c r="D8">
        <f>"|" &amp; SUBSTITUTE(SUBSTITUTE(Demographics_F_Custom1_V_resolved, ", ", "|"), ",", "|") &amp; "|"</f>
        <v/>
      </c>
      <c r="E8" t="inlineStr">
        <is>
          <t>Choose one value or type comma-separated values</t>
        </is>
      </c>
      <c r="F8">
        <f>IF(Demographics_F_Custom1_Q_resolved="(None)","respondent_id_data",Demographics_F_Custom1_Q_resolved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IF(Demographics_F_Custom2_Q="(Inherit)",F_Custom2_Q,Demographics_F_Custom2_Q)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IF(Demographics_F_Custom2_V="(Inherit)",F_Custom2_V,Demographics_F_Custom2_V)</f>
        <v/>
      </c>
      <c r="D10">
        <f>"|" &amp; SUBSTITUTE(SUBSTITUTE(Demographics_F_Custom2_V_resolved, ", ", "|"), ",", "|") &amp; "|"</f>
        <v/>
      </c>
      <c r="E10" t="inlineStr">
        <is>
          <t>Choose one value or type comma-separated values</t>
        </is>
      </c>
      <c r="F10">
        <f>IF(Demographics_F_Custom2_Q_resolved="(None)","respondent_id_data",Demographics_F_Custom2_Q_resolved &amp; "_data")</f>
        <v/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1" t="inlineStr">
        <is>
          <t>Q_SS_EXPORT - Single select export question</t>
        </is>
      </c>
    </row>
    <row r="15">
      <c r="A15" s="12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IF(Demographics_Q_SS_EXPORT_F_Q="(None)","respondent_id_data",Demographics_Q_SS_EXPORT_F_Q &amp; "_data")</f>
        <v/>
      </c>
      <c r="G15">
        <f>"|" &amp; SUBSTITUTE(SUBSTITUTE(Demographics_Q_SS_EXPORT_F_V, ", ", "|"), ",", "|") &amp; "|"</f>
        <v/>
      </c>
    </row>
    <row r="16">
      <c r="A16" s="12" t="inlineStr">
        <is>
          <t>Cross-tab by</t>
        </is>
      </c>
      <c r="C16" t="inlineStr">
        <is>
          <t>(None)</t>
        </is>
      </c>
    </row>
    <row r="18">
      <c r="A18" s="3" t="inlineStr">
        <is>
          <t>Option</t>
        </is>
      </c>
      <c r="B18" s="3" t="inlineStr">
        <is>
          <t>Count</t>
        </is>
      </c>
      <c r="C18" s="3" t="inlineStr">
        <is>
          <t>%</t>
        </is>
      </c>
      <c r="D18" s="3" t="inlineStr">
        <is>
          <t>Denominator</t>
        </is>
      </c>
      <c r="F18" s="4" t="inlineStr">
        <is>
          <t>Option \ Cross-tab</t>
        </is>
      </c>
      <c r="G18">
        <f>IFERROR(INDEX(INDIRECT(Demographics_Q_SS_EXPORT_CT &amp; "_options"),2),"")</f>
        <v/>
      </c>
      <c r="H18">
        <f>IFERROR(INDEX(INDIRECT(Demographics_Q_SS_EXPORT_CT &amp; "_options"),3),"")</f>
        <v/>
      </c>
      <c r="I18">
        <f>IFERROR(INDEX(INDIRECT(Demographics_Q_SS_EXPORT_CT &amp; "_options"),4),"")</f>
        <v/>
      </c>
      <c r="J18">
        <f>IFERROR(INDEX(INDIRECT(Demographics_Q_SS_EXPORT_CT &amp; "_options"),5),"")</f>
        <v/>
      </c>
      <c r="K18">
        <f>IFERROR(INDEX(INDIRECT(Demographics_Q_SS_EXPORT_CT &amp; "_options"),6),"")</f>
        <v/>
      </c>
      <c r="L18">
        <f>IFERROR(INDEX(INDIRECT(Demographics_Q_SS_EXPORT_CT &amp; "_options"),7),"")</f>
        <v/>
      </c>
      <c r="M18">
        <f>IFERROR(INDEX(INDIRECT(Demographics_Q_SS_EXPORT_CT &amp; "_options"),8),"")</f>
        <v/>
      </c>
      <c r="N18">
        <f>IFERROR(INDEX(INDIRECT(Demographics_Q_SS_EXPORT_CT &amp; "_options"),9),"")</f>
        <v/>
      </c>
      <c r="O18" s="4" t="inlineStr">
        <is>
          <t>TOTAL</t>
        </is>
      </c>
    </row>
    <row r="19">
      <c r="A19" t="inlineStr">
        <is>
          <t>Yes</t>
        </is>
      </c>
      <c r="B1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)</f>
        <v/>
      </c>
      <c r="C19" s="6">
        <f>IFERROR(B19/SUBTOTAL(9,B19:B20),0)</f>
        <v/>
      </c>
      <c r="D19" s="13">
        <f>SUBTOTAL(9,B19:B20)</f>
        <v/>
      </c>
      <c r="F19" t="inlineStr">
        <is>
          <t>Yes</t>
        </is>
      </c>
      <c r="G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"_data")=G$18)))</f>
        <v/>
      </c>
      <c r="H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"_data")=H$18)))</f>
        <v/>
      </c>
      <c r="I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"_data")=I$18)))</f>
        <v/>
      </c>
      <c r="J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"_data")=J$18)))</f>
        <v/>
      </c>
      <c r="K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"_data")=K$18)))</f>
        <v/>
      </c>
      <c r="L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"_data")=L$18)))</f>
        <v/>
      </c>
      <c r="M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"_data")=M$18)))</f>
        <v/>
      </c>
      <c r="N19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Yes")*--(INDIRECT(Demographics_Q_SS_EXPORT_CT &amp; "_data")=N$18)))</f>
        <v/>
      </c>
      <c r="O19">
        <f>SUM(G19:N19)</f>
        <v/>
      </c>
    </row>
    <row r="20">
      <c r="A20" t="inlineStr">
        <is>
          <t>No</t>
        </is>
      </c>
      <c r="B20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)</f>
        <v/>
      </c>
      <c r="C20" s="6">
        <f>IFERROR(B20/SUBTOTAL(9,B19:B20),0)</f>
        <v/>
      </c>
      <c r="D20" s="13">
        <f>SUBTOTAL(9,B19:B20)</f>
        <v/>
      </c>
      <c r="F20" t="inlineStr">
        <is>
          <t>No</t>
        </is>
      </c>
      <c r="G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"_data")=G$18)))</f>
        <v/>
      </c>
      <c r="H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"_data")=H$18)))</f>
        <v/>
      </c>
      <c r="I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"_data")=I$18)))</f>
        <v/>
      </c>
      <c r="J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"_data")=J$18)))</f>
        <v/>
      </c>
      <c r="K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"_data")=K$18)))</f>
        <v/>
      </c>
      <c r="L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"_data")=L$18)))</f>
        <v/>
      </c>
      <c r="M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"_data")=M$18)))</f>
        <v/>
      </c>
      <c r="N20">
        <f>IF(Demographics_Q_S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SS_EXPORT_F_Q="(None)",1,IF(Demographics_Q_SS_EXPORT_F_wrapped="|(All)|",1,--ISNUMBER(SEARCH("|"&amp;INDIRECT(Demographics_Q_SS_EXPORT_F_resolved_column)&amp;"|",Demographics_Q_SS_EXPORT_F_wrapped))))*--(Q_SS_EXPORT_data="No")*--(INDIRECT(Demographics_Q_SS_EXPORT_CT &amp; "_data")=N$18)))</f>
        <v/>
      </c>
      <c r="O20">
        <f>SUM(G20:N20)</f>
        <v/>
      </c>
    </row>
    <row r="22">
      <c r="A22" s="10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>
      <c r="A23" s="11" t="inlineStr">
        <is>
          <t>Q_MS_EXPORT - Multi select export question</t>
        </is>
      </c>
    </row>
    <row r="24">
      <c r="A24" s="12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>
        <f>IF(Demographics_Q_MS_EXPORT_F_Q="(None)","respondent_id_data",Demographics_Q_MS_EXPORT_F_Q &amp; "_data")</f>
        <v/>
      </c>
      <c r="G24">
        <f>"|" &amp; SUBSTITUTE(SUBSTITUTE(Demographics_Q_MS_EXPORT_F_V, ", ", "|"), ",", "|") &amp; "|"</f>
        <v/>
      </c>
    </row>
    <row r="25">
      <c r="A25" s="12" t="inlineStr">
        <is>
          <t>Cross-tab by</t>
        </is>
      </c>
      <c r="C25" t="inlineStr">
        <is>
          <t>(None)</t>
        </is>
      </c>
    </row>
    <row r="27">
      <c r="A27" s="3" t="inlineStr">
        <is>
          <t>Option</t>
        </is>
      </c>
      <c r="B27" s="3" t="inlineStr">
        <is>
          <t>Count</t>
        </is>
      </c>
      <c r="C27" s="3" t="inlineStr">
        <is>
          <t>%</t>
        </is>
      </c>
      <c r="D27" s="3" t="inlineStr">
        <is>
          <t>Denominator</t>
        </is>
      </c>
      <c r="F27" s="4" t="inlineStr">
        <is>
          <t>Option \ Cross-tab</t>
        </is>
      </c>
      <c r="G27">
        <f>IFERROR(INDEX(INDIRECT(Demographics_Q_MS_EXPORT_CT &amp; "_options"),2),"")</f>
        <v/>
      </c>
      <c r="H27">
        <f>IFERROR(INDEX(INDIRECT(Demographics_Q_MS_EXPORT_CT &amp; "_options"),3),"")</f>
        <v/>
      </c>
      <c r="I27">
        <f>IFERROR(INDEX(INDIRECT(Demographics_Q_MS_EXPORT_CT &amp; "_options"),4),"")</f>
        <v/>
      </c>
      <c r="J27">
        <f>IFERROR(INDEX(INDIRECT(Demographics_Q_MS_EXPORT_CT &amp; "_options"),5),"")</f>
        <v/>
      </c>
      <c r="K27">
        <f>IFERROR(INDEX(INDIRECT(Demographics_Q_MS_EXPORT_CT &amp; "_options"),6),"")</f>
        <v/>
      </c>
      <c r="L27">
        <f>IFERROR(INDEX(INDIRECT(Demographics_Q_MS_EXPORT_CT &amp; "_options"),7),"")</f>
        <v/>
      </c>
      <c r="M27">
        <f>IFERROR(INDEX(INDIRECT(Demographics_Q_MS_EXPORT_CT &amp; "_options"),8),"")</f>
        <v/>
      </c>
      <c r="N27">
        <f>IFERROR(INDEX(INDIRECT(Demographics_Q_MS_EXPORT_CT &amp; "_options"),9),"")</f>
        <v/>
      </c>
      <c r="O27" s="4" t="inlineStr">
        <is>
          <t>TOTAL</t>
        </is>
      </c>
    </row>
    <row r="28">
      <c r="A28" t="inlineStr">
        <is>
          <t>First</t>
        </is>
      </c>
      <c r="B28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)</f>
        <v/>
      </c>
      <c r="C28" s="6">
        <f>IFERROR(B28/SUBTOTAL(9,B28:B29),0)</f>
        <v/>
      </c>
      <c r="D28" s="13">
        <f>SUBTOTAL(9,B28:B29)</f>
        <v/>
      </c>
      <c r="F28" t="inlineStr">
        <is>
          <t>First</t>
        </is>
      </c>
      <c r="G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"_data")=G$27)))</f>
        <v/>
      </c>
      <c r="H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"_data")=H$27)))</f>
        <v/>
      </c>
      <c r="I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"_data")=I$27)))</f>
        <v/>
      </c>
      <c r="J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"_data")=J$27)))</f>
        <v/>
      </c>
      <c r="K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"_data")=K$27)))</f>
        <v/>
      </c>
      <c r="L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"_data")=L$27)))</f>
        <v/>
      </c>
      <c r="M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"_data")=M$27)))</f>
        <v/>
      </c>
      <c r="N28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1_data="Selected")*--(INDIRECT(Demographics_Q_MS_EXPORT_CT &amp; "_data")=N$27)))</f>
        <v/>
      </c>
      <c r="O28">
        <f>SUM(G28:N28)</f>
        <v/>
      </c>
    </row>
    <row r="29">
      <c r="A29" t="inlineStr">
        <is>
          <t>Second</t>
        </is>
      </c>
      <c r="B29">
        <f>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)</f>
        <v/>
      </c>
      <c r="C29" s="6">
        <f>IFERROR(B29/SUBTOTAL(9,B28:B29),0)</f>
        <v/>
      </c>
      <c r="D29" s="13">
        <f>SUBTOTAL(9,B28:B29)</f>
        <v/>
      </c>
      <c r="F29" t="inlineStr">
        <is>
          <t>Second</t>
        </is>
      </c>
      <c r="G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"_data")=G$27)))</f>
        <v/>
      </c>
      <c r="H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"_data")=H$27)))</f>
        <v/>
      </c>
      <c r="I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"_data")=I$27)))</f>
        <v/>
      </c>
      <c r="J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"_data")=J$27)))</f>
        <v/>
      </c>
      <c r="K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"_data")=K$27)))</f>
        <v/>
      </c>
      <c r="L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"_data")=L$27)))</f>
        <v/>
      </c>
      <c r="M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"_data")=M$27)))</f>
        <v/>
      </c>
      <c r="N29">
        <f>IF(Demographics_Q_MS_EXPORT_CT="(None)","",SUMPRODUCT(IF(Demographics_F_Country_resolved="(All)",1,--ISNUMBER(SEARCH("|"&amp;Q_SS_EXPORT_data&amp;"|",Demographics_F_Country_wrapped)))*IF(Demographics_F_Industry_resolved="(All)",1,--ISNUMBER(SEARCH("|"&amp;Q_MS_EXPORTr1_data&amp;"|",Demographics_F_Industry_wrapped)))*IF(Demographics_F_Custom1_Q_resolved="(None)",1,IF(Demographics_F_Custom1_wrapped="|(All)|",1,--ISNUMBER(SEARCH("|"&amp;INDIRECT(Demographics_F_Custom1_resolved_column)&amp;"|",Demographics_F_Custom1_wrapped))))*IF(Demographics_F_Custom2_Q_resolved="(None)",1,IF(Demographics_F_Custom2_wrapped="|(All)|",1,--ISNUMBER(SEARCH("|"&amp;INDIRECT(Demographics_F_Custom2_resolved_column)&amp;"|",Demographics_F_Custom2_wrapped))))*IF(Demographics_Q_MS_EXPORT_F_Q="(None)",1,IF(Demographics_Q_MS_EXPORT_F_wrapped="|(All)|",1,--ISNUMBER(SEARCH("|"&amp;INDIRECT(Demographics_Q_MS_EXPORT_F_resolved_column)&amp;"|",Demographics_Q_MS_EXPORT_F_wrapped))))*--(Q_MS_EXPORTr2_data="Selected")*--(INDIRECT(Demographics_Q_MS_EXPORT_CT &amp; "_data")=N$27)))</f>
        <v/>
      </c>
      <c r="O29">
        <f>SUM(G29:N29)</f>
        <v/>
      </c>
    </row>
  </sheetData>
  <mergeCells count="3">
    <mergeCell ref="A1:J1"/>
    <mergeCell ref="A23:J23"/>
    <mergeCell ref="A14:J14"/>
  </mergeCells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6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=INDIRECT(IF(Demographics_Q_MS_EXPORT_F_Q="(None)","None_options",Demographics_Q_MS_EXPORT_F_Q &amp; "_options"))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IF(All_Questions_F_Country="(Inherit)",F_Country,All_Questions_F_Country)</f>
        <v/>
      </c>
      <c r="D5">
        <f>"|" &amp; SUBSTITUTE(SUBSTITUTE(All_Questions_F_Country_resolved, ", ", "|"), ",", "|") &amp; "|"</f>
        <v/>
      </c>
      <c r="E5" t="inlineStr">
        <is>
          <t>Yes, No</t>
        </is>
      </c>
    </row>
    <row r="6">
      <c r="A6" t="inlineStr">
        <is>
          <t>Q_MS_EXPORT - Multi select export question</t>
        </is>
      </c>
      <c r="B6" t="inlineStr">
        <is>
          <t>(Inherit)</t>
        </is>
      </c>
      <c r="C6">
        <f>IF(All_Questions_F_Industry="(Inherit)",F_Industry,All_Questions_F_Industry)</f>
        <v/>
      </c>
      <c r="D6">
        <f>"|" &amp; SUBSTITUTE(SUBSTITUTE(All_Questions_F_Industry_resolved, ", ", "|"), ",", "|") &amp; "|"</f>
        <v/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>
        <f>IF(All_Questions_F_Custom1_Q="(Inherit)",F_Custom1_Q,All_Questions_F_Custom1_Q)</f>
        <v/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>
        <f>IF(All_Questions_F_Custom1_V="(Inherit)",F_Custom1_V,All_Questions_F_Custom1_V)</f>
        <v/>
      </c>
      <c r="D8">
        <f>"|" &amp; SUBSTITUTE(SUBSTITUTE(All_Questions_F_Custom1_V_resolved, ", ", "|"), ",", "|") &amp; "|"</f>
        <v/>
      </c>
      <c r="E8" t="inlineStr">
        <is>
          <t>Choose one value or type comma-separated values</t>
        </is>
      </c>
      <c r="F8">
        <f>IF(All_Questions_F_Custom1_Q_resolved="(None)","respondent_id_data",All_Questions_F_Custom1_Q_resolved &amp; "_data")</f>
        <v/>
      </c>
    </row>
    <row r="9">
      <c r="A9" t="inlineStr">
        <is>
          <t>Custom 2 question</t>
        </is>
      </c>
      <c r="B9" t="inlineStr">
        <is>
          <t>(Inherit)</t>
        </is>
      </c>
      <c r="C9">
        <f>IF(All_Questions_F_Custom2_Q="(Inherit)",F_Custom2_Q,All_Questions_F_Custom2_Q)</f>
        <v/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>
        <f>IF(All_Questions_F_Custom2_V="(Inherit)",F_Custom2_V,All_Questions_F_Custom2_V)</f>
        <v/>
      </c>
      <c r="D10">
        <f>"|" &amp; SUBSTITUTE(SUBSTITUTE(All_Questions_F_Custom2_V_resolved, ", ", "|"), ",", "|") &amp; "|"</f>
        <v/>
      </c>
      <c r="E10" t="inlineStr">
        <is>
          <t>Choose one value or type comma-separated values</t>
        </is>
      </c>
      <c r="F10">
        <f>IF(All_Questions_F_Custom2_Q_resolved="(None)","respondent_id_data",All_Questions_F_Custom2_Q_resolved &amp; "_data")</f>
        <v/>
      </c>
    </row>
    <row r="13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</row>
    <row r="14">
      <c r="A14" s="11" t="inlineStr">
        <is>
          <t>Q_NUM_EXPORT - Numeric export question</t>
        </is>
      </c>
    </row>
    <row r="15">
      <c r="A15" s="12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>
        <f>IF(All_Questions_Q_NUM_EXPORT_F_Q="(None)","respondent_id_data",All_Questions_Q_NUM_EXPORT_F_Q &amp; "_data")</f>
        <v/>
      </c>
      <c r="G15">
        <f>"|" &amp; SUBSTITUTE(SUBSTITUTE(All_Questions_Q_NUM_EXPORT_F_V, ", ", "|"), ",", "|") &amp; "|"</f>
        <v/>
      </c>
    </row>
    <row r="16">
      <c r="A16" s="12" t="inlineStr">
        <is>
          <t>Cross-tab by</t>
        </is>
      </c>
      <c r="C16" t="inlineStr">
        <is>
          <t>(None)</t>
        </is>
      </c>
    </row>
    <row r="18">
      <c r="A18" s="3" t="inlineStr">
        <is>
          <t>Metric</t>
        </is>
      </c>
      <c r="B18" s="3" t="inlineStr">
        <is>
          <t>Value</t>
        </is>
      </c>
      <c r="C18" s="3" t="inlineStr">
        <is>
          <t>Note</t>
        </is>
      </c>
      <c r="D18" s="3" t="inlineStr">
        <is>
          <t>Denominator</t>
        </is>
      </c>
    </row>
    <row r="19">
      <c r="A19" t="inlineStr">
        <is>
          <t>Mean</t>
        </is>
      </c>
      <c r="B19">
        <f>IFERROR(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19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0">
      <c r="A20" t="inlineStr">
        <is>
          <t>Min</t>
        </is>
      </c>
      <c r="B20">
        <f>IFERROR(AGGREGATE(15,6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1">
      <c r="A21" t="inlineStr">
        <is>
          <t>Max</t>
        </is>
      </c>
      <c r="B21">
        <f>IFERROR(AGGREGATE(14,6,Q_NUM_EXPORT_data/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2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23">
      <c r="A23" s="9" t="inlineStr">
        <is>
          <t>Median not available in filtered view - see static baseline in audit log.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>
      <c r="A26" s="11" t="inlineStr">
        <is>
          <t>Q_GRID_EXPORT - Grid export question</t>
        </is>
      </c>
    </row>
    <row r="27">
      <c r="A27" s="12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>
        <f>IF(All_Questions_Q_GRID_EXPORT_F_Q="(None)","respondent_id_data",All_Questions_Q_GRID_EXPORT_F_Q &amp; "_data")</f>
        <v/>
      </c>
      <c r="G27">
        <f>"|" &amp; SUBSTITUTE(SUBSTITUTE(All_Questions_Q_GRID_EXPORT_F_V, ", ", "|"), ",", "|") &amp; "|"</f>
        <v/>
      </c>
    </row>
    <row r="28">
      <c r="A28" s="12" t="inlineStr">
        <is>
          <t>Cross-tab by</t>
        </is>
      </c>
      <c r="C28" t="inlineStr">
        <is>
          <t>(None)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IFERROR(INDEX(INDIRECT(All_Questions_Q_GRID_EXPORT_CT &amp; "_options"),2),"")</f>
        <v/>
      </c>
      <c r="H30">
        <f>IFERROR(INDEX(INDIRECT(All_Questions_Q_GRID_EXPORT_CT &amp; "_options"),3),"")</f>
        <v/>
      </c>
      <c r="I30">
        <f>IFERROR(INDEX(INDIRECT(All_Questions_Q_GRID_EXPORT_CT &amp; "_options"),4),"")</f>
        <v/>
      </c>
      <c r="J30">
        <f>IFERROR(INDEX(INDIRECT(All_Questions_Q_GRID_EXPORT_CT &amp; "_options"),5),"")</f>
        <v/>
      </c>
      <c r="K30">
        <f>IFERROR(INDEX(INDIRECT(All_Questions_Q_GRID_EXPORT_CT &amp; "_options"),6),"")</f>
        <v/>
      </c>
      <c r="L30">
        <f>IFERROR(INDEX(INDIRECT(All_Questions_Q_GRID_EXPORT_CT &amp; "_options"),7),"")</f>
        <v/>
      </c>
      <c r="M30">
        <f>IFERROR(INDEX(INDIRECT(All_Questions_Q_GRID_EXPORT_CT &amp; "_options"),8),"")</f>
        <v/>
      </c>
      <c r="N30">
        <f>IFERROR(INDEX(INDIRECT(All_Questions_Q_GRID_EXPORT_CT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31" s="6">
        <f>IFERROR(B31/SUBTOTAL(9,B31:B32),0)</f>
        <v/>
      </c>
      <c r="D31" s="13">
        <f>SUBTOTAL(9,B31:B32)</f>
        <v/>
      </c>
      <c r="F31" t="inlineStr">
        <is>
          <t>Grid first row</t>
        </is>
      </c>
      <c r="G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"_data")=G$30)))</f>
        <v/>
      </c>
      <c r="H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"_data")=H$30)))</f>
        <v/>
      </c>
      <c r="I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"_data")=I$30)))</f>
        <v/>
      </c>
      <c r="J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"_data")=J$30)))</f>
        <v/>
      </c>
      <c r="K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"_data")=K$30)))</f>
        <v/>
      </c>
      <c r="L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"_data")=L$30)))</f>
        <v/>
      </c>
      <c r="M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"_data")=M$30)))</f>
        <v/>
      </c>
      <c r="N31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"_data")=N$30)))</f>
        <v/>
      </c>
      <c r="O31">
        <f>SUM(G31:N31)</f>
        <v/>
      </c>
    </row>
    <row r="32">
      <c r="A32" t="inlineStr">
        <is>
          <t>Grid second row</t>
        </is>
      </c>
      <c r="B32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32" s="6">
        <f>IFERROR(B32/SUBTOTAL(9,B31:B32),0)</f>
        <v/>
      </c>
      <c r="D32" s="13">
        <f>SUBTOTAL(9,B31:B32)</f>
        <v/>
      </c>
      <c r="F32" t="inlineStr">
        <is>
          <t>Grid second row</t>
        </is>
      </c>
      <c r="G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"_data")=G$30)))</f>
        <v/>
      </c>
      <c r="H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"_data")=H$30)))</f>
        <v/>
      </c>
      <c r="I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"_data")=I$30)))</f>
        <v/>
      </c>
      <c r="J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"_data")=J$30)))</f>
        <v/>
      </c>
      <c r="K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"_data")=K$30)))</f>
        <v/>
      </c>
      <c r="L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"_data")=L$30)))</f>
        <v/>
      </c>
      <c r="M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"_data")=M$30)))</f>
        <v/>
      </c>
      <c r="N32">
        <f>IF(All_Questions_Q_GRID_EXPORT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"_data")=N$30)))</f>
        <v/>
      </c>
      <c r="O32">
        <f>SUM(G32:N32)</f>
        <v/>
      </c>
    </row>
    <row r="34">
      <c r="A34" s="10" t="n"/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</row>
    <row r="35">
      <c r="A35" s="11" t="inlineStr">
        <is>
          <t>Q_VERY_LONG_SINGLE_SELECT_EXPORT_NAME - Long sheet name export question</t>
        </is>
      </c>
    </row>
    <row r="36">
      <c r="A36" s="12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>
        <f>IF(All_Questions_Q_VERY_LONG_SINGLE_SELECT_EXPORT_NAME_F_Q="(None)","respondent_id_data",All_Questions_Q_VERY_LONG_SINGLE_SELECT_EXPORT_NAME_F_Q &amp; "_data")</f>
        <v/>
      </c>
      <c r="G36">
        <f>"|" &amp; SUBSTITUTE(SUBSTITUTE(All_Questions_Q_VERY_LONG_SINGLE_SELECT_EXPORT_NAME_F_V, ", ", "|"), ",", "|") &amp; "|"</f>
        <v/>
      </c>
    </row>
    <row r="37">
      <c r="A37" s="12" t="inlineStr">
        <is>
          <t>Cross-tab by</t>
        </is>
      </c>
      <c r="C37" t="inlineStr">
        <is>
          <t>(None)</t>
        </is>
      </c>
    </row>
    <row r="39">
      <c r="A39" s="3" t="inlineStr">
        <is>
          <t>Option</t>
        </is>
      </c>
      <c r="B39" s="3" t="inlineStr">
        <is>
          <t>Count</t>
        </is>
      </c>
      <c r="C39" s="3" t="inlineStr">
        <is>
          <t>%</t>
        </is>
      </c>
      <c r="D39" s="3" t="inlineStr">
        <is>
          <t>Denominator</t>
        </is>
      </c>
      <c r="F39" s="4" t="inlineStr">
        <is>
          <t>Option \ Cross-tab</t>
        </is>
      </c>
      <c r="G39">
        <f>IFERROR(INDEX(INDIRECT(All_Questions_Q_VERY_LONG_SINGLE_SELECT_EXPORT_NAME_CT &amp; "_options"),2),"")</f>
        <v/>
      </c>
      <c r="H39">
        <f>IFERROR(INDEX(INDIRECT(All_Questions_Q_VERY_LONG_SINGLE_SELECT_EXPORT_NAME_CT &amp; "_options"),3),"")</f>
        <v/>
      </c>
      <c r="I39">
        <f>IFERROR(INDEX(INDIRECT(All_Questions_Q_VERY_LONG_SINGLE_SELECT_EXPORT_NAME_CT &amp; "_options"),4),"")</f>
        <v/>
      </c>
      <c r="J39">
        <f>IFERROR(INDEX(INDIRECT(All_Questions_Q_VERY_LONG_SINGLE_SELECT_EXPORT_NAME_CT &amp; "_options"),5),"")</f>
        <v/>
      </c>
      <c r="K39">
        <f>IFERROR(INDEX(INDIRECT(All_Questions_Q_VERY_LONG_SINGLE_SELECT_EXPORT_NAME_CT &amp; "_options"),6),"")</f>
        <v/>
      </c>
      <c r="L39">
        <f>IFERROR(INDEX(INDIRECT(All_Questions_Q_VERY_LONG_SINGLE_SELECT_EXPORT_NAME_CT &amp; "_options"),7),"")</f>
        <v/>
      </c>
      <c r="M39">
        <f>IFERROR(INDEX(INDIRECT(All_Questions_Q_VERY_LONG_SINGLE_SELECT_EXPORT_NAME_CT &amp; "_options"),8),"")</f>
        <v/>
      </c>
      <c r="N39">
        <f>IFERROR(INDEX(INDIRECT(All_Questions_Q_VERY_LONG_SINGLE_SELECT_EXPORT_NAME_CT &amp; "_options"),9),"")</f>
        <v/>
      </c>
      <c r="O39" s="4" t="inlineStr">
        <is>
          <t>TOTAL</t>
        </is>
      </c>
    </row>
    <row r="40">
      <c r="A40" t="inlineStr">
        <is>
          <t>A</t>
        </is>
      </c>
      <c r="B40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40" s="6">
        <f>IFERROR(B40/SUBTOTAL(9,B40:B41),0)</f>
        <v/>
      </c>
      <c r="D40" s="13">
        <f>SUBTOTAL(9,B40:B41)</f>
        <v/>
      </c>
      <c r="F40" t="inlineStr">
        <is>
          <t>A</t>
        </is>
      </c>
      <c r="G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"_data")=G$39)))</f>
        <v/>
      </c>
      <c r="H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"_data")=H$39)))</f>
        <v/>
      </c>
      <c r="I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"_data")=I$39)))</f>
        <v/>
      </c>
      <c r="J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"_data")=J$39)))</f>
        <v/>
      </c>
      <c r="K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"_data")=K$39)))</f>
        <v/>
      </c>
      <c r="L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"_data")=L$39)))</f>
        <v/>
      </c>
      <c r="M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"_data")=M$39)))</f>
        <v/>
      </c>
      <c r="N40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"_data")=N$39)))</f>
        <v/>
      </c>
      <c r="O40">
        <f>SUM(G40:N40)</f>
        <v/>
      </c>
    </row>
    <row r="41">
      <c r="A41" t="inlineStr">
        <is>
          <t>B</t>
        </is>
      </c>
      <c r="B41">
        <f>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41" s="6">
        <f>IFERROR(B41/SUBTOTAL(9,B40:B41),0)</f>
        <v/>
      </c>
      <c r="D41" s="13">
        <f>SUBTOTAL(9,B40:B41)</f>
        <v/>
      </c>
      <c r="F41" t="inlineStr">
        <is>
          <t>B</t>
        </is>
      </c>
      <c r="G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"_data")=G$39)))</f>
        <v/>
      </c>
      <c r="H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"_data")=H$39)))</f>
        <v/>
      </c>
      <c r="I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"_data")=I$39)))</f>
        <v/>
      </c>
      <c r="J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"_data")=J$39)))</f>
        <v/>
      </c>
      <c r="K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"_data")=K$39)))</f>
        <v/>
      </c>
      <c r="L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"_data")=L$39)))</f>
        <v/>
      </c>
      <c r="M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"_data")=M$39)))</f>
        <v/>
      </c>
      <c r="N41">
        <f>IF(All_Questions_Q_VERY_LONG_SINGLE_SELECT_EXPORT_NAME_CT="(None)","",SUMPRODUCT(IF(All_Questions_F_Country_resolved="(All)",1,--ISNUMBER(SEARCH("|"&amp;Q_SS_EXPORT_data&amp;"|",All_Questions_F_Country_wrapped)))*IF(All_Questions_F_Industry_resolved="(All)",1,--ISNUMBER(SEARCH("|"&amp;Q_MS_EXPORTr1_data&amp;"|",All_Questions_F_Industry_wrapped)))*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"_data")=N$39)))</f>
        <v/>
      </c>
      <c r="O41">
        <f>SUM(G41:N41)</f>
        <v/>
      </c>
    </row>
  </sheetData>
  <mergeCells count="4">
    <mergeCell ref="A1:J1"/>
    <mergeCell ref="A26:J26"/>
    <mergeCell ref="A14:J14"/>
    <mergeCell ref="A35:J35"/>
  </mergeCells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28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2026-05-14T06:30:08Z</dcterms:created>
  <dcterms:modified xmlns:dcterms="http://purl.org/dc/terms/" xmlns:xsi="http://www.w3.org/2001/XMLSchema-instance" xsi:type="dcterms:W3CDTF">2026-05-14T06:30:08Z</dcterms:modified>
</cp:coreProperties>
</file>