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1r1c1_data">'_RawData'!$B$2:$B$5</definedName>
    <definedName name="Q1r1c2_data">'_RawData'!$C$2:$C$5</definedName>
    <definedName name="Q1r2c1_data">'_RawData'!$D$2:$D$5</definedName>
    <definedName name="Q1r2c2_data">'_RawData'!$E$2:$E$5</definedName>
    <definedName name="Q1r3c1_data">'_RawData'!$F$2:$F$5</definedName>
    <definedName name="Q1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1r1c1_options">'_Options'!$F$2:$F$4</definedName>
    <definedName name="Q1r1c1_local_options">'_Options'!$L$2:$L$5</definedName>
    <definedName name="Q1r1c2_options">'_Options'!$G$2:$G$4</definedName>
    <definedName name="Q1r1c2_local_options">'_Options'!$M$2:$M$5</definedName>
    <definedName name="Q1r2c1_options">'_Options'!$H$2:$H$4</definedName>
    <definedName name="Q1r2c1_local_options">'_Options'!$N$2:$N$5</definedName>
    <definedName name="Q1r2c2_options">'_Options'!$I$2:$I$4</definedName>
    <definedName name="Q1r2c2_local_options">'_Options'!$O$2:$O$5</definedName>
    <definedName name="Q1r3c1_options">'_Options'!$J$2:$J$4</definedName>
    <definedName name="Q1r3c1_local_options">'_Options'!$P$2:$P$5</definedName>
    <definedName name="Q1r3c2_options">'_Options'!$K$2:$K$4</definedName>
    <definedName name="Q1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'_RawData'!$M$2:$M$5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Q1r1c1</t>
        </is>
      </c>
      <c r="C1" t="inlineStr">
        <is>
          <t>Q1r1c2</t>
        </is>
      </c>
      <c r="D1" t="inlineStr">
        <is>
          <t>Q1r2c1</t>
        </is>
      </c>
      <c r="E1" t="inlineStr">
        <is>
          <t>Q1r2c2</t>
        </is>
      </c>
      <c r="F1" t="inlineStr">
        <is>
          <t>Q1r3c1</t>
        </is>
      </c>
      <c r="G1" t="inlineStr">
        <is>
          <t>Q1r3c2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All_Questions_Q1_F_passes_per_q_filter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9</t>
        </is>
      </c>
      <c r="E2" t="inlineStr">
        <is>
          <t>7</t>
        </is>
      </c>
      <c r="F2" t="inlineStr">
        <is>
          <t>8</t>
        </is>
      </c>
      <c r="G2" t="inlineStr">
        <is>
          <t>6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8</t>
        </is>
      </c>
      <c r="G3" t="inlineStr">
        <is>
          <t>6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*1</f>
        <v>1</v>
      </c>
    </row>
    <row r="4">
      <c r="A4" t="n">
        <v>3</v>
      </c>
      <c r="B4" t="inlineStr">
        <is>
          <t>8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8</t>
        </is>
      </c>
      <c r="E5" t="inlineStr">
        <is>
          <t>6</t>
        </is>
      </c>
      <c r="F5" t="inlineStr">
        <is>
          <t>7</t>
        </is>
      </c>
      <c r="G5" t="inlineStr">
        <is>
          <t>5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1_F_Q="(None)",All_Questions_Q1_F_Q="",ISBLANK(All_Questions_Q1_F_Q),All_Questions_Q1_F_V="(All)",All_Questions_Q1_F_V="",ISBLANK(All_Questions_Q1_F_V)),1,IFERROR(IF(ISNUMBER(SEARCH("|"&amp;INDEX(INDIRECT(All_Questions_Q1_F_resolved_column),4)&amp;"|",All_Questions_Q1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Q1r1c1_options</t>
        </is>
      </c>
      <c r="G1" t="inlineStr">
        <is>
          <t>Q1r1c2_options</t>
        </is>
      </c>
      <c r="H1" t="inlineStr">
        <is>
          <t>Q1r2c1_options</t>
        </is>
      </c>
      <c r="I1" t="inlineStr">
        <is>
          <t>Q1r2c2_options</t>
        </is>
      </c>
      <c r="J1" t="inlineStr">
        <is>
          <t>Q1r3c1_options</t>
        </is>
      </c>
      <c r="K1" t="inlineStr">
        <is>
          <t>Q1r3c2_options</t>
        </is>
      </c>
      <c r="L1" t="inlineStr">
        <is>
          <t>Q1r1c1_local_options</t>
        </is>
      </c>
      <c r="M1" t="inlineStr">
        <is>
          <t>Q1r1c2_local_options</t>
        </is>
      </c>
      <c r="N1" t="inlineStr">
        <is>
          <t>Q1r2c1_local_options</t>
        </is>
      </c>
      <c r="O1" t="inlineStr">
        <is>
          <t>Q1r2c2_local_options</t>
        </is>
      </c>
      <c r="P1" t="inlineStr">
        <is>
          <t>Q1r3c1_local_options</t>
        </is>
      </c>
      <c r="Q1" t="inlineStr">
        <is>
          <t>Q1r3c2_local_options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9</t>
        </is>
      </c>
      <c r="I3" t="inlineStr">
        <is>
          <t>7</t>
        </is>
      </c>
      <c r="J3" t="inlineStr">
        <is>
          <t>8</t>
        </is>
      </c>
      <c r="K3" t="inlineStr">
        <is>
          <t>6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J4" t="inlineStr">
        <is>
          <t>7</t>
        </is>
      </c>
      <c r="K4" t="inlineStr">
        <is>
          <t>5</t>
        </is>
      </c>
      <c r="L4" t="inlineStr">
        <is>
          <t>8</t>
        </is>
      </c>
      <c r="M4" t="inlineStr">
        <is>
          <t>6</t>
        </is>
      </c>
      <c r="N4" t="inlineStr">
        <is>
          <t>9</t>
        </is>
      </c>
      <c r="O4" t="inlineStr">
        <is>
          <t>7</t>
        </is>
      </c>
      <c r="P4" t="inlineStr">
        <is>
          <t>8</t>
        </is>
      </c>
      <c r="Q4" t="inlineStr">
        <is>
          <t>6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8</t>
        </is>
      </c>
      <c r="O5" t="inlineStr">
        <is>
          <t>6</t>
        </is>
      </c>
      <c r="P5" t="inlineStr">
        <is>
          <t>7</t>
        </is>
      </c>
      <c r="Q5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2026-06-05T08:40:24.139750+00:00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1" customWidth="1" min="3" max="3"/>
    <col width="20" customWidth="1" min="4" max="4"/>
    <col width="48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Rate each vendor attribute from 1 to 10</t>
        </is>
      </c>
      <c r="D2" t="inlineStr">
        <is>
          <t>GRID_SINGLE_SELECT</t>
        </is>
      </c>
      <c r="E2" t="inlineStr">
        <is>
          <t>Q1r1c1, Q1r1c2, Q1r2c1, Q1r2c2, Q1r3c1, Q1r3c2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Rate each vendor attribute from 1 to 10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Q1r1</t>
        </is>
      </c>
      <c r="B18" t="inlineStr">
        <is>
          <t>Implementation speed</t>
        </is>
      </c>
      <c r="C18">
        <f>COUNTIFS(Q1r1c1_data,"&lt;&gt;",passes_workbook_filters_data,1,passes_workbook_custom_filters_data,1,All_Questions_passes_local_filters_data,1,All_Questions_Q1_F_passes_per_q_filter_data,1)</f>
        <v>4</v>
      </c>
      <c r="D18" s="7">
        <f>IFERROR(C18/COUNTIFS(respondent_id_data,"&lt;&gt;",passes_workbook_filters_data,1,passes_workbook_custom_filters_data,1,All_Questions_passes_local_filters_data,1,All_Questions_Q1_F_passes_per_q_filter_data,1),0)</f>
        <v>1.0</v>
      </c>
      <c r="F18" s="15">
        <f>IFERROR(AVERAGEIFS(Q1r1c1_data,passes_workbook_filters_data,1,passes_workbook_custom_filters_data,1,All_Questions_passes_local_filters_data,1,All_Questions_Q1_F_passes_per_q_filter_data,1),0)</f>
        <v>8.2</v>
      </c>
      <c r="G18" s="15" t="n">
        <v>8</v>
      </c>
      <c r="H18" s="15">
        <f>IFERROR(AVERAGEIFS(Q1r1c2_data,passes_workbook_filters_data,1,passes_workbook_custom_filters_data,1,All_Questions_passes_local_filters_data,1,All_Questions_Q1_F_passes_per_q_filter_data,1),0)</f>
        <v>6.5</v>
      </c>
      <c r="I18" s="15" t="n">
        <v>6.5</v>
      </c>
      <c r="J18" s="15">
        <f>ROUND(F18-H18,1)</f>
        <v>1.7</v>
      </c>
      <c r="K18" s="15">
        <f>ROUND(G18-I18,1)</f>
        <v>1.5</v>
      </c>
    </row>
    <row r="19">
      <c r="A19" s="14" t="inlineStr">
        <is>
          <t>Q1r2</t>
        </is>
      </c>
      <c r="B19" t="inlineStr">
        <is>
          <t>Integration fit</t>
        </is>
      </c>
      <c r="C19">
        <f>COUNTIFS(Q1r2c1_data,"&lt;&gt;",passes_workbook_filters_data,1,passes_workbook_custom_filters_data,1,All_Questions_passes_local_filters_data,1,All_Questions_Q1_F_passes_per_q_filter_data,1)</f>
        <v>4</v>
      </c>
      <c r="D19" s="7">
        <f>IFERROR(C19/COUNTIFS(respondent_id_data,"&lt;&gt;",passes_workbook_filters_data,1,passes_workbook_custom_filters_data,1,All_Questions_passes_local_filters_data,1,All_Questions_Q1_F_passes_per_q_filter_data,1),0)</f>
        <v>1.0</v>
      </c>
      <c r="F19" s="15">
        <f>IFERROR(AVERAGEIFS(Q1r2c1_data,passes_workbook_filters_data,1,passes_workbook_custom_filters_data,1,All_Questions_passes_local_filters_data,1,All_Questions_Q1_F_passes_per_q_filter_data,1),0)</f>
        <v>8.8</v>
      </c>
      <c r="G19" s="15" t="n">
        <v>9</v>
      </c>
      <c r="H19" s="15">
        <f>IFERROR(AVERAGEIFS(Q1r2c2_data,passes_workbook_filters_data,1,passes_workbook_custom_filters_data,1,All_Questions_passes_local_filters_data,1,All_Questions_Q1_F_passes_per_q_filter_data,1),0)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Q1r3</t>
        </is>
      </c>
      <c r="B20" t="inlineStr">
        <is>
          <t>Efficiency gains</t>
        </is>
      </c>
      <c r="C20">
        <f>COUNTIFS(Q1r3c1_data,"&lt;&gt;",passes_workbook_filters_data,1,passes_workbook_custom_filters_data,1,All_Questions_passes_local_filters_data,1,All_Questions_Q1_F_passes_per_q_filter_data,1)</f>
        <v>4</v>
      </c>
      <c r="D20" s="7">
        <f>IFERROR(C20/COUNTIFS(respondent_id_data,"&lt;&gt;",passes_workbook_filters_data,1,passes_workbook_custom_filters_data,1,All_Questions_passes_local_filters_data,1,All_Questions_Q1_F_passes_per_q_filter_data,1),0)</f>
        <v>1.0</v>
      </c>
      <c r="F20" s="15">
        <f>IFERROR(AVERAGEIFS(Q1r3c1_data,passes_workbook_filters_data,1,passes_workbook_custom_filters_data,1,All_Questions_passes_local_filters_data,1,All_Questions_Q1_F_passes_per_q_filter_data,1),0)</f>
        <v>7.8</v>
      </c>
      <c r="G20" s="15" t="n">
        <v>8</v>
      </c>
      <c r="H20" s="15">
        <f>IFERROR(AVERAGEIFS(Q1r3c2_data,passes_workbook_filters_data,1,passes_workbook_custom_filters_data,1,All_Questions_passes_local_filters_data,1,All_Questions_Q1_F_passes_per_q_filter_data,1),0)</f>
        <v>5.8</v>
      </c>
      <c r="I20" s="15" t="n">
        <v>6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2026-06-05T08:40:24Z</dcterms:created>
  <dcterms:modified xmlns:dcterms="http://purl.org/dc/terms/" xmlns:xsi="http://www.w3.org/2001/XMLSchema-instance" xsi:type="dcterms:W3CDTF">2026-06-05T08:40:25Z</dcterms:modified>
</cp:coreProperties>
</file>