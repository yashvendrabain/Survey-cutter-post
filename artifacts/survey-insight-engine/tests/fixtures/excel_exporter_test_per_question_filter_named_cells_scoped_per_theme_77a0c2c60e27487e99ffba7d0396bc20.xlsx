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resolved_criteria">'All Questions'!$H$24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resolved_criteria">'All Questions'!$H$42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H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H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IF(All_Questions_Q_MS_EXPORT_CT="(None)","",IFERROR(INDEX(INDIRECT(IFERROR(INDEX(Cross_Tab_Questions_Options_Names,MATCH(All_Questions_Q_MS_EXPORT_CT,Cross_Tab_Questions,0)),"'_Options'!$E$2:$E$2")),2),""))</f>
        <v/>
      </c>
      <c r="H16" s="2" t="str">
        <f>IF(All_Questions_Q_MS_EXPORT_CT="(None)","",IFERROR(INDEX(INDIRECT(IFERROR(INDEX(Cross_Tab_Questions_Options_Names,MATCH(All_Questions_Q_MS_EXPORT_CT,Cross_Tab_Questions,0)),"'_Options'!$E$2:$E$2")),3),""))</f>
        <v/>
      </c>
      <c r="I16" s="2" t="str">
        <f>IF(All_Questions_Q_MS_EXPORT_CT="(None)","",IFERROR(INDEX(INDIRECT(IFERROR(INDEX(Cross_Tab_Questions_Options_Names,MATCH(All_Questions_Q_MS_EXPORT_CT,Cross_Tab_Questions,0)),"'_Options'!$E$2:$E$2")),4),""))</f>
        <v/>
      </c>
      <c r="J16" s="2" t="str">
        <f>IF(All_Questions_Q_MS_EXPORT_CT="(None)","",IFERROR(INDEX(INDIRECT(IFERROR(INDEX(Cross_Tab_Questions_Options_Names,MATCH(All_Questions_Q_MS_EXPORT_CT,Cross_Tab_Questions,0)),"'_Options'!$E$2:$E$2")),5),""))</f>
        <v/>
      </c>
      <c r="K16" s="2" t="str">
        <f>IF(All_Questions_Q_MS_EXPORT_CT="(None)","",IFERROR(INDEX(INDIRECT(IFERROR(INDEX(Cross_Tab_Questions_Options_Names,MATCH(All_Questions_Q_MS_EXPORT_CT,Cross_Tab_Questions,0)),"'_Options'!$E$2:$E$2")),6),""))</f>
        <v/>
      </c>
      <c r="L16" s="2" t="str">
        <f>IF(All_Questions_Q_MS_EXPORT_CT="(None)","",IFERROR(INDEX(INDIRECT(IFERROR(INDEX(Cross_Tab_Questions_Options_Names,MATCH(All_Questions_Q_MS_EXPORT_CT,Cross_Tab_Questions,0)),"'_Options'!$E$2:$E$2")),7),""))</f>
        <v/>
      </c>
      <c r="M16" s="2" t="str">
        <f>IF(All_Questions_Q_MS_EXPORT_CT="(None)","",IFERROR(INDEX(INDIRECT(IFERROR(INDEX(Cross_Tab_Questions_Options_Names,MATCH(All_Questions_Q_MS_EXPORT_CT,Cross_Tab_Questions,0)),"'_Options'!$E$2:$E$2")),8),""))</f>
        <v/>
      </c>
      <c r="N16" s="2" t="str">
        <f>IF(All_Questions_Q_MS_EXPORT_CT="(None)","",IFERROR(INDEX(INDIRECT(IFERROR(INDEX(Cross_Tab_Questions_Options_Names,MATCH(All_Questions_Q_MS_EXPORT_CT,Cross_Tab_Questions,0)),"'_Options'!$E$2:$E$2")),9),""))</f>
        <v/>
      </c>
      <c r="O16" s="2" t="str">
        <f>IF(All_Questions_Q_MS_EXPORT_CT="(None)","",IFERROR(INDEX(INDIRECT(IFERROR(INDEX(Cross_Tab_Questions_Options_Names,MATCH(All_Questions_Q_MS_EXPORT_CT,Cross_Tab_Questions,0)),"'_Options'!$E$2:$E$2")),10),""))</f>
        <v/>
      </c>
      <c r="P16" s="2" t="str">
        <f>IF(All_Questions_Q_MS_EXPORT_CT="(None)","",IFERROR(INDEX(INDIRECT(IFERROR(INDEX(Cross_Tab_Questions_Options_Names,MATCH(All_Questions_Q_MS_EXPORT_CT,Cross_Tab_Questions,0)),"'_Options'!$E$2:$E$2")),11),""))</f>
        <v/>
      </c>
      <c r="Q16" s="2" t="str">
        <f>IF(All_Questions_Q_MS_EXPORT_CT="(None)","",IFERROR(INDEX(INDIRECT(IFERROR(INDEX(Cross_Tab_Questions_Options_Names,MATCH(All_Questions_Q_MS_EXPORT_CT,Cross_Tab_Questions,0)),"'_Options'!$E$2:$E$2")),12),""))</f>
        <v/>
      </c>
      <c r="R16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24" t="str">
        <f>"|" &amp; SUBSTITUTE(All_Questions_Q_GRID_EXPORT_F_V, ", ", "|") &amp; "|"</f>
        <v>|(All)|</v>
      </c>
      <c r="H24" t="str">
        <f>IFERROR(INDEX(All_Questions_Value_Criteria,MATCH(All_Questions_Q_GRID_EXPORT_F_Q&amp;"|"&amp;All_Questions_Q_GRID_EXPORT_F_V,All_Questions_Value_Keys,0)),All_Questions_Q_GRID_EXPORT_F_V)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34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34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34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34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34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34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34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34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34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34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34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2" t="str">
        <f>"|" &amp; SUBSTITUTE(All_Questions_Q_VERY_LONG_SINGLE_SELECT_EXPORT_NAME_F_V, ", ", "|") &amp; "|"</f>
        <v>|(All)|</v>
      </c>
      <c r="H42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45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2026-06-08T13:43:22.500440+00:00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2026-06-08T13:43:22.500690+00:00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2026-06-08T13:43:22.500882+00:00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2026-06-08T13:43:22.501101+00:00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2026-06-08T13:43:22.501337+00:00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2026-06-08T13:43:22.501562+00:00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2026-06-08T13:43:22.501762+00:00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2026-06-08T13:43:22.501981+00:00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2026-06-08T13:43:22.502176+00:00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2026-06-08T13:43:22.502398+00:00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2026-06-08T13:43:22.502592+00:00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2026-06-08T13:43:22.502863+00:00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2026-06-08T13:43:22.543002+00:00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2026-06-08T13:43:22.543335+00:00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2026-06-08T13:43:22.543619+00:00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2026-06-08T13:43:22.543893+00:00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2026-06-08T13:43:22.544205+00:00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2026-06-08T13:43:22.544514+00:00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2026-06-08T13:43:22.544790+00:00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2026-06-08T13:43:22.545093+00:00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2026-06-08T13:43:22.545406+00:00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2026-06-08T13:43:22.545684+00:00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2026-06-08T13:43:22.545975+00:00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2026-06-08T13:43:22.546366+00:00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2026-06-08T13:43:22.546857+00:00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2026-06-08T13:43:22.547155+00:00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2026-06-08T13:43:22.547462+00:00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2026-06-08T13:43:22.547744+00:00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2026-06-08T13:43:22.548064+00:00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2026-06-08T13:43:22.548375+00:00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2026-06-08T13:43:22.548742+00:00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2026-06-08T13:43:22.549082+00:00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2026-06-08T13:43:22.549415+00:00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2026-06-08T13:43:22.549690+00:00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2026-06-08T13:43:22.549979+00:00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2026-06-08T13:43:22.550366+00:00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2026-06-08T13:43:22Z</dcterms:created>
  <dcterms:modified xmlns:dcterms="http://purl.org/dc/terms/" xmlns:xsi="http://www.w3.org/2001/XMLSchema-instance" xsi:type="dcterms:W3CDTF">2026-06-08T13:43:22Z</dcterms:modified>
</cp:coreProperties>
</file>