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Cross_Tab_Questions">'_Options'!$H$2:$H$2</definedName>
    <definedName name="Cross_Tab_Questions_Data_Names">'_Options'!$I$2:$I$2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Cross_Tab_Questions_Options_Names">'_Options'!$J$2:$J$2</definedName>
    <definedName name="All_Questions_Value_Keys">'_Options'!$L$2:$L$2</definedName>
    <definedName name="All_Questions_Value_Data_Names">'_Options'!$M$2:$M$2</definedName>
    <definedName name="All_Questions_Value_Criteria">'_Options'!$N$2:$N$2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resolved_criteria">'All Questions'!$H$13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20" i="7"/>
  <c r="C20" i="7"/>
  <c r="D20" i="7"/>
  <c r="E20" i="7"/>
  <c r="F20" i="7"/>
  <c r="G20" i="7"/>
  <c r="H20" i="7"/>
  <c r="I20" i="7"/>
  <c r="J20" i="7"/>
  <c r="K20" i="7"/>
  <c r="L20" i="7"/>
  <c r="M20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N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IF(OR(All_Questions_Q6_F_Q="(None)",All_Questions_Q6_F_Q="",ISBLANK(All_Questions_Q6_F_Q),All_Questions_Q6_F_V="(All)",All_Questions_Q6_F_V="",ISBLANK(All_Questions_Q6_F_V)),1,IFERROR(IF(ISNUMBER(SEARCH("|"&amp;INDEX(INDIRECT(All_Questions_Q6_F_resolved_column),1)&amp;"|",("|" &amp; SUBSTITUTE(All_Questions_Q6_F_resolved_criteria, ", ", "|") &amp; "|"))),1,0),0))*1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IF(OR(All_Questions_Q6_F_Q="(None)",All_Questions_Q6_F_Q="",ISBLANK(All_Questions_Q6_F_Q),All_Questions_Q6_F_V="(All)",All_Questions_Q6_F_V="",ISBLANK(All_Questions_Q6_F_V)),1,IFERROR(IF(ISNUMBER(SEARCH("|"&amp;INDEX(INDIRECT(All_Questions_Q6_F_resolved_column),2)&amp;"|",("|" &amp; SUBSTITUTE(All_Questions_Q6_F_resolved_criteria, ", ", "|") &amp; "|"))),1,0),0))*1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IF(OR(All_Questions_Q6_F_Q="(None)",All_Questions_Q6_F_Q="",ISBLANK(All_Questions_Q6_F_Q),All_Questions_Q6_F_V="(All)",All_Questions_Q6_F_V="",ISBLANK(All_Questions_Q6_F_V)),1,IFERROR(IF(ISNUMBER(SEARCH("|"&amp;INDEX(INDIRECT(All_Questions_Q6_F_resolved_column),3)&amp;"|",("|" &amp; SUBSTITUTE(All_Questions_Q6_F_resolved_criteria, ", ", "|") &amp; "|"))),1,0),0))*1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IF(OR(All_Questions_Q6_F_Q="(None)",All_Questions_Q6_F_Q="",ISBLANK(All_Questions_Q6_F_Q),All_Questions_Q6_F_V="(All)",All_Questions_Q6_F_V="",ISBLANK(All_Questions_Q6_F_V)),1,IFERROR(IF(ISNUMBER(SEARCH("|"&amp;INDEX(INDIRECT(All_Questions_Q6_F_resolved_column),4)&amp;"|",("|" &amp; SUBSTITUTE(All_Questions_Q6_F_resolved_criteria, ", ", "|") &amp; "|"))),1,0),0))*1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IF(OR(All_Questions_Q6_F_Q="(None)",All_Questions_Q6_F_Q="",ISBLANK(All_Questions_Q6_F_Q),All_Questions_Q6_F_V="(All)",All_Questions_Q6_F_V="",ISBLANK(All_Questions_Q6_F_V)),1,IFERROR(IF(ISNUMBER(SEARCH("|"&amp;INDEX(INDIRECT(All_Questions_Q6_F_resolved_column),5)&amp;"|",("|" &amp; SUBSTITUTE(All_Questions_Q6_F_resolved_criteria, ", ", "|") &amp; "|"))),1,0),0))*1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IF(OR(All_Questions_Q6_F_Q="(None)",All_Questions_Q6_F_Q="",ISBLANK(All_Questions_Q6_F_Q),All_Questions_Q6_F_V="(All)",All_Questions_Q6_F_V="",ISBLANK(All_Questions_Q6_F_V)),1,IFERROR(IF(ISNUMBER(SEARCH("|"&amp;INDEX(INDIRECT(All_Questions_Q6_F_resolved_column),6)&amp;"|",("|" &amp; SUBSTITUTE(All_Questions_Q6_F_resolved_criteria, ", ", "|") &amp; "|"))),1,0),0))*1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IF(OR(All_Questions_Q6_F_Q="(None)",All_Questions_Q6_F_Q="",ISBLANK(All_Questions_Q6_F_Q),All_Questions_Q6_F_V="(All)",All_Questions_Q6_F_V="",ISBLANK(All_Questions_Q6_F_V)),1,IFERROR(IF(ISNUMBER(SEARCH("|"&amp;INDEX(INDIRECT(All_Questions_Q6_F_resolved_column),7)&amp;"|",("|" &amp; SUBSTITUTE(All_Questions_Q6_F_resolved_criteria, ", ", "|") &amp; "|"))),1,0),0))*1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IF(OR(All_Questions_Q6_F_Q="(None)",All_Questions_Q6_F_Q="",ISBLANK(All_Questions_Q6_F_Q),All_Questions_Q6_F_V="(All)",All_Questions_Q6_F_V="",ISBLANK(All_Questions_Q6_F_V)),1,IFERROR(IF(ISNUMBER(SEARCH("|"&amp;INDEX(INDIRECT(All_Questions_Q6_F_resolved_column),8)&amp;"|",("|" &amp; SUBSTITUTE(All_Questions_Q6_F_resolved_criteria, ", ", "|") &amp; "|"))),1,0),0))*1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IF(OR(All_Questions_Q6_F_Q="(None)",All_Questions_Q6_F_Q="",ISBLANK(All_Questions_Q6_F_Q),All_Questions_Q6_F_V="(All)",All_Questions_Q6_F_V="",ISBLANK(All_Questions_Q6_F_V)),1,IFERROR(IF(ISNUMBER(SEARCH("|"&amp;INDEX(INDIRECT(All_Questions_Q6_F_resolved_column),9)&amp;"|",("|" &amp; SUBSTITUTE(All_Questions_Q6_F_resolved_criteria, ", ", "|") &amp; "|"))),1,0),0))*1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IF(OR(All_Questions_Q6_F_Q="(None)",All_Questions_Q6_F_Q="",ISBLANK(All_Questions_Q6_F_Q),All_Questions_Q6_F_V="(All)",All_Questions_Q6_F_V="",ISBLANK(All_Questions_Q6_F_V)),1,IFERROR(IF(ISNUMBER(SEARCH("|"&amp;INDEX(INDIRECT(All_Questions_Q6_F_resolved_column),10)&amp;"|",("|" &amp; SUBSTITUTE(All_Questions_Q6_F_resolved_criteria, ", ", "|") &amp; "|"))),1,0),0))*1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IF(OR(All_Questions_Q6_F_Q="(None)",All_Questions_Q6_F_Q="",ISBLANK(All_Questions_Q6_F_Q),All_Questions_Q6_F_V="(All)",All_Questions_Q6_F_V="",ISBLANK(All_Questions_Q6_F_V)),1,IFERROR(IF(ISNUMBER(SEARCH("|"&amp;INDEX(INDIRECT(All_Questions_Q6_F_resolved_column),11)&amp;"|",("|" &amp; SUBSTITUTE(All_Questions_Q6_F_resolved_criteria, ", ", "|") &amp; "|"))),1,0),0))*1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IF(OR(All_Questions_Q6_F_Q="(None)",All_Questions_Q6_F_Q="",ISBLANK(All_Questions_Q6_F_Q),All_Questions_Q6_F_V="(All)",All_Questions_Q6_F_V="",ISBLANK(All_Questions_Q6_F_V)),1,IFERROR(IF(ISNUMBER(SEARCH("|"&amp;INDEX(INDIRECT(All_Questions_Q6_F_resolved_column),12)&amp;"|",("|" &amp; SUBSTITUTE(All_Questions_Q6_F_resolved_criteria, ", ", "|") &amp; "|"))),1,0),0))*1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IF(OR(All_Questions_Q6_F_Q="(None)",All_Questions_Q6_F_Q="",ISBLANK(All_Questions_Q6_F_Q),All_Questions_Q6_F_V="(All)",All_Questions_Q6_F_V="",ISBLANK(All_Questions_Q6_F_V)),1,IFERROR(IF(ISNUMBER(SEARCH("|"&amp;INDEX(INDIRECT(All_Questions_Q6_F_resolved_column),13)&amp;"|",("|" &amp; SUBSTITUTE(All_Questions_Q6_F_resolved_criteria, ", ", "|") &amp; "|"))),1,0),0))*1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IF(OR(All_Questions_Q6_F_Q="(None)",All_Questions_Q6_F_Q="",ISBLANK(All_Questions_Q6_F_Q),All_Questions_Q6_F_V="(All)",All_Questions_Q6_F_V="",ISBLANK(All_Questions_Q6_F_V)),1,IFERROR(IF(ISNUMBER(SEARCH("|"&amp;INDEX(INDIRECT(All_Questions_Q6_F_resolved_column),14)&amp;"|",("|" &amp; SUBSTITUTE(All_Questions_Q6_F_resolved_criteria, ", ", "|") &amp; "|"))),1,0),0))*1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IF(OR(All_Questions_Q6_F_Q="(None)",All_Questions_Q6_F_Q="",ISBLANK(All_Questions_Q6_F_Q),All_Questions_Q6_F_V="(All)",All_Questions_Q6_F_V="",ISBLANK(All_Questions_Q6_F_V)),1,IFERROR(IF(ISNUMBER(SEARCH("|"&amp;INDEX(INDIRECT(All_Questions_Q6_F_resolved_column),15)&amp;"|",("|" &amp; SUBSTITUTE(All_Questions_Q6_F_resolved_criteria, ", ", "|") &amp; "|"))),1,0),0))*1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IF(OR(All_Questions_Q6_F_Q="(None)",All_Questions_Q6_F_Q="",ISBLANK(All_Questions_Q6_F_Q),All_Questions_Q6_F_V="(All)",All_Questions_Q6_F_V="",ISBLANK(All_Questions_Q6_F_V)),1,IFERROR(IF(ISNUMBER(SEARCH("|"&amp;INDEX(INDIRECT(All_Questions_Q6_F_resolved_column),16)&amp;"|",("|" &amp; SUBSTITUTE(All_Questions_Q6_F_resolved_criteria, ", ", "|") &amp; "|"))),1,0),0))*1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IF(OR(All_Questions_Q6_F_Q="(None)",All_Questions_Q6_F_Q="",ISBLANK(All_Questions_Q6_F_Q),All_Questions_Q6_F_V="(All)",All_Questions_Q6_F_V="",ISBLANK(All_Questions_Q6_F_V)),1,IFERROR(IF(ISNUMBER(SEARCH("|"&amp;INDEX(INDIRECT(All_Questions_Q6_F_resolved_column),17)&amp;"|",("|" &amp; SUBSTITUTE(All_Questions_Q6_F_resolved_criteria, ", ", "|") &amp; "|"))),1,0),0))*1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IF(OR(All_Questions_Q6_F_Q="(None)",All_Questions_Q6_F_Q="",ISBLANK(All_Questions_Q6_F_Q),All_Questions_Q6_F_V="(All)",All_Questions_Q6_F_V="",ISBLANK(All_Questions_Q6_F_V)),1,IFERROR(IF(ISNUMBER(SEARCH("|"&amp;INDEX(INDIRECT(All_Questions_Q6_F_resolved_column),18)&amp;"|",("|" &amp; SUBSTITUTE(All_Questions_Q6_F_resolved_criteria, ", ", "|") &amp; "|"))),1,0),0))*1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IF(OR(All_Questions_Q6_F_Q="(None)",All_Questions_Q6_F_Q="",ISBLANK(All_Questions_Q6_F_Q),All_Questions_Q6_F_V="(All)",All_Questions_Q6_F_V="",ISBLANK(All_Questions_Q6_F_V)),1,IFERROR(IF(ISNUMBER(SEARCH("|"&amp;INDEX(INDIRECT(All_Questions_Q6_F_resolved_column),19)&amp;"|",("|" &amp; SUBSTITUTE(All_Questions_Q6_F_resolved_criteria, ", ", "|") &amp; "|"))),1,0),0))*1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IF(OR(All_Questions_Q6_F_Q="(None)",All_Questions_Q6_F_Q="",ISBLANK(All_Questions_Q6_F_Q),All_Questions_Q6_F_V="(All)",All_Questions_Q6_F_V="",ISBLANK(All_Questions_Q6_F_V)),1,IFERROR(IF(ISNUMBER(SEARCH("|"&amp;INDEX(INDIRECT(All_Questions_Q6_F_resolved_column),20)&amp;"|",("|" &amp; SUBSTITUTE(All_Questions_Q6_F_resolved_criteria, ", ", "|") &amp; "|"))),1,0),0))*1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IF(OR(All_Questions_Q6_F_Q="(None)",All_Questions_Q6_F_Q="",ISBLANK(All_Questions_Q6_F_Q),All_Questions_Q6_F_V="(All)",All_Questions_Q6_F_V="",ISBLANK(All_Questions_Q6_F_V)),1,IFERROR(IF(ISNUMBER(SEARCH("|"&amp;INDEX(INDIRECT(All_Questions_Q6_F_resolved_column),21)&amp;"|",("|" &amp; SUBSTITUTE(All_Questions_Q6_F_resolved_criteria, ", ", "|") &amp; "|"))),1,0),0))*1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IF(OR(All_Questions_Q6_F_Q="(None)",All_Questions_Q6_F_Q="",ISBLANK(All_Questions_Q6_F_Q),All_Questions_Q6_F_V="(All)",All_Questions_Q6_F_V="",ISBLANK(All_Questions_Q6_F_V)),1,IFERROR(IF(ISNUMBER(SEARCH("|"&amp;INDEX(INDIRECT(All_Questions_Q6_F_resolved_column),22)&amp;"|",("|" &amp; SUBSTITUTE(All_Questions_Q6_F_resolved_criteria, ", ", "|") &amp; "|"))),1,0),0))*1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IF(OR(All_Questions_Q6_F_Q="(None)",All_Questions_Q6_F_Q="",ISBLANK(All_Questions_Q6_F_Q),All_Questions_Q6_F_V="(All)",All_Questions_Q6_F_V="",ISBLANK(All_Questions_Q6_F_V)),1,IFERROR(IF(ISNUMBER(SEARCH("|"&amp;INDEX(INDIRECT(All_Questions_Q6_F_resolved_column),23)&amp;"|",("|" &amp; SUBSTITUTE(All_Questions_Q6_F_resolved_criteria, ", ", "|") &amp; "|"))),1,0),0))*1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IF(OR(All_Questions_Q6_F_Q="(None)",All_Questions_Q6_F_Q="",ISBLANK(All_Questions_Q6_F_Q),All_Questions_Q6_F_V="(All)",All_Questions_Q6_F_V="",ISBLANK(All_Questions_Q6_F_V)),1,IFERROR(IF(ISNUMBER(SEARCH("|"&amp;INDEX(INDIRECT(All_Questions_Q6_F_resolved_column),24)&amp;"|",("|" &amp; SUBSTITUTE(All_Questions_Q6_F_resolved_criteria, ", ", "|") &amp; "|"))),1,0),0))*1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IF(OR(All_Questions_Q6_F_Q="(None)",All_Questions_Q6_F_Q="",ISBLANK(All_Questions_Q6_F_Q),All_Questions_Q6_F_V="(All)",All_Questions_Q6_F_V="",ISBLANK(All_Questions_Q6_F_V)),1,IFERROR(IF(ISNUMBER(SEARCH("|"&amp;INDEX(INDIRECT(All_Questions_Q6_F_resolved_column),25)&amp;"|",("|" &amp; SUBSTITUTE(All_Questions_Q6_F_resolved_criteria, ", ", "|") &amp; "|"))),1,0),0))*1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IF(OR(All_Questions_Q6_F_Q="(None)",All_Questions_Q6_F_Q="",ISBLANK(All_Questions_Q6_F_Q),All_Questions_Q6_F_V="(All)",All_Questions_Q6_F_V="",ISBLANK(All_Questions_Q6_F_V)),1,IFERROR(IF(ISNUMBER(SEARCH("|"&amp;INDEX(INDIRECT(All_Questions_Q6_F_resolved_column),26)&amp;"|",("|" &amp; SUBSTITUTE(All_Questions_Q6_F_resolved_criteria, ", ", "|") &amp; "|"))),1,0),0))*1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IF(OR(All_Questions_Q6_F_Q="(None)",All_Questions_Q6_F_Q="",ISBLANK(All_Questions_Q6_F_Q),All_Questions_Q6_F_V="(All)",All_Questions_Q6_F_V="",ISBLANK(All_Questions_Q6_F_V)),1,IFERROR(IF(ISNUMBER(SEARCH("|"&amp;INDEX(INDIRECT(All_Questions_Q6_F_resolved_column),27)&amp;"|",("|" &amp; SUBSTITUTE(All_Questions_Q6_F_resolved_criteria, ", ", "|") &amp; "|"))),1,0),0))*1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IF(OR(All_Questions_Q6_F_Q="(None)",All_Questions_Q6_F_Q="",ISBLANK(All_Questions_Q6_F_Q),All_Questions_Q6_F_V="(All)",All_Questions_Q6_F_V="",ISBLANK(All_Questions_Q6_F_V)),1,IFERROR(IF(ISNUMBER(SEARCH("|"&amp;INDEX(INDIRECT(All_Questions_Q6_F_resolved_column),28)&amp;"|",("|" &amp; SUBSTITUTE(All_Questions_Q6_F_resolved_criteria, ", ", "|") &amp; "|"))),1,0),0))*1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IF(OR(All_Questions_Q6_F_Q="(None)",All_Questions_Q6_F_Q="",ISBLANK(All_Questions_Q6_F_Q),All_Questions_Q6_F_V="(All)",All_Questions_Q6_F_V="",ISBLANK(All_Questions_Q6_F_V)),1,IFERROR(IF(ISNUMBER(SEARCH("|"&amp;INDEX(INDIRECT(All_Questions_Q6_F_resolved_column),29)&amp;"|",("|" &amp; SUBSTITUTE(All_Questions_Q6_F_resolved_criteria, ", ", "|") &amp; "|"))),1,0),0))*1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IF(OR(All_Questions_Q6_F_Q="(None)",All_Questions_Q6_F_Q="",ISBLANK(All_Questions_Q6_F_Q),All_Questions_Q6_F_V="(All)",All_Questions_Q6_F_V="",ISBLANK(All_Questions_Q6_F_V)),1,IFERROR(IF(ISNUMBER(SEARCH("|"&amp;INDEX(INDIRECT(All_Questions_Q6_F_resolved_column),30)&amp;"|",("|" &amp; SUBSTITUTE(All_Questions_Q6_F_resolved_criteria, ", ", "|") &amp; "|"))),1,0),0))*1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IF(OR(All_Questions_Q6_F_Q="(None)",All_Questions_Q6_F_Q="",ISBLANK(All_Questions_Q6_F_Q),All_Questions_Q6_F_V="(All)",All_Questions_Q6_F_V="",ISBLANK(All_Questions_Q6_F_V)),1,IFERROR(IF(ISNUMBER(SEARCH("|"&amp;INDEX(INDIRECT(All_Questions_Q6_F_resolved_column),31)&amp;"|",("|" &amp; SUBSTITUTE(All_Questions_Q6_F_resolved_criteria, ", ", "|") &amp; "|"))),1,0),0))*1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IF(OR(All_Questions_Q6_F_Q="(None)",All_Questions_Q6_F_Q="",ISBLANK(All_Questions_Q6_F_Q),All_Questions_Q6_F_V="(All)",All_Questions_Q6_F_V="",ISBLANK(All_Questions_Q6_F_V)),1,IFERROR(IF(ISNUMBER(SEARCH("|"&amp;INDEX(INDIRECT(All_Questions_Q6_F_resolved_column),32)&amp;"|",("|" &amp; SUBSTITUTE(All_Questions_Q6_F_resolved_criteria, ", ", "|") &amp; "|"))),1,0),0))*1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IF(OR(All_Questions_Q6_F_Q="(None)",All_Questions_Q6_F_Q="",ISBLANK(All_Questions_Q6_F_Q),All_Questions_Q6_F_V="(All)",All_Questions_Q6_F_V="",ISBLANK(All_Questions_Q6_F_V)),1,IFERROR(IF(ISNUMBER(SEARCH("|"&amp;INDEX(INDIRECT(All_Questions_Q6_F_resolved_column),33)&amp;"|",("|" &amp; SUBSTITUTE(All_Questions_Q6_F_resolved_criteria, ", ", "|") &amp; "|"))),1,0),0))*1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IF(OR(All_Questions_Q6_F_Q="(None)",All_Questions_Q6_F_Q="",ISBLANK(All_Questions_Q6_F_Q),All_Questions_Q6_F_V="(All)",All_Questions_Q6_F_V="",ISBLANK(All_Questions_Q6_F_V)),1,IFERROR(IF(ISNUMBER(SEARCH("|"&amp;INDEX(INDIRECT(All_Questions_Q6_F_resolved_column),34)&amp;"|",("|" &amp; SUBSTITUTE(All_Questions_Q6_F_resolved_criteria, ", ", "|") &amp; "|"))),1,0),0))*1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IF(OR(All_Questions_Q6_F_Q="(None)",All_Questions_Q6_F_Q="",ISBLANK(All_Questions_Q6_F_Q),All_Questions_Q6_F_V="(All)",All_Questions_Q6_F_V="",ISBLANK(All_Questions_Q6_F_V)),1,IFERROR(IF(ISNUMBER(SEARCH("|"&amp;INDEX(INDIRECT(All_Questions_Q6_F_resolved_column),35)&amp;"|",("|" &amp; SUBSTITUTE(All_Questions_Q6_F_resolved_criteria, ", ", "|") &amp; "|"))),1,0),0))*1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IF(OR(All_Questions_Q6_F_Q="(None)",All_Questions_Q6_F_Q="",ISBLANK(All_Questions_Q6_F_Q),All_Questions_Q6_F_V="(All)",All_Questions_Q6_F_V="",ISBLANK(All_Questions_Q6_F_V)),1,IFERROR(IF(ISNUMBER(SEARCH("|"&amp;INDEX(INDIRECT(All_Questions_Q6_F_resolved_column),36)&amp;"|",("|" &amp; SUBSTITUTE(All_Questions_Q6_F_resolved_criteria, ", ", "|") &amp; "|"))),1,0),0))*1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IF(OR(All_Questions_Q6_F_Q="(None)",All_Questions_Q6_F_Q="",ISBLANK(All_Questions_Q6_F_Q),All_Questions_Q6_F_V="(All)",All_Questions_Q6_F_V="",ISBLANK(All_Questions_Q6_F_V)),1,IFERROR(IF(ISNUMBER(SEARCH("|"&amp;INDEX(INDIRECT(All_Questions_Q6_F_resolved_column),37)&amp;"|",("|" &amp; SUBSTITUTE(All_Questions_Q6_F_resolved_criteria, ", ", "|") &amp; "|"))),1,0),0))*1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IF(OR(All_Questions_Q6_F_Q="(None)",All_Questions_Q6_F_Q="",ISBLANK(All_Questions_Q6_F_Q),All_Questions_Q6_F_V="(All)",All_Questions_Q6_F_V="",ISBLANK(All_Questions_Q6_F_V)),1,IFERROR(IF(ISNUMBER(SEARCH("|"&amp;INDEX(INDIRECT(All_Questions_Q6_F_resolved_column),38)&amp;"|",("|" &amp; SUBSTITUTE(All_Questions_Q6_F_resolved_criteria, ", ", "|") &amp; "|"))),1,0),0))*1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IF(OR(All_Questions_Q6_F_Q="(None)",All_Questions_Q6_F_Q="",ISBLANK(All_Questions_Q6_F_Q),All_Questions_Q6_F_V="(All)",All_Questions_Q6_F_V="",ISBLANK(All_Questions_Q6_F_V)),1,IFERROR(IF(ISNUMBER(SEARCH("|"&amp;INDEX(INDIRECT(All_Questions_Q6_F_resolved_column),39)&amp;"|",("|" &amp; SUBSTITUTE(All_Questions_Q6_F_resolved_criteria, ", ", "|") &amp; "|"))),1,0),0))*1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IF(OR(All_Questions_Q6_F_Q="(None)",All_Questions_Q6_F_Q="",ISBLANK(All_Questions_Q6_F_Q),All_Questions_Q6_F_V="(All)",All_Questions_Q6_F_V="",ISBLANK(All_Questions_Q6_F_V)),1,IFERROR(IF(ISNUMBER(SEARCH("|"&amp;INDEX(INDIRECT(All_Questions_Q6_F_resolved_column),40)&amp;"|",("|" &amp; SUBSTITUTE(All_Questions_Q6_F_resolved_criteria, ", ", "|") &amp; "|"))),1,0),0))*1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IF(OR(All_Questions_Q6_F_Q="(None)",All_Questions_Q6_F_Q="",ISBLANK(All_Questions_Q6_F_Q),All_Questions_Q6_F_V="(All)",All_Questions_Q6_F_V="",ISBLANK(All_Questions_Q6_F_V)),1,IFERROR(IF(ISNUMBER(SEARCH("|"&amp;INDEX(INDIRECT(All_Questions_Q6_F_resolved_column),41)&amp;"|",("|" &amp; SUBSTITUTE(All_Questions_Q6_F_resolved_criteria, ", ", "|") &amp; "|"))),1,0),0))*1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IF(OR(All_Questions_Q6_F_Q="(None)",All_Questions_Q6_F_Q="",ISBLANK(All_Questions_Q6_F_Q),All_Questions_Q6_F_V="(All)",All_Questions_Q6_F_V="",ISBLANK(All_Questions_Q6_F_V)),1,IFERROR(IF(ISNUMBER(SEARCH("|"&amp;INDEX(INDIRECT(All_Questions_Q6_F_resolved_column),42)&amp;"|",("|" &amp; SUBSTITUTE(All_Questions_Q6_F_resolved_criteria, ", ", "|") &amp; "|"))),1,0),0))*1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IF(OR(All_Questions_Q6_F_Q="(None)",All_Questions_Q6_F_Q="",ISBLANK(All_Questions_Q6_F_Q),All_Questions_Q6_F_V="(All)",All_Questions_Q6_F_V="",ISBLANK(All_Questions_Q6_F_V)),1,IFERROR(IF(ISNUMBER(SEARCH("|"&amp;INDEX(INDIRECT(All_Questions_Q6_F_resolved_column),43)&amp;"|",("|" &amp; SUBSTITUTE(All_Questions_Q6_F_resolved_criteria, ", ", "|") &amp; "|"))),1,0),0))*1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IF(OR(All_Questions_Q6_F_Q="(None)",All_Questions_Q6_F_Q="",ISBLANK(All_Questions_Q6_F_Q),All_Questions_Q6_F_V="(All)",All_Questions_Q6_F_V="",ISBLANK(All_Questions_Q6_F_V)),1,IFERROR(IF(ISNUMBER(SEARCH("|"&amp;INDEX(INDIRECT(All_Questions_Q6_F_resolved_column),44)&amp;"|",("|" &amp; SUBSTITUTE(All_Questions_Q6_F_resolved_criteria, ", ", "|") &amp; "|"))),1,0),0))*1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IF(OR(All_Questions_Q6_F_Q="(None)",All_Questions_Q6_F_Q="",ISBLANK(All_Questions_Q6_F_Q),All_Questions_Q6_F_V="(All)",All_Questions_Q6_F_V="",ISBLANK(All_Questions_Q6_F_V)),1,IFERROR(IF(ISNUMBER(SEARCH("|"&amp;INDEX(INDIRECT(All_Questions_Q6_F_resolved_column),45)&amp;"|",("|" &amp; SUBSTITUTE(All_Questions_Q6_F_resolved_criteria, ", ", "|") &amp; "|"))),1,0),0))*1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IF(OR(All_Questions_Q6_F_Q="(None)",All_Questions_Q6_F_Q="",ISBLANK(All_Questions_Q6_F_Q),All_Questions_Q6_F_V="(All)",All_Questions_Q6_F_V="",ISBLANK(All_Questions_Q6_F_V)),1,IFERROR(IF(ISNUMBER(SEARCH("|"&amp;INDEX(INDIRECT(All_Questions_Q6_F_resolved_column),46)&amp;"|",("|" &amp; SUBSTITUTE(All_Questions_Q6_F_resolved_criteria, ", ", "|") &amp; "|"))),1,0),0))*1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IF(OR(All_Questions_Q6_F_Q="(None)",All_Questions_Q6_F_Q="",ISBLANK(All_Questions_Q6_F_Q),All_Questions_Q6_F_V="(All)",All_Questions_Q6_F_V="",ISBLANK(All_Questions_Q6_F_V)),1,IFERROR(IF(ISNUMBER(SEARCH("|"&amp;INDEX(INDIRECT(All_Questions_Q6_F_resolved_column),47)&amp;"|",("|" &amp; SUBSTITUTE(All_Questions_Q6_F_resolved_criteria, ", ", "|") &amp; "|"))),1,0),0))*1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IF(OR(All_Questions_Q6_F_Q="(None)",All_Questions_Q6_F_Q="",ISBLANK(All_Questions_Q6_F_Q),All_Questions_Q6_F_V="(All)",All_Questions_Q6_F_V="",ISBLANK(All_Questions_Q6_F_V)),1,IFERROR(IF(ISNUMBER(SEARCH("|"&amp;INDEX(INDIRECT(All_Questions_Q6_F_resolved_column),48)&amp;"|",("|" &amp; SUBSTITUTE(All_Questions_Q6_F_resolved_criteria, ", ", "|") &amp; "|"))),1,0),0))*1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IF(OR(All_Questions_Q6_F_Q="(None)",All_Questions_Q6_F_Q="",ISBLANK(All_Questions_Q6_F_Q),All_Questions_Q6_F_V="(All)",All_Questions_Q6_F_V="",ISBLANK(All_Questions_Q6_F_V)),1,IFERROR(IF(ISNUMBER(SEARCH("|"&amp;INDEX(INDIRECT(All_Questions_Q6_F_resolved_column),49)&amp;"|",("|" &amp; SUBSTITUTE(All_Questions_Q6_F_resolved_criteria, ", ", "|") &amp; "|"))),1,0),0))*1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IF(OR(All_Questions_Q6_F_Q="(None)",All_Questions_Q6_F_Q="",ISBLANK(All_Questions_Q6_F_Q),All_Questions_Q6_F_V="(All)",All_Questions_Q6_F_V="",ISBLANK(All_Questions_Q6_F_V)),1,IFERROR(IF(ISNUMBER(SEARCH("|"&amp;INDEX(INDIRECT(All_Questions_Q6_F_resolved_column),50)&amp;"|",("|" &amp; SUBSTITUTE(All_Questions_Q6_F_resolved_criteria, ", ", "|") &amp; "|"))),1,0),0))*1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IF(OR(All_Questions_Q6_F_Q="(None)",All_Questions_Q6_F_Q="",ISBLANK(All_Questions_Q6_F_Q),All_Questions_Q6_F_V="(All)",All_Questions_Q6_F_V="",ISBLANK(All_Questions_Q6_F_V)),1,IFERROR(IF(ISNUMBER(SEARCH("|"&amp;INDEX(INDIRECT(All_Questions_Q6_F_resolved_column),51)&amp;"|",("|" &amp; SUBSTITUTE(All_Questions_Q6_F_resolved_criteria, ", ", "|") &amp; "|"))),1,0),0))*1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IF(OR(All_Questions_Q6_F_Q="(None)",All_Questions_Q6_F_Q="",ISBLANK(All_Questions_Q6_F_Q),All_Questions_Q6_F_V="(All)",All_Questions_Q6_F_V="",ISBLANK(All_Questions_Q6_F_V)),1,IFERROR(IF(ISNUMBER(SEARCH("|"&amp;INDEX(INDIRECT(All_Questions_Q6_F_resolved_column),52)&amp;"|",("|" &amp; SUBSTITUTE(All_Questions_Q6_F_resolved_criteria, ", ", "|") &amp; "|"))),1,0),0))*1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IF(OR(All_Questions_Q6_F_Q="(None)",All_Questions_Q6_F_Q="",ISBLANK(All_Questions_Q6_F_Q),All_Questions_Q6_F_V="(All)",All_Questions_Q6_F_V="",ISBLANK(All_Questions_Q6_F_V)),1,IFERROR(IF(ISNUMBER(SEARCH("|"&amp;INDEX(INDIRECT(All_Questions_Q6_F_resolved_column),53)&amp;"|",("|" &amp; SUBSTITUTE(All_Questions_Q6_F_resolved_criteria, ", ", "|") &amp; "|"))),1,0),0))*1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IF(OR(All_Questions_Q6_F_Q="(None)",All_Questions_Q6_F_Q="",ISBLANK(All_Questions_Q6_F_Q),All_Questions_Q6_F_V="(All)",All_Questions_Q6_F_V="",ISBLANK(All_Questions_Q6_F_V)),1,IFERROR(IF(ISNUMBER(SEARCH("|"&amp;INDEX(INDIRECT(All_Questions_Q6_F_resolved_column),54)&amp;"|",("|" &amp; SUBSTITUTE(All_Questions_Q6_F_resolved_criteria, ", ", "|") &amp; "|"))),1,0),0))*1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IF(OR(All_Questions_Q6_F_Q="(None)",All_Questions_Q6_F_Q="",ISBLANK(All_Questions_Q6_F_Q),All_Questions_Q6_F_V="(All)",All_Questions_Q6_F_V="",ISBLANK(All_Questions_Q6_F_V)),1,IFERROR(IF(ISNUMBER(SEARCH("|"&amp;INDEX(INDIRECT(All_Questions_Q6_F_resolved_column),55)&amp;"|",("|" &amp; SUBSTITUTE(All_Questions_Q6_F_resolved_criteria, ", ", "|") &amp; "|"))),1,0),0))*1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IF(OR(All_Questions_Q6_F_Q="(None)",All_Questions_Q6_F_Q="",ISBLANK(All_Questions_Q6_F_Q),All_Questions_Q6_F_V="(All)",All_Questions_Q6_F_V="",ISBLANK(All_Questions_Q6_F_V)),1,IFERROR(IF(ISNUMBER(SEARCH("|"&amp;INDEX(INDIRECT(All_Questions_Q6_F_resolved_column),56)&amp;"|",("|" &amp; SUBSTITUTE(All_Questions_Q6_F_resolved_criteria, ", ", "|") &amp; "|"))),1,0),0))*1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IF(OR(All_Questions_Q6_F_Q="(None)",All_Questions_Q6_F_Q="",ISBLANK(All_Questions_Q6_F_Q),All_Questions_Q6_F_V="(All)",All_Questions_Q6_F_V="",ISBLANK(All_Questions_Q6_F_V)),1,IFERROR(IF(ISNUMBER(SEARCH("|"&amp;INDEX(INDIRECT(All_Questions_Q6_F_resolved_column),57)&amp;"|",("|" &amp; SUBSTITUTE(All_Questions_Q6_F_resolved_criteria, ", ", "|") &amp; "|"))),1,0),0))*1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IF(OR(All_Questions_Q6_F_Q="(None)",All_Questions_Q6_F_Q="",ISBLANK(All_Questions_Q6_F_Q),All_Questions_Q6_F_V="(All)",All_Questions_Q6_F_V="",ISBLANK(All_Questions_Q6_F_V)),1,IFERROR(IF(ISNUMBER(SEARCH("|"&amp;INDEX(INDIRECT(All_Questions_Q6_F_resolved_column),58)&amp;"|",("|" &amp; SUBSTITUTE(All_Questions_Q6_F_resolved_criteria, ", ", "|") &amp; "|"))),1,0),0))*1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IF(OR(All_Questions_Q6_F_Q="(None)",All_Questions_Q6_F_Q="",ISBLANK(All_Questions_Q6_F_Q),All_Questions_Q6_F_V="(All)",All_Questions_Q6_F_V="",ISBLANK(All_Questions_Q6_F_V)),1,IFERROR(IF(ISNUMBER(SEARCH("|"&amp;INDEX(INDIRECT(All_Questions_Q6_F_resolved_column),59)&amp;"|",("|" &amp; SUBSTITUTE(All_Questions_Q6_F_resolved_criteria, ", ", "|") &amp; "|"))),1,0),0))*1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IF(OR(All_Questions_Q6_F_Q="(None)",All_Questions_Q6_F_Q="",ISBLANK(All_Questions_Q6_F_Q),All_Questions_Q6_F_V="(All)",All_Questions_Q6_F_V="",ISBLANK(All_Questions_Q6_F_V)),1,IFERROR(IF(ISNUMBER(SEARCH("|"&amp;INDEX(INDIRECT(All_Questions_Q6_F_resolved_column),60)&amp;"|",("|" &amp; SUBSTITUTE(All_Questions_Q6_F_resolved_criteria, ", ", "|") &amp; "|"))),1,0),0))*1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IF(OR(All_Questions_Q6_F_Q="(None)",All_Questions_Q6_F_Q="",ISBLANK(All_Questions_Q6_F_Q),All_Questions_Q6_F_V="(All)",All_Questions_Q6_F_V="",ISBLANK(All_Questions_Q6_F_V)),1,IFERROR(IF(ISNUMBER(SEARCH("|"&amp;INDEX(INDIRECT(All_Questions_Q6_F_resolved_column),61)&amp;"|",("|" &amp; SUBSTITUTE(All_Questions_Q6_F_resolved_criteria, ", ", "|") &amp; "|"))),1,0),0))*1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IF(OR(All_Questions_Q6_F_Q="(None)",All_Questions_Q6_F_Q="",ISBLANK(All_Questions_Q6_F_Q),All_Questions_Q6_F_V="(All)",All_Questions_Q6_F_V="",ISBLANK(All_Questions_Q6_F_V)),1,IFERROR(IF(ISNUMBER(SEARCH("|"&amp;INDEX(INDIRECT(All_Questions_Q6_F_resolved_column),62)&amp;"|",("|" &amp; SUBSTITUTE(All_Questions_Q6_F_resolved_criteria, ", ", "|") &amp; "|"))),1,0),0))*1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IF(OR(All_Questions_Q6_F_Q="(None)",All_Questions_Q6_F_Q="",ISBLANK(All_Questions_Q6_F_Q),All_Questions_Q6_F_V="(All)",All_Questions_Q6_F_V="",ISBLANK(All_Questions_Q6_F_V)),1,IFERROR(IF(ISNUMBER(SEARCH("|"&amp;INDEX(INDIRECT(All_Questions_Q6_F_resolved_column),63)&amp;"|",("|" &amp; SUBSTITUTE(All_Questions_Q6_F_resolved_criteria, ", ", "|") &amp; "|"))),1,0),0))*1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IF(OR(All_Questions_Q6_F_Q="(None)",All_Questions_Q6_F_Q="",ISBLANK(All_Questions_Q6_F_Q),All_Questions_Q6_F_V="(All)",All_Questions_Q6_F_V="",ISBLANK(All_Questions_Q6_F_V)),1,IFERROR(IF(ISNUMBER(SEARCH("|"&amp;INDEX(INDIRECT(All_Questions_Q6_F_resolved_column),64)&amp;"|",("|" &amp; SUBSTITUTE(All_Questions_Q6_F_resolved_criteria, ", ", "|") &amp; "|"))),1,0),0))*1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IF(OR(All_Questions_Q6_F_Q="(None)",All_Questions_Q6_F_Q="",ISBLANK(All_Questions_Q6_F_Q),All_Questions_Q6_F_V="(All)",All_Questions_Q6_F_V="",ISBLANK(All_Questions_Q6_F_V)),1,IFERROR(IF(ISNUMBER(SEARCH("|"&amp;INDEX(INDIRECT(All_Questions_Q6_F_resolved_column),65)&amp;"|",("|" &amp; SUBSTITUTE(All_Questions_Q6_F_resolved_criteria, ", ", "|") &amp; "|"))),1,0),0))*1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IF(OR(All_Questions_Q6_F_Q="(None)",All_Questions_Q6_F_Q="",ISBLANK(All_Questions_Q6_F_Q),All_Questions_Q6_F_V="(All)",All_Questions_Q6_F_V="",ISBLANK(All_Questions_Q6_F_V)),1,IFERROR(IF(ISNUMBER(SEARCH("|"&amp;INDEX(INDIRECT(All_Questions_Q6_F_resolved_column),66)&amp;"|",("|" &amp; SUBSTITUTE(All_Questions_Q6_F_resolved_criteria, ", ", "|") &amp; "|"))),1,0),0))*1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IF(OR(All_Questions_Q6_F_Q="(None)",All_Questions_Q6_F_Q="",ISBLANK(All_Questions_Q6_F_Q),All_Questions_Q6_F_V="(All)",All_Questions_Q6_F_V="",ISBLANK(All_Questions_Q6_F_V)),1,IFERROR(IF(ISNUMBER(SEARCH("|"&amp;INDEX(INDIRECT(All_Questions_Q6_F_resolved_column),67)&amp;"|",("|" &amp; SUBSTITUTE(All_Questions_Q6_F_resolved_criteria, ", ", "|") &amp; "|"))),1,0),0))*1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IF(OR(All_Questions_Q6_F_Q="(None)",All_Questions_Q6_F_Q="",ISBLANK(All_Questions_Q6_F_Q),All_Questions_Q6_F_V="(All)",All_Questions_Q6_F_V="",ISBLANK(All_Questions_Q6_F_V)),1,IFERROR(IF(ISNUMBER(SEARCH("|"&amp;INDEX(INDIRECT(All_Questions_Q6_F_resolved_column),68)&amp;"|",("|" &amp; SUBSTITUTE(All_Questions_Q6_F_resolved_criteria, ", ", "|") &amp; "|"))),1,0),0))*1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IF(OR(All_Questions_Q6_F_Q="(None)",All_Questions_Q6_F_Q="",ISBLANK(All_Questions_Q6_F_Q),All_Questions_Q6_F_V="(All)",All_Questions_Q6_F_V="",ISBLANK(All_Questions_Q6_F_V)),1,IFERROR(IF(ISNUMBER(SEARCH("|"&amp;INDEX(INDIRECT(All_Questions_Q6_F_resolved_column),69)&amp;"|",("|" &amp; SUBSTITUTE(All_Questions_Q6_F_resolved_criteria, ", ", "|") &amp; "|"))),1,0),0))*1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IF(OR(All_Questions_Q6_F_Q="(None)",All_Questions_Q6_F_Q="",ISBLANK(All_Questions_Q6_F_Q),All_Questions_Q6_F_V="(All)",All_Questions_Q6_F_V="",ISBLANK(All_Questions_Q6_F_V)),1,IFERROR(IF(ISNUMBER(SEARCH("|"&amp;INDEX(INDIRECT(All_Questions_Q6_F_resolved_column),70)&amp;"|",("|" &amp; SUBSTITUTE(All_Questions_Q6_F_resolved_criteria, ", ", "|") &amp; "|"))),1,0),0))*1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IF(OR(All_Questions_Q6_F_Q="(None)",All_Questions_Q6_F_Q="",ISBLANK(All_Questions_Q6_F_Q),All_Questions_Q6_F_V="(All)",All_Questions_Q6_F_V="",ISBLANK(All_Questions_Q6_F_V)),1,IFERROR(IF(ISNUMBER(SEARCH("|"&amp;INDEX(INDIRECT(All_Questions_Q6_F_resolved_column),71)&amp;"|",("|" &amp; SUBSTITUTE(All_Questions_Q6_F_resolved_criteria, ", ", "|") &amp; "|"))),1,0),0))*1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IF(OR(All_Questions_Q6_F_Q="(None)",All_Questions_Q6_F_Q="",ISBLANK(All_Questions_Q6_F_Q),All_Questions_Q6_F_V="(All)",All_Questions_Q6_F_V="",ISBLANK(All_Questions_Q6_F_V)),1,IFERROR(IF(ISNUMBER(SEARCH("|"&amp;INDEX(INDIRECT(All_Questions_Q6_F_resolved_column),72)&amp;"|",("|" &amp; SUBSTITUTE(All_Questions_Q6_F_resolved_criteria, ", ", "|") &amp; "|"))),1,0),0))*1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IF(OR(All_Questions_Q6_F_Q="(None)",All_Questions_Q6_F_Q="",ISBLANK(All_Questions_Q6_F_Q),All_Questions_Q6_F_V="(All)",All_Questions_Q6_F_V="",ISBLANK(All_Questions_Q6_F_V)),1,IFERROR(IF(ISNUMBER(SEARCH("|"&amp;INDEX(INDIRECT(All_Questions_Q6_F_resolved_column),73)&amp;"|",("|" &amp; SUBSTITUTE(All_Questions_Q6_F_resolved_criteria, ", ", "|") &amp; "|"))),1,0),0))*1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IF(OR(All_Questions_Q6_F_Q="(None)",All_Questions_Q6_F_Q="",ISBLANK(All_Questions_Q6_F_Q),All_Questions_Q6_F_V="(All)",All_Questions_Q6_F_V="",ISBLANK(All_Questions_Q6_F_V)),1,IFERROR(IF(ISNUMBER(SEARCH("|"&amp;INDEX(INDIRECT(All_Questions_Q6_F_resolved_column),74)&amp;"|",("|" &amp; SUBSTITUTE(All_Questions_Q6_F_resolved_criteria, ", ", "|") &amp; "|"))),1,0),0))*1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IF(OR(All_Questions_Q6_F_Q="(None)",All_Questions_Q6_F_Q="",ISBLANK(All_Questions_Q6_F_Q),All_Questions_Q6_F_V="(All)",All_Questions_Q6_F_V="",ISBLANK(All_Questions_Q6_F_V)),1,IFERROR(IF(ISNUMBER(SEARCH("|"&amp;INDEX(INDIRECT(All_Questions_Q6_F_resolved_column),75)&amp;"|",("|" &amp; SUBSTITUTE(All_Questions_Q6_F_resolved_criteria, ", ", "|") &amp; "|"))),1,0),0))*1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IF(OR(All_Questions_Q6_F_Q="(None)",All_Questions_Q6_F_Q="",ISBLANK(All_Questions_Q6_F_Q),All_Questions_Q6_F_V="(All)",All_Questions_Q6_F_V="",ISBLANK(All_Questions_Q6_F_V)),1,IFERROR(IF(ISNUMBER(SEARCH("|"&amp;INDEX(INDIRECT(All_Questions_Q6_F_resolved_column),76)&amp;"|",("|" &amp; SUBSTITUTE(All_Questions_Q6_F_resolved_criteria, ", ", "|") &amp; "|"))),1,0),0))*1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IF(OR(All_Questions_Q6_F_Q="(None)",All_Questions_Q6_F_Q="",ISBLANK(All_Questions_Q6_F_Q),All_Questions_Q6_F_V="(All)",All_Questions_Q6_F_V="",ISBLANK(All_Questions_Q6_F_V)),1,IFERROR(IF(ISNUMBER(SEARCH("|"&amp;INDEX(INDIRECT(All_Questions_Q6_F_resolved_column),77)&amp;"|",("|" &amp; SUBSTITUTE(All_Questions_Q6_F_resolved_criteria, ", ", "|") &amp; "|"))),1,0),0))*1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IF(OR(All_Questions_Q6_F_Q="(None)",All_Questions_Q6_F_Q="",ISBLANK(All_Questions_Q6_F_Q),All_Questions_Q6_F_V="(All)",All_Questions_Q6_F_V="",ISBLANK(All_Questions_Q6_F_V)),1,IFERROR(IF(ISNUMBER(SEARCH("|"&amp;INDEX(INDIRECT(All_Questions_Q6_F_resolved_column),78)&amp;"|",("|" &amp; SUBSTITUTE(All_Questions_Q6_F_resolved_criteria, ", ", "|") &amp; "|"))),1,0),0))*1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IF(OR(All_Questions_Q6_F_Q="(None)",All_Questions_Q6_F_Q="",ISBLANK(All_Questions_Q6_F_Q),All_Questions_Q6_F_V="(All)",All_Questions_Q6_F_V="",ISBLANK(All_Questions_Q6_F_V)),1,IFERROR(IF(ISNUMBER(SEARCH("|"&amp;INDEX(INDIRECT(All_Questions_Q6_F_resolved_column),79)&amp;"|",("|" &amp; SUBSTITUTE(All_Questions_Q6_F_resolved_criteria, ", ", "|") &amp; "|"))),1,0),0))*1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IF(OR(All_Questions_Q6_F_Q="(None)",All_Questions_Q6_F_Q="",ISBLANK(All_Questions_Q6_F_Q),All_Questions_Q6_F_V="(All)",All_Questions_Q6_F_V="",ISBLANK(All_Questions_Q6_F_V)),1,IFERROR(IF(ISNUMBER(SEARCH("|"&amp;INDEX(INDIRECT(All_Questions_Q6_F_resolved_column),80)&amp;"|",("|" &amp; SUBSTITUTE(All_Questions_Q6_F_resolved_criteria, ", ", "|") &amp; "|"))),1,0),0))*1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IF(OR(All_Questions_Q6_F_Q="(None)",All_Questions_Q6_F_Q="",ISBLANK(All_Questions_Q6_F_Q),All_Questions_Q6_F_V="(All)",All_Questions_Q6_F_V="",ISBLANK(All_Questions_Q6_F_V)),1,IFERROR(IF(ISNUMBER(SEARCH("|"&amp;INDEX(INDIRECT(All_Questions_Q6_F_resolved_column),81)&amp;"|",("|" &amp; SUBSTITUTE(All_Questions_Q6_F_resolved_criteria, ", ", "|") &amp; "|"))),1,0),0))*1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IF(OR(All_Questions_Q6_F_Q="(None)",All_Questions_Q6_F_Q="",ISBLANK(All_Questions_Q6_F_Q),All_Questions_Q6_F_V="(All)",All_Questions_Q6_F_V="",ISBLANK(All_Questions_Q6_F_V)),1,IFERROR(IF(ISNUMBER(SEARCH("|"&amp;INDEX(INDIRECT(All_Questions_Q6_F_resolved_column),82)&amp;"|",("|" &amp; SUBSTITUTE(All_Questions_Q6_F_resolved_criteria, ", ", "|") &amp; "|"))),1,0),0))*1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IF(OR(All_Questions_Q6_F_Q="(None)",All_Questions_Q6_F_Q="",ISBLANK(All_Questions_Q6_F_Q),All_Questions_Q6_F_V="(All)",All_Questions_Q6_F_V="",ISBLANK(All_Questions_Q6_F_V)),1,IFERROR(IF(ISNUMBER(SEARCH("|"&amp;INDEX(INDIRECT(All_Questions_Q6_F_resolved_column),83)&amp;"|",("|" &amp; SUBSTITUTE(All_Questions_Q6_F_resolved_criteria, ", ", "|") &amp; "|"))),1,0),0))*1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IF(OR(All_Questions_Q6_F_Q="(None)",All_Questions_Q6_F_Q="",ISBLANK(All_Questions_Q6_F_Q),All_Questions_Q6_F_V="(All)",All_Questions_Q6_F_V="",ISBLANK(All_Questions_Q6_F_V)),1,IFERROR(IF(ISNUMBER(SEARCH("|"&amp;INDEX(INDIRECT(All_Questions_Q6_F_resolved_column),84)&amp;"|",("|" &amp; SUBSTITUTE(All_Questions_Q6_F_resolved_criteria, ", ", "|") &amp; "|"))),1,0),0))*1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IF(OR(All_Questions_Q6_F_Q="(None)",All_Questions_Q6_F_Q="",ISBLANK(All_Questions_Q6_F_Q),All_Questions_Q6_F_V="(All)",All_Questions_Q6_F_V="",ISBLANK(All_Questions_Q6_F_V)),1,IFERROR(IF(ISNUMBER(SEARCH("|"&amp;INDEX(INDIRECT(All_Questions_Q6_F_resolved_column),85)&amp;"|",("|" &amp; SUBSTITUTE(All_Questions_Q6_F_resolved_criteria, ", ", "|") &amp; "|"))),1,0),0))*1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IF(OR(All_Questions_Q6_F_Q="(None)",All_Questions_Q6_F_Q="",ISBLANK(All_Questions_Q6_F_Q),All_Questions_Q6_F_V="(All)",All_Questions_Q6_F_V="",ISBLANK(All_Questions_Q6_F_V)),1,IFERROR(IF(ISNUMBER(SEARCH("|"&amp;INDEX(INDIRECT(All_Questions_Q6_F_resolved_column),86)&amp;"|",("|" &amp; SUBSTITUTE(All_Questions_Q6_F_resolved_criteria, ", ", "|") &amp; "|"))),1,0),0))*1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IF(OR(All_Questions_Q6_F_Q="(None)",All_Questions_Q6_F_Q="",ISBLANK(All_Questions_Q6_F_Q),All_Questions_Q6_F_V="(All)",All_Questions_Q6_F_V="",ISBLANK(All_Questions_Q6_F_V)),1,IFERROR(IF(ISNUMBER(SEARCH("|"&amp;INDEX(INDIRECT(All_Questions_Q6_F_resolved_column),87)&amp;"|",("|" &amp; SUBSTITUTE(All_Questions_Q6_F_resolved_criteria, ", ", "|") &amp; "|"))),1,0),0))*1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IF(OR(All_Questions_Q6_F_Q="(None)",All_Questions_Q6_F_Q="",ISBLANK(All_Questions_Q6_F_Q),All_Questions_Q6_F_V="(All)",All_Questions_Q6_F_V="",ISBLANK(All_Questions_Q6_F_V)),1,IFERROR(IF(ISNUMBER(SEARCH("|"&amp;INDEX(INDIRECT(All_Questions_Q6_F_resolved_column),88)&amp;"|",("|" &amp; SUBSTITUTE(All_Questions_Q6_F_resolved_criteria, ", ", "|") &amp; "|"))),1,0),0))*1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IF(OR(All_Questions_Q6_F_Q="(None)",All_Questions_Q6_F_Q="",ISBLANK(All_Questions_Q6_F_Q),All_Questions_Q6_F_V="(All)",All_Questions_Q6_F_V="",ISBLANK(All_Questions_Q6_F_V)),1,IFERROR(IF(ISNUMBER(SEARCH("|"&amp;INDEX(INDIRECT(All_Questions_Q6_F_resolved_column),89)&amp;"|",("|" &amp; SUBSTITUTE(All_Questions_Q6_F_resolved_criteria, ", ", "|") &amp; "|"))),1,0),0))*1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IF(OR(All_Questions_Q6_F_Q="(None)",All_Questions_Q6_F_Q="",ISBLANK(All_Questions_Q6_F_Q),All_Questions_Q6_F_V="(All)",All_Questions_Q6_F_V="",ISBLANK(All_Questions_Q6_F_V)),1,IFERROR(IF(ISNUMBER(SEARCH("|"&amp;INDEX(INDIRECT(All_Questions_Q6_F_resolved_column),90)&amp;"|",("|" &amp; SUBSTITUTE(All_Questions_Q6_F_resolved_criteria, ", ", "|") &amp; "|"))),1,0),0))*1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IF(OR(All_Questions_Q6_F_Q="(None)",All_Questions_Q6_F_Q="",ISBLANK(All_Questions_Q6_F_Q),All_Questions_Q6_F_V="(All)",All_Questions_Q6_F_V="",ISBLANK(All_Questions_Q6_F_V)),1,IFERROR(IF(ISNUMBER(SEARCH("|"&amp;INDEX(INDIRECT(All_Questions_Q6_F_resolved_column),91)&amp;"|",("|" &amp; SUBSTITUTE(All_Questions_Q6_F_resolved_criteria, ", ", "|") &amp; "|"))),1,0),0))*1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IF(OR(All_Questions_Q6_F_Q="(None)",All_Questions_Q6_F_Q="",ISBLANK(All_Questions_Q6_F_Q),All_Questions_Q6_F_V="(All)",All_Questions_Q6_F_V="",ISBLANK(All_Questions_Q6_F_V)),1,IFERROR(IF(ISNUMBER(SEARCH("|"&amp;INDEX(INDIRECT(All_Questions_Q6_F_resolved_column),92)&amp;"|",("|" &amp; SUBSTITUTE(All_Questions_Q6_F_resolved_criteria, ", ", "|") &amp; "|"))),1,0),0))*1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IF(OR(All_Questions_Q6_F_Q="(None)",All_Questions_Q6_F_Q="",ISBLANK(All_Questions_Q6_F_Q),All_Questions_Q6_F_V="(All)",All_Questions_Q6_F_V="",ISBLANK(All_Questions_Q6_F_V)),1,IFERROR(IF(ISNUMBER(SEARCH("|"&amp;INDEX(INDIRECT(All_Questions_Q6_F_resolved_column),93)&amp;"|",("|" &amp; SUBSTITUTE(All_Questions_Q6_F_resolved_criteria, ", ", "|") &amp; "|"))),1,0),0))*1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IF(OR(All_Questions_Q6_F_Q="(None)",All_Questions_Q6_F_Q="",ISBLANK(All_Questions_Q6_F_Q),All_Questions_Q6_F_V="(All)",All_Questions_Q6_F_V="",ISBLANK(All_Questions_Q6_F_V)),1,IFERROR(IF(ISNUMBER(SEARCH("|"&amp;INDEX(INDIRECT(All_Questions_Q6_F_resolved_column),94)&amp;"|",("|" &amp; SUBSTITUTE(All_Questions_Q6_F_resolved_criteria, ", ", "|") &amp; "|"))),1,0),0))*1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IF(OR(All_Questions_Q6_F_Q="(None)",All_Questions_Q6_F_Q="",ISBLANK(All_Questions_Q6_F_Q),All_Questions_Q6_F_V="(All)",All_Questions_Q6_F_V="",ISBLANK(All_Questions_Q6_F_V)),1,IFERROR(IF(ISNUMBER(SEARCH("|"&amp;INDEX(INDIRECT(All_Questions_Q6_F_resolved_column),95)&amp;"|",("|" &amp; SUBSTITUTE(All_Questions_Q6_F_resolved_criteria, ", ", "|") &amp; "|"))),1,0),0))*1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IF(OR(All_Questions_Q6_F_Q="(None)",All_Questions_Q6_F_Q="",ISBLANK(All_Questions_Q6_F_Q),All_Questions_Q6_F_V="(All)",All_Questions_Q6_F_V="",ISBLANK(All_Questions_Q6_F_V)),1,IFERROR(IF(ISNUMBER(SEARCH("|"&amp;INDEX(INDIRECT(All_Questions_Q6_F_resolved_column),96)&amp;"|",("|" &amp; SUBSTITUTE(All_Questions_Q6_F_resolved_criteria, ", ", "|") &amp; "|"))),1,0),0))*1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IF(OR(All_Questions_Q6_F_Q="(None)",All_Questions_Q6_F_Q="",ISBLANK(All_Questions_Q6_F_Q),All_Questions_Q6_F_V="(All)",All_Questions_Q6_F_V="",ISBLANK(All_Questions_Q6_F_V)),1,IFERROR(IF(ISNUMBER(SEARCH("|"&amp;INDEX(INDIRECT(All_Questions_Q6_F_resolved_column),97)&amp;"|",("|" &amp; SUBSTITUTE(All_Questions_Q6_F_resolved_criteria, ", ", "|") &amp; "|"))),1,0),0))*1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IF(OR(All_Questions_Q6_F_Q="(None)",All_Questions_Q6_F_Q="",ISBLANK(All_Questions_Q6_F_Q),All_Questions_Q6_F_V="(All)",All_Questions_Q6_F_V="",ISBLANK(All_Questions_Q6_F_V)),1,IFERROR(IF(ISNUMBER(SEARCH("|"&amp;INDEX(INDIRECT(All_Questions_Q6_F_resolved_column),98)&amp;"|",("|" &amp; SUBSTITUTE(All_Questions_Q6_F_resolved_criteria, ", ", "|") &amp; "|"))),1,0),0))*1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IF(OR(All_Questions_Q6_F_Q="(None)",All_Questions_Q6_F_Q="",ISBLANK(All_Questions_Q6_F_Q),All_Questions_Q6_F_V="(All)",All_Questions_Q6_F_V="",ISBLANK(All_Questions_Q6_F_V)),1,IFERROR(IF(ISNUMBER(SEARCH("|"&amp;INDEX(INDIRECT(All_Questions_Q6_F_resolved_column),99)&amp;"|",("|" &amp; SUBSTITUTE(All_Questions_Q6_F_resolved_criteria, ", ", "|") &amp; "|"))),1,0),0))*1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IF(OR(All_Questions_Q6_F_Q="(None)",All_Questions_Q6_F_Q="",ISBLANK(All_Questions_Q6_F_Q),All_Questions_Q6_F_V="(All)",All_Questions_Q6_F_V="",ISBLANK(All_Questions_Q6_F_V)),1,IFERROR(IF(ISNUMBER(SEARCH("|"&amp;INDEX(INDIRECT(All_Questions_Q6_F_resolved_column),100)&amp;"|",("|" &amp; SUBSTITUTE(All_Questions_Q6_F_resolved_criteria, ", ", "|") &amp; "|"))),1,0),0))*1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IF(OR(All_Questions_Q6_F_Q="(None)",All_Questions_Q6_F_Q="",ISBLANK(All_Questions_Q6_F_Q),All_Questions_Q6_F_V="(All)",All_Questions_Q6_F_V="",ISBLANK(All_Questions_Q6_F_V)),1,IFERROR(IF(ISNUMBER(SEARCH("|"&amp;INDEX(INDIRECT(All_Questions_Q6_F_resolved_column),101)&amp;"|",("|" &amp; SUBSTITUTE(All_Questions_Q6_F_resolved_criteria, ", ", "|") &amp; "|"))),1,0),0))*1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IF(OR(All_Questions_Q6_F_Q="(None)",All_Questions_Q6_F_Q="",ISBLANK(All_Questions_Q6_F_Q),All_Questions_Q6_F_V="(All)",All_Questions_Q6_F_V="",ISBLANK(All_Questions_Q6_F_V)),1,IFERROR(IF(ISNUMBER(SEARCH("|"&amp;INDEX(INDIRECT(All_Questions_Q6_F_resolved_column),102)&amp;"|",("|" &amp; SUBSTITUTE(All_Questions_Q6_F_resolved_criteria, ", ", "|") &amp; "|"))),1,0),0))*1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IF(OR(All_Questions_Q6_F_Q="(None)",All_Questions_Q6_F_Q="",ISBLANK(All_Questions_Q6_F_Q),All_Questions_Q6_F_V="(All)",All_Questions_Q6_F_V="",ISBLANK(All_Questions_Q6_F_V)),1,IFERROR(IF(ISNUMBER(SEARCH("|"&amp;INDEX(INDIRECT(All_Questions_Q6_F_resolved_column),103)&amp;"|",("|" &amp; SUBSTITUTE(All_Questions_Q6_F_resolved_criteria, ", ", "|") &amp; "|"))),1,0),0))*1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IF(OR(All_Questions_Q6_F_Q="(None)",All_Questions_Q6_F_Q="",ISBLANK(All_Questions_Q6_F_Q),All_Questions_Q6_F_V="(All)",All_Questions_Q6_F_V="",ISBLANK(All_Questions_Q6_F_V)),1,IFERROR(IF(ISNUMBER(SEARCH("|"&amp;INDEX(INDIRECT(All_Questions_Q6_F_resolved_column),104)&amp;"|",("|" &amp; SUBSTITUTE(All_Questions_Q6_F_resolved_criteria, ", ", "|") &amp; "|"))),1,0),0))*1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IF(OR(All_Questions_Q6_F_Q="(None)",All_Questions_Q6_F_Q="",ISBLANK(All_Questions_Q6_F_Q),All_Questions_Q6_F_V="(All)",All_Questions_Q6_F_V="",ISBLANK(All_Questions_Q6_F_V)),1,IFERROR(IF(ISNUMBER(SEARCH("|"&amp;INDEX(INDIRECT(All_Questions_Q6_F_resolved_column),105)&amp;"|",("|" &amp; SUBSTITUTE(All_Questions_Q6_F_resolved_criteria, ", ", "|") &amp; "|"))),1,0),0))*1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IF(OR(All_Questions_Q6_F_Q="(None)",All_Questions_Q6_F_Q="",ISBLANK(All_Questions_Q6_F_Q),All_Questions_Q6_F_V="(All)",All_Questions_Q6_F_V="",ISBLANK(All_Questions_Q6_F_V)),1,IFERROR(IF(ISNUMBER(SEARCH("|"&amp;INDEX(INDIRECT(All_Questions_Q6_F_resolved_column),106)&amp;"|",("|" &amp; SUBSTITUTE(All_Questions_Q6_F_resolved_criteria, ", ", "|") &amp; "|"))),1,0),0))*1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IF(OR(All_Questions_Q6_F_Q="(None)",All_Questions_Q6_F_Q="",ISBLANK(All_Questions_Q6_F_Q),All_Questions_Q6_F_V="(All)",All_Questions_Q6_F_V="",ISBLANK(All_Questions_Q6_F_V)),1,IFERROR(IF(ISNUMBER(SEARCH("|"&amp;INDEX(INDIRECT(All_Questions_Q6_F_resolved_column),107)&amp;"|",("|" &amp; SUBSTITUTE(All_Questions_Q6_F_resolved_criteria, ", ", "|") &amp; "|"))),1,0),0))*1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IF(OR(All_Questions_Q6_F_Q="(None)",All_Questions_Q6_F_Q="",ISBLANK(All_Questions_Q6_F_Q),All_Questions_Q6_F_V="(All)",All_Questions_Q6_F_V="",ISBLANK(All_Questions_Q6_F_V)),1,IFERROR(IF(ISNUMBER(SEARCH("|"&amp;INDEX(INDIRECT(All_Questions_Q6_F_resolved_column),108)&amp;"|",("|" &amp; SUBSTITUTE(All_Questions_Q6_F_resolved_criteria, ", ", "|") &amp; "|"))),1,0),0))*1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IF(OR(All_Questions_Q6_F_Q="(None)",All_Questions_Q6_F_Q="",ISBLANK(All_Questions_Q6_F_Q),All_Questions_Q6_F_V="(All)",All_Questions_Q6_F_V="",ISBLANK(All_Questions_Q6_F_V)),1,IFERROR(IF(ISNUMBER(SEARCH("|"&amp;INDEX(INDIRECT(All_Questions_Q6_F_resolved_column),109)&amp;"|",("|" &amp; SUBSTITUTE(All_Questions_Q6_F_resolved_criteria, ", ", "|") &amp; "|"))),1,0),0))*1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IF(OR(All_Questions_Q6_F_Q="(None)",All_Questions_Q6_F_Q="",ISBLANK(All_Questions_Q6_F_Q),All_Questions_Q6_F_V="(All)",All_Questions_Q6_F_V="",ISBLANK(All_Questions_Q6_F_V)),1,IFERROR(IF(ISNUMBER(SEARCH("|"&amp;INDEX(INDIRECT(All_Questions_Q6_F_resolved_column),110)&amp;"|",("|" &amp; SUBSTITUTE(All_Questions_Q6_F_resolved_criteria, ", ", "|") &amp; "|"))),1,0),0))*1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IF(OR(All_Questions_Q6_F_Q="(None)",All_Questions_Q6_F_Q="",ISBLANK(All_Questions_Q6_F_Q),All_Questions_Q6_F_V="(All)",All_Questions_Q6_F_V="",ISBLANK(All_Questions_Q6_F_V)),1,IFERROR(IF(ISNUMBER(SEARCH("|"&amp;INDEX(INDIRECT(All_Questions_Q6_F_resolved_column),111)&amp;"|",("|" &amp; SUBSTITUTE(All_Questions_Q6_F_resolved_criteria, ", ", "|") &amp; "|"))),1,0),0))*1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IF(OR(All_Questions_Q6_F_Q="(None)",All_Questions_Q6_F_Q="",ISBLANK(All_Questions_Q6_F_Q),All_Questions_Q6_F_V="(All)",All_Questions_Q6_F_V="",ISBLANK(All_Questions_Q6_F_V)),1,IFERROR(IF(ISNUMBER(SEARCH("|"&amp;INDEX(INDIRECT(All_Questions_Q6_F_resolved_column),112)&amp;"|",("|" &amp; SUBSTITUTE(All_Questions_Q6_F_resolved_criteria, ", ", "|") &amp; "|"))),1,0),0))*1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IF(OR(All_Questions_Q6_F_Q="(None)",All_Questions_Q6_F_Q="",ISBLANK(All_Questions_Q6_F_Q),All_Questions_Q6_F_V="(All)",All_Questions_Q6_F_V="",ISBLANK(All_Questions_Q6_F_V)),1,IFERROR(IF(ISNUMBER(SEARCH("|"&amp;INDEX(INDIRECT(All_Questions_Q6_F_resolved_column),113)&amp;"|",("|" &amp; SUBSTITUTE(All_Questions_Q6_F_resolved_criteria, ", ", "|") &amp; "|"))),1,0),0))*1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IF(OR(All_Questions_Q6_F_Q="(None)",All_Questions_Q6_F_Q="",ISBLANK(All_Questions_Q6_F_Q),All_Questions_Q6_F_V="(All)",All_Questions_Q6_F_V="",ISBLANK(All_Questions_Q6_F_V)),1,IFERROR(IF(ISNUMBER(SEARCH("|"&amp;INDEX(INDIRECT(All_Questions_Q6_F_resolved_column),114)&amp;"|",("|" &amp; SUBSTITUTE(All_Questions_Q6_F_resolved_criteria, ", ", "|") &amp; "|"))),1,0),0))*1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IF(OR(All_Questions_Q6_F_Q="(None)",All_Questions_Q6_F_Q="",ISBLANK(All_Questions_Q6_F_Q),All_Questions_Q6_F_V="(All)",All_Questions_Q6_F_V="",ISBLANK(All_Questions_Q6_F_V)),1,IFERROR(IF(ISNUMBER(SEARCH("|"&amp;INDEX(INDIRECT(All_Questions_Q6_F_resolved_column),115)&amp;"|",("|" &amp; SUBSTITUTE(All_Questions_Q6_F_resolved_criteria, ", ", "|") &amp; "|"))),1,0),0))*1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IF(OR(All_Questions_Q6_F_Q="(None)",All_Questions_Q6_F_Q="",ISBLANK(All_Questions_Q6_F_Q),All_Questions_Q6_F_V="(All)",All_Questions_Q6_F_V="",ISBLANK(All_Questions_Q6_F_V)),1,IFERROR(IF(ISNUMBER(SEARCH("|"&amp;INDEX(INDIRECT(All_Questions_Q6_F_resolved_column),116)&amp;"|",("|" &amp; SUBSTITUTE(All_Questions_Q6_F_resolved_criteria, ", ", "|") &amp; "|"))),1,0),0))*1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IF(OR(All_Questions_Q6_F_Q="(None)",All_Questions_Q6_F_Q="",ISBLANK(All_Questions_Q6_F_Q),All_Questions_Q6_F_V="(All)",All_Questions_Q6_F_V="",ISBLANK(All_Questions_Q6_F_V)),1,IFERROR(IF(ISNUMBER(SEARCH("|"&amp;INDEX(INDIRECT(All_Questions_Q6_F_resolved_column),117)&amp;"|",("|" &amp; SUBSTITUTE(All_Questions_Q6_F_resolved_criteria, ", ", "|") &amp; "|"))),1,0),0))*1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IF(OR(All_Questions_Q6_F_Q="(None)",All_Questions_Q6_F_Q="",ISBLANK(All_Questions_Q6_F_Q),All_Questions_Q6_F_V="(All)",All_Questions_Q6_F_V="",ISBLANK(All_Questions_Q6_F_V)),1,IFERROR(IF(ISNUMBER(SEARCH("|"&amp;INDEX(INDIRECT(All_Questions_Q6_F_resolved_column),118)&amp;"|",("|" &amp; SUBSTITUTE(All_Questions_Q6_F_resolved_criteria, ", ", "|") &amp; "|"))),1,0),0))*1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IF(OR(All_Questions_Q6_F_Q="(None)",All_Questions_Q6_F_Q="",ISBLANK(All_Questions_Q6_F_Q),All_Questions_Q6_F_V="(All)",All_Questions_Q6_F_V="",ISBLANK(All_Questions_Q6_F_V)),1,IFERROR(IF(ISNUMBER(SEARCH("|"&amp;INDEX(INDIRECT(All_Questions_Q6_F_resolved_column),119)&amp;"|",("|" &amp; SUBSTITUTE(All_Questions_Q6_F_resolved_criteria, ", ", "|") &amp; "|"))),1,0),0))*1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IF(OR(All_Questions_Q6_F_Q="(None)",All_Questions_Q6_F_Q="",ISBLANK(All_Questions_Q6_F_Q),All_Questions_Q6_F_V="(All)",All_Questions_Q6_F_V="",ISBLANK(All_Questions_Q6_F_V)),1,IFERROR(IF(ISNUMBER(SEARCH("|"&amp;INDEX(INDIRECT(All_Questions_Q6_F_resolved_column),120)&amp;"|",("|" &amp; SUBSTITUTE(All_Questions_Q6_F_resolved_criteria, ", ", "|") &amp; "|"))),1,0),0))*1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IF(OR(All_Questions_Q6_F_Q="(None)",All_Questions_Q6_F_Q="",ISBLANK(All_Questions_Q6_F_Q),All_Questions_Q6_F_V="(All)",All_Questions_Q6_F_V="",ISBLANK(All_Questions_Q6_F_V)),1,IFERROR(IF(ISNUMBER(SEARCH("|"&amp;INDEX(INDIRECT(All_Questions_Q6_F_resolved_column),121)&amp;"|",("|" &amp; SUBSTITUTE(All_Questions_Q6_F_resolved_criteria, ", ", "|") &amp; "|"))),1,0),0))*1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IF(OR(All_Questions_Q6_F_Q="(None)",All_Questions_Q6_F_Q="",ISBLANK(All_Questions_Q6_F_Q),All_Questions_Q6_F_V="(All)",All_Questions_Q6_F_V="",ISBLANK(All_Questions_Q6_F_V)),1,IFERROR(IF(ISNUMBER(SEARCH("|"&amp;INDEX(INDIRECT(All_Questions_Q6_F_resolved_column),122)&amp;"|",("|" &amp; SUBSTITUTE(All_Questions_Q6_F_resolved_criteria, ", ", "|") &amp; "|"))),1,0),0))*1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IF(OR(All_Questions_Q6_F_Q="(None)",All_Questions_Q6_F_Q="",ISBLANK(All_Questions_Q6_F_Q),All_Questions_Q6_F_V="(All)",All_Questions_Q6_F_V="",ISBLANK(All_Questions_Q6_F_V)),1,IFERROR(IF(ISNUMBER(SEARCH("|"&amp;INDEX(INDIRECT(All_Questions_Q6_F_resolved_column),123)&amp;"|",("|" &amp; SUBSTITUTE(All_Questions_Q6_F_resolved_criteria, ", ", "|") &amp; "|"))),1,0),0))*1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IF(OR(All_Questions_Q6_F_Q="(None)",All_Questions_Q6_F_Q="",ISBLANK(All_Questions_Q6_F_Q),All_Questions_Q6_F_V="(All)",All_Questions_Q6_F_V="",ISBLANK(All_Questions_Q6_F_V)),1,IFERROR(IF(ISNUMBER(SEARCH("|"&amp;INDEX(INDIRECT(All_Questions_Q6_F_resolved_column),124)&amp;"|",("|" &amp; SUBSTITUTE(All_Questions_Q6_F_resolved_criteria, ", ", "|") &amp; "|"))),1,0),0))*1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IF(OR(All_Questions_Q6_F_Q="(None)",All_Questions_Q6_F_Q="",ISBLANK(All_Questions_Q6_F_Q),All_Questions_Q6_F_V="(All)",All_Questions_Q6_F_V="",ISBLANK(All_Questions_Q6_F_V)),1,IFERROR(IF(ISNUMBER(SEARCH("|"&amp;INDEX(INDIRECT(All_Questions_Q6_F_resolved_column),125)&amp;"|",("|" &amp; SUBSTITUTE(All_Questions_Q6_F_resolved_criteria, ", ", "|") &amp; "|"))),1,0),0))*1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IF(OR(All_Questions_Q6_F_Q="(None)",All_Questions_Q6_F_Q="",ISBLANK(All_Questions_Q6_F_Q),All_Questions_Q6_F_V="(All)",All_Questions_Q6_F_V="",ISBLANK(All_Questions_Q6_F_V)),1,IFERROR(IF(ISNUMBER(SEARCH("|"&amp;INDEX(INDIRECT(All_Questions_Q6_F_resolved_column),126)&amp;"|",("|" &amp; SUBSTITUTE(All_Questions_Q6_F_resolved_criteria, ", ", "|") &amp; "|"))),1,0),0))*1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IF(OR(All_Questions_Q6_F_Q="(None)",All_Questions_Q6_F_Q="",ISBLANK(All_Questions_Q6_F_Q),All_Questions_Q6_F_V="(All)",All_Questions_Q6_F_V="",ISBLANK(All_Questions_Q6_F_V)),1,IFERROR(IF(ISNUMBER(SEARCH("|"&amp;INDEX(INDIRECT(All_Questions_Q6_F_resolved_column),127)&amp;"|",("|" &amp; SUBSTITUTE(All_Questions_Q6_F_resolved_criteria, ", ", "|") &amp; "|"))),1,0),0))*1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IF(OR(All_Questions_Q6_F_Q="(None)",All_Questions_Q6_F_Q="",ISBLANK(All_Questions_Q6_F_Q),All_Questions_Q6_F_V="(All)",All_Questions_Q6_F_V="",ISBLANK(All_Questions_Q6_F_V)),1,IFERROR(IF(ISNUMBER(SEARCH("|"&amp;INDEX(INDIRECT(All_Questions_Q6_F_resolved_column),128)&amp;"|",("|" &amp; SUBSTITUTE(All_Questions_Q6_F_resolved_criteria, ", ", "|") &amp; "|"))),1,0),0))*1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IF(OR(All_Questions_Q6_F_Q="(None)",All_Questions_Q6_F_Q="",ISBLANK(All_Questions_Q6_F_Q),All_Questions_Q6_F_V="(All)",All_Questions_Q6_F_V="",ISBLANK(All_Questions_Q6_F_V)),1,IFERROR(IF(ISNUMBER(SEARCH("|"&amp;INDEX(INDIRECT(All_Questions_Q6_F_resolved_column),129)&amp;"|",("|" &amp; SUBSTITUTE(All_Questions_Q6_F_resolved_criteria, ", ", "|") &amp; "|"))),1,0),0))*1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IF(OR(All_Questions_Q6_F_Q="(None)",All_Questions_Q6_F_Q="",ISBLANK(All_Questions_Q6_F_Q),All_Questions_Q6_F_V="(All)",All_Questions_Q6_F_V="",ISBLANK(All_Questions_Q6_F_V)),1,IFERROR(IF(ISNUMBER(SEARCH("|"&amp;INDEX(INDIRECT(All_Questions_Q6_F_resolved_column),130)&amp;"|",("|" &amp; SUBSTITUTE(All_Questions_Q6_F_resolved_criteria, ", ", "|") &amp; "|"))),1,0),0))*1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IF(OR(All_Questions_Q6_F_Q="(None)",All_Questions_Q6_F_Q="",ISBLANK(All_Questions_Q6_F_Q),All_Questions_Q6_F_V="(All)",All_Questions_Q6_F_V="",ISBLANK(All_Questions_Q6_F_V)),1,IFERROR(IF(ISNUMBER(SEARCH("|"&amp;INDEX(INDIRECT(All_Questions_Q6_F_resolved_column),131)&amp;"|",("|" &amp; SUBSTITUTE(All_Questions_Q6_F_resolved_criteria, ", ", "|") &amp; "|"))),1,0),0))*1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IF(OR(All_Questions_Q6_F_Q="(None)",All_Questions_Q6_F_Q="",ISBLANK(All_Questions_Q6_F_Q),All_Questions_Q6_F_V="(All)",All_Questions_Q6_F_V="",ISBLANK(All_Questions_Q6_F_V)),1,IFERROR(IF(ISNUMBER(SEARCH("|"&amp;INDEX(INDIRECT(All_Questions_Q6_F_resolved_column),132)&amp;"|",("|" &amp; SUBSTITUTE(All_Questions_Q6_F_resolved_criteria, ", ", "|") &amp; "|"))),1,0),0))*1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IF(OR(All_Questions_Q6_F_Q="(None)",All_Questions_Q6_F_Q="",ISBLANK(All_Questions_Q6_F_Q),All_Questions_Q6_F_V="(All)",All_Questions_Q6_F_V="",ISBLANK(All_Questions_Q6_F_V)),1,IFERROR(IF(ISNUMBER(SEARCH("|"&amp;INDEX(INDIRECT(All_Questions_Q6_F_resolved_column),133)&amp;"|",("|" &amp; SUBSTITUTE(All_Questions_Q6_F_resolved_criteria, ", ", "|") &amp; "|"))),1,0),0))*1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IF(OR(All_Questions_Q6_F_Q="(None)",All_Questions_Q6_F_Q="",ISBLANK(All_Questions_Q6_F_Q),All_Questions_Q6_F_V="(All)",All_Questions_Q6_F_V="",ISBLANK(All_Questions_Q6_F_V)),1,IFERROR(IF(ISNUMBER(SEARCH("|"&amp;INDEX(INDIRECT(All_Questions_Q6_F_resolved_column),134)&amp;"|",("|" &amp; SUBSTITUTE(All_Questions_Q6_F_resolved_criteria, ", ", "|") &amp; "|"))),1,0),0))*1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IF(OR(All_Questions_Q6_F_Q="(None)",All_Questions_Q6_F_Q="",ISBLANK(All_Questions_Q6_F_Q),All_Questions_Q6_F_V="(All)",All_Questions_Q6_F_V="",ISBLANK(All_Questions_Q6_F_V)),1,IFERROR(IF(ISNUMBER(SEARCH("|"&amp;INDEX(INDIRECT(All_Questions_Q6_F_resolved_column),135)&amp;"|",("|" &amp; SUBSTITUTE(All_Questions_Q6_F_resolved_criteria, ", ", "|") &amp; "|"))),1,0),0))*1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IF(OR(All_Questions_Q6_F_Q="(None)",All_Questions_Q6_F_Q="",ISBLANK(All_Questions_Q6_F_Q),All_Questions_Q6_F_V="(All)",All_Questions_Q6_F_V="",ISBLANK(All_Questions_Q6_F_V)),1,IFERROR(IF(ISNUMBER(SEARCH("|"&amp;INDEX(INDIRECT(All_Questions_Q6_F_resolved_column),136)&amp;"|",("|" &amp; SUBSTITUTE(All_Questions_Q6_F_resolved_criteria, ", ", "|") &amp; "|"))),1,0),0))*1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IF(OR(All_Questions_Q6_F_Q="(None)",All_Questions_Q6_F_Q="",ISBLANK(All_Questions_Q6_F_Q),All_Questions_Q6_F_V="(All)",All_Questions_Q6_F_V="",ISBLANK(All_Questions_Q6_F_V)),1,IFERROR(IF(ISNUMBER(SEARCH("|"&amp;INDEX(INDIRECT(All_Questions_Q6_F_resolved_column),137)&amp;"|",("|" &amp; SUBSTITUTE(All_Questions_Q6_F_resolved_criteria, ", ", "|") &amp; "|"))),1,0),0))*1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IF(OR(All_Questions_Q6_F_Q="(None)",All_Questions_Q6_F_Q="",ISBLANK(All_Questions_Q6_F_Q),All_Questions_Q6_F_V="(All)",All_Questions_Q6_F_V="",ISBLANK(All_Questions_Q6_F_V)),1,IFERROR(IF(ISNUMBER(SEARCH("|"&amp;INDEX(INDIRECT(All_Questions_Q6_F_resolved_column),138)&amp;"|",("|" &amp; SUBSTITUTE(All_Questions_Q6_F_resolved_criteria, ", ", "|") &amp; "|"))),1,0),0))*1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IF(OR(All_Questions_Q6_F_Q="(None)",All_Questions_Q6_F_Q="",ISBLANK(All_Questions_Q6_F_Q),All_Questions_Q6_F_V="(All)",All_Questions_Q6_F_V="",ISBLANK(All_Questions_Q6_F_V)),1,IFERROR(IF(ISNUMBER(SEARCH("|"&amp;INDEX(INDIRECT(All_Questions_Q6_F_resolved_column),139)&amp;"|",("|" &amp; SUBSTITUTE(All_Questions_Q6_F_resolved_criteria, ", ", "|") &amp; "|"))),1,0),0))*1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IF(OR(All_Questions_Q6_F_Q="(None)",All_Questions_Q6_F_Q="",ISBLANK(All_Questions_Q6_F_Q),All_Questions_Q6_F_V="(All)",All_Questions_Q6_F_V="",ISBLANK(All_Questions_Q6_F_V)),1,IFERROR(IF(ISNUMBER(SEARCH("|"&amp;INDEX(INDIRECT(All_Questions_Q6_F_resolved_column),140)&amp;"|",("|" &amp; SUBSTITUTE(All_Questions_Q6_F_resolved_criteria, ", ", "|") &amp; "|"))),1,0),0))*1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IF(OR(All_Questions_Q6_F_Q="(None)",All_Questions_Q6_F_Q="",ISBLANK(All_Questions_Q6_F_Q),All_Questions_Q6_F_V="(All)",All_Questions_Q6_F_V="",ISBLANK(All_Questions_Q6_F_V)),1,IFERROR(IF(ISNUMBER(SEARCH("|"&amp;INDEX(INDIRECT(All_Questions_Q6_F_resolved_column),141)&amp;"|",("|" &amp; SUBSTITUTE(All_Questions_Q6_F_resolved_criteria, ", ", "|") &amp; "|"))),1,0),0))*1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IF(OR(All_Questions_Q6_F_Q="(None)",All_Questions_Q6_F_Q="",ISBLANK(All_Questions_Q6_F_Q),All_Questions_Q6_F_V="(All)",All_Questions_Q6_F_V="",ISBLANK(All_Questions_Q6_F_V)),1,IFERROR(IF(ISNUMBER(SEARCH("|"&amp;INDEX(INDIRECT(All_Questions_Q6_F_resolved_column),142)&amp;"|",("|" &amp; SUBSTITUTE(All_Questions_Q6_F_resolved_criteria, ", ", "|") &amp; "|"))),1,0),0))*1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IF(OR(All_Questions_Q6_F_Q="(None)",All_Questions_Q6_F_Q="",ISBLANK(All_Questions_Q6_F_Q),All_Questions_Q6_F_V="(All)",All_Questions_Q6_F_V="",ISBLANK(All_Questions_Q6_F_V)),1,IFERROR(IF(ISNUMBER(SEARCH("|"&amp;INDEX(INDIRECT(All_Questions_Q6_F_resolved_column),143)&amp;"|",("|" &amp; SUBSTITUTE(All_Questions_Q6_F_resolved_criteria, ", ", "|") &amp; "|"))),1,0),0))*1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IF(OR(All_Questions_Q6_F_Q="(None)",All_Questions_Q6_F_Q="",ISBLANK(All_Questions_Q6_F_Q),All_Questions_Q6_F_V="(All)",All_Questions_Q6_F_V="",ISBLANK(All_Questions_Q6_F_V)),1,IFERROR(IF(ISNUMBER(SEARCH("|"&amp;INDEX(INDIRECT(All_Questions_Q6_F_resolved_column),144)&amp;"|",("|" &amp; SUBSTITUTE(All_Questions_Q6_F_resolved_criteria, ", ", "|") &amp; "|"))),1,0),0))*1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IF(OR(All_Questions_Q6_F_Q="(None)",All_Questions_Q6_F_Q="",ISBLANK(All_Questions_Q6_F_Q),All_Questions_Q6_F_V="(All)",All_Questions_Q6_F_V="",ISBLANK(All_Questions_Q6_F_V)),1,IFERROR(IF(ISNUMBER(SEARCH("|"&amp;INDEX(INDIRECT(All_Questions_Q6_F_resolved_column),145)&amp;"|",("|" &amp; SUBSTITUTE(All_Questions_Q6_F_resolved_criteria, ", ", "|") &amp; "|"))),1,0),0))*1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IF(OR(All_Questions_Q6_F_Q="(None)",All_Questions_Q6_F_Q="",ISBLANK(All_Questions_Q6_F_Q),All_Questions_Q6_F_V="(All)",All_Questions_Q6_F_V="",ISBLANK(All_Questions_Q6_F_V)),1,IFERROR(IF(ISNUMBER(SEARCH("|"&amp;INDEX(INDIRECT(All_Questions_Q6_F_resolved_column),146)&amp;"|",("|" &amp; SUBSTITUTE(All_Questions_Q6_F_resolved_criteria, ", ", "|") &amp; "|"))),1,0),0))*1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IF(OR(All_Questions_Q6_F_Q="(None)",All_Questions_Q6_F_Q="",ISBLANK(All_Questions_Q6_F_Q),All_Questions_Q6_F_V="(All)",All_Questions_Q6_F_V="",ISBLANK(All_Questions_Q6_F_V)),1,IFERROR(IF(ISNUMBER(SEARCH("|"&amp;INDEX(INDIRECT(All_Questions_Q6_F_resolved_column),147)&amp;"|",("|" &amp; SUBSTITUTE(All_Questions_Q6_F_resolved_criteria, ", ", "|") &amp; "|"))),1,0),0))*1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IF(OR(All_Questions_Q6_F_Q="(None)",All_Questions_Q6_F_Q="",ISBLANK(All_Questions_Q6_F_Q),All_Questions_Q6_F_V="(All)",All_Questions_Q6_F_V="",ISBLANK(All_Questions_Q6_F_V)),1,IFERROR(IF(ISNUMBER(SEARCH("|"&amp;INDEX(INDIRECT(All_Questions_Q6_F_resolved_column),148)&amp;"|",("|" &amp; SUBSTITUTE(All_Questions_Q6_F_resolved_criteria, ", ", "|") &amp; "|"))),1,0),0))*1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IF(OR(All_Questions_Q6_F_Q="(None)",All_Questions_Q6_F_Q="",ISBLANK(All_Questions_Q6_F_Q),All_Questions_Q6_F_V="(All)",All_Questions_Q6_F_V="",ISBLANK(All_Questions_Q6_F_V)),1,IFERROR(IF(ISNUMBER(SEARCH("|"&amp;INDEX(INDIRECT(All_Questions_Q6_F_resolved_column),149)&amp;"|",("|" &amp; SUBSTITUTE(All_Questions_Q6_F_resolved_criteria, ", ", "|") &amp; "|"))),1,0),0))*1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IF(OR(All_Questions_Q6_F_Q="(None)",All_Questions_Q6_F_Q="",ISBLANK(All_Questions_Q6_F_Q),All_Questions_Q6_F_V="(All)",All_Questions_Q6_F_V="",ISBLANK(All_Questions_Q6_F_V)),1,IFERROR(IF(ISNUMBER(SEARCH("|"&amp;INDEX(INDIRECT(All_Questions_Q6_F_resolved_column),150)&amp;"|",("|" &amp; SUBSTITUTE(All_Questions_Q6_F_resolved_criteria, ", ", "|") &amp; "|"))),1,0),0))*1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IF(OR(All_Questions_Q6_F_Q="(None)",All_Questions_Q6_F_Q="",ISBLANK(All_Questions_Q6_F_Q),All_Questions_Q6_F_V="(All)",All_Questions_Q6_F_V="",ISBLANK(All_Questions_Q6_F_V)),1,IFERROR(IF(ISNUMBER(SEARCH("|"&amp;INDEX(INDIRECT(All_Questions_Q6_F_resolved_column),151)&amp;"|",("|" &amp; SUBSTITUTE(All_Questions_Q6_F_resolved_criteria, ", ", "|") &amp; "|"))),1,0),0))*1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IF(OR(All_Questions_Q6_F_Q="(None)",All_Questions_Q6_F_Q="",ISBLANK(All_Questions_Q6_F_Q),All_Questions_Q6_F_V="(All)",All_Questions_Q6_F_V="",ISBLANK(All_Questions_Q6_F_V)),1,IFERROR(IF(ISNUMBER(SEARCH("|"&amp;INDEX(INDIRECT(All_Questions_Q6_F_resolved_column),152)&amp;"|",("|" &amp; SUBSTITUTE(All_Questions_Q6_F_resolved_criteria, ", ", "|") &amp; "|"))),1,0),0))*1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IF(OR(All_Questions_Q6_F_Q="(None)",All_Questions_Q6_F_Q="",ISBLANK(All_Questions_Q6_F_Q),All_Questions_Q6_F_V="(All)",All_Questions_Q6_F_V="",ISBLANK(All_Questions_Q6_F_V)),1,IFERROR(IF(ISNUMBER(SEARCH("|"&amp;INDEX(INDIRECT(All_Questions_Q6_F_resolved_column),153)&amp;"|",("|" &amp; SUBSTITUTE(All_Questions_Q6_F_resolved_criteria, ", ", "|") &amp; "|"))),1,0),0))*1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IF(OR(All_Questions_Q6_F_Q="(None)",All_Questions_Q6_F_Q="",ISBLANK(All_Questions_Q6_F_Q),All_Questions_Q6_F_V="(All)",All_Questions_Q6_F_V="",ISBLANK(All_Questions_Q6_F_V)),1,IFERROR(IF(ISNUMBER(SEARCH("|"&amp;INDEX(INDIRECT(All_Questions_Q6_F_resolved_column),154)&amp;"|",("|" &amp; SUBSTITUTE(All_Questions_Q6_F_resolved_criteria, ", ", "|") &amp; "|"))),1,0),0))*1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IF(OR(All_Questions_Q6_F_Q="(None)",All_Questions_Q6_F_Q="",ISBLANK(All_Questions_Q6_F_Q),All_Questions_Q6_F_V="(All)",All_Questions_Q6_F_V="",ISBLANK(All_Questions_Q6_F_V)),1,IFERROR(IF(ISNUMBER(SEARCH("|"&amp;INDEX(INDIRECT(All_Questions_Q6_F_resolved_column),155)&amp;"|",("|" &amp; SUBSTITUTE(All_Questions_Q6_F_resolved_criteria, ", ", "|") &amp; "|"))),1,0),0))*1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IF(OR(All_Questions_Q6_F_Q="(None)",All_Questions_Q6_F_Q="",ISBLANK(All_Questions_Q6_F_Q),All_Questions_Q6_F_V="(All)",All_Questions_Q6_F_V="",ISBLANK(All_Questions_Q6_F_V)),1,IFERROR(IF(ISNUMBER(SEARCH("|"&amp;INDEX(INDIRECT(All_Questions_Q6_F_resolved_column),156)&amp;"|",("|" &amp; SUBSTITUTE(All_Questions_Q6_F_resolved_criteria, ", ", "|") &amp; "|"))),1,0),0))*1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IF(OR(All_Questions_Q6_F_Q="(None)",All_Questions_Q6_F_Q="",ISBLANK(All_Questions_Q6_F_Q),All_Questions_Q6_F_V="(All)",All_Questions_Q6_F_V="",ISBLANK(All_Questions_Q6_F_V)),1,IFERROR(IF(ISNUMBER(SEARCH("|"&amp;INDEX(INDIRECT(All_Questions_Q6_F_resolved_column),157)&amp;"|",("|" &amp; SUBSTITUTE(All_Questions_Q6_F_resolved_criteria, ", ", "|") &amp; "|"))),1,0),0))*1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IF(OR(All_Questions_Q6_F_Q="(None)",All_Questions_Q6_F_Q="",ISBLANK(All_Questions_Q6_F_Q),All_Questions_Q6_F_V="(All)",All_Questions_Q6_F_V="",ISBLANK(All_Questions_Q6_F_V)),1,IFERROR(IF(ISNUMBER(SEARCH("|"&amp;INDEX(INDIRECT(All_Questions_Q6_F_resolved_column),158)&amp;"|",("|" &amp; SUBSTITUTE(All_Questions_Q6_F_resolved_criteria, ", ", "|") &amp; "|"))),1,0),0))*1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IF(OR(All_Questions_Q6_F_Q="(None)",All_Questions_Q6_F_Q="",ISBLANK(All_Questions_Q6_F_Q),All_Questions_Q6_F_V="(All)",All_Questions_Q6_F_V="",ISBLANK(All_Questions_Q6_F_V)),1,IFERROR(IF(ISNUMBER(SEARCH("|"&amp;INDEX(INDIRECT(All_Questions_Q6_F_resolved_column),159)&amp;"|",("|" &amp; SUBSTITUTE(All_Questions_Q6_F_resolved_criteria, ", ", "|") &amp; "|"))),1,0),0))*1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IF(OR(All_Questions_Q6_F_Q="(None)",All_Questions_Q6_F_Q="",ISBLANK(All_Questions_Q6_F_Q),All_Questions_Q6_F_V="(All)",All_Questions_Q6_F_V="",ISBLANK(All_Questions_Q6_F_V)),1,IFERROR(IF(ISNUMBER(SEARCH("|"&amp;INDEX(INDIRECT(All_Questions_Q6_F_resolved_column),160)&amp;"|",("|" &amp; SUBSTITUTE(All_Questions_Q6_F_resolved_criteria, ", ", "|") &amp; "|"))),1,0),0))*1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IF(OR(All_Questions_Q6_F_Q="(None)",All_Questions_Q6_F_Q="",ISBLANK(All_Questions_Q6_F_Q),All_Questions_Q6_F_V="(All)",All_Questions_Q6_F_V="",ISBLANK(All_Questions_Q6_F_V)),1,IFERROR(IF(ISNUMBER(SEARCH("|"&amp;INDEX(INDIRECT(All_Questions_Q6_F_resolved_column),161)&amp;"|",("|" &amp; SUBSTITUTE(All_Questions_Q6_F_resolved_criteria, ", ", "|") &amp; "|"))),1,0),0))*1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IF(OR(All_Questions_Q6_F_Q="(None)",All_Questions_Q6_F_Q="",ISBLANK(All_Questions_Q6_F_Q),All_Questions_Q6_F_V="(All)",All_Questions_Q6_F_V="",ISBLANK(All_Questions_Q6_F_V)),1,IFERROR(IF(ISNUMBER(SEARCH("|"&amp;INDEX(INDIRECT(All_Questions_Q6_F_resolved_column),162)&amp;"|",("|" &amp; SUBSTITUTE(All_Questions_Q6_F_resolved_criteria, ", ", "|") &amp; "|"))),1,0),0))*1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IF(OR(All_Questions_Q6_F_Q="(None)",All_Questions_Q6_F_Q="",ISBLANK(All_Questions_Q6_F_Q),All_Questions_Q6_F_V="(All)",All_Questions_Q6_F_V="",ISBLANK(All_Questions_Q6_F_V)),1,IFERROR(IF(ISNUMBER(SEARCH("|"&amp;INDEX(INDIRECT(All_Questions_Q6_F_resolved_column),163)&amp;"|",("|" &amp; SUBSTITUTE(All_Questions_Q6_F_resolved_criteria, ", ", "|") &amp; "|"))),1,0),0))*1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IF(OR(All_Questions_Q6_F_Q="(None)",All_Questions_Q6_F_Q="",ISBLANK(All_Questions_Q6_F_Q),All_Questions_Q6_F_V="(All)",All_Questions_Q6_F_V="",ISBLANK(All_Questions_Q6_F_V)),1,IFERROR(IF(ISNUMBER(SEARCH("|"&amp;INDEX(INDIRECT(All_Questions_Q6_F_resolved_column),164)&amp;"|",("|" &amp; SUBSTITUTE(All_Questions_Q6_F_resolved_criteria, ", ", "|") &amp; "|"))),1,0),0))*1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IF(OR(All_Questions_Q6_F_Q="(None)",All_Questions_Q6_F_Q="",ISBLANK(All_Questions_Q6_F_Q),All_Questions_Q6_F_V="(All)",All_Questions_Q6_F_V="",ISBLANK(All_Questions_Q6_F_V)),1,IFERROR(IF(ISNUMBER(SEARCH("|"&amp;INDEX(INDIRECT(All_Questions_Q6_F_resolved_column),165)&amp;"|",("|" &amp; SUBSTITUTE(All_Questions_Q6_F_resolved_criteria, ", ", "|") &amp; "|"))),1,0),0))*1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IF(OR(All_Questions_Q6_F_Q="(None)",All_Questions_Q6_F_Q="",ISBLANK(All_Questions_Q6_F_Q),All_Questions_Q6_F_V="(All)",All_Questions_Q6_F_V="",ISBLANK(All_Questions_Q6_F_V)),1,IFERROR(IF(ISNUMBER(SEARCH("|"&amp;INDEX(INDIRECT(All_Questions_Q6_F_resolved_column),166)&amp;"|",("|" &amp; SUBSTITUTE(All_Questions_Q6_F_resolved_criteria, ", ", "|") &amp; "|"))),1,0),0))*1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IF(OR(All_Questions_Q6_F_Q="(None)",All_Questions_Q6_F_Q="",ISBLANK(All_Questions_Q6_F_Q),All_Questions_Q6_F_V="(All)",All_Questions_Q6_F_V="",ISBLANK(All_Questions_Q6_F_V)),1,IFERROR(IF(ISNUMBER(SEARCH("|"&amp;INDEX(INDIRECT(All_Questions_Q6_F_resolved_column),167)&amp;"|",("|" &amp; SUBSTITUTE(All_Questions_Q6_F_resolved_criteria, ", ", "|") &amp; "|"))),1,0),0))*1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IF(OR(All_Questions_Q6_F_Q="(None)",All_Questions_Q6_F_Q="",ISBLANK(All_Questions_Q6_F_Q),All_Questions_Q6_F_V="(All)",All_Questions_Q6_F_V="",ISBLANK(All_Questions_Q6_F_V)),1,IFERROR(IF(ISNUMBER(SEARCH("|"&amp;INDEX(INDIRECT(All_Questions_Q6_F_resolved_column),168)&amp;"|",("|" &amp; SUBSTITUTE(All_Questions_Q6_F_resolved_criteria, ", ", "|") &amp; "|"))),1,0),0))*1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IF(OR(All_Questions_Q6_F_Q="(None)",All_Questions_Q6_F_Q="",ISBLANK(All_Questions_Q6_F_Q),All_Questions_Q6_F_V="(All)",All_Questions_Q6_F_V="",ISBLANK(All_Questions_Q6_F_V)),1,IFERROR(IF(ISNUMBER(SEARCH("|"&amp;INDEX(INDIRECT(All_Questions_Q6_F_resolved_column),169)&amp;"|",("|" &amp; SUBSTITUTE(All_Questions_Q6_F_resolved_criteria, ", ", "|") &amp; "|"))),1,0),0))*1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IF(OR(All_Questions_Q6_F_Q="(None)",All_Questions_Q6_F_Q="",ISBLANK(All_Questions_Q6_F_Q),All_Questions_Q6_F_V="(All)",All_Questions_Q6_F_V="",ISBLANK(All_Questions_Q6_F_V)),1,IFERROR(IF(ISNUMBER(SEARCH("|"&amp;INDEX(INDIRECT(All_Questions_Q6_F_resolved_column),170)&amp;"|",("|" &amp; SUBSTITUTE(All_Questions_Q6_F_resolved_criteria, ", ", "|") &amp; "|"))),1,0),0))*1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IF(OR(All_Questions_Q6_F_Q="(None)",All_Questions_Q6_F_Q="",ISBLANK(All_Questions_Q6_F_Q),All_Questions_Q6_F_V="(All)",All_Questions_Q6_F_V="",ISBLANK(All_Questions_Q6_F_V)),1,IFERROR(IF(ISNUMBER(SEARCH("|"&amp;INDEX(INDIRECT(All_Questions_Q6_F_resolved_column),171)&amp;"|",("|" &amp; SUBSTITUTE(All_Questions_Q6_F_resolved_criteria, ", ", "|") &amp; "|"))),1,0),0))*1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IF(OR(All_Questions_Q6_F_Q="(None)",All_Questions_Q6_F_Q="",ISBLANK(All_Questions_Q6_F_Q),All_Questions_Q6_F_V="(All)",All_Questions_Q6_F_V="",ISBLANK(All_Questions_Q6_F_V)),1,IFERROR(IF(ISNUMBER(SEARCH("|"&amp;INDEX(INDIRECT(All_Questions_Q6_F_resolved_column),172)&amp;"|",("|" &amp; SUBSTITUTE(All_Questions_Q6_F_resolved_criteria, ", ", "|") &amp; "|"))),1,0),0))*1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IF(OR(All_Questions_Q6_F_Q="(None)",All_Questions_Q6_F_Q="",ISBLANK(All_Questions_Q6_F_Q),All_Questions_Q6_F_V="(All)",All_Questions_Q6_F_V="",ISBLANK(All_Questions_Q6_F_V)),1,IFERROR(IF(ISNUMBER(SEARCH("|"&amp;INDEX(INDIRECT(All_Questions_Q6_F_resolved_column),173)&amp;"|",("|" &amp; SUBSTITUTE(All_Questions_Q6_F_resolved_criteria, ", ", "|") &amp; "|"))),1,0),0))*1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IF(OR(All_Questions_Q6_F_Q="(None)",All_Questions_Q6_F_Q="",ISBLANK(All_Questions_Q6_F_Q),All_Questions_Q6_F_V="(All)",All_Questions_Q6_F_V="",ISBLANK(All_Questions_Q6_F_V)),1,IFERROR(IF(ISNUMBER(SEARCH("|"&amp;INDEX(INDIRECT(All_Questions_Q6_F_resolved_column),174)&amp;"|",("|" &amp; SUBSTITUTE(All_Questions_Q6_F_resolved_criteria, ", ", "|") &amp; "|"))),1,0),0))*1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IF(OR(All_Questions_Q6_F_Q="(None)",All_Questions_Q6_F_Q="",ISBLANK(All_Questions_Q6_F_Q),All_Questions_Q6_F_V="(All)",All_Questions_Q6_F_V="",ISBLANK(All_Questions_Q6_F_V)),1,IFERROR(IF(ISNUMBER(SEARCH("|"&amp;INDEX(INDIRECT(All_Questions_Q6_F_resolved_column),175)&amp;"|",("|" &amp; SUBSTITUTE(All_Questions_Q6_F_resolved_criteria, ", ", "|") &amp; "|"))),1,0),0))*1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IF(OR(All_Questions_Q6_F_Q="(None)",All_Questions_Q6_F_Q="",ISBLANK(All_Questions_Q6_F_Q),All_Questions_Q6_F_V="(All)",All_Questions_Q6_F_V="",ISBLANK(All_Questions_Q6_F_V)),1,IFERROR(IF(ISNUMBER(SEARCH("|"&amp;INDEX(INDIRECT(All_Questions_Q6_F_resolved_column),176)&amp;"|",("|" &amp; SUBSTITUTE(All_Questions_Q6_F_resolved_criteria, ", ", "|") &amp; "|"))),1,0),0))*1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IF(OR(All_Questions_Q6_F_Q="(None)",All_Questions_Q6_F_Q="",ISBLANK(All_Questions_Q6_F_Q),All_Questions_Q6_F_V="(All)",All_Questions_Q6_F_V="",ISBLANK(All_Questions_Q6_F_V)),1,IFERROR(IF(ISNUMBER(SEARCH("|"&amp;INDEX(INDIRECT(All_Questions_Q6_F_resolved_column),177)&amp;"|",("|" &amp; SUBSTITUTE(All_Questions_Q6_F_resolved_criteria, ", ", "|") &amp; "|"))),1,0),0))*1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IF(OR(All_Questions_Q6_F_Q="(None)",All_Questions_Q6_F_Q="",ISBLANK(All_Questions_Q6_F_Q),All_Questions_Q6_F_V="(All)",All_Questions_Q6_F_V="",ISBLANK(All_Questions_Q6_F_V)),1,IFERROR(IF(ISNUMBER(SEARCH("|"&amp;INDEX(INDIRECT(All_Questions_Q6_F_resolved_column),178)&amp;"|",("|" &amp; SUBSTITUTE(All_Questions_Q6_F_resolved_criteria, ", ", "|") &amp; "|"))),1,0),0))*1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IF(OR(All_Questions_Q6_F_Q="(None)",All_Questions_Q6_F_Q="",ISBLANK(All_Questions_Q6_F_Q),All_Questions_Q6_F_V="(All)",All_Questions_Q6_F_V="",ISBLANK(All_Questions_Q6_F_V)),1,IFERROR(IF(ISNUMBER(SEARCH("|"&amp;INDEX(INDIRECT(All_Questions_Q6_F_resolved_column),179)&amp;"|",("|" &amp; SUBSTITUTE(All_Questions_Q6_F_resolved_criteria, ", ", "|") &amp; "|"))),1,0),0))*1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IF(OR(All_Questions_Q6_F_Q="(None)",All_Questions_Q6_F_Q="",ISBLANK(All_Questions_Q6_F_Q),All_Questions_Q6_F_V="(All)",All_Questions_Q6_F_V="",ISBLANK(All_Questions_Q6_F_V)),1,IFERROR(IF(ISNUMBER(SEARCH("|"&amp;INDEX(INDIRECT(All_Questions_Q6_F_resolved_column),180)&amp;"|",("|" &amp; SUBSTITUTE(All_Questions_Q6_F_resolved_criteria, ", ", "|") &amp; "|"))),1,0),0))*1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IF(OR(All_Questions_Q6_F_Q="(None)",All_Questions_Q6_F_Q="",ISBLANK(All_Questions_Q6_F_Q),All_Questions_Q6_F_V="(All)",All_Questions_Q6_F_V="",ISBLANK(All_Questions_Q6_F_V)),1,IFERROR(IF(ISNUMBER(SEARCH("|"&amp;INDEX(INDIRECT(All_Questions_Q6_F_resolved_column),181)&amp;"|",("|" &amp; SUBSTITUTE(All_Questions_Q6_F_resolved_criteria, ", ", "|") &amp; "|"))),1,0),0))*1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IF(OR(All_Questions_Q6_F_Q="(None)",All_Questions_Q6_F_Q="",ISBLANK(All_Questions_Q6_F_Q),All_Questions_Q6_F_V="(All)",All_Questions_Q6_F_V="",ISBLANK(All_Questions_Q6_F_V)),1,IFERROR(IF(ISNUMBER(SEARCH("|"&amp;INDEX(INDIRECT(All_Questions_Q6_F_resolved_column),182)&amp;"|",("|" &amp; SUBSTITUTE(All_Questions_Q6_F_resolved_criteria, ", ", "|") &amp; "|"))),1,0),0))*1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IF(OR(All_Questions_Q6_F_Q="(None)",All_Questions_Q6_F_Q="",ISBLANK(All_Questions_Q6_F_Q),All_Questions_Q6_F_V="(All)",All_Questions_Q6_F_V="",ISBLANK(All_Questions_Q6_F_V)),1,IFERROR(IF(ISNUMBER(SEARCH("|"&amp;INDEX(INDIRECT(All_Questions_Q6_F_resolved_column),183)&amp;"|",("|" &amp; SUBSTITUTE(All_Questions_Q6_F_resolved_criteria, ", ", "|") &amp; "|"))),1,0),0))*1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IF(OR(All_Questions_Q6_F_Q="(None)",All_Questions_Q6_F_Q="",ISBLANK(All_Questions_Q6_F_Q),All_Questions_Q6_F_V="(All)",All_Questions_Q6_F_V="",ISBLANK(All_Questions_Q6_F_V)),1,IFERROR(IF(ISNUMBER(SEARCH("|"&amp;INDEX(INDIRECT(All_Questions_Q6_F_resolved_column),184)&amp;"|",("|" &amp; SUBSTITUTE(All_Questions_Q6_F_resolved_criteria, ", ", "|") &amp; "|"))),1,0),0))*1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IF(OR(All_Questions_Q6_F_Q="(None)",All_Questions_Q6_F_Q="",ISBLANK(All_Questions_Q6_F_Q),All_Questions_Q6_F_V="(All)",All_Questions_Q6_F_V="",ISBLANK(All_Questions_Q6_F_V)),1,IFERROR(IF(ISNUMBER(SEARCH("|"&amp;INDEX(INDIRECT(All_Questions_Q6_F_resolved_column),185)&amp;"|",("|" &amp; SUBSTITUTE(All_Questions_Q6_F_resolved_criteria, ", ", "|") &amp; "|"))),1,0),0))*1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IF(OR(All_Questions_Q6_F_Q="(None)",All_Questions_Q6_F_Q="",ISBLANK(All_Questions_Q6_F_Q),All_Questions_Q6_F_V="(All)",All_Questions_Q6_F_V="",ISBLANK(All_Questions_Q6_F_V)),1,IFERROR(IF(ISNUMBER(SEARCH("|"&amp;INDEX(INDIRECT(All_Questions_Q6_F_resolved_column),186)&amp;"|",("|" &amp; SUBSTITUTE(All_Questions_Q6_F_resolved_criteria, ", ", "|") &amp; "|"))),1,0),0))*1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IF(OR(All_Questions_Q6_F_Q="(None)",All_Questions_Q6_F_Q="",ISBLANK(All_Questions_Q6_F_Q),All_Questions_Q6_F_V="(All)",All_Questions_Q6_F_V="",ISBLANK(All_Questions_Q6_F_V)),1,IFERROR(IF(ISNUMBER(SEARCH("|"&amp;INDEX(INDIRECT(All_Questions_Q6_F_resolved_column),187)&amp;"|",("|" &amp; SUBSTITUTE(All_Questions_Q6_F_resolved_criteria, ", ", "|") &amp; "|"))),1,0),0))*1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IF(OR(All_Questions_Q6_F_Q="(None)",All_Questions_Q6_F_Q="",ISBLANK(All_Questions_Q6_F_Q),All_Questions_Q6_F_V="(All)",All_Questions_Q6_F_V="",ISBLANK(All_Questions_Q6_F_V)),1,IFERROR(IF(ISNUMBER(SEARCH("|"&amp;INDEX(INDIRECT(All_Questions_Q6_F_resolved_column),188)&amp;"|",("|" &amp; SUBSTITUTE(All_Questions_Q6_F_resolved_criteria, ", ", "|") &amp; "|"))),1,0),0))*1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IF(OR(All_Questions_Q6_F_Q="(None)",All_Questions_Q6_F_Q="",ISBLANK(All_Questions_Q6_F_Q),All_Questions_Q6_F_V="(All)",All_Questions_Q6_F_V="",ISBLANK(All_Questions_Q6_F_V)),1,IFERROR(IF(ISNUMBER(SEARCH("|"&amp;INDEX(INDIRECT(All_Questions_Q6_F_resolved_column),189)&amp;"|",("|" &amp; SUBSTITUTE(All_Questions_Q6_F_resolved_criteria, ", ", "|") &amp; "|"))),1,0),0))*1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IF(OR(All_Questions_Q6_F_Q="(None)",All_Questions_Q6_F_Q="",ISBLANK(All_Questions_Q6_F_Q),All_Questions_Q6_F_V="(All)",All_Questions_Q6_F_V="",ISBLANK(All_Questions_Q6_F_V)),1,IFERROR(IF(ISNUMBER(SEARCH("|"&amp;INDEX(INDIRECT(All_Questions_Q6_F_resolved_column),190)&amp;"|",("|" &amp; SUBSTITUTE(All_Questions_Q6_F_resolved_criteria, ", ", "|") &amp; "|"))),1,0),0))*1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IF(OR(All_Questions_Q6_F_Q="(None)",All_Questions_Q6_F_Q="",ISBLANK(All_Questions_Q6_F_Q),All_Questions_Q6_F_V="(All)",All_Questions_Q6_F_V="",ISBLANK(All_Questions_Q6_F_V)),1,IFERROR(IF(ISNUMBER(SEARCH("|"&amp;INDEX(INDIRECT(All_Questions_Q6_F_resolved_column),191)&amp;"|",("|" &amp; SUBSTITUTE(All_Questions_Q6_F_resolved_criteria, ", ", "|") &amp; "|"))),1,0),0))*1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IF(OR(All_Questions_Q6_F_Q="(None)",All_Questions_Q6_F_Q="",ISBLANK(All_Questions_Q6_F_Q),All_Questions_Q6_F_V="(All)",All_Questions_Q6_F_V="",ISBLANK(All_Questions_Q6_F_V)),1,IFERROR(IF(ISNUMBER(SEARCH("|"&amp;INDEX(INDIRECT(All_Questions_Q6_F_resolved_column),192)&amp;"|",("|" &amp; SUBSTITUTE(All_Questions_Q6_F_resolved_criteria, ", ", "|") &amp; "|"))),1,0),0))*1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IF(OR(All_Questions_Q6_F_Q="(None)",All_Questions_Q6_F_Q="",ISBLANK(All_Questions_Q6_F_Q),All_Questions_Q6_F_V="(All)",All_Questions_Q6_F_V="",ISBLANK(All_Questions_Q6_F_V)),1,IFERROR(IF(ISNUMBER(SEARCH("|"&amp;INDEX(INDIRECT(All_Questions_Q6_F_resolved_column),193)&amp;"|",("|" &amp; SUBSTITUTE(All_Questions_Q6_F_resolved_criteria, ", ", "|") &amp; "|"))),1,0),0))*1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IF(OR(All_Questions_Q6_F_Q="(None)",All_Questions_Q6_F_Q="",ISBLANK(All_Questions_Q6_F_Q),All_Questions_Q6_F_V="(All)",All_Questions_Q6_F_V="",ISBLANK(All_Questions_Q6_F_V)),1,IFERROR(IF(ISNUMBER(SEARCH("|"&amp;INDEX(INDIRECT(All_Questions_Q6_F_resolved_column),194)&amp;"|",("|" &amp; SUBSTITUTE(All_Questions_Q6_F_resolved_criteria, ", ", "|") &amp; "|"))),1,0),0))*1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IF(OR(All_Questions_Q6_F_Q="(None)",All_Questions_Q6_F_Q="",ISBLANK(All_Questions_Q6_F_Q),All_Questions_Q6_F_V="(All)",All_Questions_Q6_F_V="",ISBLANK(All_Questions_Q6_F_V)),1,IFERROR(IF(ISNUMBER(SEARCH("|"&amp;INDEX(INDIRECT(All_Questions_Q6_F_resolved_column),195)&amp;"|",("|" &amp; SUBSTITUTE(All_Questions_Q6_F_resolved_criteria, ", ", "|") &amp; "|"))),1,0),0))*1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IF(OR(All_Questions_Q6_F_Q="(None)",All_Questions_Q6_F_Q="",ISBLANK(All_Questions_Q6_F_Q),All_Questions_Q6_F_V="(All)",All_Questions_Q6_F_V="",ISBLANK(All_Questions_Q6_F_V)),1,IFERROR(IF(ISNUMBER(SEARCH("|"&amp;INDEX(INDIRECT(All_Questions_Q6_F_resolved_column),196)&amp;"|",("|" &amp; SUBSTITUTE(All_Questions_Q6_F_resolved_criteria, ", ", "|") &amp; "|"))),1,0),0))*1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IF(OR(All_Questions_Q6_F_Q="(None)",All_Questions_Q6_F_Q="",ISBLANK(All_Questions_Q6_F_Q),All_Questions_Q6_F_V="(All)",All_Questions_Q6_F_V="",ISBLANK(All_Questions_Q6_F_V)),1,IFERROR(IF(ISNUMBER(SEARCH("|"&amp;INDEX(INDIRECT(All_Questions_Q6_F_resolved_column),197)&amp;"|",("|" &amp; SUBSTITUTE(All_Questions_Q6_F_resolved_criteria, ", ", "|") &amp; "|"))),1,0),0))*1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IF(OR(All_Questions_Q6_F_Q="(None)",All_Questions_Q6_F_Q="",ISBLANK(All_Questions_Q6_F_Q),All_Questions_Q6_F_V="(All)",All_Questions_Q6_F_V="",ISBLANK(All_Questions_Q6_F_V)),1,IFERROR(IF(ISNUMBER(SEARCH("|"&amp;INDEX(INDIRECT(All_Questions_Q6_F_resolved_column),198)&amp;"|",("|" &amp; SUBSTITUTE(All_Questions_Q6_F_resolved_criteria, ", ", "|") &amp; "|"))),1,0),0))*1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IF(OR(All_Questions_Q6_F_Q="(None)",All_Questions_Q6_F_Q="",ISBLANK(All_Questions_Q6_F_Q),All_Questions_Q6_F_V="(All)",All_Questions_Q6_F_V="",ISBLANK(All_Questions_Q6_F_V)),1,IFERROR(IF(ISNUMBER(SEARCH("|"&amp;INDEX(INDIRECT(All_Questions_Q6_F_resolved_column),199)&amp;"|",("|" &amp; SUBSTITUTE(All_Questions_Q6_F_resolved_criteria, ", ", "|") &amp; "|"))),1,0),0))*1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IF(OR(All_Questions_Q6_F_Q="(None)",All_Questions_Q6_F_Q="",ISBLANK(All_Questions_Q6_F_Q),All_Questions_Q6_F_V="(All)",All_Questions_Q6_F_V="",ISBLANK(All_Questions_Q6_F_V)),1,IFERROR(IF(ISNUMBER(SEARCH("|"&amp;INDEX(INDIRECT(All_Questions_Q6_F_resolved_column),200)&amp;"|",("|" &amp; SUBSTITUTE(All_Questions_Q6_F_resolved_criteria, ", ", "|") &amp; "|"))),1,0),0))*1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IF(OR(All_Questions_Q6_F_Q="(None)",All_Questions_Q6_F_Q="",ISBLANK(All_Questions_Q6_F_Q),All_Questions_Q6_F_V="(All)",All_Questions_Q6_F_V="",ISBLANK(All_Questions_Q6_F_V)),1,IFERROR(IF(ISNUMBER(SEARCH("|"&amp;INDEX(INDIRECT(All_Questions_Q6_F_resolved_column),201)&amp;"|",("|" &amp; SUBSTITUTE(All_Questions_Q6_F_resolved_criteria, ", ", "|") &amp; "|"))),1,0),0))*1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IF(OR(All_Questions_Q6_F_Q="(None)",All_Questions_Q6_F_Q="",ISBLANK(All_Questions_Q6_F_Q),All_Questions_Q6_F_V="(All)",All_Questions_Q6_F_V="",ISBLANK(All_Questions_Q6_F_V)),1,IFERROR(IF(ISNUMBER(SEARCH("|"&amp;INDEX(INDIRECT(All_Questions_Q6_F_resolved_column),202)&amp;"|",("|" &amp; SUBSTITUTE(All_Questions_Q6_F_resolved_criteria, ", ", "|") &amp; "|"))),1,0),0))*1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IF(OR(All_Questions_Q6_F_Q="(None)",All_Questions_Q6_F_Q="",ISBLANK(All_Questions_Q6_F_Q),All_Questions_Q6_F_V="(All)",All_Questions_Q6_F_V="",ISBLANK(All_Questions_Q6_F_V)),1,IFERROR(IF(ISNUMBER(SEARCH("|"&amp;INDEX(INDIRECT(All_Questions_Q6_F_resolved_column),203)&amp;"|",("|" &amp; SUBSTITUTE(All_Questions_Q6_F_resolved_criteria, ", ", "|") &amp; "|"))),1,0),0))*1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IF(OR(All_Questions_Q6_F_Q="(None)",All_Questions_Q6_F_Q="",ISBLANK(All_Questions_Q6_F_Q),All_Questions_Q6_F_V="(All)",All_Questions_Q6_F_V="",ISBLANK(All_Questions_Q6_F_V)),1,IFERROR(IF(ISNUMBER(SEARCH("|"&amp;INDEX(INDIRECT(All_Questions_Q6_F_resolved_column),204)&amp;"|",("|" &amp; SUBSTITUTE(All_Questions_Q6_F_resolved_criteria, ", ", "|") &amp; "|"))),1,0),0))*1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IF(OR(All_Questions_Q6_F_Q="(None)",All_Questions_Q6_F_Q="",ISBLANK(All_Questions_Q6_F_Q),All_Questions_Q6_F_V="(All)",All_Questions_Q6_F_V="",ISBLANK(All_Questions_Q6_F_V)),1,IFERROR(IF(ISNUMBER(SEARCH("|"&amp;INDEX(INDIRECT(All_Questions_Q6_F_resolved_column),205)&amp;"|",("|" &amp; SUBSTITUTE(All_Questions_Q6_F_resolved_criteria, ", ", "|") &amp; "|"))),1,0),0))*1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IF(OR(All_Questions_Q6_F_Q="(None)",All_Questions_Q6_F_Q="",ISBLANK(All_Questions_Q6_F_Q),All_Questions_Q6_F_V="(All)",All_Questions_Q6_F_V="",ISBLANK(All_Questions_Q6_F_V)),1,IFERROR(IF(ISNUMBER(SEARCH("|"&amp;INDEX(INDIRECT(All_Questions_Q6_F_resolved_column),206)&amp;"|",("|" &amp; SUBSTITUTE(All_Questions_Q6_F_resolved_criteria,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L1" t="inlineStr">
        <is>
          <t>All_Questions_Value_Keys</t>
        </is>
      </c>
      <c r="M1" t="inlineStr">
        <is>
          <t>All_Questions_Value_Data_Names</t>
        </is>
      </c>
      <c r="N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'_RawData'!$A$2:$A$207</t>
        </is>
      </c>
      <c r="J2" t="inlineStr">
        <is>
          <t>'_Options'!$E$2:$E$2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IFERROR(INDEX(All_Questions_Value_Data_Names,MATCH(All_Questions_Q6_F_Q&amp;"|"&amp;All_Questions_Q6_F_V,All_Questions_Value_Keys,0)),IFERROR(INDEX(All_Questions_Data_Names,MATCH(All_Questions_Q6_F_Q,All_Questions,0)),"'_RawData'!$A:$A"))</f>
        <v>respondent_id_data</v>
      </c>
      <c r="G13" t="str">
        <f>"|" &amp; SUBSTITUTE(All_Questions_Q6_F_V, ", ", "|") &amp; "|"</f>
        <v>|(All)|</v>
      </c>
      <c r="H13" t="str">
        <f>IFERROR(INDEX(All_Questions_Value_Criteria,MATCH(All_Questions_Q6_F_Q&amp;"|"&amp;All_Questions_Q6_F_V,All_Questions_Value_Keys,0)),All_Questions_Q6_F_V)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A20" s="4" t="inlineStr">
        <is>
          <t>Option</t>
        </is>
      </c>
      <c r="B20" s="2" t="str">
        <f>IF(All_Questions_Q6_CT="(None)","",IFERROR(INDEX(INDIRECT(IFERROR(INDEX(Cross_Tab_Questions_Options_Names,MATCH(All_Questions_Q6_CT,Cross_Tab_Questions,0)),"'_Options'!$E$2:$E$2")),2),""))</f>
        <v/>
      </c>
      <c r="C20" s="2" t="str">
        <f>IF(All_Questions_Q6_CT="(None)","",IFERROR(INDEX(INDIRECT(IFERROR(INDEX(Cross_Tab_Questions_Options_Names,MATCH(All_Questions_Q6_CT,Cross_Tab_Questions,0)),"'_Options'!$E$2:$E$2")),3),""))</f>
        <v/>
      </c>
      <c r="D20" s="2" t="str">
        <f>IF(All_Questions_Q6_CT="(None)","",IFERROR(INDEX(INDIRECT(IFERROR(INDEX(Cross_Tab_Questions_Options_Names,MATCH(All_Questions_Q6_CT,Cross_Tab_Questions,0)),"'_Options'!$E$2:$E$2")),4),""))</f>
        <v/>
      </c>
      <c r="E20" s="2" t="str">
        <f>IF(All_Questions_Q6_CT="(None)","",IFERROR(INDEX(INDIRECT(IFERROR(INDEX(Cross_Tab_Questions_Options_Names,MATCH(All_Questions_Q6_CT,Cross_Tab_Questions,0)),"'_Options'!$E$2:$E$2")),5),""))</f>
        <v/>
      </c>
      <c r="F20" s="2" t="str">
        <f>IF(All_Questions_Q6_CT="(None)","",IFERROR(INDEX(INDIRECT(IFERROR(INDEX(Cross_Tab_Questions_Options_Names,MATCH(All_Questions_Q6_CT,Cross_Tab_Questions,0)),"'_Options'!$E$2:$E$2")),6),""))</f>
        <v/>
      </c>
      <c r="G20" s="2" t="str">
        <f>IF(All_Questions_Q6_CT="(None)","",IFERROR(INDEX(INDIRECT(IFERROR(INDEX(Cross_Tab_Questions_Options_Names,MATCH(All_Questions_Q6_CT,Cross_Tab_Questions,0)),"'_Options'!$E$2:$E$2")),7),""))</f>
        <v/>
      </c>
      <c r="H20" s="2" t="str">
        <f>IF(All_Questions_Q6_CT="(None)","",IFERROR(INDEX(INDIRECT(IFERROR(INDEX(Cross_Tab_Questions_Options_Names,MATCH(All_Questions_Q6_CT,Cross_Tab_Questions,0)),"'_Options'!$E$2:$E$2")),8),""))</f>
        <v/>
      </c>
      <c r="I20" s="2" t="str">
        <f>IF(All_Questions_Q6_CT="(None)","",IFERROR(INDEX(INDIRECT(IFERROR(INDEX(Cross_Tab_Questions_Options_Names,MATCH(All_Questions_Q6_CT,Cross_Tab_Questions,0)),"'_Options'!$E$2:$E$2")),9),""))</f>
        <v/>
      </c>
      <c r="J20" s="2" t="str">
        <f>IF(All_Questions_Q6_CT="(None)","",IFERROR(INDEX(INDIRECT(IFERROR(INDEX(Cross_Tab_Questions_Options_Names,MATCH(All_Questions_Q6_CT,Cross_Tab_Questions,0)),"'_Options'!$E$2:$E$2")),10),""))</f>
        <v/>
      </c>
      <c r="K20" s="2" t="str">
        <f>IF(All_Questions_Q6_CT="(None)","",IFERROR(INDEX(INDIRECT(IFERROR(INDEX(Cross_Tab_Questions_Options_Names,MATCH(All_Questions_Q6_CT,Cross_Tab_Questions,0)),"'_Options'!$E$2:$E$2")),11),""))</f>
        <v/>
      </c>
      <c r="L20" s="2" t="str">
        <f>IF(All_Questions_Q6_CT="(None)","",IFERROR(INDEX(INDIRECT(IFERROR(INDEX(Cross_Tab_Questions_Options_Names,MATCH(All_Questions_Q6_CT,Cross_Tab_Questions,0)),"'_Options'!$E$2:$E$2")),12),""))</f>
        <v/>
      </c>
      <c r="M20" s="2" t="str">
        <f>IF(All_Questions_Q6_CT="(None)","",IF(COUNTA(INDIRECT(IFERROR(INDEX(Cross_Tab_Questions_Options_Names,MATCH(All_Questions_Q6_CT,Cross_Tab_Questions,0)),"'_Options'!$E$2:$E$2")))-1&gt;11,"Other",IFERROR(INDEX(INDIRECT(IFERROR(INDEX(Cross_Tab_Questions_Options_Names,MATCH(All_Questions_Q6_CT,Cross_Tab_Questions,0)),"'_Options'!$E$2:$E$2")),13),"")))</f>
        <v/>
      </c>
      <c r="N20" s="4" t="inlineStr">
        <is>
          <t>Total</t>
        </is>
      </c>
    </row>
    <row r="21">
      <c r="A21" s="4" t="inlineStr"/>
      <c r="B21" s="4" t="inlineStr">
        <is>
          <t>Mean</t>
        </is>
      </c>
      <c r="C21" s="4" t="inlineStr">
        <is>
          <t>Mean</t>
        </is>
      </c>
      <c r="D21" s="4" t="inlineStr">
        <is>
          <t>Mean</t>
        </is>
      </c>
      <c r="E21" s="4" t="inlineStr">
        <is>
          <t>Mean</t>
        </is>
      </c>
      <c r="F21" s="4" t="inlineStr">
        <is>
          <t>Mean</t>
        </is>
      </c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</row>
    <row r="22">
      <c r="A22" t="inlineStr">
        <is>
          <t>CRM &amp; sales tools</t>
        </is>
      </c>
      <c r="B22" s="14">
        <f>IF(OR(All_Questions_Q6_CT="(None)",B$20=""),"",IF(B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B$20),"")))</f>
        <v>26.3695</v>
      </c>
      <c r="C22" s="14">
        <f>IF(OR(All_Questions_Q6_CT="(None)",C$20=""),"",IF(C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C$20),"")))</f>
        <v>26.3695</v>
      </c>
      <c r="D22" s="14">
        <f>IF(OR(All_Questions_Q6_CT="(None)",D$20=""),"",IF(D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D$20),"")))</f>
        <v>26.3695</v>
      </c>
      <c r="E22" s="14">
        <f>IF(OR(All_Questions_Q6_CT="(None)",E$20=""),"",IF(E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E$20),"")))</f>
        <v>26.3695</v>
      </c>
      <c r="F22" s="14">
        <f>IF(OR(All_Questions_Q6_CT="(None)",F$20=""),"",IF(F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F$20),"")))</f>
        <v>26.3695</v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26.3695</v>
      </c>
      <c r="N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A23" s="4" t="inlineStr">
        <is>
          <t>Total respondents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B$20</t>
        </is>
      </c>
      <c r="H2">
        <f>IF(OR(All_Questions_Q6_CT="(None)",B$20=""),"",IF(B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B$20),"")))</f>
        <v>0</v>
      </c>
      <c r="I2" t="n">
        <v>26.3695</v>
      </c>
      <c r="J2" t="n">
        <v>0</v>
      </c>
      <c r="K2" t="n">
        <v>0</v>
      </c>
      <c r="L2" t="inlineStr">
        <is>
          <t>2026-06-09T11:30:50.619233+00:00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C$20</t>
        </is>
      </c>
      <c r="H3">
        <f>IF(OR(All_Questions_Q6_CT="(None)",C$20=""),"",IF(C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C$20),"")))</f>
        <v>0</v>
      </c>
      <c r="I3" t="n">
        <v>26.3695</v>
      </c>
      <c r="J3" t="n">
        <v>0</v>
      </c>
      <c r="K3" t="n">
        <v>0</v>
      </c>
      <c r="L3" t="inlineStr">
        <is>
          <t>2026-06-09T11:30:50.619470+00:00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D$20</t>
        </is>
      </c>
      <c r="H4">
        <f>IF(OR(All_Questions_Q6_CT="(None)",D$20=""),"",IF(D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D$20),"")))</f>
        <v>0</v>
      </c>
      <c r="I4" t="n">
        <v>26.3695</v>
      </c>
      <c r="J4" t="n">
        <v>0</v>
      </c>
      <c r="K4" t="n">
        <v>0</v>
      </c>
      <c r="L4" t="inlineStr">
        <is>
          <t>2026-06-09T11:30:50.619661+00:00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E$20</t>
        </is>
      </c>
      <c r="H5">
        <f>IF(OR(All_Questions_Q6_CT="(None)",E$20=""),"",IF(E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E$20),"")))</f>
        <v>0</v>
      </c>
      <c r="I5" t="n">
        <v>26.3695</v>
      </c>
      <c r="J5" t="n">
        <v>0</v>
      </c>
      <c r="K5" t="n">
        <v>0</v>
      </c>
      <c r="L5" t="inlineStr">
        <is>
          <t>2026-06-09T11:30:50.619852+00:00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F$20</t>
        </is>
      </c>
      <c r="H6">
        <f>IF(OR(All_Questions_Q6_CT="(None)",F$20=""),"",IF(F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F$20),"")))</f>
        <v>0</v>
      </c>
      <c r="I6" t="n">
        <v>26.3695</v>
      </c>
      <c r="J6" t="n">
        <v>0</v>
      </c>
      <c r="K6" t="n">
        <v>0</v>
      </c>
      <c r="L6" t="inlineStr">
        <is>
          <t>2026-06-09T11:30:50.620097+00:00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G$20</t>
        </is>
      </c>
      <c r="H7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0</v>
      </c>
      <c r="I7" t="n">
        <v>26.3695</v>
      </c>
      <c r="J7" t="n">
        <v>0</v>
      </c>
      <c r="K7" t="n">
        <v>0</v>
      </c>
      <c r="L7" t="inlineStr">
        <is>
          <t>2026-06-09T11:30:50.620290+00:00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H$20</t>
        </is>
      </c>
      <c r="H8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0</v>
      </c>
      <c r="I8" t="n">
        <v>26.3695</v>
      </c>
      <c r="J8" t="n">
        <v>0</v>
      </c>
      <c r="K8" t="n">
        <v>0</v>
      </c>
      <c r="L8" t="inlineStr">
        <is>
          <t>2026-06-09T11:30:50.620477+00:00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I$20</t>
        </is>
      </c>
      <c r="H9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0</v>
      </c>
      <c r="I9" t="n">
        <v>26.3695</v>
      </c>
      <c r="J9" t="n">
        <v>0</v>
      </c>
      <c r="K9" t="n">
        <v>0</v>
      </c>
      <c r="L9" t="inlineStr">
        <is>
          <t>2026-06-09T11:30:50.620664+00:00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J$20</t>
        </is>
      </c>
      <c r="H10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0</v>
      </c>
      <c r="I10" t="n">
        <v>26.3695</v>
      </c>
      <c r="J10" t="n">
        <v>0</v>
      </c>
      <c r="K10" t="n">
        <v>0</v>
      </c>
      <c r="L10" t="inlineStr">
        <is>
          <t>2026-06-09T11:30:50.620851+00:00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K$20</t>
        </is>
      </c>
      <c r="H11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0</v>
      </c>
      <c r="I11" t="n">
        <v>26.3695</v>
      </c>
      <c r="J11" t="n">
        <v>0</v>
      </c>
      <c r="K11" t="n">
        <v>0</v>
      </c>
      <c r="L11" t="inlineStr">
        <is>
          <t>2026-06-09T11:30:50.621086+00:00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L$20</t>
        </is>
      </c>
      <c r="H12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0</v>
      </c>
      <c r="I12" t="n">
        <v>26.3695</v>
      </c>
      <c r="J12" t="n">
        <v>0</v>
      </c>
      <c r="K12" t="n">
        <v>0</v>
      </c>
      <c r="L12" t="inlineStr">
        <is>
          <t>2026-06-09T11:30:50.621277+00:00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M$20</t>
        </is>
      </c>
      <c r="H13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0</v>
      </c>
      <c r="I13" t="n">
        <v>26.3695</v>
      </c>
      <c r="J13" t="n">
        <v>0</v>
      </c>
      <c r="K13" t="n">
        <v>0</v>
      </c>
      <c r="L13" t="inlineStr">
        <is>
          <t>2026-06-09T11:30:50.621547+00:00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2026-06-09T11:30:49Z</dcterms:created>
  <dcterms:modified xmlns:dcterms="http://purl.org/dc/terms/" xmlns:xsi="http://www.w3.org/2001/XMLSchema-instance" xsi:type="dcterms:W3CDTF">2026-06-09T11:30:50Z</dcterms:modified>
</cp:coreProperties>
</file>