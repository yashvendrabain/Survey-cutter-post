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'_Options'!$A$2:$A$9</definedName>
    <definedName name="All_Questions_Local">'_Options'!$B$2:$B$10</definedName>
    <definedName name="Cross_Tab_Questions">'_Options'!$Z$2:$Z$7</definedName>
    <definedName name="Cross_Tab_Questions_Data_Names">'_Options'!$AA$2:$AA$7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Q_MS_EXPORT_filter_values_options">'_Options'!$AE$2:$AE$4</definedName>
    <definedName name="Q_MS_EXPORT_filter_values_local_options">'_Options'!$AF$2:$AF$5</definedName>
    <definedName name="Q_GRID_EXPORT_filter_values_options">'_Options'!$AG$2:$AG$6</definedName>
    <definedName name="Q_GRID_EXPORT_filter_values_local_options">'_Options'!$AH$2:$AH$7</definedName>
    <definedName name="All_Questions_Data_Names">'_Options'!$C$2:$C$9</definedName>
    <definedName name="All_Questions_Options_Names">'_Options'!$D$2:$D$9</definedName>
    <definedName name="Cross_Tab_Questions_Options_Names">'_Options'!$AB$2:$AB$7</definedName>
    <definedName name="All_Questions_Value_Keys">'_Options'!$AR$2:$AR$7</definedName>
    <definedName name="All_Questions_Value_Data_Names">'_Options'!$AS$2:$AS$7</definedName>
    <definedName name="All_Questions_Value_Criteria">'_Options'!$AT$2:$AT$7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'_RawData'!$R$2:$R$11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'_RawData'!$S$2:$S$11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'_RawData'!$T$2:$T$11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'_RawData'!$U$2:$U$11</definedName>
    <definedName name="All_Questions_Q_VERY_LONG_SINGLE_SELECT_EXPORT_NAME_CT">'All Questions'!$C$75</definedName>
    <definedName name="All_Questions_Q_EXTRA_1_F_Q">'All Questions'!$C$90</definedName>
    <definedName name="All_Questions_Q_EXTRA_1_F_V">'All Questions'!$E$90</definedName>
    <definedName name="All_Questions_Q_EXTRA_1_F_resolved_column">'All Questions'!$F$90</definedName>
    <definedName name="All_Questions_Q_EXTRA_1_F_wrapped">'All Questions'!$G$90</definedName>
    <definedName name="All_Questions_Q_EXTRA_1_F_resolved_criteria">'All Questions'!$H$90</definedName>
    <definedName name="All_Questions_Q_EXTRA_1_F_passes_per_q_filter_data">'_RawData'!$V$2:$V$11</definedName>
    <definedName name="All_Questions_Q_EXTRA_1_CT">'All Questions'!$C$91</definedName>
    <definedName name="All_Questions_Q_EXTRA_2_F_Q">'All Questions'!$C$106</definedName>
    <definedName name="All_Questions_Q_EXTRA_2_F_V">'All Questions'!$E$106</definedName>
    <definedName name="All_Questions_Q_EXTRA_2_F_resolved_column">'All Questions'!$F$106</definedName>
    <definedName name="All_Questions_Q_EXTRA_2_F_wrapped">'All Questions'!$G$106</definedName>
    <definedName name="All_Questions_Q_EXTRA_2_F_resolved_criteria">'All Questions'!$H$106</definedName>
    <definedName name="All_Questions_Q_EXTRA_2_F_passes_per_q_filter_data">'_RawData'!$W$2:$W$11</definedName>
    <definedName name="All_Questions_Q_EXTRA_2_CT">'All Questions'!$C$107</definedName>
    <definedName name="All_Questions_Q_EXTRA_3_F_Q">'All Questions'!$C$122</definedName>
    <definedName name="All_Questions_Q_EXTRA_3_F_V">'All Questions'!$E$122</definedName>
    <definedName name="All_Questions_Q_EXTRA_3_F_resolved_column">'All Questions'!$F$122</definedName>
    <definedName name="All_Questions_Q_EXTRA_3_F_wrapped">'All Questions'!$G$122</definedName>
    <definedName name="All_Questions_Q_EXTRA_3_F_resolved_criteria">'All Questions'!$H$122</definedName>
    <definedName name="All_Questions_Q_EXTRA_3_F_passes_per_q_filter_data">'_RawData'!$X$2:$X$11</definedName>
    <definedName name="All_Questions_Q_EXTRA_3_CT">'All Questions'!$C$123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F90" i="7"/>
  <c r="G90" i="7"/>
  <c r="H90" i="7"/>
  <c r="B94" i="7"/>
  <c r="C94" i="7"/>
  <c r="D94" i="7"/>
  <c r="B95" i="7"/>
  <c r="C95" i="7"/>
  <c r="D95" i="7"/>
  <c r="B98" i="7"/>
  <c r="C98" i="7"/>
  <c r="D98" i="7"/>
  <c r="E98" i="7"/>
  <c r="F98" i="7"/>
  <c r="G98" i="7"/>
  <c r="H98" i="7"/>
  <c r="I98" i="7"/>
  <c r="J98" i="7"/>
  <c r="K98" i="7"/>
  <c r="L98" i="7"/>
  <c r="M98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N102" i="7"/>
  <c r="F106" i="7"/>
  <c r="G106" i="7"/>
  <c r="H106" i="7"/>
  <c r="B110" i="7"/>
  <c r="C110" i="7"/>
  <c r="D110" i="7"/>
  <c r="B111" i="7"/>
  <c r="C111" i="7"/>
  <c r="D111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N118" i="7"/>
  <c r="F122" i="7"/>
  <c r="G122" i="7"/>
  <c r="H122" i="7"/>
  <c r="B126" i="7"/>
  <c r="C126" i="7"/>
  <c r="D126" i="7"/>
  <c r="B127" i="7"/>
  <c r="C127" i="7"/>
  <c r="D127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N134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93_1" displayName="T_All_Questions_93_1" ref="A93:D96" headerRowCount="1">
  <autoFilter ref="A93:D9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109_1" displayName="T_All_Questions_109_1" ref="A109:D112" headerRowCount="1">
  <autoFilter ref="A109:D11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25_1" displayName="T_All_Questions_125_1" ref="A125:D128" headerRowCount="1">
  <autoFilter ref="A125:D12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("|" &amp; SUBSTITUTE(All_Questions_Q_EXTRA_1_F_resolved_criteria, ", ", "|") &amp; "|"))),1,0),0))*1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("|" &amp; SUBSTITUTE(All_Questions_Q_EXTRA_2_F_resolved_criteria, ", ", "|") &amp; "|"))),1,0),0))*1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("|" &amp; SUBSTITUTE(All_Questions_Q_EXTRA_3_F_resolved_criteria,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("|" &amp; SUBSTITUTE(All_Questions_Q_EXTRA_1_F_resolved_criteria, ", ", "|") &amp; "|"))),1,0),0))*1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("|" &amp; SUBSTITUTE(All_Questions_Q_EXTRA_2_F_resolved_criteria, ", ", "|") &amp; "|"))),1,0),0))*1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("|" &amp; SUBSTITUTE(All_Questions_Q_EXTRA_3_F_resolved_criteria,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("|" &amp; SUBSTITUTE(All_Questions_Q_EXTRA_1_F_resolved_criteria, ", ", "|") &amp; "|"))),1,0),0))*1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("|" &amp; SUBSTITUTE(All_Questions_Q_EXTRA_2_F_resolved_criteria, ", ", "|") &amp; "|"))),1,0),0))*1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("|" &amp; SUBSTITUTE(All_Questions_Q_EXTRA_3_F_resolved_criteria,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("|" &amp; SUBSTITUTE(All_Questions_Q_EXTRA_1_F_resolved_criteria, ", ", "|") &amp; "|"))),1,0),0))*1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("|" &amp; SUBSTITUTE(All_Questions_Q_EXTRA_2_F_resolved_criteria, ", ", "|") &amp; "|"))),1,0),0))*1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("|" &amp; SUBSTITUTE(All_Questions_Q_EXTRA_3_F_resolved_criteria,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("|" &amp; SUBSTITUTE(All_Questions_Q_EXTRA_1_F_resolved_criteria, ", ", "|") &amp; "|"))),1,0),0))*1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("|" &amp; SUBSTITUTE(All_Questions_Q_EXTRA_2_F_resolved_criteria, ", ", "|") &amp; "|"))),1,0),0))*1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("|" &amp; SUBSTITUTE(All_Questions_Q_EXTRA_3_F_resolved_criteria,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("|" &amp; SUBSTITUTE(All_Questions_Q_EXTRA_1_F_resolved_criteria, ", ", "|") &amp; "|"))),1,0),0))*1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("|" &amp; SUBSTITUTE(All_Questions_Q_EXTRA_2_F_resolved_criteria, ", ", "|") &amp; "|"))),1,0),0))*1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("|" &amp; SUBSTITUTE(All_Questions_Q_EXTRA_3_F_resolved_criteria,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("|" &amp; SUBSTITUTE(All_Questions_Q_EXTRA_1_F_resolved_criteria, ", ", "|") &amp; "|"))),1,0),0))*1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("|" &amp; SUBSTITUTE(All_Questions_Q_EXTRA_2_F_resolved_criteria, ", ", "|") &amp; "|"))),1,0),0))*1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("|" &amp; SUBSTITUTE(All_Questions_Q_EXTRA_3_F_resolved_criteria,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("|" &amp; SUBSTITUTE(All_Questions_Q_EXTRA_1_F_resolved_criteria, ", ", "|") &amp; "|"))),1,0),0))*1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("|" &amp; SUBSTITUTE(All_Questions_Q_EXTRA_2_F_resolved_criteria, ", ", "|") &amp; "|"))),1,0),0))*1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("|" &amp; SUBSTITUTE(All_Questions_Q_EXTRA_3_F_resolved_criteria,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("|" &amp; SUBSTITUTE(All_Questions_Q_EXTRA_1_F_resolved_criteria, ", ", "|") &amp; "|"))),1,0),0))*1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("|" &amp; SUBSTITUTE(All_Questions_Q_EXTRA_2_F_resolved_criteria, ", ", "|") &amp; "|"))),1,0),0))*1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("|" &amp; SUBSTITUTE(All_Questions_Q_EXTRA_3_F_resolved_criteria,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("|" &amp; SUBSTITUTE(All_Questions_Q_EXTRA_1_F_resolved_criteria, ", ", "|") &amp; "|"))),1,0),0))*1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("|" &amp; SUBSTITUTE(All_Questions_Q_EXTRA_2_F_resolved_criteria, ", ", "|") &amp; "|"))),1,0),0))*1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("|" &amp; SUBSTITUTE(All_Questions_Q_EXTRA_3_F_resolved_criteria,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  <c r="Z1" t="inlineStr">
        <is>
          <t>Cross_Tab_Questions</t>
        </is>
      </c>
      <c r="AA1" t="inlineStr">
        <is>
          <t>Cross_Tab_Questions_Data_Names</t>
        </is>
      </c>
      <c r="AB1" t="inlineStr">
        <is>
          <t>Cross_Tab_Questions_Options_Names</t>
        </is>
      </c>
      <c r="AE1" t="inlineStr">
        <is>
          <t>Q_MS_EXPORT_filter_values_options</t>
        </is>
      </c>
      <c r="AF1" t="inlineStr">
        <is>
          <t>Q_MS_EXPORT_filter_values_local_options</t>
        </is>
      </c>
      <c r="AG1" t="inlineStr">
        <is>
          <t>Q_GRID_EXPORT_filter_values_options</t>
        </is>
      </c>
      <c r="AH1" t="inlineStr">
        <is>
          <t>Q_GRID_EXPORT_filter_values_local_options</t>
        </is>
      </c>
      <c r="AR1" t="inlineStr">
        <is>
          <t>All_Questions_Value_Keys</t>
        </is>
      </c>
      <c r="AS1" t="inlineStr">
        <is>
          <t>All_Questions_Value_Data_Names</t>
        </is>
      </c>
      <c r="A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(None)</t>
        </is>
      </c>
      <c r="AA2" t="inlineStr">
        <is>
          <t>'_RawData'!$A$2:$A$11</t>
        </is>
      </c>
      <c r="AB2" t="inlineStr">
        <is>
          <t>'_Options'!$E$2:$E$2</t>
        </is>
      </c>
      <c r="AE2" t="inlineStr">
        <is>
          <t>(All)</t>
        </is>
      </c>
      <c r="AF2" t="inlineStr">
        <is>
          <t>(Inherit)</t>
        </is>
      </c>
      <c r="AG2" t="inlineStr">
        <is>
          <t>(All)</t>
        </is>
      </c>
      <c r="AH2" t="inlineStr">
        <is>
          <t>(Inherit)</t>
        </is>
      </c>
      <c r="AR2" t="inlineStr">
        <is>
          <t>Q_MS_EXPORT - Multi Select Export Question|First</t>
        </is>
      </c>
      <c r="AS2" t="inlineStr">
        <is>
          <t>'_RawData'!$C$2:$C$11</t>
        </is>
      </c>
      <c r="AT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Q_SS_EXPORT - Single Select Export Question</t>
        </is>
      </c>
      <c r="AA3" t="inlineStr">
        <is>
          <t>'_RawData'!$B$2:$B$11</t>
        </is>
      </c>
      <c r="AB3" t="inlineStr">
        <is>
          <t>'_Options'!$F$2:$F$4</t>
        </is>
      </c>
      <c r="AE3" t="inlineStr">
        <is>
          <t>First</t>
        </is>
      </c>
      <c r="AF3" t="inlineStr">
        <is>
          <t>(All)</t>
        </is>
      </c>
      <c r="AG3" t="inlineStr">
        <is>
          <t>Grid first row: Low</t>
        </is>
      </c>
      <c r="AH3" t="inlineStr">
        <is>
          <t>(All)</t>
        </is>
      </c>
      <c r="AR3" t="inlineStr">
        <is>
          <t>Q_MS_EXPORT - Multi Select Export Question|Second</t>
        </is>
      </c>
      <c r="AS3" t="inlineStr">
        <is>
          <t>'_RawData'!$D$2:$D$11</t>
        </is>
      </c>
      <c r="AT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'_Options'!$AE$2:$AE$4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  <c r="Z4" t="inlineStr">
        <is>
          <t>Q_VERY_LONG_SINGLE_SELECT_EXPORT_NAME - Long Sheet Name Export Question</t>
        </is>
      </c>
      <c r="AA4" t="inlineStr">
        <is>
          <t>'_RawData'!$H$2:$H$11</t>
        </is>
      </c>
      <c r="AB4" t="inlineStr">
        <is>
          <t>'_Options'!$L$2:$L$4</t>
        </is>
      </c>
      <c r="AE4" t="inlineStr">
        <is>
          <t>Second</t>
        </is>
      </c>
      <c r="AF4" t="inlineStr">
        <is>
          <t>First</t>
        </is>
      </c>
      <c r="AG4" t="inlineStr">
        <is>
          <t>Grid first row: High</t>
        </is>
      </c>
      <c r="AH4" t="inlineStr">
        <is>
          <t>Grid first row: Low</t>
        </is>
      </c>
      <c r="AR4" t="inlineStr">
        <is>
          <t>Q_GRID_EXPORT - Grid Export Question|Grid first row: Low</t>
        </is>
      </c>
      <c r="AS4" t="inlineStr">
        <is>
          <t>'_RawData'!$F$2:$F$11</t>
        </is>
      </c>
      <c r="AT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'_Options'!$AG$2:$AG$6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  <c r="Z5" t="inlineStr">
        <is>
          <t>Q_EXTRA_1 - Mixed Block Question 1</t>
        </is>
      </c>
      <c r="AA5" t="inlineStr">
        <is>
          <t>'_RawData'!$I$2:$I$11</t>
        </is>
      </c>
      <c r="AB5" t="inlineStr">
        <is>
          <t>'_Options'!$M$2:$M$4</t>
        </is>
      </c>
      <c r="AF5" t="inlineStr">
        <is>
          <t>Second</t>
        </is>
      </c>
      <c r="AG5" t="inlineStr">
        <is>
          <t>Grid second row: Low</t>
        </is>
      </c>
      <c r="AH5" t="inlineStr">
        <is>
          <t>Grid first row: High</t>
        </is>
      </c>
      <c r="AR5" t="inlineStr">
        <is>
          <t>Q_GRID_EXPORT - Grid Export Question|Grid first row: High</t>
        </is>
      </c>
      <c r="AS5" t="inlineStr">
        <is>
          <t>'_RawData'!$F$2:$F$11</t>
        </is>
      </c>
      <c r="AT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Z6" t="inlineStr">
        <is>
          <t>Q_EXTRA_2 - Mixed Block Question 2</t>
        </is>
      </c>
      <c r="AA6" t="inlineStr">
        <is>
          <t>'_RawData'!$J$2:$J$11</t>
        </is>
      </c>
      <c r="AB6" t="inlineStr">
        <is>
          <t>'_Options'!$N$2:$N$4</t>
        </is>
      </c>
      <c r="AG6" t="inlineStr">
        <is>
          <t>Grid second row: High</t>
        </is>
      </c>
      <c r="AH6" t="inlineStr">
        <is>
          <t>Grid second row: Low</t>
        </is>
      </c>
      <c r="AR6" t="inlineStr">
        <is>
          <t>Q_GRID_EXPORT - Grid Export Question|Grid second row: Low</t>
        </is>
      </c>
      <c r="AS6" t="inlineStr">
        <is>
          <t>'_RawData'!$G$2:$G$11</t>
        </is>
      </c>
      <c r="AT6" t="inlineStr">
        <is>
          <t>Low</t>
        </is>
      </c>
    </row>
    <row r="7">
      <c r="A7" t="inlineStr">
        <is>
          <t>Q_EXTRA_1 - Mixed Block Question 1</t>
        </is>
      </c>
      <c r="B7" t="inlineStr">
        <is>
          <t>Q_VERY_LONG_SINGLE_SELECT_EXPORT_NAME - Long Sheet Name Export Question</t>
        </is>
      </c>
      <c r="C7" t="inlineStr">
        <is>
          <t>'_RawData'!$I$2:$I$11</t>
        </is>
      </c>
      <c r="D7" t="inlineStr">
        <is>
          <t>'_Options'!$M$2:$M$4</t>
        </is>
      </c>
      <c r="Z7" t="inlineStr">
        <is>
          <t>Q_EXTRA_3 - Mixed Block Question 3</t>
        </is>
      </c>
      <c r="AA7" t="inlineStr">
        <is>
          <t>'_RawData'!$K$2:$K$11</t>
        </is>
      </c>
      <c r="AB7" t="inlineStr">
        <is>
          <t>'_Options'!$O$2:$O$4</t>
        </is>
      </c>
      <c r="AH7" t="inlineStr">
        <is>
          <t>Grid second row: High</t>
        </is>
      </c>
      <c r="AR7" t="inlineStr">
        <is>
          <t>Q_GRID_EXPORT - Grid Export Question|Grid second row: High</t>
        </is>
      </c>
      <c r="AS7" t="inlineStr">
        <is>
          <t>'_RawData'!$G$2:$G$11</t>
        </is>
      </c>
      <c r="AT7" t="inlineStr">
        <is>
          <t>High</t>
        </is>
      </c>
    </row>
    <row r="8">
      <c r="A8" t="inlineStr">
        <is>
          <t>Q_EXTRA_2 - Mixed Block Question 2</t>
        </is>
      </c>
      <c r="B8" t="inlineStr">
        <is>
          <t>Q_EXTRA_1 - Mixed Block Question 1</t>
        </is>
      </c>
      <c r="C8" t="inlineStr">
        <is>
          <t>'_RawData'!$J$2:$J$11</t>
        </is>
      </c>
      <c r="D8" t="inlineStr">
        <is>
          <t>'_Options'!$N$2:$N$4</t>
        </is>
      </c>
    </row>
    <row r="9">
      <c r="A9" t="inlineStr">
        <is>
          <t>Q_EXTRA_3 - Mixed Block Question 3</t>
        </is>
      </c>
      <c r="B9" t="inlineStr">
        <is>
          <t>Q_EXTRA_2 - Mixed Block Question 2</t>
        </is>
      </c>
      <c r="C9" t="inlineStr">
        <is>
          <t>'_RawData'!$K$2:$K$11</t>
        </is>
      </c>
      <c r="D9" t="inlineStr">
        <is>
          <t>'_Options'!$O$2:$O$4</t>
        </is>
      </c>
    </row>
    <row r="10">
      <c r="B10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87"/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</row>
    <row r="89">
      <c r="A89" s="12" t="inlineStr">
        <is>
          <t>Q_EXTRA_1 - Extra mixed block question 1</t>
        </is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</row>
    <row r="90">
      <c r="A90" s="13" t="inlineStr">
        <is>
          <t>Per-question filter</t>
        </is>
      </c>
      <c r="B90" t="inlineStr">
        <is>
          <t>Filter Q</t>
        </is>
      </c>
      <c r="C90" t="inlineStr">
        <is>
          <t>(None)</t>
        </is>
      </c>
      <c r="D90" t="inlineStr">
        <is>
          <t>Value</t>
        </is>
      </c>
      <c r="E90" t="inlineStr">
        <is>
          <t>(All)</t>
        </is>
      </c>
      <c r="F90" t="str">
        <f>IFERROR(INDEX(All_Questions_Value_Data_Names,MATCH(All_Questions_Q_EXTRA_1_F_Q&amp;"|"&amp;All_Questions_Q_EXTRA_1_F_V,All_Questions_Value_Keys,0)),IFERROR(INDEX(All_Questions_Data_Names,MATCH(All_Questions_Q_EXTRA_1_F_Q,All_Questions,0)),"'_RawData'!$A:$A"))</f>
        <v>respondent_id_data</v>
      </c>
      <c r="G90" t="str">
        <f>"|" &amp; SUBSTITUTE(All_Questions_Q_EXTRA_1_F_V, ", ", "|") &amp; "|"</f>
        <v>|(All)|</v>
      </c>
      <c r="H90" t="str">
        <f>IFERROR(INDEX(All_Questions_Value_Criteria,MATCH(All_Questions_Q_EXTRA_1_F_Q&amp;"|"&amp;All_Questions_Q_EXTRA_1_F_V,All_Questions_Value_Keys,0)),All_Questions_Q_EXTRA_1_F_V)</f>
        <v>(All)</v>
      </c>
    </row>
    <row r="91">
      <c r="A91" s="13" t="inlineStr">
        <is>
          <t>Cross-tab by</t>
        </is>
      </c>
      <c r="C91" t="inlineStr">
        <is>
          <t>(None)</t>
        </is>
      </c>
    </row>
    <row r="92"/>
    <row r="93">
      <c r="A93" s="4" t="inlineStr">
        <is>
          <t>Option</t>
        </is>
      </c>
      <c r="B93" s="4" t="inlineStr">
        <is>
          <t>Count</t>
        </is>
      </c>
      <c r="C93" s="4" t="inlineStr">
        <is>
          <t>%</t>
        </is>
      </c>
      <c r="D93" s="4" t="inlineStr">
        <is>
          <t>Denominator</t>
        </is>
      </c>
    </row>
    <row r="94">
      <c r="A94" t="inlineStr">
        <is>
          <t>Extra 1 A</t>
        </is>
      </c>
      <c r="B94">
        <f>COUNTIFS(Q_EXTRA_1_data,"Extra 1 A",passes_workbook_filters_data,1,passes_workbook_custom_filters_data,1,All_Questions_passes_local_filters_data,1,All_Questions_Q_EXTRA_1_F_passes_per_q_filter_data,1)</f>
        <v>6</v>
      </c>
      <c r="C94" s="7">
        <f>IFERROR(B94/SUBTOTAL(9,B94:B95),0)</f>
        <v>0.6</v>
      </c>
      <c r="D94" s="14">
        <f>SUBTOTAL(9,B94:B95)</f>
        <v>10</v>
      </c>
    </row>
    <row r="95">
      <c r="A95" t="inlineStr">
        <is>
          <t>Extra 1 B</t>
        </is>
      </c>
      <c r="B95">
        <f>COUNTIFS(Q_EXTRA_1_data,"Extra 1 B",passes_workbook_filters_data,1,passes_workbook_custom_filters_data,1,All_Questions_passes_local_filters_data,1,All_Questions_Q_EXTRA_1_F_passes_per_q_filter_data,1)</f>
        <v>4</v>
      </c>
      <c r="C95" s="7">
        <f>IFERROR(B95/SUBTOTAL(9,B94:B95),0)</f>
        <v>0.4</v>
      </c>
      <c r="D95" s="14">
        <f>SUBTOTAL(9,B94:B95)</f>
        <v>10</v>
      </c>
    </row>
    <row r="96">
      <c r="A96" s="15" t="inlineStr">
        <is>
          <t>Total respondents</t>
        </is>
      </c>
      <c r="B96" s="15" t="n">
        <v>10</v>
      </c>
      <c r="C96" s="15" t="n"/>
      <c r="D96" s="15" t="n"/>
    </row>
    <row r="97"/>
    <row r="98">
      <c r="A98" s="4" t="inlineStr">
        <is>
          <t>Option</t>
        </is>
      </c>
      <c r="B98" s="2" t="str">
        <f>IF(All_Questions_Q_EXTRA_1_CT="(None)","",IFERROR(INDEX(INDIRECT(IFERROR(INDEX(Cross_Tab_Questions_Options_Names,MATCH(All_Questions_Q_EXTRA_1_CT,Cross_Tab_Questions,0)),"'_Options'!$E$2:$E$2")),2),""))</f>
        <v/>
      </c>
      <c r="C98" s="2" t="str">
        <f>IF(All_Questions_Q_EXTRA_1_CT="(None)","",IFERROR(INDEX(INDIRECT(IFERROR(INDEX(Cross_Tab_Questions_Options_Names,MATCH(All_Questions_Q_EXTRA_1_CT,Cross_Tab_Questions,0)),"'_Options'!$E$2:$E$2")),3),""))</f>
        <v/>
      </c>
      <c r="D98" s="2" t="str">
        <f>IF(All_Questions_Q_EXTRA_1_CT="(None)","",IFERROR(INDEX(INDIRECT(IFERROR(INDEX(Cross_Tab_Questions_Options_Names,MATCH(All_Questions_Q_EXTRA_1_CT,Cross_Tab_Questions,0)),"'_Options'!$E$2:$E$2")),4),""))</f>
        <v/>
      </c>
      <c r="E98" s="2" t="str">
        <f>IF(All_Questions_Q_EXTRA_1_CT="(None)","",IFERROR(INDEX(INDIRECT(IFERROR(INDEX(Cross_Tab_Questions_Options_Names,MATCH(All_Questions_Q_EXTRA_1_CT,Cross_Tab_Questions,0)),"'_Options'!$E$2:$E$2")),5),""))</f>
        <v/>
      </c>
      <c r="F98" s="2" t="str">
        <f>IF(All_Questions_Q_EXTRA_1_CT="(None)","",IFERROR(INDEX(INDIRECT(IFERROR(INDEX(Cross_Tab_Questions_Options_Names,MATCH(All_Questions_Q_EXTRA_1_CT,Cross_Tab_Questions,0)),"'_Options'!$E$2:$E$2")),6),""))</f>
        <v/>
      </c>
      <c r="G98" s="2" t="str">
        <f>IF(All_Questions_Q_EXTRA_1_CT="(None)","",IFERROR(INDEX(INDIRECT(IFERROR(INDEX(Cross_Tab_Questions_Options_Names,MATCH(All_Questions_Q_EXTRA_1_CT,Cross_Tab_Questions,0)),"'_Options'!$E$2:$E$2")),7),""))</f>
        <v/>
      </c>
      <c r="H98" s="2" t="str">
        <f>IF(All_Questions_Q_EXTRA_1_CT="(None)","",IFERROR(INDEX(INDIRECT(IFERROR(INDEX(Cross_Tab_Questions_Options_Names,MATCH(All_Questions_Q_EXTRA_1_CT,Cross_Tab_Questions,0)),"'_Options'!$E$2:$E$2")),8),""))</f>
        <v/>
      </c>
      <c r="I98" s="2" t="str">
        <f>IF(All_Questions_Q_EXTRA_1_CT="(None)","",IFERROR(INDEX(INDIRECT(IFERROR(INDEX(Cross_Tab_Questions_Options_Names,MATCH(All_Questions_Q_EXTRA_1_CT,Cross_Tab_Questions,0)),"'_Options'!$E$2:$E$2")),9),""))</f>
        <v/>
      </c>
      <c r="J98" s="2" t="str">
        <f>IF(All_Questions_Q_EXTRA_1_CT="(None)","",IFERROR(INDEX(INDIRECT(IFERROR(INDEX(Cross_Tab_Questions_Options_Names,MATCH(All_Questions_Q_EXTRA_1_CT,Cross_Tab_Questions,0)),"'_Options'!$E$2:$E$2")),10),""))</f>
        <v/>
      </c>
      <c r="K98" s="2" t="str">
        <f>IF(All_Questions_Q_EXTRA_1_CT="(None)","",IFERROR(INDEX(INDIRECT(IFERROR(INDEX(Cross_Tab_Questions_Options_Names,MATCH(All_Questions_Q_EXTRA_1_CT,Cross_Tab_Questions,0)),"'_Options'!$E$2:$E$2")),11),""))</f>
        <v/>
      </c>
      <c r="L98" s="2" t="str">
        <f>IF(All_Questions_Q_EXTRA_1_CT="(None)","",IFERROR(INDEX(INDIRECT(IFERROR(INDEX(Cross_Tab_Questions_Options_Names,MATCH(All_Questions_Q_EXTRA_1_CT,Cross_Tab_Questions,0)),"'_Options'!$E$2:$E$2")),12),""))</f>
        <v/>
      </c>
      <c r="M98" s="2" t="str">
        <f>IF(All_Questions_Q_EXTRA_1_CT="(None)","",IF(COUNTA(INDIRECT(IFERROR(INDEX(Cross_Tab_Questions_Options_Names,MATCH(All_Questions_Q_EXTRA_1_CT,Cross_Tab_Questions,0)),"'_Options'!$E$2:$E$2")))-1&gt;11,"Other",IFERROR(INDEX(INDIRECT(IFERROR(INDEX(Cross_Tab_Questions_Options_Names,MATCH(All_Questions_Q_EXTRA_1_CT,Cross_Tab_Questions,0)),"'_Options'!$E$2:$E$2")),13),"")))</f>
        <v/>
      </c>
      <c r="N98" s="4" t="inlineStr">
        <is>
          <t>Total</t>
        </is>
      </c>
    </row>
    <row r="99">
      <c r="A99" s="4" t="inlineStr"/>
      <c r="B99" s="4" t="inlineStr">
        <is>
          <t># of resp</t>
        </is>
      </c>
      <c r="C99" s="4" t="inlineStr">
        <is>
          <t># of resp</t>
        </is>
      </c>
      <c r="D99" s="4" t="inlineStr">
        <is>
          <t># of resp</t>
        </is>
      </c>
      <c r="E99" s="4" t="inlineStr">
        <is>
          <t># of resp</t>
        </is>
      </c>
      <c r="F99" s="4" t="inlineStr">
        <is>
          <t># of resp</t>
        </is>
      </c>
      <c r="G99" s="4" t="inlineStr">
        <is>
          <t># of resp</t>
        </is>
      </c>
      <c r="H99" s="4" t="inlineStr">
        <is>
          <t># of resp</t>
        </is>
      </c>
      <c r="I99" s="4" t="inlineStr">
        <is>
          <t># of resp</t>
        </is>
      </c>
      <c r="J99" s="4" t="inlineStr">
        <is>
          <t># of resp</t>
        </is>
      </c>
      <c r="K99" s="4" t="inlineStr">
        <is>
          <t># of resp</t>
        </is>
      </c>
      <c r="L99" s="4" t="inlineStr">
        <is>
          <t># of resp</t>
        </is>
      </c>
      <c r="M99" s="4" t="inlineStr">
        <is>
          <t># of resp</t>
        </is>
      </c>
      <c r="N99" s="4" t="inlineStr">
        <is>
          <t># of resp</t>
        </is>
      </c>
    </row>
    <row r="100">
      <c r="A100" t="inlineStr">
        <is>
          <t>Extra 1 A</t>
        </is>
      </c>
      <c r="B100" s="14">
        <f>IF(OR(All_Questions_Q_EXTRA_1_CT="(None)",B$98=""),"",COUNTIFS(Q_EXTRA_1_data,"Extra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B$98))</f>
        <v>0</v>
      </c>
      <c r="C100" s="14">
        <f>IF(OR(All_Questions_Q_EXTRA_1_CT="(None)",C$98=""),"",COUNTIFS(Q_EXTRA_1_data,"Extra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C$98))</f>
        <v>0</v>
      </c>
      <c r="D100" s="14">
        <f>IF(OR(All_Questions_Q_EXTRA_1_CT="(None)",D$98=""),"",COUNTIFS(Q_EXTRA_1_data,"Extra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D$98))</f>
        <v>0</v>
      </c>
      <c r="E100" s="14">
        <f>IF(OR(All_Questions_Q_EXTRA_1_CT="(None)",E$98=""),"",COUNTIFS(Q_EXTRA_1_data,"Extra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E$98))</f>
        <v>0</v>
      </c>
      <c r="F100" s="14">
        <f>IF(OR(All_Questions_Q_EXTRA_1_CT="(None)",F$98=""),"",COUNTIFS(Q_EXTRA_1_data,"Extra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F$98))</f>
        <v>0</v>
      </c>
      <c r="G100" s="14">
        <f>IF(OR(All_Questions_Q_EXTRA_1_CT="(None)",G$98=""),"",COUNTIFS(Q_EXTRA_1_data,"Extra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$98))</f>
        <v>0</v>
      </c>
      <c r="H100" s="14">
        <f>IF(OR(All_Questions_Q_EXTRA_1_CT="(None)",H$98=""),"",COUNTIFS(Q_EXTRA_1_data,"Extra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$98))</f>
        <v>0</v>
      </c>
      <c r="I100" s="14">
        <f>IF(OR(All_Questions_Q_EXTRA_1_CT="(None)",I$98=""),"",COUNTIFS(Q_EXTRA_1_data,"Extra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$98))</f>
        <v>0</v>
      </c>
      <c r="J100" s="14">
        <f>IF(OR(All_Questions_Q_EXTRA_1_CT="(None)",J$98=""),"",COUNTIFS(Q_EXTRA_1_data,"Extra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$98))</f>
        <v>0</v>
      </c>
      <c r="K100" s="14">
        <f>IF(OR(All_Questions_Q_EXTRA_1_CT="(None)",K$98=""),"",COUNTIFS(Q_EXTRA_1_data,"Extra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$98))</f>
        <v>0</v>
      </c>
      <c r="L100" s="14">
        <f>IF(OR(All_Questions_Q_EXTRA_1_CT="(None)",L$98=""),"",COUNTIFS(Q_EXTRA_1_data,"Extra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$98))</f>
        <v>0</v>
      </c>
      <c r="M100" s="14">
        <f>IF(OR(All_Questions_Q_EXTRA_1_CT="(None)",M$98=""),"",IF(M$98="Other",COUNTIFS(Q_EXTRA_1_data,"Extra 1 A",passes_workbook_filters_data,1,passes_workbook_custom_filters_data,1,All_Questions_passes_local_filters_data,1,All_Questions_Q_EXTRA_1_F_passes_per_q_filter_data,1)-SUM(B100,C100,D100,E100,F100,G100,H100,I100,J100,K100,L100),COUNTIFS(Q_EXTRA_1_data,"Extra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$98)))</f>
        <v>0</v>
      </c>
      <c r="N100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101">
      <c r="A101" t="inlineStr">
        <is>
          <t>Extra 1 B</t>
        </is>
      </c>
      <c r="B101" s="14">
        <f>IF(OR(All_Questions_Q_EXTRA_1_CT="(None)",B$98=""),"",COUNTIFS(Q_EXTRA_1_data,"Extra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B$98))</f>
        <v>0</v>
      </c>
      <c r="C101" s="14">
        <f>IF(OR(All_Questions_Q_EXTRA_1_CT="(None)",C$98=""),"",COUNTIFS(Q_EXTRA_1_data,"Extra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C$98))</f>
        <v>0</v>
      </c>
      <c r="D101" s="14">
        <f>IF(OR(All_Questions_Q_EXTRA_1_CT="(None)",D$98=""),"",COUNTIFS(Q_EXTRA_1_data,"Extra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D$98))</f>
        <v>0</v>
      </c>
      <c r="E101" s="14">
        <f>IF(OR(All_Questions_Q_EXTRA_1_CT="(None)",E$98=""),"",COUNTIFS(Q_EXTRA_1_data,"Extra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E$98))</f>
        <v>0</v>
      </c>
      <c r="F101" s="14">
        <f>IF(OR(All_Questions_Q_EXTRA_1_CT="(None)",F$98=""),"",COUNTIFS(Q_EXTRA_1_data,"Extra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F$98))</f>
        <v>0</v>
      </c>
      <c r="G101" s="14">
        <f>IF(OR(All_Questions_Q_EXTRA_1_CT="(None)",G$98=""),"",COUNTIFS(Q_EXTRA_1_data,"Extra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$98))</f>
        <v>0</v>
      </c>
      <c r="H101" s="14">
        <f>IF(OR(All_Questions_Q_EXTRA_1_CT="(None)",H$98=""),"",COUNTIFS(Q_EXTRA_1_data,"Extra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$98))</f>
        <v>0</v>
      </c>
      <c r="I101" s="14">
        <f>IF(OR(All_Questions_Q_EXTRA_1_CT="(None)",I$98=""),"",COUNTIFS(Q_EXTRA_1_data,"Extra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$98))</f>
        <v>0</v>
      </c>
      <c r="J101" s="14">
        <f>IF(OR(All_Questions_Q_EXTRA_1_CT="(None)",J$98=""),"",COUNTIFS(Q_EXTRA_1_data,"Extra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$98))</f>
        <v>0</v>
      </c>
      <c r="K101" s="14">
        <f>IF(OR(All_Questions_Q_EXTRA_1_CT="(None)",K$98=""),"",COUNTIFS(Q_EXTRA_1_data,"Extra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$98))</f>
        <v>0</v>
      </c>
      <c r="L101" s="14">
        <f>IF(OR(All_Questions_Q_EXTRA_1_CT="(None)",L$98=""),"",COUNTIFS(Q_EXTRA_1_data,"Extra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$98))</f>
        <v>0</v>
      </c>
      <c r="M101" s="14">
        <f>IF(OR(All_Questions_Q_EXTRA_1_CT="(None)",M$98=""),"",IF(M$98="Other",COUNTIFS(Q_EXTRA_1_data,"Extra 1 B",passes_workbook_filters_data,1,passes_workbook_custom_filters_data,1,All_Questions_passes_local_filters_data,1,All_Questions_Q_EXTRA_1_F_passes_per_q_filter_data,1)-SUM(B101,C101,D101,E101,F101,G101,H101,I101,J101,K101,L101),COUNTIFS(Q_EXTRA_1_data,"Extra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$98)))</f>
        <v>0</v>
      </c>
      <c r="N101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102">
      <c r="A102" s="4" t="inlineStr">
        <is>
          <t>Total respondents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103"/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</row>
    <row r="105">
      <c r="A105" s="12" t="inlineStr">
        <is>
          <t>Q_EXTRA_2 - Extra mixed block question 2</t>
        </is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</row>
    <row r="106">
      <c r="A106" s="13" t="inlineStr">
        <is>
          <t>Per-question filter</t>
        </is>
      </c>
      <c r="B106" t="inlineStr">
        <is>
          <t>Filter Q</t>
        </is>
      </c>
      <c r="C106" t="inlineStr">
        <is>
          <t>(None)</t>
        </is>
      </c>
      <c r="D106" t="inlineStr">
        <is>
          <t>Value</t>
        </is>
      </c>
      <c r="E106" t="inlineStr">
        <is>
          <t>(All)</t>
        </is>
      </c>
      <c r="F106" t="str">
        <f>IFERROR(INDEX(All_Questions_Value_Data_Names,MATCH(All_Questions_Q_EXTRA_2_F_Q&amp;"|"&amp;All_Questions_Q_EXTRA_2_F_V,All_Questions_Value_Keys,0)),IFERROR(INDEX(All_Questions_Data_Names,MATCH(All_Questions_Q_EXTRA_2_F_Q,All_Questions,0)),"'_RawData'!$A:$A"))</f>
        <v>respondent_id_data</v>
      </c>
      <c r="G106" t="str">
        <f>"|" &amp; SUBSTITUTE(All_Questions_Q_EXTRA_2_F_V, ", ", "|") &amp; "|"</f>
        <v>|(All)|</v>
      </c>
      <c r="H106" t="str">
        <f>IFERROR(INDEX(All_Questions_Value_Criteria,MATCH(All_Questions_Q_EXTRA_2_F_Q&amp;"|"&amp;All_Questions_Q_EXTRA_2_F_V,All_Questions_Value_Keys,0)),All_Questions_Q_EXTRA_2_F_V)</f>
        <v>(All)</v>
      </c>
    </row>
    <row r="107">
      <c r="A107" s="13" t="inlineStr">
        <is>
          <t>Cross-tab by</t>
        </is>
      </c>
      <c r="C107" t="inlineStr">
        <is>
          <t>(None)</t>
        </is>
      </c>
    </row>
    <row r="108"/>
    <row r="109">
      <c r="A109" s="4" t="inlineStr">
        <is>
          <t>Option</t>
        </is>
      </c>
      <c r="B109" s="4" t="inlineStr">
        <is>
          <t>Count</t>
        </is>
      </c>
      <c r="C109" s="4" t="inlineStr">
        <is>
          <t>%</t>
        </is>
      </c>
      <c r="D109" s="4" t="inlineStr">
        <is>
          <t>Denominator</t>
        </is>
      </c>
    </row>
    <row r="110">
      <c r="A110" t="inlineStr">
        <is>
          <t>Extra 2 A</t>
        </is>
      </c>
      <c r="B110">
        <f>COUNTIFS(Q_EXTRA_2_data,"Extra 2 A",passes_workbook_filters_data,1,passes_workbook_custom_filters_data,1,All_Questions_passes_local_filters_data,1,All_Questions_Q_EXTRA_2_F_passes_per_q_filter_data,1)</f>
        <v>6</v>
      </c>
      <c r="C110" s="7">
        <f>IFERROR(B110/SUBTOTAL(9,B110:B111),0)</f>
        <v>0.6</v>
      </c>
      <c r="D110" s="14">
        <f>SUBTOTAL(9,B110:B111)</f>
        <v>10</v>
      </c>
    </row>
    <row r="111">
      <c r="A111" t="inlineStr">
        <is>
          <t>Extra 2 B</t>
        </is>
      </c>
      <c r="B111">
        <f>COUNTIFS(Q_EXTRA_2_data,"Extra 2 B",passes_workbook_filters_data,1,passes_workbook_custom_filters_data,1,All_Questions_passes_local_filters_data,1,All_Questions_Q_EXTRA_2_F_passes_per_q_filter_data,1)</f>
        <v>4</v>
      </c>
      <c r="C111" s="7">
        <f>IFERROR(B111/SUBTOTAL(9,B110:B111),0)</f>
        <v>0.4</v>
      </c>
      <c r="D111" s="14">
        <f>SUBTOTAL(9,B110:B111)</f>
        <v>10</v>
      </c>
    </row>
    <row r="112">
      <c r="A112" s="15" t="inlineStr">
        <is>
          <t>Total respondents</t>
        </is>
      </c>
      <c r="B112" s="15" t="n">
        <v>10</v>
      </c>
      <c r="C112" s="15" t="n"/>
      <c r="D112" s="15" t="n"/>
    </row>
    <row r="113"/>
    <row r="114">
      <c r="A114" s="4" t="inlineStr">
        <is>
          <t>Option</t>
        </is>
      </c>
      <c r="B114" s="2" t="str">
        <f>IF(All_Questions_Q_EXTRA_2_CT="(None)","",IFERROR(INDEX(INDIRECT(IFERROR(INDEX(Cross_Tab_Questions_Options_Names,MATCH(All_Questions_Q_EXTRA_2_CT,Cross_Tab_Questions,0)),"'_Options'!$E$2:$E$2")),2),""))</f>
        <v/>
      </c>
      <c r="C114" s="2" t="str">
        <f>IF(All_Questions_Q_EXTRA_2_CT="(None)","",IFERROR(INDEX(INDIRECT(IFERROR(INDEX(Cross_Tab_Questions_Options_Names,MATCH(All_Questions_Q_EXTRA_2_CT,Cross_Tab_Questions,0)),"'_Options'!$E$2:$E$2")),3),""))</f>
        <v/>
      </c>
      <c r="D114" s="2" t="str">
        <f>IF(All_Questions_Q_EXTRA_2_CT="(None)","",IFERROR(INDEX(INDIRECT(IFERROR(INDEX(Cross_Tab_Questions_Options_Names,MATCH(All_Questions_Q_EXTRA_2_CT,Cross_Tab_Questions,0)),"'_Options'!$E$2:$E$2")),4),""))</f>
        <v/>
      </c>
      <c r="E114" s="2" t="str">
        <f>IF(All_Questions_Q_EXTRA_2_CT="(None)","",IFERROR(INDEX(INDIRECT(IFERROR(INDEX(Cross_Tab_Questions_Options_Names,MATCH(All_Questions_Q_EXTRA_2_CT,Cross_Tab_Questions,0)),"'_Options'!$E$2:$E$2")),5),""))</f>
        <v/>
      </c>
      <c r="F114" s="2" t="str">
        <f>IF(All_Questions_Q_EXTRA_2_CT="(None)","",IFERROR(INDEX(INDIRECT(IFERROR(INDEX(Cross_Tab_Questions_Options_Names,MATCH(All_Questions_Q_EXTRA_2_CT,Cross_Tab_Questions,0)),"'_Options'!$E$2:$E$2")),6),""))</f>
        <v/>
      </c>
      <c r="G114" s="2" t="str">
        <f>IF(All_Questions_Q_EXTRA_2_CT="(None)","",IFERROR(INDEX(INDIRECT(IFERROR(INDEX(Cross_Tab_Questions_Options_Names,MATCH(All_Questions_Q_EXTRA_2_CT,Cross_Tab_Questions,0)),"'_Options'!$E$2:$E$2")),7),""))</f>
        <v/>
      </c>
      <c r="H114" s="2" t="str">
        <f>IF(All_Questions_Q_EXTRA_2_CT="(None)","",IFERROR(INDEX(INDIRECT(IFERROR(INDEX(Cross_Tab_Questions_Options_Names,MATCH(All_Questions_Q_EXTRA_2_CT,Cross_Tab_Questions,0)),"'_Options'!$E$2:$E$2")),8),""))</f>
        <v/>
      </c>
      <c r="I114" s="2" t="str">
        <f>IF(All_Questions_Q_EXTRA_2_CT="(None)","",IFERROR(INDEX(INDIRECT(IFERROR(INDEX(Cross_Tab_Questions_Options_Names,MATCH(All_Questions_Q_EXTRA_2_CT,Cross_Tab_Questions,0)),"'_Options'!$E$2:$E$2")),9),""))</f>
        <v/>
      </c>
      <c r="J114" s="2" t="str">
        <f>IF(All_Questions_Q_EXTRA_2_CT="(None)","",IFERROR(INDEX(INDIRECT(IFERROR(INDEX(Cross_Tab_Questions_Options_Names,MATCH(All_Questions_Q_EXTRA_2_CT,Cross_Tab_Questions,0)),"'_Options'!$E$2:$E$2")),10),""))</f>
        <v/>
      </c>
      <c r="K114" s="2" t="str">
        <f>IF(All_Questions_Q_EXTRA_2_CT="(None)","",IFERROR(INDEX(INDIRECT(IFERROR(INDEX(Cross_Tab_Questions_Options_Names,MATCH(All_Questions_Q_EXTRA_2_CT,Cross_Tab_Questions,0)),"'_Options'!$E$2:$E$2")),11),""))</f>
        <v/>
      </c>
      <c r="L114" s="2" t="str">
        <f>IF(All_Questions_Q_EXTRA_2_CT="(None)","",IFERROR(INDEX(INDIRECT(IFERROR(INDEX(Cross_Tab_Questions_Options_Names,MATCH(All_Questions_Q_EXTRA_2_CT,Cross_Tab_Questions,0)),"'_Options'!$E$2:$E$2")),12),""))</f>
        <v/>
      </c>
      <c r="M114" s="2" t="str">
        <f>IF(All_Questions_Q_EXTRA_2_CT="(None)","",IF(COUNTA(INDIRECT(IFERROR(INDEX(Cross_Tab_Questions_Options_Names,MATCH(All_Questions_Q_EXTRA_2_CT,Cross_Tab_Questions,0)),"'_Options'!$E$2:$E$2")))-1&gt;11,"Other",IFERROR(INDEX(INDIRECT(IFERROR(INDEX(Cross_Tab_Questions_Options_Names,MATCH(All_Questions_Q_EXTRA_2_CT,Cross_Tab_Questions,0)),"'_Options'!$E$2:$E$2")),13),"")))</f>
        <v/>
      </c>
      <c r="N114" s="4" t="inlineStr">
        <is>
          <t>Total</t>
        </is>
      </c>
    </row>
    <row r="115">
      <c r="A115" s="4" t="inlineStr"/>
      <c r="B115" s="4" t="inlineStr">
        <is>
          <t># of resp</t>
        </is>
      </c>
      <c r="C115" s="4" t="inlineStr">
        <is>
          <t># of resp</t>
        </is>
      </c>
      <c r="D115" s="4" t="inlineStr">
        <is>
          <t># of resp</t>
        </is>
      </c>
      <c r="E115" s="4" t="inlineStr">
        <is>
          <t># of resp</t>
        </is>
      </c>
      <c r="F115" s="4" t="inlineStr">
        <is>
          <t># of resp</t>
        </is>
      </c>
      <c r="G115" s="4" t="inlineStr">
        <is>
          <t># of resp</t>
        </is>
      </c>
      <c r="H115" s="4" t="inlineStr">
        <is>
          <t># of resp</t>
        </is>
      </c>
      <c r="I115" s="4" t="inlineStr">
        <is>
          <t># of resp</t>
        </is>
      </c>
      <c r="J115" s="4" t="inlineStr">
        <is>
          <t># of resp</t>
        </is>
      </c>
      <c r="K115" s="4" t="inlineStr">
        <is>
          <t># of resp</t>
        </is>
      </c>
      <c r="L115" s="4" t="inlineStr">
        <is>
          <t># of resp</t>
        </is>
      </c>
      <c r="M115" s="4" t="inlineStr">
        <is>
          <t># of resp</t>
        </is>
      </c>
      <c r="N115" s="4" t="inlineStr">
        <is>
          <t># of resp</t>
        </is>
      </c>
    </row>
    <row r="116">
      <c r="A116" t="inlineStr">
        <is>
          <t>Extra 2 A</t>
        </is>
      </c>
      <c r="B116" s="14">
        <f>IF(OR(All_Questions_Q_EXTRA_2_CT="(None)",B$114=""),"",COUNTIFS(Q_EXTRA_2_data,"Extra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B$114))</f>
        <v>0</v>
      </c>
      <c r="C116" s="14">
        <f>IF(OR(All_Questions_Q_EXTRA_2_CT="(None)",C$114=""),"",COUNTIFS(Q_EXTRA_2_data,"Extra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C$114))</f>
        <v>0</v>
      </c>
      <c r="D116" s="14">
        <f>IF(OR(All_Questions_Q_EXTRA_2_CT="(None)",D$114=""),"",COUNTIFS(Q_EXTRA_2_data,"Extra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D$114))</f>
        <v>0</v>
      </c>
      <c r="E116" s="14">
        <f>IF(OR(All_Questions_Q_EXTRA_2_CT="(None)",E$114=""),"",COUNTIFS(Q_EXTRA_2_data,"Extra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E$114))</f>
        <v>0</v>
      </c>
      <c r="F116" s="14">
        <f>IF(OR(All_Questions_Q_EXTRA_2_CT="(None)",F$114=""),"",COUNTIFS(Q_EXTRA_2_data,"Extra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F$114))</f>
        <v>0</v>
      </c>
      <c r="G116" s="14">
        <f>IF(OR(All_Questions_Q_EXTRA_2_CT="(None)",G$114=""),"",COUNTIFS(Q_EXTRA_2_data,"Extra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$114))</f>
        <v>0</v>
      </c>
      <c r="H116" s="14">
        <f>IF(OR(All_Questions_Q_EXTRA_2_CT="(None)",H$114=""),"",COUNTIFS(Q_EXTRA_2_data,"Extra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$114))</f>
        <v>0</v>
      </c>
      <c r="I116" s="14">
        <f>IF(OR(All_Questions_Q_EXTRA_2_CT="(None)",I$114=""),"",COUNTIFS(Q_EXTRA_2_data,"Extra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$114))</f>
        <v>0</v>
      </c>
      <c r="J116" s="14">
        <f>IF(OR(All_Questions_Q_EXTRA_2_CT="(None)",J$114=""),"",COUNTIFS(Q_EXTRA_2_data,"Extra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$114))</f>
        <v>0</v>
      </c>
      <c r="K116" s="14">
        <f>IF(OR(All_Questions_Q_EXTRA_2_CT="(None)",K$114=""),"",COUNTIFS(Q_EXTRA_2_data,"Extra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$114))</f>
        <v>0</v>
      </c>
      <c r="L116" s="14">
        <f>IF(OR(All_Questions_Q_EXTRA_2_CT="(None)",L$114=""),"",COUNTIFS(Q_EXTRA_2_data,"Extra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$114))</f>
        <v>0</v>
      </c>
      <c r="M116" s="14">
        <f>IF(OR(All_Questions_Q_EXTRA_2_CT="(None)",M$114=""),"",IF(M$114="Other",COUNTIFS(Q_EXTRA_2_data,"Extra 2 A",passes_workbook_filters_data,1,passes_workbook_custom_filters_data,1,All_Questions_passes_local_filters_data,1,All_Questions_Q_EXTRA_2_F_passes_per_q_filter_data,1)-SUM(B116,C116,D116,E116,F116,G116,H116,I116,J116,K116,L116),COUNTIFS(Q_EXTRA_2_data,"Extra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$114)))</f>
        <v>0</v>
      </c>
      <c r="N116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117">
      <c r="A117" t="inlineStr">
        <is>
          <t>Extra 2 B</t>
        </is>
      </c>
      <c r="B117" s="14">
        <f>IF(OR(All_Questions_Q_EXTRA_2_CT="(None)",B$114=""),"",COUNTIFS(Q_EXTRA_2_data,"Extra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B$114))</f>
        <v>0</v>
      </c>
      <c r="C117" s="14">
        <f>IF(OR(All_Questions_Q_EXTRA_2_CT="(None)",C$114=""),"",COUNTIFS(Q_EXTRA_2_data,"Extra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C$114))</f>
        <v>0</v>
      </c>
      <c r="D117" s="14">
        <f>IF(OR(All_Questions_Q_EXTRA_2_CT="(None)",D$114=""),"",COUNTIFS(Q_EXTRA_2_data,"Extra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D$114))</f>
        <v>0</v>
      </c>
      <c r="E117" s="14">
        <f>IF(OR(All_Questions_Q_EXTRA_2_CT="(None)",E$114=""),"",COUNTIFS(Q_EXTRA_2_data,"Extra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E$114))</f>
        <v>0</v>
      </c>
      <c r="F117" s="14">
        <f>IF(OR(All_Questions_Q_EXTRA_2_CT="(None)",F$114=""),"",COUNTIFS(Q_EXTRA_2_data,"Extra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F$114))</f>
        <v>0</v>
      </c>
      <c r="G117" s="14">
        <f>IF(OR(All_Questions_Q_EXTRA_2_CT="(None)",G$114=""),"",COUNTIFS(Q_EXTRA_2_data,"Extra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$114))</f>
        <v>0</v>
      </c>
      <c r="H117" s="14">
        <f>IF(OR(All_Questions_Q_EXTRA_2_CT="(None)",H$114=""),"",COUNTIFS(Q_EXTRA_2_data,"Extra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$114))</f>
        <v>0</v>
      </c>
      <c r="I117" s="14">
        <f>IF(OR(All_Questions_Q_EXTRA_2_CT="(None)",I$114=""),"",COUNTIFS(Q_EXTRA_2_data,"Extra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$114))</f>
        <v>0</v>
      </c>
      <c r="J117" s="14">
        <f>IF(OR(All_Questions_Q_EXTRA_2_CT="(None)",J$114=""),"",COUNTIFS(Q_EXTRA_2_data,"Extra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$114))</f>
        <v>0</v>
      </c>
      <c r="K117" s="14">
        <f>IF(OR(All_Questions_Q_EXTRA_2_CT="(None)",K$114=""),"",COUNTIFS(Q_EXTRA_2_data,"Extra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$114))</f>
        <v>0</v>
      </c>
      <c r="L117" s="14">
        <f>IF(OR(All_Questions_Q_EXTRA_2_CT="(None)",L$114=""),"",COUNTIFS(Q_EXTRA_2_data,"Extra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$114))</f>
        <v>0</v>
      </c>
      <c r="M117" s="14">
        <f>IF(OR(All_Questions_Q_EXTRA_2_CT="(None)",M$114=""),"",IF(M$114="Other",COUNTIFS(Q_EXTRA_2_data,"Extra 2 B",passes_workbook_filters_data,1,passes_workbook_custom_filters_data,1,All_Questions_passes_local_filters_data,1,All_Questions_Q_EXTRA_2_F_passes_per_q_filter_data,1)-SUM(B117,C117,D117,E117,F117,G117,H117,I117,J117,K117,L117),COUNTIFS(Q_EXTRA_2_data,"Extra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$114)))</f>
        <v>0</v>
      </c>
      <c r="N117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118">
      <c r="A118" s="4" t="inlineStr">
        <is>
          <t>Total respondents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19"/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</row>
    <row r="121">
      <c r="A121" s="12" t="inlineStr">
        <is>
          <t>Q_EXTRA_3 - Extra mixed block question 3</t>
        </is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</row>
    <row r="122">
      <c r="A122" s="13" t="inlineStr">
        <is>
          <t>Per-question filter</t>
        </is>
      </c>
      <c r="B122" t="inlineStr">
        <is>
          <t>Filter Q</t>
        </is>
      </c>
      <c r="C122" t="inlineStr">
        <is>
          <t>(None)</t>
        </is>
      </c>
      <c r="D122" t="inlineStr">
        <is>
          <t>Value</t>
        </is>
      </c>
      <c r="E122" t="inlineStr">
        <is>
          <t>(All)</t>
        </is>
      </c>
      <c r="F122" t="str">
        <f>IFERROR(INDEX(All_Questions_Value_Data_Names,MATCH(All_Questions_Q_EXTRA_3_F_Q&amp;"|"&amp;All_Questions_Q_EXTRA_3_F_V,All_Questions_Value_Keys,0)),IFERROR(INDEX(All_Questions_Data_Names,MATCH(All_Questions_Q_EXTRA_3_F_Q,All_Questions,0)),"'_RawData'!$A:$A"))</f>
        <v>respondent_id_data</v>
      </c>
      <c r="G122" t="str">
        <f>"|" &amp; SUBSTITUTE(All_Questions_Q_EXTRA_3_F_V, ", ", "|") &amp; "|"</f>
        <v>|(All)|</v>
      </c>
      <c r="H122" t="str">
        <f>IFERROR(INDEX(All_Questions_Value_Criteria,MATCH(All_Questions_Q_EXTRA_3_F_Q&amp;"|"&amp;All_Questions_Q_EXTRA_3_F_V,All_Questions_Value_Keys,0)),All_Questions_Q_EXTRA_3_F_V)</f>
        <v>(All)</v>
      </c>
    </row>
    <row r="123">
      <c r="A123" s="13" t="inlineStr">
        <is>
          <t>Cross-tab by</t>
        </is>
      </c>
      <c r="C123" t="inlineStr">
        <is>
          <t>(None)</t>
        </is>
      </c>
    </row>
    <row r="124"/>
    <row r="125">
      <c r="A125" s="4" t="inlineStr">
        <is>
          <t>Option</t>
        </is>
      </c>
      <c r="B125" s="4" t="inlineStr">
        <is>
          <t>Count</t>
        </is>
      </c>
      <c r="C125" s="4" t="inlineStr">
        <is>
          <t>%</t>
        </is>
      </c>
      <c r="D125" s="4" t="inlineStr">
        <is>
          <t>Denominator</t>
        </is>
      </c>
    </row>
    <row r="126">
      <c r="A126" t="inlineStr">
        <is>
          <t>Extra 3 A</t>
        </is>
      </c>
      <c r="B126">
        <f>COUNTIFS(Q_EXTRA_3_data,"Extra 3 A",passes_workbook_filters_data,1,passes_workbook_custom_filters_data,1,All_Questions_passes_local_filters_data,1,All_Questions_Q_EXTRA_3_F_passes_per_q_filter_data,1)</f>
        <v>6</v>
      </c>
      <c r="C126" s="7">
        <f>IFERROR(B126/SUBTOTAL(9,B126:B127),0)</f>
        <v>0.6</v>
      </c>
      <c r="D126" s="14">
        <f>SUBTOTAL(9,B126:B127)</f>
        <v>10</v>
      </c>
    </row>
    <row r="127">
      <c r="A127" t="inlineStr">
        <is>
          <t>Extra 3 B</t>
        </is>
      </c>
      <c r="B127">
        <f>COUNTIFS(Q_EXTRA_3_data,"Extra 3 B",passes_workbook_filters_data,1,passes_workbook_custom_filters_data,1,All_Questions_passes_local_filters_data,1,All_Questions_Q_EXTRA_3_F_passes_per_q_filter_data,1)</f>
        <v>4</v>
      </c>
      <c r="C127" s="7">
        <f>IFERROR(B127/SUBTOTAL(9,B126:B127),0)</f>
        <v>0.4</v>
      </c>
      <c r="D127" s="14">
        <f>SUBTOTAL(9,B126:B127)</f>
        <v>10</v>
      </c>
    </row>
    <row r="128">
      <c r="A128" s="15" t="inlineStr">
        <is>
          <t>Total respondents</t>
        </is>
      </c>
      <c r="B128" s="15" t="n">
        <v>10</v>
      </c>
      <c r="C128" s="15" t="n"/>
      <c r="D128" s="15" t="n"/>
    </row>
    <row r="129"/>
    <row r="130">
      <c r="A130" s="4" t="inlineStr">
        <is>
          <t>Option</t>
        </is>
      </c>
      <c r="B130" s="2" t="str">
        <f>IF(All_Questions_Q_EXTRA_3_CT="(None)","",IFERROR(INDEX(INDIRECT(IFERROR(INDEX(Cross_Tab_Questions_Options_Names,MATCH(All_Questions_Q_EXTRA_3_CT,Cross_Tab_Questions,0)),"'_Options'!$E$2:$E$2")),2),""))</f>
        <v/>
      </c>
      <c r="C130" s="2" t="str">
        <f>IF(All_Questions_Q_EXTRA_3_CT="(None)","",IFERROR(INDEX(INDIRECT(IFERROR(INDEX(Cross_Tab_Questions_Options_Names,MATCH(All_Questions_Q_EXTRA_3_CT,Cross_Tab_Questions,0)),"'_Options'!$E$2:$E$2")),3),""))</f>
        <v/>
      </c>
      <c r="D130" s="2" t="str">
        <f>IF(All_Questions_Q_EXTRA_3_CT="(None)","",IFERROR(INDEX(INDIRECT(IFERROR(INDEX(Cross_Tab_Questions_Options_Names,MATCH(All_Questions_Q_EXTRA_3_CT,Cross_Tab_Questions,0)),"'_Options'!$E$2:$E$2")),4),""))</f>
        <v/>
      </c>
      <c r="E130" s="2" t="str">
        <f>IF(All_Questions_Q_EXTRA_3_CT="(None)","",IFERROR(INDEX(INDIRECT(IFERROR(INDEX(Cross_Tab_Questions_Options_Names,MATCH(All_Questions_Q_EXTRA_3_CT,Cross_Tab_Questions,0)),"'_Options'!$E$2:$E$2")),5),""))</f>
        <v/>
      </c>
      <c r="F130" s="2" t="str">
        <f>IF(All_Questions_Q_EXTRA_3_CT="(None)","",IFERROR(INDEX(INDIRECT(IFERROR(INDEX(Cross_Tab_Questions_Options_Names,MATCH(All_Questions_Q_EXTRA_3_CT,Cross_Tab_Questions,0)),"'_Options'!$E$2:$E$2")),6),""))</f>
        <v/>
      </c>
      <c r="G130" s="2" t="str">
        <f>IF(All_Questions_Q_EXTRA_3_CT="(None)","",IFERROR(INDEX(INDIRECT(IFERROR(INDEX(Cross_Tab_Questions_Options_Names,MATCH(All_Questions_Q_EXTRA_3_CT,Cross_Tab_Questions,0)),"'_Options'!$E$2:$E$2")),7),""))</f>
        <v/>
      </c>
      <c r="H130" s="2" t="str">
        <f>IF(All_Questions_Q_EXTRA_3_CT="(None)","",IFERROR(INDEX(INDIRECT(IFERROR(INDEX(Cross_Tab_Questions_Options_Names,MATCH(All_Questions_Q_EXTRA_3_CT,Cross_Tab_Questions,0)),"'_Options'!$E$2:$E$2")),8),""))</f>
        <v/>
      </c>
      <c r="I130" s="2" t="str">
        <f>IF(All_Questions_Q_EXTRA_3_CT="(None)","",IFERROR(INDEX(INDIRECT(IFERROR(INDEX(Cross_Tab_Questions_Options_Names,MATCH(All_Questions_Q_EXTRA_3_CT,Cross_Tab_Questions,0)),"'_Options'!$E$2:$E$2")),9),""))</f>
        <v/>
      </c>
      <c r="J130" s="2" t="str">
        <f>IF(All_Questions_Q_EXTRA_3_CT="(None)","",IFERROR(INDEX(INDIRECT(IFERROR(INDEX(Cross_Tab_Questions_Options_Names,MATCH(All_Questions_Q_EXTRA_3_CT,Cross_Tab_Questions,0)),"'_Options'!$E$2:$E$2")),10),""))</f>
        <v/>
      </c>
      <c r="K130" s="2" t="str">
        <f>IF(All_Questions_Q_EXTRA_3_CT="(None)","",IFERROR(INDEX(INDIRECT(IFERROR(INDEX(Cross_Tab_Questions_Options_Names,MATCH(All_Questions_Q_EXTRA_3_CT,Cross_Tab_Questions,0)),"'_Options'!$E$2:$E$2")),11),""))</f>
        <v/>
      </c>
      <c r="L130" s="2" t="str">
        <f>IF(All_Questions_Q_EXTRA_3_CT="(None)","",IFERROR(INDEX(INDIRECT(IFERROR(INDEX(Cross_Tab_Questions_Options_Names,MATCH(All_Questions_Q_EXTRA_3_CT,Cross_Tab_Questions,0)),"'_Options'!$E$2:$E$2")),12),""))</f>
        <v/>
      </c>
      <c r="M130" s="2" t="str">
        <f>IF(All_Questions_Q_EXTRA_3_CT="(None)","",IF(COUNTA(INDIRECT(IFERROR(INDEX(Cross_Tab_Questions_Options_Names,MATCH(All_Questions_Q_EXTRA_3_CT,Cross_Tab_Questions,0)),"'_Options'!$E$2:$E$2")))-1&gt;11,"Other",IFERROR(INDEX(INDIRECT(IFERROR(INDEX(Cross_Tab_Questions_Options_Names,MATCH(All_Questions_Q_EXTRA_3_CT,Cross_Tab_Questions,0)),"'_Options'!$E$2:$E$2")),13),"")))</f>
        <v/>
      </c>
      <c r="N130" s="4" t="inlineStr">
        <is>
          <t>Total</t>
        </is>
      </c>
    </row>
    <row r="131">
      <c r="A131" s="4" t="inlineStr"/>
      <c r="B131" s="4" t="inlineStr">
        <is>
          <t># of resp</t>
        </is>
      </c>
      <c r="C131" s="4" t="inlineStr">
        <is>
          <t># of resp</t>
        </is>
      </c>
      <c r="D131" s="4" t="inlineStr">
        <is>
          <t># of resp</t>
        </is>
      </c>
      <c r="E131" s="4" t="inlineStr">
        <is>
          <t># of resp</t>
        </is>
      </c>
      <c r="F131" s="4" t="inlineStr">
        <is>
          <t># of resp</t>
        </is>
      </c>
      <c r="G131" s="4" t="inlineStr">
        <is>
          <t># of resp</t>
        </is>
      </c>
      <c r="H131" s="4" t="inlineStr">
        <is>
          <t># of resp</t>
        </is>
      </c>
      <c r="I131" s="4" t="inlineStr">
        <is>
          <t># of resp</t>
        </is>
      </c>
      <c r="J131" s="4" t="inlineStr">
        <is>
          <t># of resp</t>
        </is>
      </c>
      <c r="K131" s="4" t="inlineStr">
        <is>
          <t># of resp</t>
        </is>
      </c>
      <c r="L131" s="4" t="inlineStr">
        <is>
          <t># of resp</t>
        </is>
      </c>
      <c r="M131" s="4" t="inlineStr">
        <is>
          <t># of resp</t>
        </is>
      </c>
      <c r="N131" s="4" t="inlineStr">
        <is>
          <t># of resp</t>
        </is>
      </c>
    </row>
    <row r="132">
      <c r="A132" t="inlineStr">
        <is>
          <t>Extra 3 A</t>
        </is>
      </c>
      <c r="B132" s="14">
        <f>IF(OR(All_Questions_Q_EXTRA_3_CT="(None)",B$130=""),"",COUNTIFS(Q_EXTRA_3_data,"Extra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B$130))</f>
        <v>0</v>
      </c>
      <c r="C132" s="14">
        <f>IF(OR(All_Questions_Q_EXTRA_3_CT="(None)",C$130=""),"",COUNTIFS(Q_EXTRA_3_data,"Extra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C$130))</f>
        <v>0</v>
      </c>
      <c r="D132" s="14">
        <f>IF(OR(All_Questions_Q_EXTRA_3_CT="(None)",D$130=""),"",COUNTIFS(Q_EXTRA_3_data,"Extra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D$130))</f>
        <v>0</v>
      </c>
      <c r="E132" s="14">
        <f>IF(OR(All_Questions_Q_EXTRA_3_CT="(None)",E$130=""),"",COUNTIFS(Q_EXTRA_3_data,"Extra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E$130))</f>
        <v>0</v>
      </c>
      <c r="F132" s="14">
        <f>IF(OR(All_Questions_Q_EXTRA_3_CT="(None)",F$130=""),"",COUNTIFS(Q_EXTRA_3_data,"Extra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F$130))</f>
        <v>0</v>
      </c>
      <c r="G132" s="14">
        <f>IF(OR(All_Questions_Q_EXTRA_3_CT="(None)",G$130=""),"",COUNTIFS(Q_EXTRA_3_data,"Extra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$130))</f>
        <v>0</v>
      </c>
      <c r="H132" s="14">
        <f>IF(OR(All_Questions_Q_EXTRA_3_CT="(None)",H$130=""),"",COUNTIFS(Q_EXTRA_3_data,"Extra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$130))</f>
        <v>0</v>
      </c>
      <c r="I132" s="14">
        <f>IF(OR(All_Questions_Q_EXTRA_3_CT="(None)",I$130=""),"",COUNTIFS(Q_EXTRA_3_data,"Extra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$130))</f>
        <v>0</v>
      </c>
      <c r="J132" s="14">
        <f>IF(OR(All_Questions_Q_EXTRA_3_CT="(None)",J$130=""),"",COUNTIFS(Q_EXTRA_3_data,"Extra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$130))</f>
        <v>0</v>
      </c>
      <c r="K132" s="14">
        <f>IF(OR(All_Questions_Q_EXTRA_3_CT="(None)",K$130=""),"",COUNTIFS(Q_EXTRA_3_data,"Extra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$130))</f>
        <v>0</v>
      </c>
      <c r="L132" s="14">
        <f>IF(OR(All_Questions_Q_EXTRA_3_CT="(None)",L$130=""),"",COUNTIFS(Q_EXTRA_3_data,"Extra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$130))</f>
        <v>0</v>
      </c>
      <c r="M132" s="14">
        <f>IF(OR(All_Questions_Q_EXTRA_3_CT="(None)",M$130=""),"",IF(M$130="Other",COUNTIFS(Q_EXTRA_3_data,"Extra 3 A",passes_workbook_filters_data,1,passes_workbook_custom_filters_data,1,All_Questions_passes_local_filters_data,1,All_Questions_Q_EXTRA_3_F_passes_per_q_filter_data,1)-SUM(B132,C132,D132,E132,F132,G132,H132,I132,J132,K132,L132),COUNTIFS(Q_EXTRA_3_data,"Extra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$130)))</f>
        <v>0</v>
      </c>
      <c r="N132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33">
      <c r="A133" t="inlineStr">
        <is>
          <t>Extra 3 B</t>
        </is>
      </c>
      <c r="B133" s="14">
        <f>IF(OR(All_Questions_Q_EXTRA_3_CT="(None)",B$130=""),"",COUNTIFS(Q_EXTRA_3_data,"Extra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B$130))</f>
        <v>0</v>
      </c>
      <c r="C133" s="14">
        <f>IF(OR(All_Questions_Q_EXTRA_3_CT="(None)",C$130=""),"",COUNTIFS(Q_EXTRA_3_data,"Extra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C$130))</f>
        <v>0</v>
      </c>
      <c r="D133" s="14">
        <f>IF(OR(All_Questions_Q_EXTRA_3_CT="(None)",D$130=""),"",COUNTIFS(Q_EXTRA_3_data,"Extra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D$130))</f>
        <v>0</v>
      </c>
      <c r="E133" s="14">
        <f>IF(OR(All_Questions_Q_EXTRA_3_CT="(None)",E$130=""),"",COUNTIFS(Q_EXTRA_3_data,"Extra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E$130))</f>
        <v>0</v>
      </c>
      <c r="F133" s="14">
        <f>IF(OR(All_Questions_Q_EXTRA_3_CT="(None)",F$130=""),"",COUNTIFS(Q_EXTRA_3_data,"Extra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F$130))</f>
        <v>0</v>
      </c>
      <c r="G133" s="14">
        <f>IF(OR(All_Questions_Q_EXTRA_3_CT="(None)",G$130=""),"",COUNTIFS(Q_EXTRA_3_data,"Extra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$130))</f>
        <v>0</v>
      </c>
      <c r="H133" s="14">
        <f>IF(OR(All_Questions_Q_EXTRA_3_CT="(None)",H$130=""),"",COUNTIFS(Q_EXTRA_3_data,"Extra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$130))</f>
        <v>0</v>
      </c>
      <c r="I133" s="14">
        <f>IF(OR(All_Questions_Q_EXTRA_3_CT="(None)",I$130=""),"",COUNTIFS(Q_EXTRA_3_data,"Extra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$130))</f>
        <v>0</v>
      </c>
      <c r="J133" s="14">
        <f>IF(OR(All_Questions_Q_EXTRA_3_CT="(None)",J$130=""),"",COUNTIFS(Q_EXTRA_3_data,"Extra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$130))</f>
        <v>0</v>
      </c>
      <c r="K133" s="14">
        <f>IF(OR(All_Questions_Q_EXTRA_3_CT="(None)",K$130=""),"",COUNTIFS(Q_EXTRA_3_data,"Extra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$130))</f>
        <v>0</v>
      </c>
      <c r="L133" s="14">
        <f>IF(OR(All_Questions_Q_EXTRA_3_CT="(None)",L$130=""),"",COUNTIFS(Q_EXTRA_3_data,"Extra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$130))</f>
        <v>0</v>
      </c>
      <c r="M133" s="14">
        <f>IF(OR(All_Questions_Q_EXTRA_3_CT="(None)",M$130=""),"",IF(M$130="Other",COUNTIFS(Q_EXTRA_3_data,"Extra 3 B",passes_workbook_filters_data,1,passes_workbook_custom_filters_data,1,All_Questions_passes_local_filters_data,1,All_Questions_Q_EXTRA_3_F_passes_per_q_filter_data,1)-SUM(B133,C133,D133,E133,F133,G133,H133,I133,J133,K133,L133),COUNTIFS(Q_EXTRA_3_data,"Extra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$130)))</f>
        <v>0</v>
      </c>
      <c r="N133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34">
      <c r="A134" s="4" t="inlineStr">
        <is>
          <t>Total respondents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4:B95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4:C95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0:B10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0:C10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0:D10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00:E10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00:F10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0:G10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0:H10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0:I10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0:J10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0:K10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0:L10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0:M10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0:B111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0:C111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6:B11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6:C11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6:D11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16:E11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16:F11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16:G11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16:H11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16:I11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16:J11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6:K11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16:L11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16:M11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6:B127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6:C127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2:B13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32:C13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32:D13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32:E13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32:F13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32:G13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32:H13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32:I13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32:J13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32:K13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32:L13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32:M13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  <dataValidation sqref="C90" showDropDown="0" showInputMessage="0" showErrorMessage="0" allowBlank="1" type="list">
      <formula1>=All_Questions</formula1>
    </dataValidation>
    <dataValidation sqref="E90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91" showDropDown="0" showInputMessage="0" showErrorMessage="0" allowBlank="1" type="list">
      <formula1>=Cross_Tab_Questions</formula1>
    </dataValidation>
    <dataValidation sqref="C106" showDropDown="0" showInputMessage="0" showErrorMessage="0" allowBlank="1" type="list">
      <formula1>=All_Questions</formula1>
    </dataValidation>
    <dataValidation sqref="E106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107" showDropDown="0" showInputMessage="0" showErrorMessage="0" allowBlank="1" type="list">
      <formula1>=Cross_Tab_Questions</formula1>
    </dataValidation>
    <dataValidation sqref="C122" showDropDown="0" showInputMessage="0" showErrorMessage="0" allowBlank="1" type="list">
      <formula1>=All_Questions</formula1>
    </dataValidation>
    <dataValidation sqref="E122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2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2026-06-09T11:22:59.439856+00:00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2026-06-09T11:22:59.440221+00:00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2026-06-09T11:22:59.440501+00:00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2026-06-09T11:22:59.440773+00:00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2026-06-09T11:22:59.441093+00:00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2026-06-09T11:22:59.441371+00:00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2026-06-09T11:22:59.441647+00:00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2026-06-09T11:22:59.441933+00:00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2026-06-09T11:22:59.442236+00:00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2026-06-09T11:22:59.442503+00:00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2026-06-09T11:22:59.442769+00:00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2026-06-09T11:22:59.443181+00:00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2026-06-09T11:22:59.443674+00:00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2026-06-09T11:22:59.443990+00:00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2026-06-09T11:22:59.444270+00:00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2026-06-09T11:22:59.444537+00:00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2026-06-09T11:22:59.444800+00:00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2026-06-09T11:22:59.445119+00:00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2026-06-09T11:22:59.445389+00:00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2026-06-09T11:22:59.445656+00:00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2026-06-09T11:22:59.445940+00:00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2026-06-09T11:22:59.446239+00:00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2026-06-09T11:22:59.446507+00:00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2026-06-09T11:22:59.446854+00:00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2026-06-09T11:22:59.471241+00:00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2026-06-09T11:22:59.471460+00:00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2026-06-09T11:22:59.471652+00:00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2026-06-09T11:22:59.471840+00:00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2026-06-09T11:22:59.472079+00:00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2026-06-09T11:22:59.472272+00:00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2026-06-09T11:22:59.472459+00:00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2026-06-09T11:22:59.472645+00:00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2026-06-09T11:22:59.472828+00:00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2026-06-09T11:22:59.473066+00:00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2026-06-09T11:22:59.473262+00:00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2026-06-09T11:22:59.473531+00:00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2026-06-09T11:22:57Z</dcterms:created>
  <dcterms:modified xmlns:dcterms="http://purl.org/dc/terms/" xmlns:xsi="http://www.w3.org/2001/XMLSchema-instance" xsi:type="dcterms:W3CDTF">2026-06-09T11:22:59Z</dcterms:modified>
</cp:coreProperties>
</file>