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D34" i="7"/>
  <c r="B35" i="7"/>
  <c r="D35" i="7"/>
  <c r="B36" i="7"/>
  <c r="D36" i="7"/>
  <c r="D37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4" t="inlineStr">
        <is>
          <t>Option</t>
        </is>
      </c>
      <c r="B23" s="2" t="str">
        <f>IF(All_Questions_Q8_CT="(None)","",IFERROR(INDEX(INDIRECT(IFERROR(INDEX(Cross_Tab_Questions_Options_Names,MATCH(All_Questions_Q8_CT,Cross_Tab_Questions,0)),"'_Options'!$E$2:$E$2")),2),""))</f>
        <v/>
      </c>
      <c r="C23" s="2" t="str">
        <f>IF(All_Questions_Q8_CT="(None)","",IFERROR(INDEX(INDIRECT(IFERROR(INDEX(Cross_Tab_Questions_Options_Names,MATCH(All_Questions_Q8_CT,Cross_Tab_Questions,0)),"'_Options'!$E$2:$E$2")),3),""))</f>
        <v/>
      </c>
      <c r="D23" s="2" t="str">
        <f>IF(All_Questions_Q8_CT="(None)","",IFERROR(INDEX(INDIRECT(IFERROR(INDEX(Cross_Tab_Questions_Options_Names,MATCH(All_Questions_Q8_CT,Cross_Tab_Questions,0)),"'_Options'!$E$2:$E$2")),4),""))</f>
        <v/>
      </c>
      <c r="E23" s="2" t="str">
        <f>IF(All_Questions_Q8_CT="(None)","",IFERROR(INDEX(INDIRECT(IFERROR(INDEX(Cross_Tab_Questions_Options_Names,MATCH(All_Questions_Q8_CT,Cross_Tab_Questions,0)),"'_Options'!$E$2:$E$2")),5),""))</f>
        <v/>
      </c>
      <c r="F23" s="2" t="str">
        <f>IF(All_Questions_Q8_CT="(None)","",IFERROR(INDEX(INDIRECT(IFERROR(INDEX(Cross_Tab_Questions_Options_Names,MATCH(All_Questions_Q8_CT,Cross_Tab_Questions,0)),"'_Options'!$E$2:$E$2")),6),""))</f>
        <v/>
      </c>
      <c r="G23" s="2" t="str">
        <f>IF(All_Questions_Q8_CT="(None)","",IFERROR(INDEX(INDIRECT(IFERROR(INDEX(Cross_Tab_Questions_Options_Names,MATCH(All_Questions_Q8_CT,Cross_Tab_Questions,0)),"'_Options'!$E$2:$E$2")),7),""))</f>
        <v/>
      </c>
      <c r="H23" s="2" t="str">
        <f>IF(All_Questions_Q8_CT="(None)","",IFERROR(INDEX(INDIRECT(IFERROR(INDEX(Cross_Tab_Questions_Options_Names,MATCH(All_Questions_Q8_CT,Cross_Tab_Questions,0)),"'_Options'!$E$2:$E$2")),8),""))</f>
        <v/>
      </c>
      <c r="I23" s="2" t="str">
        <f>IF(All_Questions_Q8_CT="(None)","",IFERROR(INDEX(INDIRECT(IFERROR(INDEX(Cross_Tab_Questions_Options_Names,MATCH(All_Questions_Q8_CT,Cross_Tab_Questions,0)),"'_Options'!$E$2:$E$2")),9),""))</f>
        <v/>
      </c>
      <c r="J23" s="2" t="str">
        <f>IF(All_Questions_Q8_CT="(None)","",IFERROR(INDEX(INDIRECT(IFERROR(INDEX(Cross_Tab_Questions_Options_Names,MATCH(All_Questions_Q8_CT,Cross_Tab_Questions,0)),"'_Options'!$E$2:$E$2")),10),""))</f>
        <v/>
      </c>
      <c r="K23" s="2" t="str">
        <f>IF(All_Questions_Q8_CT="(None)","",IFERROR(INDEX(INDIRECT(IFERROR(INDEX(Cross_Tab_Questions_Options_Names,MATCH(All_Questions_Q8_CT,Cross_Tab_Questions,0)),"'_Options'!$E$2:$E$2")),11),""))</f>
        <v/>
      </c>
      <c r="L23" s="2" t="str">
        <f>IF(All_Questions_Q8_CT="(None)","",IFERROR(INDEX(INDIRECT(IFERROR(INDEX(Cross_Tab_Questions_Options_Names,MATCH(All_Questions_Q8_CT,Cross_Tab_Questions,0)),"'_Options'!$E$2:$E$2")),12),""))</f>
        <v/>
      </c>
      <c r="M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Likely to recommend</t>
        </is>
      </c>
      <c r="B25" s="14">
        <f>IF(OR(All_Questions_Q8_CT="(None)",B$23=""),"",IF(B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B$23),"")))</f>
        <v>5.25</v>
      </c>
      <c r="C25" s="14">
        <f>IF(OR(All_Questions_Q8_CT="(None)",C$23=""),"",IF(C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C$23),"")))</f>
        <v>5.25</v>
      </c>
      <c r="D25" s="14">
        <f>IF(OR(All_Questions_Q8_CT="(None)",D$23=""),"",IF(D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D$23),"")))</f>
        <v>5.25</v>
      </c>
      <c r="E25" s="14">
        <f>IF(OR(All_Questions_Q8_CT="(None)",E$23=""),"",IF(E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E$23),"")))</f>
        <v>5.25</v>
      </c>
      <c r="F25" s="14">
        <f>IF(OR(All_Questions_Q8_CT="(None)",F$23=""),"",IF(F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F$23),"")))</f>
        <v>5.25</v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A40" s="4" t="inlineStr">
        <is>
          <t>Option</t>
        </is>
      </c>
      <c r="B40" s="2" t="str">
        <f>IF(All_Questions_Q9_CT="(None)","",IFERROR(INDEX(INDIRECT(IFERROR(INDEX(Cross_Tab_Questions_Options_Names,MATCH(All_Questions_Q9_CT,Cross_Tab_Questions,0)),"'_Options'!$E$2:$E$2")),2),""))</f>
        <v/>
      </c>
      <c r="C40" s="2" t="str">
        <f>IF(All_Questions_Q9_CT="(None)","",IFERROR(INDEX(INDIRECT(IFERROR(INDEX(Cross_Tab_Questions_Options_Names,MATCH(All_Questions_Q9_CT,Cross_Tab_Questions,0)),"'_Options'!$E$2:$E$2")),3),""))</f>
        <v/>
      </c>
      <c r="D40" s="2" t="str">
        <f>IF(All_Questions_Q9_CT="(None)","",IFERROR(INDEX(INDIRECT(IFERROR(INDEX(Cross_Tab_Questions_Options_Names,MATCH(All_Questions_Q9_CT,Cross_Tab_Questions,0)),"'_Options'!$E$2:$E$2")),4),""))</f>
        <v/>
      </c>
      <c r="E40" s="2" t="str">
        <f>IF(All_Questions_Q9_CT="(None)","",IFERROR(INDEX(INDIRECT(IFERROR(INDEX(Cross_Tab_Questions_Options_Names,MATCH(All_Questions_Q9_CT,Cross_Tab_Questions,0)),"'_Options'!$E$2:$E$2")),5),""))</f>
        <v/>
      </c>
      <c r="F40" s="2" t="str">
        <f>IF(All_Questions_Q9_CT="(None)","",IFERROR(INDEX(INDIRECT(IFERROR(INDEX(Cross_Tab_Questions_Options_Names,MATCH(All_Questions_Q9_CT,Cross_Tab_Questions,0)),"'_Options'!$E$2:$E$2")),6),""))</f>
        <v/>
      </c>
      <c r="G40" s="2" t="str">
        <f>IF(All_Questions_Q9_CT="(None)","",IFERROR(INDEX(INDIRECT(IFERROR(INDEX(Cross_Tab_Questions_Options_Names,MATCH(All_Questions_Q9_CT,Cross_Tab_Questions,0)),"'_Options'!$E$2:$E$2")),7),""))</f>
        <v/>
      </c>
      <c r="H40" s="2" t="str">
        <f>IF(All_Questions_Q9_CT="(None)","",IFERROR(INDEX(INDIRECT(IFERROR(INDEX(Cross_Tab_Questions_Options_Names,MATCH(All_Questions_Q9_CT,Cross_Tab_Questions,0)),"'_Options'!$E$2:$E$2")),8),""))</f>
        <v/>
      </c>
      <c r="I40" s="2" t="str">
        <f>IF(All_Questions_Q9_CT="(None)","",IFERROR(INDEX(INDIRECT(IFERROR(INDEX(Cross_Tab_Questions_Options_Names,MATCH(All_Questions_Q9_CT,Cross_Tab_Questions,0)),"'_Options'!$E$2:$E$2")),9),""))</f>
        <v/>
      </c>
      <c r="J40" s="2" t="str">
        <f>IF(All_Questions_Q9_CT="(None)","",IFERROR(INDEX(INDIRECT(IFERROR(INDEX(Cross_Tab_Questions_Options_Names,MATCH(All_Questions_Q9_CT,Cross_Tab_Questions,0)),"'_Options'!$E$2:$E$2")),10),""))</f>
        <v/>
      </c>
      <c r="K40" s="2" t="str">
        <f>IF(All_Questions_Q9_CT="(None)","",IFERROR(INDEX(INDIRECT(IFERROR(INDEX(Cross_Tab_Questions_Options_Names,MATCH(All_Questions_Q9_CT,Cross_Tab_Questions,0)),"'_Options'!$E$2:$E$2")),11),""))</f>
        <v/>
      </c>
      <c r="L40" s="2" t="str">
        <f>IF(All_Questions_Q9_CT="(None)","",IFERROR(INDEX(INDIRECT(IFERROR(INDEX(Cross_Tab_Questions_Options_Names,MATCH(All_Questions_Q9_CT,Cross_Tab_Questions,0)),"'_Options'!$E$2:$E$2")),12),""))</f>
        <v/>
      </c>
      <c r="M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Mean</t>
        </is>
      </c>
      <c r="C41" s="4" t="inlineStr">
        <is>
          <t>Mean</t>
        </is>
      </c>
      <c r="D41" s="4" t="inlineStr">
        <is>
          <t>Mean</t>
        </is>
      </c>
      <c r="E41" s="4" t="inlineStr">
        <is>
          <t>Mean</t>
        </is>
      </c>
      <c r="F41" s="4" t="inlineStr">
        <is>
          <t>Mean</t>
        </is>
      </c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</row>
    <row r="42">
      <c r="A42" t="inlineStr">
        <is>
          <t>Planned spend</t>
        </is>
      </c>
      <c r="B42" s="14">
        <f>IF(OR(All_Questions_Q9_CT="(None)",B$40=""),"",IF(B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B$40),"")))</f>
        <v>27.1</v>
      </c>
      <c r="C42" s="14">
        <f>IF(OR(All_Questions_Q9_CT="(None)",C$40=""),"",IF(C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C$40),"")))</f>
        <v>27.1</v>
      </c>
      <c r="D42" s="14">
        <f>IF(OR(All_Questions_Q9_CT="(None)",D$40=""),"",IF(D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D$40),"")))</f>
        <v>27.1</v>
      </c>
      <c r="E42" s="14">
        <f>IF(OR(All_Questions_Q9_CT="(None)",E$40=""),"",IF(E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E$40),"")))</f>
        <v>27.1</v>
      </c>
      <c r="F42" s="14">
        <f>IF(OR(All_Questions_Q9_CT="(None)",F$40=""),"",IF(F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F$40),"")))</f>
        <v>27.1</v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B$23</t>
        </is>
      </c>
      <c r="H2">
        <f>IF(OR(All_Questions_Q8_CT="(None)",B$23=""),"",IF(B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B$23),"")))</f>
        <v>0</v>
      </c>
      <c r="I2" t="n">
        <v>5.25</v>
      </c>
      <c r="J2" t="n">
        <v>0</v>
      </c>
      <c r="K2" t="n">
        <v>0</v>
      </c>
      <c r="L2" t="inlineStr">
        <is>
          <t>2026-06-09T11:30:20.542887+00:00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C$23</t>
        </is>
      </c>
      <c r="H3">
        <f>IF(OR(All_Questions_Q8_CT="(None)",C$23=""),"",IF(C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C$23),"")))</f>
        <v>0</v>
      </c>
      <c r="I3" t="n">
        <v>5.25</v>
      </c>
      <c r="J3" t="n">
        <v>0</v>
      </c>
      <c r="K3" t="n">
        <v>0</v>
      </c>
      <c r="L3" t="inlineStr">
        <is>
          <t>2026-06-09T11:30:20.542992+00:00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D$23</t>
        </is>
      </c>
      <c r="H4">
        <f>IF(OR(All_Questions_Q8_CT="(None)",D$23=""),"",IF(D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D$23),"")))</f>
        <v>0</v>
      </c>
      <c r="I4" t="n">
        <v>5.25</v>
      </c>
      <c r="J4" t="n">
        <v>0</v>
      </c>
      <c r="K4" t="n">
        <v>0</v>
      </c>
      <c r="L4" t="inlineStr">
        <is>
          <t>2026-06-09T11:30:20.543028+00:00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E$23</t>
        </is>
      </c>
      <c r="H5">
        <f>IF(OR(All_Questions_Q8_CT="(None)",E$23=""),"",IF(E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E$23),"")))</f>
        <v>0</v>
      </c>
      <c r="I5" t="n">
        <v>5.25</v>
      </c>
      <c r="J5" t="n">
        <v>0</v>
      </c>
      <c r="K5" t="n">
        <v>0</v>
      </c>
      <c r="L5" t="inlineStr">
        <is>
          <t>2026-06-09T11:30:20.543058+00:00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F$23</t>
        </is>
      </c>
      <c r="H6">
        <f>IF(OR(All_Questions_Q8_CT="(None)",F$23=""),"",IF(F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F$23),"")))</f>
        <v>0</v>
      </c>
      <c r="I6" t="n">
        <v>5.25</v>
      </c>
      <c r="J6" t="n">
        <v>0</v>
      </c>
      <c r="K6" t="n">
        <v>0</v>
      </c>
      <c r="L6" t="inlineStr">
        <is>
          <t>2026-06-09T11:30:20.543086+00:00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G$23</t>
        </is>
      </c>
      <c r="H7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7" t="n">
        <v>5.25</v>
      </c>
      <c r="J7" t="n">
        <v>0</v>
      </c>
      <c r="K7" t="n">
        <v>0</v>
      </c>
      <c r="L7" t="inlineStr">
        <is>
          <t>2026-06-09T11:30:20.543116+00:00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H$23</t>
        </is>
      </c>
      <c r="H8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8" t="n">
        <v>5.25</v>
      </c>
      <c r="J8" t="n">
        <v>0</v>
      </c>
      <c r="K8" t="n">
        <v>0</v>
      </c>
      <c r="L8" t="inlineStr">
        <is>
          <t>2026-06-09T11:30:20.543142+00:00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I$23</t>
        </is>
      </c>
      <c r="H9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9" t="n">
        <v>5.25</v>
      </c>
      <c r="J9" t="n">
        <v>0</v>
      </c>
      <c r="K9" t="n">
        <v>0</v>
      </c>
      <c r="L9" t="inlineStr">
        <is>
          <t>2026-06-09T11:30:20.543170+00:00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J$23</t>
        </is>
      </c>
      <c r="H10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10" t="n">
        <v>5.25</v>
      </c>
      <c r="J10" t="n">
        <v>0</v>
      </c>
      <c r="K10" t="n">
        <v>0</v>
      </c>
      <c r="L10" t="inlineStr">
        <is>
          <t>2026-06-09T11:30:20.543196+00:00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K$23</t>
        </is>
      </c>
      <c r="H11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11" t="n">
        <v>5.25</v>
      </c>
      <c r="J11" t="n">
        <v>0</v>
      </c>
      <c r="K11" t="n">
        <v>0</v>
      </c>
      <c r="L11" t="inlineStr">
        <is>
          <t>2026-06-09T11:30:20.543222+00:00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L$23</t>
        </is>
      </c>
      <c r="H12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12" t="n">
        <v>5.25</v>
      </c>
      <c r="J12" t="n">
        <v>0</v>
      </c>
      <c r="K12" t="n">
        <v>0</v>
      </c>
      <c r="L12" t="inlineStr">
        <is>
          <t>2026-06-09T11:30:20.543249+00:00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M$23</t>
        </is>
      </c>
      <c r="H13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13" t="n">
        <v>5.25</v>
      </c>
      <c r="J13" t="n">
        <v>0</v>
      </c>
      <c r="K13" t="n">
        <v>0</v>
      </c>
      <c r="L13" t="inlineStr">
        <is>
          <t>2026-06-09T11:30:20.543286+00:00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B$40</t>
        </is>
      </c>
      <c r="H14">
        <f>IF(OR(All_Questions_Q9_CT="(None)",B$40=""),"",IF(B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B$40),"")))</f>
        <v>0</v>
      </c>
      <c r="I14" t="n">
        <v>27.1</v>
      </c>
      <c r="J14" t="n">
        <v>0</v>
      </c>
      <c r="K14" t="n">
        <v>0</v>
      </c>
      <c r="L14" t="inlineStr">
        <is>
          <t>2026-06-09T11:30:20.549764+00:00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C$40</t>
        </is>
      </c>
      <c r="H15">
        <f>IF(OR(All_Questions_Q9_CT="(None)",C$40=""),"",IF(C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C$40),"")))</f>
        <v>0</v>
      </c>
      <c r="I15" t="n">
        <v>27.1</v>
      </c>
      <c r="J15" t="n">
        <v>0</v>
      </c>
      <c r="K15" t="n">
        <v>0</v>
      </c>
      <c r="L15" t="inlineStr">
        <is>
          <t>2026-06-09T11:30:20.549810+00:00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D$40</t>
        </is>
      </c>
      <c r="H16">
        <f>IF(OR(All_Questions_Q9_CT="(None)",D$40=""),"",IF(D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D$40),"")))</f>
        <v>0</v>
      </c>
      <c r="I16" t="n">
        <v>27.1</v>
      </c>
      <c r="J16" t="n">
        <v>0</v>
      </c>
      <c r="K16" t="n">
        <v>0</v>
      </c>
      <c r="L16" t="inlineStr">
        <is>
          <t>2026-06-09T11:30:20.549840+00:00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E$40</t>
        </is>
      </c>
      <c r="H17">
        <f>IF(OR(All_Questions_Q9_CT="(None)",E$40=""),"",IF(E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E$40),"")))</f>
        <v>0</v>
      </c>
      <c r="I17" t="n">
        <v>27.1</v>
      </c>
      <c r="J17" t="n">
        <v>0</v>
      </c>
      <c r="K17" t="n">
        <v>0</v>
      </c>
      <c r="L17" t="inlineStr">
        <is>
          <t>2026-06-09T11:30:20.549867+00:00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F$40</t>
        </is>
      </c>
      <c r="H18">
        <f>IF(OR(All_Questions_Q9_CT="(None)",F$40=""),"",IF(F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F$40),"")))</f>
        <v>0</v>
      </c>
      <c r="I18" t="n">
        <v>27.1</v>
      </c>
      <c r="J18" t="n">
        <v>0</v>
      </c>
      <c r="K18" t="n">
        <v>0</v>
      </c>
      <c r="L18" t="inlineStr">
        <is>
          <t>2026-06-09T11:30:20.549894+00:00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G$40</t>
        </is>
      </c>
      <c r="H19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9" t="n">
        <v>27.1</v>
      </c>
      <c r="J19" t="n">
        <v>0</v>
      </c>
      <c r="K19" t="n">
        <v>0</v>
      </c>
      <c r="L19" t="inlineStr">
        <is>
          <t>2026-06-09T11:30:20.549920+00:00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H$40</t>
        </is>
      </c>
      <c r="H20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20" t="n">
        <v>27.1</v>
      </c>
      <c r="J20" t="n">
        <v>0</v>
      </c>
      <c r="K20" t="n">
        <v>0</v>
      </c>
      <c r="L20" t="inlineStr">
        <is>
          <t>2026-06-09T11:30:20.550003+00:00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I$40</t>
        </is>
      </c>
      <c r="H21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21" t="n">
        <v>27.1</v>
      </c>
      <c r="J21" t="n">
        <v>0</v>
      </c>
      <c r="K21" t="n">
        <v>0</v>
      </c>
      <c r="L21" t="inlineStr">
        <is>
          <t>2026-06-09T11:30:20.550033+00:00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J$40</t>
        </is>
      </c>
      <c r="H22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22" t="n">
        <v>27.1</v>
      </c>
      <c r="J22" t="n">
        <v>0</v>
      </c>
      <c r="K22" t="n">
        <v>0</v>
      </c>
      <c r="L22" t="inlineStr">
        <is>
          <t>2026-06-09T11:30:20.550061+00:00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K$40</t>
        </is>
      </c>
      <c r="H23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23" t="n">
        <v>27.1</v>
      </c>
      <c r="J23" t="n">
        <v>0</v>
      </c>
      <c r="K23" t="n">
        <v>0</v>
      </c>
      <c r="L23" t="inlineStr">
        <is>
          <t>2026-06-09T11:30:20.550087+00:00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L$40</t>
        </is>
      </c>
      <c r="H2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24" t="n">
        <v>27.1</v>
      </c>
      <c r="J24" t="n">
        <v>0</v>
      </c>
      <c r="K24" t="n">
        <v>0</v>
      </c>
      <c r="L24" t="inlineStr">
        <is>
          <t>2026-06-09T11:30:20.550113+00:00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M$40</t>
        </is>
      </c>
      <c r="H25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5" t="n">
        <v>27.1</v>
      </c>
      <c r="J25" t="n">
        <v>0</v>
      </c>
      <c r="K25" t="n">
        <v>0</v>
      </c>
      <c r="L25" t="inlineStr">
        <is>
          <t>2026-06-09T11:30:20.550150+00:00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2026-06-09T11:30:19Z</dcterms:created>
  <dcterms:modified xmlns:dcterms="http://purl.org/dc/terms/" xmlns:xsi="http://www.w3.org/2001/XMLSchema-instance" xsi:type="dcterms:W3CDTF">2026-06-09T11:30:20Z</dcterms:modified>
</cp:coreProperties>
</file>