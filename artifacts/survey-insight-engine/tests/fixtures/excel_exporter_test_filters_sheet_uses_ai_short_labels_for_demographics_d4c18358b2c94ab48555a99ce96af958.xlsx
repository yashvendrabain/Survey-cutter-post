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Default Extension="vml" ContentType="application/vnd.openxmlformats-officedocument.vmlDrawing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comments/comment1.xml" ContentType="application/vnd.openxmlformats-officedocument.spreadsheetml.comments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comments/comment2.xml" ContentType="application/vnd.openxmlformats-officedocument.spreadsheetml.comments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Demographic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'_RawData'!$A$2:$A$3</definedName>
    <definedName name="Q4_data">'_RawData'!$B$2:$B$3</definedName>
    <definedName name="Q14_data">'_RawData'!$C$2:$C$3</definedName>
    <definedName name="All_Questions">'_Options'!$A$2:$A$4</definedName>
    <definedName name="All_Questions_Local">'_Options'!$B$2:$B$5</definedName>
    <definedName name="None_options">'_Options'!$E$2:$E$2</definedName>
    <definedName name="Q4_options">'_Options'!$F$2:$F$4</definedName>
    <definedName name="Q4_local_options">'_Options'!$H$2:$H$5</definedName>
    <definedName name="Q14_options">'_Options'!$G$2:$G$4</definedName>
    <definedName name="Q14_local_options">'_Options'!$I$2:$I$5</definedName>
    <definedName name="All_Questions_Data_Names">'_Options'!$C$2:$C$4</definedName>
    <definedName name="All_Questions_Options_Names">'_Options'!$D$2:$D$4</definedName>
    <definedName name="F_Company_Size">'Filters'!$B$4</definedName>
    <definedName name="F_Company_Size_wrapped">'Filters'!$C$4</definedName>
    <definedName name="F_Age">'Filters'!$B$5</definedName>
    <definedName name="F_Age_wrapped">'Filters'!$C$5</definedName>
    <definedName name="F_Custom1_Q">'Filters'!$B$8</definedName>
    <definedName name="F_Custom1_V">'Filters'!$D$8</definedName>
    <definedName name="F_Custom1_resolved_column">'Filters'!$E$8</definedName>
    <definedName name="F_Custom1_wrapped">'Filters'!$F$8</definedName>
    <definedName name="F_Custom2_Q">'Filters'!$B$9</definedName>
    <definedName name="F_Custom2_V">'Filters'!$D$9</definedName>
    <definedName name="F_Custom2_resolved_column">'Filters'!$E$9</definedName>
    <definedName name="F_Custom2_wrapped">'Filters'!$F$9</definedName>
    <definedName name="F_Company_Size_match_data">'_RawData'!$D$2:$D$3</definedName>
    <definedName name="F_Age_match_data">'_RawData'!$E$2:$E$3</definedName>
    <definedName name="passes_workbook_filters_data">'_RawData'!$F$2:$F$3</definedName>
    <definedName name="F_Custom1_match_data">'_RawData'!$G$2:$G$3</definedName>
    <definedName name="F_Custom2_match_data">'_RawData'!$H$2:$H$3</definedName>
    <definedName name="passes_workbook_custom_filters_data">'_RawData'!$I$2:$I$3</definedName>
    <definedName name="Demographics_F_Company_Size">'Demographics'!$B$5</definedName>
    <definedName name="Demographics_F_Company_Size_resolved">'Demographics'!$C$5</definedName>
    <definedName name="Demographics_F_Company_Size_wrapped">'Demographics'!$D$5</definedName>
    <definedName name="Demographics_F_Age">'Demographics'!$B$6</definedName>
    <definedName name="Demographics_F_Age_resolved">'Demographics'!$C$6</definedName>
    <definedName name="Demographics_F_Age_wrapped">'Demographics'!$D$6</definedName>
    <definedName name="Demographics_F_Custom1_Q">'Demographics'!$B$7</definedName>
    <definedName name="Demographics_F_Custom1_Q_resolved">'Demographics'!$C$7</definedName>
    <definedName name="Demographics_F_Custom1_V">'Demographics'!$B$8</definedName>
    <definedName name="Demographics_F_Custom1_V_resolved">'Demographics'!$C$8</definedName>
    <definedName name="Demographics_F_Custom1_wrapped">'Demographics'!$D$8</definedName>
    <definedName name="Demographics_F_Custom1_resolved_column">'Demographics'!$F$8</definedName>
    <definedName name="Demographics_F_Custom2_Q">'Demographics'!$B$9</definedName>
    <definedName name="Demographics_F_Custom2_Q_resolved">'Demographics'!$C$9</definedName>
    <definedName name="Demographics_F_Custom2_V">'Demographics'!$B$10</definedName>
    <definedName name="Demographics_F_Custom2_V_resolved">'Demographics'!$C$10</definedName>
    <definedName name="Demographics_F_Custom2_wrapped">'Demographics'!$D$10</definedName>
    <definedName name="Demographics_F_Custom2_resolved_column">'Demographics'!$F$10</definedName>
    <definedName name="Demographics_F_Company_Size_local_match_data">'_RawData'!$J$2:$J$3</definedName>
    <definedName name="Demographics_F_Age_local_match_data">'_RawData'!$K$2:$K$3</definedName>
    <definedName name="Demographics_passes_local_filters_data">'_RawData'!$L$2:$L$3</definedName>
    <definedName name="Demographics_Q4_F_Q">'Demographics'!$C$15</definedName>
    <definedName name="Demographics_Q4_F_V">'Demographics'!$E$15</definedName>
    <definedName name="Demographics_Q4_F_resolved_column">'Demographics'!$F$15</definedName>
    <definedName name="Demographics_Q4_F_wrapped">'Demographics'!$G$15</definedName>
    <definedName name="Demographics_Q4_F_passes_per_q_filter_data">'_RawData'!$M$2:$M$3</definedName>
    <definedName name="Demographics_Q4_CT">'Demographics'!$C$16</definedName>
    <definedName name="Demographics_Q14_F_Q">'Demographics'!$C$25</definedName>
    <definedName name="Demographics_Q14_F_V">'Demographics'!$E$25</definedName>
    <definedName name="Demographics_Q14_F_resolved_column">'Demographics'!$F$25</definedName>
    <definedName name="Demographics_Q14_F_wrapped">'Demographics'!$G$25</definedName>
    <definedName name="Demographics_Q14_F_passes_per_q_filter_data">'_RawData'!$N$2:$N$3</definedName>
    <definedName name="Demographics_Q14_CT">'Demographics'!$C$26</definedName>
  </definedNames>
  <calcPr calcId="124519" fullCalcOnLoad="1"/>
</workbook>
</file>

<file path=xl/calcChain.xml><?xml version="1.0" encoding="utf-8"?>
<calcChain xmlns="http://schemas.openxmlformats.org/spreadsheetml/2006/main">
  <c r="D2" i="1"/>
  <c r="E2" i="1"/>
  <c r="F2" i="1"/>
  <c r="G2" i="1"/>
  <c r="H2" i="1"/>
  <c r="I2" i="1"/>
  <c r="J2" i="1"/>
  <c r="K2" i="1"/>
  <c r="L2" i="1"/>
  <c r="M2" i="1"/>
  <c r="N2" i="1"/>
  <c r="D3" i="1"/>
  <c r="E3" i="1"/>
  <c r="F3" i="1"/>
  <c r="G3" i="1"/>
  <c r="H3" i="1"/>
  <c r="I3" i="1"/>
  <c r="J3" i="1"/>
  <c r="K3" i="1"/>
  <c r="L3" i="1"/>
  <c r="M3" i="1"/>
  <c r="N3" i="1"/>
  <c r="C4" i="3"/>
  <c r="C5" i="3"/>
  <c r="E8" i="3"/>
  <c r="F8" i="3"/>
  <c r="E9" i="3"/>
  <c r="F9" i="3"/>
  <c r="C5" i="7"/>
  <c r="D5" i="7"/>
  <c r="C6" i="7"/>
  <c r="D6" i="7"/>
  <c r="C7" i="7"/>
  <c r="C8" i="7"/>
  <c r="D8" i="7"/>
  <c r="F8" i="7"/>
  <c r="C9" i="7"/>
  <c r="C10" i="7"/>
  <c r="D10" i="7"/>
  <c r="F10" i="7"/>
  <c r="F15" i="7"/>
  <c r="G15" i="7"/>
  <c r="G18" i="7"/>
  <c r="H18" i="7"/>
  <c r="I18" i="7"/>
  <c r="J18" i="7"/>
  <c r="K18" i="7"/>
  <c r="L18" i="7"/>
  <c r="M18" i="7"/>
  <c r="N18" i="7"/>
  <c r="O18" i="7"/>
  <c r="P18" i="7"/>
  <c r="Q18" i="7"/>
  <c r="R18" i="7"/>
  <c r="B19" i="7"/>
  <c r="C19" i="7"/>
  <c r="D19" i="7"/>
  <c r="B20" i="7"/>
  <c r="C20" i="7"/>
  <c r="D20" i="7"/>
  <c r="G20" i="7"/>
  <c r="H20" i="7"/>
  <c r="I20" i="7"/>
  <c r="J20" i="7"/>
  <c r="K20" i="7"/>
  <c r="L20" i="7"/>
  <c r="M20" i="7"/>
  <c r="N20" i="7"/>
  <c r="O20" i="7"/>
  <c r="P20" i="7"/>
  <c r="Q20" i="7"/>
  <c r="R20" i="7"/>
  <c r="S20" i="7"/>
  <c r="G21" i="7"/>
  <c r="H21" i="7"/>
  <c r="I21" i="7"/>
  <c r="J21" i="7"/>
  <c r="K21" i="7"/>
  <c r="L21" i="7"/>
  <c r="M21" i="7"/>
  <c r="N21" i="7"/>
  <c r="O21" i="7"/>
  <c r="P21" i="7"/>
  <c r="Q21" i="7"/>
  <c r="R21" i="7"/>
  <c r="S21" i="7"/>
  <c r="S22" i="7"/>
  <c r="F25" i="7"/>
  <c r="G25" i="7"/>
  <c r="G28" i="7"/>
  <c r="H28" i="7"/>
  <c r="I28" i="7"/>
  <c r="J28" i="7"/>
  <c r="K28" i="7"/>
  <c r="L28" i="7"/>
  <c r="M28" i="7"/>
  <c r="N28" i="7"/>
  <c r="O28" i="7"/>
  <c r="P28" i="7"/>
  <c r="Q28" i="7"/>
  <c r="R28" i="7"/>
  <c r="B29" i="7"/>
  <c r="C29" i="7"/>
  <c r="D29" i="7"/>
  <c r="B30" i="7"/>
  <c r="C30" i="7"/>
  <c r="D30" i="7"/>
  <c r="G30" i="7"/>
  <c r="H30" i="7"/>
  <c r="I30" i="7"/>
  <c r="J30" i="7"/>
  <c r="K30" i="7"/>
  <c r="L30" i="7"/>
  <c r="M30" i="7"/>
  <c r="N30" i="7"/>
  <c r="O30" i="7"/>
  <c r="P30" i="7"/>
  <c r="Q30" i="7"/>
  <c r="R30" i="7"/>
  <c r="S30" i="7"/>
  <c r="G31" i="7"/>
  <c r="H31" i="7"/>
  <c r="I31" i="7"/>
  <c r="J31" i="7"/>
  <c r="K31" i="7"/>
  <c r="L31" i="7"/>
  <c r="M31" i="7"/>
  <c r="N31" i="7"/>
  <c r="O31" i="7"/>
  <c r="P31" i="7"/>
  <c r="Q31" i="7"/>
  <c r="R31" i="7"/>
  <c r="S31" i="7"/>
  <c r="S32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comments/comment1.xml><?xml version="1.0" encoding="utf-8"?>
<comments xmlns="http://schemas.openxmlformats.org/spreadsheetml/2006/main">
  <authors>
    <author>Survey Analysis Engine</author>
  </authors>
  <commentList>
    <comment ref="A4" authorId="0" shapeId="0">
      <text>
        <t>Which of the following best describes the size of your organization</t>
      </text>
    </comment>
    <comment ref="A5" authorId="0" shapeId="0">
      <text>
        <t>Approximately how old is the organization</t>
      </text>
    </comment>
  </commentList>
</comments>
</file>

<file path=xl/comments/comment2.xml><?xml version="1.0" encoding="utf-8"?>
<comments xmlns="http://schemas.openxmlformats.org/spreadsheetml/2006/main">
  <authors>
    <author>Survey Analysis Engine</author>
  </authors>
  <commentList>
    <comment ref="A5" authorId="0" shapeId="0">
      <text>
        <t>Which of the following best describes the size of your organization</t>
      </text>
    </comment>
    <comment ref="A6" authorId="0" shapeId="0">
      <text>
        <t>Approximately how old is the organization</t>
      </text>
    </comment>
  </commentList>
</comments>
</file>

<file path=xl/tables/table1.xml><?xml version="1.0" encoding="utf-8"?>
<table xmlns="http://schemas.openxmlformats.org/spreadsheetml/2006/main" id="1" name="T_Demographics_18_1" displayName="T_Demographics_18_1" ref="A18:D21" headerRowCount="1">
  <autoFilter ref="A18:D21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Demographics_28_1" displayName="T_Demographics_28_1" ref="A28:D31" headerRowCount="1">
  <autoFilter ref="A28:D31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_rels/sheet6.xml.rels><Relationships xmlns="http://schemas.openxmlformats.org/package/2006/relationships"><Relationship Type="http://schemas.openxmlformats.org/officeDocument/2006/relationships/hyperlink" Target="#'Demographics'!A1" TargetMode="External" Id="rId1"/><Relationship Type="http://schemas.openxmlformats.org/officeDocument/2006/relationships/hyperlink" Target="#'Demographics'!A1" TargetMode="External" Id="rId2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comments" Target="/xl/comments/comment2.xml" Id="comments"/><Relationship Type="http://schemas.openxmlformats.org/officeDocument/2006/relationships/vmlDrawing" Target="/xl/drawings/commentsDrawing2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Q4</t>
        </is>
      </c>
      <c r="C1" t="inlineStr">
        <is>
          <t>Q14</t>
        </is>
      </c>
      <c r="D1" t="inlineStr">
        <is>
          <t>F_Company_Size_match</t>
        </is>
      </c>
      <c r="E1" t="inlineStr">
        <is>
          <t>F_Age_match</t>
        </is>
      </c>
      <c r="F1" t="inlineStr">
        <is>
          <t>passes_workbook_filters</t>
        </is>
      </c>
      <c r="G1" t="inlineStr">
        <is>
          <t>F_Custom1_match</t>
        </is>
      </c>
      <c r="H1" t="inlineStr">
        <is>
          <t>F_Custom2_match</t>
        </is>
      </c>
      <c r="I1" t="inlineStr">
        <is>
          <t>passes_workbook_custom_filters</t>
        </is>
      </c>
      <c r="J1" t="inlineStr">
        <is>
          <t>Demographics_F_Company_Size_local_match</t>
        </is>
      </c>
      <c r="K1" t="inlineStr">
        <is>
          <t>Demographics_F_Age_local_match</t>
        </is>
      </c>
      <c r="L1" t="inlineStr">
        <is>
          <t>Demographics_passes_local_filters</t>
        </is>
      </c>
      <c r="M1" t="inlineStr">
        <is>
          <t>Demographics_Q4_F_passes_per_q_filter</t>
        </is>
      </c>
      <c r="N1" t="inlineStr">
        <is>
          <t>Demographics_Q14_F_passes_per_q_filter</t>
        </is>
      </c>
    </row>
    <row r="2">
      <c r="A2" t="n">
        <v>1</v>
      </c>
      <c r="B2" t="inlineStr">
        <is>
          <t>Small</t>
        </is>
      </c>
      <c r="C2" t="inlineStr">
        <is>
          <t>New</t>
        </is>
      </c>
      <c r="D2">
        <f>(((F_Company_Size="(All)")+(F_Company_Size="")+ISBLANK(F_Company_Size)+ISNUMBER(SEARCH("|"&amp;B2&amp;"|",F_Company_Size_wrapped)))&gt;0)*1</f>
        <v>1</v>
      </c>
      <c r="E2">
        <f>(((F_Age="(All)")+(F_Age="")+ISBLANK(F_Age)+ISNUMBER(SEARCH("|"&amp;C2&amp;"|",F_Age_wrapped)))&gt;0)*1</f>
        <v>1</v>
      </c>
      <c r="F2">
        <f>D2*E2*1</f>
        <v>1</v>
      </c>
      <c r="G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H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I2">
        <f>G2*H2*1</f>
        <v>1</v>
      </c>
      <c r="J2">
        <f>(((Demographics_F_Company_Size_resolved="(All)")+(Demographics_F_Company_Size_resolved="")+ISBLANK(Demographics_F_Company_Size_resolved)+ISNUMBER(SEARCH("|"&amp;B2&amp;"|",Demographics_F_Company_Size_wrapped)))&gt;0)*1</f>
        <v>1</v>
      </c>
      <c r="K2">
        <f>(((Demographics_F_Age_resolved="(All)")+(Demographics_F_Age_resolved="")+ISBLANK(Demographics_F_Age_resolved)+ISNUMBER(SEARCH("|"&amp;C2&amp;"|",Demographics_F_Age_wrapped)))&gt;0)*1</f>
        <v>1</v>
      </c>
      <c r="L2">
        <f>J2*K2*1</f>
        <v>1</v>
      </c>
      <c r="M2">
        <f>IF(OR(Demographics_Q4_F_Q="(None)",Demographics_Q4_F_Q="",ISBLANK(Demographics_Q4_F_Q),Demographics_Q4_F_V="(All)",Demographics_Q4_F_V="",ISBLANK(Demographics_Q4_F_V)),1,IFERROR(IF(ISNUMBER(SEARCH("|"&amp;INDEX(INDIRECT(Demographics_Q4_F_resolved_column),1)&amp;"|",Demographics_Q4_F_wrapped)),1,0),0))*1</f>
        <v>1</v>
      </c>
      <c r="N2">
        <f>IF(OR(Demographics_Q14_F_Q="(None)",Demographics_Q14_F_Q="",ISBLANK(Demographics_Q14_F_Q),Demographics_Q14_F_V="(All)",Demographics_Q14_F_V="",ISBLANK(Demographics_Q14_F_V)),1,IFERROR(IF(ISNUMBER(SEARCH("|"&amp;INDEX(INDIRECT(Demographics_Q14_F_resolved_column),1)&amp;"|",Demographics_Q14_F_wrapped)),1,0),0))*1</f>
        <v>1</v>
      </c>
    </row>
    <row r="3">
      <c r="A3" t="n">
        <v>2</v>
      </c>
      <c r="B3" t="inlineStr">
        <is>
          <t>Large</t>
        </is>
      </c>
      <c r="C3" t="inlineStr">
        <is>
          <t>Established</t>
        </is>
      </c>
      <c r="D3">
        <f>(((F_Company_Size="(All)")+(F_Company_Size="")+ISBLANK(F_Company_Size)+ISNUMBER(SEARCH("|"&amp;B3&amp;"|",F_Company_Size_wrapped)))&gt;0)*1</f>
        <v>1</v>
      </c>
      <c r="E3">
        <f>(((F_Age="(All)")+(F_Age="")+ISBLANK(F_Age)+ISNUMBER(SEARCH("|"&amp;C3&amp;"|",F_Age_wrapped)))&gt;0)*1</f>
        <v>1</v>
      </c>
      <c r="F3">
        <f>D3*E3*1</f>
        <v>1</v>
      </c>
      <c r="G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H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I3">
        <f>G3*H3*1</f>
        <v>1</v>
      </c>
      <c r="J3">
        <f>(((Demographics_F_Company_Size_resolved="(All)")+(Demographics_F_Company_Size_resolved="")+ISBLANK(Demographics_F_Company_Size_resolved)+ISNUMBER(SEARCH("|"&amp;B3&amp;"|",Demographics_F_Company_Size_wrapped)))&gt;0)*1</f>
        <v>1</v>
      </c>
      <c r="K3">
        <f>(((Demographics_F_Age_resolved="(All)")+(Demographics_F_Age_resolved="")+ISBLANK(Demographics_F_Age_resolved)+ISNUMBER(SEARCH("|"&amp;C3&amp;"|",Demographics_F_Age_wrapped)))&gt;0)*1</f>
        <v>1</v>
      </c>
      <c r="L3">
        <f>J3*K3*1</f>
        <v>1</v>
      </c>
      <c r="M3">
        <f>IF(OR(Demographics_Q4_F_Q="(None)",Demographics_Q4_F_Q="",ISBLANK(Demographics_Q4_F_Q),Demographics_Q4_F_V="(All)",Demographics_Q4_F_V="",ISBLANK(Demographics_Q4_F_V)),1,IFERROR(IF(ISNUMBER(SEARCH("|"&amp;INDEX(INDIRECT(Demographics_Q4_F_resolved_column),2)&amp;"|",Demographics_Q4_F_wrapped)),1,0),0))*1</f>
        <v>1</v>
      </c>
      <c r="N3">
        <f>IF(OR(Demographics_Q14_F_Q="(None)",Demographics_Q14_F_Q="",ISBLANK(Demographics_Q14_F_Q),Demographics_Q14_F_V="(All)",Demographics_Q14_F_V="",ISBLANK(Demographics_Q14_F_V)),1,IFERROR(IF(ISNUMBER(SEARCH("|"&amp;INDEX(INDIRECT(Demographics_Q14_F_resolved_column),2)&amp;"|",Demographics_Q14_F_wrapped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Q4_options</t>
        </is>
      </c>
      <c r="G1" t="inlineStr">
        <is>
          <t>Q14_options</t>
        </is>
      </c>
      <c r="H1" t="inlineStr">
        <is>
          <t>Q4_local_options</t>
        </is>
      </c>
      <c r="I1" t="inlineStr">
        <is>
          <t>Q14_local_options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'_RawData'!$A$2:$A$3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(Inherit)</t>
        </is>
      </c>
      <c r="I2" t="inlineStr">
        <is>
          <t>(Inherit)</t>
        </is>
      </c>
    </row>
    <row r="3">
      <c r="A3" t="inlineStr">
        <is>
          <t>Q4 - Which Of The Following Best Describes The Size Of Your Organization</t>
        </is>
      </c>
      <c r="B3" t="inlineStr">
        <is>
          <t>(None)</t>
        </is>
      </c>
      <c r="C3" t="inlineStr">
        <is>
          <t>'_RawData'!$B$2:$B$3</t>
        </is>
      </c>
      <c r="D3" t="inlineStr">
        <is>
          <t>'_Options'!$F$2:$F$4</t>
        </is>
      </c>
      <c r="F3" t="inlineStr">
        <is>
          <t>Small</t>
        </is>
      </c>
      <c r="G3" t="inlineStr">
        <is>
          <t>New</t>
        </is>
      </c>
      <c r="H3" t="inlineStr">
        <is>
          <t>(All)</t>
        </is>
      </c>
      <c r="I3" t="inlineStr">
        <is>
          <t>(All)</t>
        </is>
      </c>
    </row>
    <row r="4">
      <c r="A4" t="inlineStr">
        <is>
          <t>Q14 - Approximately How Old Is The Organization</t>
        </is>
      </c>
      <c r="B4" t="inlineStr">
        <is>
          <t>Q4 - Which Of The Following Best Describes The Size Of Your Organization</t>
        </is>
      </c>
      <c r="C4" t="inlineStr">
        <is>
          <t>'_RawData'!$C$2:$C$3</t>
        </is>
      </c>
      <c r="D4" t="inlineStr">
        <is>
          <t>'_Options'!$G$2:$G$4</t>
        </is>
      </c>
      <c r="F4" t="inlineStr">
        <is>
          <t>Large</t>
        </is>
      </c>
      <c r="G4" t="inlineStr">
        <is>
          <t>Established</t>
        </is>
      </c>
      <c r="H4" t="inlineStr">
        <is>
          <t>Small</t>
        </is>
      </c>
      <c r="I4" t="inlineStr">
        <is>
          <t>New</t>
        </is>
      </c>
    </row>
    <row r="5">
      <c r="B5" t="inlineStr">
        <is>
          <t>Q14 - Approximately How Old Is The Organization</t>
        </is>
      </c>
      <c r="H5" t="inlineStr">
        <is>
          <t>Large</t>
        </is>
      </c>
      <c r="I5" t="inlineStr">
        <is>
          <t>Established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4">
      <c r="A4" t="inlineStr">
        <is>
          <t>Org Size</t>
        </is>
      </c>
      <c r="B4" t="inlineStr">
        <is>
          <t>(All)</t>
        </is>
      </c>
      <c r="C4" t="str">
        <f>"|" &amp; SUBSTITUTE(F_Company_Size, ", ", "|") &amp; "|"</f>
        <v>|(All)|</v>
      </c>
      <c r="D4" t="inlineStr">
        <is>
          <t>Small, Large</t>
        </is>
      </c>
    </row>
    <row r="5">
      <c r="A5" t="inlineStr">
        <is>
          <t>Org Age</t>
        </is>
      </c>
      <c r="B5" t="inlineStr">
        <is>
          <t>(All)</t>
        </is>
      </c>
      <c r="C5" t="str">
        <f>"|" &amp; SUBSTITUTE(F_Age, ", ", "|") &amp; "|"</f>
        <v>|(All)|</v>
      </c>
      <c r="D5" t="inlineStr">
        <is>
          <t>New, Established</t>
        </is>
      </c>
    </row>
    <row r="7">
      <c r="A7" s="4" t="inlineStr">
        <is>
          <t>CUSTOM FILTERS</t>
        </is>
      </c>
      <c r="B7" s="2" t="n"/>
      <c r="C7" s="2" t="n"/>
      <c r="D7" s="2" t="n"/>
      <c r="E7" s="2" t="n"/>
      <c r="F7" s="2" t="n"/>
    </row>
    <row r="8">
      <c r="A8" t="inlineStr">
        <is>
          <t>Filter 1 question</t>
        </is>
      </c>
      <c r="B8" t="inlineStr">
        <is>
          <t>(None)</t>
        </is>
      </c>
      <c r="C8" t="inlineStr">
        <is>
          <t>Filter value</t>
        </is>
      </c>
      <c r="D8" t="inlineStr">
        <is>
          <t>(All)</t>
        </is>
      </c>
      <c r="E8" t="str">
        <f>IFERROR(INDEX(All_Questions_Data_Names,MATCH(F_Custom1_Q,All_Questions,0)),"'_RawData'!$A:$A")</f>
        <v>respondent_id_data</v>
      </c>
      <c r="F8" t="str">
        <f>"|" &amp; SUBSTITUTE(F_Custom1_V, ", ", "|") &amp; "|"</f>
        <v>|(All)|</v>
      </c>
    </row>
    <row r="9">
      <c r="A9" t="inlineStr">
        <is>
          <t>Filter 2 question</t>
        </is>
      </c>
      <c r="B9" t="inlineStr">
        <is>
          <t>(None)</t>
        </is>
      </c>
      <c r="C9" t="inlineStr">
        <is>
          <t>Filter value</t>
        </is>
      </c>
      <c r="D9" t="inlineStr">
        <is>
          <t>(All)</t>
        </is>
      </c>
      <c r="E9" t="str">
        <f>IFERROR(INDEX(All_Questions_Data_Names,MATCH(F_Custom2_Q,All_Questions,0)),"'_RawData'!$A:$A")</f>
        <v>respondent_id_data</v>
      </c>
      <c r="F9" t="str">
        <f>"|" &amp; SUBSTITUTE(F_Custom2_V, ", ", "|") &amp; "|"</f>
        <v>|(All)|</v>
      </c>
    </row>
  </sheetData>
  <dataValidations count="6">
    <dataValidation sqref="B4" showDropDown="0" showInputMessage="0" showErrorMessage="0" allowBlank="1" type="list">
      <formula1>=Q4_options</formula1>
    </dataValidation>
    <dataValidation sqref="B5" showDropDown="0" showInputMessage="0" showErrorMessage="0" allowBlank="1" type="list">
      <formula1>=Q14_options</formula1>
    </dataValidation>
    <dataValidation sqref="B8" showDropDown="0" showInputMessage="0" showErrorMessage="0" allowBlank="1" type="list">
      <formula1>=All_Questions</formula1>
    </dataValidation>
    <dataValidation sqref="D8" showDropDown="0" showInputMessage="0" showErrorMessage="0" allowBlank="1" type="list">
      <formula1>=INDIRECT(IFERROR(INDEX(All_Questions_Options_Names,MATCH(F_Custom1_Q,All_Questions,0)),"'_Options'!$E$2:$E$2"))</formula1>
    </dataValidation>
    <dataValidation sqref="B9" showDropDown="0" showInputMessage="0" showErrorMessage="0" allowBlank="1" type="list">
      <formula1>=All_Questions</formula1>
    </dataValidation>
    <dataValidation sqref="D9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  <legacyDrawing xmlns:r="http://schemas.openxmlformats.org/officeDocument/2006/relationships" r:id="anysvml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2</v>
      </c>
    </row>
    <row r="5">
      <c r="A5" s="5" t="inlineStr">
        <is>
          <t>Total questions:</t>
        </is>
      </c>
      <c r="B5" t="n">
        <v>2</v>
      </c>
    </row>
    <row r="6">
      <c r="A6" s="5" t="inlineStr">
        <is>
          <t>Results produced:</t>
        </is>
      </c>
      <c r="B6" t="n">
        <v>2</v>
      </c>
    </row>
    <row r="7">
      <c r="A7" s="5" t="inlineStr">
        <is>
          <t>Questions skipped:</t>
        </is>
      </c>
      <c r="B7" t="n">
        <v>0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0</v>
      </c>
    </row>
    <row r="11">
      <c r="A11" s="5" t="inlineStr">
        <is>
          <t>Quality warnings:</t>
        </is>
      </c>
      <c r="B11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4" customWidth="1" min="2" max="2"/>
    <col width="60" customWidth="1" min="3" max="3"/>
    <col width="15" customWidth="1" min="4" max="4"/>
    <col width="13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[Q4]</t>
        </is>
      </c>
      <c r="B2" t="inlineStr">
        <is>
          <t>Q4</t>
        </is>
      </c>
      <c r="C2" t="inlineStr">
        <is>
          <t>Which of the following best describes the size of your organization</t>
        </is>
      </c>
      <c r="D2" t="inlineStr">
        <is>
          <t>SINGLE_SELECT</t>
        </is>
      </c>
      <c r="E2" t="inlineStr">
        <is>
          <t>Q4</t>
        </is>
      </c>
      <c r="F2" t="n">
        <v>2</v>
      </c>
      <c r="G2" t="inlineStr">
        <is>
          <t>Yes</t>
        </is>
      </c>
      <c r="H2" t="inlineStr">
        <is>
          <t>Yes</t>
        </is>
      </c>
      <c r="I2" t="inlineStr"/>
    </row>
    <row r="3">
      <c r="A3" t="inlineStr">
        <is>
          <t>[Q14]</t>
        </is>
      </c>
      <c r="B3" t="inlineStr">
        <is>
          <t>Q14</t>
        </is>
      </c>
      <c r="C3" t="inlineStr">
        <is>
          <t>Approximately how old is the organization</t>
        </is>
      </c>
      <c r="D3" t="inlineStr">
        <is>
          <t>SINGLE_SELECT</t>
        </is>
      </c>
      <c r="E3" t="inlineStr">
        <is>
          <t>Q14</t>
        </is>
      </c>
      <c r="F3" t="n">
        <v>2</v>
      </c>
      <c r="G3" t="inlineStr">
        <is>
          <t>Yes</t>
        </is>
      </c>
      <c r="H3" t="inlineStr">
        <is>
          <t>Yes</t>
        </is>
      </c>
      <c r="I3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4" customWidth="1" min="2" max="2"/>
    <col width="15" customWidth="1" min="3" max="3"/>
    <col width="14" customWidth="1" min="4" max="4"/>
    <col width="14" customWidth="1" min="5" max="5"/>
    <col width="9" customWidth="1" min="6" max="6"/>
    <col width="11" customWidth="1" min="7" max="7"/>
    <col width="11" customWidth="1" min="8" max="8"/>
    <col width="10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Q4</t>
        </is>
      </c>
      <c r="B2" t="inlineStr">
        <is>
          <t>Q4</t>
        </is>
      </c>
      <c r="C2" t="inlineStr">
        <is>
          <t>SINGLE_SELECT</t>
        </is>
      </c>
      <c r="D2" t="inlineStr">
        <is>
          <t>Demographics</t>
        </is>
      </c>
      <c r="E2" s="6" t="inlineStr">
        <is>
          <t>Demographics</t>
        </is>
      </c>
      <c r="F2" t="n">
        <v>2</v>
      </c>
      <c r="G2" t="n">
        <v>0</v>
      </c>
      <c r="H2" s="7" t="n">
        <v>0</v>
      </c>
      <c r="I2" t="inlineStr"/>
    </row>
    <row r="3">
      <c r="A3" t="inlineStr">
        <is>
          <t>Q14</t>
        </is>
      </c>
      <c r="B3" t="inlineStr">
        <is>
          <t>Q14</t>
        </is>
      </c>
      <c r="C3" t="inlineStr">
        <is>
          <t>SINGLE_SELECT</t>
        </is>
      </c>
      <c r="D3" t="inlineStr">
        <is>
          <t>Demographics</t>
        </is>
      </c>
      <c r="E3" s="6" t="inlineStr">
        <is>
          <t>Demographics</t>
        </is>
      </c>
      <c r="F3" t="n">
        <v>2</v>
      </c>
      <c r="G3" t="n">
        <v>0</v>
      </c>
      <c r="H3" s="7" t="n">
        <v>0</v>
      </c>
      <c r="I3" t="inlineStr"/>
    </row>
  </sheetData>
  <hyperlinks>
    <hyperlink xmlns:r="http://schemas.openxmlformats.org/officeDocument/2006/relationships" ref="E2" r:id="rId1"/>
    <hyperlink xmlns:r="http://schemas.openxmlformats.org/officeDocument/2006/relationships" ref="E3" r:id="rId2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32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Demographics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Org Size</t>
        </is>
      </c>
      <c r="B5" t="inlineStr">
        <is>
          <t>(Inherit)</t>
        </is>
      </c>
      <c r="C5" t="str">
        <f>IF(Demographics_F_Company_Size="(Inherit)",F_Company_Size,Demographics_F_Company_Size)</f>
        <v>(All)</v>
      </c>
      <c r="D5" t="str">
        <f>"|" &amp; SUBSTITUTE(Demographics_F_Company_Size_resolved, ", ", "|") &amp; "|"</f>
        <v>|(All)|</v>
      </c>
      <c r="E5" t="inlineStr">
        <is>
          <t>Small, Large</t>
        </is>
      </c>
    </row>
    <row r="6">
      <c r="A6" t="inlineStr">
        <is>
          <t>Org Age</t>
        </is>
      </c>
      <c r="B6" t="inlineStr">
        <is>
          <t>(Inherit)</t>
        </is>
      </c>
      <c r="C6" t="str">
        <f>IF(Demographics_F_Age="(Inherit)",F_Age,Demographics_F_Age)</f>
        <v>(All)</v>
      </c>
      <c r="D6" t="str">
        <f>"|" &amp; SUBSTITUTE(Demographics_F_Age_resolved, ", ", "|") &amp; "|"</f>
        <v>|(All)|</v>
      </c>
      <c r="E6" t="inlineStr">
        <is>
          <t>New, Established</t>
        </is>
      </c>
    </row>
    <row r="7">
      <c r="A7" t="inlineStr">
        <is>
          <t>Custom 1 question</t>
        </is>
      </c>
      <c r="B7" t="inlineStr">
        <is>
          <t>(Inherit)</t>
        </is>
      </c>
      <c r="C7" t="str">
        <f>IF(Demographics_F_Custom1_Q="(Inherit)",F_Custom1_Q,Demographics_F_Custom1_Q)</f>
        <v>(None)</v>
      </c>
      <c r="E7" t="inlineStr">
        <is>
          <t>Workbook question or local override</t>
        </is>
      </c>
    </row>
    <row r="8">
      <c r="A8" t="inlineStr">
        <is>
          <t>Custom 1 value</t>
        </is>
      </c>
      <c r="B8" t="inlineStr">
        <is>
          <t>(Inherit)</t>
        </is>
      </c>
      <c r="C8" t="str">
        <f>IF(Demographics_F_Custom1_V="(Inherit)",F_Custom1_V,Demographics_F_Custom1_V)</f>
        <v>(All)</v>
      </c>
      <c r="D8" t="str">
        <f>"|" &amp; SUBSTITUTE(Demographics_F_Custom1_V_resolved,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IFERROR(INDEX(All_Questions_Data_Names,MATCH(Demographics_F_Custom1_Q_resolved,All_Questions,0)),"'_RawData'!$A:$A")</f>
        <v>respondent_id_data</v>
      </c>
    </row>
    <row r="9">
      <c r="A9" t="inlineStr">
        <is>
          <t>Custom 2 question</t>
        </is>
      </c>
      <c r="B9" t="inlineStr">
        <is>
          <t>(Inherit)</t>
        </is>
      </c>
      <c r="C9" t="str">
        <f>IF(Demographics_F_Custom2_Q="(Inherit)",F_Custom2_Q,Demographics_F_Custom2_Q)</f>
        <v>(None)</v>
      </c>
      <c r="E9" t="inlineStr">
        <is>
          <t>Workbook question or local override</t>
        </is>
      </c>
    </row>
    <row r="10">
      <c r="A10" t="inlineStr">
        <is>
          <t>Custom 2 value</t>
        </is>
      </c>
      <c r="B10" t="inlineStr">
        <is>
          <t>(Inherit)</t>
        </is>
      </c>
      <c r="C10" t="str">
        <f>IF(Demographics_F_Custom2_V="(Inherit)",F_Custom2_V,Demographics_F_Custom2_V)</f>
        <v>(All)</v>
      </c>
      <c r="D10" t="str">
        <f>"|" &amp; SUBSTITUTE(Demographics_F_Custom2_V_resolved, ", ", "|") &amp; "|"</f>
        <v>|(All)|</v>
      </c>
      <c r="E10" t="inlineStr">
        <is>
          <t>Choose one value or type comma-separated values</t>
        </is>
      </c>
      <c r="F10" t="str">
        <f>IFERROR(INDEX(All_Questions_Data_Names,MATCH(Demographics_F_Custom2_Q_resolved,All_Questions,0)),"'_RawData'!$A:$A")</f>
        <v>respondent_id_data</v>
      </c>
    </row>
    <row r="13">
      <c r="A13" s="11" t="n"/>
      <c r="B13" s="11" t="n"/>
      <c r="C13" s="11" t="n"/>
      <c r="D13" s="11" t="n"/>
      <c r="E13" s="11" t="n"/>
      <c r="F13" s="11" t="n"/>
      <c r="G13" s="11" t="n"/>
      <c r="H13" s="11" t="n"/>
      <c r="I13" s="11" t="n"/>
      <c r="J13" s="11" t="n"/>
    </row>
    <row r="14">
      <c r="A14" s="12" t="inlineStr">
        <is>
          <t>Q4 - Which of the following best describes the size of your organization</t>
        </is>
      </c>
      <c r="B14" s="12" t="n"/>
      <c r="C14" s="12" t="n"/>
      <c r="D14" s="12" t="n"/>
      <c r="E14" s="12" t="n"/>
      <c r="F14" s="12" t="n"/>
      <c r="G14" s="12" t="n"/>
      <c r="H14" s="12" t="n"/>
      <c r="I14" s="12" t="n"/>
      <c r="J14" s="12" t="n"/>
      <c r="K14" s="12" t="n"/>
      <c r="L14" s="12" t="n"/>
      <c r="M14" s="12" t="n"/>
      <c r="N14" s="12" t="n"/>
    </row>
    <row r="15">
      <c r="A15" s="13" t="inlineStr">
        <is>
          <t>Per-question filter</t>
        </is>
      </c>
      <c r="B15" t="inlineStr">
        <is>
          <t>Filter Q</t>
        </is>
      </c>
      <c r="C15" t="inlineStr">
        <is>
          <t>(None)</t>
        </is>
      </c>
      <c r="D15" t="inlineStr">
        <is>
          <t>Value</t>
        </is>
      </c>
      <c r="E15" t="inlineStr">
        <is>
          <t>(All)</t>
        </is>
      </c>
      <c r="F15" t="str">
        <f>IFERROR(INDEX(All_Questions_Data_Names,MATCH(Demographics_Q4_F_Q,All_Questions,0)),"'_RawData'!$A:$A")</f>
        <v>respondent_id_data</v>
      </c>
      <c r="G15" t="str">
        <f>"|" &amp; SUBSTITUTE(Demographics_Q4_F_V, ", ", "|") &amp; "|"</f>
        <v>|(All)|</v>
      </c>
    </row>
    <row r="16">
      <c r="A16" s="13" t="inlineStr">
        <is>
          <t>Cross-tab by</t>
        </is>
      </c>
      <c r="C16" t="inlineStr">
        <is>
          <t>(None)</t>
        </is>
      </c>
    </row>
    <row r="18">
      <c r="A18" s="4" t="inlineStr">
        <is>
          <t>Option</t>
        </is>
      </c>
      <c r="B18" s="4" t="inlineStr">
        <is>
          <t>Count</t>
        </is>
      </c>
      <c r="C18" s="4" t="inlineStr">
        <is>
          <t>%</t>
        </is>
      </c>
      <c r="D18" s="4" t="inlineStr">
        <is>
          <t>Denominator</t>
        </is>
      </c>
      <c r="F18" s="4" t="inlineStr">
        <is>
          <t>Option</t>
        </is>
      </c>
      <c r="G18" s="2" t="str">
        <f>IF(Demographics_Q4_CT="(None)","",IFERROR(INDEX(INDIRECT(IFERROR(INDEX(All_Questions_Options_Names,MATCH(Demographics_Q4_CT,All_Questions,0)),"'_Options'!$E$2:$E$2")),2),""))</f>
        <v/>
      </c>
      <c r="H18" s="2" t="str">
        <f>IF(Demographics_Q4_CT="(None)","",IFERROR(INDEX(INDIRECT(IFERROR(INDEX(All_Questions_Options_Names,MATCH(Demographics_Q4_CT,All_Questions,0)),"'_Options'!$E$2:$E$2")),3),""))</f>
        <v/>
      </c>
      <c r="I18" s="2" t="str">
        <f>IF(Demographics_Q4_CT="(None)","",IFERROR(INDEX(INDIRECT(IFERROR(INDEX(All_Questions_Options_Names,MATCH(Demographics_Q4_CT,All_Questions,0)),"'_Options'!$E$2:$E$2")),4),""))</f>
        <v/>
      </c>
      <c r="J18" s="2" t="str">
        <f>IF(Demographics_Q4_CT="(None)","",IFERROR(INDEX(INDIRECT(IFERROR(INDEX(All_Questions_Options_Names,MATCH(Demographics_Q4_CT,All_Questions,0)),"'_Options'!$E$2:$E$2")),5),""))</f>
        <v/>
      </c>
      <c r="K18" s="2" t="str">
        <f>IF(Demographics_Q4_CT="(None)","",IFERROR(INDEX(INDIRECT(IFERROR(INDEX(All_Questions_Options_Names,MATCH(Demographics_Q4_CT,All_Questions,0)),"'_Options'!$E$2:$E$2")),6),""))</f>
        <v/>
      </c>
      <c r="L18" s="2" t="str">
        <f>IF(Demographics_Q4_CT="(None)","",IFERROR(INDEX(INDIRECT(IFERROR(INDEX(All_Questions_Options_Names,MATCH(Demographics_Q4_CT,All_Questions,0)),"'_Options'!$E$2:$E$2")),7),""))</f>
        <v/>
      </c>
      <c r="M18" s="2" t="str">
        <f>IF(Demographics_Q4_CT="(None)","",IFERROR(INDEX(INDIRECT(IFERROR(INDEX(All_Questions_Options_Names,MATCH(Demographics_Q4_CT,All_Questions,0)),"'_Options'!$E$2:$E$2")),8),""))</f>
        <v/>
      </c>
      <c r="N18" s="2" t="str">
        <f>IF(Demographics_Q4_CT="(None)","",IFERROR(INDEX(INDIRECT(IFERROR(INDEX(All_Questions_Options_Names,MATCH(Demographics_Q4_CT,All_Questions,0)),"'_Options'!$E$2:$E$2")),9),""))</f>
        <v/>
      </c>
      <c r="O18" s="2" t="str">
        <f>IF(Demographics_Q4_CT="(None)","",IFERROR(INDEX(INDIRECT(IFERROR(INDEX(All_Questions_Options_Names,MATCH(Demographics_Q4_CT,All_Questions,0)),"'_Options'!$E$2:$E$2")),10),""))</f>
        <v/>
      </c>
      <c r="P18" s="2" t="str">
        <f>IF(Demographics_Q4_CT="(None)","",IFERROR(INDEX(INDIRECT(IFERROR(INDEX(All_Questions_Options_Names,MATCH(Demographics_Q4_CT,All_Questions,0)),"'_Options'!$E$2:$E$2")),11),""))</f>
        <v/>
      </c>
      <c r="Q18" s="2" t="str">
        <f>IF(Demographics_Q4_CT="(None)","",IFERROR(INDEX(INDIRECT(IFERROR(INDEX(All_Questions_Options_Names,MATCH(Demographics_Q4_CT,All_Questions,0)),"'_Options'!$E$2:$E$2")),12),""))</f>
        <v/>
      </c>
      <c r="R18" s="2" t="str">
        <f>IF(Demographics_Q4_CT="(None)","",IF(COUNTA(INDIRECT(IFERROR(INDEX(All_Questions_Options_Names,MATCH(Demographics_Q4_CT,All_Questions,0)),"'_Options'!$E$2:$E$2")))-1&gt;11,"Other",IFERROR(INDEX(INDIRECT(IFERROR(INDEX(All_Questions_Options_Names,MATCH(Demographics_Q4_CT,All_Questions,0)),"'_Options'!$E$2:$E$2")),13),"")))</f>
        <v/>
      </c>
      <c r="S18" s="4" t="inlineStr">
        <is>
          <t>Total</t>
        </is>
      </c>
    </row>
    <row r="19">
      <c r="A19" t="inlineStr">
        <is>
          <t>Small</t>
        </is>
      </c>
      <c r="B19">
        <f>COUNTIFS(Q4_data,"Small",passes_workbook_filters_data,1,passes_workbook_custom_filters_data,1,Demographics_passes_local_filters_data,1,Demographics_Q4_F_passes_per_q_filter_data,1)</f>
        <v>1</v>
      </c>
      <c r="C19" s="7">
        <f>IFERROR(B19/SUBTOTAL(9,B19:B20),0)</f>
        <v>0.5</v>
      </c>
      <c r="D19" s="14">
        <f>SUBTOTAL(9,B19:B20)</f>
        <v>2</v>
      </c>
      <c r="F19" s="4" t="inlineStr"/>
      <c r="G19" s="4" t="inlineStr">
        <is>
          <t># of resp</t>
        </is>
      </c>
      <c r="H19" s="4" t="inlineStr">
        <is>
          <t># of resp</t>
        </is>
      </c>
      <c r="I19" s="4" t="inlineStr">
        <is>
          <t># of resp</t>
        </is>
      </c>
      <c r="J19" s="4" t="inlineStr">
        <is>
          <t># of resp</t>
        </is>
      </c>
      <c r="K19" s="4" t="inlineStr">
        <is>
          <t># of resp</t>
        </is>
      </c>
      <c r="L19" s="4" t="inlineStr">
        <is>
          <t># of resp</t>
        </is>
      </c>
      <c r="M19" s="4" t="inlineStr">
        <is>
          <t># of resp</t>
        </is>
      </c>
      <c r="N19" s="4" t="inlineStr">
        <is>
          <t># of resp</t>
        </is>
      </c>
      <c r="O19" s="4" t="inlineStr">
        <is>
          <t># of resp</t>
        </is>
      </c>
      <c r="P19" s="4" t="inlineStr">
        <is>
          <t># of resp</t>
        </is>
      </c>
      <c r="Q19" s="4" t="inlineStr">
        <is>
          <t># of resp</t>
        </is>
      </c>
      <c r="R19" s="4" t="inlineStr">
        <is>
          <t># of resp</t>
        </is>
      </c>
      <c r="S19" s="4" t="inlineStr">
        <is>
          <t># of resp</t>
        </is>
      </c>
    </row>
    <row r="20">
      <c r="A20" t="inlineStr">
        <is>
          <t>Large</t>
        </is>
      </c>
      <c r="B20">
        <f>COUNTIFS(Q4_data,"Large",passes_workbook_filters_data,1,passes_workbook_custom_filters_data,1,Demographics_passes_local_filters_data,1,Demographics_Q4_F_passes_per_q_filter_data,1)</f>
        <v>1</v>
      </c>
      <c r="C20" s="7">
        <f>IFERROR(B20/SUBTOTAL(9,B19:B20),0)</f>
        <v>0.5</v>
      </c>
      <c r="D20" s="14">
        <f>SUBTOTAL(9,B19:B20)</f>
        <v>2</v>
      </c>
      <c r="F20" t="inlineStr">
        <is>
          <t>Small</t>
        </is>
      </c>
      <c r="G20">
        <f>IF(OR(Demographics_Q4_CT="(None)",G$18=""),"",COUNTIFS(Q4_data,"Small",passes_workbook_filters_data,1,passes_workbook_custom_filters_data,1,Demographics_passes_local_filters_data,1,Demographics_Q4_F_passes_per_q_filter_data,1,INDIRECT(IFERROR(INDEX(All_Questions_Data_Names,MATCH(Demographics_Q4_CT,All_Questions,0)),"'_RawData'!$A:$A")),G$18))</f>
        <v>0</v>
      </c>
      <c r="H20">
        <f>IF(OR(Demographics_Q4_CT="(None)",H$18=""),"",COUNTIFS(Q4_data,"Small",passes_workbook_filters_data,1,passes_workbook_custom_filters_data,1,Demographics_passes_local_filters_data,1,Demographics_Q4_F_passes_per_q_filter_data,1,INDIRECT(IFERROR(INDEX(All_Questions_Data_Names,MATCH(Demographics_Q4_CT,All_Questions,0)),"'_RawData'!$A:$A")),H$18))</f>
        <v>0</v>
      </c>
      <c r="I20">
        <f>IF(OR(Demographics_Q4_CT="(None)",I$18=""),"",COUNTIFS(Q4_data,"Small",passes_workbook_filters_data,1,passes_workbook_custom_filters_data,1,Demographics_passes_local_filters_data,1,Demographics_Q4_F_passes_per_q_filter_data,1,INDIRECT(IFERROR(INDEX(All_Questions_Data_Names,MATCH(Demographics_Q4_CT,All_Questions,0)),"'_RawData'!$A:$A")),I$18))</f>
        <v>0</v>
      </c>
      <c r="J20">
        <f>IF(OR(Demographics_Q4_CT="(None)",J$18=""),"",COUNTIFS(Q4_data,"Small",passes_workbook_filters_data,1,passes_workbook_custom_filters_data,1,Demographics_passes_local_filters_data,1,Demographics_Q4_F_passes_per_q_filter_data,1,INDIRECT(IFERROR(INDEX(All_Questions_Data_Names,MATCH(Demographics_Q4_CT,All_Questions,0)),"'_RawData'!$A:$A")),J$18))</f>
        <v>0</v>
      </c>
      <c r="K20">
        <f>IF(OR(Demographics_Q4_CT="(None)",K$18=""),"",COUNTIFS(Q4_data,"Small",passes_workbook_filters_data,1,passes_workbook_custom_filters_data,1,Demographics_passes_local_filters_data,1,Demographics_Q4_F_passes_per_q_filter_data,1,INDIRECT(IFERROR(INDEX(All_Questions_Data_Names,MATCH(Demographics_Q4_CT,All_Questions,0)),"'_RawData'!$A:$A")),K$18))</f>
        <v>0</v>
      </c>
      <c r="L20">
        <f>IF(OR(Demographics_Q4_CT="(None)",L$18=""),"",COUNTIFS(Q4_data,"Small",passes_workbook_filters_data,1,passes_workbook_custom_filters_data,1,Demographics_passes_local_filters_data,1,Demographics_Q4_F_passes_per_q_filter_data,1,INDIRECT(IFERROR(INDEX(All_Questions_Data_Names,MATCH(Demographics_Q4_CT,All_Questions,0)),"'_RawData'!$A:$A")),L$18))</f>
        <v>0</v>
      </c>
      <c r="M20">
        <f>IF(OR(Demographics_Q4_CT="(None)",M$18=""),"",COUNTIFS(Q4_data,"Small",passes_workbook_filters_data,1,passes_workbook_custom_filters_data,1,Demographics_passes_local_filters_data,1,Demographics_Q4_F_passes_per_q_filter_data,1,INDIRECT(IFERROR(INDEX(All_Questions_Data_Names,MATCH(Demographics_Q4_CT,All_Questions,0)),"'_RawData'!$A:$A")),M$18))</f>
        <v>0</v>
      </c>
      <c r="N20">
        <f>IF(OR(Demographics_Q4_CT="(None)",N$18=""),"",COUNTIFS(Q4_data,"Small",passes_workbook_filters_data,1,passes_workbook_custom_filters_data,1,Demographics_passes_local_filters_data,1,Demographics_Q4_F_passes_per_q_filter_data,1,INDIRECT(IFERROR(INDEX(All_Questions_Data_Names,MATCH(Demographics_Q4_CT,All_Questions,0)),"'_RawData'!$A:$A")),N$18))</f>
        <v>0</v>
      </c>
      <c r="O20">
        <f>IF(OR(Demographics_Q4_CT="(None)",O$18=""),"",COUNTIFS(Q4_data,"Small",passes_workbook_filters_data,1,passes_workbook_custom_filters_data,1,Demographics_passes_local_filters_data,1,Demographics_Q4_F_passes_per_q_filter_data,1,INDIRECT(IFERROR(INDEX(All_Questions_Data_Names,MATCH(Demographics_Q4_CT,All_Questions,0)),"'_RawData'!$A:$A")),O$18))</f>
        <v>0</v>
      </c>
      <c r="P20">
        <f>IF(OR(Demographics_Q4_CT="(None)",P$18=""),"",COUNTIFS(Q4_data,"Small",passes_workbook_filters_data,1,passes_workbook_custom_filters_data,1,Demographics_passes_local_filters_data,1,Demographics_Q4_F_passes_per_q_filter_data,1,INDIRECT(IFERROR(INDEX(All_Questions_Data_Names,MATCH(Demographics_Q4_CT,All_Questions,0)),"'_RawData'!$A:$A")),P$18))</f>
        <v>0</v>
      </c>
      <c r="Q20">
        <f>IF(OR(Demographics_Q4_CT="(None)",Q$18=""),"",COUNTIFS(Q4_data,"Small",passes_workbook_filters_data,1,passes_workbook_custom_filters_data,1,Demographics_passes_local_filters_data,1,Demographics_Q4_F_passes_per_q_filter_data,1,INDIRECT(IFERROR(INDEX(All_Questions_Data_Names,MATCH(Demographics_Q4_CT,All_Questions,0)),"'_RawData'!$A:$A")),Q$18))</f>
        <v>0</v>
      </c>
      <c r="R20">
        <f>IF(OR(Demographics_Q4_CT="(None)",R$18=""),"",IF(R$18="Other",COUNTIFS(Q4_data,"Small",passes_workbook_filters_data,1,passes_workbook_custom_filters_data,1,Demographics_passes_local_filters_data,1,Demographics_Q4_F_passes_per_q_filter_data,1)-SUM(G20,H20,I20,J20,K20,L20,M20,N20,O20,P20,Q20),COUNTIFS(Q4_data,"Small",passes_workbook_filters_data,1,passes_workbook_custom_filters_data,1,Demographics_passes_local_filters_data,1,Demographics_Q4_F_passes_per_q_filter_data,1,INDIRECT(IFERROR(INDEX(All_Questions_Data_Names,MATCH(Demographics_Q4_CT,All_Questions,0)),"'_RawData'!$A:$A")),R$18)))</f>
        <v>0</v>
      </c>
      <c r="S20">
        <f>IF(Demographics_Q4_CT="(None)","",COUNTIFS(Q4_data,"Small",passes_workbook_filters_data,1,passes_workbook_custom_filters_data,1,Demographics_passes_local_filters_data,1,Demographics_Q4_F_passes_per_q_filter_data,1))</f>
        <v>0</v>
      </c>
    </row>
    <row r="21">
      <c r="A21" s="15" t="inlineStr">
        <is>
          <t>Total respondents</t>
        </is>
      </c>
      <c r="B21" s="15" t="n">
        <v>2</v>
      </c>
      <c r="C21" s="15" t="n"/>
      <c r="D21" s="15" t="n"/>
      <c r="F21" t="inlineStr">
        <is>
          <t>Large</t>
        </is>
      </c>
      <c r="G21">
        <f>IF(OR(Demographics_Q4_CT="(None)",G$18=""),"",COUNTIFS(Q4_data,"Large",passes_workbook_filters_data,1,passes_workbook_custom_filters_data,1,Demographics_passes_local_filters_data,1,Demographics_Q4_F_passes_per_q_filter_data,1,INDIRECT(IFERROR(INDEX(All_Questions_Data_Names,MATCH(Demographics_Q4_CT,All_Questions,0)),"'_RawData'!$A:$A")),G$18))</f>
        <v>0</v>
      </c>
      <c r="H21">
        <f>IF(OR(Demographics_Q4_CT="(None)",H$18=""),"",COUNTIFS(Q4_data,"Large",passes_workbook_filters_data,1,passes_workbook_custom_filters_data,1,Demographics_passes_local_filters_data,1,Demographics_Q4_F_passes_per_q_filter_data,1,INDIRECT(IFERROR(INDEX(All_Questions_Data_Names,MATCH(Demographics_Q4_CT,All_Questions,0)),"'_RawData'!$A:$A")),H$18))</f>
        <v>0</v>
      </c>
      <c r="I21">
        <f>IF(OR(Demographics_Q4_CT="(None)",I$18=""),"",COUNTIFS(Q4_data,"Large",passes_workbook_filters_data,1,passes_workbook_custom_filters_data,1,Demographics_passes_local_filters_data,1,Demographics_Q4_F_passes_per_q_filter_data,1,INDIRECT(IFERROR(INDEX(All_Questions_Data_Names,MATCH(Demographics_Q4_CT,All_Questions,0)),"'_RawData'!$A:$A")),I$18))</f>
        <v>0</v>
      </c>
      <c r="J21">
        <f>IF(OR(Demographics_Q4_CT="(None)",J$18=""),"",COUNTIFS(Q4_data,"Large",passes_workbook_filters_data,1,passes_workbook_custom_filters_data,1,Demographics_passes_local_filters_data,1,Demographics_Q4_F_passes_per_q_filter_data,1,INDIRECT(IFERROR(INDEX(All_Questions_Data_Names,MATCH(Demographics_Q4_CT,All_Questions,0)),"'_RawData'!$A:$A")),J$18))</f>
        <v>0</v>
      </c>
      <c r="K21">
        <f>IF(OR(Demographics_Q4_CT="(None)",K$18=""),"",COUNTIFS(Q4_data,"Large",passes_workbook_filters_data,1,passes_workbook_custom_filters_data,1,Demographics_passes_local_filters_data,1,Demographics_Q4_F_passes_per_q_filter_data,1,INDIRECT(IFERROR(INDEX(All_Questions_Data_Names,MATCH(Demographics_Q4_CT,All_Questions,0)),"'_RawData'!$A:$A")),K$18))</f>
        <v>0</v>
      </c>
      <c r="L21">
        <f>IF(OR(Demographics_Q4_CT="(None)",L$18=""),"",COUNTIFS(Q4_data,"Large",passes_workbook_filters_data,1,passes_workbook_custom_filters_data,1,Demographics_passes_local_filters_data,1,Demographics_Q4_F_passes_per_q_filter_data,1,INDIRECT(IFERROR(INDEX(All_Questions_Data_Names,MATCH(Demographics_Q4_CT,All_Questions,0)),"'_RawData'!$A:$A")),L$18))</f>
        <v>0</v>
      </c>
      <c r="M21">
        <f>IF(OR(Demographics_Q4_CT="(None)",M$18=""),"",COUNTIFS(Q4_data,"Large",passes_workbook_filters_data,1,passes_workbook_custom_filters_data,1,Demographics_passes_local_filters_data,1,Demographics_Q4_F_passes_per_q_filter_data,1,INDIRECT(IFERROR(INDEX(All_Questions_Data_Names,MATCH(Demographics_Q4_CT,All_Questions,0)),"'_RawData'!$A:$A")),M$18))</f>
        <v>0</v>
      </c>
      <c r="N21">
        <f>IF(OR(Demographics_Q4_CT="(None)",N$18=""),"",COUNTIFS(Q4_data,"Large",passes_workbook_filters_data,1,passes_workbook_custom_filters_data,1,Demographics_passes_local_filters_data,1,Demographics_Q4_F_passes_per_q_filter_data,1,INDIRECT(IFERROR(INDEX(All_Questions_Data_Names,MATCH(Demographics_Q4_CT,All_Questions,0)),"'_RawData'!$A:$A")),N$18))</f>
        <v>0</v>
      </c>
      <c r="O21">
        <f>IF(OR(Demographics_Q4_CT="(None)",O$18=""),"",COUNTIFS(Q4_data,"Large",passes_workbook_filters_data,1,passes_workbook_custom_filters_data,1,Demographics_passes_local_filters_data,1,Demographics_Q4_F_passes_per_q_filter_data,1,INDIRECT(IFERROR(INDEX(All_Questions_Data_Names,MATCH(Demographics_Q4_CT,All_Questions,0)),"'_RawData'!$A:$A")),O$18))</f>
        <v>0</v>
      </c>
      <c r="P21">
        <f>IF(OR(Demographics_Q4_CT="(None)",P$18=""),"",COUNTIFS(Q4_data,"Large",passes_workbook_filters_data,1,passes_workbook_custom_filters_data,1,Demographics_passes_local_filters_data,1,Demographics_Q4_F_passes_per_q_filter_data,1,INDIRECT(IFERROR(INDEX(All_Questions_Data_Names,MATCH(Demographics_Q4_CT,All_Questions,0)),"'_RawData'!$A:$A")),P$18))</f>
        <v>0</v>
      </c>
      <c r="Q21">
        <f>IF(OR(Demographics_Q4_CT="(None)",Q$18=""),"",COUNTIFS(Q4_data,"Large",passes_workbook_filters_data,1,passes_workbook_custom_filters_data,1,Demographics_passes_local_filters_data,1,Demographics_Q4_F_passes_per_q_filter_data,1,INDIRECT(IFERROR(INDEX(All_Questions_Data_Names,MATCH(Demographics_Q4_CT,All_Questions,0)),"'_RawData'!$A:$A")),Q$18))</f>
        <v>0</v>
      </c>
      <c r="R21">
        <f>IF(OR(Demographics_Q4_CT="(None)",R$18=""),"",IF(R$18="Other",COUNTIFS(Q4_data,"Large",passes_workbook_filters_data,1,passes_workbook_custom_filters_data,1,Demographics_passes_local_filters_data,1,Demographics_Q4_F_passes_per_q_filter_data,1)-SUM(G21,H21,I21,J21,K21,L21,M21,N21,O21,P21,Q21),COUNTIFS(Q4_data,"Large",passes_workbook_filters_data,1,passes_workbook_custom_filters_data,1,Demographics_passes_local_filters_data,1,Demographics_Q4_F_passes_per_q_filter_data,1,INDIRECT(IFERROR(INDEX(All_Questions_Data_Names,MATCH(Demographics_Q4_CT,All_Questions,0)),"'_RawData'!$A:$A")),R$18)))</f>
        <v>0</v>
      </c>
      <c r="S21">
        <f>IF(Demographics_Q4_CT="(None)","",COUNTIFS(Q4_data,"Large",passes_workbook_filters_data,1,passes_workbook_custom_filters_data,1,Demographics_passes_local_filters_data,1,Demographics_Q4_F_passes_per_q_filter_data,1))</f>
        <v>0</v>
      </c>
    </row>
    <row r="22">
      <c r="F22" s="4" t="inlineStr">
        <is>
          <t>Total respondents</t>
        </is>
      </c>
      <c r="G22" s="2" t="n"/>
      <c r="H22" s="2" t="n"/>
      <c r="I22" s="2" t="n"/>
      <c r="J22" s="2" t="n"/>
      <c r="K22" s="2" t="n"/>
      <c r="L22" s="2" t="n"/>
      <c r="M22" s="2" t="n"/>
      <c r="N22" s="2" t="n"/>
      <c r="O22" s="2" t="n"/>
      <c r="P22" s="2" t="n"/>
      <c r="Q22" s="2" t="n"/>
      <c r="R22" s="2" t="n"/>
      <c r="S22" s="2">
        <f>IF(Demographics_Q4_CT="(None)","",COUNTIFS(respondent_id_data,"&lt;&gt;",passes_workbook_filters_data,1,passes_workbook_custom_filters_data,1,Demographics_passes_local_filters_data,1,Demographics_Q4_F_passes_per_q_filter_data,1))</f>
        <v>0</v>
      </c>
    </row>
    <row r="23">
      <c r="A23" s="11" t="n"/>
      <c r="B23" s="11" t="n"/>
      <c r="C23" s="11" t="n"/>
      <c r="D23" s="11" t="n"/>
      <c r="E23" s="11" t="n"/>
      <c r="F23" s="11" t="n"/>
      <c r="G23" s="11" t="n"/>
      <c r="H23" s="11" t="n"/>
      <c r="I23" s="11" t="n"/>
      <c r="J23" s="11" t="n"/>
    </row>
    <row r="24">
      <c r="A24" s="12" t="inlineStr">
        <is>
          <t>Q14 - Approximately how old is the organization</t>
        </is>
      </c>
      <c r="B24" s="12" t="n"/>
      <c r="C24" s="12" t="n"/>
      <c r="D24" s="12" t="n"/>
      <c r="E24" s="12" t="n"/>
      <c r="F24" s="12" t="n"/>
      <c r="G24" s="12" t="n"/>
      <c r="H24" s="12" t="n"/>
      <c r="I24" s="12" t="n"/>
      <c r="J24" s="12" t="n"/>
      <c r="K24" s="12" t="n"/>
      <c r="L24" s="12" t="n"/>
      <c r="M24" s="12" t="n"/>
      <c r="N24" s="12" t="n"/>
    </row>
    <row r="25">
      <c r="A25" s="13" t="inlineStr">
        <is>
          <t>Per-question filter</t>
        </is>
      </c>
      <c r="B25" t="inlineStr">
        <is>
          <t>Filter Q</t>
        </is>
      </c>
      <c r="C25" t="inlineStr">
        <is>
          <t>(None)</t>
        </is>
      </c>
      <c r="D25" t="inlineStr">
        <is>
          <t>Value</t>
        </is>
      </c>
      <c r="E25" t="inlineStr">
        <is>
          <t>(All)</t>
        </is>
      </c>
      <c r="F25" t="str">
        <f>IFERROR(INDEX(All_Questions_Data_Names,MATCH(Demographics_Q14_F_Q,All_Questions,0)),"'_RawData'!$A:$A")</f>
        <v>respondent_id_data</v>
      </c>
      <c r="G25" t="str">
        <f>"|" &amp; SUBSTITUTE(Demographics_Q14_F_V, ", ", "|") &amp; "|"</f>
        <v>|(All)|</v>
      </c>
    </row>
    <row r="26">
      <c r="A26" s="13" t="inlineStr">
        <is>
          <t>Cross-tab by</t>
        </is>
      </c>
      <c r="C26" t="inlineStr">
        <is>
          <t>(None)</t>
        </is>
      </c>
    </row>
    <row r="28">
      <c r="A28" s="4" t="inlineStr">
        <is>
          <t>Option</t>
        </is>
      </c>
      <c r="B28" s="4" t="inlineStr">
        <is>
          <t>Count</t>
        </is>
      </c>
      <c r="C28" s="4" t="inlineStr">
        <is>
          <t>%</t>
        </is>
      </c>
      <c r="D28" s="4" t="inlineStr">
        <is>
          <t>Denominator</t>
        </is>
      </c>
      <c r="F28" s="4" t="inlineStr">
        <is>
          <t>Option</t>
        </is>
      </c>
      <c r="G28" s="2" t="str">
        <f>IF(Demographics_Q14_CT="(None)","",IFERROR(INDEX(INDIRECT(IFERROR(INDEX(All_Questions_Options_Names,MATCH(Demographics_Q14_CT,All_Questions,0)),"'_Options'!$E$2:$E$2")),2),""))</f>
        <v/>
      </c>
      <c r="H28" s="2" t="str">
        <f>IF(Demographics_Q14_CT="(None)","",IFERROR(INDEX(INDIRECT(IFERROR(INDEX(All_Questions_Options_Names,MATCH(Demographics_Q14_CT,All_Questions,0)),"'_Options'!$E$2:$E$2")),3),""))</f>
        <v/>
      </c>
      <c r="I28" s="2" t="str">
        <f>IF(Demographics_Q14_CT="(None)","",IFERROR(INDEX(INDIRECT(IFERROR(INDEX(All_Questions_Options_Names,MATCH(Demographics_Q14_CT,All_Questions,0)),"'_Options'!$E$2:$E$2")),4),""))</f>
        <v/>
      </c>
      <c r="J28" s="2" t="str">
        <f>IF(Demographics_Q14_CT="(None)","",IFERROR(INDEX(INDIRECT(IFERROR(INDEX(All_Questions_Options_Names,MATCH(Demographics_Q14_CT,All_Questions,0)),"'_Options'!$E$2:$E$2")),5),""))</f>
        <v/>
      </c>
      <c r="K28" s="2" t="str">
        <f>IF(Demographics_Q14_CT="(None)","",IFERROR(INDEX(INDIRECT(IFERROR(INDEX(All_Questions_Options_Names,MATCH(Demographics_Q14_CT,All_Questions,0)),"'_Options'!$E$2:$E$2")),6),""))</f>
        <v/>
      </c>
      <c r="L28" s="2" t="str">
        <f>IF(Demographics_Q14_CT="(None)","",IFERROR(INDEX(INDIRECT(IFERROR(INDEX(All_Questions_Options_Names,MATCH(Demographics_Q14_CT,All_Questions,0)),"'_Options'!$E$2:$E$2")),7),""))</f>
        <v/>
      </c>
      <c r="M28" s="2" t="str">
        <f>IF(Demographics_Q14_CT="(None)","",IFERROR(INDEX(INDIRECT(IFERROR(INDEX(All_Questions_Options_Names,MATCH(Demographics_Q14_CT,All_Questions,0)),"'_Options'!$E$2:$E$2")),8),""))</f>
        <v/>
      </c>
      <c r="N28" s="2" t="str">
        <f>IF(Demographics_Q14_CT="(None)","",IFERROR(INDEX(INDIRECT(IFERROR(INDEX(All_Questions_Options_Names,MATCH(Demographics_Q14_CT,All_Questions,0)),"'_Options'!$E$2:$E$2")),9),""))</f>
        <v/>
      </c>
      <c r="O28" s="2" t="str">
        <f>IF(Demographics_Q14_CT="(None)","",IFERROR(INDEX(INDIRECT(IFERROR(INDEX(All_Questions_Options_Names,MATCH(Demographics_Q14_CT,All_Questions,0)),"'_Options'!$E$2:$E$2")),10),""))</f>
        <v/>
      </c>
      <c r="P28" s="2" t="str">
        <f>IF(Demographics_Q14_CT="(None)","",IFERROR(INDEX(INDIRECT(IFERROR(INDEX(All_Questions_Options_Names,MATCH(Demographics_Q14_CT,All_Questions,0)),"'_Options'!$E$2:$E$2")),11),""))</f>
        <v/>
      </c>
      <c r="Q28" s="2" t="str">
        <f>IF(Demographics_Q14_CT="(None)","",IFERROR(INDEX(INDIRECT(IFERROR(INDEX(All_Questions_Options_Names,MATCH(Demographics_Q14_CT,All_Questions,0)),"'_Options'!$E$2:$E$2")),12),""))</f>
        <v/>
      </c>
      <c r="R28" s="2" t="str">
        <f>IF(Demographics_Q14_CT="(None)","",IF(COUNTA(INDIRECT(IFERROR(INDEX(All_Questions_Options_Names,MATCH(Demographics_Q14_CT,All_Questions,0)),"'_Options'!$E$2:$E$2")))-1&gt;11,"Other",IFERROR(INDEX(INDIRECT(IFERROR(INDEX(All_Questions_Options_Names,MATCH(Demographics_Q14_CT,All_Questions,0)),"'_Options'!$E$2:$E$2")),13),"")))</f>
        <v/>
      </c>
      <c r="S28" s="4" t="inlineStr">
        <is>
          <t>Total</t>
        </is>
      </c>
    </row>
    <row r="29">
      <c r="A29" t="inlineStr">
        <is>
          <t>New</t>
        </is>
      </c>
      <c r="B29">
        <f>COUNTIFS(Q14_data,"New",passes_workbook_filters_data,1,passes_workbook_custom_filters_data,1,Demographics_passes_local_filters_data,1,Demographics_Q14_F_passes_per_q_filter_data,1)</f>
        <v>1</v>
      </c>
      <c r="C29" s="7">
        <f>IFERROR(B29/SUBTOTAL(9,B29:B30),0)</f>
        <v>0.5</v>
      </c>
      <c r="D29" s="14">
        <f>SUBTOTAL(9,B29:B30)</f>
        <v>2</v>
      </c>
      <c r="F29" s="4" t="inlineStr"/>
      <c r="G29" s="4" t="inlineStr">
        <is>
          <t># of resp</t>
        </is>
      </c>
      <c r="H29" s="4" t="inlineStr">
        <is>
          <t># of resp</t>
        </is>
      </c>
      <c r="I29" s="4" t="inlineStr">
        <is>
          <t># of resp</t>
        </is>
      </c>
      <c r="J29" s="4" t="inlineStr">
        <is>
          <t># of resp</t>
        </is>
      </c>
      <c r="K29" s="4" t="inlineStr">
        <is>
          <t># of resp</t>
        </is>
      </c>
      <c r="L29" s="4" t="inlineStr">
        <is>
          <t># of resp</t>
        </is>
      </c>
      <c r="M29" s="4" t="inlineStr">
        <is>
          <t># of resp</t>
        </is>
      </c>
      <c r="N29" s="4" t="inlineStr">
        <is>
          <t># of resp</t>
        </is>
      </c>
      <c r="O29" s="4" t="inlineStr">
        <is>
          <t># of resp</t>
        </is>
      </c>
      <c r="P29" s="4" t="inlineStr">
        <is>
          <t># of resp</t>
        </is>
      </c>
      <c r="Q29" s="4" t="inlineStr">
        <is>
          <t># of resp</t>
        </is>
      </c>
      <c r="R29" s="4" t="inlineStr">
        <is>
          <t># of resp</t>
        </is>
      </c>
      <c r="S29" s="4" t="inlineStr">
        <is>
          <t># of resp</t>
        </is>
      </c>
    </row>
    <row r="30">
      <c r="A30" t="inlineStr">
        <is>
          <t>Established</t>
        </is>
      </c>
      <c r="B30">
        <f>COUNTIFS(Q14_data,"Established",passes_workbook_filters_data,1,passes_workbook_custom_filters_data,1,Demographics_passes_local_filters_data,1,Demographics_Q14_F_passes_per_q_filter_data,1)</f>
        <v>1</v>
      </c>
      <c r="C30" s="7">
        <f>IFERROR(B30/SUBTOTAL(9,B29:B30),0)</f>
        <v>0.5</v>
      </c>
      <c r="D30" s="14">
        <f>SUBTOTAL(9,B29:B30)</f>
        <v>2</v>
      </c>
      <c r="F30" t="inlineStr">
        <is>
          <t>New</t>
        </is>
      </c>
      <c r="G30">
        <f>IF(OR(Demographics_Q14_CT="(None)",G$28=""),"",COUNTIFS(Q14_data,"New",passes_workbook_filters_data,1,passes_workbook_custom_filters_data,1,Demographics_passes_local_filters_data,1,Demographics_Q14_F_passes_per_q_filter_data,1,INDIRECT(IFERROR(INDEX(All_Questions_Data_Names,MATCH(Demographics_Q14_CT,All_Questions,0)),"'_RawData'!$A:$A")),G$28))</f>
        <v>0</v>
      </c>
      <c r="H30">
        <f>IF(OR(Demographics_Q14_CT="(None)",H$28=""),"",COUNTIFS(Q14_data,"New",passes_workbook_filters_data,1,passes_workbook_custom_filters_data,1,Demographics_passes_local_filters_data,1,Demographics_Q14_F_passes_per_q_filter_data,1,INDIRECT(IFERROR(INDEX(All_Questions_Data_Names,MATCH(Demographics_Q14_CT,All_Questions,0)),"'_RawData'!$A:$A")),H$28))</f>
        <v>0</v>
      </c>
      <c r="I30">
        <f>IF(OR(Demographics_Q14_CT="(None)",I$28=""),"",COUNTIFS(Q14_data,"New",passes_workbook_filters_data,1,passes_workbook_custom_filters_data,1,Demographics_passes_local_filters_data,1,Demographics_Q14_F_passes_per_q_filter_data,1,INDIRECT(IFERROR(INDEX(All_Questions_Data_Names,MATCH(Demographics_Q14_CT,All_Questions,0)),"'_RawData'!$A:$A")),I$28))</f>
        <v>0</v>
      </c>
      <c r="J30">
        <f>IF(OR(Demographics_Q14_CT="(None)",J$28=""),"",COUNTIFS(Q14_data,"New",passes_workbook_filters_data,1,passes_workbook_custom_filters_data,1,Demographics_passes_local_filters_data,1,Demographics_Q14_F_passes_per_q_filter_data,1,INDIRECT(IFERROR(INDEX(All_Questions_Data_Names,MATCH(Demographics_Q14_CT,All_Questions,0)),"'_RawData'!$A:$A")),J$28))</f>
        <v>0</v>
      </c>
      <c r="K30">
        <f>IF(OR(Demographics_Q14_CT="(None)",K$28=""),"",COUNTIFS(Q14_data,"New",passes_workbook_filters_data,1,passes_workbook_custom_filters_data,1,Demographics_passes_local_filters_data,1,Demographics_Q14_F_passes_per_q_filter_data,1,INDIRECT(IFERROR(INDEX(All_Questions_Data_Names,MATCH(Demographics_Q14_CT,All_Questions,0)),"'_RawData'!$A:$A")),K$28))</f>
        <v>0</v>
      </c>
      <c r="L30">
        <f>IF(OR(Demographics_Q14_CT="(None)",L$28=""),"",COUNTIFS(Q14_data,"New",passes_workbook_filters_data,1,passes_workbook_custom_filters_data,1,Demographics_passes_local_filters_data,1,Demographics_Q14_F_passes_per_q_filter_data,1,INDIRECT(IFERROR(INDEX(All_Questions_Data_Names,MATCH(Demographics_Q14_CT,All_Questions,0)),"'_RawData'!$A:$A")),L$28))</f>
        <v>0</v>
      </c>
      <c r="M30">
        <f>IF(OR(Demographics_Q14_CT="(None)",M$28=""),"",COUNTIFS(Q14_data,"New",passes_workbook_filters_data,1,passes_workbook_custom_filters_data,1,Demographics_passes_local_filters_data,1,Demographics_Q14_F_passes_per_q_filter_data,1,INDIRECT(IFERROR(INDEX(All_Questions_Data_Names,MATCH(Demographics_Q14_CT,All_Questions,0)),"'_RawData'!$A:$A")),M$28))</f>
        <v>0</v>
      </c>
      <c r="N30">
        <f>IF(OR(Demographics_Q14_CT="(None)",N$28=""),"",COUNTIFS(Q14_data,"New",passes_workbook_filters_data,1,passes_workbook_custom_filters_data,1,Demographics_passes_local_filters_data,1,Demographics_Q14_F_passes_per_q_filter_data,1,INDIRECT(IFERROR(INDEX(All_Questions_Data_Names,MATCH(Demographics_Q14_CT,All_Questions,0)),"'_RawData'!$A:$A")),N$28))</f>
        <v>0</v>
      </c>
      <c r="O30">
        <f>IF(OR(Demographics_Q14_CT="(None)",O$28=""),"",COUNTIFS(Q14_data,"New",passes_workbook_filters_data,1,passes_workbook_custom_filters_data,1,Demographics_passes_local_filters_data,1,Demographics_Q14_F_passes_per_q_filter_data,1,INDIRECT(IFERROR(INDEX(All_Questions_Data_Names,MATCH(Demographics_Q14_CT,All_Questions,0)),"'_RawData'!$A:$A")),O$28))</f>
        <v>0</v>
      </c>
      <c r="P30">
        <f>IF(OR(Demographics_Q14_CT="(None)",P$28=""),"",COUNTIFS(Q14_data,"New",passes_workbook_filters_data,1,passes_workbook_custom_filters_data,1,Demographics_passes_local_filters_data,1,Demographics_Q14_F_passes_per_q_filter_data,1,INDIRECT(IFERROR(INDEX(All_Questions_Data_Names,MATCH(Demographics_Q14_CT,All_Questions,0)),"'_RawData'!$A:$A")),P$28))</f>
        <v>0</v>
      </c>
      <c r="Q30">
        <f>IF(OR(Demographics_Q14_CT="(None)",Q$28=""),"",COUNTIFS(Q14_data,"New",passes_workbook_filters_data,1,passes_workbook_custom_filters_data,1,Demographics_passes_local_filters_data,1,Demographics_Q14_F_passes_per_q_filter_data,1,INDIRECT(IFERROR(INDEX(All_Questions_Data_Names,MATCH(Demographics_Q14_CT,All_Questions,0)),"'_RawData'!$A:$A")),Q$28))</f>
        <v>0</v>
      </c>
      <c r="R30">
        <f>IF(OR(Demographics_Q14_CT="(None)",R$28=""),"",IF(R$28="Other",COUNTIFS(Q14_data,"New",passes_workbook_filters_data,1,passes_workbook_custom_filters_data,1,Demographics_passes_local_filters_data,1,Demographics_Q14_F_passes_per_q_filter_data,1)-SUM(G30,H30,I30,J30,K30,L30,M30,N30,O30,P30,Q30),COUNTIFS(Q14_data,"New",passes_workbook_filters_data,1,passes_workbook_custom_filters_data,1,Demographics_passes_local_filters_data,1,Demographics_Q14_F_passes_per_q_filter_data,1,INDIRECT(IFERROR(INDEX(All_Questions_Data_Names,MATCH(Demographics_Q14_CT,All_Questions,0)),"'_RawData'!$A:$A")),R$28)))</f>
        <v>0</v>
      </c>
      <c r="S30">
        <f>IF(Demographics_Q14_CT="(None)","",COUNTIFS(Q14_data,"New",passes_workbook_filters_data,1,passes_workbook_custom_filters_data,1,Demographics_passes_local_filters_data,1,Demographics_Q14_F_passes_per_q_filter_data,1))</f>
        <v>0</v>
      </c>
    </row>
    <row r="31">
      <c r="A31" s="15" t="inlineStr">
        <is>
          <t>Total respondents</t>
        </is>
      </c>
      <c r="B31" s="15" t="n">
        <v>2</v>
      </c>
      <c r="C31" s="15" t="n"/>
      <c r="D31" s="15" t="n"/>
      <c r="F31" t="inlineStr">
        <is>
          <t>Established</t>
        </is>
      </c>
      <c r="G31">
        <f>IF(OR(Demographics_Q14_CT="(None)",G$28=""),"",COUNTIFS(Q14_data,"Established",passes_workbook_filters_data,1,passes_workbook_custom_filters_data,1,Demographics_passes_local_filters_data,1,Demographics_Q14_F_passes_per_q_filter_data,1,INDIRECT(IFERROR(INDEX(All_Questions_Data_Names,MATCH(Demographics_Q14_CT,All_Questions,0)),"'_RawData'!$A:$A")),G$28))</f>
        <v>0</v>
      </c>
      <c r="H31">
        <f>IF(OR(Demographics_Q14_CT="(None)",H$28=""),"",COUNTIFS(Q14_data,"Established",passes_workbook_filters_data,1,passes_workbook_custom_filters_data,1,Demographics_passes_local_filters_data,1,Demographics_Q14_F_passes_per_q_filter_data,1,INDIRECT(IFERROR(INDEX(All_Questions_Data_Names,MATCH(Demographics_Q14_CT,All_Questions,0)),"'_RawData'!$A:$A")),H$28))</f>
        <v>0</v>
      </c>
      <c r="I31">
        <f>IF(OR(Demographics_Q14_CT="(None)",I$28=""),"",COUNTIFS(Q14_data,"Established",passes_workbook_filters_data,1,passes_workbook_custom_filters_data,1,Demographics_passes_local_filters_data,1,Demographics_Q14_F_passes_per_q_filter_data,1,INDIRECT(IFERROR(INDEX(All_Questions_Data_Names,MATCH(Demographics_Q14_CT,All_Questions,0)),"'_RawData'!$A:$A")),I$28))</f>
        <v>0</v>
      </c>
      <c r="J31">
        <f>IF(OR(Demographics_Q14_CT="(None)",J$28=""),"",COUNTIFS(Q14_data,"Established",passes_workbook_filters_data,1,passes_workbook_custom_filters_data,1,Demographics_passes_local_filters_data,1,Demographics_Q14_F_passes_per_q_filter_data,1,INDIRECT(IFERROR(INDEX(All_Questions_Data_Names,MATCH(Demographics_Q14_CT,All_Questions,0)),"'_RawData'!$A:$A")),J$28))</f>
        <v>0</v>
      </c>
      <c r="K31">
        <f>IF(OR(Demographics_Q14_CT="(None)",K$28=""),"",COUNTIFS(Q14_data,"Established",passes_workbook_filters_data,1,passes_workbook_custom_filters_data,1,Demographics_passes_local_filters_data,1,Demographics_Q14_F_passes_per_q_filter_data,1,INDIRECT(IFERROR(INDEX(All_Questions_Data_Names,MATCH(Demographics_Q14_CT,All_Questions,0)),"'_RawData'!$A:$A")),K$28))</f>
        <v>0</v>
      </c>
      <c r="L31">
        <f>IF(OR(Demographics_Q14_CT="(None)",L$28=""),"",COUNTIFS(Q14_data,"Established",passes_workbook_filters_data,1,passes_workbook_custom_filters_data,1,Demographics_passes_local_filters_data,1,Demographics_Q14_F_passes_per_q_filter_data,1,INDIRECT(IFERROR(INDEX(All_Questions_Data_Names,MATCH(Demographics_Q14_CT,All_Questions,0)),"'_RawData'!$A:$A")),L$28))</f>
        <v>0</v>
      </c>
      <c r="M31">
        <f>IF(OR(Demographics_Q14_CT="(None)",M$28=""),"",COUNTIFS(Q14_data,"Established",passes_workbook_filters_data,1,passes_workbook_custom_filters_data,1,Demographics_passes_local_filters_data,1,Demographics_Q14_F_passes_per_q_filter_data,1,INDIRECT(IFERROR(INDEX(All_Questions_Data_Names,MATCH(Demographics_Q14_CT,All_Questions,0)),"'_RawData'!$A:$A")),M$28))</f>
        <v>0</v>
      </c>
      <c r="N31">
        <f>IF(OR(Demographics_Q14_CT="(None)",N$28=""),"",COUNTIFS(Q14_data,"Established",passes_workbook_filters_data,1,passes_workbook_custom_filters_data,1,Demographics_passes_local_filters_data,1,Demographics_Q14_F_passes_per_q_filter_data,1,INDIRECT(IFERROR(INDEX(All_Questions_Data_Names,MATCH(Demographics_Q14_CT,All_Questions,0)),"'_RawData'!$A:$A")),N$28))</f>
        <v>0</v>
      </c>
      <c r="O31">
        <f>IF(OR(Demographics_Q14_CT="(None)",O$28=""),"",COUNTIFS(Q14_data,"Established",passes_workbook_filters_data,1,passes_workbook_custom_filters_data,1,Demographics_passes_local_filters_data,1,Demographics_Q14_F_passes_per_q_filter_data,1,INDIRECT(IFERROR(INDEX(All_Questions_Data_Names,MATCH(Demographics_Q14_CT,All_Questions,0)),"'_RawData'!$A:$A")),O$28))</f>
        <v>0</v>
      </c>
      <c r="P31">
        <f>IF(OR(Demographics_Q14_CT="(None)",P$28=""),"",COUNTIFS(Q14_data,"Established",passes_workbook_filters_data,1,passes_workbook_custom_filters_data,1,Demographics_passes_local_filters_data,1,Demographics_Q14_F_passes_per_q_filter_data,1,INDIRECT(IFERROR(INDEX(All_Questions_Data_Names,MATCH(Demographics_Q14_CT,All_Questions,0)),"'_RawData'!$A:$A")),P$28))</f>
        <v>0</v>
      </c>
      <c r="Q31">
        <f>IF(OR(Demographics_Q14_CT="(None)",Q$28=""),"",COUNTIFS(Q14_data,"Established",passes_workbook_filters_data,1,passes_workbook_custom_filters_data,1,Demographics_passes_local_filters_data,1,Demographics_Q14_F_passes_per_q_filter_data,1,INDIRECT(IFERROR(INDEX(All_Questions_Data_Names,MATCH(Demographics_Q14_CT,All_Questions,0)),"'_RawData'!$A:$A")),Q$28))</f>
        <v>0</v>
      </c>
      <c r="R31">
        <f>IF(OR(Demographics_Q14_CT="(None)",R$28=""),"",IF(R$28="Other",COUNTIFS(Q14_data,"Established",passes_workbook_filters_data,1,passes_workbook_custom_filters_data,1,Demographics_passes_local_filters_data,1,Demographics_Q14_F_passes_per_q_filter_data,1)-SUM(G31,H31,I31,J31,K31,L31,M31,N31,O31,P31,Q31),COUNTIFS(Q14_data,"Established",passes_workbook_filters_data,1,passes_workbook_custom_filters_data,1,Demographics_passes_local_filters_data,1,Demographics_Q14_F_passes_per_q_filter_data,1,INDIRECT(IFERROR(INDEX(All_Questions_Data_Names,MATCH(Demographics_Q14_CT,All_Questions,0)),"'_RawData'!$A:$A")),R$28)))</f>
        <v>0</v>
      </c>
      <c r="S31">
        <f>IF(Demographics_Q14_CT="(None)","",COUNTIFS(Q14_data,"Established",passes_workbook_filters_data,1,passes_workbook_custom_filters_data,1,Demographics_passes_local_filters_data,1,Demographics_Q14_F_passes_per_q_filter_data,1))</f>
        <v>0</v>
      </c>
    </row>
    <row r="32">
      <c r="F32" s="4" t="inlineStr">
        <is>
          <t>Total respondents</t>
        </is>
      </c>
      <c r="G32" s="2" t="n"/>
      <c r="H32" s="2" t="n"/>
      <c r="I32" s="2" t="n"/>
      <c r="J32" s="2" t="n"/>
      <c r="K32" s="2" t="n"/>
      <c r="L32" s="2" t="n"/>
      <c r="M32" s="2" t="n"/>
      <c r="N32" s="2" t="n"/>
      <c r="O32" s="2" t="n"/>
      <c r="P32" s="2" t="n"/>
      <c r="Q32" s="2" t="n"/>
      <c r="R32" s="2" t="n"/>
      <c r="S32" s="2">
        <f>IF(Demographics_Q14_CT="(None)","",COUNTIFS(respondent_id_data,"&lt;&gt;",passes_workbook_filters_data,1,passes_workbook_custom_filters_data,1,Demographics_passes_local_filters_data,1,Demographics_Q14_F_passes_per_q_filter_data,1))</f>
        <v>0</v>
      </c>
    </row>
  </sheetData>
  <mergeCells count="1">
    <mergeCell ref="A1:J1"/>
  </mergeCells>
  <conditionalFormatting sqref="B19:B20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9:C20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0:G21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0:H21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0:I21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0:J21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0:K21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0:L21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0:M21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0:N21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0:O21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0:P21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0:Q21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0:R21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9:B30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9:C30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30:G31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30:H31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30:I31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30:J31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30:K31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30:L31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30:M31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30:N31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30:O31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30:P31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30:Q31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30:R31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2">
    <dataValidation sqref="B5" showDropDown="0" showInputMessage="0" showErrorMessage="0" allowBlank="1" type="list">
      <formula1>=Q4_local_options</formula1>
    </dataValidation>
    <dataValidation sqref="B6" showDropDown="0" showInputMessage="0" showErrorMessage="0" allowBlank="1" type="list">
      <formula1>=Q14_local_options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=INDIRECT(IFERROR(INDEX(All_Questions_Options_Names,MATCH(Demographics_F_Custom1_Q_resolved,All_Questions,0)),"'_Options'!$E$2:$E$2"))</formula1>
    </dataValidation>
    <dataValidation sqref="B9" showDropDown="0" showInputMessage="0" showErrorMessage="0" allowBlank="1" type="list">
      <formula1>=All_Questions_Local</formula1>
    </dataValidation>
    <dataValidation sqref="B10" showDropDown="0" showInputMessage="0" showErrorMessage="0" allowBlank="1" type="list">
      <formula1>=INDIRECT(IFERROR(INDEX(All_Questions_Options_Names,MATCH(Demographics_F_Custom2_Q_resolved,All_Questions,0)),"'_Options'!$E$2:$E$2"))</formula1>
    </dataValidation>
    <dataValidation sqref="C15" showDropDown="0" showInputMessage="0" showErrorMessage="0" allowBlank="1" type="list">
      <formula1>=All_Questions</formula1>
    </dataValidation>
    <dataValidation sqref="E15" showDropDown="0" showInputMessage="0" showErrorMessage="0" allowBlank="1" type="list">
      <formula1>=INDIRECT(IFERROR(INDEX(All_Questions_Options_Names,MATCH(Demographics_Q4_F_Q,All_Questions,0)),"'_Options'!$E$2:$E$2"))</formula1>
    </dataValidation>
    <dataValidation sqref="C16" showDropDown="0" showInputMessage="0" showErrorMessage="0" allowBlank="1" type="list">
      <formula1>=All_Questions</formula1>
    </dataValidation>
    <dataValidation sqref="C25" showDropDown="0" showInputMessage="0" showErrorMessage="0" allowBlank="1" type="list">
      <formula1>=All_Questions</formula1>
    </dataValidation>
    <dataValidation sqref="E25" showDropDown="0" showInputMessage="0" showErrorMessage="0" allowBlank="1" type="list">
      <formula1>=INDIRECT(IFERROR(INDEX(All_Questions_Options_Names,MATCH(Demographics_Q14_F_Q,All_Questions,0)),"'_Options'!$E$2:$E$2"))</formula1>
    </dataValidation>
    <dataValidation sqref="C26" showDropDown="0" showInputMessage="0" showErrorMessage="0" allowBlank="1" type="list">
      <formula1>=All_Questions</formula1>
    </dataValidation>
  </dataValidations>
  <pageMargins left="0.75" right="0.75" top="1" bottom="1" header="0.5" footer="0.5"/>
  <legacyDrawing xmlns:r="http://schemas.openxmlformats.org/officeDocument/2006/relationships" r:id="anysvml"/>
  <tableParts count="2">
    <tablePart xmlns:r="http://schemas.openxmlformats.org/officeDocument/2006/relationships" r:id="rId1"/>
    <tablePart xmlns:r="http://schemas.openxmlformats.org/officeDocument/2006/relationships" r:id="rId2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3" customWidth="1" min="2" max="2"/>
    <col width="17" customWidth="1" min="3" max="3"/>
    <col width="16" customWidth="1" min="4" max="4"/>
    <col width="8" customWidth="1" min="5" max="5"/>
    <col width="11" customWidth="1" min="6" max="6"/>
    <col width="13" customWidth="1" min="7" max="7"/>
    <col width="9" customWidth="1" min="8" max="8"/>
    <col width="11" customWidth="1" min="9" max="9"/>
    <col width="9" customWidth="1" min="10" max="10"/>
    <col width="11" customWidth="1" min="11" max="11"/>
    <col width="11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cols>
    <col width="8" customWidth="1" min="1" max="1"/>
    <col width="9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2026-06-02T11:33:55Z</dcterms:created>
  <dcterms:modified xmlns:dcterms="http://purl.org/dc/terms/" xmlns:xsi="http://www.w3.org/2001/XMLSchema-instance" xsi:type="dcterms:W3CDTF">2026-06-02T11:33:55Z</dcterms:modified>
</cp:coreProperties>
</file>