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I17" i="7"/>
  <c r="K17" i="7"/>
  <c r="M17" i="7"/>
  <c r="O17" i="7"/>
  <c r="Q17" i="7"/>
  <c r="S17" i="7"/>
  <c r="U17" i="7"/>
  <c r="W17" i="7"/>
  <c r="Y17" i="7"/>
  <c r="AA17" i="7"/>
  <c r="AC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E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I17" i="8"/>
  <c r="K17" i="8"/>
  <c r="M17" i="8"/>
  <c r="O17" i="8"/>
  <c r="Q17" i="8"/>
  <c r="S17" i="8"/>
  <c r="U17" i="8"/>
  <c r="W17" i="8"/>
  <c r="Y17" i="8"/>
  <c r="AA17" i="8"/>
  <c r="AC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E21" i="8"/>
  <c r="F24" i="8"/>
  <c r="G24" i="8"/>
  <c r="B28" i="8"/>
  <c r="D28" i="8"/>
  <c r="B29" i="8"/>
  <c r="D29" i="8"/>
  <c r="B30" i="8"/>
  <c r="D30" i="8"/>
  <c r="D31" i="8"/>
  <c r="F36" i="8"/>
  <c r="G36" i="8"/>
  <c r="G39" i="8"/>
  <c r="I39" i="8"/>
  <c r="K39" i="8"/>
  <c r="M39" i="8"/>
  <c r="O39" i="8"/>
  <c r="Q39" i="8"/>
  <c r="S39" i="8"/>
  <c r="U39" i="8"/>
  <c r="W39" i="8"/>
  <c r="Y39" i="8"/>
  <c r="AA39" i="8"/>
  <c r="AC39" i="8"/>
  <c r="B40" i="8"/>
  <c r="C40" i="8"/>
  <c r="D40" i="8"/>
  <c r="B41" i="8"/>
  <c r="C41" i="8"/>
  <c r="D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E43" i="8"/>
  <c r="F46" i="8"/>
  <c r="G46" i="8"/>
  <c r="G49" i="8"/>
  <c r="I49" i="8"/>
  <c r="K49" i="8"/>
  <c r="M49" i="8"/>
  <c r="O49" i="8"/>
  <c r="Q49" i="8"/>
  <c r="S49" i="8"/>
  <c r="U49" i="8"/>
  <c r="W49" i="8"/>
  <c r="Y49" i="8"/>
  <c r="AA49" i="8"/>
  <c r="AC49" i="8"/>
  <c r="B50" i="8"/>
  <c r="C50" i="8"/>
  <c r="D50" i="8"/>
  <c r="B51" i="8"/>
  <c r="C51" i="8"/>
  <c r="D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E5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IF(Demographics_Q_SS_EXPORT_CT="(None)","",IFERROR(INDEX(INDIRECT(XLOOKUP(Demographics_Q_SS_EXPORT_CT,All_Questions,All_Questions_Options_Names,"None_options")),2),""))</f>
        <v/>
      </c>
      <c r="H17" s="2" t="n"/>
      <c r="I17" s="2" t="str">
        <f>IF(Demographics_Q_SS_EXPORT_CT="(None)","",IFERROR(INDEX(INDIRECT(XLOOKUP(Demographics_Q_SS_EXPORT_CT,All_Questions,All_Questions_Options_Names,"None_options")),3),""))</f>
        <v/>
      </c>
      <c r="J17" s="2" t="n"/>
      <c r="K17" s="2" t="str">
        <f>IF(Demographics_Q_SS_EXPORT_CT="(None)","",IFERROR(INDEX(INDIRECT(XLOOKUP(Demographics_Q_SS_EXPORT_CT,All_Questions,All_Questions_Options_Names,"None_options")),4),""))</f>
        <v/>
      </c>
      <c r="L17" s="2" t="n"/>
      <c r="M17" s="2" t="str">
        <f>IF(Demographics_Q_SS_EXPORT_CT="(None)","",IFERROR(INDEX(INDIRECT(XLOOKUP(Demographics_Q_SS_EXPORT_CT,All_Questions,All_Questions_Options_Names,"None_options")),5),""))</f>
        <v/>
      </c>
      <c r="N17" s="2" t="n"/>
      <c r="O17" s="2" t="str">
        <f>IF(Demographics_Q_SS_EXPORT_CT="(None)","",IFERROR(INDEX(INDIRECT(XLOOKUP(Demographics_Q_SS_EXPORT_CT,All_Questions,All_Questions_Options_Names,"None_options")),6),""))</f>
        <v/>
      </c>
      <c r="P17" s="2" t="n"/>
      <c r="Q17" s="2" t="str">
        <f>IF(Demographics_Q_SS_EXPORT_CT="(None)","",IFERROR(INDEX(INDIRECT(XLOOKUP(Demographics_Q_SS_EXPORT_CT,All_Questions,All_Questions_Options_Names,"None_options")),7),""))</f>
        <v/>
      </c>
      <c r="R17" s="2" t="n"/>
      <c r="S17" s="2" t="str">
        <f>IF(Demographics_Q_SS_EXPORT_CT="(None)","",IFERROR(INDEX(INDIRECT(XLOOKUP(Demographics_Q_SS_EXPORT_CT,All_Questions,All_Questions_Options_Names,"None_options")),8),""))</f>
        <v/>
      </c>
      <c r="T17" s="2" t="n"/>
      <c r="U17" s="2" t="str">
        <f>IF(Demographics_Q_SS_EXPORT_CT="(None)","",IFERROR(INDEX(INDIRECT(XLOOKUP(Demographics_Q_SS_EXPORT_CT,All_Questions,All_Questions_Options_Names,"None_options")),9),""))</f>
        <v/>
      </c>
      <c r="V17" s="2" t="n"/>
      <c r="W17" s="2" t="str">
        <f>IF(Demographics_Q_SS_EXPORT_CT="(None)","",IFERROR(INDEX(INDIRECT(XLOOKUP(Demographics_Q_SS_EXPORT_CT,All_Questions,All_Questions_Options_Names,"None_options")),10),""))</f>
        <v/>
      </c>
      <c r="X17" s="2" t="n"/>
      <c r="Y17" s="2" t="str">
        <f>IF(Demographics_Q_SS_EXPORT_CT="(None)","",IFERROR(INDEX(INDIRECT(XLOOKUP(Demographics_Q_SS_EXPORT_CT,All_Questions,All_Questions_Options_Names,"None_options")),11),""))</f>
        <v/>
      </c>
      <c r="Z17" s="2" t="n"/>
      <c r="AA17" s="2" t="str">
        <f>IF(Demographics_Q_SS_EXPORT_CT="(None)","",IFERROR(INDEX(INDIRECT(XLOOKUP(Demographics_Q_SS_EXPORT_CT,All_Questions,All_Questions_Options_Names,"None_options")),12),""))</f>
        <v/>
      </c>
      <c r="AB17" s="2" t="n"/>
      <c r="AC17" s="2" t="str">
        <f>IF(Demographics_Q_SS_EXPORT_CT="(None)","",IF(COUNTA(INDIRECT(XLOOKUP(Demographics_Q_SS_EXPORT_CT,All_Questions,All_Questions_Options_Names,"None_options")))-1&gt;11,"Other",IFERROR(INDEX(INDIRECT(XLOOKUP(Demographics_Q_S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)</f>
        <v>0</v>
      </c>
      <c r="H19" s="7">
        <f>IFERROR(G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),0)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)</f>
        <v>0</v>
      </c>
      <c r="J19" s="7">
        <f>IFERROR(I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),0)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)</f>
        <v>0</v>
      </c>
      <c r="L19" s="7">
        <f>IFERROR(K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),0)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)</f>
        <v>0</v>
      </c>
      <c r="N19" s="7">
        <f>IFERROR(M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),0)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O$17))</f>
        <v>0</v>
      </c>
      <c r="P19" s="7">
        <f>IFERROR(O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),0)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Q$17))</f>
        <v>0</v>
      </c>
      <c r="R19" s="7">
        <f>IFERROR(Q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),0)</f>
        <v>0</v>
      </c>
      <c r="S19">
        <f>IF(OR(Demographics_Q_SS_EXPORT_CT="(None)",S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S$17))</f>
        <v>0</v>
      </c>
      <c r="T19" s="7">
        <f>IFERROR(S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),0)</f>
        <v>0</v>
      </c>
      <c r="U19">
        <f>IF(OR(Demographics_Q_SS_EXPORT_CT="(None)",U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U$17))</f>
        <v>0</v>
      </c>
      <c r="V19" s="7">
        <f>IFERROR(U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),0)</f>
        <v>0</v>
      </c>
      <c r="W19">
        <f>IF(OR(Demographics_Q_SS_EXPORT_CT="(None)",W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W$17))</f>
        <v>0</v>
      </c>
      <c r="X19" s="7">
        <f>IFERROR(W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),0)</f>
        <v>0</v>
      </c>
      <c r="Y19">
        <f>IF(OR(Demographics_Q_SS_EXPORT_CT="(None)",Y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Y$17))</f>
        <v>0</v>
      </c>
      <c r="Z19" s="7">
        <f>IFERROR(Y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),0)</f>
        <v>0</v>
      </c>
      <c r="AA19">
        <f>IF(OR(Demographics_Q_SS_EXPORT_CT="(None)",AA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</f>
        <v>0</v>
      </c>
      <c r="AB19" s="7">
        <f>IFERROR(AA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0)</f>
        <v>0</v>
      </c>
      <c r="AC19">
        <f>IF(OR(Demographics_Q_SS_EXPORT_CT="(None)",AC$17=""),"",IF(AC$17="Other",COUNTIFS(Q_SS_EXPORT_data,"Yes",passes_workbook_filters_data,1,passes_workbook_custom_filters_data,1,Demographics_passes_local_filters_data,1,Demographics_Q_SS_EXPORT_F_passes_per_q_filter_data,1)-SUM(G19,I19,K19,M19,O19,Q19,S19,U19,W19,Y19,AA19)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,0)</f>
        <v>0</v>
      </c>
      <c r="AE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)</f>
        <v>0</v>
      </c>
      <c r="H20" s="7">
        <f>IFERROR(G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),0)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)</f>
        <v>0</v>
      </c>
      <c r="J20" s="7">
        <f>IFERROR(I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),0)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)</f>
        <v>0</v>
      </c>
      <c r="L20" s="7">
        <f>IFERROR(K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),0)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)</f>
        <v>0</v>
      </c>
      <c r="N20" s="7">
        <f>IFERROR(M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),0)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O$17))</f>
        <v>0</v>
      </c>
      <c r="P20" s="7">
        <f>IFERROR(O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),0)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Q$17))</f>
        <v>0</v>
      </c>
      <c r="R20" s="7">
        <f>IFERROR(Q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),0)</f>
        <v>0</v>
      </c>
      <c r="S20">
        <f>IF(OR(Demographics_Q_SS_EXPORT_CT="(None)",S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S$17))</f>
        <v>0</v>
      </c>
      <c r="T20" s="7">
        <f>IFERROR(S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),0)</f>
        <v>0</v>
      </c>
      <c r="U20">
        <f>IF(OR(Demographics_Q_SS_EXPORT_CT="(None)",U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U$17))</f>
        <v>0</v>
      </c>
      <c r="V20" s="7">
        <f>IFERROR(U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),0)</f>
        <v>0</v>
      </c>
      <c r="W20">
        <f>IF(OR(Demographics_Q_SS_EXPORT_CT="(None)",W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W$17))</f>
        <v>0</v>
      </c>
      <c r="X20" s="7">
        <f>IFERROR(W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),0)</f>
        <v>0</v>
      </c>
      <c r="Y20">
        <f>IF(OR(Demographics_Q_SS_EXPORT_CT="(None)",Y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Y$17))</f>
        <v>0</v>
      </c>
      <c r="Z20" s="7">
        <f>IFERROR(Y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),0)</f>
        <v>0</v>
      </c>
      <c r="AA20">
        <f>IF(OR(Demographics_Q_SS_EXPORT_CT="(None)",AA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</f>
        <v>0</v>
      </c>
      <c r="AB20" s="7">
        <f>IFERROR(AA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0)</f>
        <v>0</v>
      </c>
      <c r="AC20">
        <f>IF(OR(Demographics_Q_SS_EXPORT_CT="(None)",AC$17=""),"",IF(AC$17="Other",COUNTIFS(Q_SS_EXPORT_data,"No",passes_workbook_filters_data,1,passes_workbook_custom_filters_data,1,Demographics_passes_local_filters_data,1,Demographics_Q_SS_EXPORT_F_passes_per_q_filter_data,1)-SUM(G20,I20,K20,M20,O20,Q20,S20,U20,W20,Y20,AA20)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,0)</f>
        <v>0</v>
      </c>
      <c r="AE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3">
    <mergeCell ref="M17:N17"/>
    <mergeCell ref="AA17:AB17"/>
    <mergeCell ref="A1:J1"/>
    <mergeCell ref="O17:P17"/>
    <mergeCell ref="AC17:AD17"/>
    <mergeCell ref="S17:T17"/>
    <mergeCell ref="Q17:R17"/>
    <mergeCell ref="W17:X17"/>
    <mergeCell ref="U17:V17"/>
    <mergeCell ref="I17:J17"/>
    <mergeCell ref="G17:H17"/>
    <mergeCell ref="K17:L17"/>
    <mergeCell ref="Y17:Z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IF(All_Questions_Q_MS_EXPORT_CT="(None)","",IFERROR(INDEX(INDIRECT(XLOOKUP(All_Questions_Q_MS_EXPORT_CT,All_Questions,All_Questions_Options_Names,"None_options")),2),""))</f>
        <v/>
      </c>
      <c r="H17" s="2" t="n"/>
      <c r="I17" s="2" t="str">
        <f>IF(All_Questions_Q_MS_EXPORT_CT="(None)","",IFERROR(INDEX(INDIRECT(XLOOKUP(All_Questions_Q_MS_EXPORT_CT,All_Questions,All_Questions_Options_Names,"None_options")),3),""))</f>
        <v/>
      </c>
      <c r="J17" s="2" t="n"/>
      <c r="K17" s="2" t="str">
        <f>IF(All_Questions_Q_MS_EXPORT_CT="(None)","",IFERROR(INDEX(INDIRECT(XLOOKUP(All_Questions_Q_MS_EXPORT_CT,All_Questions,All_Questions_Options_Names,"None_options")),4),""))</f>
        <v/>
      </c>
      <c r="L17" s="2" t="n"/>
      <c r="M17" s="2" t="str">
        <f>IF(All_Questions_Q_MS_EXPORT_CT="(None)","",IFERROR(INDEX(INDIRECT(XLOOKUP(All_Questions_Q_MS_EXPORT_CT,All_Questions,All_Questions_Options_Names,"None_options")),5),""))</f>
        <v/>
      </c>
      <c r="N17" s="2" t="n"/>
      <c r="O17" s="2" t="str">
        <f>IF(All_Questions_Q_MS_EXPORT_CT="(None)","",IFERROR(INDEX(INDIRECT(XLOOKUP(All_Questions_Q_MS_EXPORT_CT,All_Questions,All_Questions_Options_Names,"None_options")),6),""))</f>
        <v/>
      </c>
      <c r="P17" s="2" t="n"/>
      <c r="Q17" s="2" t="str">
        <f>IF(All_Questions_Q_MS_EXPORT_CT="(None)","",IFERROR(INDEX(INDIRECT(XLOOKUP(All_Questions_Q_MS_EXPORT_CT,All_Questions,All_Questions_Options_Names,"None_options")),7),""))</f>
        <v/>
      </c>
      <c r="R17" s="2" t="n"/>
      <c r="S17" s="2" t="str">
        <f>IF(All_Questions_Q_MS_EXPORT_CT="(None)","",IFERROR(INDEX(INDIRECT(XLOOKUP(All_Questions_Q_MS_EXPORT_CT,All_Questions,All_Questions_Options_Names,"None_options")),8),""))</f>
        <v/>
      </c>
      <c r="T17" s="2" t="n"/>
      <c r="U17" s="2" t="str">
        <f>IF(All_Questions_Q_MS_EXPORT_CT="(None)","",IFERROR(INDEX(INDIRECT(XLOOKUP(All_Questions_Q_MS_EXPORT_CT,All_Questions,All_Questions_Options_Names,"None_options")),9),""))</f>
        <v/>
      </c>
      <c r="V17" s="2" t="n"/>
      <c r="W17" s="2" t="str">
        <f>IF(All_Questions_Q_MS_EXPORT_CT="(None)","",IFERROR(INDEX(INDIRECT(XLOOKUP(All_Questions_Q_MS_EXPORT_CT,All_Questions,All_Questions_Options_Names,"None_options")),10),""))</f>
        <v/>
      </c>
      <c r="X17" s="2" t="n"/>
      <c r="Y17" s="2" t="str">
        <f>IF(All_Questions_Q_MS_EXPORT_CT="(None)","",IFERROR(INDEX(INDIRECT(XLOOKUP(All_Questions_Q_MS_EXPORT_CT,All_Questions,All_Questions_Options_Names,"None_options")),11),""))</f>
        <v/>
      </c>
      <c r="Z17" s="2" t="n"/>
      <c r="AA17" s="2" t="str">
        <f>IF(All_Questions_Q_MS_EXPORT_CT="(None)","",IFERROR(INDEX(INDIRECT(XLOOKUP(All_Questions_Q_MS_EXPORT_CT,All_Questions,All_Questions_Options_Names,"None_options")),12),""))</f>
        <v/>
      </c>
      <c r="AB17" s="2" t="n"/>
      <c r="AC17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</f>
        <v>0</v>
      </c>
      <c r="H19" s="7">
        <f>IFERROR(G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,0)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</f>
        <v>0</v>
      </c>
      <c r="J19" s="7">
        <f>IFERROR(I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,0)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</f>
        <v>0</v>
      </c>
      <c r="L19" s="7">
        <f>IFERROR(K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,0)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</f>
        <v>0</v>
      </c>
      <c r="N19" s="7">
        <f>IFERROR(M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,0)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</f>
        <v>0</v>
      </c>
      <c r="P19" s="7">
        <f>IFERROR(O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,0)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</f>
        <v>0</v>
      </c>
      <c r="R19" s="7">
        <f>IFERROR(Q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,0)</f>
        <v>0</v>
      </c>
      <c r="S19">
        <f>IF(OR(All_Questions_Q_MS_EXPORT_CT="(None)",S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</f>
        <v>0</v>
      </c>
      <c r="T19" s="7">
        <f>IFERROR(S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,0)</f>
        <v>0</v>
      </c>
      <c r="U19">
        <f>IF(OR(All_Questions_Q_MS_EXPORT_CT="(None)",U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</f>
        <v>0</v>
      </c>
      <c r="V19" s="7">
        <f>IFERROR(U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,0)</f>
        <v>0</v>
      </c>
      <c r="W19">
        <f>IF(OR(All_Questions_Q_MS_EXPORT_CT="(None)",W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</f>
        <v>0</v>
      </c>
      <c r="X19" s="7">
        <f>IFERROR(W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,0)</f>
        <v>0</v>
      </c>
      <c r="Y19">
        <f>IF(OR(All_Questions_Q_MS_EXPORT_CT="(None)",Y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</f>
        <v>0</v>
      </c>
      <c r="Z19" s="7">
        <f>IFERROR(Y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,0)</f>
        <v>0</v>
      </c>
      <c r="AA19">
        <f>IF(OR(All_Questions_Q_MS_EXPORT_CT="(None)",AA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</f>
        <v>0</v>
      </c>
      <c r="AB19" s="7">
        <f>IFERROR(AA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0)</f>
        <v>0</v>
      </c>
      <c r="AC19">
        <f>IF(OR(All_Questions_Q_MS_EXPORT_CT="(None)",AC$17=""),"",IF(AC$17="Other",COUNTIFS(Q_MS_EXPORTr1_data,"Selected",passes_workbook_filters_data,1,passes_workbook_custom_filters_data,1,All_Questions_passes_local_filters_data,1,All_Questions_Q_MS_EXPORT_F_passes_per_q_filter_data,1)-SUM(G19,I19,K19,M19,O19,Q19,S19,U19,W19,Y19,AA19)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,0)</f>
        <v>0</v>
      </c>
      <c r="AE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</f>
        <v>0</v>
      </c>
      <c r="H20" s="7">
        <f>IFERROR(G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,0)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</f>
        <v>0</v>
      </c>
      <c r="J20" s="7">
        <f>IFERROR(I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,0)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</f>
        <v>0</v>
      </c>
      <c r="L20" s="7">
        <f>IFERROR(K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,0)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</f>
        <v>0</v>
      </c>
      <c r="N20" s="7">
        <f>IFERROR(M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,0)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</f>
        <v>0</v>
      </c>
      <c r="P20" s="7">
        <f>IFERROR(O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,0)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</f>
        <v>0</v>
      </c>
      <c r="R20" s="7">
        <f>IFERROR(Q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,0)</f>
        <v>0</v>
      </c>
      <c r="S20">
        <f>IF(OR(All_Questions_Q_MS_EXPORT_CT="(None)",S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</f>
        <v>0</v>
      </c>
      <c r="T20" s="7">
        <f>IFERROR(S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,0)</f>
        <v>0</v>
      </c>
      <c r="U20">
        <f>IF(OR(All_Questions_Q_MS_EXPORT_CT="(None)",U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</f>
        <v>0</v>
      </c>
      <c r="V20" s="7">
        <f>IFERROR(U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,0)</f>
        <v>0</v>
      </c>
      <c r="W20">
        <f>IF(OR(All_Questions_Q_MS_EXPORT_CT="(None)",W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</f>
        <v>0</v>
      </c>
      <c r="X20" s="7">
        <f>IFERROR(W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,0)</f>
        <v>0</v>
      </c>
      <c r="Y20">
        <f>IF(OR(All_Questions_Q_MS_EXPORT_CT="(None)",Y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</f>
        <v>0</v>
      </c>
      <c r="Z20" s="7">
        <f>IFERROR(Y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,0)</f>
        <v>0</v>
      </c>
      <c r="AA20">
        <f>IF(OR(All_Questions_Q_MS_EXPORT_CT="(None)",AA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</f>
        <v>0</v>
      </c>
      <c r="AB20" s="7">
        <f>IFERROR(AA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0)</f>
        <v>0</v>
      </c>
      <c r="AC20">
        <f>IF(OR(All_Questions_Q_MS_EXPORT_CT="(None)",AC$17=""),"",IF(AC$17="Other",COUNTIFS(Q_MS_EXPORTr2_data,"Selected",passes_workbook_filters_data,1,passes_workbook_custom_filters_data,1,All_Questions_passes_local_filters_data,1,All_Questions_Q_MS_EXPORT_F_passes_per_q_filter_data,1)-SUM(G20,I20,K20,M20,O20,Q20,S20,U20,W20,Y20,AA20)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,0)</f>
        <v>0</v>
      </c>
      <c r="AE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IF(All_Questions_Q_GRID_EXPORT_CT="(None)","",IFERROR(INDEX(INDIRECT(XLOOKUP(All_Questions_Q_GRID_EXPORT_CT,All_Questions,All_Questions_Options_Names,"None_options")),2),""))</f>
        <v/>
      </c>
      <c r="H39" s="2" t="n"/>
      <c r="I39" s="2" t="str">
        <f>IF(All_Questions_Q_GRID_EXPORT_CT="(None)","",IFERROR(INDEX(INDIRECT(XLOOKUP(All_Questions_Q_GRID_EXPORT_CT,All_Questions,All_Questions_Options_Names,"None_options")),3),""))</f>
        <v/>
      </c>
      <c r="J39" s="2" t="n"/>
      <c r="K39" s="2" t="str">
        <f>IF(All_Questions_Q_GRID_EXPORT_CT="(None)","",IFERROR(INDEX(INDIRECT(XLOOKUP(All_Questions_Q_GRID_EXPORT_CT,All_Questions,All_Questions_Options_Names,"None_options")),4),""))</f>
        <v/>
      </c>
      <c r="L39" s="2" t="n"/>
      <c r="M39" s="2" t="str">
        <f>IF(All_Questions_Q_GRID_EXPORT_CT="(None)","",IFERROR(INDEX(INDIRECT(XLOOKUP(All_Questions_Q_GRID_EXPORT_CT,All_Questions,All_Questions_Options_Names,"None_options")),5),""))</f>
        <v/>
      </c>
      <c r="N39" s="2" t="n"/>
      <c r="O39" s="2" t="str">
        <f>IF(All_Questions_Q_GRID_EXPORT_CT="(None)","",IFERROR(INDEX(INDIRECT(XLOOKUP(All_Questions_Q_GRID_EXPORT_CT,All_Questions,All_Questions_Options_Names,"None_options")),6),""))</f>
        <v/>
      </c>
      <c r="P39" s="2" t="n"/>
      <c r="Q39" s="2" t="str">
        <f>IF(All_Questions_Q_GRID_EXPORT_CT="(None)","",IFERROR(INDEX(INDIRECT(XLOOKUP(All_Questions_Q_GRID_EXPORT_CT,All_Questions,All_Questions_Options_Names,"None_options")),7),""))</f>
        <v/>
      </c>
      <c r="R39" s="2" t="n"/>
      <c r="S39" s="2" t="str">
        <f>IF(All_Questions_Q_GRID_EXPORT_CT="(None)","",IFERROR(INDEX(INDIRECT(XLOOKUP(All_Questions_Q_GRID_EXPORT_CT,All_Questions,All_Questions_Options_Names,"None_options")),8),""))</f>
        <v/>
      </c>
      <c r="T39" s="2" t="n"/>
      <c r="U39" s="2" t="str">
        <f>IF(All_Questions_Q_GRID_EXPORT_CT="(None)","",IFERROR(INDEX(INDIRECT(XLOOKUP(All_Questions_Q_GRID_EXPORT_CT,All_Questions,All_Questions_Options_Names,"None_options")),9),""))</f>
        <v/>
      </c>
      <c r="V39" s="2" t="n"/>
      <c r="W39" s="2" t="str">
        <f>IF(All_Questions_Q_GRID_EXPORT_CT="(None)","",IFERROR(INDEX(INDIRECT(XLOOKUP(All_Questions_Q_GRID_EXPORT_CT,All_Questions,All_Questions_Options_Names,"None_options")),10),""))</f>
        <v/>
      </c>
      <c r="X39" s="2" t="n"/>
      <c r="Y39" s="2" t="str">
        <f>IF(All_Questions_Q_GRID_EXPORT_CT="(None)","",IFERROR(INDEX(INDIRECT(XLOOKUP(All_Questions_Q_GRID_EXPORT_CT,All_Questions,All_Questions_Options_Names,"None_options")),11),""))</f>
        <v/>
      </c>
      <c r="Z39" s="2" t="n"/>
      <c r="AA39" s="2" t="str">
        <f>IF(All_Questions_Q_GRID_EXPORT_CT="(None)","",IFERROR(INDEX(INDIRECT(XLOOKUP(All_Questions_Q_GRID_EXPORT_CT,All_Questions,All_Questions_Options_Names,"None_options")),12),""))</f>
        <v/>
      </c>
      <c r="AB39" s="2" t="n"/>
      <c r="AC39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39" s="2" t="n"/>
      <c r="AE39" s="4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s="4" t="inlineStr"/>
      <c r="G40" s="4" t="inlineStr">
        <is>
          <t># of resp</t>
        </is>
      </c>
      <c r="H40" s="4" t="inlineStr">
        <is>
          <t>% of resp</t>
        </is>
      </c>
      <c r="I40" s="4" t="inlineStr">
        <is>
          <t># of resp</t>
        </is>
      </c>
      <c r="J40" s="4" t="inlineStr">
        <is>
          <t>% of resp</t>
        </is>
      </c>
      <c r="K40" s="4" t="inlineStr">
        <is>
          <t># of resp</t>
        </is>
      </c>
      <c r="L40" s="4" t="inlineStr">
        <is>
          <t>% of resp</t>
        </is>
      </c>
      <c r="M40" s="4" t="inlineStr">
        <is>
          <t># of resp</t>
        </is>
      </c>
      <c r="N40" s="4" t="inlineStr">
        <is>
          <t>% of resp</t>
        </is>
      </c>
      <c r="O40" s="4" t="inlineStr">
        <is>
          <t># of resp</t>
        </is>
      </c>
      <c r="P40" s="4" t="inlineStr">
        <is>
          <t>% of resp</t>
        </is>
      </c>
      <c r="Q40" s="4" t="inlineStr">
        <is>
          <t># of resp</t>
        </is>
      </c>
      <c r="R40" s="4" t="inlineStr">
        <is>
          <t>% of resp</t>
        </is>
      </c>
      <c r="S40" s="4" t="inlineStr">
        <is>
          <t># of resp</t>
        </is>
      </c>
      <c r="T40" s="4" t="inlineStr">
        <is>
          <t>% of resp</t>
        </is>
      </c>
      <c r="U40" s="4" t="inlineStr">
        <is>
          <t># of resp</t>
        </is>
      </c>
      <c r="V40" s="4" t="inlineStr">
        <is>
          <t>% of resp</t>
        </is>
      </c>
      <c r="W40" s="4" t="inlineStr">
        <is>
          <t># of resp</t>
        </is>
      </c>
      <c r="X40" s="4" t="inlineStr">
        <is>
          <t>% of resp</t>
        </is>
      </c>
      <c r="Y40" s="4" t="inlineStr">
        <is>
          <t># of resp</t>
        </is>
      </c>
      <c r="Z40" s="4" t="inlineStr">
        <is>
          <t>% of resp</t>
        </is>
      </c>
      <c r="AA40" s="4" t="inlineStr">
        <is>
          <t># of resp</t>
        </is>
      </c>
      <c r="AB40" s="4" t="inlineStr">
        <is>
          <t>% of resp</t>
        </is>
      </c>
      <c r="AC40" s="4" t="inlineStr">
        <is>
          <t># of resp</t>
        </is>
      </c>
      <c r="AD40" s="4" t="inlineStr">
        <is>
          <t>% of resp</t>
        </is>
      </c>
      <c r="AE40" s="4" t="inlineStr">
        <is>
          <t># of resp</t>
        </is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first row</t>
        </is>
      </c>
      <c r="G41">
        <f>IF(OR(All_Questions_Q_GRID_EXPORT_CT="(None)",G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</f>
        <v>0</v>
      </c>
      <c r="H41" s="7">
        <f>IFERROR(G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,0)</f>
        <v>0</v>
      </c>
      <c r="I41">
        <f>IF(OR(All_Questions_Q_GRID_EXPORT_CT="(None)",I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</f>
        <v>0</v>
      </c>
      <c r="J41" s="7">
        <f>IFERROR(I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,0)</f>
        <v>0</v>
      </c>
      <c r="K41">
        <f>IF(OR(All_Questions_Q_GRID_EXPORT_CT="(None)",K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</f>
        <v>0</v>
      </c>
      <c r="L41" s="7">
        <f>IFERROR(K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,0)</f>
        <v>0</v>
      </c>
      <c r="M41">
        <f>IF(OR(All_Questions_Q_GRID_EXPORT_CT="(None)",M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</f>
        <v>0</v>
      </c>
      <c r="N41" s="7">
        <f>IFERROR(M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,0)</f>
        <v>0</v>
      </c>
      <c r="O41">
        <f>IF(OR(All_Questions_Q_GRID_EXPORT_CT="(None)",O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</f>
        <v>0</v>
      </c>
      <c r="P41" s="7">
        <f>IFERROR(O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,0)</f>
        <v>0</v>
      </c>
      <c r="Q41">
        <f>IF(OR(All_Questions_Q_GRID_EXPORT_CT="(None)",Q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</f>
        <v>0</v>
      </c>
      <c r="R41" s="7">
        <f>IFERROR(Q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,0)</f>
        <v>0</v>
      </c>
      <c r="S41">
        <f>IF(OR(All_Questions_Q_GRID_EXPORT_CT="(None)",S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</f>
        <v>0</v>
      </c>
      <c r="T41" s="7">
        <f>IFERROR(S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,0)</f>
        <v>0</v>
      </c>
      <c r="U41">
        <f>IF(OR(All_Questions_Q_GRID_EXPORT_CT="(None)",U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</f>
        <v>0</v>
      </c>
      <c r="V41" s="7">
        <f>IFERROR(U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,0)</f>
        <v>0</v>
      </c>
      <c r="W41">
        <f>IF(OR(All_Questions_Q_GRID_EXPORT_CT="(None)",W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</f>
        <v>0</v>
      </c>
      <c r="X41" s="7">
        <f>IFERROR(W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,0)</f>
        <v>0</v>
      </c>
      <c r="Y41">
        <f>IF(OR(All_Questions_Q_GRID_EXPORT_CT="(None)",Y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</f>
        <v>0</v>
      </c>
      <c r="Z41" s="7">
        <f>IFERROR(Y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,0)</f>
        <v>0</v>
      </c>
      <c r="AA41">
        <f>IF(OR(All_Questions_Q_GRID_EXPORT_CT="(None)",AA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</f>
        <v>0</v>
      </c>
      <c r="AB41" s="7">
        <f>IFERROR(AA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0)</f>
        <v>0</v>
      </c>
      <c r="AC41">
        <f>IF(OR(All_Questions_Q_GRID_EXPORT_CT="(None)",AC$39=""),"",IF(AC$39="Other",COUNTIFS(Q_GRID_EXPORTr1_data,"Selected",passes_workbook_filters_data,1,passes_workbook_custom_filters_data,1,All_Questions_passes_local_filters_data,1,All_Questions_Q_GRID_EXPORT_F_passes_per_q_filter_data,1)-SUM(G41,I41,K41,M41,O41,Q41,S41,U41,W41,Y41,AA41)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</f>
        <v>0</v>
      </c>
      <c r="AD41" s="7">
        <f>IFERROR(AC41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,0)</f>
        <v>0</v>
      </c>
      <c r="AE4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  <c r="F42" t="inlineStr">
        <is>
          <t>Grid second row</t>
        </is>
      </c>
      <c r="G42">
        <f>IF(OR(All_Questions_Q_GRID_EXPORT_CT="(None)",G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</f>
        <v>0</v>
      </c>
      <c r="H42" s="7">
        <f>IFERROR(G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,0)</f>
        <v>0</v>
      </c>
      <c r="I42">
        <f>IF(OR(All_Questions_Q_GRID_EXPORT_CT="(None)",I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</f>
        <v>0</v>
      </c>
      <c r="J42" s="7">
        <f>IFERROR(I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,0)</f>
        <v>0</v>
      </c>
      <c r="K42">
        <f>IF(OR(All_Questions_Q_GRID_EXPORT_CT="(None)",K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</f>
        <v>0</v>
      </c>
      <c r="L42" s="7">
        <f>IFERROR(K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,0)</f>
        <v>0</v>
      </c>
      <c r="M42">
        <f>IF(OR(All_Questions_Q_GRID_EXPORT_CT="(None)",M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</f>
        <v>0</v>
      </c>
      <c r="N42" s="7">
        <f>IFERROR(M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,0)</f>
        <v>0</v>
      </c>
      <c r="O42">
        <f>IF(OR(All_Questions_Q_GRID_EXPORT_CT="(None)",O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</f>
        <v>0</v>
      </c>
      <c r="P42" s="7">
        <f>IFERROR(O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,0)</f>
        <v>0</v>
      </c>
      <c r="Q42">
        <f>IF(OR(All_Questions_Q_GRID_EXPORT_CT="(None)",Q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</f>
        <v>0</v>
      </c>
      <c r="R42" s="7">
        <f>IFERROR(Q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,0)</f>
        <v>0</v>
      </c>
      <c r="S42">
        <f>IF(OR(All_Questions_Q_GRID_EXPORT_CT="(None)",S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</f>
        <v>0</v>
      </c>
      <c r="T42" s="7">
        <f>IFERROR(S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,0)</f>
        <v>0</v>
      </c>
      <c r="U42">
        <f>IF(OR(All_Questions_Q_GRID_EXPORT_CT="(None)",U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</f>
        <v>0</v>
      </c>
      <c r="V42" s="7">
        <f>IFERROR(U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,0)</f>
        <v>0</v>
      </c>
      <c r="W42">
        <f>IF(OR(All_Questions_Q_GRID_EXPORT_CT="(None)",W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</f>
        <v>0</v>
      </c>
      <c r="X42" s="7">
        <f>IFERROR(W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,0)</f>
        <v>0</v>
      </c>
      <c r="Y42">
        <f>IF(OR(All_Questions_Q_GRID_EXPORT_CT="(None)",Y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</f>
        <v>0</v>
      </c>
      <c r="Z42" s="7">
        <f>IFERROR(Y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,0)</f>
        <v>0</v>
      </c>
      <c r="AA42">
        <f>IF(OR(All_Questions_Q_GRID_EXPORT_CT="(None)",AA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</f>
        <v>0</v>
      </c>
      <c r="AB42" s="7">
        <f>IFERROR(AA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0)</f>
        <v>0</v>
      </c>
      <c r="AC42">
        <f>IF(OR(All_Questions_Q_GRID_EXPORT_CT="(None)",AC$39=""),"",IF(AC$39="Other",COUNTIFS(Q_GRID_EXPORTr2_data,"Selected",passes_workbook_filters_data,1,passes_workbook_custom_filters_data,1,All_Questions_passes_local_filters_data,1,All_Questions_Q_GRID_EXPORT_F_passes_per_q_filter_data,1)-SUM(G42,I42,K42,M42,O42,Q42,S42,U42,W42,Y42,AA42)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</f>
        <v>0</v>
      </c>
      <c r="AD42" s="7">
        <f>IFERROR(AC42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,0)</f>
        <v>0</v>
      </c>
      <c r="AE4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49" s="2" t="n"/>
      <c r="I49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49" s="2" t="n"/>
      <c r="K49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49" s="2" t="n"/>
      <c r="M49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49" s="2" t="n"/>
      <c r="O49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49" s="2" t="n"/>
      <c r="Q49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49" s="2" t="n"/>
      <c r="S49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49" s="2" t="n"/>
      <c r="U49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49" s="2" t="n"/>
      <c r="W49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49" s="2" t="n"/>
      <c r="Y49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49" s="2" t="n"/>
      <c r="AA49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49" s="2" t="n"/>
      <c r="AC49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49" s="2" t="n"/>
      <c r="AE49" s="4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s="4" t="inlineStr"/>
      <c r="G50" s="4" t="inlineStr">
        <is>
          <t># of resp</t>
        </is>
      </c>
      <c r="H50" s="4" t="inlineStr">
        <is>
          <t>% of resp</t>
        </is>
      </c>
      <c r="I50" s="4" t="inlineStr">
        <is>
          <t># of resp</t>
        </is>
      </c>
      <c r="J50" s="4" t="inlineStr">
        <is>
          <t>% of resp</t>
        </is>
      </c>
      <c r="K50" s="4" t="inlineStr">
        <is>
          <t># of resp</t>
        </is>
      </c>
      <c r="L50" s="4" t="inlineStr">
        <is>
          <t>% of resp</t>
        </is>
      </c>
      <c r="M50" s="4" t="inlineStr">
        <is>
          <t># of resp</t>
        </is>
      </c>
      <c r="N50" s="4" t="inlineStr">
        <is>
          <t>% of resp</t>
        </is>
      </c>
      <c r="O50" s="4" t="inlineStr">
        <is>
          <t># of resp</t>
        </is>
      </c>
      <c r="P50" s="4" t="inlineStr">
        <is>
          <t>% of resp</t>
        </is>
      </c>
      <c r="Q50" s="4" t="inlineStr">
        <is>
          <t># of resp</t>
        </is>
      </c>
      <c r="R50" s="4" t="inlineStr">
        <is>
          <t>% of resp</t>
        </is>
      </c>
      <c r="S50" s="4" t="inlineStr">
        <is>
          <t># of resp</t>
        </is>
      </c>
      <c r="T50" s="4" t="inlineStr">
        <is>
          <t>% of resp</t>
        </is>
      </c>
      <c r="U50" s="4" t="inlineStr">
        <is>
          <t># of resp</t>
        </is>
      </c>
      <c r="V50" s="4" t="inlineStr">
        <is>
          <t>% of resp</t>
        </is>
      </c>
      <c r="W50" s="4" t="inlineStr">
        <is>
          <t># of resp</t>
        </is>
      </c>
      <c r="X50" s="4" t="inlineStr">
        <is>
          <t>% of resp</t>
        </is>
      </c>
      <c r="Y50" s="4" t="inlineStr">
        <is>
          <t># of resp</t>
        </is>
      </c>
      <c r="Z50" s="4" t="inlineStr">
        <is>
          <t>% of resp</t>
        </is>
      </c>
      <c r="AA50" s="4" t="inlineStr">
        <is>
          <t># of resp</t>
        </is>
      </c>
      <c r="AB50" s="4" t="inlineStr">
        <is>
          <t>% of resp</t>
        </is>
      </c>
      <c r="AC50" s="4" t="inlineStr">
        <is>
          <t># of resp</t>
        </is>
      </c>
      <c r="AD50" s="4" t="inlineStr">
        <is>
          <t>% of resp</t>
        </is>
      </c>
      <c r="AE50" s="4" t="inlineStr">
        <is>
          <t># of resp</t>
        </is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A</t>
        </is>
      </c>
      <c r="G51">
        <f>IF(OR(All_Questions_Q_VERY_LONG_SINGLE_SELECT_EXPORT_NAME_CT="(None)",G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</f>
        <v>0</v>
      </c>
      <c r="H51" s="7">
        <f>IFERROR(G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,0)</f>
        <v>0</v>
      </c>
      <c r="I51">
        <f>IF(OR(All_Questions_Q_VERY_LONG_SINGLE_SELECT_EXPORT_NAME_CT="(None)",I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</f>
        <v>0</v>
      </c>
      <c r="J51" s="7">
        <f>IFERROR(I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,0)</f>
        <v>0</v>
      </c>
      <c r="K51">
        <f>IF(OR(All_Questions_Q_VERY_LONG_SINGLE_SELECT_EXPORT_NAME_CT="(None)",K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</f>
        <v>0</v>
      </c>
      <c r="L51" s="7">
        <f>IFERROR(K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,0)</f>
        <v>0</v>
      </c>
      <c r="M51">
        <f>IF(OR(All_Questions_Q_VERY_LONG_SINGLE_SELECT_EXPORT_NAME_CT="(None)",M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</f>
        <v>0</v>
      </c>
      <c r="N51" s="7">
        <f>IFERROR(M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,0)</f>
        <v>0</v>
      </c>
      <c r="O51">
        <f>IF(OR(All_Questions_Q_VERY_LONG_SINGLE_SELECT_EXPORT_NAME_CT="(None)",O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</f>
        <v>0</v>
      </c>
      <c r="P51" s="7">
        <f>IFERROR(O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,0)</f>
        <v>0</v>
      </c>
      <c r="Q51">
        <f>IF(OR(All_Questions_Q_VERY_LONG_SINGLE_SELECT_EXPORT_NAME_CT="(None)",Q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</f>
        <v>0</v>
      </c>
      <c r="R51" s="7">
        <f>IFERROR(Q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,0)</f>
        <v>0</v>
      </c>
      <c r="S51">
        <f>IF(OR(All_Questions_Q_VERY_LONG_SINGLE_SELECT_EXPORT_NAME_CT="(None)",S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</f>
        <v>0</v>
      </c>
      <c r="T51" s="7">
        <f>IFERROR(S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,0)</f>
        <v>0</v>
      </c>
      <c r="U51">
        <f>IF(OR(All_Questions_Q_VERY_LONG_SINGLE_SELECT_EXPORT_NAME_CT="(None)",U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</f>
        <v>0</v>
      </c>
      <c r="V51" s="7">
        <f>IFERROR(U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,0)</f>
        <v>0</v>
      </c>
      <c r="W51">
        <f>IF(OR(All_Questions_Q_VERY_LONG_SINGLE_SELECT_EXPORT_NAME_CT="(None)",W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</f>
        <v>0</v>
      </c>
      <c r="X51" s="7">
        <f>IFERROR(W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,0)</f>
        <v>0</v>
      </c>
      <c r="Y51">
        <f>IF(OR(All_Questions_Q_VERY_LONG_SINGLE_SELECT_EXPORT_NAME_CT="(None)",Y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</f>
        <v>0</v>
      </c>
      <c r="Z51" s="7">
        <f>IFERROR(Y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,0)</f>
        <v>0</v>
      </c>
      <c r="AA51">
        <f>IF(OR(All_Questions_Q_VERY_LONG_SINGLE_SELECT_EXPORT_NAME_CT="(None)",AA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</f>
        <v>0</v>
      </c>
      <c r="AB51" s="7">
        <f>IFERROR(AA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0)</f>
        <v>0</v>
      </c>
      <c r="AC51">
        <f>IF(OR(All_Questions_Q_VERY_LONG_SINGLE_SELECT_EXPORT_NAME_CT="(None)",AC$49=""),"",IF(AC$49="Other",COUNTIFS(Q_VERY_LONG_SINGLE_SELECT_EXPOR_data,"A",passes_workbook_filters_data,1,passes_workbook_custom_filters_data,1,All_Questions_passes_local_filters_data,1,All_Questions_Q_VERY_LONG_SINGLE_SELECT_EXPORT_NAME_F_passes_per_q_filter_data,1)-SUM(G51,I51,K51,M51,O51,Q51,S51,U51,W51,Y51,AA51)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</f>
        <v>0</v>
      </c>
      <c r="AD51" s="7">
        <f>IFERROR(AC51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,0)</f>
        <v>0</v>
      </c>
      <c r="AE5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B</t>
        </is>
      </c>
      <c r="G52">
        <f>IF(OR(All_Questions_Q_VERY_LONG_SINGLE_SELECT_EXPORT_NAME_CT="(None)",G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</f>
        <v>0</v>
      </c>
      <c r="H52" s="7">
        <f>IFERROR(G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,0)</f>
        <v>0</v>
      </c>
      <c r="I52">
        <f>IF(OR(All_Questions_Q_VERY_LONG_SINGLE_SELECT_EXPORT_NAME_CT="(None)",I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</f>
        <v>0</v>
      </c>
      <c r="J52" s="7">
        <f>IFERROR(I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,0)</f>
        <v>0</v>
      </c>
      <c r="K52">
        <f>IF(OR(All_Questions_Q_VERY_LONG_SINGLE_SELECT_EXPORT_NAME_CT="(None)",K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</f>
        <v>0</v>
      </c>
      <c r="L52" s="7">
        <f>IFERROR(K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,0)</f>
        <v>0</v>
      </c>
      <c r="M52">
        <f>IF(OR(All_Questions_Q_VERY_LONG_SINGLE_SELECT_EXPORT_NAME_CT="(None)",M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</f>
        <v>0</v>
      </c>
      <c r="N52" s="7">
        <f>IFERROR(M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,0)</f>
        <v>0</v>
      </c>
      <c r="O52">
        <f>IF(OR(All_Questions_Q_VERY_LONG_SINGLE_SELECT_EXPORT_NAME_CT="(None)",O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</f>
        <v>0</v>
      </c>
      <c r="P52" s="7">
        <f>IFERROR(O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,0)</f>
        <v>0</v>
      </c>
      <c r="Q52">
        <f>IF(OR(All_Questions_Q_VERY_LONG_SINGLE_SELECT_EXPORT_NAME_CT="(None)",Q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</f>
        <v>0</v>
      </c>
      <c r="R52" s="7">
        <f>IFERROR(Q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,0)</f>
        <v>0</v>
      </c>
      <c r="S52">
        <f>IF(OR(All_Questions_Q_VERY_LONG_SINGLE_SELECT_EXPORT_NAME_CT="(None)",S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</f>
        <v>0</v>
      </c>
      <c r="T52" s="7">
        <f>IFERROR(S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,0)</f>
        <v>0</v>
      </c>
      <c r="U52">
        <f>IF(OR(All_Questions_Q_VERY_LONG_SINGLE_SELECT_EXPORT_NAME_CT="(None)",U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</f>
        <v>0</v>
      </c>
      <c r="V52" s="7">
        <f>IFERROR(U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,0)</f>
        <v>0</v>
      </c>
      <c r="W52">
        <f>IF(OR(All_Questions_Q_VERY_LONG_SINGLE_SELECT_EXPORT_NAME_CT="(None)",W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</f>
        <v>0</v>
      </c>
      <c r="X52" s="7">
        <f>IFERROR(W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,0)</f>
        <v>0</v>
      </c>
      <c r="Y52">
        <f>IF(OR(All_Questions_Q_VERY_LONG_SINGLE_SELECT_EXPORT_NAME_CT="(None)",Y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</f>
        <v>0</v>
      </c>
      <c r="Z52" s="7">
        <f>IFERROR(Y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,0)</f>
        <v>0</v>
      </c>
      <c r="AA52">
        <f>IF(OR(All_Questions_Q_VERY_LONG_SINGLE_SELECT_EXPORT_NAME_CT="(None)",AA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</f>
        <v>0</v>
      </c>
      <c r="AB52" s="7">
        <f>IFERROR(AA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0)</f>
        <v>0</v>
      </c>
      <c r="AC52">
        <f>IF(OR(All_Questions_Q_VERY_LONG_SINGLE_SELECT_EXPORT_NAME_CT="(None)",AC$49=""),"",IF(AC$49="Other",COUNTIFS(Q_VERY_LONG_SINGLE_SELECT_EXPOR_data,"B",passes_workbook_filters_data,1,passes_workbook_custom_filters_data,1,All_Questions_passes_local_filters_data,1,All_Questions_Q_VERY_LONG_SINGLE_SELECT_EXPORT_NAME_F_passes_per_q_filter_data,1)-SUM(G52,I52,K52,M52,O52,Q52,S52,U52,W52,Y52,AA52)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</f>
        <v>0</v>
      </c>
      <c r="AD52" s="7">
        <f>IFERROR(AC52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,0)</f>
        <v>0</v>
      </c>
      <c r="AE5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3"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7">
    <mergeCell ref="AC17:AD17"/>
    <mergeCell ref="K49:L49"/>
    <mergeCell ref="W49:X49"/>
    <mergeCell ref="I49:J49"/>
    <mergeCell ref="U49:V49"/>
    <mergeCell ref="M49:N49"/>
    <mergeCell ref="M39:N39"/>
    <mergeCell ref="O39:P39"/>
    <mergeCell ref="G17:H17"/>
    <mergeCell ref="Q39:R39"/>
    <mergeCell ref="G39:H39"/>
    <mergeCell ref="S39:T39"/>
    <mergeCell ref="Y39:Z39"/>
    <mergeCell ref="AA39:AB39"/>
    <mergeCell ref="S17:T17"/>
    <mergeCell ref="U17:V17"/>
    <mergeCell ref="O49:P49"/>
    <mergeCell ref="AA49:AB49"/>
    <mergeCell ref="AC39:AD39"/>
    <mergeCell ref="Y17:Z17"/>
    <mergeCell ref="G49:H49"/>
    <mergeCell ref="A1:J1"/>
    <mergeCell ref="S49:T49"/>
    <mergeCell ref="Y49:Z49"/>
    <mergeCell ref="I39:J39"/>
    <mergeCell ref="Q49:R49"/>
    <mergeCell ref="K39:L39"/>
    <mergeCell ref="I17:J17"/>
    <mergeCell ref="K17:L17"/>
    <mergeCell ref="U39:V39"/>
    <mergeCell ref="M17:N17"/>
    <mergeCell ref="W39:X39"/>
    <mergeCell ref="O17:P17"/>
    <mergeCell ref="Q17:R17"/>
    <mergeCell ref="W17:X17"/>
    <mergeCell ref="AC49:AD49"/>
    <mergeCell ref="AA17:AB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41:T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41:V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41:X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41:Z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41:AB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41:AD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1:T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1:V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1:X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1:Z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1:AB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1:AD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2026-05-18T10:54:53Z</dcterms:created>
  <dcterms:modified xmlns:dcterms="http://purl.org/dc/terms/" xmlns:xsi="http://www.w3.org/2001/XMLSchema-instance" xsi:type="dcterms:W3CDTF">2026-05-18T10:54:53Z</dcterms:modified>
</cp:coreProperties>
</file>