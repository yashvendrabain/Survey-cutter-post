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'_RawData'!$A$2:$A$207</definedName>
    <definedName name="Q8_data">'_RawData'!$B$2:$B$207</definedName>
    <definedName name="Q9_data">'_RawData'!$C$2:$C$207</definedName>
    <definedName name="All_Questions">'_Options'!$A$2:$A$2</definedName>
    <definedName name="All_Questions_Local">'_Options'!$B$2:$B$3</definedName>
    <definedName name="None_options">'_Options'!$E$2:$E$2</definedName>
    <definedName name="Q8_options">'_Options'!$F$2:$F$3</definedName>
    <definedName name="Q8_local_options">'_Options'!$H$2:$H$4</definedName>
    <definedName name="Q9_options">'_Options'!$G$2:$G$3</definedName>
    <definedName name="Q9_local_options">'_Options'!$I$2:$I$4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'_RawData'!$D$2:$D$207</definedName>
    <definedName name="F_Custom1_match_data">'_RawData'!$E$2:$E$207</definedName>
    <definedName name="F_Custom2_match_data">'_RawData'!$F$2:$F$207</definedName>
    <definedName name="passes_workbook_custom_filters_data">'_RawData'!$G$2:$G$207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'_RawData'!$H$2:$H$207</definedName>
    <definedName name="All_Questions_Q8_F_Q">'All Questions'!$C$13</definedName>
    <definedName name="All_Questions_Q8_F_V">'All Questions'!$E$13</definedName>
    <definedName name="All_Questions_Q8_F_resolved_column">'All Questions'!$F$13</definedName>
    <definedName name="All_Questions_Q8_F_wrapped">'All Questions'!$G$13</definedName>
    <definedName name="All_Questions_Q8_F_passes_per_q_filter_data">'_RawData'!$I$2:$I$207</definedName>
    <definedName name="All_Questions_Q8_CT">'All Questions'!$C$14</definedName>
    <definedName name="All_Questions_Q9_F_Q">'All Questions'!$C$25</definedName>
    <definedName name="All_Questions_Q9_F_V">'All Questions'!$E$25</definedName>
    <definedName name="All_Questions_Q9_F_resolved_column">'All Questions'!$F$25</definedName>
    <definedName name="All_Questions_Q9_F_wrapped">'All Questions'!$G$25</definedName>
    <definedName name="All_Questions_Q9_F_passes_per_q_filter_data">'_RawData'!$J$2:$J$207</definedName>
    <definedName name="All_Questions_Q9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D3" i="1"/>
  <c r="E3" i="1"/>
  <c r="F3" i="1"/>
  <c r="G3" i="1"/>
  <c r="H3" i="1"/>
  <c r="I3" i="1"/>
  <c r="J3" i="1"/>
  <c r="D4" i="1"/>
  <c r="E4" i="1"/>
  <c r="F4" i="1"/>
  <c r="G4" i="1"/>
  <c r="H4" i="1"/>
  <c r="I4" i="1"/>
  <c r="J4" i="1"/>
  <c r="D5" i="1"/>
  <c r="E5" i="1"/>
  <c r="F5" i="1"/>
  <c r="G5" i="1"/>
  <c r="H5" i="1"/>
  <c r="I5" i="1"/>
  <c r="J5" i="1"/>
  <c r="D6" i="1"/>
  <c r="E6" i="1"/>
  <c r="F6" i="1"/>
  <c r="G6" i="1"/>
  <c r="H6" i="1"/>
  <c r="I6" i="1"/>
  <c r="J6" i="1"/>
  <c r="D7" i="1"/>
  <c r="E7" i="1"/>
  <c r="F7" i="1"/>
  <c r="G7" i="1"/>
  <c r="H7" i="1"/>
  <c r="I7" i="1"/>
  <c r="J7" i="1"/>
  <c r="D8" i="1"/>
  <c r="E8" i="1"/>
  <c r="F8" i="1"/>
  <c r="G8" i="1"/>
  <c r="H8" i="1"/>
  <c r="I8" i="1"/>
  <c r="J8" i="1"/>
  <c r="D9" i="1"/>
  <c r="E9" i="1"/>
  <c r="F9" i="1"/>
  <c r="G9" i="1"/>
  <c r="H9" i="1"/>
  <c r="I9" i="1"/>
  <c r="J9" i="1"/>
  <c r="D10" i="1"/>
  <c r="E10" i="1"/>
  <c r="F10" i="1"/>
  <c r="G10" i="1"/>
  <c r="H10" i="1"/>
  <c r="I10" i="1"/>
  <c r="J10" i="1"/>
  <c r="D11" i="1"/>
  <c r="E11" i="1"/>
  <c r="F11" i="1"/>
  <c r="G11" i="1"/>
  <c r="H11" i="1"/>
  <c r="I11" i="1"/>
  <c r="J11" i="1"/>
  <c r="D12" i="1"/>
  <c r="E12" i="1"/>
  <c r="F12" i="1"/>
  <c r="G12" i="1"/>
  <c r="H12" i="1"/>
  <c r="I12" i="1"/>
  <c r="J12" i="1"/>
  <c r="D13" i="1"/>
  <c r="E13" i="1"/>
  <c r="F13" i="1"/>
  <c r="G13" i="1"/>
  <c r="H13" i="1"/>
  <c r="I13" i="1"/>
  <c r="J13" i="1"/>
  <c r="D14" i="1"/>
  <c r="E14" i="1"/>
  <c r="F14" i="1"/>
  <c r="G14" i="1"/>
  <c r="H14" i="1"/>
  <c r="I14" i="1"/>
  <c r="J14" i="1"/>
  <c r="D15" i="1"/>
  <c r="E15" i="1"/>
  <c r="F15" i="1"/>
  <c r="G15" i="1"/>
  <c r="H15" i="1"/>
  <c r="I15" i="1"/>
  <c r="J15" i="1"/>
  <c r="D16" i="1"/>
  <c r="E16" i="1"/>
  <c r="F16" i="1"/>
  <c r="G16" i="1"/>
  <c r="H16" i="1"/>
  <c r="I16" i="1"/>
  <c r="J16" i="1"/>
  <c r="D17" i="1"/>
  <c r="E17" i="1"/>
  <c r="F17" i="1"/>
  <c r="G17" i="1"/>
  <c r="H17" i="1"/>
  <c r="I17" i="1"/>
  <c r="J17" i="1"/>
  <c r="D18" i="1"/>
  <c r="E18" i="1"/>
  <c r="F18" i="1"/>
  <c r="G18" i="1"/>
  <c r="H18" i="1"/>
  <c r="I18" i="1"/>
  <c r="J18" i="1"/>
  <c r="D19" i="1"/>
  <c r="E19" i="1"/>
  <c r="F19" i="1"/>
  <c r="G19" i="1"/>
  <c r="H19" i="1"/>
  <c r="I19" i="1"/>
  <c r="J19" i="1"/>
  <c r="D20" i="1"/>
  <c r="E20" i="1"/>
  <c r="F20" i="1"/>
  <c r="G20" i="1"/>
  <c r="H20" i="1"/>
  <c r="I20" i="1"/>
  <c r="J20" i="1"/>
  <c r="D21" i="1"/>
  <c r="E21" i="1"/>
  <c r="F21" i="1"/>
  <c r="G21" i="1"/>
  <c r="H21" i="1"/>
  <c r="I21" i="1"/>
  <c r="J21" i="1"/>
  <c r="D22" i="1"/>
  <c r="E22" i="1"/>
  <c r="F22" i="1"/>
  <c r="G22" i="1"/>
  <c r="H22" i="1"/>
  <c r="I22" i="1"/>
  <c r="J22" i="1"/>
  <c r="D23" i="1"/>
  <c r="E23" i="1"/>
  <c r="F23" i="1"/>
  <c r="G23" i="1"/>
  <c r="H23" i="1"/>
  <c r="I23" i="1"/>
  <c r="J23" i="1"/>
  <c r="D24" i="1"/>
  <c r="E24" i="1"/>
  <c r="F24" i="1"/>
  <c r="G24" i="1"/>
  <c r="H24" i="1"/>
  <c r="I24" i="1"/>
  <c r="J24" i="1"/>
  <c r="D25" i="1"/>
  <c r="E25" i="1"/>
  <c r="F25" i="1"/>
  <c r="G25" i="1"/>
  <c r="H25" i="1"/>
  <c r="I25" i="1"/>
  <c r="J25" i="1"/>
  <c r="D26" i="1"/>
  <c r="E26" i="1"/>
  <c r="F26" i="1"/>
  <c r="G26" i="1"/>
  <c r="H26" i="1"/>
  <c r="I26" i="1"/>
  <c r="J26" i="1"/>
  <c r="D27" i="1"/>
  <c r="E27" i="1"/>
  <c r="F27" i="1"/>
  <c r="G27" i="1"/>
  <c r="H27" i="1"/>
  <c r="I27" i="1"/>
  <c r="J27" i="1"/>
  <c r="D28" i="1"/>
  <c r="E28" i="1"/>
  <c r="F28" i="1"/>
  <c r="G28" i="1"/>
  <c r="H28" i="1"/>
  <c r="I28" i="1"/>
  <c r="J28" i="1"/>
  <c r="D29" i="1"/>
  <c r="E29" i="1"/>
  <c r="F29" i="1"/>
  <c r="G29" i="1"/>
  <c r="H29" i="1"/>
  <c r="I29" i="1"/>
  <c r="J29" i="1"/>
  <c r="D30" i="1"/>
  <c r="E30" i="1"/>
  <c r="F30" i="1"/>
  <c r="G30" i="1"/>
  <c r="H30" i="1"/>
  <c r="I30" i="1"/>
  <c r="J30" i="1"/>
  <c r="D31" i="1"/>
  <c r="E31" i="1"/>
  <c r="F31" i="1"/>
  <c r="G31" i="1"/>
  <c r="H31" i="1"/>
  <c r="I31" i="1"/>
  <c r="J31" i="1"/>
  <c r="D32" i="1"/>
  <c r="E32" i="1"/>
  <c r="F32" i="1"/>
  <c r="G32" i="1"/>
  <c r="H32" i="1"/>
  <c r="I32" i="1"/>
  <c r="J32" i="1"/>
  <c r="D33" i="1"/>
  <c r="E33" i="1"/>
  <c r="F33" i="1"/>
  <c r="G33" i="1"/>
  <c r="H33" i="1"/>
  <c r="I33" i="1"/>
  <c r="J33" i="1"/>
  <c r="D34" i="1"/>
  <c r="E34" i="1"/>
  <c r="F34" i="1"/>
  <c r="G34" i="1"/>
  <c r="H34" i="1"/>
  <c r="I34" i="1"/>
  <c r="J34" i="1"/>
  <c r="D35" i="1"/>
  <c r="E35" i="1"/>
  <c r="F35" i="1"/>
  <c r="G35" i="1"/>
  <c r="H35" i="1"/>
  <c r="I35" i="1"/>
  <c r="J35" i="1"/>
  <c r="D36" i="1"/>
  <c r="E36" i="1"/>
  <c r="F36" i="1"/>
  <c r="G36" i="1"/>
  <c r="H36" i="1"/>
  <c r="I36" i="1"/>
  <c r="J36" i="1"/>
  <c r="D37" i="1"/>
  <c r="E37" i="1"/>
  <c r="F37" i="1"/>
  <c r="G37" i="1"/>
  <c r="H37" i="1"/>
  <c r="I37" i="1"/>
  <c r="J37" i="1"/>
  <c r="D38" i="1"/>
  <c r="E38" i="1"/>
  <c r="F38" i="1"/>
  <c r="G38" i="1"/>
  <c r="H38" i="1"/>
  <c r="I38" i="1"/>
  <c r="J38" i="1"/>
  <c r="D39" i="1"/>
  <c r="E39" i="1"/>
  <c r="F39" i="1"/>
  <c r="G39" i="1"/>
  <c r="H39" i="1"/>
  <c r="I39" i="1"/>
  <c r="J39" i="1"/>
  <c r="D40" i="1"/>
  <c r="E40" i="1"/>
  <c r="F40" i="1"/>
  <c r="G40" i="1"/>
  <c r="H40" i="1"/>
  <c r="I40" i="1"/>
  <c r="J40" i="1"/>
  <c r="D41" i="1"/>
  <c r="E41" i="1"/>
  <c r="F41" i="1"/>
  <c r="G41" i="1"/>
  <c r="H41" i="1"/>
  <c r="I41" i="1"/>
  <c r="J41" i="1"/>
  <c r="D42" i="1"/>
  <c r="E42" i="1"/>
  <c r="F42" i="1"/>
  <c r="G42" i="1"/>
  <c r="H42" i="1"/>
  <c r="I42" i="1"/>
  <c r="J42" i="1"/>
  <c r="D43" i="1"/>
  <c r="E43" i="1"/>
  <c r="F43" i="1"/>
  <c r="G43" i="1"/>
  <c r="H43" i="1"/>
  <c r="I43" i="1"/>
  <c r="J43" i="1"/>
  <c r="D44" i="1"/>
  <c r="E44" i="1"/>
  <c r="F44" i="1"/>
  <c r="G44" i="1"/>
  <c r="H44" i="1"/>
  <c r="I44" i="1"/>
  <c r="J44" i="1"/>
  <c r="D45" i="1"/>
  <c r="E45" i="1"/>
  <c r="F45" i="1"/>
  <c r="G45" i="1"/>
  <c r="H45" i="1"/>
  <c r="I45" i="1"/>
  <c r="J45" i="1"/>
  <c r="D46" i="1"/>
  <c r="E46" i="1"/>
  <c r="F46" i="1"/>
  <c r="G46" i="1"/>
  <c r="H46" i="1"/>
  <c r="I46" i="1"/>
  <c r="J46" i="1"/>
  <c r="D47" i="1"/>
  <c r="E47" i="1"/>
  <c r="F47" i="1"/>
  <c r="G47" i="1"/>
  <c r="H47" i="1"/>
  <c r="I47" i="1"/>
  <c r="J47" i="1"/>
  <c r="D48" i="1"/>
  <c r="E48" i="1"/>
  <c r="F48" i="1"/>
  <c r="G48" i="1"/>
  <c r="H48" i="1"/>
  <c r="I48" i="1"/>
  <c r="J48" i="1"/>
  <c r="D49" i="1"/>
  <c r="E49" i="1"/>
  <c r="F49" i="1"/>
  <c r="G49" i="1"/>
  <c r="H49" i="1"/>
  <c r="I49" i="1"/>
  <c r="J49" i="1"/>
  <c r="D50" i="1"/>
  <c r="E50" i="1"/>
  <c r="F50" i="1"/>
  <c r="G50" i="1"/>
  <c r="H50" i="1"/>
  <c r="I50" i="1"/>
  <c r="J50" i="1"/>
  <c r="D51" i="1"/>
  <c r="E51" i="1"/>
  <c r="F51" i="1"/>
  <c r="G51" i="1"/>
  <c r="H51" i="1"/>
  <c r="I51" i="1"/>
  <c r="J51" i="1"/>
  <c r="D52" i="1"/>
  <c r="E52" i="1"/>
  <c r="F52" i="1"/>
  <c r="G52" i="1"/>
  <c r="H52" i="1"/>
  <c r="I52" i="1"/>
  <c r="J52" i="1"/>
  <c r="D53" i="1"/>
  <c r="E53" i="1"/>
  <c r="F53" i="1"/>
  <c r="G53" i="1"/>
  <c r="H53" i="1"/>
  <c r="I53" i="1"/>
  <c r="J53" i="1"/>
  <c r="D54" i="1"/>
  <c r="E54" i="1"/>
  <c r="F54" i="1"/>
  <c r="G54" i="1"/>
  <c r="H54" i="1"/>
  <c r="I54" i="1"/>
  <c r="J54" i="1"/>
  <c r="D55" i="1"/>
  <c r="E55" i="1"/>
  <c r="F55" i="1"/>
  <c r="G55" i="1"/>
  <c r="H55" i="1"/>
  <c r="I55" i="1"/>
  <c r="J55" i="1"/>
  <c r="D56" i="1"/>
  <c r="E56" i="1"/>
  <c r="F56" i="1"/>
  <c r="G56" i="1"/>
  <c r="H56" i="1"/>
  <c r="I56" i="1"/>
  <c r="J56" i="1"/>
  <c r="D57" i="1"/>
  <c r="E57" i="1"/>
  <c r="F57" i="1"/>
  <c r="G57" i="1"/>
  <c r="H57" i="1"/>
  <c r="I57" i="1"/>
  <c r="J57" i="1"/>
  <c r="D58" i="1"/>
  <c r="E58" i="1"/>
  <c r="F58" i="1"/>
  <c r="G58" i="1"/>
  <c r="H58" i="1"/>
  <c r="I58" i="1"/>
  <c r="J58" i="1"/>
  <c r="D59" i="1"/>
  <c r="E59" i="1"/>
  <c r="F59" i="1"/>
  <c r="G59" i="1"/>
  <c r="H59" i="1"/>
  <c r="I59" i="1"/>
  <c r="J59" i="1"/>
  <c r="D60" i="1"/>
  <c r="E60" i="1"/>
  <c r="F60" i="1"/>
  <c r="G60" i="1"/>
  <c r="H60" i="1"/>
  <c r="I60" i="1"/>
  <c r="J60" i="1"/>
  <c r="D61" i="1"/>
  <c r="E61" i="1"/>
  <c r="F61" i="1"/>
  <c r="G61" i="1"/>
  <c r="H61" i="1"/>
  <c r="I61" i="1"/>
  <c r="J61" i="1"/>
  <c r="D62" i="1"/>
  <c r="E62" i="1"/>
  <c r="F62" i="1"/>
  <c r="G62" i="1"/>
  <c r="H62" i="1"/>
  <c r="I62" i="1"/>
  <c r="J62" i="1"/>
  <c r="D63" i="1"/>
  <c r="E63" i="1"/>
  <c r="F63" i="1"/>
  <c r="G63" i="1"/>
  <c r="H63" i="1"/>
  <c r="I63" i="1"/>
  <c r="J63" i="1"/>
  <c r="D64" i="1"/>
  <c r="E64" i="1"/>
  <c r="F64" i="1"/>
  <c r="G64" i="1"/>
  <c r="H64" i="1"/>
  <c r="I64" i="1"/>
  <c r="J64" i="1"/>
  <c r="D65" i="1"/>
  <c r="E65" i="1"/>
  <c r="F65" i="1"/>
  <c r="G65" i="1"/>
  <c r="H65" i="1"/>
  <c r="I65" i="1"/>
  <c r="J65" i="1"/>
  <c r="D66" i="1"/>
  <c r="E66" i="1"/>
  <c r="F66" i="1"/>
  <c r="G66" i="1"/>
  <c r="H66" i="1"/>
  <c r="I66" i="1"/>
  <c r="J66" i="1"/>
  <c r="D67" i="1"/>
  <c r="E67" i="1"/>
  <c r="F67" i="1"/>
  <c r="G67" i="1"/>
  <c r="H67" i="1"/>
  <c r="I67" i="1"/>
  <c r="J67" i="1"/>
  <c r="D68" i="1"/>
  <c r="E68" i="1"/>
  <c r="F68" i="1"/>
  <c r="G68" i="1"/>
  <c r="H68" i="1"/>
  <c r="I68" i="1"/>
  <c r="J68" i="1"/>
  <c r="D69" i="1"/>
  <c r="E69" i="1"/>
  <c r="F69" i="1"/>
  <c r="G69" i="1"/>
  <c r="H69" i="1"/>
  <c r="I69" i="1"/>
  <c r="J69" i="1"/>
  <c r="D70" i="1"/>
  <c r="E70" i="1"/>
  <c r="F70" i="1"/>
  <c r="G70" i="1"/>
  <c r="H70" i="1"/>
  <c r="I70" i="1"/>
  <c r="J70" i="1"/>
  <c r="D71" i="1"/>
  <c r="E71" i="1"/>
  <c r="F71" i="1"/>
  <c r="G71" i="1"/>
  <c r="H71" i="1"/>
  <c r="I71" i="1"/>
  <c r="J71" i="1"/>
  <c r="D72" i="1"/>
  <c r="E72" i="1"/>
  <c r="F72" i="1"/>
  <c r="G72" i="1"/>
  <c r="H72" i="1"/>
  <c r="I72" i="1"/>
  <c r="J72" i="1"/>
  <c r="D73" i="1"/>
  <c r="E73" i="1"/>
  <c r="F73" i="1"/>
  <c r="G73" i="1"/>
  <c r="H73" i="1"/>
  <c r="I73" i="1"/>
  <c r="J73" i="1"/>
  <c r="D74" i="1"/>
  <c r="E74" i="1"/>
  <c r="F74" i="1"/>
  <c r="G74" i="1"/>
  <c r="H74" i="1"/>
  <c r="I74" i="1"/>
  <c r="J74" i="1"/>
  <c r="D75" i="1"/>
  <c r="E75" i="1"/>
  <c r="F75" i="1"/>
  <c r="G75" i="1"/>
  <c r="H75" i="1"/>
  <c r="I75" i="1"/>
  <c r="J75" i="1"/>
  <c r="D76" i="1"/>
  <c r="E76" i="1"/>
  <c r="F76" i="1"/>
  <c r="G76" i="1"/>
  <c r="H76" i="1"/>
  <c r="I76" i="1"/>
  <c r="J76" i="1"/>
  <c r="D77" i="1"/>
  <c r="E77" i="1"/>
  <c r="F77" i="1"/>
  <c r="G77" i="1"/>
  <c r="H77" i="1"/>
  <c r="I77" i="1"/>
  <c r="J77" i="1"/>
  <c r="D78" i="1"/>
  <c r="E78" i="1"/>
  <c r="F78" i="1"/>
  <c r="G78" i="1"/>
  <c r="H78" i="1"/>
  <c r="I78" i="1"/>
  <c r="J78" i="1"/>
  <c r="D79" i="1"/>
  <c r="E79" i="1"/>
  <c r="F79" i="1"/>
  <c r="G79" i="1"/>
  <c r="H79" i="1"/>
  <c r="I79" i="1"/>
  <c r="J79" i="1"/>
  <c r="D80" i="1"/>
  <c r="E80" i="1"/>
  <c r="F80" i="1"/>
  <c r="G80" i="1"/>
  <c r="H80" i="1"/>
  <c r="I80" i="1"/>
  <c r="J80" i="1"/>
  <c r="D81" i="1"/>
  <c r="E81" i="1"/>
  <c r="F81" i="1"/>
  <c r="G81" i="1"/>
  <c r="H81" i="1"/>
  <c r="I81" i="1"/>
  <c r="J81" i="1"/>
  <c r="D82" i="1"/>
  <c r="E82" i="1"/>
  <c r="F82" i="1"/>
  <c r="G82" i="1"/>
  <c r="H82" i="1"/>
  <c r="I82" i="1"/>
  <c r="J82" i="1"/>
  <c r="D83" i="1"/>
  <c r="E83" i="1"/>
  <c r="F83" i="1"/>
  <c r="G83" i="1"/>
  <c r="H83" i="1"/>
  <c r="I83" i="1"/>
  <c r="J83" i="1"/>
  <c r="D84" i="1"/>
  <c r="E84" i="1"/>
  <c r="F84" i="1"/>
  <c r="G84" i="1"/>
  <c r="H84" i="1"/>
  <c r="I84" i="1"/>
  <c r="J84" i="1"/>
  <c r="D85" i="1"/>
  <c r="E85" i="1"/>
  <c r="F85" i="1"/>
  <c r="G85" i="1"/>
  <c r="H85" i="1"/>
  <c r="I85" i="1"/>
  <c r="J85" i="1"/>
  <c r="D86" i="1"/>
  <c r="E86" i="1"/>
  <c r="F86" i="1"/>
  <c r="G86" i="1"/>
  <c r="H86" i="1"/>
  <c r="I86" i="1"/>
  <c r="J86" i="1"/>
  <c r="D87" i="1"/>
  <c r="E87" i="1"/>
  <c r="F87" i="1"/>
  <c r="G87" i="1"/>
  <c r="H87" i="1"/>
  <c r="I87" i="1"/>
  <c r="J87" i="1"/>
  <c r="D88" i="1"/>
  <c r="E88" i="1"/>
  <c r="F88" i="1"/>
  <c r="G88" i="1"/>
  <c r="H88" i="1"/>
  <c r="I88" i="1"/>
  <c r="J88" i="1"/>
  <c r="D89" i="1"/>
  <c r="E89" i="1"/>
  <c r="F89" i="1"/>
  <c r="G89" i="1"/>
  <c r="H89" i="1"/>
  <c r="I89" i="1"/>
  <c r="J89" i="1"/>
  <c r="D90" i="1"/>
  <c r="E90" i="1"/>
  <c r="F90" i="1"/>
  <c r="G90" i="1"/>
  <c r="H90" i="1"/>
  <c r="I90" i="1"/>
  <c r="J90" i="1"/>
  <c r="D91" i="1"/>
  <c r="E91" i="1"/>
  <c r="F91" i="1"/>
  <c r="G91" i="1"/>
  <c r="H91" i="1"/>
  <c r="I91" i="1"/>
  <c r="J91" i="1"/>
  <c r="D92" i="1"/>
  <c r="E92" i="1"/>
  <c r="F92" i="1"/>
  <c r="G92" i="1"/>
  <c r="H92" i="1"/>
  <c r="I92" i="1"/>
  <c r="J92" i="1"/>
  <c r="D93" i="1"/>
  <c r="E93" i="1"/>
  <c r="F93" i="1"/>
  <c r="G93" i="1"/>
  <c r="H93" i="1"/>
  <c r="I93" i="1"/>
  <c r="J93" i="1"/>
  <c r="D94" i="1"/>
  <c r="E94" i="1"/>
  <c r="F94" i="1"/>
  <c r="G94" i="1"/>
  <c r="H94" i="1"/>
  <c r="I94" i="1"/>
  <c r="J94" i="1"/>
  <c r="D95" i="1"/>
  <c r="E95" i="1"/>
  <c r="F95" i="1"/>
  <c r="G95" i="1"/>
  <c r="H95" i="1"/>
  <c r="I95" i="1"/>
  <c r="J95" i="1"/>
  <c r="D96" i="1"/>
  <c r="E96" i="1"/>
  <c r="F96" i="1"/>
  <c r="G96" i="1"/>
  <c r="H96" i="1"/>
  <c r="I96" i="1"/>
  <c r="J96" i="1"/>
  <c r="D97" i="1"/>
  <c r="E97" i="1"/>
  <c r="F97" i="1"/>
  <c r="G97" i="1"/>
  <c r="H97" i="1"/>
  <c r="I97" i="1"/>
  <c r="J97" i="1"/>
  <c r="D98" i="1"/>
  <c r="E98" i="1"/>
  <c r="F98" i="1"/>
  <c r="G98" i="1"/>
  <c r="H98" i="1"/>
  <c r="I98" i="1"/>
  <c r="J98" i="1"/>
  <c r="D99" i="1"/>
  <c r="E99" i="1"/>
  <c r="F99" i="1"/>
  <c r="G99" i="1"/>
  <c r="H99" i="1"/>
  <c r="I99" i="1"/>
  <c r="J99" i="1"/>
  <c r="D100" i="1"/>
  <c r="E100" i="1"/>
  <c r="F100" i="1"/>
  <c r="G100" i="1"/>
  <c r="H100" i="1"/>
  <c r="I100" i="1"/>
  <c r="J100" i="1"/>
  <c r="D101" i="1"/>
  <c r="E101" i="1"/>
  <c r="F101" i="1"/>
  <c r="G101" i="1"/>
  <c r="H101" i="1"/>
  <c r="I101" i="1"/>
  <c r="J101" i="1"/>
  <c r="D102" i="1"/>
  <c r="E102" i="1"/>
  <c r="F102" i="1"/>
  <c r="G102" i="1"/>
  <c r="H102" i="1"/>
  <c r="I102" i="1"/>
  <c r="J102" i="1"/>
  <c r="D103" i="1"/>
  <c r="E103" i="1"/>
  <c r="F103" i="1"/>
  <c r="G103" i="1"/>
  <c r="H103" i="1"/>
  <c r="I103" i="1"/>
  <c r="J103" i="1"/>
  <c r="D104" i="1"/>
  <c r="E104" i="1"/>
  <c r="F104" i="1"/>
  <c r="G104" i="1"/>
  <c r="H104" i="1"/>
  <c r="I104" i="1"/>
  <c r="J104" i="1"/>
  <c r="D105" i="1"/>
  <c r="E105" i="1"/>
  <c r="F105" i="1"/>
  <c r="G105" i="1"/>
  <c r="H105" i="1"/>
  <c r="I105" i="1"/>
  <c r="J105" i="1"/>
  <c r="D106" i="1"/>
  <c r="E106" i="1"/>
  <c r="F106" i="1"/>
  <c r="G106" i="1"/>
  <c r="H106" i="1"/>
  <c r="I106" i="1"/>
  <c r="J106" i="1"/>
  <c r="D107" i="1"/>
  <c r="E107" i="1"/>
  <c r="F107" i="1"/>
  <c r="G107" i="1"/>
  <c r="H107" i="1"/>
  <c r="I107" i="1"/>
  <c r="J107" i="1"/>
  <c r="D108" i="1"/>
  <c r="E108" i="1"/>
  <c r="F108" i="1"/>
  <c r="G108" i="1"/>
  <c r="H108" i="1"/>
  <c r="I108" i="1"/>
  <c r="J108" i="1"/>
  <c r="D109" i="1"/>
  <c r="E109" i="1"/>
  <c r="F109" i="1"/>
  <c r="G109" i="1"/>
  <c r="H109" i="1"/>
  <c r="I109" i="1"/>
  <c r="J109" i="1"/>
  <c r="D110" i="1"/>
  <c r="E110" i="1"/>
  <c r="F110" i="1"/>
  <c r="G110" i="1"/>
  <c r="H110" i="1"/>
  <c r="I110" i="1"/>
  <c r="J110" i="1"/>
  <c r="D111" i="1"/>
  <c r="E111" i="1"/>
  <c r="F111" i="1"/>
  <c r="G111" i="1"/>
  <c r="H111" i="1"/>
  <c r="I111" i="1"/>
  <c r="J111" i="1"/>
  <c r="D112" i="1"/>
  <c r="E112" i="1"/>
  <c r="F112" i="1"/>
  <c r="G112" i="1"/>
  <c r="H112" i="1"/>
  <c r="I112" i="1"/>
  <c r="J112" i="1"/>
  <c r="D113" i="1"/>
  <c r="E113" i="1"/>
  <c r="F113" i="1"/>
  <c r="G113" i="1"/>
  <c r="H113" i="1"/>
  <c r="I113" i="1"/>
  <c r="J113" i="1"/>
  <c r="D114" i="1"/>
  <c r="E114" i="1"/>
  <c r="F114" i="1"/>
  <c r="G114" i="1"/>
  <c r="H114" i="1"/>
  <c r="I114" i="1"/>
  <c r="J114" i="1"/>
  <c r="D115" i="1"/>
  <c r="E115" i="1"/>
  <c r="F115" i="1"/>
  <c r="G115" i="1"/>
  <c r="H115" i="1"/>
  <c r="I115" i="1"/>
  <c r="J115" i="1"/>
  <c r="D116" i="1"/>
  <c r="E116" i="1"/>
  <c r="F116" i="1"/>
  <c r="G116" i="1"/>
  <c r="H116" i="1"/>
  <c r="I116" i="1"/>
  <c r="J116" i="1"/>
  <c r="D117" i="1"/>
  <c r="E117" i="1"/>
  <c r="F117" i="1"/>
  <c r="G117" i="1"/>
  <c r="H117" i="1"/>
  <c r="I117" i="1"/>
  <c r="J117" i="1"/>
  <c r="D118" i="1"/>
  <c r="E118" i="1"/>
  <c r="F118" i="1"/>
  <c r="G118" i="1"/>
  <c r="H118" i="1"/>
  <c r="I118" i="1"/>
  <c r="J118" i="1"/>
  <c r="D119" i="1"/>
  <c r="E119" i="1"/>
  <c r="F119" i="1"/>
  <c r="G119" i="1"/>
  <c r="H119" i="1"/>
  <c r="I119" i="1"/>
  <c r="J119" i="1"/>
  <c r="D120" i="1"/>
  <c r="E120" i="1"/>
  <c r="F120" i="1"/>
  <c r="G120" i="1"/>
  <c r="H120" i="1"/>
  <c r="I120" i="1"/>
  <c r="J120" i="1"/>
  <c r="D121" i="1"/>
  <c r="E121" i="1"/>
  <c r="F121" i="1"/>
  <c r="G121" i="1"/>
  <c r="H121" i="1"/>
  <c r="I121" i="1"/>
  <c r="J121" i="1"/>
  <c r="D122" i="1"/>
  <c r="E122" i="1"/>
  <c r="F122" i="1"/>
  <c r="G122" i="1"/>
  <c r="H122" i="1"/>
  <c r="I122" i="1"/>
  <c r="J122" i="1"/>
  <c r="D123" i="1"/>
  <c r="E123" i="1"/>
  <c r="F123" i="1"/>
  <c r="G123" i="1"/>
  <c r="H123" i="1"/>
  <c r="I123" i="1"/>
  <c r="J123" i="1"/>
  <c r="D124" i="1"/>
  <c r="E124" i="1"/>
  <c r="F124" i="1"/>
  <c r="G124" i="1"/>
  <c r="H124" i="1"/>
  <c r="I124" i="1"/>
  <c r="J124" i="1"/>
  <c r="D125" i="1"/>
  <c r="E125" i="1"/>
  <c r="F125" i="1"/>
  <c r="G125" i="1"/>
  <c r="H125" i="1"/>
  <c r="I125" i="1"/>
  <c r="J125" i="1"/>
  <c r="D126" i="1"/>
  <c r="E126" i="1"/>
  <c r="F126" i="1"/>
  <c r="G126" i="1"/>
  <c r="H126" i="1"/>
  <c r="I126" i="1"/>
  <c r="J126" i="1"/>
  <c r="D127" i="1"/>
  <c r="E127" i="1"/>
  <c r="F127" i="1"/>
  <c r="G127" i="1"/>
  <c r="H127" i="1"/>
  <c r="I127" i="1"/>
  <c r="J127" i="1"/>
  <c r="D128" i="1"/>
  <c r="E128" i="1"/>
  <c r="F128" i="1"/>
  <c r="G128" i="1"/>
  <c r="H128" i="1"/>
  <c r="I128" i="1"/>
  <c r="J128" i="1"/>
  <c r="D129" i="1"/>
  <c r="E129" i="1"/>
  <c r="F129" i="1"/>
  <c r="G129" i="1"/>
  <c r="H129" i="1"/>
  <c r="I129" i="1"/>
  <c r="J129" i="1"/>
  <c r="D130" i="1"/>
  <c r="E130" i="1"/>
  <c r="F130" i="1"/>
  <c r="G130" i="1"/>
  <c r="H130" i="1"/>
  <c r="I130" i="1"/>
  <c r="J130" i="1"/>
  <c r="D131" i="1"/>
  <c r="E131" i="1"/>
  <c r="F131" i="1"/>
  <c r="G131" i="1"/>
  <c r="H131" i="1"/>
  <c r="I131" i="1"/>
  <c r="J131" i="1"/>
  <c r="D132" i="1"/>
  <c r="E132" i="1"/>
  <c r="F132" i="1"/>
  <c r="G132" i="1"/>
  <c r="H132" i="1"/>
  <c r="I132" i="1"/>
  <c r="J132" i="1"/>
  <c r="D133" i="1"/>
  <c r="E133" i="1"/>
  <c r="F133" i="1"/>
  <c r="G133" i="1"/>
  <c r="H133" i="1"/>
  <c r="I133" i="1"/>
  <c r="J133" i="1"/>
  <c r="D134" i="1"/>
  <c r="E134" i="1"/>
  <c r="F134" i="1"/>
  <c r="G134" i="1"/>
  <c r="H134" i="1"/>
  <c r="I134" i="1"/>
  <c r="J134" i="1"/>
  <c r="D135" i="1"/>
  <c r="E135" i="1"/>
  <c r="F135" i="1"/>
  <c r="G135" i="1"/>
  <c r="H135" i="1"/>
  <c r="I135" i="1"/>
  <c r="J135" i="1"/>
  <c r="D136" i="1"/>
  <c r="E136" i="1"/>
  <c r="F136" i="1"/>
  <c r="G136" i="1"/>
  <c r="H136" i="1"/>
  <c r="I136" i="1"/>
  <c r="J136" i="1"/>
  <c r="D137" i="1"/>
  <c r="E137" i="1"/>
  <c r="F137" i="1"/>
  <c r="G137" i="1"/>
  <c r="H137" i="1"/>
  <c r="I137" i="1"/>
  <c r="J137" i="1"/>
  <c r="D138" i="1"/>
  <c r="E138" i="1"/>
  <c r="F138" i="1"/>
  <c r="G138" i="1"/>
  <c r="H138" i="1"/>
  <c r="I138" i="1"/>
  <c r="J138" i="1"/>
  <c r="D139" i="1"/>
  <c r="E139" i="1"/>
  <c r="F139" i="1"/>
  <c r="G139" i="1"/>
  <c r="H139" i="1"/>
  <c r="I139" i="1"/>
  <c r="J139" i="1"/>
  <c r="D140" i="1"/>
  <c r="E140" i="1"/>
  <c r="F140" i="1"/>
  <c r="G140" i="1"/>
  <c r="H140" i="1"/>
  <c r="I140" i="1"/>
  <c r="J140" i="1"/>
  <c r="D141" i="1"/>
  <c r="E141" i="1"/>
  <c r="F141" i="1"/>
  <c r="G141" i="1"/>
  <c r="H141" i="1"/>
  <c r="I141" i="1"/>
  <c r="J141" i="1"/>
  <c r="D142" i="1"/>
  <c r="E142" i="1"/>
  <c r="F142" i="1"/>
  <c r="G142" i="1"/>
  <c r="H142" i="1"/>
  <c r="I142" i="1"/>
  <c r="J142" i="1"/>
  <c r="D143" i="1"/>
  <c r="E143" i="1"/>
  <c r="F143" i="1"/>
  <c r="G143" i="1"/>
  <c r="H143" i="1"/>
  <c r="I143" i="1"/>
  <c r="J143" i="1"/>
  <c r="D144" i="1"/>
  <c r="E144" i="1"/>
  <c r="F144" i="1"/>
  <c r="G144" i="1"/>
  <c r="H144" i="1"/>
  <c r="I144" i="1"/>
  <c r="J144" i="1"/>
  <c r="D145" i="1"/>
  <c r="E145" i="1"/>
  <c r="F145" i="1"/>
  <c r="G145" i="1"/>
  <c r="H145" i="1"/>
  <c r="I145" i="1"/>
  <c r="J145" i="1"/>
  <c r="D146" i="1"/>
  <c r="E146" i="1"/>
  <c r="F146" i="1"/>
  <c r="G146" i="1"/>
  <c r="H146" i="1"/>
  <c r="I146" i="1"/>
  <c r="J146" i="1"/>
  <c r="D147" i="1"/>
  <c r="E147" i="1"/>
  <c r="F147" i="1"/>
  <c r="G147" i="1"/>
  <c r="H147" i="1"/>
  <c r="I147" i="1"/>
  <c r="J147" i="1"/>
  <c r="D148" i="1"/>
  <c r="E148" i="1"/>
  <c r="F148" i="1"/>
  <c r="G148" i="1"/>
  <c r="H148" i="1"/>
  <c r="I148" i="1"/>
  <c r="J148" i="1"/>
  <c r="D149" i="1"/>
  <c r="E149" i="1"/>
  <c r="F149" i="1"/>
  <c r="G149" i="1"/>
  <c r="H149" i="1"/>
  <c r="I149" i="1"/>
  <c r="J149" i="1"/>
  <c r="D150" i="1"/>
  <c r="E150" i="1"/>
  <c r="F150" i="1"/>
  <c r="G150" i="1"/>
  <c r="H150" i="1"/>
  <c r="I150" i="1"/>
  <c r="J150" i="1"/>
  <c r="D151" i="1"/>
  <c r="E151" i="1"/>
  <c r="F151" i="1"/>
  <c r="G151" i="1"/>
  <c r="H151" i="1"/>
  <c r="I151" i="1"/>
  <c r="J151" i="1"/>
  <c r="D152" i="1"/>
  <c r="E152" i="1"/>
  <c r="F152" i="1"/>
  <c r="G152" i="1"/>
  <c r="H152" i="1"/>
  <c r="I152" i="1"/>
  <c r="J152" i="1"/>
  <c r="D153" i="1"/>
  <c r="E153" i="1"/>
  <c r="F153" i="1"/>
  <c r="G153" i="1"/>
  <c r="H153" i="1"/>
  <c r="I153" i="1"/>
  <c r="J153" i="1"/>
  <c r="D154" i="1"/>
  <c r="E154" i="1"/>
  <c r="F154" i="1"/>
  <c r="G154" i="1"/>
  <c r="H154" i="1"/>
  <c r="I154" i="1"/>
  <c r="J154" i="1"/>
  <c r="D155" i="1"/>
  <c r="E155" i="1"/>
  <c r="F155" i="1"/>
  <c r="G155" i="1"/>
  <c r="H155" i="1"/>
  <c r="I155" i="1"/>
  <c r="J155" i="1"/>
  <c r="D156" i="1"/>
  <c r="E156" i="1"/>
  <c r="F156" i="1"/>
  <c r="G156" i="1"/>
  <c r="H156" i="1"/>
  <c r="I156" i="1"/>
  <c r="J156" i="1"/>
  <c r="D157" i="1"/>
  <c r="E157" i="1"/>
  <c r="F157" i="1"/>
  <c r="G157" i="1"/>
  <c r="H157" i="1"/>
  <c r="I157" i="1"/>
  <c r="J157" i="1"/>
  <c r="D158" i="1"/>
  <c r="E158" i="1"/>
  <c r="F158" i="1"/>
  <c r="G158" i="1"/>
  <c r="H158" i="1"/>
  <c r="I158" i="1"/>
  <c r="J158" i="1"/>
  <c r="D159" i="1"/>
  <c r="E159" i="1"/>
  <c r="F159" i="1"/>
  <c r="G159" i="1"/>
  <c r="H159" i="1"/>
  <c r="I159" i="1"/>
  <c r="J159" i="1"/>
  <c r="D160" i="1"/>
  <c r="E160" i="1"/>
  <c r="F160" i="1"/>
  <c r="G160" i="1"/>
  <c r="H160" i="1"/>
  <c r="I160" i="1"/>
  <c r="J160" i="1"/>
  <c r="D161" i="1"/>
  <c r="E161" i="1"/>
  <c r="F161" i="1"/>
  <c r="G161" i="1"/>
  <c r="H161" i="1"/>
  <c r="I161" i="1"/>
  <c r="J161" i="1"/>
  <c r="D162" i="1"/>
  <c r="E162" i="1"/>
  <c r="F162" i="1"/>
  <c r="G162" i="1"/>
  <c r="H162" i="1"/>
  <c r="I162" i="1"/>
  <c r="J162" i="1"/>
  <c r="D163" i="1"/>
  <c r="E163" i="1"/>
  <c r="F163" i="1"/>
  <c r="G163" i="1"/>
  <c r="H163" i="1"/>
  <c r="I163" i="1"/>
  <c r="J163" i="1"/>
  <c r="D164" i="1"/>
  <c r="E164" i="1"/>
  <c r="F164" i="1"/>
  <c r="G164" i="1"/>
  <c r="H164" i="1"/>
  <c r="I164" i="1"/>
  <c r="J164" i="1"/>
  <c r="D165" i="1"/>
  <c r="E165" i="1"/>
  <c r="F165" i="1"/>
  <c r="G165" i="1"/>
  <c r="H165" i="1"/>
  <c r="I165" i="1"/>
  <c r="J165" i="1"/>
  <c r="D166" i="1"/>
  <c r="E166" i="1"/>
  <c r="F166" i="1"/>
  <c r="G166" i="1"/>
  <c r="H166" i="1"/>
  <c r="I166" i="1"/>
  <c r="J166" i="1"/>
  <c r="D167" i="1"/>
  <c r="E167" i="1"/>
  <c r="F167" i="1"/>
  <c r="G167" i="1"/>
  <c r="H167" i="1"/>
  <c r="I167" i="1"/>
  <c r="J167" i="1"/>
  <c r="D168" i="1"/>
  <c r="E168" i="1"/>
  <c r="F168" i="1"/>
  <c r="G168" i="1"/>
  <c r="H168" i="1"/>
  <c r="I168" i="1"/>
  <c r="J168" i="1"/>
  <c r="D169" i="1"/>
  <c r="E169" i="1"/>
  <c r="F169" i="1"/>
  <c r="G169" i="1"/>
  <c r="H169" i="1"/>
  <c r="I169" i="1"/>
  <c r="J169" i="1"/>
  <c r="D170" i="1"/>
  <c r="E170" i="1"/>
  <c r="F170" i="1"/>
  <c r="G170" i="1"/>
  <c r="H170" i="1"/>
  <c r="I170" i="1"/>
  <c r="J170" i="1"/>
  <c r="D171" i="1"/>
  <c r="E171" i="1"/>
  <c r="F171" i="1"/>
  <c r="G171" i="1"/>
  <c r="H171" i="1"/>
  <c r="I171" i="1"/>
  <c r="J171" i="1"/>
  <c r="D172" i="1"/>
  <c r="E172" i="1"/>
  <c r="F172" i="1"/>
  <c r="G172" i="1"/>
  <c r="H172" i="1"/>
  <c r="I172" i="1"/>
  <c r="J172" i="1"/>
  <c r="D173" i="1"/>
  <c r="E173" i="1"/>
  <c r="F173" i="1"/>
  <c r="G173" i="1"/>
  <c r="H173" i="1"/>
  <c r="I173" i="1"/>
  <c r="J173" i="1"/>
  <c r="D174" i="1"/>
  <c r="E174" i="1"/>
  <c r="F174" i="1"/>
  <c r="G174" i="1"/>
  <c r="H174" i="1"/>
  <c r="I174" i="1"/>
  <c r="J174" i="1"/>
  <c r="D175" i="1"/>
  <c r="E175" i="1"/>
  <c r="F175" i="1"/>
  <c r="G175" i="1"/>
  <c r="H175" i="1"/>
  <c r="I175" i="1"/>
  <c r="J175" i="1"/>
  <c r="D176" i="1"/>
  <c r="E176" i="1"/>
  <c r="F176" i="1"/>
  <c r="G176" i="1"/>
  <c r="H176" i="1"/>
  <c r="I176" i="1"/>
  <c r="J176" i="1"/>
  <c r="D177" i="1"/>
  <c r="E177" i="1"/>
  <c r="F177" i="1"/>
  <c r="G177" i="1"/>
  <c r="H177" i="1"/>
  <c r="I177" i="1"/>
  <c r="J177" i="1"/>
  <c r="D178" i="1"/>
  <c r="E178" i="1"/>
  <c r="F178" i="1"/>
  <c r="G178" i="1"/>
  <c r="H178" i="1"/>
  <c r="I178" i="1"/>
  <c r="J178" i="1"/>
  <c r="D179" i="1"/>
  <c r="E179" i="1"/>
  <c r="F179" i="1"/>
  <c r="G179" i="1"/>
  <c r="H179" i="1"/>
  <c r="I179" i="1"/>
  <c r="J179" i="1"/>
  <c r="D180" i="1"/>
  <c r="E180" i="1"/>
  <c r="F180" i="1"/>
  <c r="G180" i="1"/>
  <c r="H180" i="1"/>
  <c r="I180" i="1"/>
  <c r="J180" i="1"/>
  <c r="D181" i="1"/>
  <c r="E181" i="1"/>
  <c r="F181" i="1"/>
  <c r="G181" i="1"/>
  <c r="H181" i="1"/>
  <c r="I181" i="1"/>
  <c r="J181" i="1"/>
  <c r="D182" i="1"/>
  <c r="E182" i="1"/>
  <c r="F182" i="1"/>
  <c r="G182" i="1"/>
  <c r="H182" i="1"/>
  <c r="I182" i="1"/>
  <c r="J182" i="1"/>
  <c r="D183" i="1"/>
  <c r="E183" i="1"/>
  <c r="F183" i="1"/>
  <c r="G183" i="1"/>
  <c r="H183" i="1"/>
  <c r="I183" i="1"/>
  <c r="J183" i="1"/>
  <c r="D184" i="1"/>
  <c r="E184" i="1"/>
  <c r="F184" i="1"/>
  <c r="G184" i="1"/>
  <c r="H184" i="1"/>
  <c r="I184" i="1"/>
  <c r="J184" i="1"/>
  <c r="D185" i="1"/>
  <c r="E185" i="1"/>
  <c r="F185" i="1"/>
  <c r="G185" i="1"/>
  <c r="H185" i="1"/>
  <c r="I185" i="1"/>
  <c r="J185" i="1"/>
  <c r="D186" i="1"/>
  <c r="E186" i="1"/>
  <c r="F186" i="1"/>
  <c r="G186" i="1"/>
  <c r="H186" i="1"/>
  <c r="I186" i="1"/>
  <c r="J186" i="1"/>
  <c r="D187" i="1"/>
  <c r="E187" i="1"/>
  <c r="F187" i="1"/>
  <c r="G187" i="1"/>
  <c r="H187" i="1"/>
  <c r="I187" i="1"/>
  <c r="J187" i="1"/>
  <c r="D188" i="1"/>
  <c r="E188" i="1"/>
  <c r="F188" i="1"/>
  <c r="G188" i="1"/>
  <c r="H188" i="1"/>
  <c r="I188" i="1"/>
  <c r="J188" i="1"/>
  <c r="D189" i="1"/>
  <c r="E189" i="1"/>
  <c r="F189" i="1"/>
  <c r="G189" i="1"/>
  <c r="H189" i="1"/>
  <c r="I189" i="1"/>
  <c r="J189" i="1"/>
  <c r="D190" i="1"/>
  <c r="E190" i="1"/>
  <c r="F190" i="1"/>
  <c r="G190" i="1"/>
  <c r="H190" i="1"/>
  <c r="I190" i="1"/>
  <c r="J190" i="1"/>
  <c r="D191" i="1"/>
  <c r="E191" i="1"/>
  <c r="F191" i="1"/>
  <c r="G191" i="1"/>
  <c r="H191" i="1"/>
  <c r="I191" i="1"/>
  <c r="J191" i="1"/>
  <c r="D192" i="1"/>
  <c r="E192" i="1"/>
  <c r="F192" i="1"/>
  <c r="G192" i="1"/>
  <c r="H192" i="1"/>
  <c r="I192" i="1"/>
  <c r="J192" i="1"/>
  <c r="D193" i="1"/>
  <c r="E193" i="1"/>
  <c r="F193" i="1"/>
  <c r="G193" i="1"/>
  <c r="H193" i="1"/>
  <c r="I193" i="1"/>
  <c r="J193" i="1"/>
  <c r="D194" i="1"/>
  <c r="E194" i="1"/>
  <c r="F194" i="1"/>
  <c r="G194" i="1"/>
  <c r="H194" i="1"/>
  <c r="I194" i="1"/>
  <c r="J194" i="1"/>
  <c r="D195" i="1"/>
  <c r="E195" i="1"/>
  <c r="F195" i="1"/>
  <c r="G195" i="1"/>
  <c r="H195" i="1"/>
  <c r="I195" i="1"/>
  <c r="J195" i="1"/>
  <c r="D196" i="1"/>
  <c r="E196" i="1"/>
  <c r="F196" i="1"/>
  <c r="G196" i="1"/>
  <c r="H196" i="1"/>
  <c r="I196" i="1"/>
  <c r="J196" i="1"/>
  <c r="D197" i="1"/>
  <c r="E197" i="1"/>
  <c r="F197" i="1"/>
  <c r="G197" i="1"/>
  <c r="H197" i="1"/>
  <c r="I197" i="1"/>
  <c r="J197" i="1"/>
  <c r="D198" i="1"/>
  <c r="E198" i="1"/>
  <c r="F198" i="1"/>
  <c r="G198" i="1"/>
  <c r="H198" i="1"/>
  <c r="I198" i="1"/>
  <c r="J198" i="1"/>
  <c r="D199" i="1"/>
  <c r="E199" i="1"/>
  <c r="F199" i="1"/>
  <c r="G199" i="1"/>
  <c r="H199" i="1"/>
  <c r="I199" i="1"/>
  <c r="J199" i="1"/>
  <c r="D200" i="1"/>
  <c r="E200" i="1"/>
  <c r="F200" i="1"/>
  <c r="G200" i="1"/>
  <c r="H200" i="1"/>
  <c r="I200" i="1"/>
  <c r="J200" i="1"/>
  <c r="D201" i="1"/>
  <c r="E201" i="1"/>
  <c r="F201" i="1"/>
  <c r="G201" i="1"/>
  <c r="H201" i="1"/>
  <c r="I201" i="1"/>
  <c r="J201" i="1"/>
  <c r="D202" i="1"/>
  <c r="E202" i="1"/>
  <c r="F202" i="1"/>
  <c r="G202" i="1"/>
  <c r="H202" i="1"/>
  <c r="I202" i="1"/>
  <c r="J202" i="1"/>
  <c r="D203" i="1"/>
  <c r="E203" i="1"/>
  <c r="F203" i="1"/>
  <c r="G203" i="1"/>
  <c r="H203" i="1"/>
  <c r="I203" i="1"/>
  <c r="J203" i="1"/>
  <c r="D204" i="1"/>
  <c r="E204" i="1"/>
  <c r="F204" i="1"/>
  <c r="G204" i="1"/>
  <c r="H204" i="1"/>
  <c r="I204" i="1"/>
  <c r="J204" i="1"/>
  <c r="D205" i="1"/>
  <c r="E205" i="1"/>
  <c r="F205" i="1"/>
  <c r="G205" i="1"/>
  <c r="H205" i="1"/>
  <c r="I205" i="1"/>
  <c r="J205" i="1"/>
  <c r="D206" i="1"/>
  <c r="E206" i="1"/>
  <c r="F206" i="1"/>
  <c r="G206" i="1"/>
  <c r="H206" i="1"/>
  <c r="I206" i="1"/>
  <c r="J206" i="1"/>
  <c r="D207" i="1"/>
  <c r="E207" i="1"/>
  <c r="F207" i="1"/>
  <c r="G207" i="1"/>
  <c r="H207" i="1"/>
  <c r="I207" i="1"/>
  <c r="J20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  <c r="D20" i="7"/>
  <c r="F25" i="7"/>
  <c r="G25" i="7"/>
  <c r="B29" i="7"/>
  <c r="D29" i="7"/>
  <c r="B30" i="7"/>
  <c r="D30" i="7"/>
  <c r="B31" i="7"/>
  <c r="D31" i="7"/>
  <c r="D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2" fontId="0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Q8</t>
        </is>
      </c>
      <c r="C1" t="inlineStr">
        <is>
          <t>Q9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All_Questions_Q8_F_passes_per_q_filter</t>
        </is>
      </c>
      <c r="J1" t="inlineStr">
        <is>
          <t>All_Questions_Q9_F_passes_per_q_filter</t>
        </is>
      </c>
    </row>
    <row r="2">
      <c r="A2" t="n">
        <v>1</v>
      </c>
      <c r="B2" t="n">
        <v>5.25</v>
      </c>
      <c r="C2" t="n">
        <v>27.1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8_F_Q="(None)",All_Questions_Q8_F_Q="",ISBLANK(All_Questions_Q8_F_Q),All_Questions_Q8_F_V="(All)",All_Questions_Q8_F_V="",ISBLANK(All_Questions_Q8_F_V)),1,IFERROR(IF(ISNUMBER(SEARCH("|"&amp;INDEX(INDIRECT(All_Questions_Q8_F_resolved_column),1)&amp;"|",All_Questions_Q8_F_wrapped)),1,0),0))*1</f>
        <v>1</v>
      </c>
      <c r="J2">
        <f>IF(OR(All_Questions_Q9_F_Q="(None)",All_Questions_Q9_F_Q="",ISBLANK(All_Questions_Q9_F_Q),All_Questions_Q9_F_V="(All)",All_Questions_Q9_F_V="",ISBLANK(All_Questions_Q9_F_V)),1,IFERROR(IF(ISNUMBER(SEARCH("|"&amp;INDEX(INDIRECT(All_Questions_Q9_F_resolved_column),1)&amp;"|",All_Questions_Q9_F_wrapped)),1,0),0))*1</f>
        <v>1</v>
      </c>
    </row>
    <row r="3">
      <c r="A3" t="n">
        <v>2</v>
      </c>
      <c r="B3" t="n">
        <v>5.25</v>
      </c>
      <c r="C3" t="n">
        <v>27.1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8_F_Q="(None)",All_Questions_Q8_F_Q="",ISBLANK(All_Questions_Q8_F_Q),All_Questions_Q8_F_V="(All)",All_Questions_Q8_F_V="",ISBLANK(All_Questions_Q8_F_V)),1,IFERROR(IF(ISNUMBER(SEARCH("|"&amp;INDEX(INDIRECT(All_Questions_Q8_F_resolved_column),2)&amp;"|",All_Questions_Q8_F_wrapped)),1,0),0))*1</f>
        <v>1</v>
      </c>
      <c r="J3">
        <f>IF(OR(All_Questions_Q9_F_Q="(None)",All_Questions_Q9_F_Q="",ISBLANK(All_Questions_Q9_F_Q),All_Questions_Q9_F_V="(All)",All_Questions_Q9_F_V="",ISBLANK(All_Questions_Q9_F_V)),1,IFERROR(IF(ISNUMBER(SEARCH("|"&amp;INDEX(INDIRECT(All_Questions_Q9_F_resolved_column),2)&amp;"|",All_Questions_Q9_F_wrapped)),1,0),0))*1</f>
        <v>1</v>
      </c>
    </row>
    <row r="4">
      <c r="A4" t="n">
        <v>3</v>
      </c>
      <c r="B4" t="n">
        <v>5.25</v>
      </c>
      <c r="C4" t="n">
        <v>27.1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8_F_Q="(None)",All_Questions_Q8_F_Q="",ISBLANK(All_Questions_Q8_F_Q),All_Questions_Q8_F_V="(All)",All_Questions_Q8_F_V="",ISBLANK(All_Questions_Q8_F_V)),1,IFERROR(IF(ISNUMBER(SEARCH("|"&amp;INDEX(INDIRECT(All_Questions_Q8_F_resolved_column),3)&amp;"|",All_Questions_Q8_F_wrapped)),1,0),0))*1</f>
        <v>1</v>
      </c>
      <c r="J4">
        <f>IF(OR(All_Questions_Q9_F_Q="(None)",All_Questions_Q9_F_Q="",ISBLANK(All_Questions_Q9_F_Q),All_Questions_Q9_F_V="(All)",All_Questions_Q9_F_V="",ISBLANK(All_Questions_Q9_F_V)),1,IFERROR(IF(ISNUMBER(SEARCH("|"&amp;INDEX(INDIRECT(All_Questions_Q9_F_resolved_column),3)&amp;"|",All_Questions_Q9_F_wrapped)),1,0),0))*1</f>
        <v>1</v>
      </c>
    </row>
    <row r="5">
      <c r="A5" t="n">
        <v>4</v>
      </c>
      <c r="B5" t="n">
        <v>5.25</v>
      </c>
      <c r="C5" t="n">
        <v>27.1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8_F_Q="(None)",All_Questions_Q8_F_Q="",ISBLANK(All_Questions_Q8_F_Q),All_Questions_Q8_F_V="(All)",All_Questions_Q8_F_V="",ISBLANK(All_Questions_Q8_F_V)),1,IFERROR(IF(ISNUMBER(SEARCH("|"&amp;INDEX(INDIRECT(All_Questions_Q8_F_resolved_column),4)&amp;"|",All_Questions_Q8_F_wrapped)),1,0),0))*1</f>
        <v>1</v>
      </c>
      <c r="J5">
        <f>IF(OR(All_Questions_Q9_F_Q="(None)",All_Questions_Q9_F_Q="",ISBLANK(All_Questions_Q9_F_Q),All_Questions_Q9_F_V="(All)",All_Questions_Q9_F_V="",ISBLANK(All_Questions_Q9_F_V)),1,IFERROR(IF(ISNUMBER(SEARCH("|"&amp;INDEX(INDIRECT(All_Questions_Q9_F_resolved_column),4)&amp;"|",All_Questions_Q9_F_wrapped)),1,0),0))*1</f>
        <v>1</v>
      </c>
    </row>
    <row r="6">
      <c r="A6" t="n">
        <v>5</v>
      </c>
      <c r="B6" t="n">
        <v>5.25</v>
      </c>
      <c r="C6" t="n">
        <v>27.1</v>
      </c>
      <c r="D6">
        <f>1</f>
        <v>1</v>
      </c>
      <c r="E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F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G6">
        <f>E6*F6*1</f>
        <v>1</v>
      </c>
      <c r="H6">
        <f>1</f>
        <v>1</v>
      </c>
      <c r="I6">
        <f>IF(OR(All_Questions_Q8_F_Q="(None)",All_Questions_Q8_F_Q="",ISBLANK(All_Questions_Q8_F_Q),All_Questions_Q8_F_V="(All)",All_Questions_Q8_F_V="",ISBLANK(All_Questions_Q8_F_V)),1,IFERROR(IF(ISNUMBER(SEARCH("|"&amp;INDEX(INDIRECT(All_Questions_Q8_F_resolved_column),5)&amp;"|",All_Questions_Q8_F_wrapped)),1,0),0))*1</f>
        <v>1</v>
      </c>
      <c r="J6">
        <f>IF(OR(All_Questions_Q9_F_Q="(None)",All_Questions_Q9_F_Q="",ISBLANK(All_Questions_Q9_F_Q),All_Questions_Q9_F_V="(All)",All_Questions_Q9_F_V="",ISBLANK(All_Questions_Q9_F_V)),1,IFERROR(IF(ISNUMBER(SEARCH("|"&amp;INDEX(INDIRECT(All_Questions_Q9_F_resolved_column),5)&amp;"|",All_Questions_Q9_F_wrapped)),1,0),0))*1</f>
        <v>1</v>
      </c>
    </row>
    <row r="7">
      <c r="A7" t="n">
        <v>6</v>
      </c>
      <c r="B7" t="n">
        <v>5.25</v>
      </c>
      <c r="C7" t="n">
        <v>27.1</v>
      </c>
      <c r="D7">
        <f>1</f>
        <v>1</v>
      </c>
      <c r="E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F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G7">
        <f>E7*F7*1</f>
        <v>1</v>
      </c>
      <c r="H7">
        <f>1</f>
        <v>1</v>
      </c>
      <c r="I7">
        <f>IF(OR(All_Questions_Q8_F_Q="(None)",All_Questions_Q8_F_Q="",ISBLANK(All_Questions_Q8_F_Q),All_Questions_Q8_F_V="(All)",All_Questions_Q8_F_V="",ISBLANK(All_Questions_Q8_F_V)),1,IFERROR(IF(ISNUMBER(SEARCH("|"&amp;INDEX(INDIRECT(All_Questions_Q8_F_resolved_column),6)&amp;"|",All_Questions_Q8_F_wrapped)),1,0),0))*1</f>
        <v>1</v>
      </c>
      <c r="J7">
        <f>IF(OR(All_Questions_Q9_F_Q="(None)",All_Questions_Q9_F_Q="",ISBLANK(All_Questions_Q9_F_Q),All_Questions_Q9_F_V="(All)",All_Questions_Q9_F_V="",ISBLANK(All_Questions_Q9_F_V)),1,IFERROR(IF(ISNUMBER(SEARCH("|"&amp;INDEX(INDIRECT(All_Questions_Q9_F_resolved_column),6)&amp;"|",All_Questions_Q9_F_wrapped)),1,0),0))*1</f>
        <v>1</v>
      </c>
    </row>
    <row r="8">
      <c r="A8" t="n">
        <v>7</v>
      </c>
      <c r="B8" t="n">
        <v>5.25</v>
      </c>
      <c r="C8" t="n">
        <v>27.1</v>
      </c>
      <c r="D8">
        <f>1</f>
        <v>1</v>
      </c>
      <c r="E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F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G8">
        <f>E8*F8*1</f>
        <v>1</v>
      </c>
      <c r="H8">
        <f>1</f>
        <v>1</v>
      </c>
      <c r="I8">
        <f>IF(OR(All_Questions_Q8_F_Q="(None)",All_Questions_Q8_F_Q="",ISBLANK(All_Questions_Q8_F_Q),All_Questions_Q8_F_V="(All)",All_Questions_Q8_F_V="",ISBLANK(All_Questions_Q8_F_V)),1,IFERROR(IF(ISNUMBER(SEARCH("|"&amp;INDEX(INDIRECT(All_Questions_Q8_F_resolved_column),7)&amp;"|",All_Questions_Q8_F_wrapped)),1,0),0))*1</f>
        <v>1</v>
      </c>
      <c r="J8">
        <f>IF(OR(All_Questions_Q9_F_Q="(None)",All_Questions_Q9_F_Q="",ISBLANK(All_Questions_Q9_F_Q),All_Questions_Q9_F_V="(All)",All_Questions_Q9_F_V="",ISBLANK(All_Questions_Q9_F_V)),1,IFERROR(IF(ISNUMBER(SEARCH("|"&amp;INDEX(INDIRECT(All_Questions_Q9_F_resolved_column),7)&amp;"|",All_Questions_Q9_F_wrapped)),1,0),0))*1</f>
        <v>1</v>
      </c>
    </row>
    <row r="9">
      <c r="A9" t="n">
        <v>8</v>
      </c>
      <c r="B9" t="n">
        <v>5.25</v>
      </c>
      <c r="C9" t="n">
        <v>27.1</v>
      </c>
      <c r="D9">
        <f>1</f>
        <v>1</v>
      </c>
      <c r="E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F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G9">
        <f>E9*F9*1</f>
        <v>1</v>
      </c>
      <c r="H9">
        <f>1</f>
        <v>1</v>
      </c>
      <c r="I9">
        <f>IF(OR(All_Questions_Q8_F_Q="(None)",All_Questions_Q8_F_Q="",ISBLANK(All_Questions_Q8_F_Q),All_Questions_Q8_F_V="(All)",All_Questions_Q8_F_V="",ISBLANK(All_Questions_Q8_F_V)),1,IFERROR(IF(ISNUMBER(SEARCH("|"&amp;INDEX(INDIRECT(All_Questions_Q8_F_resolved_column),8)&amp;"|",All_Questions_Q8_F_wrapped)),1,0),0))*1</f>
        <v>1</v>
      </c>
      <c r="J9">
        <f>IF(OR(All_Questions_Q9_F_Q="(None)",All_Questions_Q9_F_Q="",ISBLANK(All_Questions_Q9_F_Q),All_Questions_Q9_F_V="(All)",All_Questions_Q9_F_V="",ISBLANK(All_Questions_Q9_F_V)),1,IFERROR(IF(ISNUMBER(SEARCH("|"&amp;INDEX(INDIRECT(All_Questions_Q9_F_resolved_column),8)&amp;"|",All_Questions_Q9_F_wrapped)),1,0),0))*1</f>
        <v>1</v>
      </c>
    </row>
    <row r="10">
      <c r="A10" t="n">
        <v>9</v>
      </c>
      <c r="B10" t="n">
        <v>5.25</v>
      </c>
      <c r="C10" t="n">
        <v>27.1</v>
      </c>
      <c r="D10">
        <f>1</f>
        <v>1</v>
      </c>
      <c r="E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F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G10">
        <f>E10*F10*1</f>
        <v>1</v>
      </c>
      <c r="H10">
        <f>1</f>
        <v>1</v>
      </c>
      <c r="I10">
        <f>IF(OR(All_Questions_Q8_F_Q="(None)",All_Questions_Q8_F_Q="",ISBLANK(All_Questions_Q8_F_Q),All_Questions_Q8_F_V="(All)",All_Questions_Q8_F_V="",ISBLANK(All_Questions_Q8_F_V)),1,IFERROR(IF(ISNUMBER(SEARCH("|"&amp;INDEX(INDIRECT(All_Questions_Q8_F_resolved_column),9)&amp;"|",All_Questions_Q8_F_wrapped)),1,0),0))*1</f>
        <v>1</v>
      </c>
      <c r="J10">
        <f>IF(OR(All_Questions_Q9_F_Q="(None)",All_Questions_Q9_F_Q="",ISBLANK(All_Questions_Q9_F_Q),All_Questions_Q9_F_V="(All)",All_Questions_Q9_F_V="",ISBLANK(All_Questions_Q9_F_V)),1,IFERROR(IF(ISNUMBER(SEARCH("|"&amp;INDEX(INDIRECT(All_Questions_Q9_F_resolved_column),9)&amp;"|",All_Questions_Q9_F_wrapped)),1,0),0))*1</f>
        <v>1</v>
      </c>
    </row>
    <row r="11">
      <c r="A11" t="n">
        <v>10</v>
      </c>
      <c r="B11" t="n">
        <v>5.25</v>
      </c>
      <c r="C11" t="n">
        <v>27.1</v>
      </c>
      <c r="D11">
        <f>1</f>
        <v>1</v>
      </c>
      <c r="E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F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G11">
        <f>E11*F11*1</f>
        <v>1</v>
      </c>
      <c r="H11">
        <f>1</f>
        <v>1</v>
      </c>
      <c r="I11">
        <f>IF(OR(All_Questions_Q8_F_Q="(None)",All_Questions_Q8_F_Q="",ISBLANK(All_Questions_Q8_F_Q),All_Questions_Q8_F_V="(All)",All_Questions_Q8_F_V="",ISBLANK(All_Questions_Q8_F_V)),1,IFERROR(IF(ISNUMBER(SEARCH("|"&amp;INDEX(INDIRECT(All_Questions_Q8_F_resolved_column),10)&amp;"|",All_Questions_Q8_F_wrapped)),1,0),0))*1</f>
        <v>1</v>
      </c>
      <c r="J11">
        <f>IF(OR(All_Questions_Q9_F_Q="(None)",All_Questions_Q9_F_Q="",ISBLANK(All_Questions_Q9_F_Q),All_Questions_Q9_F_V="(All)",All_Questions_Q9_F_V="",ISBLANK(All_Questions_Q9_F_V)),1,IFERROR(IF(ISNUMBER(SEARCH("|"&amp;INDEX(INDIRECT(All_Questions_Q9_F_resolved_column),10)&amp;"|",All_Questions_Q9_F_wrapped)),1,0),0))*1</f>
        <v>1</v>
      </c>
    </row>
    <row r="12">
      <c r="A12" t="n">
        <v>11</v>
      </c>
      <c r="B12" t="n">
        <v>5.25</v>
      </c>
      <c r="C12" t="n">
        <v>27.1</v>
      </c>
      <c r="D12">
        <f>1</f>
        <v>1</v>
      </c>
      <c r="E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F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G12">
        <f>E12*F12*1</f>
        <v>1</v>
      </c>
      <c r="H12">
        <f>1</f>
        <v>1</v>
      </c>
      <c r="I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11)&amp;"|",All_Questions_Q8_F_wrapped)),1,0),0))*1</f>
        <v>1</v>
      </c>
      <c r="J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11)&amp;"|",All_Questions_Q9_F_wrapped)),1,0),0))*1</f>
        <v>1</v>
      </c>
    </row>
    <row r="13">
      <c r="A13" t="n">
        <v>12</v>
      </c>
      <c r="B13" t="n">
        <v>5.25</v>
      </c>
      <c r="C13" t="n">
        <v>27.1</v>
      </c>
      <c r="D13">
        <f>1</f>
        <v>1</v>
      </c>
      <c r="E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F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G13">
        <f>E13*F13*1</f>
        <v>1</v>
      </c>
      <c r="H13">
        <f>1</f>
        <v>1</v>
      </c>
      <c r="I13">
        <f>IF(OR(All_Questions_Q8_F_Q="(None)",All_Questions_Q8_F_Q="",ISBLANK(All_Questions_Q8_F_Q),All_Questions_Q8_F_V="(All)",All_Questions_Q8_F_V="",ISBLANK(All_Questions_Q8_F_V)),1,IFERROR(IF(ISNUMBER(SEARCH("|"&amp;INDEX(INDIRECT(All_Questions_Q8_F_resolved_column),12)&amp;"|",All_Questions_Q8_F_wrapped)),1,0),0))*1</f>
        <v>1</v>
      </c>
      <c r="J13">
        <f>IF(OR(All_Questions_Q9_F_Q="(None)",All_Questions_Q9_F_Q="",ISBLANK(All_Questions_Q9_F_Q),All_Questions_Q9_F_V="(All)",All_Questions_Q9_F_V="",ISBLANK(All_Questions_Q9_F_V)),1,IFERROR(IF(ISNUMBER(SEARCH("|"&amp;INDEX(INDIRECT(All_Questions_Q9_F_resolved_column),12)&amp;"|",All_Questions_Q9_F_wrapped)),1,0),0))*1</f>
        <v>1</v>
      </c>
    </row>
    <row r="14">
      <c r="A14" t="n">
        <v>13</v>
      </c>
      <c r="B14" t="n">
        <v>5.25</v>
      </c>
      <c r="C14" t="n">
        <v>27.1</v>
      </c>
      <c r="D14">
        <f>1</f>
        <v>1</v>
      </c>
      <c r="E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F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G14">
        <f>E14*F14*1</f>
        <v>1</v>
      </c>
      <c r="H14">
        <f>1</f>
        <v>1</v>
      </c>
      <c r="I14">
        <f>IF(OR(All_Questions_Q8_F_Q="(None)",All_Questions_Q8_F_Q="",ISBLANK(All_Questions_Q8_F_Q),All_Questions_Q8_F_V="(All)",All_Questions_Q8_F_V="",ISBLANK(All_Questions_Q8_F_V)),1,IFERROR(IF(ISNUMBER(SEARCH("|"&amp;INDEX(INDIRECT(All_Questions_Q8_F_resolved_column),13)&amp;"|",All_Questions_Q8_F_wrapped)),1,0),0))*1</f>
        <v>1</v>
      </c>
      <c r="J14">
        <f>IF(OR(All_Questions_Q9_F_Q="(None)",All_Questions_Q9_F_Q="",ISBLANK(All_Questions_Q9_F_Q),All_Questions_Q9_F_V="(All)",All_Questions_Q9_F_V="",ISBLANK(All_Questions_Q9_F_V)),1,IFERROR(IF(ISNUMBER(SEARCH("|"&amp;INDEX(INDIRECT(All_Questions_Q9_F_resolved_column),13)&amp;"|",All_Questions_Q9_F_wrapped)),1,0),0))*1</f>
        <v>1</v>
      </c>
    </row>
    <row r="15">
      <c r="A15" t="n">
        <v>14</v>
      </c>
      <c r="B15" t="n">
        <v>5.25</v>
      </c>
      <c r="C15" t="n">
        <v>27.1</v>
      </c>
      <c r="D15">
        <f>1</f>
        <v>1</v>
      </c>
      <c r="E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F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G15">
        <f>E15*F15*1</f>
        <v>1</v>
      </c>
      <c r="H15">
        <f>1</f>
        <v>1</v>
      </c>
      <c r="I15">
        <f>IF(OR(All_Questions_Q8_F_Q="(None)",All_Questions_Q8_F_Q="",ISBLANK(All_Questions_Q8_F_Q),All_Questions_Q8_F_V="(All)",All_Questions_Q8_F_V="",ISBLANK(All_Questions_Q8_F_V)),1,IFERROR(IF(ISNUMBER(SEARCH("|"&amp;INDEX(INDIRECT(All_Questions_Q8_F_resolved_column),14)&amp;"|",All_Questions_Q8_F_wrapped)),1,0),0))*1</f>
        <v>1</v>
      </c>
      <c r="J15">
        <f>IF(OR(All_Questions_Q9_F_Q="(None)",All_Questions_Q9_F_Q="",ISBLANK(All_Questions_Q9_F_Q),All_Questions_Q9_F_V="(All)",All_Questions_Q9_F_V="",ISBLANK(All_Questions_Q9_F_V)),1,IFERROR(IF(ISNUMBER(SEARCH("|"&amp;INDEX(INDIRECT(All_Questions_Q9_F_resolved_column),14)&amp;"|",All_Questions_Q9_F_wrapped)),1,0),0))*1</f>
        <v>1</v>
      </c>
    </row>
    <row r="16">
      <c r="A16" t="n">
        <v>15</v>
      </c>
      <c r="B16" t="n">
        <v>5.25</v>
      </c>
      <c r="C16" t="n">
        <v>27.1</v>
      </c>
      <c r="D16">
        <f>1</f>
        <v>1</v>
      </c>
      <c r="E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F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G16">
        <f>E16*F16*1</f>
        <v>1</v>
      </c>
      <c r="H16">
        <f>1</f>
        <v>1</v>
      </c>
      <c r="I16">
        <f>IF(OR(All_Questions_Q8_F_Q="(None)",All_Questions_Q8_F_Q="",ISBLANK(All_Questions_Q8_F_Q),All_Questions_Q8_F_V="(All)",All_Questions_Q8_F_V="",ISBLANK(All_Questions_Q8_F_V)),1,IFERROR(IF(ISNUMBER(SEARCH("|"&amp;INDEX(INDIRECT(All_Questions_Q8_F_resolved_column),15)&amp;"|",All_Questions_Q8_F_wrapped)),1,0),0))*1</f>
        <v>1</v>
      </c>
      <c r="J16">
        <f>IF(OR(All_Questions_Q9_F_Q="(None)",All_Questions_Q9_F_Q="",ISBLANK(All_Questions_Q9_F_Q),All_Questions_Q9_F_V="(All)",All_Questions_Q9_F_V="",ISBLANK(All_Questions_Q9_F_V)),1,IFERROR(IF(ISNUMBER(SEARCH("|"&amp;INDEX(INDIRECT(All_Questions_Q9_F_resolved_column),15)&amp;"|",All_Questions_Q9_F_wrapped)),1,0),0))*1</f>
        <v>1</v>
      </c>
    </row>
    <row r="17">
      <c r="A17" t="n">
        <v>16</v>
      </c>
      <c r="B17" t="n">
        <v>5.25</v>
      </c>
      <c r="C17" t="n">
        <v>27.1</v>
      </c>
      <c r="D17">
        <f>1</f>
        <v>1</v>
      </c>
      <c r="E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F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G17">
        <f>E17*F17*1</f>
        <v>1</v>
      </c>
      <c r="H17">
        <f>1</f>
        <v>1</v>
      </c>
      <c r="I17">
        <f>IF(OR(All_Questions_Q8_F_Q="(None)",All_Questions_Q8_F_Q="",ISBLANK(All_Questions_Q8_F_Q),All_Questions_Q8_F_V="(All)",All_Questions_Q8_F_V="",ISBLANK(All_Questions_Q8_F_V)),1,IFERROR(IF(ISNUMBER(SEARCH("|"&amp;INDEX(INDIRECT(All_Questions_Q8_F_resolved_column),16)&amp;"|",All_Questions_Q8_F_wrapped)),1,0),0))*1</f>
        <v>1</v>
      </c>
      <c r="J17">
        <f>IF(OR(All_Questions_Q9_F_Q="(None)",All_Questions_Q9_F_Q="",ISBLANK(All_Questions_Q9_F_Q),All_Questions_Q9_F_V="(All)",All_Questions_Q9_F_V="",ISBLANK(All_Questions_Q9_F_V)),1,IFERROR(IF(ISNUMBER(SEARCH("|"&amp;INDEX(INDIRECT(All_Questions_Q9_F_resolved_column),16)&amp;"|",All_Questions_Q9_F_wrapped)),1,0),0))*1</f>
        <v>1</v>
      </c>
    </row>
    <row r="18">
      <c r="A18" t="n">
        <v>17</v>
      </c>
      <c r="B18" t="n">
        <v>5.25</v>
      </c>
      <c r="C18" t="n">
        <v>27.1</v>
      </c>
      <c r="D18">
        <f>1</f>
        <v>1</v>
      </c>
      <c r="E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F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G18">
        <f>E18*F18*1</f>
        <v>1</v>
      </c>
      <c r="H18">
        <f>1</f>
        <v>1</v>
      </c>
      <c r="I18">
        <f>IF(OR(All_Questions_Q8_F_Q="(None)",All_Questions_Q8_F_Q="",ISBLANK(All_Questions_Q8_F_Q),All_Questions_Q8_F_V="(All)",All_Questions_Q8_F_V="",ISBLANK(All_Questions_Q8_F_V)),1,IFERROR(IF(ISNUMBER(SEARCH("|"&amp;INDEX(INDIRECT(All_Questions_Q8_F_resolved_column),17)&amp;"|",All_Questions_Q8_F_wrapped)),1,0),0))*1</f>
        <v>1</v>
      </c>
      <c r="J18">
        <f>IF(OR(All_Questions_Q9_F_Q="(None)",All_Questions_Q9_F_Q="",ISBLANK(All_Questions_Q9_F_Q),All_Questions_Q9_F_V="(All)",All_Questions_Q9_F_V="",ISBLANK(All_Questions_Q9_F_V)),1,IFERROR(IF(ISNUMBER(SEARCH("|"&amp;INDEX(INDIRECT(All_Questions_Q9_F_resolved_column),17)&amp;"|",All_Questions_Q9_F_wrapped)),1,0),0))*1</f>
        <v>1</v>
      </c>
    </row>
    <row r="19">
      <c r="A19" t="n">
        <v>18</v>
      </c>
      <c r="B19" t="n">
        <v>5.25</v>
      </c>
      <c r="C19" t="n">
        <v>27.1</v>
      </c>
      <c r="D19">
        <f>1</f>
        <v>1</v>
      </c>
      <c r="E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F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G19">
        <f>E19*F19*1</f>
        <v>1</v>
      </c>
      <c r="H19">
        <f>1</f>
        <v>1</v>
      </c>
      <c r="I19">
        <f>IF(OR(All_Questions_Q8_F_Q="(None)",All_Questions_Q8_F_Q="",ISBLANK(All_Questions_Q8_F_Q),All_Questions_Q8_F_V="(All)",All_Questions_Q8_F_V="",ISBLANK(All_Questions_Q8_F_V)),1,IFERROR(IF(ISNUMBER(SEARCH("|"&amp;INDEX(INDIRECT(All_Questions_Q8_F_resolved_column),18)&amp;"|",All_Questions_Q8_F_wrapped)),1,0),0))*1</f>
        <v>1</v>
      </c>
      <c r="J19">
        <f>IF(OR(All_Questions_Q9_F_Q="(None)",All_Questions_Q9_F_Q="",ISBLANK(All_Questions_Q9_F_Q),All_Questions_Q9_F_V="(All)",All_Questions_Q9_F_V="",ISBLANK(All_Questions_Q9_F_V)),1,IFERROR(IF(ISNUMBER(SEARCH("|"&amp;INDEX(INDIRECT(All_Questions_Q9_F_resolved_column),18)&amp;"|",All_Questions_Q9_F_wrapped)),1,0),0))*1</f>
        <v>1</v>
      </c>
    </row>
    <row r="20">
      <c r="A20" t="n">
        <v>19</v>
      </c>
      <c r="B20" t="n">
        <v>5.25</v>
      </c>
      <c r="C20" t="n">
        <v>27.1</v>
      </c>
      <c r="D20">
        <f>1</f>
        <v>1</v>
      </c>
      <c r="E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F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G20">
        <f>E20*F20*1</f>
        <v>1</v>
      </c>
      <c r="H20">
        <f>1</f>
        <v>1</v>
      </c>
      <c r="I20">
        <f>IF(OR(All_Questions_Q8_F_Q="(None)",All_Questions_Q8_F_Q="",ISBLANK(All_Questions_Q8_F_Q),All_Questions_Q8_F_V="(All)",All_Questions_Q8_F_V="",ISBLANK(All_Questions_Q8_F_V)),1,IFERROR(IF(ISNUMBER(SEARCH("|"&amp;INDEX(INDIRECT(All_Questions_Q8_F_resolved_column),19)&amp;"|",All_Questions_Q8_F_wrapped)),1,0),0))*1</f>
        <v>1</v>
      </c>
      <c r="J20">
        <f>IF(OR(All_Questions_Q9_F_Q="(None)",All_Questions_Q9_F_Q="",ISBLANK(All_Questions_Q9_F_Q),All_Questions_Q9_F_V="(All)",All_Questions_Q9_F_V="",ISBLANK(All_Questions_Q9_F_V)),1,IFERROR(IF(ISNUMBER(SEARCH("|"&amp;INDEX(INDIRECT(All_Questions_Q9_F_resolved_column),19)&amp;"|",All_Questions_Q9_F_wrapped)),1,0),0))*1</f>
        <v>1</v>
      </c>
    </row>
    <row r="21">
      <c r="A21" t="n">
        <v>20</v>
      </c>
      <c r="B21" t="n">
        <v>5.25</v>
      </c>
      <c r="C21" t="n">
        <v>27.1</v>
      </c>
      <c r="D21">
        <f>1</f>
        <v>1</v>
      </c>
      <c r="E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F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G21">
        <f>E21*F21*1</f>
        <v>1</v>
      </c>
      <c r="H21">
        <f>1</f>
        <v>1</v>
      </c>
      <c r="I21">
        <f>IF(OR(All_Questions_Q8_F_Q="(None)",All_Questions_Q8_F_Q="",ISBLANK(All_Questions_Q8_F_Q),All_Questions_Q8_F_V="(All)",All_Questions_Q8_F_V="",ISBLANK(All_Questions_Q8_F_V)),1,IFERROR(IF(ISNUMBER(SEARCH("|"&amp;INDEX(INDIRECT(All_Questions_Q8_F_resolved_column),20)&amp;"|",All_Questions_Q8_F_wrapped)),1,0),0))*1</f>
        <v>1</v>
      </c>
      <c r="J21">
        <f>IF(OR(All_Questions_Q9_F_Q="(None)",All_Questions_Q9_F_Q="",ISBLANK(All_Questions_Q9_F_Q),All_Questions_Q9_F_V="(All)",All_Questions_Q9_F_V="",ISBLANK(All_Questions_Q9_F_V)),1,IFERROR(IF(ISNUMBER(SEARCH("|"&amp;INDEX(INDIRECT(All_Questions_Q9_F_resolved_column),20)&amp;"|",All_Questions_Q9_F_wrapped)),1,0),0))*1</f>
        <v>1</v>
      </c>
    </row>
    <row r="22">
      <c r="A22" t="n">
        <v>21</v>
      </c>
      <c r="B22" t="n">
        <v>5.25</v>
      </c>
      <c r="C22" t="n">
        <v>27.1</v>
      </c>
      <c r="D22">
        <f>1</f>
        <v>1</v>
      </c>
      <c r="E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F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G22">
        <f>E22*F22*1</f>
        <v>1</v>
      </c>
      <c r="H22">
        <f>1</f>
        <v>1</v>
      </c>
      <c r="I22">
        <f>IF(OR(All_Questions_Q8_F_Q="(None)",All_Questions_Q8_F_Q="",ISBLANK(All_Questions_Q8_F_Q),All_Questions_Q8_F_V="(All)",All_Questions_Q8_F_V="",ISBLANK(All_Questions_Q8_F_V)),1,IFERROR(IF(ISNUMBER(SEARCH("|"&amp;INDEX(INDIRECT(All_Questions_Q8_F_resolved_column),21)&amp;"|",All_Questions_Q8_F_wrapped)),1,0),0))*1</f>
        <v>1</v>
      </c>
      <c r="J22">
        <f>IF(OR(All_Questions_Q9_F_Q="(None)",All_Questions_Q9_F_Q="",ISBLANK(All_Questions_Q9_F_Q),All_Questions_Q9_F_V="(All)",All_Questions_Q9_F_V="",ISBLANK(All_Questions_Q9_F_V)),1,IFERROR(IF(ISNUMBER(SEARCH("|"&amp;INDEX(INDIRECT(All_Questions_Q9_F_resolved_column),21)&amp;"|",All_Questions_Q9_F_wrapped)),1,0),0))*1</f>
        <v>1</v>
      </c>
    </row>
    <row r="23">
      <c r="A23" t="n">
        <v>22</v>
      </c>
      <c r="B23" t="n">
        <v>5.25</v>
      </c>
      <c r="C23" t="n">
        <v>27.1</v>
      </c>
      <c r="D23">
        <f>1</f>
        <v>1</v>
      </c>
      <c r="E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F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G23">
        <f>E23*F23*1</f>
        <v>1</v>
      </c>
      <c r="H23">
        <f>1</f>
        <v>1</v>
      </c>
      <c r="I23">
        <f>IF(OR(All_Questions_Q8_F_Q="(None)",All_Questions_Q8_F_Q="",ISBLANK(All_Questions_Q8_F_Q),All_Questions_Q8_F_V="(All)",All_Questions_Q8_F_V="",ISBLANK(All_Questions_Q8_F_V)),1,IFERROR(IF(ISNUMBER(SEARCH("|"&amp;INDEX(INDIRECT(All_Questions_Q8_F_resolved_column),22)&amp;"|",All_Questions_Q8_F_wrapped)),1,0),0))*1</f>
        <v>1</v>
      </c>
      <c r="J23">
        <f>IF(OR(All_Questions_Q9_F_Q="(None)",All_Questions_Q9_F_Q="",ISBLANK(All_Questions_Q9_F_Q),All_Questions_Q9_F_V="(All)",All_Questions_Q9_F_V="",ISBLANK(All_Questions_Q9_F_V)),1,IFERROR(IF(ISNUMBER(SEARCH("|"&amp;INDEX(INDIRECT(All_Questions_Q9_F_resolved_column),22)&amp;"|",All_Questions_Q9_F_wrapped)),1,0),0))*1</f>
        <v>1</v>
      </c>
    </row>
    <row r="24">
      <c r="A24" t="n">
        <v>23</v>
      </c>
      <c r="B24" t="n">
        <v>5.25</v>
      </c>
      <c r="C24" t="n">
        <v>27.1</v>
      </c>
      <c r="D24">
        <f>1</f>
        <v>1</v>
      </c>
      <c r="E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F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G24">
        <f>E24*F24*1</f>
        <v>1</v>
      </c>
      <c r="H24">
        <f>1</f>
        <v>1</v>
      </c>
      <c r="I24">
        <f>IF(OR(All_Questions_Q8_F_Q="(None)",All_Questions_Q8_F_Q="",ISBLANK(All_Questions_Q8_F_Q),All_Questions_Q8_F_V="(All)",All_Questions_Q8_F_V="",ISBLANK(All_Questions_Q8_F_V)),1,IFERROR(IF(ISNUMBER(SEARCH("|"&amp;INDEX(INDIRECT(All_Questions_Q8_F_resolved_column),23)&amp;"|",All_Questions_Q8_F_wrapped)),1,0),0))*1</f>
        <v>1</v>
      </c>
      <c r="J24">
        <f>IF(OR(All_Questions_Q9_F_Q="(None)",All_Questions_Q9_F_Q="",ISBLANK(All_Questions_Q9_F_Q),All_Questions_Q9_F_V="(All)",All_Questions_Q9_F_V="",ISBLANK(All_Questions_Q9_F_V)),1,IFERROR(IF(ISNUMBER(SEARCH("|"&amp;INDEX(INDIRECT(All_Questions_Q9_F_resolved_column),23)&amp;"|",All_Questions_Q9_F_wrapped)),1,0),0))*1</f>
        <v>1</v>
      </c>
    </row>
    <row r="25">
      <c r="A25" t="n">
        <v>24</v>
      </c>
      <c r="B25" t="n">
        <v>5.25</v>
      </c>
      <c r="C25" t="n">
        <v>27.1</v>
      </c>
      <c r="D25">
        <f>1</f>
        <v>1</v>
      </c>
      <c r="E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F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G25">
        <f>E25*F25*1</f>
        <v>1</v>
      </c>
      <c r="H25">
        <f>1</f>
        <v>1</v>
      </c>
      <c r="I25">
        <f>IF(OR(All_Questions_Q8_F_Q="(None)",All_Questions_Q8_F_Q="",ISBLANK(All_Questions_Q8_F_Q),All_Questions_Q8_F_V="(All)",All_Questions_Q8_F_V="",ISBLANK(All_Questions_Q8_F_V)),1,IFERROR(IF(ISNUMBER(SEARCH("|"&amp;INDEX(INDIRECT(All_Questions_Q8_F_resolved_column),24)&amp;"|",All_Questions_Q8_F_wrapped)),1,0),0))*1</f>
        <v>1</v>
      </c>
      <c r="J25">
        <f>IF(OR(All_Questions_Q9_F_Q="(None)",All_Questions_Q9_F_Q="",ISBLANK(All_Questions_Q9_F_Q),All_Questions_Q9_F_V="(All)",All_Questions_Q9_F_V="",ISBLANK(All_Questions_Q9_F_V)),1,IFERROR(IF(ISNUMBER(SEARCH("|"&amp;INDEX(INDIRECT(All_Questions_Q9_F_resolved_column),24)&amp;"|",All_Questions_Q9_F_wrapped)),1,0),0))*1</f>
        <v>1</v>
      </c>
    </row>
    <row r="26">
      <c r="A26" t="n">
        <v>25</v>
      </c>
      <c r="B26" t="n">
        <v>5.25</v>
      </c>
      <c r="C26" t="n">
        <v>27.1</v>
      </c>
      <c r="D26">
        <f>1</f>
        <v>1</v>
      </c>
      <c r="E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F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G26">
        <f>E26*F26*1</f>
        <v>1</v>
      </c>
      <c r="H26">
        <f>1</f>
        <v>1</v>
      </c>
      <c r="I26">
        <f>IF(OR(All_Questions_Q8_F_Q="(None)",All_Questions_Q8_F_Q="",ISBLANK(All_Questions_Q8_F_Q),All_Questions_Q8_F_V="(All)",All_Questions_Q8_F_V="",ISBLANK(All_Questions_Q8_F_V)),1,IFERROR(IF(ISNUMBER(SEARCH("|"&amp;INDEX(INDIRECT(All_Questions_Q8_F_resolved_column),25)&amp;"|",All_Questions_Q8_F_wrapped)),1,0),0))*1</f>
        <v>1</v>
      </c>
      <c r="J26">
        <f>IF(OR(All_Questions_Q9_F_Q="(None)",All_Questions_Q9_F_Q="",ISBLANK(All_Questions_Q9_F_Q),All_Questions_Q9_F_V="(All)",All_Questions_Q9_F_V="",ISBLANK(All_Questions_Q9_F_V)),1,IFERROR(IF(ISNUMBER(SEARCH("|"&amp;INDEX(INDIRECT(All_Questions_Q9_F_resolved_column),25)&amp;"|",All_Questions_Q9_F_wrapped)),1,0),0))*1</f>
        <v>1</v>
      </c>
    </row>
    <row r="27">
      <c r="A27" t="n">
        <v>26</v>
      </c>
      <c r="B27" t="n">
        <v>5.25</v>
      </c>
      <c r="C27" t="n">
        <v>27.1</v>
      </c>
      <c r="D27">
        <f>1</f>
        <v>1</v>
      </c>
      <c r="E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F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G27">
        <f>E27*F27*1</f>
        <v>1</v>
      </c>
      <c r="H27">
        <f>1</f>
        <v>1</v>
      </c>
      <c r="I27">
        <f>IF(OR(All_Questions_Q8_F_Q="(None)",All_Questions_Q8_F_Q="",ISBLANK(All_Questions_Q8_F_Q),All_Questions_Q8_F_V="(All)",All_Questions_Q8_F_V="",ISBLANK(All_Questions_Q8_F_V)),1,IFERROR(IF(ISNUMBER(SEARCH("|"&amp;INDEX(INDIRECT(All_Questions_Q8_F_resolved_column),26)&amp;"|",All_Questions_Q8_F_wrapped)),1,0),0))*1</f>
        <v>1</v>
      </c>
      <c r="J27">
        <f>IF(OR(All_Questions_Q9_F_Q="(None)",All_Questions_Q9_F_Q="",ISBLANK(All_Questions_Q9_F_Q),All_Questions_Q9_F_V="(All)",All_Questions_Q9_F_V="",ISBLANK(All_Questions_Q9_F_V)),1,IFERROR(IF(ISNUMBER(SEARCH("|"&amp;INDEX(INDIRECT(All_Questions_Q9_F_resolved_column),26)&amp;"|",All_Questions_Q9_F_wrapped)),1,0),0))*1</f>
        <v>1</v>
      </c>
    </row>
    <row r="28">
      <c r="A28" t="n">
        <v>27</v>
      </c>
      <c r="B28" t="n">
        <v>5.25</v>
      </c>
      <c r="C28" t="n">
        <v>27.1</v>
      </c>
      <c r="D28">
        <f>1</f>
        <v>1</v>
      </c>
      <c r="E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F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G28">
        <f>E28*F28*1</f>
        <v>1</v>
      </c>
      <c r="H28">
        <f>1</f>
        <v>1</v>
      </c>
      <c r="I28">
        <f>IF(OR(All_Questions_Q8_F_Q="(None)",All_Questions_Q8_F_Q="",ISBLANK(All_Questions_Q8_F_Q),All_Questions_Q8_F_V="(All)",All_Questions_Q8_F_V="",ISBLANK(All_Questions_Q8_F_V)),1,IFERROR(IF(ISNUMBER(SEARCH("|"&amp;INDEX(INDIRECT(All_Questions_Q8_F_resolved_column),27)&amp;"|",All_Questions_Q8_F_wrapped)),1,0),0))*1</f>
        <v>1</v>
      </c>
      <c r="J28">
        <f>IF(OR(All_Questions_Q9_F_Q="(None)",All_Questions_Q9_F_Q="",ISBLANK(All_Questions_Q9_F_Q),All_Questions_Q9_F_V="(All)",All_Questions_Q9_F_V="",ISBLANK(All_Questions_Q9_F_V)),1,IFERROR(IF(ISNUMBER(SEARCH("|"&amp;INDEX(INDIRECT(All_Questions_Q9_F_resolved_column),27)&amp;"|",All_Questions_Q9_F_wrapped)),1,0),0))*1</f>
        <v>1</v>
      </c>
    </row>
    <row r="29">
      <c r="A29" t="n">
        <v>28</v>
      </c>
      <c r="B29" t="n">
        <v>5.25</v>
      </c>
      <c r="C29" t="n">
        <v>27.1</v>
      </c>
      <c r="D29">
        <f>1</f>
        <v>1</v>
      </c>
      <c r="E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F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G29">
        <f>E29*F29*1</f>
        <v>1</v>
      </c>
      <c r="H29">
        <f>1</f>
        <v>1</v>
      </c>
      <c r="I29">
        <f>IF(OR(All_Questions_Q8_F_Q="(None)",All_Questions_Q8_F_Q="",ISBLANK(All_Questions_Q8_F_Q),All_Questions_Q8_F_V="(All)",All_Questions_Q8_F_V="",ISBLANK(All_Questions_Q8_F_V)),1,IFERROR(IF(ISNUMBER(SEARCH("|"&amp;INDEX(INDIRECT(All_Questions_Q8_F_resolved_column),28)&amp;"|",All_Questions_Q8_F_wrapped)),1,0),0))*1</f>
        <v>1</v>
      </c>
      <c r="J29">
        <f>IF(OR(All_Questions_Q9_F_Q="(None)",All_Questions_Q9_F_Q="",ISBLANK(All_Questions_Q9_F_Q),All_Questions_Q9_F_V="(All)",All_Questions_Q9_F_V="",ISBLANK(All_Questions_Q9_F_V)),1,IFERROR(IF(ISNUMBER(SEARCH("|"&amp;INDEX(INDIRECT(All_Questions_Q9_F_resolved_column),28)&amp;"|",All_Questions_Q9_F_wrapped)),1,0),0))*1</f>
        <v>1</v>
      </c>
    </row>
    <row r="30">
      <c r="A30" t="n">
        <v>29</v>
      </c>
      <c r="B30" t="n">
        <v>5.25</v>
      </c>
      <c r="C30" t="n">
        <v>27.1</v>
      </c>
      <c r="D30">
        <f>1</f>
        <v>1</v>
      </c>
      <c r="E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F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G30">
        <f>E30*F30*1</f>
        <v>1</v>
      </c>
      <c r="H30">
        <f>1</f>
        <v>1</v>
      </c>
      <c r="I30">
        <f>IF(OR(All_Questions_Q8_F_Q="(None)",All_Questions_Q8_F_Q="",ISBLANK(All_Questions_Q8_F_Q),All_Questions_Q8_F_V="(All)",All_Questions_Q8_F_V="",ISBLANK(All_Questions_Q8_F_V)),1,IFERROR(IF(ISNUMBER(SEARCH("|"&amp;INDEX(INDIRECT(All_Questions_Q8_F_resolved_column),29)&amp;"|",All_Questions_Q8_F_wrapped)),1,0),0))*1</f>
        <v>1</v>
      </c>
      <c r="J30">
        <f>IF(OR(All_Questions_Q9_F_Q="(None)",All_Questions_Q9_F_Q="",ISBLANK(All_Questions_Q9_F_Q),All_Questions_Q9_F_V="(All)",All_Questions_Q9_F_V="",ISBLANK(All_Questions_Q9_F_V)),1,IFERROR(IF(ISNUMBER(SEARCH("|"&amp;INDEX(INDIRECT(All_Questions_Q9_F_resolved_column),29)&amp;"|",All_Questions_Q9_F_wrapped)),1,0),0))*1</f>
        <v>1</v>
      </c>
    </row>
    <row r="31">
      <c r="A31" t="n">
        <v>30</v>
      </c>
      <c r="B31" t="n">
        <v>5.25</v>
      </c>
      <c r="C31" t="n">
        <v>27.1</v>
      </c>
      <c r="D31">
        <f>1</f>
        <v>1</v>
      </c>
      <c r="E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F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G31">
        <f>E31*F31*1</f>
        <v>1</v>
      </c>
      <c r="H31">
        <f>1</f>
        <v>1</v>
      </c>
      <c r="I31">
        <f>IF(OR(All_Questions_Q8_F_Q="(None)",All_Questions_Q8_F_Q="",ISBLANK(All_Questions_Q8_F_Q),All_Questions_Q8_F_V="(All)",All_Questions_Q8_F_V="",ISBLANK(All_Questions_Q8_F_V)),1,IFERROR(IF(ISNUMBER(SEARCH("|"&amp;INDEX(INDIRECT(All_Questions_Q8_F_resolved_column),30)&amp;"|",All_Questions_Q8_F_wrapped)),1,0),0))*1</f>
        <v>1</v>
      </c>
      <c r="J31">
        <f>IF(OR(All_Questions_Q9_F_Q="(None)",All_Questions_Q9_F_Q="",ISBLANK(All_Questions_Q9_F_Q),All_Questions_Q9_F_V="(All)",All_Questions_Q9_F_V="",ISBLANK(All_Questions_Q9_F_V)),1,IFERROR(IF(ISNUMBER(SEARCH("|"&amp;INDEX(INDIRECT(All_Questions_Q9_F_resolved_column),30)&amp;"|",All_Questions_Q9_F_wrapped)),1,0),0))*1</f>
        <v>1</v>
      </c>
    </row>
    <row r="32">
      <c r="A32" t="n">
        <v>31</v>
      </c>
      <c r="B32" t="n">
        <v>5.25</v>
      </c>
      <c r="C32" t="n">
        <v>27.1</v>
      </c>
      <c r="D32">
        <f>1</f>
        <v>1</v>
      </c>
      <c r="E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F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G32">
        <f>E32*F32*1</f>
        <v>1</v>
      </c>
      <c r="H32">
        <f>1</f>
        <v>1</v>
      </c>
      <c r="I32">
        <f>IF(OR(All_Questions_Q8_F_Q="(None)",All_Questions_Q8_F_Q="",ISBLANK(All_Questions_Q8_F_Q),All_Questions_Q8_F_V="(All)",All_Questions_Q8_F_V="",ISBLANK(All_Questions_Q8_F_V)),1,IFERROR(IF(ISNUMBER(SEARCH("|"&amp;INDEX(INDIRECT(All_Questions_Q8_F_resolved_column),31)&amp;"|",All_Questions_Q8_F_wrapped)),1,0),0))*1</f>
        <v>1</v>
      </c>
      <c r="J32">
        <f>IF(OR(All_Questions_Q9_F_Q="(None)",All_Questions_Q9_F_Q="",ISBLANK(All_Questions_Q9_F_Q),All_Questions_Q9_F_V="(All)",All_Questions_Q9_F_V="",ISBLANK(All_Questions_Q9_F_V)),1,IFERROR(IF(ISNUMBER(SEARCH("|"&amp;INDEX(INDIRECT(All_Questions_Q9_F_resolved_column),31)&amp;"|",All_Questions_Q9_F_wrapped)),1,0),0))*1</f>
        <v>1</v>
      </c>
    </row>
    <row r="33">
      <c r="A33" t="n">
        <v>32</v>
      </c>
      <c r="B33" t="n">
        <v>5.25</v>
      </c>
      <c r="C33" t="n">
        <v>27.1</v>
      </c>
      <c r="D33">
        <f>1</f>
        <v>1</v>
      </c>
      <c r="E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F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G33">
        <f>E33*F33*1</f>
        <v>1</v>
      </c>
      <c r="H33">
        <f>1</f>
        <v>1</v>
      </c>
      <c r="I33">
        <f>IF(OR(All_Questions_Q8_F_Q="(None)",All_Questions_Q8_F_Q="",ISBLANK(All_Questions_Q8_F_Q),All_Questions_Q8_F_V="(All)",All_Questions_Q8_F_V="",ISBLANK(All_Questions_Q8_F_V)),1,IFERROR(IF(ISNUMBER(SEARCH("|"&amp;INDEX(INDIRECT(All_Questions_Q8_F_resolved_column),32)&amp;"|",All_Questions_Q8_F_wrapped)),1,0),0))*1</f>
        <v>1</v>
      </c>
      <c r="J33">
        <f>IF(OR(All_Questions_Q9_F_Q="(None)",All_Questions_Q9_F_Q="",ISBLANK(All_Questions_Q9_F_Q),All_Questions_Q9_F_V="(All)",All_Questions_Q9_F_V="",ISBLANK(All_Questions_Q9_F_V)),1,IFERROR(IF(ISNUMBER(SEARCH("|"&amp;INDEX(INDIRECT(All_Questions_Q9_F_resolved_column),32)&amp;"|",All_Questions_Q9_F_wrapped)),1,0),0))*1</f>
        <v>1</v>
      </c>
    </row>
    <row r="34">
      <c r="A34" t="n">
        <v>33</v>
      </c>
      <c r="B34" t="n">
        <v>5.25</v>
      </c>
      <c r="C34" t="n">
        <v>27.1</v>
      </c>
      <c r="D34">
        <f>1</f>
        <v>1</v>
      </c>
      <c r="E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F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G34">
        <f>E34*F34*1</f>
        <v>1</v>
      </c>
      <c r="H34">
        <f>1</f>
        <v>1</v>
      </c>
      <c r="I34">
        <f>IF(OR(All_Questions_Q8_F_Q="(None)",All_Questions_Q8_F_Q="",ISBLANK(All_Questions_Q8_F_Q),All_Questions_Q8_F_V="(All)",All_Questions_Q8_F_V="",ISBLANK(All_Questions_Q8_F_V)),1,IFERROR(IF(ISNUMBER(SEARCH("|"&amp;INDEX(INDIRECT(All_Questions_Q8_F_resolved_column),33)&amp;"|",All_Questions_Q8_F_wrapped)),1,0),0))*1</f>
        <v>1</v>
      </c>
      <c r="J34">
        <f>IF(OR(All_Questions_Q9_F_Q="(None)",All_Questions_Q9_F_Q="",ISBLANK(All_Questions_Q9_F_Q),All_Questions_Q9_F_V="(All)",All_Questions_Q9_F_V="",ISBLANK(All_Questions_Q9_F_V)),1,IFERROR(IF(ISNUMBER(SEARCH("|"&amp;INDEX(INDIRECT(All_Questions_Q9_F_resolved_column),33)&amp;"|",All_Questions_Q9_F_wrapped)),1,0),0))*1</f>
        <v>1</v>
      </c>
    </row>
    <row r="35">
      <c r="A35" t="n">
        <v>34</v>
      </c>
      <c r="B35" t="n">
        <v>5.25</v>
      </c>
      <c r="C35" t="n">
        <v>27.1</v>
      </c>
      <c r="D35">
        <f>1</f>
        <v>1</v>
      </c>
      <c r="E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F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G35">
        <f>E35*F35*1</f>
        <v>1</v>
      </c>
      <c r="H35">
        <f>1</f>
        <v>1</v>
      </c>
      <c r="I35">
        <f>IF(OR(All_Questions_Q8_F_Q="(None)",All_Questions_Q8_F_Q="",ISBLANK(All_Questions_Q8_F_Q),All_Questions_Q8_F_V="(All)",All_Questions_Q8_F_V="",ISBLANK(All_Questions_Q8_F_V)),1,IFERROR(IF(ISNUMBER(SEARCH("|"&amp;INDEX(INDIRECT(All_Questions_Q8_F_resolved_column),34)&amp;"|",All_Questions_Q8_F_wrapped)),1,0),0))*1</f>
        <v>1</v>
      </c>
      <c r="J35">
        <f>IF(OR(All_Questions_Q9_F_Q="(None)",All_Questions_Q9_F_Q="",ISBLANK(All_Questions_Q9_F_Q),All_Questions_Q9_F_V="(All)",All_Questions_Q9_F_V="",ISBLANK(All_Questions_Q9_F_V)),1,IFERROR(IF(ISNUMBER(SEARCH("|"&amp;INDEX(INDIRECT(All_Questions_Q9_F_resolved_column),34)&amp;"|",All_Questions_Q9_F_wrapped)),1,0),0))*1</f>
        <v>1</v>
      </c>
    </row>
    <row r="36">
      <c r="A36" t="n">
        <v>35</v>
      </c>
      <c r="B36" t="n">
        <v>5.25</v>
      </c>
      <c r="C36" t="n">
        <v>27.1</v>
      </c>
      <c r="D36">
        <f>1</f>
        <v>1</v>
      </c>
      <c r="E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F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G36">
        <f>E36*F36*1</f>
        <v>1</v>
      </c>
      <c r="H36">
        <f>1</f>
        <v>1</v>
      </c>
      <c r="I36">
        <f>IF(OR(All_Questions_Q8_F_Q="(None)",All_Questions_Q8_F_Q="",ISBLANK(All_Questions_Q8_F_Q),All_Questions_Q8_F_V="(All)",All_Questions_Q8_F_V="",ISBLANK(All_Questions_Q8_F_V)),1,IFERROR(IF(ISNUMBER(SEARCH("|"&amp;INDEX(INDIRECT(All_Questions_Q8_F_resolved_column),35)&amp;"|",All_Questions_Q8_F_wrapped)),1,0),0))*1</f>
        <v>1</v>
      </c>
      <c r="J36">
        <f>IF(OR(All_Questions_Q9_F_Q="(None)",All_Questions_Q9_F_Q="",ISBLANK(All_Questions_Q9_F_Q),All_Questions_Q9_F_V="(All)",All_Questions_Q9_F_V="",ISBLANK(All_Questions_Q9_F_V)),1,IFERROR(IF(ISNUMBER(SEARCH("|"&amp;INDEX(INDIRECT(All_Questions_Q9_F_resolved_column),35)&amp;"|",All_Questions_Q9_F_wrapped)),1,0),0))*1</f>
        <v>1</v>
      </c>
    </row>
    <row r="37">
      <c r="A37" t="n">
        <v>36</v>
      </c>
      <c r="B37" t="n">
        <v>5.25</v>
      </c>
      <c r="C37" t="n">
        <v>27.1</v>
      </c>
      <c r="D37">
        <f>1</f>
        <v>1</v>
      </c>
      <c r="E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F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G37">
        <f>E37*F37*1</f>
        <v>1</v>
      </c>
      <c r="H37">
        <f>1</f>
        <v>1</v>
      </c>
      <c r="I37">
        <f>IF(OR(All_Questions_Q8_F_Q="(None)",All_Questions_Q8_F_Q="",ISBLANK(All_Questions_Q8_F_Q),All_Questions_Q8_F_V="(All)",All_Questions_Q8_F_V="",ISBLANK(All_Questions_Q8_F_V)),1,IFERROR(IF(ISNUMBER(SEARCH("|"&amp;INDEX(INDIRECT(All_Questions_Q8_F_resolved_column),36)&amp;"|",All_Questions_Q8_F_wrapped)),1,0),0))*1</f>
        <v>1</v>
      </c>
      <c r="J37">
        <f>IF(OR(All_Questions_Q9_F_Q="(None)",All_Questions_Q9_F_Q="",ISBLANK(All_Questions_Q9_F_Q),All_Questions_Q9_F_V="(All)",All_Questions_Q9_F_V="",ISBLANK(All_Questions_Q9_F_V)),1,IFERROR(IF(ISNUMBER(SEARCH("|"&amp;INDEX(INDIRECT(All_Questions_Q9_F_resolved_column),36)&amp;"|",All_Questions_Q9_F_wrapped)),1,0),0))*1</f>
        <v>1</v>
      </c>
    </row>
    <row r="38">
      <c r="A38" t="n">
        <v>37</v>
      </c>
      <c r="B38" t="n">
        <v>5.25</v>
      </c>
      <c r="C38" t="n">
        <v>27.1</v>
      </c>
      <c r="D38">
        <f>1</f>
        <v>1</v>
      </c>
      <c r="E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F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G38">
        <f>E38*F38*1</f>
        <v>1</v>
      </c>
      <c r="H38">
        <f>1</f>
        <v>1</v>
      </c>
      <c r="I38">
        <f>IF(OR(All_Questions_Q8_F_Q="(None)",All_Questions_Q8_F_Q="",ISBLANK(All_Questions_Q8_F_Q),All_Questions_Q8_F_V="(All)",All_Questions_Q8_F_V="",ISBLANK(All_Questions_Q8_F_V)),1,IFERROR(IF(ISNUMBER(SEARCH("|"&amp;INDEX(INDIRECT(All_Questions_Q8_F_resolved_column),37)&amp;"|",All_Questions_Q8_F_wrapped)),1,0),0))*1</f>
        <v>1</v>
      </c>
      <c r="J38">
        <f>IF(OR(All_Questions_Q9_F_Q="(None)",All_Questions_Q9_F_Q="",ISBLANK(All_Questions_Q9_F_Q),All_Questions_Q9_F_V="(All)",All_Questions_Q9_F_V="",ISBLANK(All_Questions_Q9_F_V)),1,IFERROR(IF(ISNUMBER(SEARCH("|"&amp;INDEX(INDIRECT(All_Questions_Q9_F_resolved_column),37)&amp;"|",All_Questions_Q9_F_wrapped)),1,0),0))*1</f>
        <v>1</v>
      </c>
    </row>
    <row r="39">
      <c r="A39" t="n">
        <v>38</v>
      </c>
      <c r="B39" t="n">
        <v>5.25</v>
      </c>
      <c r="C39" t="n">
        <v>27.1</v>
      </c>
      <c r="D39">
        <f>1</f>
        <v>1</v>
      </c>
      <c r="E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F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G39">
        <f>E39*F39*1</f>
        <v>1</v>
      </c>
      <c r="H39">
        <f>1</f>
        <v>1</v>
      </c>
      <c r="I39">
        <f>IF(OR(All_Questions_Q8_F_Q="(None)",All_Questions_Q8_F_Q="",ISBLANK(All_Questions_Q8_F_Q),All_Questions_Q8_F_V="(All)",All_Questions_Q8_F_V="",ISBLANK(All_Questions_Q8_F_V)),1,IFERROR(IF(ISNUMBER(SEARCH("|"&amp;INDEX(INDIRECT(All_Questions_Q8_F_resolved_column),38)&amp;"|",All_Questions_Q8_F_wrapped)),1,0),0))*1</f>
        <v>1</v>
      </c>
      <c r="J39">
        <f>IF(OR(All_Questions_Q9_F_Q="(None)",All_Questions_Q9_F_Q="",ISBLANK(All_Questions_Q9_F_Q),All_Questions_Q9_F_V="(All)",All_Questions_Q9_F_V="",ISBLANK(All_Questions_Q9_F_V)),1,IFERROR(IF(ISNUMBER(SEARCH("|"&amp;INDEX(INDIRECT(All_Questions_Q9_F_resolved_column),38)&amp;"|",All_Questions_Q9_F_wrapped)),1,0),0))*1</f>
        <v>1</v>
      </c>
    </row>
    <row r="40">
      <c r="A40" t="n">
        <v>39</v>
      </c>
      <c r="B40" t="n">
        <v>5.25</v>
      </c>
      <c r="C40" t="n">
        <v>27.1</v>
      </c>
      <c r="D40">
        <f>1</f>
        <v>1</v>
      </c>
      <c r="E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F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G40">
        <f>E40*F40*1</f>
        <v>1</v>
      </c>
      <c r="H40">
        <f>1</f>
        <v>1</v>
      </c>
      <c r="I40">
        <f>IF(OR(All_Questions_Q8_F_Q="(None)",All_Questions_Q8_F_Q="",ISBLANK(All_Questions_Q8_F_Q),All_Questions_Q8_F_V="(All)",All_Questions_Q8_F_V="",ISBLANK(All_Questions_Q8_F_V)),1,IFERROR(IF(ISNUMBER(SEARCH("|"&amp;INDEX(INDIRECT(All_Questions_Q8_F_resolved_column),39)&amp;"|",All_Questions_Q8_F_wrapped)),1,0),0))*1</f>
        <v>1</v>
      </c>
      <c r="J40">
        <f>IF(OR(All_Questions_Q9_F_Q="(None)",All_Questions_Q9_F_Q="",ISBLANK(All_Questions_Q9_F_Q),All_Questions_Q9_F_V="(All)",All_Questions_Q9_F_V="",ISBLANK(All_Questions_Q9_F_V)),1,IFERROR(IF(ISNUMBER(SEARCH("|"&amp;INDEX(INDIRECT(All_Questions_Q9_F_resolved_column),39)&amp;"|",All_Questions_Q9_F_wrapped)),1,0),0))*1</f>
        <v>1</v>
      </c>
    </row>
    <row r="41">
      <c r="A41" t="n">
        <v>40</v>
      </c>
      <c r="B41" t="n">
        <v>5.25</v>
      </c>
      <c r="C41" t="n">
        <v>27.1</v>
      </c>
      <c r="D41">
        <f>1</f>
        <v>1</v>
      </c>
      <c r="E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F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G41">
        <f>E41*F41*1</f>
        <v>1</v>
      </c>
      <c r="H41">
        <f>1</f>
        <v>1</v>
      </c>
      <c r="I41">
        <f>IF(OR(All_Questions_Q8_F_Q="(None)",All_Questions_Q8_F_Q="",ISBLANK(All_Questions_Q8_F_Q),All_Questions_Q8_F_V="(All)",All_Questions_Q8_F_V="",ISBLANK(All_Questions_Q8_F_V)),1,IFERROR(IF(ISNUMBER(SEARCH("|"&amp;INDEX(INDIRECT(All_Questions_Q8_F_resolved_column),40)&amp;"|",All_Questions_Q8_F_wrapped)),1,0),0))*1</f>
        <v>1</v>
      </c>
      <c r="J41">
        <f>IF(OR(All_Questions_Q9_F_Q="(None)",All_Questions_Q9_F_Q="",ISBLANK(All_Questions_Q9_F_Q),All_Questions_Q9_F_V="(All)",All_Questions_Q9_F_V="",ISBLANK(All_Questions_Q9_F_V)),1,IFERROR(IF(ISNUMBER(SEARCH("|"&amp;INDEX(INDIRECT(All_Questions_Q9_F_resolved_column),40)&amp;"|",All_Questions_Q9_F_wrapped)),1,0),0))*1</f>
        <v>1</v>
      </c>
    </row>
    <row r="42">
      <c r="A42" t="n">
        <v>41</v>
      </c>
      <c r="B42" t="n">
        <v>5.25</v>
      </c>
      <c r="C42" t="n">
        <v>27.1</v>
      </c>
      <c r="D42">
        <f>1</f>
        <v>1</v>
      </c>
      <c r="E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F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G42">
        <f>E42*F42*1</f>
        <v>1</v>
      </c>
      <c r="H42">
        <f>1</f>
        <v>1</v>
      </c>
      <c r="I42">
        <f>IF(OR(All_Questions_Q8_F_Q="(None)",All_Questions_Q8_F_Q="",ISBLANK(All_Questions_Q8_F_Q),All_Questions_Q8_F_V="(All)",All_Questions_Q8_F_V="",ISBLANK(All_Questions_Q8_F_V)),1,IFERROR(IF(ISNUMBER(SEARCH("|"&amp;INDEX(INDIRECT(All_Questions_Q8_F_resolved_column),41)&amp;"|",All_Questions_Q8_F_wrapped)),1,0),0))*1</f>
        <v>1</v>
      </c>
      <c r="J42">
        <f>IF(OR(All_Questions_Q9_F_Q="(None)",All_Questions_Q9_F_Q="",ISBLANK(All_Questions_Q9_F_Q),All_Questions_Q9_F_V="(All)",All_Questions_Q9_F_V="",ISBLANK(All_Questions_Q9_F_V)),1,IFERROR(IF(ISNUMBER(SEARCH("|"&amp;INDEX(INDIRECT(All_Questions_Q9_F_resolved_column),41)&amp;"|",All_Questions_Q9_F_wrapped)),1,0),0))*1</f>
        <v>1</v>
      </c>
    </row>
    <row r="43">
      <c r="A43" t="n">
        <v>42</v>
      </c>
      <c r="B43" t="n">
        <v>5.25</v>
      </c>
      <c r="C43" t="n">
        <v>27.1</v>
      </c>
      <c r="D43">
        <f>1</f>
        <v>1</v>
      </c>
      <c r="E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F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G43">
        <f>E43*F43*1</f>
        <v>1</v>
      </c>
      <c r="H43">
        <f>1</f>
        <v>1</v>
      </c>
      <c r="I43">
        <f>IF(OR(All_Questions_Q8_F_Q="(None)",All_Questions_Q8_F_Q="",ISBLANK(All_Questions_Q8_F_Q),All_Questions_Q8_F_V="(All)",All_Questions_Q8_F_V="",ISBLANK(All_Questions_Q8_F_V)),1,IFERROR(IF(ISNUMBER(SEARCH("|"&amp;INDEX(INDIRECT(All_Questions_Q8_F_resolved_column),42)&amp;"|",All_Questions_Q8_F_wrapped)),1,0),0))*1</f>
        <v>1</v>
      </c>
      <c r="J43">
        <f>IF(OR(All_Questions_Q9_F_Q="(None)",All_Questions_Q9_F_Q="",ISBLANK(All_Questions_Q9_F_Q),All_Questions_Q9_F_V="(All)",All_Questions_Q9_F_V="",ISBLANK(All_Questions_Q9_F_V)),1,IFERROR(IF(ISNUMBER(SEARCH("|"&amp;INDEX(INDIRECT(All_Questions_Q9_F_resolved_column),42)&amp;"|",All_Questions_Q9_F_wrapped)),1,0),0))*1</f>
        <v>1</v>
      </c>
    </row>
    <row r="44">
      <c r="A44" t="n">
        <v>43</v>
      </c>
      <c r="B44" t="n">
        <v>5.25</v>
      </c>
      <c r="C44" t="n">
        <v>27.1</v>
      </c>
      <c r="D44">
        <f>1</f>
        <v>1</v>
      </c>
      <c r="E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F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G44">
        <f>E44*F44*1</f>
        <v>1</v>
      </c>
      <c r="H44">
        <f>1</f>
        <v>1</v>
      </c>
      <c r="I44">
        <f>IF(OR(All_Questions_Q8_F_Q="(None)",All_Questions_Q8_F_Q="",ISBLANK(All_Questions_Q8_F_Q),All_Questions_Q8_F_V="(All)",All_Questions_Q8_F_V="",ISBLANK(All_Questions_Q8_F_V)),1,IFERROR(IF(ISNUMBER(SEARCH("|"&amp;INDEX(INDIRECT(All_Questions_Q8_F_resolved_column),43)&amp;"|",All_Questions_Q8_F_wrapped)),1,0),0))*1</f>
        <v>1</v>
      </c>
      <c r="J44">
        <f>IF(OR(All_Questions_Q9_F_Q="(None)",All_Questions_Q9_F_Q="",ISBLANK(All_Questions_Q9_F_Q),All_Questions_Q9_F_V="(All)",All_Questions_Q9_F_V="",ISBLANK(All_Questions_Q9_F_V)),1,IFERROR(IF(ISNUMBER(SEARCH("|"&amp;INDEX(INDIRECT(All_Questions_Q9_F_resolved_column),43)&amp;"|",All_Questions_Q9_F_wrapped)),1,0),0))*1</f>
        <v>1</v>
      </c>
    </row>
    <row r="45">
      <c r="A45" t="n">
        <v>44</v>
      </c>
      <c r="B45" t="n">
        <v>5.25</v>
      </c>
      <c r="C45" t="n">
        <v>27.1</v>
      </c>
      <c r="D45">
        <f>1</f>
        <v>1</v>
      </c>
      <c r="E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F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G45">
        <f>E45*F45*1</f>
        <v>1</v>
      </c>
      <c r="H45">
        <f>1</f>
        <v>1</v>
      </c>
      <c r="I45">
        <f>IF(OR(All_Questions_Q8_F_Q="(None)",All_Questions_Q8_F_Q="",ISBLANK(All_Questions_Q8_F_Q),All_Questions_Q8_F_V="(All)",All_Questions_Q8_F_V="",ISBLANK(All_Questions_Q8_F_V)),1,IFERROR(IF(ISNUMBER(SEARCH("|"&amp;INDEX(INDIRECT(All_Questions_Q8_F_resolved_column),44)&amp;"|",All_Questions_Q8_F_wrapped)),1,0),0))*1</f>
        <v>1</v>
      </c>
      <c r="J45">
        <f>IF(OR(All_Questions_Q9_F_Q="(None)",All_Questions_Q9_F_Q="",ISBLANK(All_Questions_Q9_F_Q),All_Questions_Q9_F_V="(All)",All_Questions_Q9_F_V="",ISBLANK(All_Questions_Q9_F_V)),1,IFERROR(IF(ISNUMBER(SEARCH("|"&amp;INDEX(INDIRECT(All_Questions_Q9_F_resolved_column),44)&amp;"|",All_Questions_Q9_F_wrapped)),1,0),0))*1</f>
        <v>1</v>
      </c>
    </row>
    <row r="46">
      <c r="A46" t="n">
        <v>45</v>
      </c>
      <c r="B46" t="n">
        <v>5.25</v>
      </c>
      <c r="C46" t="n">
        <v>27.1</v>
      </c>
      <c r="D46">
        <f>1</f>
        <v>1</v>
      </c>
      <c r="E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F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G46">
        <f>E46*F46*1</f>
        <v>1</v>
      </c>
      <c r="H46">
        <f>1</f>
        <v>1</v>
      </c>
      <c r="I46">
        <f>IF(OR(All_Questions_Q8_F_Q="(None)",All_Questions_Q8_F_Q="",ISBLANK(All_Questions_Q8_F_Q),All_Questions_Q8_F_V="(All)",All_Questions_Q8_F_V="",ISBLANK(All_Questions_Q8_F_V)),1,IFERROR(IF(ISNUMBER(SEARCH("|"&amp;INDEX(INDIRECT(All_Questions_Q8_F_resolved_column),45)&amp;"|",All_Questions_Q8_F_wrapped)),1,0),0))*1</f>
        <v>1</v>
      </c>
      <c r="J46">
        <f>IF(OR(All_Questions_Q9_F_Q="(None)",All_Questions_Q9_F_Q="",ISBLANK(All_Questions_Q9_F_Q),All_Questions_Q9_F_V="(All)",All_Questions_Q9_F_V="",ISBLANK(All_Questions_Q9_F_V)),1,IFERROR(IF(ISNUMBER(SEARCH("|"&amp;INDEX(INDIRECT(All_Questions_Q9_F_resolved_column),45)&amp;"|",All_Questions_Q9_F_wrapped)),1,0),0))*1</f>
        <v>1</v>
      </c>
    </row>
    <row r="47">
      <c r="A47" t="n">
        <v>46</v>
      </c>
      <c r="B47" t="n">
        <v>5.25</v>
      </c>
      <c r="C47" t="n">
        <v>27.1</v>
      </c>
      <c r="D47">
        <f>1</f>
        <v>1</v>
      </c>
      <c r="E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F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G47">
        <f>E47*F47*1</f>
        <v>1</v>
      </c>
      <c r="H47">
        <f>1</f>
        <v>1</v>
      </c>
      <c r="I47">
        <f>IF(OR(All_Questions_Q8_F_Q="(None)",All_Questions_Q8_F_Q="",ISBLANK(All_Questions_Q8_F_Q),All_Questions_Q8_F_V="(All)",All_Questions_Q8_F_V="",ISBLANK(All_Questions_Q8_F_V)),1,IFERROR(IF(ISNUMBER(SEARCH("|"&amp;INDEX(INDIRECT(All_Questions_Q8_F_resolved_column),46)&amp;"|",All_Questions_Q8_F_wrapped)),1,0),0))*1</f>
        <v>1</v>
      </c>
      <c r="J47">
        <f>IF(OR(All_Questions_Q9_F_Q="(None)",All_Questions_Q9_F_Q="",ISBLANK(All_Questions_Q9_F_Q),All_Questions_Q9_F_V="(All)",All_Questions_Q9_F_V="",ISBLANK(All_Questions_Q9_F_V)),1,IFERROR(IF(ISNUMBER(SEARCH("|"&amp;INDEX(INDIRECT(All_Questions_Q9_F_resolved_column),46)&amp;"|",All_Questions_Q9_F_wrapped)),1,0),0))*1</f>
        <v>1</v>
      </c>
    </row>
    <row r="48">
      <c r="A48" t="n">
        <v>47</v>
      </c>
      <c r="B48" t="n">
        <v>5.25</v>
      </c>
      <c r="C48" t="n">
        <v>27.1</v>
      </c>
      <c r="D48">
        <f>1</f>
        <v>1</v>
      </c>
      <c r="E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F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G48">
        <f>E48*F48*1</f>
        <v>1</v>
      </c>
      <c r="H48">
        <f>1</f>
        <v>1</v>
      </c>
      <c r="I48">
        <f>IF(OR(All_Questions_Q8_F_Q="(None)",All_Questions_Q8_F_Q="",ISBLANK(All_Questions_Q8_F_Q),All_Questions_Q8_F_V="(All)",All_Questions_Q8_F_V="",ISBLANK(All_Questions_Q8_F_V)),1,IFERROR(IF(ISNUMBER(SEARCH("|"&amp;INDEX(INDIRECT(All_Questions_Q8_F_resolved_column),47)&amp;"|",All_Questions_Q8_F_wrapped)),1,0),0))*1</f>
        <v>1</v>
      </c>
      <c r="J48">
        <f>IF(OR(All_Questions_Q9_F_Q="(None)",All_Questions_Q9_F_Q="",ISBLANK(All_Questions_Q9_F_Q),All_Questions_Q9_F_V="(All)",All_Questions_Q9_F_V="",ISBLANK(All_Questions_Q9_F_V)),1,IFERROR(IF(ISNUMBER(SEARCH("|"&amp;INDEX(INDIRECT(All_Questions_Q9_F_resolved_column),47)&amp;"|",All_Questions_Q9_F_wrapped)),1,0),0))*1</f>
        <v>1</v>
      </c>
    </row>
    <row r="49">
      <c r="A49" t="n">
        <v>48</v>
      </c>
      <c r="B49" t="n">
        <v>5.25</v>
      </c>
      <c r="C49" t="n">
        <v>27.1</v>
      </c>
      <c r="D49">
        <f>1</f>
        <v>1</v>
      </c>
      <c r="E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F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G49">
        <f>E49*F49*1</f>
        <v>1</v>
      </c>
      <c r="H49">
        <f>1</f>
        <v>1</v>
      </c>
      <c r="I49">
        <f>IF(OR(All_Questions_Q8_F_Q="(None)",All_Questions_Q8_F_Q="",ISBLANK(All_Questions_Q8_F_Q),All_Questions_Q8_F_V="(All)",All_Questions_Q8_F_V="",ISBLANK(All_Questions_Q8_F_V)),1,IFERROR(IF(ISNUMBER(SEARCH("|"&amp;INDEX(INDIRECT(All_Questions_Q8_F_resolved_column),48)&amp;"|",All_Questions_Q8_F_wrapped)),1,0),0))*1</f>
        <v>1</v>
      </c>
      <c r="J49">
        <f>IF(OR(All_Questions_Q9_F_Q="(None)",All_Questions_Q9_F_Q="",ISBLANK(All_Questions_Q9_F_Q),All_Questions_Q9_F_V="(All)",All_Questions_Q9_F_V="",ISBLANK(All_Questions_Q9_F_V)),1,IFERROR(IF(ISNUMBER(SEARCH("|"&amp;INDEX(INDIRECT(All_Questions_Q9_F_resolved_column),48)&amp;"|",All_Questions_Q9_F_wrapped)),1,0),0))*1</f>
        <v>1</v>
      </c>
    </row>
    <row r="50">
      <c r="A50" t="n">
        <v>49</v>
      </c>
      <c r="B50" t="n">
        <v>5.25</v>
      </c>
      <c r="C50" t="n">
        <v>27.1</v>
      </c>
      <c r="D50">
        <f>1</f>
        <v>1</v>
      </c>
      <c r="E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F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G50">
        <f>E50*F50*1</f>
        <v>1</v>
      </c>
      <c r="H50">
        <f>1</f>
        <v>1</v>
      </c>
      <c r="I50">
        <f>IF(OR(All_Questions_Q8_F_Q="(None)",All_Questions_Q8_F_Q="",ISBLANK(All_Questions_Q8_F_Q),All_Questions_Q8_F_V="(All)",All_Questions_Q8_F_V="",ISBLANK(All_Questions_Q8_F_V)),1,IFERROR(IF(ISNUMBER(SEARCH("|"&amp;INDEX(INDIRECT(All_Questions_Q8_F_resolved_column),49)&amp;"|",All_Questions_Q8_F_wrapped)),1,0),0))*1</f>
        <v>1</v>
      </c>
      <c r="J50">
        <f>IF(OR(All_Questions_Q9_F_Q="(None)",All_Questions_Q9_F_Q="",ISBLANK(All_Questions_Q9_F_Q),All_Questions_Q9_F_V="(All)",All_Questions_Q9_F_V="",ISBLANK(All_Questions_Q9_F_V)),1,IFERROR(IF(ISNUMBER(SEARCH("|"&amp;INDEX(INDIRECT(All_Questions_Q9_F_resolved_column),49)&amp;"|",All_Questions_Q9_F_wrapped)),1,0),0))*1</f>
        <v>1</v>
      </c>
    </row>
    <row r="51">
      <c r="A51" t="n">
        <v>50</v>
      </c>
      <c r="B51" t="n">
        <v>5.25</v>
      </c>
      <c r="C51" t="n">
        <v>27.1</v>
      </c>
      <c r="D51">
        <f>1</f>
        <v>1</v>
      </c>
      <c r="E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F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G51">
        <f>E51*F51*1</f>
        <v>1</v>
      </c>
      <c r="H51">
        <f>1</f>
        <v>1</v>
      </c>
      <c r="I51">
        <f>IF(OR(All_Questions_Q8_F_Q="(None)",All_Questions_Q8_F_Q="",ISBLANK(All_Questions_Q8_F_Q),All_Questions_Q8_F_V="(All)",All_Questions_Q8_F_V="",ISBLANK(All_Questions_Q8_F_V)),1,IFERROR(IF(ISNUMBER(SEARCH("|"&amp;INDEX(INDIRECT(All_Questions_Q8_F_resolved_column),50)&amp;"|",All_Questions_Q8_F_wrapped)),1,0),0))*1</f>
        <v>1</v>
      </c>
      <c r="J51">
        <f>IF(OR(All_Questions_Q9_F_Q="(None)",All_Questions_Q9_F_Q="",ISBLANK(All_Questions_Q9_F_Q),All_Questions_Q9_F_V="(All)",All_Questions_Q9_F_V="",ISBLANK(All_Questions_Q9_F_V)),1,IFERROR(IF(ISNUMBER(SEARCH("|"&amp;INDEX(INDIRECT(All_Questions_Q9_F_resolved_column),50)&amp;"|",All_Questions_Q9_F_wrapped)),1,0),0))*1</f>
        <v>1</v>
      </c>
    </row>
    <row r="52">
      <c r="A52" t="n">
        <v>51</v>
      </c>
      <c r="B52" t="n">
        <v>5.25</v>
      </c>
      <c r="C52" t="n">
        <v>27.1</v>
      </c>
      <c r="D52">
        <f>1</f>
        <v>1</v>
      </c>
      <c r="E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F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G52">
        <f>E52*F52*1</f>
        <v>1</v>
      </c>
      <c r="H52">
        <f>1</f>
        <v>1</v>
      </c>
      <c r="I52">
        <f>IF(OR(All_Questions_Q8_F_Q="(None)",All_Questions_Q8_F_Q="",ISBLANK(All_Questions_Q8_F_Q),All_Questions_Q8_F_V="(All)",All_Questions_Q8_F_V="",ISBLANK(All_Questions_Q8_F_V)),1,IFERROR(IF(ISNUMBER(SEARCH("|"&amp;INDEX(INDIRECT(All_Questions_Q8_F_resolved_column),51)&amp;"|",All_Questions_Q8_F_wrapped)),1,0),0))*1</f>
        <v>1</v>
      </c>
      <c r="J52">
        <f>IF(OR(All_Questions_Q9_F_Q="(None)",All_Questions_Q9_F_Q="",ISBLANK(All_Questions_Q9_F_Q),All_Questions_Q9_F_V="(All)",All_Questions_Q9_F_V="",ISBLANK(All_Questions_Q9_F_V)),1,IFERROR(IF(ISNUMBER(SEARCH("|"&amp;INDEX(INDIRECT(All_Questions_Q9_F_resolved_column),51)&amp;"|",All_Questions_Q9_F_wrapped)),1,0),0))*1</f>
        <v>1</v>
      </c>
    </row>
    <row r="53">
      <c r="A53" t="n">
        <v>52</v>
      </c>
      <c r="B53" t="n">
        <v>5.25</v>
      </c>
      <c r="C53" t="n">
        <v>27.1</v>
      </c>
      <c r="D53">
        <f>1</f>
        <v>1</v>
      </c>
      <c r="E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F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G53">
        <f>E53*F53*1</f>
        <v>1</v>
      </c>
      <c r="H53">
        <f>1</f>
        <v>1</v>
      </c>
      <c r="I53">
        <f>IF(OR(All_Questions_Q8_F_Q="(None)",All_Questions_Q8_F_Q="",ISBLANK(All_Questions_Q8_F_Q),All_Questions_Q8_F_V="(All)",All_Questions_Q8_F_V="",ISBLANK(All_Questions_Q8_F_V)),1,IFERROR(IF(ISNUMBER(SEARCH("|"&amp;INDEX(INDIRECT(All_Questions_Q8_F_resolved_column),52)&amp;"|",All_Questions_Q8_F_wrapped)),1,0),0))*1</f>
        <v>1</v>
      </c>
      <c r="J53">
        <f>IF(OR(All_Questions_Q9_F_Q="(None)",All_Questions_Q9_F_Q="",ISBLANK(All_Questions_Q9_F_Q),All_Questions_Q9_F_V="(All)",All_Questions_Q9_F_V="",ISBLANK(All_Questions_Q9_F_V)),1,IFERROR(IF(ISNUMBER(SEARCH("|"&amp;INDEX(INDIRECT(All_Questions_Q9_F_resolved_column),52)&amp;"|",All_Questions_Q9_F_wrapped)),1,0),0))*1</f>
        <v>1</v>
      </c>
    </row>
    <row r="54">
      <c r="A54" t="n">
        <v>53</v>
      </c>
      <c r="B54" t="n">
        <v>5.25</v>
      </c>
      <c r="C54" t="n">
        <v>27.1</v>
      </c>
      <c r="D54">
        <f>1</f>
        <v>1</v>
      </c>
      <c r="E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F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G54">
        <f>E54*F54*1</f>
        <v>1</v>
      </c>
      <c r="H54">
        <f>1</f>
        <v>1</v>
      </c>
      <c r="I54">
        <f>IF(OR(All_Questions_Q8_F_Q="(None)",All_Questions_Q8_F_Q="",ISBLANK(All_Questions_Q8_F_Q),All_Questions_Q8_F_V="(All)",All_Questions_Q8_F_V="",ISBLANK(All_Questions_Q8_F_V)),1,IFERROR(IF(ISNUMBER(SEARCH("|"&amp;INDEX(INDIRECT(All_Questions_Q8_F_resolved_column),53)&amp;"|",All_Questions_Q8_F_wrapped)),1,0),0))*1</f>
        <v>1</v>
      </c>
      <c r="J54">
        <f>IF(OR(All_Questions_Q9_F_Q="(None)",All_Questions_Q9_F_Q="",ISBLANK(All_Questions_Q9_F_Q),All_Questions_Q9_F_V="(All)",All_Questions_Q9_F_V="",ISBLANK(All_Questions_Q9_F_V)),1,IFERROR(IF(ISNUMBER(SEARCH("|"&amp;INDEX(INDIRECT(All_Questions_Q9_F_resolved_column),53)&amp;"|",All_Questions_Q9_F_wrapped)),1,0),0))*1</f>
        <v>1</v>
      </c>
    </row>
    <row r="55">
      <c r="A55" t="n">
        <v>54</v>
      </c>
      <c r="B55" t="n">
        <v>5.25</v>
      </c>
      <c r="C55" t="n">
        <v>27.1</v>
      </c>
      <c r="D55">
        <f>1</f>
        <v>1</v>
      </c>
      <c r="E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F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G55">
        <f>E55*F55*1</f>
        <v>1</v>
      </c>
      <c r="H55">
        <f>1</f>
        <v>1</v>
      </c>
      <c r="I55">
        <f>IF(OR(All_Questions_Q8_F_Q="(None)",All_Questions_Q8_F_Q="",ISBLANK(All_Questions_Q8_F_Q),All_Questions_Q8_F_V="(All)",All_Questions_Q8_F_V="",ISBLANK(All_Questions_Q8_F_V)),1,IFERROR(IF(ISNUMBER(SEARCH("|"&amp;INDEX(INDIRECT(All_Questions_Q8_F_resolved_column),54)&amp;"|",All_Questions_Q8_F_wrapped)),1,0),0))*1</f>
        <v>1</v>
      </c>
      <c r="J55">
        <f>IF(OR(All_Questions_Q9_F_Q="(None)",All_Questions_Q9_F_Q="",ISBLANK(All_Questions_Q9_F_Q),All_Questions_Q9_F_V="(All)",All_Questions_Q9_F_V="",ISBLANK(All_Questions_Q9_F_V)),1,IFERROR(IF(ISNUMBER(SEARCH("|"&amp;INDEX(INDIRECT(All_Questions_Q9_F_resolved_column),54)&amp;"|",All_Questions_Q9_F_wrapped)),1,0),0))*1</f>
        <v>1</v>
      </c>
    </row>
    <row r="56">
      <c r="A56" t="n">
        <v>55</v>
      </c>
      <c r="B56" t="n">
        <v>5.25</v>
      </c>
      <c r="C56" t="n">
        <v>27.1</v>
      </c>
      <c r="D56">
        <f>1</f>
        <v>1</v>
      </c>
      <c r="E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F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G56">
        <f>E56*F56*1</f>
        <v>1</v>
      </c>
      <c r="H56">
        <f>1</f>
        <v>1</v>
      </c>
      <c r="I56">
        <f>IF(OR(All_Questions_Q8_F_Q="(None)",All_Questions_Q8_F_Q="",ISBLANK(All_Questions_Q8_F_Q),All_Questions_Q8_F_V="(All)",All_Questions_Q8_F_V="",ISBLANK(All_Questions_Q8_F_V)),1,IFERROR(IF(ISNUMBER(SEARCH("|"&amp;INDEX(INDIRECT(All_Questions_Q8_F_resolved_column),55)&amp;"|",All_Questions_Q8_F_wrapped)),1,0),0))*1</f>
        <v>1</v>
      </c>
      <c r="J56">
        <f>IF(OR(All_Questions_Q9_F_Q="(None)",All_Questions_Q9_F_Q="",ISBLANK(All_Questions_Q9_F_Q),All_Questions_Q9_F_V="(All)",All_Questions_Q9_F_V="",ISBLANK(All_Questions_Q9_F_V)),1,IFERROR(IF(ISNUMBER(SEARCH("|"&amp;INDEX(INDIRECT(All_Questions_Q9_F_resolved_column),55)&amp;"|",All_Questions_Q9_F_wrapped)),1,0),0))*1</f>
        <v>1</v>
      </c>
    </row>
    <row r="57">
      <c r="A57" t="n">
        <v>56</v>
      </c>
      <c r="B57" t="n">
        <v>5.25</v>
      </c>
      <c r="C57" t="n">
        <v>27.1</v>
      </c>
      <c r="D57">
        <f>1</f>
        <v>1</v>
      </c>
      <c r="E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F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G57">
        <f>E57*F57*1</f>
        <v>1</v>
      </c>
      <c r="H57">
        <f>1</f>
        <v>1</v>
      </c>
      <c r="I57">
        <f>IF(OR(All_Questions_Q8_F_Q="(None)",All_Questions_Q8_F_Q="",ISBLANK(All_Questions_Q8_F_Q),All_Questions_Q8_F_V="(All)",All_Questions_Q8_F_V="",ISBLANK(All_Questions_Q8_F_V)),1,IFERROR(IF(ISNUMBER(SEARCH("|"&amp;INDEX(INDIRECT(All_Questions_Q8_F_resolved_column),56)&amp;"|",All_Questions_Q8_F_wrapped)),1,0),0))*1</f>
        <v>1</v>
      </c>
      <c r="J57">
        <f>IF(OR(All_Questions_Q9_F_Q="(None)",All_Questions_Q9_F_Q="",ISBLANK(All_Questions_Q9_F_Q),All_Questions_Q9_F_V="(All)",All_Questions_Q9_F_V="",ISBLANK(All_Questions_Q9_F_V)),1,IFERROR(IF(ISNUMBER(SEARCH("|"&amp;INDEX(INDIRECT(All_Questions_Q9_F_resolved_column),56)&amp;"|",All_Questions_Q9_F_wrapped)),1,0),0))*1</f>
        <v>1</v>
      </c>
    </row>
    <row r="58">
      <c r="A58" t="n">
        <v>57</v>
      </c>
      <c r="B58" t="n">
        <v>5.25</v>
      </c>
      <c r="C58" t="n">
        <v>27.1</v>
      </c>
      <c r="D58">
        <f>1</f>
        <v>1</v>
      </c>
      <c r="E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F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G58">
        <f>E58*F58*1</f>
        <v>1</v>
      </c>
      <c r="H58">
        <f>1</f>
        <v>1</v>
      </c>
      <c r="I58">
        <f>IF(OR(All_Questions_Q8_F_Q="(None)",All_Questions_Q8_F_Q="",ISBLANK(All_Questions_Q8_F_Q),All_Questions_Q8_F_V="(All)",All_Questions_Q8_F_V="",ISBLANK(All_Questions_Q8_F_V)),1,IFERROR(IF(ISNUMBER(SEARCH("|"&amp;INDEX(INDIRECT(All_Questions_Q8_F_resolved_column),57)&amp;"|",All_Questions_Q8_F_wrapped)),1,0),0))*1</f>
        <v>1</v>
      </c>
      <c r="J58">
        <f>IF(OR(All_Questions_Q9_F_Q="(None)",All_Questions_Q9_F_Q="",ISBLANK(All_Questions_Q9_F_Q),All_Questions_Q9_F_V="(All)",All_Questions_Q9_F_V="",ISBLANK(All_Questions_Q9_F_V)),1,IFERROR(IF(ISNUMBER(SEARCH("|"&amp;INDEX(INDIRECT(All_Questions_Q9_F_resolved_column),57)&amp;"|",All_Questions_Q9_F_wrapped)),1,0),0))*1</f>
        <v>1</v>
      </c>
    </row>
    <row r="59">
      <c r="A59" t="n">
        <v>58</v>
      </c>
      <c r="B59" t="n">
        <v>5.25</v>
      </c>
      <c r="C59" t="n">
        <v>27.1</v>
      </c>
      <c r="D59">
        <f>1</f>
        <v>1</v>
      </c>
      <c r="E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F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G59">
        <f>E59*F59*1</f>
        <v>1</v>
      </c>
      <c r="H59">
        <f>1</f>
        <v>1</v>
      </c>
      <c r="I59">
        <f>IF(OR(All_Questions_Q8_F_Q="(None)",All_Questions_Q8_F_Q="",ISBLANK(All_Questions_Q8_F_Q),All_Questions_Q8_F_V="(All)",All_Questions_Q8_F_V="",ISBLANK(All_Questions_Q8_F_V)),1,IFERROR(IF(ISNUMBER(SEARCH("|"&amp;INDEX(INDIRECT(All_Questions_Q8_F_resolved_column),58)&amp;"|",All_Questions_Q8_F_wrapped)),1,0),0))*1</f>
        <v>1</v>
      </c>
      <c r="J59">
        <f>IF(OR(All_Questions_Q9_F_Q="(None)",All_Questions_Q9_F_Q="",ISBLANK(All_Questions_Q9_F_Q),All_Questions_Q9_F_V="(All)",All_Questions_Q9_F_V="",ISBLANK(All_Questions_Q9_F_V)),1,IFERROR(IF(ISNUMBER(SEARCH("|"&amp;INDEX(INDIRECT(All_Questions_Q9_F_resolved_column),58)&amp;"|",All_Questions_Q9_F_wrapped)),1,0),0))*1</f>
        <v>1</v>
      </c>
    </row>
    <row r="60">
      <c r="A60" t="n">
        <v>59</v>
      </c>
      <c r="B60" t="n">
        <v>5.25</v>
      </c>
      <c r="C60" t="n">
        <v>27.1</v>
      </c>
      <c r="D60">
        <f>1</f>
        <v>1</v>
      </c>
      <c r="E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F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G60">
        <f>E60*F60*1</f>
        <v>1</v>
      </c>
      <c r="H60">
        <f>1</f>
        <v>1</v>
      </c>
      <c r="I60">
        <f>IF(OR(All_Questions_Q8_F_Q="(None)",All_Questions_Q8_F_Q="",ISBLANK(All_Questions_Q8_F_Q),All_Questions_Q8_F_V="(All)",All_Questions_Q8_F_V="",ISBLANK(All_Questions_Q8_F_V)),1,IFERROR(IF(ISNUMBER(SEARCH("|"&amp;INDEX(INDIRECT(All_Questions_Q8_F_resolved_column),59)&amp;"|",All_Questions_Q8_F_wrapped)),1,0),0))*1</f>
        <v>1</v>
      </c>
      <c r="J60">
        <f>IF(OR(All_Questions_Q9_F_Q="(None)",All_Questions_Q9_F_Q="",ISBLANK(All_Questions_Q9_F_Q),All_Questions_Q9_F_V="(All)",All_Questions_Q9_F_V="",ISBLANK(All_Questions_Q9_F_V)),1,IFERROR(IF(ISNUMBER(SEARCH("|"&amp;INDEX(INDIRECT(All_Questions_Q9_F_resolved_column),59)&amp;"|",All_Questions_Q9_F_wrapped)),1,0),0))*1</f>
        <v>1</v>
      </c>
    </row>
    <row r="61">
      <c r="A61" t="n">
        <v>60</v>
      </c>
      <c r="B61" t="n">
        <v>5.25</v>
      </c>
      <c r="C61" t="n">
        <v>27.1</v>
      </c>
      <c r="D61">
        <f>1</f>
        <v>1</v>
      </c>
      <c r="E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F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G61">
        <f>E61*F61*1</f>
        <v>1</v>
      </c>
      <c r="H61">
        <f>1</f>
        <v>1</v>
      </c>
      <c r="I61">
        <f>IF(OR(All_Questions_Q8_F_Q="(None)",All_Questions_Q8_F_Q="",ISBLANK(All_Questions_Q8_F_Q),All_Questions_Q8_F_V="(All)",All_Questions_Q8_F_V="",ISBLANK(All_Questions_Q8_F_V)),1,IFERROR(IF(ISNUMBER(SEARCH("|"&amp;INDEX(INDIRECT(All_Questions_Q8_F_resolved_column),60)&amp;"|",All_Questions_Q8_F_wrapped)),1,0),0))*1</f>
        <v>1</v>
      </c>
      <c r="J61">
        <f>IF(OR(All_Questions_Q9_F_Q="(None)",All_Questions_Q9_F_Q="",ISBLANK(All_Questions_Q9_F_Q),All_Questions_Q9_F_V="(All)",All_Questions_Q9_F_V="",ISBLANK(All_Questions_Q9_F_V)),1,IFERROR(IF(ISNUMBER(SEARCH("|"&amp;INDEX(INDIRECT(All_Questions_Q9_F_resolved_column),60)&amp;"|",All_Questions_Q9_F_wrapped)),1,0),0))*1</f>
        <v>1</v>
      </c>
    </row>
    <row r="62">
      <c r="A62" t="n">
        <v>61</v>
      </c>
      <c r="B62" t="n">
        <v>5.25</v>
      </c>
      <c r="C62" t="n">
        <v>27.1</v>
      </c>
      <c r="D62">
        <f>1</f>
        <v>1</v>
      </c>
      <c r="E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F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G62">
        <f>E62*F62*1</f>
        <v>1</v>
      </c>
      <c r="H62">
        <f>1</f>
        <v>1</v>
      </c>
      <c r="I62">
        <f>IF(OR(All_Questions_Q8_F_Q="(None)",All_Questions_Q8_F_Q="",ISBLANK(All_Questions_Q8_F_Q),All_Questions_Q8_F_V="(All)",All_Questions_Q8_F_V="",ISBLANK(All_Questions_Q8_F_V)),1,IFERROR(IF(ISNUMBER(SEARCH("|"&amp;INDEX(INDIRECT(All_Questions_Q8_F_resolved_column),61)&amp;"|",All_Questions_Q8_F_wrapped)),1,0),0))*1</f>
        <v>1</v>
      </c>
      <c r="J62">
        <f>IF(OR(All_Questions_Q9_F_Q="(None)",All_Questions_Q9_F_Q="",ISBLANK(All_Questions_Q9_F_Q),All_Questions_Q9_F_V="(All)",All_Questions_Q9_F_V="",ISBLANK(All_Questions_Q9_F_V)),1,IFERROR(IF(ISNUMBER(SEARCH("|"&amp;INDEX(INDIRECT(All_Questions_Q9_F_resolved_column),61)&amp;"|",All_Questions_Q9_F_wrapped)),1,0),0))*1</f>
        <v>1</v>
      </c>
    </row>
    <row r="63">
      <c r="A63" t="n">
        <v>62</v>
      </c>
      <c r="B63" t="n">
        <v>5.25</v>
      </c>
      <c r="C63" t="n">
        <v>27.1</v>
      </c>
      <c r="D63">
        <f>1</f>
        <v>1</v>
      </c>
      <c r="E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F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G63">
        <f>E63*F63*1</f>
        <v>1</v>
      </c>
      <c r="H63">
        <f>1</f>
        <v>1</v>
      </c>
      <c r="I63">
        <f>IF(OR(All_Questions_Q8_F_Q="(None)",All_Questions_Q8_F_Q="",ISBLANK(All_Questions_Q8_F_Q),All_Questions_Q8_F_V="(All)",All_Questions_Q8_F_V="",ISBLANK(All_Questions_Q8_F_V)),1,IFERROR(IF(ISNUMBER(SEARCH("|"&amp;INDEX(INDIRECT(All_Questions_Q8_F_resolved_column),62)&amp;"|",All_Questions_Q8_F_wrapped)),1,0),0))*1</f>
        <v>1</v>
      </c>
      <c r="J63">
        <f>IF(OR(All_Questions_Q9_F_Q="(None)",All_Questions_Q9_F_Q="",ISBLANK(All_Questions_Q9_F_Q),All_Questions_Q9_F_V="(All)",All_Questions_Q9_F_V="",ISBLANK(All_Questions_Q9_F_V)),1,IFERROR(IF(ISNUMBER(SEARCH("|"&amp;INDEX(INDIRECT(All_Questions_Q9_F_resolved_column),62)&amp;"|",All_Questions_Q9_F_wrapped)),1,0),0))*1</f>
        <v>1</v>
      </c>
    </row>
    <row r="64">
      <c r="A64" t="n">
        <v>63</v>
      </c>
      <c r="B64" t="n">
        <v>5.25</v>
      </c>
      <c r="C64" t="n">
        <v>27.1</v>
      </c>
      <c r="D64">
        <f>1</f>
        <v>1</v>
      </c>
      <c r="E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F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G64">
        <f>E64*F64*1</f>
        <v>1</v>
      </c>
      <c r="H64">
        <f>1</f>
        <v>1</v>
      </c>
      <c r="I64">
        <f>IF(OR(All_Questions_Q8_F_Q="(None)",All_Questions_Q8_F_Q="",ISBLANK(All_Questions_Q8_F_Q),All_Questions_Q8_F_V="(All)",All_Questions_Q8_F_V="",ISBLANK(All_Questions_Q8_F_V)),1,IFERROR(IF(ISNUMBER(SEARCH("|"&amp;INDEX(INDIRECT(All_Questions_Q8_F_resolved_column),63)&amp;"|",All_Questions_Q8_F_wrapped)),1,0),0))*1</f>
        <v>1</v>
      </c>
      <c r="J64">
        <f>IF(OR(All_Questions_Q9_F_Q="(None)",All_Questions_Q9_F_Q="",ISBLANK(All_Questions_Q9_F_Q),All_Questions_Q9_F_V="(All)",All_Questions_Q9_F_V="",ISBLANK(All_Questions_Q9_F_V)),1,IFERROR(IF(ISNUMBER(SEARCH("|"&amp;INDEX(INDIRECT(All_Questions_Q9_F_resolved_column),63)&amp;"|",All_Questions_Q9_F_wrapped)),1,0),0))*1</f>
        <v>1</v>
      </c>
    </row>
    <row r="65">
      <c r="A65" t="n">
        <v>64</v>
      </c>
      <c r="B65" t="n">
        <v>5.25</v>
      </c>
      <c r="C65" t="n">
        <v>27.1</v>
      </c>
      <c r="D65">
        <f>1</f>
        <v>1</v>
      </c>
      <c r="E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F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G65">
        <f>E65*F65*1</f>
        <v>1</v>
      </c>
      <c r="H65">
        <f>1</f>
        <v>1</v>
      </c>
      <c r="I65">
        <f>IF(OR(All_Questions_Q8_F_Q="(None)",All_Questions_Q8_F_Q="",ISBLANK(All_Questions_Q8_F_Q),All_Questions_Q8_F_V="(All)",All_Questions_Q8_F_V="",ISBLANK(All_Questions_Q8_F_V)),1,IFERROR(IF(ISNUMBER(SEARCH("|"&amp;INDEX(INDIRECT(All_Questions_Q8_F_resolved_column),64)&amp;"|",All_Questions_Q8_F_wrapped)),1,0),0))*1</f>
        <v>1</v>
      </c>
      <c r="J65">
        <f>IF(OR(All_Questions_Q9_F_Q="(None)",All_Questions_Q9_F_Q="",ISBLANK(All_Questions_Q9_F_Q),All_Questions_Q9_F_V="(All)",All_Questions_Q9_F_V="",ISBLANK(All_Questions_Q9_F_V)),1,IFERROR(IF(ISNUMBER(SEARCH("|"&amp;INDEX(INDIRECT(All_Questions_Q9_F_resolved_column),64)&amp;"|",All_Questions_Q9_F_wrapped)),1,0),0))*1</f>
        <v>1</v>
      </c>
    </row>
    <row r="66">
      <c r="A66" t="n">
        <v>65</v>
      </c>
      <c r="B66" t="n">
        <v>5.25</v>
      </c>
      <c r="C66" t="n">
        <v>27.1</v>
      </c>
      <c r="D66">
        <f>1</f>
        <v>1</v>
      </c>
      <c r="E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F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G66">
        <f>E66*F66*1</f>
        <v>1</v>
      </c>
      <c r="H66">
        <f>1</f>
        <v>1</v>
      </c>
      <c r="I66">
        <f>IF(OR(All_Questions_Q8_F_Q="(None)",All_Questions_Q8_F_Q="",ISBLANK(All_Questions_Q8_F_Q),All_Questions_Q8_F_V="(All)",All_Questions_Q8_F_V="",ISBLANK(All_Questions_Q8_F_V)),1,IFERROR(IF(ISNUMBER(SEARCH("|"&amp;INDEX(INDIRECT(All_Questions_Q8_F_resolved_column),65)&amp;"|",All_Questions_Q8_F_wrapped)),1,0),0))*1</f>
        <v>1</v>
      </c>
      <c r="J66">
        <f>IF(OR(All_Questions_Q9_F_Q="(None)",All_Questions_Q9_F_Q="",ISBLANK(All_Questions_Q9_F_Q),All_Questions_Q9_F_V="(All)",All_Questions_Q9_F_V="",ISBLANK(All_Questions_Q9_F_V)),1,IFERROR(IF(ISNUMBER(SEARCH("|"&amp;INDEX(INDIRECT(All_Questions_Q9_F_resolved_column),65)&amp;"|",All_Questions_Q9_F_wrapped)),1,0),0))*1</f>
        <v>1</v>
      </c>
    </row>
    <row r="67">
      <c r="A67" t="n">
        <v>66</v>
      </c>
      <c r="B67" t="n">
        <v>5.25</v>
      </c>
      <c r="C67" t="n">
        <v>27.1</v>
      </c>
      <c r="D67">
        <f>1</f>
        <v>1</v>
      </c>
      <c r="E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F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G67">
        <f>E67*F67*1</f>
        <v>1</v>
      </c>
      <c r="H67">
        <f>1</f>
        <v>1</v>
      </c>
      <c r="I67">
        <f>IF(OR(All_Questions_Q8_F_Q="(None)",All_Questions_Q8_F_Q="",ISBLANK(All_Questions_Q8_F_Q),All_Questions_Q8_F_V="(All)",All_Questions_Q8_F_V="",ISBLANK(All_Questions_Q8_F_V)),1,IFERROR(IF(ISNUMBER(SEARCH("|"&amp;INDEX(INDIRECT(All_Questions_Q8_F_resolved_column),66)&amp;"|",All_Questions_Q8_F_wrapped)),1,0),0))*1</f>
        <v>1</v>
      </c>
      <c r="J67">
        <f>IF(OR(All_Questions_Q9_F_Q="(None)",All_Questions_Q9_F_Q="",ISBLANK(All_Questions_Q9_F_Q),All_Questions_Q9_F_V="(All)",All_Questions_Q9_F_V="",ISBLANK(All_Questions_Q9_F_V)),1,IFERROR(IF(ISNUMBER(SEARCH("|"&amp;INDEX(INDIRECT(All_Questions_Q9_F_resolved_column),66)&amp;"|",All_Questions_Q9_F_wrapped)),1,0),0))*1</f>
        <v>1</v>
      </c>
    </row>
    <row r="68">
      <c r="A68" t="n">
        <v>67</v>
      </c>
      <c r="B68" t="n">
        <v>5.25</v>
      </c>
      <c r="C68" t="n">
        <v>27.1</v>
      </c>
      <c r="D68">
        <f>1</f>
        <v>1</v>
      </c>
      <c r="E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F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G68">
        <f>E68*F68*1</f>
        <v>1</v>
      </c>
      <c r="H68">
        <f>1</f>
        <v>1</v>
      </c>
      <c r="I68">
        <f>IF(OR(All_Questions_Q8_F_Q="(None)",All_Questions_Q8_F_Q="",ISBLANK(All_Questions_Q8_F_Q),All_Questions_Q8_F_V="(All)",All_Questions_Q8_F_V="",ISBLANK(All_Questions_Q8_F_V)),1,IFERROR(IF(ISNUMBER(SEARCH("|"&amp;INDEX(INDIRECT(All_Questions_Q8_F_resolved_column),67)&amp;"|",All_Questions_Q8_F_wrapped)),1,0),0))*1</f>
        <v>1</v>
      </c>
      <c r="J68">
        <f>IF(OR(All_Questions_Q9_F_Q="(None)",All_Questions_Q9_F_Q="",ISBLANK(All_Questions_Q9_F_Q),All_Questions_Q9_F_V="(All)",All_Questions_Q9_F_V="",ISBLANK(All_Questions_Q9_F_V)),1,IFERROR(IF(ISNUMBER(SEARCH("|"&amp;INDEX(INDIRECT(All_Questions_Q9_F_resolved_column),67)&amp;"|",All_Questions_Q9_F_wrapped)),1,0),0))*1</f>
        <v>1</v>
      </c>
    </row>
    <row r="69">
      <c r="A69" t="n">
        <v>68</v>
      </c>
      <c r="B69" t="n">
        <v>5.25</v>
      </c>
      <c r="C69" t="n">
        <v>27.1</v>
      </c>
      <c r="D69">
        <f>1</f>
        <v>1</v>
      </c>
      <c r="E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F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G69">
        <f>E69*F69*1</f>
        <v>1</v>
      </c>
      <c r="H69">
        <f>1</f>
        <v>1</v>
      </c>
      <c r="I69">
        <f>IF(OR(All_Questions_Q8_F_Q="(None)",All_Questions_Q8_F_Q="",ISBLANK(All_Questions_Q8_F_Q),All_Questions_Q8_F_V="(All)",All_Questions_Q8_F_V="",ISBLANK(All_Questions_Q8_F_V)),1,IFERROR(IF(ISNUMBER(SEARCH("|"&amp;INDEX(INDIRECT(All_Questions_Q8_F_resolved_column),68)&amp;"|",All_Questions_Q8_F_wrapped)),1,0),0))*1</f>
        <v>1</v>
      </c>
      <c r="J69">
        <f>IF(OR(All_Questions_Q9_F_Q="(None)",All_Questions_Q9_F_Q="",ISBLANK(All_Questions_Q9_F_Q),All_Questions_Q9_F_V="(All)",All_Questions_Q9_F_V="",ISBLANK(All_Questions_Q9_F_V)),1,IFERROR(IF(ISNUMBER(SEARCH("|"&amp;INDEX(INDIRECT(All_Questions_Q9_F_resolved_column),68)&amp;"|",All_Questions_Q9_F_wrapped)),1,0),0))*1</f>
        <v>1</v>
      </c>
    </row>
    <row r="70">
      <c r="A70" t="n">
        <v>69</v>
      </c>
      <c r="B70" t="n">
        <v>5.25</v>
      </c>
      <c r="C70" t="n">
        <v>27.1</v>
      </c>
      <c r="D70">
        <f>1</f>
        <v>1</v>
      </c>
      <c r="E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F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G70">
        <f>E70*F70*1</f>
        <v>1</v>
      </c>
      <c r="H70">
        <f>1</f>
        <v>1</v>
      </c>
      <c r="I70">
        <f>IF(OR(All_Questions_Q8_F_Q="(None)",All_Questions_Q8_F_Q="",ISBLANK(All_Questions_Q8_F_Q),All_Questions_Q8_F_V="(All)",All_Questions_Q8_F_V="",ISBLANK(All_Questions_Q8_F_V)),1,IFERROR(IF(ISNUMBER(SEARCH("|"&amp;INDEX(INDIRECT(All_Questions_Q8_F_resolved_column),69)&amp;"|",All_Questions_Q8_F_wrapped)),1,0),0))*1</f>
        <v>1</v>
      </c>
      <c r="J70">
        <f>IF(OR(All_Questions_Q9_F_Q="(None)",All_Questions_Q9_F_Q="",ISBLANK(All_Questions_Q9_F_Q),All_Questions_Q9_F_V="(All)",All_Questions_Q9_F_V="",ISBLANK(All_Questions_Q9_F_V)),1,IFERROR(IF(ISNUMBER(SEARCH("|"&amp;INDEX(INDIRECT(All_Questions_Q9_F_resolved_column),69)&amp;"|",All_Questions_Q9_F_wrapped)),1,0),0))*1</f>
        <v>1</v>
      </c>
    </row>
    <row r="71">
      <c r="A71" t="n">
        <v>70</v>
      </c>
      <c r="B71" t="n">
        <v>5.25</v>
      </c>
      <c r="C71" t="n">
        <v>27.1</v>
      </c>
      <c r="D71">
        <f>1</f>
        <v>1</v>
      </c>
      <c r="E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F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G71">
        <f>E71*F71*1</f>
        <v>1</v>
      </c>
      <c r="H71">
        <f>1</f>
        <v>1</v>
      </c>
      <c r="I71">
        <f>IF(OR(All_Questions_Q8_F_Q="(None)",All_Questions_Q8_F_Q="",ISBLANK(All_Questions_Q8_F_Q),All_Questions_Q8_F_V="(All)",All_Questions_Q8_F_V="",ISBLANK(All_Questions_Q8_F_V)),1,IFERROR(IF(ISNUMBER(SEARCH("|"&amp;INDEX(INDIRECT(All_Questions_Q8_F_resolved_column),70)&amp;"|",All_Questions_Q8_F_wrapped)),1,0),0))*1</f>
        <v>1</v>
      </c>
      <c r="J71">
        <f>IF(OR(All_Questions_Q9_F_Q="(None)",All_Questions_Q9_F_Q="",ISBLANK(All_Questions_Q9_F_Q),All_Questions_Q9_F_V="(All)",All_Questions_Q9_F_V="",ISBLANK(All_Questions_Q9_F_V)),1,IFERROR(IF(ISNUMBER(SEARCH("|"&amp;INDEX(INDIRECT(All_Questions_Q9_F_resolved_column),70)&amp;"|",All_Questions_Q9_F_wrapped)),1,0),0))*1</f>
        <v>1</v>
      </c>
    </row>
    <row r="72">
      <c r="A72" t="n">
        <v>71</v>
      </c>
      <c r="B72" t="n">
        <v>5.25</v>
      </c>
      <c r="C72" t="n">
        <v>27.1</v>
      </c>
      <c r="D72">
        <f>1</f>
        <v>1</v>
      </c>
      <c r="E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F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G72">
        <f>E72*F72*1</f>
        <v>1</v>
      </c>
      <c r="H72">
        <f>1</f>
        <v>1</v>
      </c>
      <c r="I72">
        <f>IF(OR(All_Questions_Q8_F_Q="(None)",All_Questions_Q8_F_Q="",ISBLANK(All_Questions_Q8_F_Q),All_Questions_Q8_F_V="(All)",All_Questions_Q8_F_V="",ISBLANK(All_Questions_Q8_F_V)),1,IFERROR(IF(ISNUMBER(SEARCH("|"&amp;INDEX(INDIRECT(All_Questions_Q8_F_resolved_column),71)&amp;"|",All_Questions_Q8_F_wrapped)),1,0),0))*1</f>
        <v>1</v>
      </c>
      <c r="J72">
        <f>IF(OR(All_Questions_Q9_F_Q="(None)",All_Questions_Q9_F_Q="",ISBLANK(All_Questions_Q9_F_Q),All_Questions_Q9_F_V="(All)",All_Questions_Q9_F_V="",ISBLANK(All_Questions_Q9_F_V)),1,IFERROR(IF(ISNUMBER(SEARCH("|"&amp;INDEX(INDIRECT(All_Questions_Q9_F_resolved_column),71)&amp;"|",All_Questions_Q9_F_wrapped)),1,0),0))*1</f>
        <v>1</v>
      </c>
    </row>
    <row r="73">
      <c r="A73" t="n">
        <v>72</v>
      </c>
      <c r="B73" t="n">
        <v>5.25</v>
      </c>
      <c r="C73" t="n">
        <v>27.1</v>
      </c>
      <c r="D73">
        <f>1</f>
        <v>1</v>
      </c>
      <c r="E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F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G73">
        <f>E73*F73*1</f>
        <v>1</v>
      </c>
      <c r="H73">
        <f>1</f>
        <v>1</v>
      </c>
      <c r="I73">
        <f>IF(OR(All_Questions_Q8_F_Q="(None)",All_Questions_Q8_F_Q="",ISBLANK(All_Questions_Q8_F_Q),All_Questions_Q8_F_V="(All)",All_Questions_Q8_F_V="",ISBLANK(All_Questions_Q8_F_V)),1,IFERROR(IF(ISNUMBER(SEARCH("|"&amp;INDEX(INDIRECT(All_Questions_Q8_F_resolved_column),72)&amp;"|",All_Questions_Q8_F_wrapped)),1,0),0))*1</f>
        <v>1</v>
      </c>
      <c r="J73">
        <f>IF(OR(All_Questions_Q9_F_Q="(None)",All_Questions_Q9_F_Q="",ISBLANK(All_Questions_Q9_F_Q),All_Questions_Q9_F_V="(All)",All_Questions_Q9_F_V="",ISBLANK(All_Questions_Q9_F_V)),1,IFERROR(IF(ISNUMBER(SEARCH("|"&amp;INDEX(INDIRECT(All_Questions_Q9_F_resolved_column),72)&amp;"|",All_Questions_Q9_F_wrapped)),1,0),0))*1</f>
        <v>1</v>
      </c>
    </row>
    <row r="74">
      <c r="A74" t="n">
        <v>73</v>
      </c>
      <c r="B74" t="n">
        <v>5.25</v>
      </c>
      <c r="C74" t="n">
        <v>27.1</v>
      </c>
      <c r="D74">
        <f>1</f>
        <v>1</v>
      </c>
      <c r="E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F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G74">
        <f>E74*F74*1</f>
        <v>1</v>
      </c>
      <c r="H74">
        <f>1</f>
        <v>1</v>
      </c>
      <c r="I74">
        <f>IF(OR(All_Questions_Q8_F_Q="(None)",All_Questions_Q8_F_Q="",ISBLANK(All_Questions_Q8_F_Q),All_Questions_Q8_F_V="(All)",All_Questions_Q8_F_V="",ISBLANK(All_Questions_Q8_F_V)),1,IFERROR(IF(ISNUMBER(SEARCH("|"&amp;INDEX(INDIRECT(All_Questions_Q8_F_resolved_column),73)&amp;"|",All_Questions_Q8_F_wrapped)),1,0),0))*1</f>
        <v>1</v>
      </c>
      <c r="J74">
        <f>IF(OR(All_Questions_Q9_F_Q="(None)",All_Questions_Q9_F_Q="",ISBLANK(All_Questions_Q9_F_Q),All_Questions_Q9_F_V="(All)",All_Questions_Q9_F_V="",ISBLANK(All_Questions_Q9_F_V)),1,IFERROR(IF(ISNUMBER(SEARCH("|"&amp;INDEX(INDIRECT(All_Questions_Q9_F_resolved_column),73)&amp;"|",All_Questions_Q9_F_wrapped)),1,0),0))*1</f>
        <v>1</v>
      </c>
    </row>
    <row r="75">
      <c r="A75" t="n">
        <v>74</v>
      </c>
      <c r="B75" t="n">
        <v>5.25</v>
      </c>
      <c r="C75" t="n">
        <v>27.1</v>
      </c>
      <c r="D75">
        <f>1</f>
        <v>1</v>
      </c>
      <c r="E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F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G75">
        <f>E75*F75*1</f>
        <v>1</v>
      </c>
      <c r="H75">
        <f>1</f>
        <v>1</v>
      </c>
      <c r="I75">
        <f>IF(OR(All_Questions_Q8_F_Q="(None)",All_Questions_Q8_F_Q="",ISBLANK(All_Questions_Q8_F_Q),All_Questions_Q8_F_V="(All)",All_Questions_Q8_F_V="",ISBLANK(All_Questions_Q8_F_V)),1,IFERROR(IF(ISNUMBER(SEARCH("|"&amp;INDEX(INDIRECT(All_Questions_Q8_F_resolved_column),74)&amp;"|",All_Questions_Q8_F_wrapped)),1,0),0))*1</f>
        <v>1</v>
      </c>
      <c r="J75">
        <f>IF(OR(All_Questions_Q9_F_Q="(None)",All_Questions_Q9_F_Q="",ISBLANK(All_Questions_Q9_F_Q),All_Questions_Q9_F_V="(All)",All_Questions_Q9_F_V="",ISBLANK(All_Questions_Q9_F_V)),1,IFERROR(IF(ISNUMBER(SEARCH("|"&amp;INDEX(INDIRECT(All_Questions_Q9_F_resolved_column),74)&amp;"|",All_Questions_Q9_F_wrapped)),1,0),0))*1</f>
        <v>1</v>
      </c>
    </row>
    <row r="76">
      <c r="A76" t="n">
        <v>75</v>
      </c>
      <c r="B76" t="n">
        <v>5.25</v>
      </c>
      <c r="C76" t="n">
        <v>27.1</v>
      </c>
      <c r="D76">
        <f>1</f>
        <v>1</v>
      </c>
      <c r="E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F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G76">
        <f>E76*F76*1</f>
        <v>1</v>
      </c>
      <c r="H76">
        <f>1</f>
        <v>1</v>
      </c>
      <c r="I76">
        <f>IF(OR(All_Questions_Q8_F_Q="(None)",All_Questions_Q8_F_Q="",ISBLANK(All_Questions_Q8_F_Q),All_Questions_Q8_F_V="(All)",All_Questions_Q8_F_V="",ISBLANK(All_Questions_Q8_F_V)),1,IFERROR(IF(ISNUMBER(SEARCH("|"&amp;INDEX(INDIRECT(All_Questions_Q8_F_resolved_column),75)&amp;"|",All_Questions_Q8_F_wrapped)),1,0),0))*1</f>
        <v>1</v>
      </c>
      <c r="J76">
        <f>IF(OR(All_Questions_Q9_F_Q="(None)",All_Questions_Q9_F_Q="",ISBLANK(All_Questions_Q9_F_Q),All_Questions_Q9_F_V="(All)",All_Questions_Q9_F_V="",ISBLANK(All_Questions_Q9_F_V)),1,IFERROR(IF(ISNUMBER(SEARCH("|"&amp;INDEX(INDIRECT(All_Questions_Q9_F_resolved_column),75)&amp;"|",All_Questions_Q9_F_wrapped)),1,0),0))*1</f>
        <v>1</v>
      </c>
    </row>
    <row r="77">
      <c r="A77" t="n">
        <v>76</v>
      </c>
      <c r="B77" t="n">
        <v>5.25</v>
      </c>
      <c r="C77" t="n">
        <v>27.1</v>
      </c>
      <c r="D77">
        <f>1</f>
        <v>1</v>
      </c>
      <c r="E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F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G77">
        <f>E77*F77*1</f>
        <v>1</v>
      </c>
      <c r="H77">
        <f>1</f>
        <v>1</v>
      </c>
      <c r="I77">
        <f>IF(OR(All_Questions_Q8_F_Q="(None)",All_Questions_Q8_F_Q="",ISBLANK(All_Questions_Q8_F_Q),All_Questions_Q8_F_V="(All)",All_Questions_Q8_F_V="",ISBLANK(All_Questions_Q8_F_V)),1,IFERROR(IF(ISNUMBER(SEARCH("|"&amp;INDEX(INDIRECT(All_Questions_Q8_F_resolved_column),76)&amp;"|",All_Questions_Q8_F_wrapped)),1,0),0))*1</f>
        <v>1</v>
      </c>
      <c r="J77">
        <f>IF(OR(All_Questions_Q9_F_Q="(None)",All_Questions_Q9_F_Q="",ISBLANK(All_Questions_Q9_F_Q),All_Questions_Q9_F_V="(All)",All_Questions_Q9_F_V="",ISBLANK(All_Questions_Q9_F_V)),1,IFERROR(IF(ISNUMBER(SEARCH("|"&amp;INDEX(INDIRECT(All_Questions_Q9_F_resolved_column),76)&amp;"|",All_Questions_Q9_F_wrapped)),1,0),0))*1</f>
        <v>1</v>
      </c>
    </row>
    <row r="78">
      <c r="A78" t="n">
        <v>77</v>
      </c>
      <c r="B78" t="n">
        <v>5.25</v>
      </c>
      <c r="C78" t="n">
        <v>27.1</v>
      </c>
      <c r="D78">
        <f>1</f>
        <v>1</v>
      </c>
      <c r="E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F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G78">
        <f>E78*F78*1</f>
        <v>1</v>
      </c>
      <c r="H78">
        <f>1</f>
        <v>1</v>
      </c>
      <c r="I78">
        <f>IF(OR(All_Questions_Q8_F_Q="(None)",All_Questions_Q8_F_Q="",ISBLANK(All_Questions_Q8_F_Q),All_Questions_Q8_F_V="(All)",All_Questions_Q8_F_V="",ISBLANK(All_Questions_Q8_F_V)),1,IFERROR(IF(ISNUMBER(SEARCH("|"&amp;INDEX(INDIRECT(All_Questions_Q8_F_resolved_column),77)&amp;"|",All_Questions_Q8_F_wrapped)),1,0),0))*1</f>
        <v>1</v>
      </c>
      <c r="J78">
        <f>IF(OR(All_Questions_Q9_F_Q="(None)",All_Questions_Q9_F_Q="",ISBLANK(All_Questions_Q9_F_Q),All_Questions_Q9_F_V="(All)",All_Questions_Q9_F_V="",ISBLANK(All_Questions_Q9_F_V)),1,IFERROR(IF(ISNUMBER(SEARCH("|"&amp;INDEX(INDIRECT(All_Questions_Q9_F_resolved_column),77)&amp;"|",All_Questions_Q9_F_wrapped)),1,0),0))*1</f>
        <v>1</v>
      </c>
    </row>
    <row r="79">
      <c r="A79" t="n">
        <v>78</v>
      </c>
      <c r="B79" t="n">
        <v>5.25</v>
      </c>
      <c r="C79" t="n">
        <v>27.1</v>
      </c>
      <c r="D79">
        <f>1</f>
        <v>1</v>
      </c>
      <c r="E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F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G79">
        <f>E79*F79*1</f>
        <v>1</v>
      </c>
      <c r="H79">
        <f>1</f>
        <v>1</v>
      </c>
      <c r="I79">
        <f>IF(OR(All_Questions_Q8_F_Q="(None)",All_Questions_Q8_F_Q="",ISBLANK(All_Questions_Q8_F_Q),All_Questions_Q8_F_V="(All)",All_Questions_Q8_F_V="",ISBLANK(All_Questions_Q8_F_V)),1,IFERROR(IF(ISNUMBER(SEARCH("|"&amp;INDEX(INDIRECT(All_Questions_Q8_F_resolved_column),78)&amp;"|",All_Questions_Q8_F_wrapped)),1,0),0))*1</f>
        <v>1</v>
      </c>
      <c r="J79">
        <f>IF(OR(All_Questions_Q9_F_Q="(None)",All_Questions_Q9_F_Q="",ISBLANK(All_Questions_Q9_F_Q),All_Questions_Q9_F_V="(All)",All_Questions_Q9_F_V="",ISBLANK(All_Questions_Q9_F_V)),1,IFERROR(IF(ISNUMBER(SEARCH("|"&amp;INDEX(INDIRECT(All_Questions_Q9_F_resolved_column),78)&amp;"|",All_Questions_Q9_F_wrapped)),1,0),0))*1</f>
        <v>1</v>
      </c>
    </row>
    <row r="80">
      <c r="A80" t="n">
        <v>79</v>
      </c>
      <c r="B80" t="n">
        <v>5.25</v>
      </c>
      <c r="C80" t="n">
        <v>27.1</v>
      </c>
      <c r="D80">
        <f>1</f>
        <v>1</v>
      </c>
      <c r="E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F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G80">
        <f>E80*F80*1</f>
        <v>1</v>
      </c>
      <c r="H80">
        <f>1</f>
        <v>1</v>
      </c>
      <c r="I80">
        <f>IF(OR(All_Questions_Q8_F_Q="(None)",All_Questions_Q8_F_Q="",ISBLANK(All_Questions_Q8_F_Q),All_Questions_Q8_F_V="(All)",All_Questions_Q8_F_V="",ISBLANK(All_Questions_Q8_F_V)),1,IFERROR(IF(ISNUMBER(SEARCH("|"&amp;INDEX(INDIRECT(All_Questions_Q8_F_resolved_column),79)&amp;"|",All_Questions_Q8_F_wrapped)),1,0),0))*1</f>
        <v>1</v>
      </c>
      <c r="J80">
        <f>IF(OR(All_Questions_Q9_F_Q="(None)",All_Questions_Q9_F_Q="",ISBLANK(All_Questions_Q9_F_Q),All_Questions_Q9_F_V="(All)",All_Questions_Q9_F_V="",ISBLANK(All_Questions_Q9_F_V)),1,IFERROR(IF(ISNUMBER(SEARCH("|"&amp;INDEX(INDIRECT(All_Questions_Q9_F_resolved_column),79)&amp;"|",All_Questions_Q9_F_wrapped)),1,0),0))*1</f>
        <v>1</v>
      </c>
    </row>
    <row r="81">
      <c r="A81" t="n">
        <v>80</v>
      </c>
      <c r="B81" t="n">
        <v>5.25</v>
      </c>
      <c r="C81" t="n">
        <v>27.1</v>
      </c>
      <c r="D81">
        <f>1</f>
        <v>1</v>
      </c>
      <c r="E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F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G81">
        <f>E81*F81*1</f>
        <v>1</v>
      </c>
      <c r="H81">
        <f>1</f>
        <v>1</v>
      </c>
      <c r="I81">
        <f>IF(OR(All_Questions_Q8_F_Q="(None)",All_Questions_Q8_F_Q="",ISBLANK(All_Questions_Q8_F_Q),All_Questions_Q8_F_V="(All)",All_Questions_Q8_F_V="",ISBLANK(All_Questions_Q8_F_V)),1,IFERROR(IF(ISNUMBER(SEARCH("|"&amp;INDEX(INDIRECT(All_Questions_Q8_F_resolved_column),80)&amp;"|",All_Questions_Q8_F_wrapped)),1,0),0))*1</f>
        <v>1</v>
      </c>
      <c r="J81">
        <f>IF(OR(All_Questions_Q9_F_Q="(None)",All_Questions_Q9_F_Q="",ISBLANK(All_Questions_Q9_F_Q),All_Questions_Q9_F_V="(All)",All_Questions_Q9_F_V="",ISBLANK(All_Questions_Q9_F_V)),1,IFERROR(IF(ISNUMBER(SEARCH("|"&amp;INDEX(INDIRECT(All_Questions_Q9_F_resolved_column),80)&amp;"|",All_Questions_Q9_F_wrapped)),1,0),0))*1</f>
        <v>1</v>
      </c>
    </row>
    <row r="82">
      <c r="A82" t="n">
        <v>81</v>
      </c>
      <c r="B82" t="n">
        <v>5.25</v>
      </c>
      <c r="C82" t="n">
        <v>27.1</v>
      </c>
      <c r="D82">
        <f>1</f>
        <v>1</v>
      </c>
      <c r="E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F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G82">
        <f>E82*F82*1</f>
        <v>1</v>
      </c>
      <c r="H82">
        <f>1</f>
        <v>1</v>
      </c>
      <c r="I82">
        <f>IF(OR(All_Questions_Q8_F_Q="(None)",All_Questions_Q8_F_Q="",ISBLANK(All_Questions_Q8_F_Q),All_Questions_Q8_F_V="(All)",All_Questions_Q8_F_V="",ISBLANK(All_Questions_Q8_F_V)),1,IFERROR(IF(ISNUMBER(SEARCH("|"&amp;INDEX(INDIRECT(All_Questions_Q8_F_resolved_column),81)&amp;"|",All_Questions_Q8_F_wrapped)),1,0),0))*1</f>
        <v>1</v>
      </c>
      <c r="J82">
        <f>IF(OR(All_Questions_Q9_F_Q="(None)",All_Questions_Q9_F_Q="",ISBLANK(All_Questions_Q9_F_Q),All_Questions_Q9_F_V="(All)",All_Questions_Q9_F_V="",ISBLANK(All_Questions_Q9_F_V)),1,IFERROR(IF(ISNUMBER(SEARCH("|"&amp;INDEX(INDIRECT(All_Questions_Q9_F_resolved_column),81)&amp;"|",All_Questions_Q9_F_wrapped)),1,0),0))*1</f>
        <v>1</v>
      </c>
    </row>
    <row r="83">
      <c r="A83" t="n">
        <v>82</v>
      </c>
      <c r="B83" t="n">
        <v>5.25</v>
      </c>
      <c r="C83" t="n">
        <v>27.1</v>
      </c>
      <c r="D83">
        <f>1</f>
        <v>1</v>
      </c>
      <c r="E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F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G83">
        <f>E83*F83*1</f>
        <v>1</v>
      </c>
      <c r="H83">
        <f>1</f>
        <v>1</v>
      </c>
      <c r="I83">
        <f>IF(OR(All_Questions_Q8_F_Q="(None)",All_Questions_Q8_F_Q="",ISBLANK(All_Questions_Q8_F_Q),All_Questions_Q8_F_V="(All)",All_Questions_Q8_F_V="",ISBLANK(All_Questions_Q8_F_V)),1,IFERROR(IF(ISNUMBER(SEARCH("|"&amp;INDEX(INDIRECT(All_Questions_Q8_F_resolved_column),82)&amp;"|",All_Questions_Q8_F_wrapped)),1,0),0))*1</f>
        <v>1</v>
      </c>
      <c r="J83">
        <f>IF(OR(All_Questions_Q9_F_Q="(None)",All_Questions_Q9_F_Q="",ISBLANK(All_Questions_Q9_F_Q),All_Questions_Q9_F_V="(All)",All_Questions_Q9_F_V="",ISBLANK(All_Questions_Q9_F_V)),1,IFERROR(IF(ISNUMBER(SEARCH("|"&amp;INDEX(INDIRECT(All_Questions_Q9_F_resolved_column),82)&amp;"|",All_Questions_Q9_F_wrapped)),1,0),0))*1</f>
        <v>1</v>
      </c>
    </row>
    <row r="84">
      <c r="A84" t="n">
        <v>83</v>
      </c>
      <c r="B84" t="n">
        <v>5.25</v>
      </c>
      <c r="C84" t="n">
        <v>27.1</v>
      </c>
      <c r="D84">
        <f>1</f>
        <v>1</v>
      </c>
      <c r="E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F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G84">
        <f>E84*F84*1</f>
        <v>1</v>
      </c>
      <c r="H84">
        <f>1</f>
        <v>1</v>
      </c>
      <c r="I84">
        <f>IF(OR(All_Questions_Q8_F_Q="(None)",All_Questions_Q8_F_Q="",ISBLANK(All_Questions_Q8_F_Q),All_Questions_Q8_F_V="(All)",All_Questions_Q8_F_V="",ISBLANK(All_Questions_Q8_F_V)),1,IFERROR(IF(ISNUMBER(SEARCH("|"&amp;INDEX(INDIRECT(All_Questions_Q8_F_resolved_column),83)&amp;"|",All_Questions_Q8_F_wrapped)),1,0),0))*1</f>
        <v>1</v>
      </c>
      <c r="J84">
        <f>IF(OR(All_Questions_Q9_F_Q="(None)",All_Questions_Q9_F_Q="",ISBLANK(All_Questions_Q9_F_Q),All_Questions_Q9_F_V="(All)",All_Questions_Q9_F_V="",ISBLANK(All_Questions_Q9_F_V)),1,IFERROR(IF(ISNUMBER(SEARCH("|"&amp;INDEX(INDIRECT(All_Questions_Q9_F_resolved_column),83)&amp;"|",All_Questions_Q9_F_wrapped)),1,0),0))*1</f>
        <v>1</v>
      </c>
    </row>
    <row r="85">
      <c r="A85" t="n">
        <v>84</v>
      </c>
      <c r="B85" t="n">
        <v>5.25</v>
      </c>
      <c r="C85" t="n">
        <v>27.1</v>
      </c>
      <c r="D85">
        <f>1</f>
        <v>1</v>
      </c>
      <c r="E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F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G85">
        <f>E85*F85*1</f>
        <v>1</v>
      </c>
      <c r="H85">
        <f>1</f>
        <v>1</v>
      </c>
      <c r="I85">
        <f>IF(OR(All_Questions_Q8_F_Q="(None)",All_Questions_Q8_F_Q="",ISBLANK(All_Questions_Q8_F_Q),All_Questions_Q8_F_V="(All)",All_Questions_Q8_F_V="",ISBLANK(All_Questions_Q8_F_V)),1,IFERROR(IF(ISNUMBER(SEARCH("|"&amp;INDEX(INDIRECT(All_Questions_Q8_F_resolved_column),84)&amp;"|",All_Questions_Q8_F_wrapped)),1,0),0))*1</f>
        <v>1</v>
      </c>
      <c r="J85">
        <f>IF(OR(All_Questions_Q9_F_Q="(None)",All_Questions_Q9_F_Q="",ISBLANK(All_Questions_Q9_F_Q),All_Questions_Q9_F_V="(All)",All_Questions_Q9_F_V="",ISBLANK(All_Questions_Q9_F_V)),1,IFERROR(IF(ISNUMBER(SEARCH("|"&amp;INDEX(INDIRECT(All_Questions_Q9_F_resolved_column),84)&amp;"|",All_Questions_Q9_F_wrapped)),1,0),0))*1</f>
        <v>1</v>
      </c>
    </row>
    <row r="86">
      <c r="A86" t="n">
        <v>85</v>
      </c>
      <c r="B86" t="n">
        <v>5.25</v>
      </c>
      <c r="C86" t="n">
        <v>27.1</v>
      </c>
      <c r="D86">
        <f>1</f>
        <v>1</v>
      </c>
      <c r="E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F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G86">
        <f>E86*F86*1</f>
        <v>1</v>
      </c>
      <c r="H86">
        <f>1</f>
        <v>1</v>
      </c>
      <c r="I86">
        <f>IF(OR(All_Questions_Q8_F_Q="(None)",All_Questions_Q8_F_Q="",ISBLANK(All_Questions_Q8_F_Q),All_Questions_Q8_F_V="(All)",All_Questions_Q8_F_V="",ISBLANK(All_Questions_Q8_F_V)),1,IFERROR(IF(ISNUMBER(SEARCH("|"&amp;INDEX(INDIRECT(All_Questions_Q8_F_resolved_column),85)&amp;"|",All_Questions_Q8_F_wrapped)),1,0),0))*1</f>
        <v>1</v>
      </c>
      <c r="J86">
        <f>IF(OR(All_Questions_Q9_F_Q="(None)",All_Questions_Q9_F_Q="",ISBLANK(All_Questions_Q9_F_Q),All_Questions_Q9_F_V="(All)",All_Questions_Q9_F_V="",ISBLANK(All_Questions_Q9_F_V)),1,IFERROR(IF(ISNUMBER(SEARCH("|"&amp;INDEX(INDIRECT(All_Questions_Q9_F_resolved_column),85)&amp;"|",All_Questions_Q9_F_wrapped)),1,0),0))*1</f>
        <v>1</v>
      </c>
    </row>
    <row r="87">
      <c r="A87" t="n">
        <v>86</v>
      </c>
      <c r="B87" t="n">
        <v>5.25</v>
      </c>
      <c r="C87" t="n">
        <v>27.1</v>
      </c>
      <c r="D87">
        <f>1</f>
        <v>1</v>
      </c>
      <c r="E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F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G87">
        <f>E87*F87*1</f>
        <v>1</v>
      </c>
      <c r="H87">
        <f>1</f>
        <v>1</v>
      </c>
      <c r="I87">
        <f>IF(OR(All_Questions_Q8_F_Q="(None)",All_Questions_Q8_F_Q="",ISBLANK(All_Questions_Q8_F_Q),All_Questions_Q8_F_V="(All)",All_Questions_Q8_F_V="",ISBLANK(All_Questions_Q8_F_V)),1,IFERROR(IF(ISNUMBER(SEARCH("|"&amp;INDEX(INDIRECT(All_Questions_Q8_F_resolved_column),86)&amp;"|",All_Questions_Q8_F_wrapped)),1,0),0))*1</f>
        <v>1</v>
      </c>
      <c r="J87">
        <f>IF(OR(All_Questions_Q9_F_Q="(None)",All_Questions_Q9_F_Q="",ISBLANK(All_Questions_Q9_F_Q),All_Questions_Q9_F_V="(All)",All_Questions_Q9_F_V="",ISBLANK(All_Questions_Q9_F_V)),1,IFERROR(IF(ISNUMBER(SEARCH("|"&amp;INDEX(INDIRECT(All_Questions_Q9_F_resolved_column),86)&amp;"|",All_Questions_Q9_F_wrapped)),1,0),0))*1</f>
        <v>1</v>
      </c>
    </row>
    <row r="88">
      <c r="A88" t="n">
        <v>87</v>
      </c>
      <c r="B88" t="n">
        <v>5.25</v>
      </c>
      <c r="C88" t="n">
        <v>27.1</v>
      </c>
      <c r="D88">
        <f>1</f>
        <v>1</v>
      </c>
      <c r="E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F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G88">
        <f>E88*F88*1</f>
        <v>1</v>
      </c>
      <c r="H88">
        <f>1</f>
        <v>1</v>
      </c>
      <c r="I88">
        <f>IF(OR(All_Questions_Q8_F_Q="(None)",All_Questions_Q8_F_Q="",ISBLANK(All_Questions_Q8_F_Q),All_Questions_Q8_F_V="(All)",All_Questions_Q8_F_V="",ISBLANK(All_Questions_Q8_F_V)),1,IFERROR(IF(ISNUMBER(SEARCH("|"&amp;INDEX(INDIRECT(All_Questions_Q8_F_resolved_column),87)&amp;"|",All_Questions_Q8_F_wrapped)),1,0),0))*1</f>
        <v>1</v>
      </c>
      <c r="J88">
        <f>IF(OR(All_Questions_Q9_F_Q="(None)",All_Questions_Q9_F_Q="",ISBLANK(All_Questions_Q9_F_Q),All_Questions_Q9_F_V="(All)",All_Questions_Q9_F_V="",ISBLANK(All_Questions_Q9_F_V)),1,IFERROR(IF(ISNUMBER(SEARCH("|"&amp;INDEX(INDIRECT(All_Questions_Q9_F_resolved_column),87)&amp;"|",All_Questions_Q9_F_wrapped)),1,0),0))*1</f>
        <v>1</v>
      </c>
    </row>
    <row r="89">
      <c r="A89" t="n">
        <v>88</v>
      </c>
      <c r="B89" t="n">
        <v>5.25</v>
      </c>
      <c r="C89" t="n">
        <v>27.1</v>
      </c>
      <c r="D89">
        <f>1</f>
        <v>1</v>
      </c>
      <c r="E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F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G89">
        <f>E89*F89*1</f>
        <v>1</v>
      </c>
      <c r="H89">
        <f>1</f>
        <v>1</v>
      </c>
      <c r="I89">
        <f>IF(OR(All_Questions_Q8_F_Q="(None)",All_Questions_Q8_F_Q="",ISBLANK(All_Questions_Q8_F_Q),All_Questions_Q8_F_V="(All)",All_Questions_Q8_F_V="",ISBLANK(All_Questions_Q8_F_V)),1,IFERROR(IF(ISNUMBER(SEARCH("|"&amp;INDEX(INDIRECT(All_Questions_Q8_F_resolved_column),88)&amp;"|",All_Questions_Q8_F_wrapped)),1,0),0))*1</f>
        <v>1</v>
      </c>
      <c r="J89">
        <f>IF(OR(All_Questions_Q9_F_Q="(None)",All_Questions_Q9_F_Q="",ISBLANK(All_Questions_Q9_F_Q),All_Questions_Q9_F_V="(All)",All_Questions_Q9_F_V="",ISBLANK(All_Questions_Q9_F_V)),1,IFERROR(IF(ISNUMBER(SEARCH("|"&amp;INDEX(INDIRECT(All_Questions_Q9_F_resolved_column),88)&amp;"|",All_Questions_Q9_F_wrapped)),1,0),0))*1</f>
        <v>1</v>
      </c>
    </row>
    <row r="90">
      <c r="A90" t="n">
        <v>89</v>
      </c>
      <c r="B90" t="n">
        <v>5.25</v>
      </c>
      <c r="C90" t="n">
        <v>27.1</v>
      </c>
      <c r="D90">
        <f>1</f>
        <v>1</v>
      </c>
      <c r="E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F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G90">
        <f>E90*F90*1</f>
        <v>1</v>
      </c>
      <c r="H90">
        <f>1</f>
        <v>1</v>
      </c>
      <c r="I90">
        <f>IF(OR(All_Questions_Q8_F_Q="(None)",All_Questions_Q8_F_Q="",ISBLANK(All_Questions_Q8_F_Q),All_Questions_Q8_F_V="(All)",All_Questions_Q8_F_V="",ISBLANK(All_Questions_Q8_F_V)),1,IFERROR(IF(ISNUMBER(SEARCH("|"&amp;INDEX(INDIRECT(All_Questions_Q8_F_resolved_column),89)&amp;"|",All_Questions_Q8_F_wrapped)),1,0),0))*1</f>
        <v>1</v>
      </c>
      <c r="J90">
        <f>IF(OR(All_Questions_Q9_F_Q="(None)",All_Questions_Q9_F_Q="",ISBLANK(All_Questions_Q9_F_Q),All_Questions_Q9_F_V="(All)",All_Questions_Q9_F_V="",ISBLANK(All_Questions_Q9_F_V)),1,IFERROR(IF(ISNUMBER(SEARCH("|"&amp;INDEX(INDIRECT(All_Questions_Q9_F_resolved_column),89)&amp;"|",All_Questions_Q9_F_wrapped)),1,0),0))*1</f>
        <v>1</v>
      </c>
    </row>
    <row r="91">
      <c r="A91" t="n">
        <v>90</v>
      </c>
      <c r="B91" t="n">
        <v>5.25</v>
      </c>
      <c r="C91" t="n">
        <v>27.1</v>
      </c>
      <c r="D91">
        <f>1</f>
        <v>1</v>
      </c>
      <c r="E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F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G91">
        <f>E91*F91*1</f>
        <v>1</v>
      </c>
      <c r="H91">
        <f>1</f>
        <v>1</v>
      </c>
      <c r="I91">
        <f>IF(OR(All_Questions_Q8_F_Q="(None)",All_Questions_Q8_F_Q="",ISBLANK(All_Questions_Q8_F_Q),All_Questions_Q8_F_V="(All)",All_Questions_Q8_F_V="",ISBLANK(All_Questions_Q8_F_V)),1,IFERROR(IF(ISNUMBER(SEARCH("|"&amp;INDEX(INDIRECT(All_Questions_Q8_F_resolved_column),90)&amp;"|",All_Questions_Q8_F_wrapped)),1,0),0))*1</f>
        <v>1</v>
      </c>
      <c r="J91">
        <f>IF(OR(All_Questions_Q9_F_Q="(None)",All_Questions_Q9_F_Q="",ISBLANK(All_Questions_Q9_F_Q),All_Questions_Q9_F_V="(All)",All_Questions_Q9_F_V="",ISBLANK(All_Questions_Q9_F_V)),1,IFERROR(IF(ISNUMBER(SEARCH("|"&amp;INDEX(INDIRECT(All_Questions_Q9_F_resolved_column),90)&amp;"|",All_Questions_Q9_F_wrapped)),1,0),0))*1</f>
        <v>1</v>
      </c>
    </row>
    <row r="92">
      <c r="A92" t="n">
        <v>91</v>
      </c>
      <c r="B92" t="n">
        <v>5.25</v>
      </c>
      <c r="C92" t="n">
        <v>27.1</v>
      </c>
      <c r="D92">
        <f>1</f>
        <v>1</v>
      </c>
      <c r="E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F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G92">
        <f>E92*F92*1</f>
        <v>1</v>
      </c>
      <c r="H92">
        <f>1</f>
        <v>1</v>
      </c>
      <c r="I92">
        <f>IF(OR(All_Questions_Q8_F_Q="(None)",All_Questions_Q8_F_Q="",ISBLANK(All_Questions_Q8_F_Q),All_Questions_Q8_F_V="(All)",All_Questions_Q8_F_V="",ISBLANK(All_Questions_Q8_F_V)),1,IFERROR(IF(ISNUMBER(SEARCH("|"&amp;INDEX(INDIRECT(All_Questions_Q8_F_resolved_column),91)&amp;"|",All_Questions_Q8_F_wrapped)),1,0),0))*1</f>
        <v>1</v>
      </c>
      <c r="J92">
        <f>IF(OR(All_Questions_Q9_F_Q="(None)",All_Questions_Q9_F_Q="",ISBLANK(All_Questions_Q9_F_Q),All_Questions_Q9_F_V="(All)",All_Questions_Q9_F_V="",ISBLANK(All_Questions_Q9_F_V)),1,IFERROR(IF(ISNUMBER(SEARCH("|"&amp;INDEX(INDIRECT(All_Questions_Q9_F_resolved_column),91)&amp;"|",All_Questions_Q9_F_wrapped)),1,0),0))*1</f>
        <v>1</v>
      </c>
    </row>
    <row r="93">
      <c r="A93" t="n">
        <v>92</v>
      </c>
      <c r="B93" t="n">
        <v>5.25</v>
      </c>
      <c r="C93" t="n">
        <v>27.1</v>
      </c>
      <c r="D93">
        <f>1</f>
        <v>1</v>
      </c>
      <c r="E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F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G93">
        <f>E93*F93*1</f>
        <v>1</v>
      </c>
      <c r="H93">
        <f>1</f>
        <v>1</v>
      </c>
      <c r="I93">
        <f>IF(OR(All_Questions_Q8_F_Q="(None)",All_Questions_Q8_F_Q="",ISBLANK(All_Questions_Q8_F_Q),All_Questions_Q8_F_V="(All)",All_Questions_Q8_F_V="",ISBLANK(All_Questions_Q8_F_V)),1,IFERROR(IF(ISNUMBER(SEARCH("|"&amp;INDEX(INDIRECT(All_Questions_Q8_F_resolved_column),92)&amp;"|",All_Questions_Q8_F_wrapped)),1,0),0))*1</f>
        <v>1</v>
      </c>
      <c r="J93">
        <f>IF(OR(All_Questions_Q9_F_Q="(None)",All_Questions_Q9_F_Q="",ISBLANK(All_Questions_Q9_F_Q),All_Questions_Q9_F_V="(All)",All_Questions_Q9_F_V="",ISBLANK(All_Questions_Q9_F_V)),1,IFERROR(IF(ISNUMBER(SEARCH("|"&amp;INDEX(INDIRECT(All_Questions_Q9_F_resolved_column),92)&amp;"|",All_Questions_Q9_F_wrapped)),1,0),0))*1</f>
        <v>1</v>
      </c>
    </row>
    <row r="94">
      <c r="A94" t="n">
        <v>93</v>
      </c>
      <c r="B94" t="n">
        <v>5.25</v>
      </c>
      <c r="C94" t="n">
        <v>27.1</v>
      </c>
      <c r="D94">
        <f>1</f>
        <v>1</v>
      </c>
      <c r="E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F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G94">
        <f>E94*F94*1</f>
        <v>1</v>
      </c>
      <c r="H94">
        <f>1</f>
        <v>1</v>
      </c>
      <c r="I94">
        <f>IF(OR(All_Questions_Q8_F_Q="(None)",All_Questions_Q8_F_Q="",ISBLANK(All_Questions_Q8_F_Q),All_Questions_Q8_F_V="(All)",All_Questions_Q8_F_V="",ISBLANK(All_Questions_Q8_F_V)),1,IFERROR(IF(ISNUMBER(SEARCH("|"&amp;INDEX(INDIRECT(All_Questions_Q8_F_resolved_column),93)&amp;"|",All_Questions_Q8_F_wrapped)),1,0),0))*1</f>
        <v>1</v>
      </c>
      <c r="J94">
        <f>IF(OR(All_Questions_Q9_F_Q="(None)",All_Questions_Q9_F_Q="",ISBLANK(All_Questions_Q9_F_Q),All_Questions_Q9_F_V="(All)",All_Questions_Q9_F_V="",ISBLANK(All_Questions_Q9_F_V)),1,IFERROR(IF(ISNUMBER(SEARCH("|"&amp;INDEX(INDIRECT(All_Questions_Q9_F_resolved_column),93)&amp;"|",All_Questions_Q9_F_wrapped)),1,0),0))*1</f>
        <v>1</v>
      </c>
    </row>
    <row r="95">
      <c r="A95" t="n">
        <v>94</v>
      </c>
      <c r="B95" t="n">
        <v>5.25</v>
      </c>
      <c r="C95" t="n">
        <v>27.1</v>
      </c>
      <c r="D95">
        <f>1</f>
        <v>1</v>
      </c>
      <c r="E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F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G95">
        <f>E95*F95*1</f>
        <v>1</v>
      </c>
      <c r="H95">
        <f>1</f>
        <v>1</v>
      </c>
      <c r="I95">
        <f>IF(OR(All_Questions_Q8_F_Q="(None)",All_Questions_Q8_F_Q="",ISBLANK(All_Questions_Q8_F_Q),All_Questions_Q8_F_V="(All)",All_Questions_Q8_F_V="",ISBLANK(All_Questions_Q8_F_V)),1,IFERROR(IF(ISNUMBER(SEARCH("|"&amp;INDEX(INDIRECT(All_Questions_Q8_F_resolved_column),94)&amp;"|",All_Questions_Q8_F_wrapped)),1,0),0))*1</f>
        <v>1</v>
      </c>
      <c r="J95">
        <f>IF(OR(All_Questions_Q9_F_Q="(None)",All_Questions_Q9_F_Q="",ISBLANK(All_Questions_Q9_F_Q),All_Questions_Q9_F_V="(All)",All_Questions_Q9_F_V="",ISBLANK(All_Questions_Q9_F_V)),1,IFERROR(IF(ISNUMBER(SEARCH("|"&amp;INDEX(INDIRECT(All_Questions_Q9_F_resolved_column),94)&amp;"|",All_Questions_Q9_F_wrapped)),1,0),0))*1</f>
        <v>1</v>
      </c>
    </row>
    <row r="96">
      <c r="A96" t="n">
        <v>95</v>
      </c>
      <c r="B96" t="n">
        <v>5.25</v>
      </c>
      <c r="C96" t="n">
        <v>27.1</v>
      </c>
      <c r="D96">
        <f>1</f>
        <v>1</v>
      </c>
      <c r="E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F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G96">
        <f>E96*F96*1</f>
        <v>1</v>
      </c>
      <c r="H96">
        <f>1</f>
        <v>1</v>
      </c>
      <c r="I96">
        <f>IF(OR(All_Questions_Q8_F_Q="(None)",All_Questions_Q8_F_Q="",ISBLANK(All_Questions_Q8_F_Q),All_Questions_Q8_F_V="(All)",All_Questions_Q8_F_V="",ISBLANK(All_Questions_Q8_F_V)),1,IFERROR(IF(ISNUMBER(SEARCH("|"&amp;INDEX(INDIRECT(All_Questions_Q8_F_resolved_column),95)&amp;"|",All_Questions_Q8_F_wrapped)),1,0),0))*1</f>
        <v>1</v>
      </c>
      <c r="J96">
        <f>IF(OR(All_Questions_Q9_F_Q="(None)",All_Questions_Q9_F_Q="",ISBLANK(All_Questions_Q9_F_Q),All_Questions_Q9_F_V="(All)",All_Questions_Q9_F_V="",ISBLANK(All_Questions_Q9_F_V)),1,IFERROR(IF(ISNUMBER(SEARCH("|"&amp;INDEX(INDIRECT(All_Questions_Q9_F_resolved_column),95)&amp;"|",All_Questions_Q9_F_wrapped)),1,0),0))*1</f>
        <v>1</v>
      </c>
    </row>
    <row r="97">
      <c r="A97" t="n">
        <v>96</v>
      </c>
      <c r="B97" t="n">
        <v>5.25</v>
      </c>
      <c r="C97" t="n">
        <v>27.1</v>
      </c>
      <c r="D97">
        <f>1</f>
        <v>1</v>
      </c>
      <c r="E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F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G97">
        <f>E97*F97*1</f>
        <v>1</v>
      </c>
      <c r="H97">
        <f>1</f>
        <v>1</v>
      </c>
      <c r="I97">
        <f>IF(OR(All_Questions_Q8_F_Q="(None)",All_Questions_Q8_F_Q="",ISBLANK(All_Questions_Q8_F_Q),All_Questions_Q8_F_V="(All)",All_Questions_Q8_F_V="",ISBLANK(All_Questions_Q8_F_V)),1,IFERROR(IF(ISNUMBER(SEARCH("|"&amp;INDEX(INDIRECT(All_Questions_Q8_F_resolved_column),96)&amp;"|",All_Questions_Q8_F_wrapped)),1,0),0))*1</f>
        <v>1</v>
      </c>
      <c r="J97">
        <f>IF(OR(All_Questions_Q9_F_Q="(None)",All_Questions_Q9_F_Q="",ISBLANK(All_Questions_Q9_F_Q),All_Questions_Q9_F_V="(All)",All_Questions_Q9_F_V="",ISBLANK(All_Questions_Q9_F_V)),1,IFERROR(IF(ISNUMBER(SEARCH("|"&amp;INDEX(INDIRECT(All_Questions_Q9_F_resolved_column),96)&amp;"|",All_Questions_Q9_F_wrapped)),1,0),0))*1</f>
        <v>1</v>
      </c>
    </row>
    <row r="98">
      <c r="A98" t="n">
        <v>97</v>
      </c>
      <c r="B98" t="n">
        <v>5.25</v>
      </c>
      <c r="C98" t="n">
        <v>27.1</v>
      </c>
      <c r="D98">
        <f>1</f>
        <v>1</v>
      </c>
      <c r="E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F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G98">
        <f>E98*F98*1</f>
        <v>1</v>
      </c>
      <c r="H98">
        <f>1</f>
        <v>1</v>
      </c>
      <c r="I98">
        <f>IF(OR(All_Questions_Q8_F_Q="(None)",All_Questions_Q8_F_Q="",ISBLANK(All_Questions_Q8_F_Q),All_Questions_Q8_F_V="(All)",All_Questions_Q8_F_V="",ISBLANK(All_Questions_Q8_F_V)),1,IFERROR(IF(ISNUMBER(SEARCH("|"&amp;INDEX(INDIRECT(All_Questions_Q8_F_resolved_column),97)&amp;"|",All_Questions_Q8_F_wrapped)),1,0),0))*1</f>
        <v>1</v>
      </c>
      <c r="J98">
        <f>IF(OR(All_Questions_Q9_F_Q="(None)",All_Questions_Q9_F_Q="",ISBLANK(All_Questions_Q9_F_Q),All_Questions_Q9_F_V="(All)",All_Questions_Q9_F_V="",ISBLANK(All_Questions_Q9_F_V)),1,IFERROR(IF(ISNUMBER(SEARCH("|"&amp;INDEX(INDIRECT(All_Questions_Q9_F_resolved_column),97)&amp;"|",All_Questions_Q9_F_wrapped)),1,0),0))*1</f>
        <v>1</v>
      </c>
    </row>
    <row r="99">
      <c r="A99" t="n">
        <v>98</v>
      </c>
      <c r="B99" t="n">
        <v>5.25</v>
      </c>
      <c r="C99" t="n">
        <v>27.1</v>
      </c>
      <c r="D99">
        <f>1</f>
        <v>1</v>
      </c>
      <c r="E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F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G99">
        <f>E99*F99*1</f>
        <v>1</v>
      </c>
      <c r="H99">
        <f>1</f>
        <v>1</v>
      </c>
      <c r="I99">
        <f>IF(OR(All_Questions_Q8_F_Q="(None)",All_Questions_Q8_F_Q="",ISBLANK(All_Questions_Q8_F_Q),All_Questions_Q8_F_V="(All)",All_Questions_Q8_F_V="",ISBLANK(All_Questions_Q8_F_V)),1,IFERROR(IF(ISNUMBER(SEARCH("|"&amp;INDEX(INDIRECT(All_Questions_Q8_F_resolved_column),98)&amp;"|",All_Questions_Q8_F_wrapped)),1,0),0))*1</f>
        <v>1</v>
      </c>
      <c r="J99">
        <f>IF(OR(All_Questions_Q9_F_Q="(None)",All_Questions_Q9_F_Q="",ISBLANK(All_Questions_Q9_F_Q),All_Questions_Q9_F_V="(All)",All_Questions_Q9_F_V="",ISBLANK(All_Questions_Q9_F_V)),1,IFERROR(IF(ISNUMBER(SEARCH("|"&amp;INDEX(INDIRECT(All_Questions_Q9_F_resolved_column),98)&amp;"|",All_Questions_Q9_F_wrapped)),1,0),0))*1</f>
        <v>1</v>
      </c>
    </row>
    <row r="100">
      <c r="A100" t="n">
        <v>99</v>
      </c>
      <c r="B100" t="n">
        <v>5.25</v>
      </c>
      <c r="C100" t="n">
        <v>27.1</v>
      </c>
      <c r="D100">
        <f>1</f>
        <v>1</v>
      </c>
      <c r="E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F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G100">
        <f>E100*F100*1</f>
        <v>1</v>
      </c>
      <c r="H100">
        <f>1</f>
        <v>1</v>
      </c>
      <c r="I100">
        <f>IF(OR(All_Questions_Q8_F_Q="(None)",All_Questions_Q8_F_Q="",ISBLANK(All_Questions_Q8_F_Q),All_Questions_Q8_F_V="(All)",All_Questions_Q8_F_V="",ISBLANK(All_Questions_Q8_F_V)),1,IFERROR(IF(ISNUMBER(SEARCH("|"&amp;INDEX(INDIRECT(All_Questions_Q8_F_resolved_column),99)&amp;"|",All_Questions_Q8_F_wrapped)),1,0),0))*1</f>
        <v>1</v>
      </c>
      <c r="J100">
        <f>IF(OR(All_Questions_Q9_F_Q="(None)",All_Questions_Q9_F_Q="",ISBLANK(All_Questions_Q9_F_Q),All_Questions_Q9_F_V="(All)",All_Questions_Q9_F_V="",ISBLANK(All_Questions_Q9_F_V)),1,IFERROR(IF(ISNUMBER(SEARCH("|"&amp;INDEX(INDIRECT(All_Questions_Q9_F_resolved_column),99)&amp;"|",All_Questions_Q9_F_wrapped)),1,0),0))*1</f>
        <v>1</v>
      </c>
    </row>
    <row r="101">
      <c r="A101" t="n">
        <v>100</v>
      </c>
      <c r="B101" t="n">
        <v>5.25</v>
      </c>
      <c r="C101" t="n">
        <v>27.1</v>
      </c>
      <c r="D101">
        <f>1</f>
        <v>1</v>
      </c>
      <c r="E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F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G101">
        <f>E101*F101*1</f>
        <v>1</v>
      </c>
      <c r="H101">
        <f>1</f>
        <v>1</v>
      </c>
      <c r="I101">
        <f>IF(OR(All_Questions_Q8_F_Q="(None)",All_Questions_Q8_F_Q="",ISBLANK(All_Questions_Q8_F_Q),All_Questions_Q8_F_V="(All)",All_Questions_Q8_F_V="",ISBLANK(All_Questions_Q8_F_V)),1,IFERROR(IF(ISNUMBER(SEARCH("|"&amp;INDEX(INDIRECT(All_Questions_Q8_F_resolved_column),100)&amp;"|",All_Questions_Q8_F_wrapped)),1,0),0))*1</f>
        <v>1</v>
      </c>
      <c r="J101">
        <f>IF(OR(All_Questions_Q9_F_Q="(None)",All_Questions_Q9_F_Q="",ISBLANK(All_Questions_Q9_F_Q),All_Questions_Q9_F_V="(All)",All_Questions_Q9_F_V="",ISBLANK(All_Questions_Q9_F_V)),1,IFERROR(IF(ISNUMBER(SEARCH("|"&amp;INDEX(INDIRECT(All_Questions_Q9_F_resolved_column),100)&amp;"|",All_Questions_Q9_F_wrapped)),1,0),0))*1</f>
        <v>1</v>
      </c>
    </row>
    <row r="102">
      <c r="A102" t="n">
        <v>101</v>
      </c>
      <c r="B102" t="n">
        <v>5.25</v>
      </c>
      <c r="C102" t="n">
        <v>27.1</v>
      </c>
      <c r="D102">
        <f>1</f>
        <v>1</v>
      </c>
      <c r="E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F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G102">
        <f>E102*F102*1</f>
        <v>1</v>
      </c>
      <c r="H102">
        <f>1</f>
        <v>1</v>
      </c>
      <c r="I102">
        <f>IF(OR(All_Questions_Q8_F_Q="(None)",All_Questions_Q8_F_Q="",ISBLANK(All_Questions_Q8_F_Q),All_Questions_Q8_F_V="(All)",All_Questions_Q8_F_V="",ISBLANK(All_Questions_Q8_F_V)),1,IFERROR(IF(ISNUMBER(SEARCH("|"&amp;INDEX(INDIRECT(All_Questions_Q8_F_resolved_column),101)&amp;"|",All_Questions_Q8_F_wrapped)),1,0),0))*1</f>
        <v>1</v>
      </c>
      <c r="J102">
        <f>IF(OR(All_Questions_Q9_F_Q="(None)",All_Questions_Q9_F_Q="",ISBLANK(All_Questions_Q9_F_Q),All_Questions_Q9_F_V="(All)",All_Questions_Q9_F_V="",ISBLANK(All_Questions_Q9_F_V)),1,IFERROR(IF(ISNUMBER(SEARCH("|"&amp;INDEX(INDIRECT(All_Questions_Q9_F_resolved_column),101)&amp;"|",All_Questions_Q9_F_wrapped)),1,0),0))*1</f>
        <v>1</v>
      </c>
    </row>
    <row r="103">
      <c r="A103" t="n">
        <v>102</v>
      </c>
      <c r="B103" t="n">
        <v>5.25</v>
      </c>
      <c r="C103" t="n">
        <v>27.1</v>
      </c>
      <c r="D103">
        <f>1</f>
        <v>1</v>
      </c>
      <c r="E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F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G103">
        <f>E103*F103*1</f>
        <v>1</v>
      </c>
      <c r="H103">
        <f>1</f>
        <v>1</v>
      </c>
      <c r="I103">
        <f>IF(OR(All_Questions_Q8_F_Q="(None)",All_Questions_Q8_F_Q="",ISBLANK(All_Questions_Q8_F_Q),All_Questions_Q8_F_V="(All)",All_Questions_Q8_F_V="",ISBLANK(All_Questions_Q8_F_V)),1,IFERROR(IF(ISNUMBER(SEARCH("|"&amp;INDEX(INDIRECT(All_Questions_Q8_F_resolved_column),102)&amp;"|",All_Questions_Q8_F_wrapped)),1,0),0))*1</f>
        <v>1</v>
      </c>
      <c r="J103">
        <f>IF(OR(All_Questions_Q9_F_Q="(None)",All_Questions_Q9_F_Q="",ISBLANK(All_Questions_Q9_F_Q),All_Questions_Q9_F_V="(All)",All_Questions_Q9_F_V="",ISBLANK(All_Questions_Q9_F_V)),1,IFERROR(IF(ISNUMBER(SEARCH("|"&amp;INDEX(INDIRECT(All_Questions_Q9_F_resolved_column),102)&amp;"|",All_Questions_Q9_F_wrapped)),1,0),0))*1</f>
        <v>1</v>
      </c>
    </row>
    <row r="104">
      <c r="A104" t="n">
        <v>103</v>
      </c>
      <c r="B104" t="n">
        <v>5.25</v>
      </c>
      <c r="C104" t="n">
        <v>27.1</v>
      </c>
      <c r="D104">
        <f>1</f>
        <v>1</v>
      </c>
      <c r="E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F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G104">
        <f>E104*F104*1</f>
        <v>1</v>
      </c>
      <c r="H104">
        <f>1</f>
        <v>1</v>
      </c>
      <c r="I104">
        <f>IF(OR(All_Questions_Q8_F_Q="(None)",All_Questions_Q8_F_Q="",ISBLANK(All_Questions_Q8_F_Q),All_Questions_Q8_F_V="(All)",All_Questions_Q8_F_V="",ISBLANK(All_Questions_Q8_F_V)),1,IFERROR(IF(ISNUMBER(SEARCH("|"&amp;INDEX(INDIRECT(All_Questions_Q8_F_resolved_column),103)&amp;"|",All_Questions_Q8_F_wrapped)),1,0),0))*1</f>
        <v>1</v>
      </c>
      <c r="J104">
        <f>IF(OR(All_Questions_Q9_F_Q="(None)",All_Questions_Q9_F_Q="",ISBLANK(All_Questions_Q9_F_Q),All_Questions_Q9_F_V="(All)",All_Questions_Q9_F_V="",ISBLANK(All_Questions_Q9_F_V)),1,IFERROR(IF(ISNUMBER(SEARCH("|"&amp;INDEX(INDIRECT(All_Questions_Q9_F_resolved_column),103)&amp;"|",All_Questions_Q9_F_wrapped)),1,0),0))*1</f>
        <v>1</v>
      </c>
    </row>
    <row r="105">
      <c r="A105" t="n">
        <v>104</v>
      </c>
      <c r="B105" t="n">
        <v>5.25</v>
      </c>
      <c r="C105" t="n">
        <v>27.1</v>
      </c>
      <c r="D105">
        <f>1</f>
        <v>1</v>
      </c>
      <c r="E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F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G105">
        <f>E105*F105*1</f>
        <v>1</v>
      </c>
      <c r="H105">
        <f>1</f>
        <v>1</v>
      </c>
      <c r="I105">
        <f>IF(OR(All_Questions_Q8_F_Q="(None)",All_Questions_Q8_F_Q="",ISBLANK(All_Questions_Q8_F_Q),All_Questions_Q8_F_V="(All)",All_Questions_Q8_F_V="",ISBLANK(All_Questions_Q8_F_V)),1,IFERROR(IF(ISNUMBER(SEARCH("|"&amp;INDEX(INDIRECT(All_Questions_Q8_F_resolved_column),104)&amp;"|",All_Questions_Q8_F_wrapped)),1,0),0))*1</f>
        <v>1</v>
      </c>
      <c r="J105">
        <f>IF(OR(All_Questions_Q9_F_Q="(None)",All_Questions_Q9_F_Q="",ISBLANK(All_Questions_Q9_F_Q),All_Questions_Q9_F_V="(All)",All_Questions_Q9_F_V="",ISBLANK(All_Questions_Q9_F_V)),1,IFERROR(IF(ISNUMBER(SEARCH("|"&amp;INDEX(INDIRECT(All_Questions_Q9_F_resolved_column),104)&amp;"|",All_Questions_Q9_F_wrapped)),1,0),0))*1</f>
        <v>1</v>
      </c>
    </row>
    <row r="106">
      <c r="A106" t="n">
        <v>105</v>
      </c>
      <c r="B106" t="n">
        <v>5.25</v>
      </c>
      <c r="C106" t="n">
        <v>27.1</v>
      </c>
      <c r="D106">
        <f>1</f>
        <v>1</v>
      </c>
      <c r="E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F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G106">
        <f>E106*F106*1</f>
        <v>1</v>
      </c>
      <c r="H106">
        <f>1</f>
        <v>1</v>
      </c>
      <c r="I106">
        <f>IF(OR(All_Questions_Q8_F_Q="(None)",All_Questions_Q8_F_Q="",ISBLANK(All_Questions_Q8_F_Q),All_Questions_Q8_F_V="(All)",All_Questions_Q8_F_V="",ISBLANK(All_Questions_Q8_F_V)),1,IFERROR(IF(ISNUMBER(SEARCH("|"&amp;INDEX(INDIRECT(All_Questions_Q8_F_resolved_column),105)&amp;"|",All_Questions_Q8_F_wrapped)),1,0),0))*1</f>
        <v>1</v>
      </c>
      <c r="J106">
        <f>IF(OR(All_Questions_Q9_F_Q="(None)",All_Questions_Q9_F_Q="",ISBLANK(All_Questions_Q9_F_Q),All_Questions_Q9_F_V="(All)",All_Questions_Q9_F_V="",ISBLANK(All_Questions_Q9_F_V)),1,IFERROR(IF(ISNUMBER(SEARCH("|"&amp;INDEX(INDIRECT(All_Questions_Q9_F_resolved_column),105)&amp;"|",All_Questions_Q9_F_wrapped)),1,0),0))*1</f>
        <v>1</v>
      </c>
    </row>
    <row r="107">
      <c r="A107" t="n">
        <v>106</v>
      </c>
      <c r="B107" t="n">
        <v>5.25</v>
      </c>
      <c r="C107" t="n">
        <v>27.1</v>
      </c>
      <c r="D107">
        <f>1</f>
        <v>1</v>
      </c>
      <c r="E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F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G107">
        <f>E107*F107*1</f>
        <v>1</v>
      </c>
      <c r="H107">
        <f>1</f>
        <v>1</v>
      </c>
      <c r="I107">
        <f>IF(OR(All_Questions_Q8_F_Q="(None)",All_Questions_Q8_F_Q="",ISBLANK(All_Questions_Q8_F_Q),All_Questions_Q8_F_V="(All)",All_Questions_Q8_F_V="",ISBLANK(All_Questions_Q8_F_V)),1,IFERROR(IF(ISNUMBER(SEARCH("|"&amp;INDEX(INDIRECT(All_Questions_Q8_F_resolved_column),106)&amp;"|",All_Questions_Q8_F_wrapped)),1,0),0))*1</f>
        <v>1</v>
      </c>
      <c r="J107">
        <f>IF(OR(All_Questions_Q9_F_Q="(None)",All_Questions_Q9_F_Q="",ISBLANK(All_Questions_Q9_F_Q),All_Questions_Q9_F_V="(All)",All_Questions_Q9_F_V="",ISBLANK(All_Questions_Q9_F_V)),1,IFERROR(IF(ISNUMBER(SEARCH("|"&amp;INDEX(INDIRECT(All_Questions_Q9_F_resolved_column),106)&amp;"|",All_Questions_Q9_F_wrapped)),1,0),0))*1</f>
        <v>1</v>
      </c>
    </row>
    <row r="108">
      <c r="A108" t="n">
        <v>107</v>
      </c>
      <c r="B108" t="n">
        <v>5.25</v>
      </c>
      <c r="C108" t="n">
        <v>27.1</v>
      </c>
      <c r="D108">
        <f>1</f>
        <v>1</v>
      </c>
      <c r="E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F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G108">
        <f>E108*F108*1</f>
        <v>1</v>
      </c>
      <c r="H108">
        <f>1</f>
        <v>1</v>
      </c>
      <c r="I108">
        <f>IF(OR(All_Questions_Q8_F_Q="(None)",All_Questions_Q8_F_Q="",ISBLANK(All_Questions_Q8_F_Q),All_Questions_Q8_F_V="(All)",All_Questions_Q8_F_V="",ISBLANK(All_Questions_Q8_F_V)),1,IFERROR(IF(ISNUMBER(SEARCH("|"&amp;INDEX(INDIRECT(All_Questions_Q8_F_resolved_column),107)&amp;"|",All_Questions_Q8_F_wrapped)),1,0),0))*1</f>
        <v>1</v>
      </c>
      <c r="J108">
        <f>IF(OR(All_Questions_Q9_F_Q="(None)",All_Questions_Q9_F_Q="",ISBLANK(All_Questions_Q9_F_Q),All_Questions_Q9_F_V="(All)",All_Questions_Q9_F_V="",ISBLANK(All_Questions_Q9_F_V)),1,IFERROR(IF(ISNUMBER(SEARCH("|"&amp;INDEX(INDIRECT(All_Questions_Q9_F_resolved_column),107)&amp;"|",All_Questions_Q9_F_wrapped)),1,0),0))*1</f>
        <v>1</v>
      </c>
    </row>
    <row r="109">
      <c r="A109" t="n">
        <v>108</v>
      </c>
      <c r="B109" t="n">
        <v>5.25</v>
      </c>
      <c r="C109" t="n">
        <v>27.1</v>
      </c>
      <c r="D109">
        <f>1</f>
        <v>1</v>
      </c>
      <c r="E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F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G109">
        <f>E109*F109*1</f>
        <v>1</v>
      </c>
      <c r="H109">
        <f>1</f>
        <v>1</v>
      </c>
      <c r="I109">
        <f>IF(OR(All_Questions_Q8_F_Q="(None)",All_Questions_Q8_F_Q="",ISBLANK(All_Questions_Q8_F_Q),All_Questions_Q8_F_V="(All)",All_Questions_Q8_F_V="",ISBLANK(All_Questions_Q8_F_V)),1,IFERROR(IF(ISNUMBER(SEARCH("|"&amp;INDEX(INDIRECT(All_Questions_Q8_F_resolved_column),108)&amp;"|",All_Questions_Q8_F_wrapped)),1,0),0))*1</f>
        <v>1</v>
      </c>
      <c r="J109">
        <f>IF(OR(All_Questions_Q9_F_Q="(None)",All_Questions_Q9_F_Q="",ISBLANK(All_Questions_Q9_F_Q),All_Questions_Q9_F_V="(All)",All_Questions_Q9_F_V="",ISBLANK(All_Questions_Q9_F_V)),1,IFERROR(IF(ISNUMBER(SEARCH("|"&amp;INDEX(INDIRECT(All_Questions_Q9_F_resolved_column),108)&amp;"|",All_Questions_Q9_F_wrapped)),1,0),0))*1</f>
        <v>1</v>
      </c>
    </row>
    <row r="110">
      <c r="A110" t="n">
        <v>109</v>
      </c>
      <c r="B110" t="n">
        <v>5.25</v>
      </c>
      <c r="C110" t="n">
        <v>27.1</v>
      </c>
      <c r="D110">
        <f>1</f>
        <v>1</v>
      </c>
      <c r="E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F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G110">
        <f>E110*F110*1</f>
        <v>1</v>
      </c>
      <c r="H110">
        <f>1</f>
        <v>1</v>
      </c>
      <c r="I110">
        <f>IF(OR(All_Questions_Q8_F_Q="(None)",All_Questions_Q8_F_Q="",ISBLANK(All_Questions_Q8_F_Q),All_Questions_Q8_F_V="(All)",All_Questions_Q8_F_V="",ISBLANK(All_Questions_Q8_F_V)),1,IFERROR(IF(ISNUMBER(SEARCH("|"&amp;INDEX(INDIRECT(All_Questions_Q8_F_resolved_column),109)&amp;"|",All_Questions_Q8_F_wrapped)),1,0),0))*1</f>
        <v>1</v>
      </c>
      <c r="J110">
        <f>IF(OR(All_Questions_Q9_F_Q="(None)",All_Questions_Q9_F_Q="",ISBLANK(All_Questions_Q9_F_Q),All_Questions_Q9_F_V="(All)",All_Questions_Q9_F_V="",ISBLANK(All_Questions_Q9_F_V)),1,IFERROR(IF(ISNUMBER(SEARCH("|"&amp;INDEX(INDIRECT(All_Questions_Q9_F_resolved_column),109)&amp;"|",All_Questions_Q9_F_wrapped)),1,0),0))*1</f>
        <v>1</v>
      </c>
    </row>
    <row r="111">
      <c r="A111" t="n">
        <v>110</v>
      </c>
      <c r="B111" t="n">
        <v>5.25</v>
      </c>
      <c r="C111" t="n">
        <v>27.1</v>
      </c>
      <c r="D111">
        <f>1</f>
        <v>1</v>
      </c>
      <c r="E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F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G111">
        <f>E111*F111*1</f>
        <v>1</v>
      </c>
      <c r="H111">
        <f>1</f>
        <v>1</v>
      </c>
      <c r="I111">
        <f>IF(OR(All_Questions_Q8_F_Q="(None)",All_Questions_Q8_F_Q="",ISBLANK(All_Questions_Q8_F_Q),All_Questions_Q8_F_V="(All)",All_Questions_Q8_F_V="",ISBLANK(All_Questions_Q8_F_V)),1,IFERROR(IF(ISNUMBER(SEARCH("|"&amp;INDEX(INDIRECT(All_Questions_Q8_F_resolved_column),110)&amp;"|",All_Questions_Q8_F_wrapped)),1,0),0))*1</f>
        <v>1</v>
      </c>
      <c r="J111">
        <f>IF(OR(All_Questions_Q9_F_Q="(None)",All_Questions_Q9_F_Q="",ISBLANK(All_Questions_Q9_F_Q),All_Questions_Q9_F_V="(All)",All_Questions_Q9_F_V="",ISBLANK(All_Questions_Q9_F_V)),1,IFERROR(IF(ISNUMBER(SEARCH("|"&amp;INDEX(INDIRECT(All_Questions_Q9_F_resolved_column),110)&amp;"|",All_Questions_Q9_F_wrapped)),1,0),0))*1</f>
        <v>1</v>
      </c>
    </row>
    <row r="112">
      <c r="A112" t="n">
        <v>111</v>
      </c>
      <c r="B112" t="n">
        <v>5.25</v>
      </c>
      <c r="C112" t="n">
        <v>27.1</v>
      </c>
      <c r="D112">
        <f>1</f>
        <v>1</v>
      </c>
      <c r="E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F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G112">
        <f>E112*F112*1</f>
        <v>1</v>
      </c>
      <c r="H112">
        <f>1</f>
        <v>1</v>
      </c>
      <c r="I112">
        <f>IF(OR(All_Questions_Q8_F_Q="(None)",All_Questions_Q8_F_Q="",ISBLANK(All_Questions_Q8_F_Q),All_Questions_Q8_F_V="(All)",All_Questions_Q8_F_V="",ISBLANK(All_Questions_Q8_F_V)),1,IFERROR(IF(ISNUMBER(SEARCH("|"&amp;INDEX(INDIRECT(All_Questions_Q8_F_resolved_column),111)&amp;"|",All_Questions_Q8_F_wrapped)),1,0),0))*1</f>
        <v>1</v>
      </c>
      <c r="J112">
        <f>IF(OR(All_Questions_Q9_F_Q="(None)",All_Questions_Q9_F_Q="",ISBLANK(All_Questions_Q9_F_Q),All_Questions_Q9_F_V="(All)",All_Questions_Q9_F_V="",ISBLANK(All_Questions_Q9_F_V)),1,IFERROR(IF(ISNUMBER(SEARCH("|"&amp;INDEX(INDIRECT(All_Questions_Q9_F_resolved_column),111)&amp;"|",All_Questions_Q9_F_wrapped)),1,0),0))*1</f>
        <v>1</v>
      </c>
    </row>
    <row r="113">
      <c r="A113" t="n">
        <v>112</v>
      </c>
      <c r="B113" t="n">
        <v>5.25</v>
      </c>
      <c r="C113" t="n">
        <v>27.1</v>
      </c>
      <c r="D113">
        <f>1</f>
        <v>1</v>
      </c>
      <c r="E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F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G113">
        <f>E113*F113*1</f>
        <v>1</v>
      </c>
      <c r="H113">
        <f>1</f>
        <v>1</v>
      </c>
      <c r="I113">
        <f>IF(OR(All_Questions_Q8_F_Q="(None)",All_Questions_Q8_F_Q="",ISBLANK(All_Questions_Q8_F_Q),All_Questions_Q8_F_V="(All)",All_Questions_Q8_F_V="",ISBLANK(All_Questions_Q8_F_V)),1,IFERROR(IF(ISNUMBER(SEARCH("|"&amp;INDEX(INDIRECT(All_Questions_Q8_F_resolved_column),112)&amp;"|",All_Questions_Q8_F_wrapped)),1,0),0))*1</f>
        <v>1</v>
      </c>
      <c r="J113">
        <f>IF(OR(All_Questions_Q9_F_Q="(None)",All_Questions_Q9_F_Q="",ISBLANK(All_Questions_Q9_F_Q),All_Questions_Q9_F_V="(All)",All_Questions_Q9_F_V="",ISBLANK(All_Questions_Q9_F_V)),1,IFERROR(IF(ISNUMBER(SEARCH("|"&amp;INDEX(INDIRECT(All_Questions_Q9_F_resolved_column),112)&amp;"|",All_Questions_Q9_F_wrapped)),1,0),0))*1</f>
        <v>1</v>
      </c>
    </row>
    <row r="114">
      <c r="A114" t="n">
        <v>113</v>
      </c>
      <c r="B114" t="n">
        <v>5.25</v>
      </c>
      <c r="C114" t="n">
        <v>27.1</v>
      </c>
      <c r="D114">
        <f>1</f>
        <v>1</v>
      </c>
      <c r="E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F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G114">
        <f>E114*F114*1</f>
        <v>1</v>
      </c>
      <c r="H114">
        <f>1</f>
        <v>1</v>
      </c>
      <c r="I114">
        <f>IF(OR(All_Questions_Q8_F_Q="(None)",All_Questions_Q8_F_Q="",ISBLANK(All_Questions_Q8_F_Q),All_Questions_Q8_F_V="(All)",All_Questions_Q8_F_V="",ISBLANK(All_Questions_Q8_F_V)),1,IFERROR(IF(ISNUMBER(SEARCH("|"&amp;INDEX(INDIRECT(All_Questions_Q8_F_resolved_column),113)&amp;"|",All_Questions_Q8_F_wrapped)),1,0),0))*1</f>
        <v>1</v>
      </c>
      <c r="J114">
        <f>IF(OR(All_Questions_Q9_F_Q="(None)",All_Questions_Q9_F_Q="",ISBLANK(All_Questions_Q9_F_Q),All_Questions_Q9_F_V="(All)",All_Questions_Q9_F_V="",ISBLANK(All_Questions_Q9_F_V)),1,IFERROR(IF(ISNUMBER(SEARCH("|"&amp;INDEX(INDIRECT(All_Questions_Q9_F_resolved_column),113)&amp;"|",All_Questions_Q9_F_wrapped)),1,0),0))*1</f>
        <v>1</v>
      </c>
    </row>
    <row r="115">
      <c r="A115" t="n">
        <v>114</v>
      </c>
      <c r="B115" t="n">
        <v>5.25</v>
      </c>
      <c r="C115" t="n">
        <v>27.1</v>
      </c>
      <c r="D115">
        <f>1</f>
        <v>1</v>
      </c>
      <c r="E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F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G115">
        <f>E115*F115*1</f>
        <v>1</v>
      </c>
      <c r="H115">
        <f>1</f>
        <v>1</v>
      </c>
      <c r="I115">
        <f>IF(OR(All_Questions_Q8_F_Q="(None)",All_Questions_Q8_F_Q="",ISBLANK(All_Questions_Q8_F_Q),All_Questions_Q8_F_V="(All)",All_Questions_Q8_F_V="",ISBLANK(All_Questions_Q8_F_V)),1,IFERROR(IF(ISNUMBER(SEARCH("|"&amp;INDEX(INDIRECT(All_Questions_Q8_F_resolved_column),114)&amp;"|",All_Questions_Q8_F_wrapped)),1,0),0))*1</f>
        <v>1</v>
      </c>
      <c r="J115">
        <f>IF(OR(All_Questions_Q9_F_Q="(None)",All_Questions_Q9_F_Q="",ISBLANK(All_Questions_Q9_F_Q),All_Questions_Q9_F_V="(All)",All_Questions_Q9_F_V="",ISBLANK(All_Questions_Q9_F_V)),1,IFERROR(IF(ISNUMBER(SEARCH("|"&amp;INDEX(INDIRECT(All_Questions_Q9_F_resolved_column),114)&amp;"|",All_Questions_Q9_F_wrapped)),1,0),0))*1</f>
        <v>1</v>
      </c>
    </row>
    <row r="116">
      <c r="A116" t="n">
        <v>115</v>
      </c>
      <c r="B116" t="n">
        <v>5.25</v>
      </c>
      <c r="C116" t="n">
        <v>27.1</v>
      </c>
      <c r="D116">
        <f>1</f>
        <v>1</v>
      </c>
      <c r="E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F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G116">
        <f>E116*F116*1</f>
        <v>1</v>
      </c>
      <c r="H116">
        <f>1</f>
        <v>1</v>
      </c>
      <c r="I116">
        <f>IF(OR(All_Questions_Q8_F_Q="(None)",All_Questions_Q8_F_Q="",ISBLANK(All_Questions_Q8_F_Q),All_Questions_Q8_F_V="(All)",All_Questions_Q8_F_V="",ISBLANK(All_Questions_Q8_F_V)),1,IFERROR(IF(ISNUMBER(SEARCH("|"&amp;INDEX(INDIRECT(All_Questions_Q8_F_resolved_column),115)&amp;"|",All_Questions_Q8_F_wrapped)),1,0),0))*1</f>
        <v>1</v>
      </c>
      <c r="J116">
        <f>IF(OR(All_Questions_Q9_F_Q="(None)",All_Questions_Q9_F_Q="",ISBLANK(All_Questions_Q9_F_Q),All_Questions_Q9_F_V="(All)",All_Questions_Q9_F_V="",ISBLANK(All_Questions_Q9_F_V)),1,IFERROR(IF(ISNUMBER(SEARCH("|"&amp;INDEX(INDIRECT(All_Questions_Q9_F_resolved_column),115)&amp;"|",All_Questions_Q9_F_wrapped)),1,0),0))*1</f>
        <v>1</v>
      </c>
    </row>
    <row r="117">
      <c r="A117" t="n">
        <v>116</v>
      </c>
      <c r="B117" t="n">
        <v>5.25</v>
      </c>
      <c r="C117" t="n">
        <v>27.1</v>
      </c>
      <c r="D117">
        <f>1</f>
        <v>1</v>
      </c>
      <c r="E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F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G117">
        <f>E117*F117*1</f>
        <v>1</v>
      </c>
      <c r="H117">
        <f>1</f>
        <v>1</v>
      </c>
      <c r="I117">
        <f>IF(OR(All_Questions_Q8_F_Q="(None)",All_Questions_Q8_F_Q="",ISBLANK(All_Questions_Q8_F_Q),All_Questions_Q8_F_V="(All)",All_Questions_Q8_F_V="",ISBLANK(All_Questions_Q8_F_V)),1,IFERROR(IF(ISNUMBER(SEARCH("|"&amp;INDEX(INDIRECT(All_Questions_Q8_F_resolved_column),116)&amp;"|",All_Questions_Q8_F_wrapped)),1,0),0))*1</f>
        <v>1</v>
      </c>
      <c r="J117">
        <f>IF(OR(All_Questions_Q9_F_Q="(None)",All_Questions_Q9_F_Q="",ISBLANK(All_Questions_Q9_F_Q),All_Questions_Q9_F_V="(All)",All_Questions_Q9_F_V="",ISBLANK(All_Questions_Q9_F_V)),1,IFERROR(IF(ISNUMBER(SEARCH("|"&amp;INDEX(INDIRECT(All_Questions_Q9_F_resolved_column),116)&amp;"|",All_Questions_Q9_F_wrapped)),1,0),0))*1</f>
        <v>1</v>
      </c>
    </row>
    <row r="118">
      <c r="A118" t="n">
        <v>117</v>
      </c>
      <c r="B118" t="n">
        <v>5.25</v>
      </c>
      <c r="C118" t="n">
        <v>27.1</v>
      </c>
      <c r="D118">
        <f>1</f>
        <v>1</v>
      </c>
      <c r="E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F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G118">
        <f>E118*F118*1</f>
        <v>1</v>
      </c>
      <c r="H118">
        <f>1</f>
        <v>1</v>
      </c>
      <c r="I118">
        <f>IF(OR(All_Questions_Q8_F_Q="(None)",All_Questions_Q8_F_Q="",ISBLANK(All_Questions_Q8_F_Q),All_Questions_Q8_F_V="(All)",All_Questions_Q8_F_V="",ISBLANK(All_Questions_Q8_F_V)),1,IFERROR(IF(ISNUMBER(SEARCH("|"&amp;INDEX(INDIRECT(All_Questions_Q8_F_resolved_column),117)&amp;"|",All_Questions_Q8_F_wrapped)),1,0),0))*1</f>
        <v>1</v>
      </c>
      <c r="J118">
        <f>IF(OR(All_Questions_Q9_F_Q="(None)",All_Questions_Q9_F_Q="",ISBLANK(All_Questions_Q9_F_Q),All_Questions_Q9_F_V="(All)",All_Questions_Q9_F_V="",ISBLANK(All_Questions_Q9_F_V)),1,IFERROR(IF(ISNUMBER(SEARCH("|"&amp;INDEX(INDIRECT(All_Questions_Q9_F_resolved_column),117)&amp;"|",All_Questions_Q9_F_wrapped)),1,0),0))*1</f>
        <v>1</v>
      </c>
    </row>
    <row r="119">
      <c r="A119" t="n">
        <v>118</v>
      </c>
      <c r="B119" t="n">
        <v>5.25</v>
      </c>
      <c r="C119" t="n">
        <v>27.1</v>
      </c>
      <c r="D119">
        <f>1</f>
        <v>1</v>
      </c>
      <c r="E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F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G119">
        <f>E119*F119*1</f>
        <v>1</v>
      </c>
      <c r="H119">
        <f>1</f>
        <v>1</v>
      </c>
      <c r="I119">
        <f>IF(OR(All_Questions_Q8_F_Q="(None)",All_Questions_Q8_F_Q="",ISBLANK(All_Questions_Q8_F_Q),All_Questions_Q8_F_V="(All)",All_Questions_Q8_F_V="",ISBLANK(All_Questions_Q8_F_V)),1,IFERROR(IF(ISNUMBER(SEARCH("|"&amp;INDEX(INDIRECT(All_Questions_Q8_F_resolved_column),118)&amp;"|",All_Questions_Q8_F_wrapped)),1,0),0))*1</f>
        <v>1</v>
      </c>
      <c r="J119">
        <f>IF(OR(All_Questions_Q9_F_Q="(None)",All_Questions_Q9_F_Q="",ISBLANK(All_Questions_Q9_F_Q),All_Questions_Q9_F_V="(All)",All_Questions_Q9_F_V="",ISBLANK(All_Questions_Q9_F_V)),1,IFERROR(IF(ISNUMBER(SEARCH("|"&amp;INDEX(INDIRECT(All_Questions_Q9_F_resolved_column),118)&amp;"|",All_Questions_Q9_F_wrapped)),1,0),0))*1</f>
        <v>1</v>
      </c>
    </row>
    <row r="120">
      <c r="A120" t="n">
        <v>119</v>
      </c>
      <c r="B120" t="n">
        <v>5.25</v>
      </c>
      <c r="C120" t="n">
        <v>27.1</v>
      </c>
      <c r="D120">
        <f>1</f>
        <v>1</v>
      </c>
      <c r="E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F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G120">
        <f>E120*F120*1</f>
        <v>1</v>
      </c>
      <c r="H120">
        <f>1</f>
        <v>1</v>
      </c>
      <c r="I120">
        <f>IF(OR(All_Questions_Q8_F_Q="(None)",All_Questions_Q8_F_Q="",ISBLANK(All_Questions_Q8_F_Q),All_Questions_Q8_F_V="(All)",All_Questions_Q8_F_V="",ISBLANK(All_Questions_Q8_F_V)),1,IFERROR(IF(ISNUMBER(SEARCH("|"&amp;INDEX(INDIRECT(All_Questions_Q8_F_resolved_column),119)&amp;"|",All_Questions_Q8_F_wrapped)),1,0),0))*1</f>
        <v>1</v>
      </c>
      <c r="J120">
        <f>IF(OR(All_Questions_Q9_F_Q="(None)",All_Questions_Q9_F_Q="",ISBLANK(All_Questions_Q9_F_Q),All_Questions_Q9_F_V="(All)",All_Questions_Q9_F_V="",ISBLANK(All_Questions_Q9_F_V)),1,IFERROR(IF(ISNUMBER(SEARCH("|"&amp;INDEX(INDIRECT(All_Questions_Q9_F_resolved_column),119)&amp;"|",All_Questions_Q9_F_wrapped)),1,0),0))*1</f>
        <v>1</v>
      </c>
    </row>
    <row r="121">
      <c r="A121" t="n">
        <v>120</v>
      </c>
      <c r="B121" t="n">
        <v>5.25</v>
      </c>
      <c r="C121" t="n">
        <v>27.1</v>
      </c>
      <c r="D121">
        <f>1</f>
        <v>1</v>
      </c>
      <c r="E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F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G121">
        <f>E121*F121*1</f>
        <v>1</v>
      </c>
      <c r="H121">
        <f>1</f>
        <v>1</v>
      </c>
      <c r="I121">
        <f>IF(OR(All_Questions_Q8_F_Q="(None)",All_Questions_Q8_F_Q="",ISBLANK(All_Questions_Q8_F_Q),All_Questions_Q8_F_V="(All)",All_Questions_Q8_F_V="",ISBLANK(All_Questions_Q8_F_V)),1,IFERROR(IF(ISNUMBER(SEARCH("|"&amp;INDEX(INDIRECT(All_Questions_Q8_F_resolved_column),120)&amp;"|",All_Questions_Q8_F_wrapped)),1,0),0))*1</f>
        <v>1</v>
      </c>
      <c r="J121">
        <f>IF(OR(All_Questions_Q9_F_Q="(None)",All_Questions_Q9_F_Q="",ISBLANK(All_Questions_Q9_F_Q),All_Questions_Q9_F_V="(All)",All_Questions_Q9_F_V="",ISBLANK(All_Questions_Q9_F_V)),1,IFERROR(IF(ISNUMBER(SEARCH("|"&amp;INDEX(INDIRECT(All_Questions_Q9_F_resolved_column),120)&amp;"|",All_Questions_Q9_F_wrapped)),1,0),0))*1</f>
        <v>1</v>
      </c>
    </row>
    <row r="122">
      <c r="A122" t="n">
        <v>121</v>
      </c>
      <c r="B122" t="n">
        <v>5.25</v>
      </c>
      <c r="C122" t="n">
        <v>27.1</v>
      </c>
      <c r="D122">
        <f>1</f>
        <v>1</v>
      </c>
      <c r="E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F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G122">
        <f>E122*F122*1</f>
        <v>1</v>
      </c>
      <c r="H122">
        <f>1</f>
        <v>1</v>
      </c>
      <c r="I122">
        <f>IF(OR(All_Questions_Q8_F_Q="(None)",All_Questions_Q8_F_Q="",ISBLANK(All_Questions_Q8_F_Q),All_Questions_Q8_F_V="(All)",All_Questions_Q8_F_V="",ISBLANK(All_Questions_Q8_F_V)),1,IFERROR(IF(ISNUMBER(SEARCH("|"&amp;INDEX(INDIRECT(All_Questions_Q8_F_resolved_column),121)&amp;"|",All_Questions_Q8_F_wrapped)),1,0),0))*1</f>
        <v>1</v>
      </c>
      <c r="J122">
        <f>IF(OR(All_Questions_Q9_F_Q="(None)",All_Questions_Q9_F_Q="",ISBLANK(All_Questions_Q9_F_Q),All_Questions_Q9_F_V="(All)",All_Questions_Q9_F_V="",ISBLANK(All_Questions_Q9_F_V)),1,IFERROR(IF(ISNUMBER(SEARCH("|"&amp;INDEX(INDIRECT(All_Questions_Q9_F_resolved_column),121)&amp;"|",All_Questions_Q9_F_wrapped)),1,0),0))*1</f>
        <v>1</v>
      </c>
    </row>
    <row r="123">
      <c r="A123" t="n">
        <v>122</v>
      </c>
      <c r="B123" t="n">
        <v>5.25</v>
      </c>
      <c r="C123" t="n">
        <v>27.1</v>
      </c>
      <c r="D123">
        <f>1</f>
        <v>1</v>
      </c>
      <c r="E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F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G123">
        <f>E123*F123*1</f>
        <v>1</v>
      </c>
      <c r="H123">
        <f>1</f>
        <v>1</v>
      </c>
      <c r="I123">
        <f>IF(OR(All_Questions_Q8_F_Q="(None)",All_Questions_Q8_F_Q="",ISBLANK(All_Questions_Q8_F_Q),All_Questions_Q8_F_V="(All)",All_Questions_Q8_F_V="",ISBLANK(All_Questions_Q8_F_V)),1,IFERROR(IF(ISNUMBER(SEARCH("|"&amp;INDEX(INDIRECT(All_Questions_Q8_F_resolved_column),122)&amp;"|",All_Questions_Q8_F_wrapped)),1,0),0))*1</f>
        <v>1</v>
      </c>
      <c r="J123">
        <f>IF(OR(All_Questions_Q9_F_Q="(None)",All_Questions_Q9_F_Q="",ISBLANK(All_Questions_Q9_F_Q),All_Questions_Q9_F_V="(All)",All_Questions_Q9_F_V="",ISBLANK(All_Questions_Q9_F_V)),1,IFERROR(IF(ISNUMBER(SEARCH("|"&amp;INDEX(INDIRECT(All_Questions_Q9_F_resolved_column),122)&amp;"|",All_Questions_Q9_F_wrapped)),1,0),0))*1</f>
        <v>1</v>
      </c>
    </row>
    <row r="124">
      <c r="A124" t="n">
        <v>123</v>
      </c>
      <c r="B124" t="n">
        <v>5.25</v>
      </c>
      <c r="C124" t="n">
        <v>27.1</v>
      </c>
      <c r="D124">
        <f>1</f>
        <v>1</v>
      </c>
      <c r="E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F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G124">
        <f>E124*F124*1</f>
        <v>1</v>
      </c>
      <c r="H124">
        <f>1</f>
        <v>1</v>
      </c>
      <c r="I124">
        <f>IF(OR(All_Questions_Q8_F_Q="(None)",All_Questions_Q8_F_Q="",ISBLANK(All_Questions_Q8_F_Q),All_Questions_Q8_F_V="(All)",All_Questions_Q8_F_V="",ISBLANK(All_Questions_Q8_F_V)),1,IFERROR(IF(ISNUMBER(SEARCH("|"&amp;INDEX(INDIRECT(All_Questions_Q8_F_resolved_column),123)&amp;"|",All_Questions_Q8_F_wrapped)),1,0),0))*1</f>
        <v>1</v>
      </c>
      <c r="J124">
        <f>IF(OR(All_Questions_Q9_F_Q="(None)",All_Questions_Q9_F_Q="",ISBLANK(All_Questions_Q9_F_Q),All_Questions_Q9_F_V="(All)",All_Questions_Q9_F_V="",ISBLANK(All_Questions_Q9_F_V)),1,IFERROR(IF(ISNUMBER(SEARCH("|"&amp;INDEX(INDIRECT(All_Questions_Q9_F_resolved_column),123)&amp;"|",All_Questions_Q9_F_wrapped)),1,0),0))*1</f>
        <v>1</v>
      </c>
    </row>
    <row r="125">
      <c r="A125" t="n">
        <v>124</v>
      </c>
      <c r="B125" t="n">
        <v>5.25</v>
      </c>
      <c r="C125" t="n">
        <v>27.1</v>
      </c>
      <c r="D125">
        <f>1</f>
        <v>1</v>
      </c>
      <c r="E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F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G125">
        <f>E125*F125*1</f>
        <v>1</v>
      </c>
      <c r="H125">
        <f>1</f>
        <v>1</v>
      </c>
      <c r="I125">
        <f>IF(OR(All_Questions_Q8_F_Q="(None)",All_Questions_Q8_F_Q="",ISBLANK(All_Questions_Q8_F_Q),All_Questions_Q8_F_V="(All)",All_Questions_Q8_F_V="",ISBLANK(All_Questions_Q8_F_V)),1,IFERROR(IF(ISNUMBER(SEARCH("|"&amp;INDEX(INDIRECT(All_Questions_Q8_F_resolved_column),124)&amp;"|",All_Questions_Q8_F_wrapped)),1,0),0))*1</f>
        <v>1</v>
      </c>
      <c r="J125">
        <f>IF(OR(All_Questions_Q9_F_Q="(None)",All_Questions_Q9_F_Q="",ISBLANK(All_Questions_Q9_F_Q),All_Questions_Q9_F_V="(All)",All_Questions_Q9_F_V="",ISBLANK(All_Questions_Q9_F_V)),1,IFERROR(IF(ISNUMBER(SEARCH("|"&amp;INDEX(INDIRECT(All_Questions_Q9_F_resolved_column),124)&amp;"|",All_Questions_Q9_F_wrapped)),1,0),0))*1</f>
        <v>1</v>
      </c>
    </row>
    <row r="126">
      <c r="A126" t="n">
        <v>125</v>
      </c>
      <c r="B126" t="n">
        <v>5.25</v>
      </c>
      <c r="C126" t="n">
        <v>27.1</v>
      </c>
      <c r="D126">
        <f>1</f>
        <v>1</v>
      </c>
      <c r="E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F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G126">
        <f>E126*F126*1</f>
        <v>1</v>
      </c>
      <c r="H126">
        <f>1</f>
        <v>1</v>
      </c>
      <c r="I126">
        <f>IF(OR(All_Questions_Q8_F_Q="(None)",All_Questions_Q8_F_Q="",ISBLANK(All_Questions_Q8_F_Q),All_Questions_Q8_F_V="(All)",All_Questions_Q8_F_V="",ISBLANK(All_Questions_Q8_F_V)),1,IFERROR(IF(ISNUMBER(SEARCH("|"&amp;INDEX(INDIRECT(All_Questions_Q8_F_resolved_column),125)&amp;"|",All_Questions_Q8_F_wrapped)),1,0),0))*1</f>
        <v>1</v>
      </c>
      <c r="J126">
        <f>IF(OR(All_Questions_Q9_F_Q="(None)",All_Questions_Q9_F_Q="",ISBLANK(All_Questions_Q9_F_Q),All_Questions_Q9_F_V="(All)",All_Questions_Q9_F_V="",ISBLANK(All_Questions_Q9_F_V)),1,IFERROR(IF(ISNUMBER(SEARCH("|"&amp;INDEX(INDIRECT(All_Questions_Q9_F_resolved_column),125)&amp;"|",All_Questions_Q9_F_wrapped)),1,0),0))*1</f>
        <v>1</v>
      </c>
    </row>
    <row r="127">
      <c r="A127" t="n">
        <v>126</v>
      </c>
      <c r="B127" t="n">
        <v>5.25</v>
      </c>
      <c r="C127" t="n">
        <v>27.1</v>
      </c>
      <c r="D127">
        <f>1</f>
        <v>1</v>
      </c>
      <c r="E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F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G127">
        <f>E127*F127*1</f>
        <v>1</v>
      </c>
      <c r="H127">
        <f>1</f>
        <v>1</v>
      </c>
      <c r="I127">
        <f>IF(OR(All_Questions_Q8_F_Q="(None)",All_Questions_Q8_F_Q="",ISBLANK(All_Questions_Q8_F_Q),All_Questions_Q8_F_V="(All)",All_Questions_Q8_F_V="",ISBLANK(All_Questions_Q8_F_V)),1,IFERROR(IF(ISNUMBER(SEARCH("|"&amp;INDEX(INDIRECT(All_Questions_Q8_F_resolved_column),126)&amp;"|",All_Questions_Q8_F_wrapped)),1,0),0))*1</f>
        <v>1</v>
      </c>
      <c r="J127">
        <f>IF(OR(All_Questions_Q9_F_Q="(None)",All_Questions_Q9_F_Q="",ISBLANK(All_Questions_Q9_F_Q),All_Questions_Q9_F_V="(All)",All_Questions_Q9_F_V="",ISBLANK(All_Questions_Q9_F_V)),1,IFERROR(IF(ISNUMBER(SEARCH("|"&amp;INDEX(INDIRECT(All_Questions_Q9_F_resolved_column),126)&amp;"|",All_Questions_Q9_F_wrapped)),1,0),0))*1</f>
        <v>1</v>
      </c>
    </row>
    <row r="128">
      <c r="A128" t="n">
        <v>127</v>
      </c>
      <c r="B128" t="n">
        <v>5.25</v>
      </c>
      <c r="C128" t="n">
        <v>27.1</v>
      </c>
      <c r="D128">
        <f>1</f>
        <v>1</v>
      </c>
      <c r="E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F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G128">
        <f>E128*F128*1</f>
        <v>1</v>
      </c>
      <c r="H128">
        <f>1</f>
        <v>1</v>
      </c>
      <c r="I128">
        <f>IF(OR(All_Questions_Q8_F_Q="(None)",All_Questions_Q8_F_Q="",ISBLANK(All_Questions_Q8_F_Q),All_Questions_Q8_F_V="(All)",All_Questions_Q8_F_V="",ISBLANK(All_Questions_Q8_F_V)),1,IFERROR(IF(ISNUMBER(SEARCH("|"&amp;INDEX(INDIRECT(All_Questions_Q8_F_resolved_column),127)&amp;"|",All_Questions_Q8_F_wrapped)),1,0),0))*1</f>
        <v>1</v>
      </c>
      <c r="J128">
        <f>IF(OR(All_Questions_Q9_F_Q="(None)",All_Questions_Q9_F_Q="",ISBLANK(All_Questions_Q9_F_Q),All_Questions_Q9_F_V="(All)",All_Questions_Q9_F_V="",ISBLANK(All_Questions_Q9_F_V)),1,IFERROR(IF(ISNUMBER(SEARCH("|"&amp;INDEX(INDIRECT(All_Questions_Q9_F_resolved_column),127)&amp;"|",All_Questions_Q9_F_wrapped)),1,0),0))*1</f>
        <v>1</v>
      </c>
    </row>
    <row r="129">
      <c r="A129" t="n">
        <v>128</v>
      </c>
      <c r="B129" t="n">
        <v>5.25</v>
      </c>
      <c r="C129" t="n">
        <v>27.1</v>
      </c>
      <c r="D129">
        <f>1</f>
        <v>1</v>
      </c>
      <c r="E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F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G129">
        <f>E129*F129*1</f>
        <v>1</v>
      </c>
      <c r="H129">
        <f>1</f>
        <v>1</v>
      </c>
      <c r="I129">
        <f>IF(OR(All_Questions_Q8_F_Q="(None)",All_Questions_Q8_F_Q="",ISBLANK(All_Questions_Q8_F_Q),All_Questions_Q8_F_V="(All)",All_Questions_Q8_F_V="",ISBLANK(All_Questions_Q8_F_V)),1,IFERROR(IF(ISNUMBER(SEARCH("|"&amp;INDEX(INDIRECT(All_Questions_Q8_F_resolved_column),128)&amp;"|",All_Questions_Q8_F_wrapped)),1,0),0))*1</f>
        <v>1</v>
      </c>
      <c r="J129">
        <f>IF(OR(All_Questions_Q9_F_Q="(None)",All_Questions_Q9_F_Q="",ISBLANK(All_Questions_Q9_F_Q),All_Questions_Q9_F_V="(All)",All_Questions_Q9_F_V="",ISBLANK(All_Questions_Q9_F_V)),1,IFERROR(IF(ISNUMBER(SEARCH("|"&amp;INDEX(INDIRECT(All_Questions_Q9_F_resolved_column),128)&amp;"|",All_Questions_Q9_F_wrapped)),1,0),0))*1</f>
        <v>1</v>
      </c>
    </row>
    <row r="130">
      <c r="A130" t="n">
        <v>129</v>
      </c>
      <c r="B130" t="n">
        <v>5.25</v>
      </c>
      <c r="C130" t="n">
        <v>27.1</v>
      </c>
      <c r="D130">
        <f>1</f>
        <v>1</v>
      </c>
      <c r="E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F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G130">
        <f>E130*F130*1</f>
        <v>1</v>
      </c>
      <c r="H130">
        <f>1</f>
        <v>1</v>
      </c>
      <c r="I130">
        <f>IF(OR(All_Questions_Q8_F_Q="(None)",All_Questions_Q8_F_Q="",ISBLANK(All_Questions_Q8_F_Q),All_Questions_Q8_F_V="(All)",All_Questions_Q8_F_V="",ISBLANK(All_Questions_Q8_F_V)),1,IFERROR(IF(ISNUMBER(SEARCH("|"&amp;INDEX(INDIRECT(All_Questions_Q8_F_resolved_column),129)&amp;"|",All_Questions_Q8_F_wrapped)),1,0),0))*1</f>
        <v>1</v>
      </c>
      <c r="J130">
        <f>IF(OR(All_Questions_Q9_F_Q="(None)",All_Questions_Q9_F_Q="",ISBLANK(All_Questions_Q9_F_Q),All_Questions_Q9_F_V="(All)",All_Questions_Q9_F_V="",ISBLANK(All_Questions_Q9_F_V)),1,IFERROR(IF(ISNUMBER(SEARCH("|"&amp;INDEX(INDIRECT(All_Questions_Q9_F_resolved_column),129)&amp;"|",All_Questions_Q9_F_wrapped)),1,0),0))*1</f>
        <v>1</v>
      </c>
    </row>
    <row r="131">
      <c r="A131" t="n">
        <v>130</v>
      </c>
      <c r="B131" t="n">
        <v>5.25</v>
      </c>
      <c r="C131" t="n">
        <v>27.1</v>
      </c>
      <c r="D131">
        <f>1</f>
        <v>1</v>
      </c>
      <c r="E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F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G131">
        <f>E131*F131*1</f>
        <v>1</v>
      </c>
      <c r="H131">
        <f>1</f>
        <v>1</v>
      </c>
      <c r="I131">
        <f>IF(OR(All_Questions_Q8_F_Q="(None)",All_Questions_Q8_F_Q="",ISBLANK(All_Questions_Q8_F_Q),All_Questions_Q8_F_V="(All)",All_Questions_Q8_F_V="",ISBLANK(All_Questions_Q8_F_V)),1,IFERROR(IF(ISNUMBER(SEARCH("|"&amp;INDEX(INDIRECT(All_Questions_Q8_F_resolved_column),130)&amp;"|",All_Questions_Q8_F_wrapped)),1,0),0))*1</f>
        <v>1</v>
      </c>
      <c r="J131">
        <f>IF(OR(All_Questions_Q9_F_Q="(None)",All_Questions_Q9_F_Q="",ISBLANK(All_Questions_Q9_F_Q),All_Questions_Q9_F_V="(All)",All_Questions_Q9_F_V="",ISBLANK(All_Questions_Q9_F_V)),1,IFERROR(IF(ISNUMBER(SEARCH("|"&amp;INDEX(INDIRECT(All_Questions_Q9_F_resolved_column),130)&amp;"|",All_Questions_Q9_F_wrapped)),1,0),0))*1</f>
        <v>1</v>
      </c>
    </row>
    <row r="132">
      <c r="A132" t="n">
        <v>131</v>
      </c>
      <c r="B132" t="n">
        <v>5.25</v>
      </c>
      <c r="C132" t="n">
        <v>27.1</v>
      </c>
      <c r="D132">
        <f>1</f>
        <v>1</v>
      </c>
      <c r="E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F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G132">
        <f>E132*F132*1</f>
        <v>1</v>
      </c>
      <c r="H132">
        <f>1</f>
        <v>1</v>
      </c>
      <c r="I132">
        <f>IF(OR(All_Questions_Q8_F_Q="(None)",All_Questions_Q8_F_Q="",ISBLANK(All_Questions_Q8_F_Q),All_Questions_Q8_F_V="(All)",All_Questions_Q8_F_V="",ISBLANK(All_Questions_Q8_F_V)),1,IFERROR(IF(ISNUMBER(SEARCH("|"&amp;INDEX(INDIRECT(All_Questions_Q8_F_resolved_column),131)&amp;"|",All_Questions_Q8_F_wrapped)),1,0),0))*1</f>
        <v>1</v>
      </c>
      <c r="J132">
        <f>IF(OR(All_Questions_Q9_F_Q="(None)",All_Questions_Q9_F_Q="",ISBLANK(All_Questions_Q9_F_Q),All_Questions_Q9_F_V="(All)",All_Questions_Q9_F_V="",ISBLANK(All_Questions_Q9_F_V)),1,IFERROR(IF(ISNUMBER(SEARCH("|"&amp;INDEX(INDIRECT(All_Questions_Q9_F_resolved_column),131)&amp;"|",All_Questions_Q9_F_wrapped)),1,0),0))*1</f>
        <v>1</v>
      </c>
    </row>
    <row r="133">
      <c r="A133" t="n">
        <v>132</v>
      </c>
      <c r="B133" t="n">
        <v>5.25</v>
      </c>
      <c r="C133" t="n">
        <v>27.1</v>
      </c>
      <c r="D133">
        <f>1</f>
        <v>1</v>
      </c>
      <c r="E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F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G133">
        <f>E133*F133*1</f>
        <v>1</v>
      </c>
      <c r="H133">
        <f>1</f>
        <v>1</v>
      </c>
      <c r="I133">
        <f>IF(OR(All_Questions_Q8_F_Q="(None)",All_Questions_Q8_F_Q="",ISBLANK(All_Questions_Q8_F_Q),All_Questions_Q8_F_V="(All)",All_Questions_Q8_F_V="",ISBLANK(All_Questions_Q8_F_V)),1,IFERROR(IF(ISNUMBER(SEARCH("|"&amp;INDEX(INDIRECT(All_Questions_Q8_F_resolved_column),132)&amp;"|",All_Questions_Q8_F_wrapped)),1,0),0))*1</f>
        <v>1</v>
      </c>
      <c r="J133">
        <f>IF(OR(All_Questions_Q9_F_Q="(None)",All_Questions_Q9_F_Q="",ISBLANK(All_Questions_Q9_F_Q),All_Questions_Q9_F_V="(All)",All_Questions_Q9_F_V="",ISBLANK(All_Questions_Q9_F_V)),1,IFERROR(IF(ISNUMBER(SEARCH("|"&amp;INDEX(INDIRECT(All_Questions_Q9_F_resolved_column),132)&amp;"|",All_Questions_Q9_F_wrapped)),1,0),0))*1</f>
        <v>1</v>
      </c>
    </row>
    <row r="134">
      <c r="A134" t="n">
        <v>133</v>
      </c>
      <c r="B134" t="n">
        <v>5.25</v>
      </c>
      <c r="C134" t="n">
        <v>27.1</v>
      </c>
      <c r="D134">
        <f>1</f>
        <v>1</v>
      </c>
      <c r="E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F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G134">
        <f>E134*F134*1</f>
        <v>1</v>
      </c>
      <c r="H134">
        <f>1</f>
        <v>1</v>
      </c>
      <c r="I134">
        <f>IF(OR(All_Questions_Q8_F_Q="(None)",All_Questions_Q8_F_Q="",ISBLANK(All_Questions_Q8_F_Q),All_Questions_Q8_F_V="(All)",All_Questions_Q8_F_V="",ISBLANK(All_Questions_Q8_F_V)),1,IFERROR(IF(ISNUMBER(SEARCH("|"&amp;INDEX(INDIRECT(All_Questions_Q8_F_resolved_column),133)&amp;"|",All_Questions_Q8_F_wrapped)),1,0),0))*1</f>
        <v>1</v>
      </c>
      <c r="J134">
        <f>IF(OR(All_Questions_Q9_F_Q="(None)",All_Questions_Q9_F_Q="",ISBLANK(All_Questions_Q9_F_Q),All_Questions_Q9_F_V="(All)",All_Questions_Q9_F_V="",ISBLANK(All_Questions_Q9_F_V)),1,IFERROR(IF(ISNUMBER(SEARCH("|"&amp;INDEX(INDIRECT(All_Questions_Q9_F_resolved_column),133)&amp;"|",All_Questions_Q9_F_wrapped)),1,0),0))*1</f>
        <v>1</v>
      </c>
    </row>
    <row r="135">
      <c r="A135" t="n">
        <v>134</v>
      </c>
      <c r="B135" t="n">
        <v>5.25</v>
      </c>
      <c r="C135" t="n">
        <v>27.1</v>
      </c>
      <c r="D135">
        <f>1</f>
        <v>1</v>
      </c>
      <c r="E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F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G135">
        <f>E135*F135*1</f>
        <v>1</v>
      </c>
      <c r="H135">
        <f>1</f>
        <v>1</v>
      </c>
      <c r="I135">
        <f>IF(OR(All_Questions_Q8_F_Q="(None)",All_Questions_Q8_F_Q="",ISBLANK(All_Questions_Q8_F_Q),All_Questions_Q8_F_V="(All)",All_Questions_Q8_F_V="",ISBLANK(All_Questions_Q8_F_V)),1,IFERROR(IF(ISNUMBER(SEARCH("|"&amp;INDEX(INDIRECT(All_Questions_Q8_F_resolved_column),134)&amp;"|",All_Questions_Q8_F_wrapped)),1,0),0))*1</f>
        <v>1</v>
      </c>
      <c r="J135">
        <f>IF(OR(All_Questions_Q9_F_Q="(None)",All_Questions_Q9_F_Q="",ISBLANK(All_Questions_Q9_F_Q),All_Questions_Q9_F_V="(All)",All_Questions_Q9_F_V="",ISBLANK(All_Questions_Q9_F_V)),1,IFERROR(IF(ISNUMBER(SEARCH("|"&amp;INDEX(INDIRECT(All_Questions_Q9_F_resolved_column),134)&amp;"|",All_Questions_Q9_F_wrapped)),1,0),0))*1</f>
        <v>1</v>
      </c>
    </row>
    <row r="136">
      <c r="A136" t="n">
        <v>135</v>
      </c>
      <c r="B136" t="n">
        <v>5.25</v>
      </c>
      <c r="C136" t="n">
        <v>27.1</v>
      </c>
      <c r="D136">
        <f>1</f>
        <v>1</v>
      </c>
      <c r="E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F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G136">
        <f>E136*F136*1</f>
        <v>1</v>
      </c>
      <c r="H136">
        <f>1</f>
        <v>1</v>
      </c>
      <c r="I136">
        <f>IF(OR(All_Questions_Q8_F_Q="(None)",All_Questions_Q8_F_Q="",ISBLANK(All_Questions_Q8_F_Q),All_Questions_Q8_F_V="(All)",All_Questions_Q8_F_V="",ISBLANK(All_Questions_Q8_F_V)),1,IFERROR(IF(ISNUMBER(SEARCH("|"&amp;INDEX(INDIRECT(All_Questions_Q8_F_resolved_column),135)&amp;"|",All_Questions_Q8_F_wrapped)),1,0),0))*1</f>
        <v>1</v>
      </c>
      <c r="J136">
        <f>IF(OR(All_Questions_Q9_F_Q="(None)",All_Questions_Q9_F_Q="",ISBLANK(All_Questions_Q9_F_Q),All_Questions_Q9_F_V="(All)",All_Questions_Q9_F_V="",ISBLANK(All_Questions_Q9_F_V)),1,IFERROR(IF(ISNUMBER(SEARCH("|"&amp;INDEX(INDIRECT(All_Questions_Q9_F_resolved_column),135)&amp;"|",All_Questions_Q9_F_wrapped)),1,0),0))*1</f>
        <v>1</v>
      </c>
    </row>
    <row r="137">
      <c r="A137" t="n">
        <v>136</v>
      </c>
      <c r="B137" t="n">
        <v>5.25</v>
      </c>
      <c r="C137" t="n">
        <v>27.1</v>
      </c>
      <c r="D137">
        <f>1</f>
        <v>1</v>
      </c>
      <c r="E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F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G137">
        <f>E137*F137*1</f>
        <v>1</v>
      </c>
      <c r="H137">
        <f>1</f>
        <v>1</v>
      </c>
      <c r="I137">
        <f>IF(OR(All_Questions_Q8_F_Q="(None)",All_Questions_Q8_F_Q="",ISBLANK(All_Questions_Q8_F_Q),All_Questions_Q8_F_V="(All)",All_Questions_Q8_F_V="",ISBLANK(All_Questions_Q8_F_V)),1,IFERROR(IF(ISNUMBER(SEARCH("|"&amp;INDEX(INDIRECT(All_Questions_Q8_F_resolved_column),136)&amp;"|",All_Questions_Q8_F_wrapped)),1,0),0))*1</f>
        <v>1</v>
      </c>
      <c r="J137">
        <f>IF(OR(All_Questions_Q9_F_Q="(None)",All_Questions_Q9_F_Q="",ISBLANK(All_Questions_Q9_F_Q),All_Questions_Q9_F_V="(All)",All_Questions_Q9_F_V="",ISBLANK(All_Questions_Q9_F_V)),1,IFERROR(IF(ISNUMBER(SEARCH("|"&amp;INDEX(INDIRECT(All_Questions_Q9_F_resolved_column),136)&amp;"|",All_Questions_Q9_F_wrapped)),1,0),0))*1</f>
        <v>1</v>
      </c>
    </row>
    <row r="138">
      <c r="A138" t="n">
        <v>137</v>
      </c>
      <c r="B138" t="n">
        <v>5.25</v>
      </c>
      <c r="C138" t="n">
        <v>27.1</v>
      </c>
      <c r="D138">
        <f>1</f>
        <v>1</v>
      </c>
      <c r="E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F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G138">
        <f>E138*F138*1</f>
        <v>1</v>
      </c>
      <c r="H138">
        <f>1</f>
        <v>1</v>
      </c>
      <c r="I138">
        <f>IF(OR(All_Questions_Q8_F_Q="(None)",All_Questions_Q8_F_Q="",ISBLANK(All_Questions_Q8_F_Q),All_Questions_Q8_F_V="(All)",All_Questions_Q8_F_V="",ISBLANK(All_Questions_Q8_F_V)),1,IFERROR(IF(ISNUMBER(SEARCH("|"&amp;INDEX(INDIRECT(All_Questions_Q8_F_resolved_column),137)&amp;"|",All_Questions_Q8_F_wrapped)),1,0),0))*1</f>
        <v>1</v>
      </c>
      <c r="J138">
        <f>IF(OR(All_Questions_Q9_F_Q="(None)",All_Questions_Q9_F_Q="",ISBLANK(All_Questions_Q9_F_Q),All_Questions_Q9_F_V="(All)",All_Questions_Q9_F_V="",ISBLANK(All_Questions_Q9_F_V)),1,IFERROR(IF(ISNUMBER(SEARCH("|"&amp;INDEX(INDIRECT(All_Questions_Q9_F_resolved_column),137)&amp;"|",All_Questions_Q9_F_wrapped)),1,0),0))*1</f>
        <v>1</v>
      </c>
    </row>
    <row r="139">
      <c r="A139" t="n">
        <v>138</v>
      </c>
      <c r="B139" t="n">
        <v>5.25</v>
      </c>
      <c r="C139" t="n">
        <v>27.1</v>
      </c>
      <c r="D139">
        <f>1</f>
        <v>1</v>
      </c>
      <c r="E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F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G139">
        <f>E139*F139*1</f>
        <v>1</v>
      </c>
      <c r="H139">
        <f>1</f>
        <v>1</v>
      </c>
      <c r="I139">
        <f>IF(OR(All_Questions_Q8_F_Q="(None)",All_Questions_Q8_F_Q="",ISBLANK(All_Questions_Q8_F_Q),All_Questions_Q8_F_V="(All)",All_Questions_Q8_F_V="",ISBLANK(All_Questions_Q8_F_V)),1,IFERROR(IF(ISNUMBER(SEARCH("|"&amp;INDEX(INDIRECT(All_Questions_Q8_F_resolved_column),138)&amp;"|",All_Questions_Q8_F_wrapped)),1,0),0))*1</f>
        <v>1</v>
      </c>
      <c r="J139">
        <f>IF(OR(All_Questions_Q9_F_Q="(None)",All_Questions_Q9_F_Q="",ISBLANK(All_Questions_Q9_F_Q),All_Questions_Q9_F_V="(All)",All_Questions_Q9_F_V="",ISBLANK(All_Questions_Q9_F_V)),1,IFERROR(IF(ISNUMBER(SEARCH("|"&amp;INDEX(INDIRECT(All_Questions_Q9_F_resolved_column),138)&amp;"|",All_Questions_Q9_F_wrapped)),1,0),0))*1</f>
        <v>1</v>
      </c>
    </row>
    <row r="140">
      <c r="A140" t="n">
        <v>139</v>
      </c>
      <c r="B140" t="n">
        <v>5.25</v>
      </c>
      <c r="C140" t="n">
        <v>27.1</v>
      </c>
      <c r="D140">
        <f>1</f>
        <v>1</v>
      </c>
      <c r="E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F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G140">
        <f>E140*F140*1</f>
        <v>1</v>
      </c>
      <c r="H140">
        <f>1</f>
        <v>1</v>
      </c>
      <c r="I140">
        <f>IF(OR(All_Questions_Q8_F_Q="(None)",All_Questions_Q8_F_Q="",ISBLANK(All_Questions_Q8_F_Q),All_Questions_Q8_F_V="(All)",All_Questions_Q8_F_V="",ISBLANK(All_Questions_Q8_F_V)),1,IFERROR(IF(ISNUMBER(SEARCH("|"&amp;INDEX(INDIRECT(All_Questions_Q8_F_resolved_column),139)&amp;"|",All_Questions_Q8_F_wrapped)),1,0),0))*1</f>
        <v>1</v>
      </c>
      <c r="J140">
        <f>IF(OR(All_Questions_Q9_F_Q="(None)",All_Questions_Q9_F_Q="",ISBLANK(All_Questions_Q9_F_Q),All_Questions_Q9_F_V="(All)",All_Questions_Q9_F_V="",ISBLANK(All_Questions_Q9_F_V)),1,IFERROR(IF(ISNUMBER(SEARCH("|"&amp;INDEX(INDIRECT(All_Questions_Q9_F_resolved_column),139)&amp;"|",All_Questions_Q9_F_wrapped)),1,0),0))*1</f>
        <v>1</v>
      </c>
    </row>
    <row r="141">
      <c r="A141" t="n">
        <v>140</v>
      </c>
      <c r="B141" t="n">
        <v>5.25</v>
      </c>
      <c r="C141" t="n">
        <v>27.1</v>
      </c>
      <c r="D141">
        <f>1</f>
        <v>1</v>
      </c>
      <c r="E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F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G141">
        <f>E141*F141*1</f>
        <v>1</v>
      </c>
      <c r="H141">
        <f>1</f>
        <v>1</v>
      </c>
      <c r="I141">
        <f>IF(OR(All_Questions_Q8_F_Q="(None)",All_Questions_Q8_F_Q="",ISBLANK(All_Questions_Q8_F_Q),All_Questions_Q8_F_V="(All)",All_Questions_Q8_F_V="",ISBLANK(All_Questions_Q8_F_V)),1,IFERROR(IF(ISNUMBER(SEARCH("|"&amp;INDEX(INDIRECT(All_Questions_Q8_F_resolved_column),140)&amp;"|",All_Questions_Q8_F_wrapped)),1,0),0))*1</f>
        <v>1</v>
      </c>
      <c r="J141">
        <f>IF(OR(All_Questions_Q9_F_Q="(None)",All_Questions_Q9_F_Q="",ISBLANK(All_Questions_Q9_F_Q),All_Questions_Q9_F_V="(All)",All_Questions_Q9_F_V="",ISBLANK(All_Questions_Q9_F_V)),1,IFERROR(IF(ISNUMBER(SEARCH("|"&amp;INDEX(INDIRECT(All_Questions_Q9_F_resolved_column),140)&amp;"|",All_Questions_Q9_F_wrapped)),1,0),0))*1</f>
        <v>1</v>
      </c>
    </row>
    <row r="142">
      <c r="A142" t="n">
        <v>141</v>
      </c>
      <c r="B142" t="n">
        <v>5.25</v>
      </c>
      <c r="C142" t="n">
        <v>27.1</v>
      </c>
      <c r="D142">
        <f>1</f>
        <v>1</v>
      </c>
      <c r="E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F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G142">
        <f>E142*F142*1</f>
        <v>1</v>
      </c>
      <c r="H142">
        <f>1</f>
        <v>1</v>
      </c>
      <c r="I142">
        <f>IF(OR(All_Questions_Q8_F_Q="(None)",All_Questions_Q8_F_Q="",ISBLANK(All_Questions_Q8_F_Q),All_Questions_Q8_F_V="(All)",All_Questions_Q8_F_V="",ISBLANK(All_Questions_Q8_F_V)),1,IFERROR(IF(ISNUMBER(SEARCH("|"&amp;INDEX(INDIRECT(All_Questions_Q8_F_resolved_column),141)&amp;"|",All_Questions_Q8_F_wrapped)),1,0),0))*1</f>
        <v>1</v>
      </c>
      <c r="J142">
        <f>IF(OR(All_Questions_Q9_F_Q="(None)",All_Questions_Q9_F_Q="",ISBLANK(All_Questions_Q9_F_Q),All_Questions_Q9_F_V="(All)",All_Questions_Q9_F_V="",ISBLANK(All_Questions_Q9_F_V)),1,IFERROR(IF(ISNUMBER(SEARCH("|"&amp;INDEX(INDIRECT(All_Questions_Q9_F_resolved_column),141)&amp;"|",All_Questions_Q9_F_wrapped)),1,0),0))*1</f>
        <v>1</v>
      </c>
    </row>
    <row r="143">
      <c r="A143" t="n">
        <v>142</v>
      </c>
      <c r="B143" t="n">
        <v>5.25</v>
      </c>
      <c r="C143" t="n">
        <v>27.1</v>
      </c>
      <c r="D143">
        <f>1</f>
        <v>1</v>
      </c>
      <c r="E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F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G143">
        <f>E143*F143*1</f>
        <v>1</v>
      </c>
      <c r="H143">
        <f>1</f>
        <v>1</v>
      </c>
      <c r="I143">
        <f>IF(OR(All_Questions_Q8_F_Q="(None)",All_Questions_Q8_F_Q="",ISBLANK(All_Questions_Q8_F_Q),All_Questions_Q8_F_V="(All)",All_Questions_Q8_F_V="",ISBLANK(All_Questions_Q8_F_V)),1,IFERROR(IF(ISNUMBER(SEARCH("|"&amp;INDEX(INDIRECT(All_Questions_Q8_F_resolved_column),142)&amp;"|",All_Questions_Q8_F_wrapped)),1,0),0))*1</f>
        <v>1</v>
      </c>
      <c r="J143">
        <f>IF(OR(All_Questions_Q9_F_Q="(None)",All_Questions_Q9_F_Q="",ISBLANK(All_Questions_Q9_F_Q),All_Questions_Q9_F_V="(All)",All_Questions_Q9_F_V="",ISBLANK(All_Questions_Q9_F_V)),1,IFERROR(IF(ISNUMBER(SEARCH("|"&amp;INDEX(INDIRECT(All_Questions_Q9_F_resolved_column),142)&amp;"|",All_Questions_Q9_F_wrapped)),1,0),0))*1</f>
        <v>1</v>
      </c>
    </row>
    <row r="144">
      <c r="A144" t="n">
        <v>143</v>
      </c>
      <c r="B144" t="n">
        <v>5.25</v>
      </c>
      <c r="C144" t="n">
        <v>27.1</v>
      </c>
      <c r="D144">
        <f>1</f>
        <v>1</v>
      </c>
      <c r="E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F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G144">
        <f>E144*F144*1</f>
        <v>1</v>
      </c>
      <c r="H144">
        <f>1</f>
        <v>1</v>
      </c>
      <c r="I144">
        <f>IF(OR(All_Questions_Q8_F_Q="(None)",All_Questions_Q8_F_Q="",ISBLANK(All_Questions_Q8_F_Q),All_Questions_Q8_F_V="(All)",All_Questions_Q8_F_V="",ISBLANK(All_Questions_Q8_F_V)),1,IFERROR(IF(ISNUMBER(SEARCH("|"&amp;INDEX(INDIRECT(All_Questions_Q8_F_resolved_column),143)&amp;"|",All_Questions_Q8_F_wrapped)),1,0),0))*1</f>
        <v>1</v>
      </c>
      <c r="J144">
        <f>IF(OR(All_Questions_Q9_F_Q="(None)",All_Questions_Q9_F_Q="",ISBLANK(All_Questions_Q9_F_Q),All_Questions_Q9_F_V="(All)",All_Questions_Q9_F_V="",ISBLANK(All_Questions_Q9_F_V)),1,IFERROR(IF(ISNUMBER(SEARCH("|"&amp;INDEX(INDIRECT(All_Questions_Q9_F_resolved_column),143)&amp;"|",All_Questions_Q9_F_wrapped)),1,0),0))*1</f>
        <v>1</v>
      </c>
    </row>
    <row r="145">
      <c r="A145" t="n">
        <v>144</v>
      </c>
      <c r="B145" t="n">
        <v>5.25</v>
      </c>
      <c r="C145" t="n">
        <v>27.1</v>
      </c>
      <c r="D145">
        <f>1</f>
        <v>1</v>
      </c>
      <c r="E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F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G145">
        <f>E145*F145*1</f>
        <v>1</v>
      </c>
      <c r="H145">
        <f>1</f>
        <v>1</v>
      </c>
      <c r="I145">
        <f>IF(OR(All_Questions_Q8_F_Q="(None)",All_Questions_Q8_F_Q="",ISBLANK(All_Questions_Q8_F_Q),All_Questions_Q8_F_V="(All)",All_Questions_Q8_F_V="",ISBLANK(All_Questions_Q8_F_V)),1,IFERROR(IF(ISNUMBER(SEARCH("|"&amp;INDEX(INDIRECT(All_Questions_Q8_F_resolved_column),144)&amp;"|",All_Questions_Q8_F_wrapped)),1,0),0))*1</f>
        <v>1</v>
      </c>
      <c r="J145">
        <f>IF(OR(All_Questions_Q9_F_Q="(None)",All_Questions_Q9_F_Q="",ISBLANK(All_Questions_Q9_F_Q),All_Questions_Q9_F_V="(All)",All_Questions_Q9_F_V="",ISBLANK(All_Questions_Q9_F_V)),1,IFERROR(IF(ISNUMBER(SEARCH("|"&amp;INDEX(INDIRECT(All_Questions_Q9_F_resolved_column),144)&amp;"|",All_Questions_Q9_F_wrapped)),1,0),0))*1</f>
        <v>1</v>
      </c>
    </row>
    <row r="146">
      <c r="A146" t="n">
        <v>145</v>
      </c>
      <c r="B146" t="n">
        <v>5.25</v>
      </c>
      <c r="C146" t="n">
        <v>27.1</v>
      </c>
      <c r="D146">
        <f>1</f>
        <v>1</v>
      </c>
      <c r="E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F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G146">
        <f>E146*F146*1</f>
        <v>1</v>
      </c>
      <c r="H146">
        <f>1</f>
        <v>1</v>
      </c>
      <c r="I146">
        <f>IF(OR(All_Questions_Q8_F_Q="(None)",All_Questions_Q8_F_Q="",ISBLANK(All_Questions_Q8_F_Q),All_Questions_Q8_F_V="(All)",All_Questions_Q8_F_V="",ISBLANK(All_Questions_Q8_F_V)),1,IFERROR(IF(ISNUMBER(SEARCH("|"&amp;INDEX(INDIRECT(All_Questions_Q8_F_resolved_column),145)&amp;"|",All_Questions_Q8_F_wrapped)),1,0),0))*1</f>
        <v>1</v>
      </c>
      <c r="J146">
        <f>IF(OR(All_Questions_Q9_F_Q="(None)",All_Questions_Q9_F_Q="",ISBLANK(All_Questions_Q9_F_Q),All_Questions_Q9_F_V="(All)",All_Questions_Q9_F_V="",ISBLANK(All_Questions_Q9_F_V)),1,IFERROR(IF(ISNUMBER(SEARCH("|"&amp;INDEX(INDIRECT(All_Questions_Q9_F_resolved_column),145)&amp;"|",All_Questions_Q9_F_wrapped)),1,0),0))*1</f>
        <v>1</v>
      </c>
    </row>
    <row r="147">
      <c r="A147" t="n">
        <v>146</v>
      </c>
      <c r="B147" t="n">
        <v>5.25</v>
      </c>
      <c r="C147" t="n">
        <v>27.1</v>
      </c>
      <c r="D147">
        <f>1</f>
        <v>1</v>
      </c>
      <c r="E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F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G147">
        <f>E147*F147*1</f>
        <v>1</v>
      </c>
      <c r="H147">
        <f>1</f>
        <v>1</v>
      </c>
      <c r="I147">
        <f>IF(OR(All_Questions_Q8_F_Q="(None)",All_Questions_Q8_F_Q="",ISBLANK(All_Questions_Q8_F_Q),All_Questions_Q8_F_V="(All)",All_Questions_Q8_F_V="",ISBLANK(All_Questions_Q8_F_V)),1,IFERROR(IF(ISNUMBER(SEARCH("|"&amp;INDEX(INDIRECT(All_Questions_Q8_F_resolved_column),146)&amp;"|",All_Questions_Q8_F_wrapped)),1,0),0))*1</f>
        <v>1</v>
      </c>
      <c r="J147">
        <f>IF(OR(All_Questions_Q9_F_Q="(None)",All_Questions_Q9_F_Q="",ISBLANK(All_Questions_Q9_F_Q),All_Questions_Q9_F_V="(All)",All_Questions_Q9_F_V="",ISBLANK(All_Questions_Q9_F_V)),1,IFERROR(IF(ISNUMBER(SEARCH("|"&amp;INDEX(INDIRECT(All_Questions_Q9_F_resolved_column),146)&amp;"|",All_Questions_Q9_F_wrapped)),1,0),0))*1</f>
        <v>1</v>
      </c>
    </row>
    <row r="148">
      <c r="A148" t="n">
        <v>147</v>
      </c>
      <c r="B148" t="n">
        <v>5.25</v>
      </c>
      <c r="C148" t="n">
        <v>27.1</v>
      </c>
      <c r="D148">
        <f>1</f>
        <v>1</v>
      </c>
      <c r="E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F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G148">
        <f>E148*F148*1</f>
        <v>1</v>
      </c>
      <c r="H148">
        <f>1</f>
        <v>1</v>
      </c>
      <c r="I148">
        <f>IF(OR(All_Questions_Q8_F_Q="(None)",All_Questions_Q8_F_Q="",ISBLANK(All_Questions_Q8_F_Q),All_Questions_Q8_F_V="(All)",All_Questions_Q8_F_V="",ISBLANK(All_Questions_Q8_F_V)),1,IFERROR(IF(ISNUMBER(SEARCH("|"&amp;INDEX(INDIRECT(All_Questions_Q8_F_resolved_column),147)&amp;"|",All_Questions_Q8_F_wrapped)),1,0),0))*1</f>
        <v>1</v>
      </c>
      <c r="J148">
        <f>IF(OR(All_Questions_Q9_F_Q="(None)",All_Questions_Q9_F_Q="",ISBLANK(All_Questions_Q9_F_Q),All_Questions_Q9_F_V="(All)",All_Questions_Q9_F_V="",ISBLANK(All_Questions_Q9_F_V)),1,IFERROR(IF(ISNUMBER(SEARCH("|"&amp;INDEX(INDIRECT(All_Questions_Q9_F_resolved_column),147)&amp;"|",All_Questions_Q9_F_wrapped)),1,0),0))*1</f>
        <v>1</v>
      </c>
    </row>
    <row r="149">
      <c r="A149" t="n">
        <v>148</v>
      </c>
      <c r="B149" t="n">
        <v>5.25</v>
      </c>
      <c r="C149" t="n">
        <v>27.1</v>
      </c>
      <c r="D149">
        <f>1</f>
        <v>1</v>
      </c>
      <c r="E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F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G149">
        <f>E149*F149*1</f>
        <v>1</v>
      </c>
      <c r="H149">
        <f>1</f>
        <v>1</v>
      </c>
      <c r="I149">
        <f>IF(OR(All_Questions_Q8_F_Q="(None)",All_Questions_Q8_F_Q="",ISBLANK(All_Questions_Q8_F_Q),All_Questions_Q8_F_V="(All)",All_Questions_Q8_F_V="",ISBLANK(All_Questions_Q8_F_V)),1,IFERROR(IF(ISNUMBER(SEARCH("|"&amp;INDEX(INDIRECT(All_Questions_Q8_F_resolved_column),148)&amp;"|",All_Questions_Q8_F_wrapped)),1,0),0))*1</f>
        <v>1</v>
      </c>
      <c r="J149">
        <f>IF(OR(All_Questions_Q9_F_Q="(None)",All_Questions_Q9_F_Q="",ISBLANK(All_Questions_Q9_F_Q),All_Questions_Q9_F_V="(All)",All_Questions_Q9_F_V="",ISBLANK(All_Questions_Q9_F_V)),1,IFERROR(IF(ISNUMBER(SEARCH("|"&amp;INDEX(INDIRECT(All_Questions_Q9_F_resolved_column),148)&amp;"|",All_Questions_Q9_F_wrapped)),1,0),0))*1</f>
        <v>1</v>
      </c>
    </row>
    <row r="150">
      <c r="A150" t="n">
        <v>149</v>
      </c>
      <c r="B150" t="n">
        <v>5.25</v>
      </c>
      <c r="C150" t="n">
        <v>27.1</v>
      </c>
      <c r="D150">
        <f>1</f>
        <v>1</v>
      </c>
      <c r="E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F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G150">
        <f>E150*F150*1</f>
        <v>1</v>
      </c>
      <c r="H150">
        <f>1</f>
        <v>1</v>
      </c>
      <c r="I150">
        <f>IF(OR(All_Questions_Q8_F_Q="(None)",All_Questions_Q8_F_Q="",ISBLANK(All_Questions_Q8_F_Q),All_Questions_Q8_F_V="(All)",All_Questions_Q8_F_V="",ISBLANK(All_Questions_Q8_F_V)),1,IFERROR(IF(ISNUMBER(SEARCH("|"&amp;INDEX(INDIRECT(All_Questions_Q8_F_resolved_column),149)&amp;"|",All_Questions_Q8_F_wrapped)),1,0),0))*1</f>
        <v>1</v>
      </c>
      <c r="J150">
        <f>IF(OR(All_Questions_Q9_F_Q="(None)",All_Questions_Q9_F_Q="",ISBLANK(All_Questions_Q9_F_Q),All_Questions_Q9_F_V="(All)",All_Questions_Q9_F_V="",ISBLANK(All_Questions_Q9_F_V)),1,IFERROR(IF(ISNUMBER(SEARCH("|"&amp;INDEX(INDIRECT(All_Questions_Q9_F_resolved_column),149)&amp;"|",All_Questions_Q9_F_wrapped)),1,0),0))*1</f>
        <v>1</v>
      </c>
    </row>
    <row r="151">
      <c r="A151" t="n">
        <v>150</v>
      </c>
      <c r="B151" t="n">
        <v>5.25</v>
      </c>
      <c r="C151" t="n">
        <v>27.1</v>
      </c>
      <c r="D151">
        <f>1</f>
        <v>1</v>
      </c>
      <c r="E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F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G151">
        <f>E151*F151*1</f>
        <v>1</v>
      </c>
      <c r="H151">
        <f>1</f>
        <v>1</v>
      </c>
      <c r="I151">
        <f>IF(OR(All_Questions_Q8_F_Q="(None)",All_Questions_Q8_F_Q="",ISBLANK(All_Questions_Q8_F_Q),All_Questions_Q8_F_V="(All)",All_Questions_Q8_F_V="",ISBLANK(All_Questions_Q8_F_V)),1,IFERROR(IF(ISNUMBER(SEARCH("|"&amp;INDEX(INDIRECT(All_Questions_Q8_F_resolved_column),150)&amp;"|",All_Questions_Q8_F_wrapped)),1,0),0))*1</f>
        <v>1</v>
      </c>
      <c r="J151">
        <f>IF(OR(All_Questions_Q9_F_Q="(None)",All_Questions_Q9_F_Q="",ISBLANK(All_Questions_Q9_F_Q),All_Questions_Q9_F_V="(All)",All_Questions_Q9_F_V="",ISBLANK(All_Questions_Q9_F_V)),1,IFERROR(IF(ISNUMBER(SEARCH("|"&amp;INDEX(INDIRECT(All_Questions_Q9_F_resolved_column),150)&amp;"|",All_Questions_Q9_F_wrapped)),1,0),0))*1</f>
        <v>1</v>
      </c>
    </row>
    <row r="152">
      <c r="A152" t="n">
        <v>151</v>
      </c>
      <c r="B152" t="n">
        <v>5.25</v>
      </c>
      <c r="C152" t="n">
        <v>27.1</v>
      </c>
      <c r="D152">
        <f>1</f>
        <v>1</v>
      </c>
      <c r="E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F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G152">
        <f>E152*F152*1</f>
        <v>1</v>
      </c>
      <c r="H152">
        <f>1</f>
        <v>1</v>
      </c>
      <c r="I152">
        <f>IF(OR(All_Questions_Q8_F_Q="(None)",All_Questions_Q8_F_Q="",ISBLANK(All_Questions_Q8_F_Q),All_Questions_Q8_F_V="(All)",All_Questions_Q8_F_V="",ISBLANK(All_Questions_Q8_F_V)),1,IFERROR(IF(ISNUMBER(SEARCH("|"&amp;INDEX(INDIRECT(All_Questions_Q8_F_resolved_column),151)&amp;"|",All_Questions_Q8_F_wrapped)),1,0),0))*1</f>
        <v>1</v>
      </c>
      <c r="J152">
        <f>IF(OR(All_Questions_Q9_F_Q="(None)",All_Questions_Q9_F_Q="",ISBLANK(All_Questions_Q9_F_Q),All_Questions_Q9_F_V="(All)",All_Questions_Q9_F_V="",ISBLANK(All_Questions_Q9_F_V)),1,IFERROR(IF(ISNUMBER(SEARCH("|"&amp;INDEX(INDIRECT(All_Questions_Q9_F_resolved_column),151)&amp;"|",All_Questions_Q9_F_wrapped)),1,0),0))*1</f>
        <v>1</v>
      </c>
    </row>
    <row r="153">
      <c r="A153" t="n">
        <v>152</v>
      </c>
      <c r="B153" t="n">
        <v>5.25</v>
      </c>
      <c r="C153" t="n">
        <v>27.1</v>
      </c>
      <c r="D153">
        <f>1</f>
        <v>1</v>
      </c>
      <c r="E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F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G153">
        <f>E153*F153*1</f>
        <v>1</v>
      </c>
      <c r="H153">
        <f>1</f>
        <v>1</v>
      </c>
      <c r="I153">
        <f>IF(OR(All_Questions_Q8_F_Q="(None)",All_Questions_Q8_F_Q="",ISBLANK(All_Questions_Q8_F_Q),All_Questions_Q8_F_V="(All)",All_Questions_Q8_F_V="",ISBLANK(All_Questions_Q8_F_V)),1,IFERROR(IF(ISNUMBER(SEARCH("|"&amp;INDEX(INDIRECT(All_Questions_Q8_F_resolved_column),152)&amp;"|",All_Questions_Q8_F_wrapped)),1,0),0))*1</f>
        <v>1</v>
      </c>
      <c r="J153">
        <f>IF(OR(All_Questions_Q9_F_Q="(None)",All_Questions_Q9_F_Q="",ISBLANK(All_Questions_Q9_F_Q),All_Questions_Q9_F_V="(All)",All_Questions_Q9_F_V="",ISBLANK(All_Questions_Q9_F_V)),1,IFERROR(IF(ISNUMBER(SEARCH("|"&amp;INDEX(INDIRECT(All_Questions_Q9_F_resolved_column),152)&amp;"|",All_Questions_Q9_F_wrapped)),1,0),0))*1</f>
        <v>1</v>
      </c>
    </row>
    <row r="154">
      <c r="A154" t="n">
        <v>153</v>
      </c>
      <c r="B154" t="n">
        <v>5.25</v>
      </c>
      <c r="C154" t="n">
        <v>27.1</v>
      </c>
      <c r="D154">
        <f>1</f>
        <v>1</v>
      </c>
      <c r="E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F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G154">
        <f>E154*F154*1</f>
        <v>1</v>
      </c>
      <c r="H154">
        <f>1</f>
        <v>1</v>
      </c>
      <c r="I154">
        <f>IF(OR(All_Questions_Q8_F_Q="(None)",All_Questions_Q8_F_Q="",ISBLANK(All_Questions_Q8_F_Q),All_Questions_Q8_F_V="(All)",All_Questions_Q8_F_V="",ISBLANK(All_Questions_Q8_F_V)),1,IFERROR(IF(ISNUMBER(SEARCH("|"&amp;INDEX(INDIRECT(All_Questions_Q8_F_resolved_column),153)&amp;"|",All_Questions_Q8_F_wrapped)),1,0),0))*1</f>
        <v>1</v>
      </c>
      <c r="J154">
        <f>IF(OR(All_Questions_Q9_F_Q="(None)",All_Questions_Q9_F_Q="",ISBLANK(All_Questions_Q9_F_Q),All_Questions_Q9_F_V="(All)",All_Questions_Q9_F_V="",ISBLANK(All_Questions_Q9_F_V)),1,IFERROR(IF(ISNUMBER(SEARCH("|"&amp;INDEX(INDIRECT(All_Questions_Q9_F_resolved_column),153)&amp;"|",All_Questions_Q9_F_wrapped)),1,0),0))*1</f>
        <v>1</v>
      </c>
    </row>
    <row r="155">
      <c r="A155" t="n">
        <v>154</v>
      </c>
      <c r="B155" t="n">
        <v>5.25</v>
      </c>
      <c r="C155" t="n">
        <v>27.1</v>
      </c>
      <c r="D155">
        <f>1</f>
        <v>1</v>
      </c>
      <c r="E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F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G155">
        <f>E155*F155*1</f>
        <v>1</v>
      </c>
      <c r="H155">
        <f>1</f>
        <v>1</v>
      </c>
      <c r="I155">
        <f>IF(OR(All_Questions_Q8_F_Q="(None)",All_Questions_Q8_F_Q="",ISBLANK(All_Questions_Q8_F_Q),All_Questions_Q8_F_V="(All)",All_Questions_Q8_F_V="",ISBLANK(All_Questions_Q8_F_V)),1,IFERROR(IF(ISNUMBER(SEARCH("|"&amp;INDEX(INDIRECT(All_Questions_Q8_F_resolved_column),154)&amp;"|",All_Questions_Q8_F_wrapped)),1,0),0))*1</f>
        <v>1</v>
      </c>
      <c r="J155">
        <f>IF(OR(All_Questions_Q9_F_Q="(None)",All_Questions_Q9_F_Q="",ISBLANK(All_Questions_Q9_F_Q),All_Questions_Q9_F_V="(All)",All_Questions_Q9_F_V="",ISBLANK(All_Questions_Q9_F_V)),1,IFERROR(IF(ISNUMBER(SEARCH("|"&amp;INDEX(INDIRECT(All_Questions_Q9_F_resolved_column),154)&amp;"|",All_Questions_Q9_F_wrapped)),1,0),0))*1</f>
        <v>1</v>
      </c>
    </row>
    <row r="156">
      <c r="A156" t="n">
        <v>155</v>
      </c>
      <c r="B156" t="n">
        <v>5.25</v>
      </c>
      <c r="C156" t="n">
        <v>27.1</v>
      </c>
      <c r="D156">
        <f>1</f>
        <v>1</v>
      </c>
      <c r="E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F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G156">
        <f>E156*F156*1</f>
        <v>1</v>
      </c>
      <c r="H156">
        <f>1</f>
        <v>1</v>
      </c>
      <c r="I156">
        <f>IF(OR(All_Questions_Q8_F_Q="(None)",All_Questions_Q8_F_Q="",ISBLANK(All_Questions_Q8_F_Q),All_Questions_Q8_F_V="(All)",All_Questions_Q8_F_V="",ISBLANK(All_Questions_Q8_F_V)),1,IFERROR(IF(ISNUMBER(SEARCH("|"&amp;INDEX(INDIRECT(All_Questions_Q8_F_resolved_column),155)&amp;"|",All_Questions_Q8_F_wrapped)),1,0),0))*1</f>
        <v>1</v>
      </c>
      <c r="J156">
        <f>IF(OR(All_Questions_Q9_F_Q="(None)",All_Questions_Q9_F_Q="",ISBLANK(All_Questions_Q9_F_Q),All_Questions_Q9_F_V="(All)",All_Questions_Q9_F_V="",ISBLANK(All_Questions_Q9_F_V)),1,IFERROR(IF(ISNUMBER(SEARCH("|"&amp;INDEX(INDIRECT(All_Questions_Q9_F_resolved_column),155)&amp;"|",All_Questions_Q9_F_wrapped)),1,0),0))*1</f>
        <v>1</v>
      </c>
    </row>
    <row r="157">
      <c r="A157" t="n">
        <v>156</v>
      </c>
      <c r="B157" t="n">
        <v>5.25</v>
      </c>
      <c r="C157" t="n">
        <v>27.1</v>
      </c>
      <c r="D157">
        <f>1</f>
        <v>1</v>
      </c>
      <c r="E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F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G157">
        <f>E157*F157*1</f>
        <v>1</v>
      </c>
      <c r="H157">
        <f>1</f>
        <v>1</v>
      </c>
      <c r="I157">
        <f>IF(OR(All_Questions_Q8_F_Q="(None)",All_Questions_Q8_F_Q="",ISBLANK(All_Questions_Q8_F_Q),All_Questions_Q8_F_V="(All)",All_Questions_Q8_F_V="",ISBLANK(All_Questions_Q8_F_V)),1,IFERROR(IF(ISNUMBER(SEARCH("|"&amp;INDEX(INDIRECT(All_Questions_Q8_F_resolved_column),156)&amp;"|",All_Questions_Q8_F_wrapped)),1,0),0))*1</f>
        <v>1</v>
      </c>
      <c r="J157">
        <f>IF(OR(All_Questions_Q9_F_Q="(None)",All_Questions_Q9_F_Q="",ISBLANK(All_Questions_Q9_F_Q),All_Questions_Q9_F_V="(All)",All_Questions_Q9_F_V="",ISBLANK(All_Questions_Q9_F_V)),1,IFERROR(IF(ISNUMBER(SEARCH("|"&amp;INDEX(INDIRECT(All_Questions_Q9_F_resolved_column),156)&amp;"|",All_Questions_Q9_F_wrapped)),1,0),0))*1</f>
        <v>1</v>
      </c>
    </row>
    <row r="158">
      <c r="A158" t="n">
        <v>157</v>
      </c>
      <c r="B158" t="n">
        <v>5.25</v>
      </c>
      <c r="C158" t="n">
        <v>27.1</v>
      </c>
      <c r="D158">
        <f>1</f>
        <v>1</v>
      </c>
      <c r="E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F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G158">
        <f>E158*F158*1</f>
        <v>1</v>
      </c>
      <c r="H158">
        <f>1</f>
        <v>1</v>
      </c>
      <c r="I158">
        <f>IF(OR(All_Questions_Q8_F_Q="(None)",All_Questions_Q8_F_Q="",ISBLANK(All_Questions_Q8_F_Q),All_Questions_Q8_F_V="(All)",All_Questions_Q8_F_V="",ISBLANK(All_Questions_Q8_F_V)),1,IFERROR(IF(ISNUMBER(SEARCH("|"&amp;INDEX(INDIRECT(All_Questions_Q8_F_resolved_column),157)&amp;"|",All_Questions_Q8_F_wrapped)),1,0),0))*1</f>
        <v>1</v>
      </c>
      <c r="J158">
        <f>IF(OR(All_Questions_Q9_F_Q="(None)",All_Questions_Q9_F_Q="",ISBLANK(All_Questions_Q9_F_Q),All_Questions_Q9_F_V="(All)",All_Questions_Q9_F_V="",ISBLANK(All_Questions_Q9_F_V)),1,IFERROR(IF(ISNUMBER(SEARCH("|"&amp;INDEX(INDIRECT(All_Questions_Q9_F_resolved_column),157)&amp;"|",All_Questions_Q9_F_wrapped)),1,0),0))*1</f>
        <v>1</v>
      </c>
    </row>
    <row r="159">
      <c r="A159" t="n">
        <v>158</v>
      </c>
      <c r="B159" t="n">
        <v>5.25</v>
      </c>
      <c r="C159" t="n">
        <v>27.1</v>
      </c>
      <c r="D159">
        <f>1</f>
        <v>1</v>
      </c>
      <c r="E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F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G159">
        <f>E159*F159*1</f>
        <v>1</v>
      </c>
      <c r="H159">
        <f>1</f>
        <v>1</v>
      </c>
      <c r="I159">
        <f>IF(OR(All_Questions_Q8_F_Q="(None)",All_Questions_Q8_F_Q="",ISBLANK(All_Questions_Q8_F_Q),All_Questions_Q8_F_V="(All)",All_Questions_Q8_F_V="",ISBLANK(All_Questions_Q8_F_V)),1,IFERROR(IF(ISNUMBER(SEARCH("|"&amp;INDEX(INDIRECT(All_Questions_Q8_F_resolved_column),158)&amp;"|",All_Questions_Q8_F_wrapped)),1,0),0))*1</f>
        <v>1</v>
      </c>
      <c r="J159">
        <f>IF(OR(All_Questions_Q9_F_Q="(None)",All_Questions_Q9_F_Q="",ISBLANK(All_Questions_Q9_F_Q),All_Questions_Q9_F_V="(All)",All_Questions_Q9_F_V="",ISBLANK(All_Questions_Q9_F_V)),1,IFERROR(IF(ISNUMBER(SEARCH("|"&amp;INDEX(INDIRECT(All_Questions_Q9_F_resolved_column),158)&amp;"|",All_Questions_Q9_F_wrapped)),1,0),0))*1</f>
        <v>1</v>
      </c>
    </row>
    <row r="160">
      <c r="A160" t="n">
        <v>159</v>
      </c>
      <c r="B160" t="n">
        <v>5.25</v>
      </c>
      <c r="C160" t="n">
        <v>27.1</v>
      </c>
      <c r="D160">
        <f>1</f>
        <v>1</v>
      </c>
      <c r="E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F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G160">
        <f>E160*F160*1</f>
        <v>1</v>
      </c>
      <c r="H160">
        <f>1</f>
        <v>1</v>
      </c>
      <c r="I160">
        <f>IF(OR(All_Questions_Q8_F_Q="(None)",All_Questions_Q8_F_Q="",ISBLANK(All_Questions_Q8_F_Q),All_Questions_Q8_F_V="(All)",All_Questions_Q8_F_V="",ISBLANK(All_Questions_Q8_F_V)),1,IFERROR(IF(ISNUMBER(SEARCH("|"&amp;INDEX(INDIRECT(All_Questions_Q8_F_resolved_column),159)&amp;"|",All_Questions_Q8_F_wrapped)),1,0),0))*1</f>
        <v>1</v>
      </c>
      <c r="J160">
        <f>IF(OR(All_Questions_Q9_F_Q="(None)",All_Questions_Q9_F_Q="",ISBLANK(All_Questions_Q9_F_Q),All_Questions_Q9_F_V="(All)",All_Questions_Q9_F_V="",ISBLANK(All_Questions_Q9_F_V)),1,IFERROR(IF(ISNUMBER(SEARCH("|"&amp;INDEX(INDIRECT(All_Questions_Q9_F_resolved_column),159)&amp;"|",All_Questions_Q9_F_wrapped)),1,0),0))*1</f>
        <v>1</v>
      </c>
    </row>
    <row r="161">
      <c r="A161" t="n">
        <v>160</v>
      </c>
      <c r="B161" t="n">
        <v>5.25</v>
      </c>
      <c r="C161" t="n">
        <v>27.1</v>
      </c>
      <c r="D161">
        <f>1</f>
        <v>1</v>
      </c>
      <c r="E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F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G161">
        <f>E161*F161*1</f>
        <v>1</v>
      </c>
      <c r="H161">
        <f>1</f>
        <v>1</v>
      </c>
      <c r="I161">
        <f>IF(OR(All_Questions_Q8_F_Q="(None)",All_Questions_Q8_F_Q="",ISBLANK(All_Questions_Q8_F_Q),All_Questions_Q8_F_V="(All)",All_Questions_Q8_F_V="",ISBLANK(All_Questions_Q8_F_V)),1,IFERROR(IF(ISNUMBER(SEARCH("|"&amp;INDEX(INDIRECT(All_Questions_Q8_F_resolved_column),160)&amp;"|",All_Questions_Q8_F_wrapped)),1,0),0))*1</f>
        <v>1</v>
      </c>
      <c r="J161">
        <f>IF(OR(All_Questions_Q9_F_Q="(None)",All_Questions_Q9_F_Q="",ISBLANK(All_Questions_Q9_F_Q),All_Questions_Q9_F_V="(All)",All_Questions_Q9_F_V="",ISBLANK(All_Questions_Q9_F_V)),1,IFERROR(IF(ISNUMBER(SEARCH("|"&amp;INDEX(INDIRECT(All_Questions_Q9_F_resolved_column),160)&amp;"|",All_Questions_Q9_F_wrapped)),1,0),0))*1</f>
        <v>1</v>
      </c>
    </row>
    <row r="162">
      <c r="A162" t="n">
        <v>161</v>
      </c>
      <c r="B162" t="n">
        <v>5.25</v>
      </c>
      <c r="C162" t="n">
        <v>27.1</v>
      </c>
      <c r="D162">
        <f>1</f>
        <v>1</v>
      </c>
      <c r="E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F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G162">
        <f>E162*F162*1</f>
        <v>1</v>
      </c>
      <c r="H162">
        <f>1</f>
        <v>1</v>
      </c>
      <c r="I162">
        <f>IF(OR(All_Questions_Q8_F_Q="(None)",All_Questions_Q8_F_Q="",ISBLANK(All_Questions_Q8_F_Q),All_Questions_Q8_F_V="(All)",All_Questions_Q8_F_V="",ISBLANK(All_Questions_Q8_F_V)),1,IFERROR(IF(ISNUMBER(SEARCH("|"&amp;INDEX(INDIRECT(All_Questions_Q8_F_resolved_column),161)&amp;"|",All_Questions_Q8_F_wrapped)),1,0),0))*1</f>
        <v>1</v>
      </c>
      <c r="J162">
        <f>IF(OR(All_Questions_Q9_F_Q="(None)",All_Questions_Q9_F_Q="",ISBLANK(All_Questions_Q9_F_Q),All_Questions_Q9_F_V="(All)",All_Questions_Q9_F_V="",ISBLANK(All_Questions_Q9_F_V)),1,IFERROR(IF(ISNUMBER(SEARCH("|"&amp;INDEX(INDIRECT(All_Questions_Q9_F_resolved_column),161)&amp;"|",All_Questions_Q9_F_wrapped)),1,0),0))*1</f>
        <v>1</v>
      </c>
    </row>
    <row r="163">
      <c r="A163" t="n">
        <v>162</v>
      </c>
      <c r="B163" t="n">
        <v>5.25</v>
      </c>
      <c r="C163" t="n">
        <v>27.1</v>
      </c>
      <c r="D163">
        <f>1</f>
        <v>1</v>
      </c>
      <c r="E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F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G163">
        <f>E163*F163*1</f>
        <v>1</v>
      </c>
      <c r="H163">
        <f>1</f>
        <v>1</v>
      </c>
      <c r="I163">
        <f>IF(OR(All_Questions_Q8_F_Q="(None)",All_Questions_Q8_F_Q="",ISBLANK(All_Questions_Q8_F_Q),All_Questions_Q8_F_V="(All)",All_Questions_Q8_F_V="",ISBLANK(All_Questions_Q8_F_V)),1,IFERROR(IF(ISNUMBER(SEARCH("|"&amp;INDEX(INDIRECT(All_Questions_Q8_F_resolved_column),162)&amp;"|",All_Questions_Q8_F_wrapped)),1,0),0))*1</f>
        <v>1</v>
      </c>
      <c r="J163">
        <f>IF(OR(All_Questions_Q9_F_Q="(None)",All_Questions_Q9_F_Q="",ISBLANK(All_Questions_Q9_F_Q),All_Questions_Q9_F_V="(All)",All_Questions_Q9_F_V="",ISBLANK(All_Questions_Q9_F_V)),1,IFERROR(IF(ISNUMBER(SEARCH("|"&amp;INDEX(INDIRECT(All_Questions_Q9_F_resolved_column),162)&amp;"|",All_Questions_Q9_F_wrapped)),1,0),0))*1</f>
        <v>1</v>
      </c>
    </row>
    <row r="164">
      <c r="A164" t="n">
        <v>163</v>
      </c>
      <c r="B164" t="n">
        <v>5.25</v>
      </c>
      <c r="C164" t="n">
        <v>27.1</v>
      </c>
      <c r="D164">
        <f>1</f>
        <v>1</v>
      </c>
      <c r="E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F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G164">
        <f>E164*F164*1</f>
        <v>1</v>
      </c>
      <c r="H164">
        <f>1</f>
        <v>1</v>
      </c>
      <c r="I164">
        <f>IF(OR(All_Questions_Q8_F_Q="(None)",All_Questions_Q8_F_Q="",ISBLANK(All_Questions_Q8_F_Q),All_Questions_Q8_F_V="(All)",All_Questions_Q8_F_V="",ISBLANK(All_Questions_Q8_F_V)),1,IFERROR(IF(ISNUMBER(SEARCH("|"&amp;INDEX(INDIRECT(All_Questions_Q8_F_resolved_column),163)&amp;"|",All_Questions_Q8_F_wrapped)),1,0),0))*1</f>
        <v>1</v>
      </c>
      <c r="J164">
        <f>IF(OR(All_Questions_Q9_F_Q="(None)",All_Questions_Q9_F_Q="",ISBLANK(All_Questions_Q9_F_Q),All_Questions_Q9_F_V="(All)",All_Questions_Q9_F_V="",ISBLANK(All_Questions_Q9_F_V)),1,IFERROR(IF(ISNUMBER(SEARCH("|"&amp;INDEX(INDIRECT(All_Questions_Q9_F_resolved_column),163)&amp;"|",All_Questions_Q9_F_wrapped)),1,0),0))*1</f>
        <v>1</v>
      </c>
    </row>
    <row r="165">
      <c r="A165" t="n">
        <v>164</v>
      </c>
      <c r="B165" t="n">
        <v>5.25</v>
      </c>
      <c r="C165" t="n">
        <v>27.1</v>
      </c>
      <c r="D165">
        <f>1</f>
        <v>1</v>
      </c>
      <c r="E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F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G165">
        <f>E165*F165*1</f>
        <v>1</v>
      </c>
      <c r="H165">
        <f>1</f>
        <v>1</v>
      </c>
      <c r="I165">
        <f>IF(OR(All_Questions_Q8_F_Q="(None)",All_Questions_Q8_F_Q="",ISBLANK(All_Questions_Q8_F_Q),All_Questions_Q8_F_V="(All)",All_Questions_Q8_F_V="",ISBLANK(All_Questions_Q8_F_V)),1,IFERROR(IF(ISNUMBER(SEARCH("|"&amp;INDEX(INDIRECT(All_Questions_Q8_F_resolved_column),164)&amp;"|",All_Questions_Q8_F_wrapped)),1,0),0))*1</f>
        <v>1</v>
      </c>
      <c r="J165">
        <f>IF(OR(All_Questions_Q9_F_Q="(None)",All_Questions_Q9_F_Q="",ISBLANK(All_Questions_Q9_F_Q),All_Questions_Q9_F_V="(All)",All_Questions_Q9_F_V="",ISBLANK(All_Questions_Q9_F_V)),1,IFERROR(IF(ISNUMBER(SEARCH("|"&amp;INDEX(INDIRECT(All_Questions_Q9_F_resolved_column),164)&amp;"|",All_Questions_Q9_F_wrapped)),1,0),0))*1</f>
        <v>1</v>
      </c>
    </row>
    <row r="166">
      <c r="A166" t="n">
        <v>165</v>
      </c>
      <c r="B166" t="n">
        <v>5.25</v>
      </c>
      <c r="C166" t="n">
        <v>27.1</v>
      </c>
      <c r="D166">
        <f>1</f>
        <v>1</v>
      </c>
      <c r="E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F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G166">
        <f>E166*F166*1</f>
        <v>1</v>
      </c>
      <c r="H166">
        <f>1</f>
        <v>1</v>
      </c>
      <c r="I166">
        <f>IF(OR(All_Questions_Q8_F_Q="(None)",All_Questions_Q8_F_Q="",ISBLANK(All_Questions_Q8_F_Q),All_Questions_Q8_F_V="(All)",All_Questions_Q8_F_V="",ISBLANK(All_Questions_Q8_F_V)),1,IFERROR(IF(ISNUMBER(SEARCH("|"&amp;INDEX(INDIRECT(All_Questions_Q8_F_resolved_column),165)&amp;"|",All_Questions_Q8_F_wrapped)),1,0),0))*1</f>
        <v>1</v>
      </c>
      <c r="J166">
        <f>IF(OR(All_Questions_Q9_F_Q="(None)",All_Questions_Q9_F_Q="",ISBLANK(All_Questions_Q9_F_Q),All_Questions_Q9_F_V="(All)",All_Questions_Q9_F_V="",ISBLANK(All_Questions_Q9_F_V)),1,IFERROR(IF(ISNUMBER(SEARCH("|"&amp;INDEX(INDIRECT(All_Questions_Q9_F_resolved_column),165)&amp;"|",All_Questions_Q9_F_wrapped)),1,0),0))*1</f>
        <v>1</v>
      </c>
    </row>
    <row r="167">
      <c r="A167" t="n">
        <v>166</v>
      </c>
      <c r="B167" t="n">
        <v>5.25</v>
      </c>
      <c r="C167" t="n">
        <v>27.1</v>
      </c>
      <c r="D167">
        <f>1</f>
        <v>1</v>
      </c>
      <c r="E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F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G167">
        <f>E167*F167*1</f>
        <v>1</v>
      </c>
      <c r="H167">
        <f>1</f>
        <v>1</v>
      </c>
      <c r="I167">
        <f>IF(OR(All_Questions_Q8_F_Q="(None)",All_Questions_Q8_F_Q="",ISBLANK(All_Questions_Q8_F_Q),All_Questions_Q8_F_V="(All)",All_Questions_Q8_F_V="",ISBLANK(All_Questions_Q8_F_V)),1,IFERROR(IF(ISNUMBER(SEARCH("|"&amp;INDEX(INDIRECT(All_Questions_Q8_F_resolved_column),166)&amp;"|",All_Questions_Q8_F_wrapped)),1,0),0))*1</f>
        <v>1</v>
      </c>
      <c r="J167">
        <f>IF(OR(All_Questions_Q9_F_Q="(None)",All_Questions_Q9_F_Q="",ISBLANK(All_Questions_Q9_F_Q),All_Questions_Q9_F_V="(All)",All_Questions_Q9_F_V="",ISBLANK(All_Questions_Q9_F_V)),1,IFERROR(IF(ISNUMBER(SEARCH("|"&amp;INDEX(INDIRECT(All_Questions_Q9_F_resolved_column),166)&amp;"|",All_Questions_Q9_F_wrapped)),1,0),0))*1</f>
        <v>1</v>
      </c>
    </row>
    <row r="168">
      <c r="A168" t="n">
        <v>167</v>
      </c>
      <c r="B168" t="n">
        <v>5.25</v>
      </c>
      <c r="C168" t="n">
        <v>27.1</v>
      </c>
      <c r="D168">
        <f>1</f>
        <v>1</v>
      </c>
      <c r="E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F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G168">
        <f>E168*F168*1</f>
        <v>1</v>
      </c>
      <c r="H168">
        <f>1</f>
        <v>1</v>
      </c>
      <c r="I168">
        <f>IF(OR(All_Questions_Q8_F_Q="(None)",All_Questions_Q8_F_Q="",ISBLANK(All_Questions_Q8_F_Q),All_Questions_Q8_F_V="(All)",All_Questions_Q8_F_V="",ISBLANK(All_Questions_Q8_F_V)),1,IFERROR(IF(ISNUMBER(SEARCH("|"&amp;INDEX(INDIRECT(All_Questions_Q8_F_resolved_column),167)&amp;"|",All_Questions_Q8_F_wrapped)),1,0),0))*1</f>
        <v>1</v>
      </c>
      <c r="J168">
        <f>IF(OR(All_Questions_Q9_F_Q="(None)",All_Questions_Q9_F_Q="",ISBLANK(All_Questions_Q9_F_Q),All_Questions_Q9_F_V="(All)",All_Questions_Q9_F_V="",ISBLANK(All_Questions_Q9_F_V)),1,IFERROR(IF(ISNUMBER(SEARCH("|"&amp;INDEX(INDIRECT(All_Questions_Q9_F_resolved_column),167)&amp;"|",All_Questions_Q9_F_wrapped)),1,0),0))*1</f>
        <v>1</v>
      </c>
    </row>
    <row r="169">
      <c r="A169" t="n">
        <v>168</v>
      </c>
      <c r="B169" t="n">
        <v>5.25</v>
      </c>
      <c r="C169" t="n">
        <v>27.1</v>
      </c>
      <c r="D169">
        <f>1</f>
        <v>1</v>
      </c>
      <c r="E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F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G169">
        <f>E169*F169*1</f>
        <v>1</v>
      </c>
      <c r="H169">
        <f>1</f>
        <v>1</v>
      </c>
      <c r="I169">
        <f>IF(OR(All_Questions_Q8_F_Q="(None)",All_Questions_Q8_F_Q="",ISBLANK(All_Questions_Q8_F_Q),All_Questions_Q8_F_V="(All)",All_Questions_Q8_F_V="",ISBLANK(All_Questions_Q8_F_V)),1,IFERROR(IF(ISNUMBER(SEARCH("|"&amp;INDEX(INDIRECT(All_Questions_Q8_F_resolved_column),168)&amp;"|",All_Questions_Q8_F_wrapped)),1,0),0))*1</f>
        <v>1</v>
      </c>
      <c r="J169">
        <f>IF(OR(All_Questions_Q9_F_Q="(None)",All_Questions_Q9_F_Q="",ISBLANK(All_Questions_Q9_F_Q),All_Questions_Q9_F_V="(All)",All_Questions_Q9_F_V="",ISBLANK(All_Questions_Q9_F_V)),1,IFERROR(IF(ISNUMBER(SEARCH("|"&amp;INDEX(INDIRECT(All_Questions_Q9_F_resolved_column),168)&amp;"|",All_Questions_Q9_F_wrapped)),1,0),0))*1</f>
        <v>1</v>
      </c>
    </row>
    <row r="170">
      <c r="A170" t="n">
        <v>169</v>
      </c>
      <c r="B170" t="n">
        <v>5.25</v>
      </c>
      <c r="C170" t="n">
        <v>27.1</v>
      </c>
      <c r="D170">
        <f>1</f>
        <v>1</v>
      </c>
      <c r="E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F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G170">
        <f>E170*F170*1</f>
        <v>1</v>
      </c>
      <c r="H170">
        <f>1</f>
        <v>1</v>
      </c>
      <c r="I170">
        <f>IF(OR(All_Questions_Q8_F_Q="(None)",All_Questions_Q8_F_Q="",ISBLANK(All_Questions_Q8_F_Q),All_Questions_Q8_F_V="(All)",All_Questions_Q8_F_V="",ISBLANK(All_Questions_Q8_F_V)),1,IFERROR(IF(ISNUMBER(SEARCH("|"&amp;INDEX(INDIRECT(All_Questions_Q8_F_resolved_column),169)&amp;"|",All_Questions_Q8_F_wrapped)),1,0),0))*1</f>
        <v>1</v>
      </c>
      <c r="J170">
        <f>IF(OR(All_Questions_Q9_F_Q="(None)",All_Questions_Q9_F_Q="",ISBLANK(All_Questions_Q9_F_Q),All_Questions_Q9_F_V="(All)",All_Questions_Q9_F_V="",ISBLANK(All_Questions_Q9_F_V)),1,IFERROR(IF(ISNUMBER(SEARCH("|"&amp;INDEX(INDIRECT(All_Questions_Q9_F_resolved_column),169)&amp;"|",All_Questions_Q9_F_wrapped)),1,0),0))*1</f>
        <v>1</v>
      </c>
    </row>
    <row r="171">
      <c r="A171" t="n">
        <v>170</v>
      </c>
      <c r="B171" t="n">
        <v>5.25</v>
      </c>
      <c r="C171" t="n">
        <v>27.1</v>
      </c>
      <c r="D171">
        <f>1</f>
        <v>1</v>
      </c>
      <c r="E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F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G171">
        <f>E171*F171*1</f>
        <v>1</v>
      </c>
      <c r="H171">
        <f>1</f>
        <v>1</v>
      </c>
      <c r="I171">
        <f>IF(OR(All_Questions_Q8_F_Q="(None)",All_Questions_Q8_F_Q="",ISBLANK(All_Questions_Q8_F_Q),All_Questions_Q8_F_V="(All)",All_Questions_Q8_F_V="",ISBLANK(All_Questions_Q8_F_V)),1,IFERROR(IF(ISNUMBER(SEARCH("|"&amp;INDEX(INDIRECT(All_Questions_Q8_F_resolved_column),170)&amp;"|",All_Questions_Q8_F_wrapped)),1,0),0))*1</f>
        <v>1</v>
      </c>
      <c r="J171">
        <f>IF(OR(All_Questions_Q9_F_Q="(None)",All_Questions_Q9_F_Q="",ISBLANK(All_Questions_Q9_F_Q),All_Questions_Q9_F_V="(All)",All_Questions_Q9_F_V="",ISBLANK(All_Questions_Q9_F_V)),1,IFERROR(IF(ISNUMBER(SEARCH("|"&amp;INDEX(INDIRECT(All_Questions_Q9_F_resolved_column),170)&amp;"|",All_Questions_Q9_F_wrapped)),1,0),0))*1</f>
        <v>1</v>
      </c>
    </row>
    <row r="172">
      <c r="A172" t="n">
        <v>171</v>
      </c>
      <c r="B172" t="n">
        <v>5.25</v>
      </c>
      <c r="C172" t="n">
        <v>27.1</v>
      </c>
      <c r="D172">
        <f>1</f>
        <v>1</v>
      </c>
      <c r="E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F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G172">
        <f>E172*F172*1</f>
        <v>1</v>
      </c>
      <c r="H172">
        <f>1</f>
        <v>1</v>
      </c>
      <c r="I172">
        <f>IF(OR(All_Questions_Q8_F_Q="(None)",All_Questions_Q8_F_Q="",ISBLANK(All_Questions_Q8_F_Q),All_Questions_Q8_F_V="(All)",All_Questions_Q8_F_V="",ISBLANK(All_Questions_Q8_F_V)),1,IFERROR(IF(ISNUMBER(SEARCH("|"&amp;INDEX(INDIRECT(All_Questions_Q8_F_resolved_column),171)&amp;"|",All_Questions_Q8_F_wrapped)),1,0),0))*1</f>
        <v>1</v>
      </c>
      <c r="J172">
        <f>IF(OR(All_Questions_Q9_F_Q="(None)",All_Questions_Q9_F_Q="",ISBLANK(All_Questions_Q9_F_Q),All_Questions_Q9_F_V="(All)",All_Questions_Q9_F_V="",ISBLANK(All_Questions_Q9_F_V)),1,IFERROR(IF(ISNUMBER(SEARCH("|"&amp;INDEX(INDIRECT(All_Questions_Q9_F_resolved_column),171)&amp;"|",All_Questions_Q9_F_wrapped)),1,0),0))*1</f>
        <v>1</v>
      </c>
    </row>
    <row r="173">
      <c r="A173" t="n">
        <v>172</v>
      </c>
      <c r="B173" t="n">
        <v>5.25</v>
      </c>
      <c r="C173" t="n">
        <v>27.1</v>
      </c>
      <c r="D173">
        <f>1</f>
        <v>1</v>
      </c>
      <c r="E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F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G173">
        <f>E173*F173*1</f>
        <v>1</v>
      </c>
      <c r="H173">
        <f>1</f>
        <v>1</v>
      </c>
      <c r="I173">
        <f>IF(OR(All_Questions_Q8_F_Q="(None)",All_Questions_Q8_F_Q="",ISBLANK(All_Questions_Q8_F_Q),All_Questions_Q8_F_V="(All)",All_Questions_Q8_F_V="",ISBLANK(All_Questions_Q8_F_V)),1,IFERROR(IF(ISNUMBER(SEARCH("|"&amp;INDEX(INDIRECT(All_Questions_Q8_F_resolved_column),172)&amp;"|",All_Questions_Q8_F_wrapped)),1,0),0))*1</f>
        <v>1</v>
      </c>
      <c r="J173">
        <f>IF(OR(All_Questions_Q9_F_Q="(None)",All_Questions_Q9_F_Q="",ISBLANK(All_Questions_Q9_F_Q),All_Questions_Q9_F_V="(All)",All_Questions_Q9_F_V="",ISBLANK(All_Questions_Q9_F_V)),1,IFERROR(IF(ISNUMBER(SEARCH("|"&amp;INDEX(INDIRECT(All_Questions_Q9_F_resolved_column),172)&amp;"|",All_Questions_Q9_F_wrapped)),1,0),0))*1</f>
        <v>1</v>
      </c>
    </row>
    <row r="174">
      <c r="A174" t="n">
        <v>173</v>
      </c>
      <c r="B174" t="n">
        <v>5.25</v>
      </c>
      <c r="C174" t="n">
        <v>27.1</v>
      </c>
      <c r="D174">
        <f>1</f>
        <v>1</v>
      </c>
      <c r="E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F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G174">
        <f>E174*F174*1</f>
        <v>1</v>
      </c>
      <c r="H174">
        <f>1</f>
        <v>1</v>
      </c>
      <c r="I174">
        <f>IF(OR(All_Questions_Q8_F_Q="(None)",All_Questions_Q8_F_Q="",ISBLANK(All_Questions_Q8_F_Q),All_Questions_Q8_F_V="(All)",All_Questions_Q8_F_V="",ISBLANK(All_Questions_Q8_F_V)),1,IFERROR(IF(ISNUMBER(SEARCH("|"&amp;INDEX(INDIRECT(All_Questions_Q8_F_resolved_column),173)&amp;"|",All_Questions_Q8_F_wrapped)),1,0),0))*1</f>
        <v>1</v>
      </c>
      <c r="J174">
        <f>IF(OR(All_Questions_Q9_F_Q="(None)",All_Questions_Q9_F_Q="",ISBLANK(All_Questions_Q9_F_Q),All_Questions_Q9_F_V="(All)",All_Questions_Q9_F_V="",ISBLANK(All_Questions_Q9_F_V)),1,IFERROR(IF(ISNUMBER(SEARCH("|"&amp;INDEX(INDIRECT(All_Questions_Q9_F_resolved_column),173)&amp;"|",All_Questions_Q9_F_wrapped)),1,0),0))*1</f>
        <v>1</v>
      </c>
    </row>
    <row r="175">
      <c r="A175" t="n">
        <v>174</v>
      </c>
      <c r="B175" t="n">
        <v>5.25</v>
      </c>
      <c r="C175" t="n">
        <v>27.1</v>
      </c>
      <c r="D175">
        <f>1</f>
        <v>1</v>
      </c>
      <c r="E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F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G175">
        <f>E175*F175*1</f>
        <v>1</v>
      </c>
      <c r="H175">
        <f>1</f>
        <v>1</v>
      </c>
      <c r="I175">
        <f>IF(OR(All_Questions_Q8_F_Q="(None)",All_Questions_Q8_F_Q="",ISBLANK(All_Questions_Q8_F_Q),All_Questions_Q8_F_V="(All)",All_Questions_Q8_F_V="",ISBLANK(All_Questions_Q8_F_V)),1,IFERROR(IF(ISNUMBER(SEARCH("|"&amp;INDEX(INDIRECT(All_Questions_Q8_F_resolved_column),174)&amp;"|",All_Questions_Q8_F_wrapped)),1,0),0))*1</f>
        <v>1</v>
      </c>
      <c r="J175">
        <f>IF(OR(All_Questions_Q9_F_Q="(None)",All_Questions_Q9_F_Q="",ISBLANK(All_Questions_Q9_F_Q),All_Questions_Q9_F_V="(All)",All_Questions_Q9_F_V="",ISBLANK(All_Questions_Q9_F_V)),1,IFERROR(IF(ISNUMBER(SEARCH("|"&amp;INDEX(INDIRECT(All_Questions_Q9_F_resolved_column),174)&amp;"|",All_Questions_Q9_F_wrapped)),1,0),0))*1</f>
        <v>1</v>
      </c>
    </row>
    <row r="176">
      <c r="A176" t="n">
        <v>175</v>
      </c>
      <c r="B176" t="n">
        <v>5.25</v>
      </c>
      <c r="C176" t="n">
        <v>27.1</v>
      </c>
      <c r="D176">
        <f>1</f>
        <v>1</v>
      </c>
      <c r="E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F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G176">
        <f>E176*F176*1</f>
        <v>1</v>
      </c>
      <c r="H176">
        <f>1</f>
        <v>1</v>
      </c>
      <c r="I176">
        <f>IF(OR(All_Questions_Q8_F_Q="(None)",All_Questions_Q8_F_Q="",ISBLANK(All_Questions_Q8_F_Q),All_Questions_Q8_F_V="(All)",All_Questions_Q8_F_V="",ISBLANK(All_Questions_Q8_F_V)),1,IFERROR(IF(ISNUMBER(SEARCH("|"&amp;INDEX(INDIRECT(All_Questions_Q8_F_resolved_column),175)&amp;"|",All_Questions_Q8_F_wrapped)),1,0),0))*1</f>
        <v>1</v>
      </c>
      <c r="J176">
        <f>IF(OR(All_Questions_Q9_F_Q="(None)",All_Questions_Q9_F_Q="",ISBLANK(All_Questions_Q9_F_Q),All_Questions_Q9_F_V="(All)",All_Questions_Q9_F_V="",ISBLANK(All_Questions_Q9_F_V)),1,IFERROR(IF(ISNUMBER(SEARCH("|"&amp;INDEX(INDIRECT(All_Questions_Q9_F_resolved_column),175)&amp;"|",All_Questions_Q9_F_wrapped)),1,0),0))*1</f>
        <v>1</v>
      </c>
    </row>
    <row r="177">
      <c r="A177" t="n">
        <v>176</v>
      </c>
      <c r="B177" t="n">
        <v>5.25</v>
      </c>
      <c r="C177" t="n">
        <v>27.1</v>
      </c>
      <c r="D177">
        <f>1</f>
        <v>1</v>
      </c>
      <c r="E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F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G177">
        <f>E177*F177*1</f>
        <v>1</v>
      </c>
      <c r="H177">
        <f>1</f>
        <v>1</v>
      </c>
      <c r="I177">
        <f>IF(OR(All_Questions_Q8_F_Q="(None)",All_Questions_Q8_F_Q="",ISBLANK(All_Questions_Q8_F_Q),All_Questions_Q8_F_V="(All)",All_Questions_Q8_F_V="",ISBLANK(All_Questions_Q8_F_V)),1,IFERROR(IF(ISNUMBER(SEARCH("|"&amp;INDEX(INDIRECT(All_Questions_Q8_F_resolved_column),176)&amp;"|",All_Questions_Q8_F_wrapped)),1,0),0))*1</f>
        <v>1</v>
      </c>
      <c r="J177">
        <f>IF(OR(All_Questions_Q9_F_Q="(None)",All_Questions_Q9_F_Q="",ISBLANK(All_Questions_Q9_F_Q),All_Questions_Q9_F_V="(All)",All_Questions_Q9_F_V="",ISBLANK(All_Questions_Q9_F_V)),1,IFERROR(IF(ISNUMBER(SEARCH("|"&amp;INDEX(INDIRECT(All_Questions_Q9_F_resolved_column),176)&amp;"|",All_Questions_Q9_F_wrapped)),1,0),0))*1</f>
        <v>1</v>
      </c>
    </row>
    <row r="178">
      <c r="A178" t="n">
        <v>177</v>
      </c>
      <c r="B178" t="n">
        <v>5.25</v>
      </c>
      <c r="C178" t="n">
        <v>27.1</v>
      </c>
      <c r="D178">
        <f>1</f>
        <v>1</v>
      </c>
      <c r="E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F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G178">
        <f>E178*F178*1</f>
        <v>1</v>
      </c>
      <c r="H178">
        <f>1</f>
        <v>1</v>
      </c>
      <c r="I178">
        <f>IF(OR(All_Questions_Q8_F_Q="(None)",All_Questions_Q8_F_Q="",ISBLANK(All_Questions_Q8_F_Q),All_Questions_Q8_F_V="(All)",All_Questions_Q8_F_V="",ISBLANK(All_Questions_Q8_F_V)),1,IFERROR(IF(ISNUMBER(SEARCH("|"&amp;INDEX(INDIRECT(All_Questions_Q8_F_resolved_column),177)&amp;"|",All_Questions_Q8_F_wrapped)),1,0),0))*1</f>
        <v>1</v>
      </c>
      <c r="J178">
        <f>IF(OR(All_Questions_Q9_F_Q="(None)",All_Questions_Q9_F_Q="",ISBLANK(All_Questions_Q9_F_Q),All_Questions_Q9_F_V="(All)",All_Questions_Q9_F_V="",ISBLANK(All_Questions_Q9_F_V)),1,IFERROR(IF(ISNUMBER(SEARCH("|"&amp;INDEX(INDIRECT(All_Questions_Q9_F_resolved_column),177)&amp;"|",All_Questions_Q9_F_wrapped)),1,0),0))*1</f>
        <v>1</v>
      </c>
    </row>
    <row r="179">
      <c r="A179" t="n">
        <v>178</v>
      </c>
      <c r="B179" t="n">
        <v>5.25</v>
      </c>
      <c r="C179" t="n">
        <v>27.1</v>
      </c>
      <c r="D179">
        <f>1</f>
        <v>1</v>
      </c>
      <c r="E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F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G179">
        <f>E179*F179*1</f>
        <v>1</v>
      </c>
      <c r="H179">
        <f>1</f>
        <v>1</v>
      </c>
      <c r="I179">
        <f>IF(OR(All_Questions_Q8_F_Q="(None)",All_Questions_Q8_F_Q="",ISBLANK(All_Questions_Q8_F_Q),All_Questions_Q8_F_V="(All)",All_Questions_Q8_F_V="",ISBLANK(All_Questions_Q8_F_V)),1,IFERROR(IF(ISNUMBER(SEARCH("|"&amp;INDEX(INDIRECT(All_Questions_Q8_F_resolved_column),178)&amp;"|",All_Questions_Q8_F_wrapped)),1,0),0))*1</f>
        <v>1</v>
      </c>
      <c r="J179">
        <f>IF(OR(All_Questions_Q9_F_Q="(None)",All_Questions_Q9_F_Q="",ISBLANK(All_Questions_Q9_F_Q),All_Questions_Q9_F_V="(All)",All_Questions_Q9_F_V="",ISBLANK(All_Questions_Q9_F_V)),1,IFERROR(IF(ISNUMBER(SEARCH("|"&amp;INDEX(INDIRECT(All_Questions_Q9_F_resolved_column),178)&amp;"|",All_Questions_Q9_F_wrapped)),1,0),0))*1</f>
        <v>1</v>
      </c>
    </row>
    <row r="180">
      <c r="A180" t="n">
        <v>179</v>
      </c>
      <c r="B180" t="n">
        <v>5.25</v>
      </c>
      <c r="C180" t="n">
        <v>27.1</v>
      </c>
      <c r="D180">
        <f>1</f>
        <v>1</v>
      </c>
      <c r="E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F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G180">
        <f>E180*F180*1</f>
        <v>1</v>
      </c>
      <c r="H180">
        <f>1</f>
        <v>1</v>
      </c>
      <c r="I180">
        <f>IF(OR(All_Questions_Q8_F_Q="(None)",All_Questions_Q8_F_Q="",ISBLANK(All_Questions_Q8_F_Q),All_Questions_Q8_F_V="(All)",All_Questions_Q8_F_V="",ISBLANK(All_Questions_Q8_F_V)),1,IFERROR(IF(ISNUMBER(SEARCH("|"&amp;INDEX(INDIRECT(All_Questions_Q8_F_resolved_column),179)&amp;"|",All_Questions_Q8_F_wrapped)),1,0),0))*1</f>
        <v>1</v>
      </c>
      <c r="J180">
        <f>IF(OR(All_Questions_Q9_F_Q="(None)",All_Questions_Q9_F_Q="",ISBLANK(All_Questions_Q9_F_Q),All_Questions_Q9_F_V="(All)",All_Questions_Q9_F_V="",ISBLANK(All_Questions_Q9_F_V)),1,IFERROR(IF(ISNUMBER(SEARCH("|"&amp;INDEX(INDIRECT(All_Questions_Q9_F_resolved_column),179)&amp;"|",All_Questions_Q9_F_wrapped)),1,0),0))*1</f>
        <v>1</v>
      </c>
    </row>
    <row r="181">
      <c r="A181" t="n">
        <v>180</v>
      </c>
      <c r="B181" t="n">
        <v>5.25</v>
      </c>
      <c r="C181" t="n">
        <v>27.1</v>
      </c>
      <c r="D181">
        <f>1</f>
        <v>1</v>
      </c>
      <c r="E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F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G181">
        <f>E181*F181*1</f>
        <v>1</v>
      </c>
      <c r="H181">
        <f>1</f>
        <v>1</v>
      </c>
      <c r="I181">
        <f>IF(OR(All_Questions_Q8_F_Q="(None)",All_Questions_Q8_F_Q="",ISBLANK(All_Questions_Q8_F_Q),All_Questions_Q8_F_V="(All)",All_Questions_Q8_F_V="",ISBLANK(All_Questions_Q8_F_V)),1,IFERROR(IF(ISNUMBER(SEARCH("|"&amp;INDEX(INDIRECT(All_Questions_Q8_F_resolved_column),180)&amp;"|",All_Questions_Q8_F_wrapped)),1,0),0))*1</f>
        <v>1</v>
      </c>
      <c r="J181">
        <f>IF(OR(All_Questions_Q9_F_Q="(None)",All_Questions_Q9_F_Q="",ISBLANK(All_Questions_Q9_F_Q),All_Questions_Q9_F_V="(All)",All_Questions_Q9_F_V="",ISBLANK(All_Questions_Q9_F_V)),1,IFERROR(IF(ISNUMBER(SEARCH("|"&amp;INDEX(INDIRECT(All_Questions_Q9_F_resolved_column),180)&amp;"|",All_Questions_Q9_F_wrapped)),1,0),0))*1</f>
        <v>1</v>
      </c>
    </row>
    <row r="182">
      <c r="A182" t="n">
        <v>181</v>
      </c>
      <c r="B182" t="n">
        <v>5.25</v>
      </c>
      <c r="C182" t="n">
        <v>27.1</v>
      </c>
      <c r="D182">
        <f>1</f>
        <v>1</v>
      </c>
      <c r="E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F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G182">
        <f>E182*F182*1</f>
        <v>1</v>
      </c>
      <c r="H182">
        <f>1</f>
        <v>1</v>
      </c>
      <c r="I182">
        <f>IF(OR(All_Questions_Q8_F_Q="(None)",All_Questions_Q8_F_Q="",ISBLANK(All_Questions_Q8_F_Q),All_Questions_Q8_F_V="(All)",All_Questions_Q8_F_V="",ISBLANK(All_Questions_Q8_F_V)),1,IFERROR(IF(ISNUMBER(SEARCH("|"&amp;INDEX(INDIRECT(All_Questions_Q8_F_resolved_column),181)&amp;"|",All_Questions_Q8_F_wrapped)),1,0),0))*1</f>
        <v>1</v>
      </c>
      <c r="J182">
        <f>IF(OR(All_Questions_Q9_F_Q="(None)",All_Questions_Q9_F_Q="",ISBLANK(All_Questions_Q9_F_Q),All_Questions_Q9_F_V="(All)",All_Questions_Q9_F_V="",ISBLANK(All_Questions_Q9_F_V)),1,IFERROR(IF(ISNUMBER(SEARCH("|"&amp;INDEX(INDIRECT(All_Questions_Q9_F_resolved_column),181)&amp;"|",All_Questions_Q9_F_wrapped)),1,0),0))*1</f>
        <v>1</v>
      </c>
    </row>
    <row r="183">
      <c r="A183" t="n">
        <v>182</v>
      </c>
      <c r="B183" t="n">
        <v>5.25</v>
      </c>
      <c r="C183" t="n">
        <v>27.1</v>
      </c>
      <c r="D183">
        <f>1</f>
        <v>1</v>
      </c>
      <c r="E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F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G183">
        <f>E183*F183*1</f>
        <v>1</v>
      </c>
      <c r="H183">
        <f>1</f>
        <v>1</v>
      </c>
      <c r="I183">
        <f>IF(OR(All_Questions_Q8_F_Q="(None)",All_Questions_Q8_F_Q="",ISBLANK(All_Questions_Q8_F_Q),All_Questions_Q8_F_V="(All)",All_Questions_Q8_F_V="",ISBLANK(All_Questions_Q8_F_V)),1,IFERROR(IF(ISNUMBER(SEARCH("|"&amp;INDEX(INDIRECT(All_Questions_Q8_F_resolved_column),182)&amp;"|",All_Questions_Q8_F_wrapped)),1,0),0))*1</f>
        <v>1</v>
      </c>
      <c r="J183">
        <f>IF(OR(All_Questions_Q9_F_Q="(None)",All_Questions_Q9_F_Q="",ISBLANK(All_Questions_Q9_F_Q),All_Questions_Q9_F_V="(All)",All_Questions_Q9_F_V="",ISBLANK(All_Questions_Q9_F_V)),1,IFERROR(IF(ISNUMBER(SEARCH("|"&amp;INDEX(INDIRECT(All_Questions_Q9_F_resolved_column),182)&amp;"|",All_Questions_Q9_F_wrapped)),1,0),0))*1</f>
        <v>1</v>
      </c>
    </row>
    <row r="184">
      <c r="A184" t="n">
        <v>183</v>
      </c>
      <c r="B184" t="n">
        <v>5.25</v>
      </c>
      <c r="C184" t="n">
        <v>27.1</v>
      </c>
      <c r="D184">
        <f>1</f>
        <v>1</v>
      </c>
      <c r="E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F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G184">
        <f>E184*F184*1</f>
        <v>1</v>
      </c>
      <c r="H184">
        <f>1</f>
        <v>1</v>
      </c>
      <c r="I184">
        <f>IF(OR(All_Questions_Q8_F_Q="(None)",All_Questions_Q8_F_Q="",ISBLANK(All_Questions_Q8_F_Q),All_Questions_Q8_F_V="(All)",All_Questions_Q8_F_V="",ISBLANK(All_Questions_Q8_F_V)),1,IFERROR(IF(ISNUMBER(SEARCH("|"&amp;INDEX(INDIRECT(All_Questions_Q8_F_resolved_column),183)&amp;"|",All_Questions_Q8_F_wrapped)),1,0),0))*1</f>
        <v>1</v>
      </c>
      <c r="J184">
        <f>IF(OR(All_Questions_Q9_F_Q="(None)",All_Questions_Q9_F_Q="",ISBLANK(All_Questions_Q9_F_Q),All_Questions_Q9_F_V="(All)",All_Questions_Q9_F_V="",ISBLANK(All_Questions_Q9_F_V)),1,IFERROR(IF(ISNUMBER(SEARCH("|"&amp;INDEX(INDIRECT(All_Questions_Q9_F_resolved_column),183)&amp;"|",All_Questions_Q9_F_wrapped)),1,0),0))*1</f>
        <v>1</v>
      </c>
    </row>
    <row r="185">
      <c r="A185" t="n">
        <v>184</v>
      </c>
      <c r="B185" t="n">
        <v>5.25</v>
      </c>
      <c r="C185" t="n">
        <v>27.1</v>
      </c>
      <c r="D185">
        <f>1</f>
        <v>1</v>
      </c>
      <c r="E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F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G185">
        <f>E185*F185*1</f>
        <v>1</v>
      </c>
      <c r="H185">
        <f>1</f>
        <v>1</v>
      </c>
      <c r="I185">
        <f>IF(OR(All_Questions_Q8_F_Q="(None)",All_Questions_Q8_F_Q="",ISBLANK(All_Questions_Q8_F_Q),All_Questions_Q8_F_V="(All)",All_Questions_Q8_F_V="",ISBLANK(All_Questions_Q8_F_V)),1,IFERROR(IF(ISNUMBER(SEARCH("|"&amp;INDEX(INDIRECT(All_Questions_Q8_F_resolved_column),184)&amp;"|",All_Questions_Q8_F_wrapped)),1,0),0))*1</f>
        <v>1</v>
      </c>
      <c r="J185">
        <f>IF(OR(All_Questions_Q9_F_Q="(None)",All_Questions_Q9_F_Q="",ISBLANK(All_Questions_Q9_F_Q),All_Questions_Q9_F_V="(All)",All_Questions_Q9_F_V="",ISBLANK(All_Questions_Q9_F_V)),1,IFERROR(IF(ISNUMBER(SEARCH("|"&amp;INDEX(INDIRECT(All_Questions_Q9_F_resolved_column),184)&amp;"|",All_Questions_Q9_F_wrapped)),1,0),0))*1</f>
        <v>1</v>
      </c>
    </row>
    <row r="186">
      <c r="A186" t="n">
        <v>185</v>
      </c>
      <c r="B186" t="n">
        <v>5.25</v>
      </c>
      <c r="C186" t="n">
        <v>27.1</v>
      </c>
      <c r="D186">
        <f>1</f>
        <v>1</v>
      </c>
      <c r="E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F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G186">
        <f>E186*F186*1</f>
        <v>1</v>
      </c>
      <c r="H186">
        <f>1</f>
        <v>1</v>
      </c>
      <c r="I186">
        <f>IF(OR(All_Questions_Q8_F_Q="(None)",All_Questions_Q8_F_Q="",ISBLANK(All_Questions_Q8_F_Q),All_Questions_Q8_F_V="(All)",All_Questions_Q8_F_V="",ISBLANK(All_Questions_Q8_F_V)),1,IFERROR(IF(ISNUMBER(SEARCH("|"&amp;INDEX(INDIRECT(All_Questions_Q8_F_resolved_column),185)&amp;"|",All_Questions_Q8_F_wrapped)),1,0),0))*1</f>
        <v>1</v>
      </c>
      <c r="J186">
        <f>IF(OR(All_Questions_Q9_F_Q="(None)",All_Questions_Q9_F_Q="",ISBLANK(All_Questions_Q9_F_Q),All_Questions_Q9_F_V="(All)",All_Questions_Q9_F_V="",ISBLANK(All_Questions_Q9_F_V)),1,IFERROR(IF(ISNUMBER(SEARCH("|"&amp;INDEX(INDIRECT(All_Questions_Q9_F_resolved_column),185)&amp;"|",All_Questions_Q9_F_wrapped)),1,0),0))*1</f>
        <v>1</v>
      </c>
    </row>
    <row r="187">
      <c r="A187" t="n">
        <v>186</v>
      </c>
      <c r="B187" t="n">
        <v>5.25</v>
      </c>
      <c r="C187" t="n">
        <v>27.1</v>
      </c>
      <c r="D187">
        <f>1</f>
        <v>1</v>
      </c>
      <c r="E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F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G187">
        <f>E187*F187*1</f>
        <v>1</v>
      </c>
      <c r="H187">
        <f>1</f>
        <v>1</v>
      </c>
      <c r="I187">
        <f>IF(OR(All_Questions_Q8_F_Q="(None)",All_Questions_Q8_F_Q="",ISBLANK(All_Questions_Q8_F_Q),All_Questions_Q8_F_V="(All)",All_Questions_Q8_F_V="",ISBLANK(All_Questions_Q8_F_V)),1,IFERROR(IF(ISNUMBER(SEARCH("|"&amp;INDEX(INDIRECT(All_Questions_Q8_F_resolved_column),186)&amp;"|",All_Questions_Q8_F_wrapped)),1,0),0))*1</f>
        <v>1</v>
      </c>
      <c r="J187">
        <f>IF(OR(All_Questions_Q9_F_Q="(None)",All_Questions_Q9_F_Q="",ISBLANK(All_Questions_Q9_F_Q),All_Questions_Q9_F_V="(All)",All_Questions_Q9_F_V="",ISBLANK(All_Questions_Q9_F_V)),1,IFERROR(IF(ISNUMBER(SEARCH("|"&amp;INDEX(INDIRECT(All_Questions_Q9_F_resolved_column),186)&amp;"|",All_Questions_Q9_F_wrapped)),1,0),0))*1</f>
        <v>1</v>
      </c>
    </row>
    <row r="188">
      <c r="A188" t="n">
        <v>187</v>
      </c>
      <c r="B188" t="n">
        <v>5.25</v>
      </c>
      <c r="C188" t="n">
        <v>27.1</v>
      </c>
      <c r="D188">
        <f>1</f>
        <v>1</v>
      </c>
      <c r="E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F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G188">
        <f>E188*F188*1</f>
        <v>1</v>
      </c>
      <c r="H188">
        <f>1</f>
        <v>1</v>
      </c>
      <c r="I188">
        <f>IF(OR(All_Questions_Q8_F_Q="(None)",All_Questions_Q8_F_Q="",ISBLANK(All_Questions_Q8_F_Q),All_Questions_Q8_F_V="(All)",All_Questions_Q8_F_V="",ISBLANK(All_Questions_Q8_F_V)),1,IFERROR(IF(ISNUMBER(SEARCH("|"&amp;INDEX(INDIRECT(All_Questions_Q8_F_resolved_column),187)&amp;"|",All_Questions_Q8_F_wrapped)),1,0),0))*1</f>
        <v>1</v>
      </c>
      <c r="J188">
        <f>IF(OR(All_Questions_Q9_F_Q="(None)",All_Questions_Q9_F_Q="",ISBLANK(All_Questions_Q9_F_Q),All_Questions_Q9_F_V="(All)",All_Questions_Q9_F_V="",ISBLANK(All_Questions_Q9_F_V)),1,IFERROR(IF(ISNUMBER(SEARCH("|"&amp;INDEX(INDIRECT(All_Questions_Q9_F_resolved_column),187)&amp;"|",All_Questions_Q9_F_wrapped)),1,0),0))*1</f>
        <v>1</v>
      </c>
    </row>
    <row r="189">
      <c r="A189" t="n">
        <v>188</v>
      </c>
      <c r="B189" t="n">
        <v>5.25</v>
      </c>
      <c r="C189" t="n">
        <v>27.1</v>
      </c>
      <c r="D189">
        <f>1</f>
        <v>1</v>
      </c>
      <c r="E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F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G189">
        <f>E189*F189*1</f>
        <v>1</v>
      </c>
      <c r="H189">
        <f>1</f>
        <v>1</v>
      </c>
      <c r="I189">
        <f>IF(OR(All_Questions_Q8_F_Q="(None)",All_Questions_Q8_F_Q="",ISBLANK(All_Questions_Q8_F_Q),All_Questions_Q8_F_V="(All)",All_Questions_Q8_F_V="",ISBLANK(All_Questions_Q8_F_V)),1,IFERROR(IF(ISNUMBER(SEARCH("|"&amp;INDEX(INDIRECT(All_Questions_Q8_F_resolved_column),188)&amp;"|",All_Questions_Q8_F_wrapped)),1,0),0))*1</f>
        <v>1</v>
      </c>
      <c r="J189">
        <f>IF(OR(All_Questions_Q9_F_Q="(None)",All_Questions_Q9_F_Q="",ISBLANK(All_Questions_Q9_F_Q),All_Questions_Q9_F_V="(All)",All_Questions_Q9_F_V="",ISBLANK(All_Questions_Q9_F_V)),1,IFERROR(IF(ISNUMBER(SEARCH("|"&amp;INDEX(INDIRECT(All_Questions_Q9_F_resolved_column),188)&amp;"|",All_Questions_Q9_F_wrapped)),1,0),0))*1</f>
        <v>1</v>
      </c>
    </row>
    <row r="190">
      <c r="A190" t="n">
        <v>189</v>
      </c>
      <c r="B190" t="n">
        <v>5.25</v>
      </c>
      <c r="C190" t="n">
        <v>27.1</v>
      </c>
      <c r="D190">
        <f>1</f>
        <v>1</v>
      </c>
      <c r="E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F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G190">
        <f>E190*F190*1</f>
        <v>1</v>
      </c>
      <c r="H190">
        <f>1</f>
        <v>1</v>
      </c>
      <c r="I190">
        <f>IF(OR(All_Questions_Q8_F_Q="(None)",All_Questions_Q8_F_Q="",ISBLANK(All_Questions_Q8_F_Q),All_Questions_Q8_F_V="(All)",All_Questions_Q8_F_V="",ISBLANK(All_Questions_Q8_F_V)),1,IFERROR(IF(ISNUMBER(SEARCH("|"&amp;INDEX(INDIRECT(All_Questions_Q8_F_resolved_column),189)&amp;"|",All_Questions_Q8_F_wrapped)),1,0),0))*1</f>
        <v>1</v>
      </c>
      <c r="J190">
        <f>IF(OR(All_Questions_Q9_F_Q="(None)",All_Questions_Q9_F_Q="",ISBLANK(All_Questions_Q9_F_Q),All_Questions_Q9_F_V="(All)",All_Questions_Q9_F_V="",ISBLANK(All_Questions_Q9_F_V)),1,IFERROR(IF(ISNUMBER(SEARCH("|"&amp;INDEX(INDIRECT(All_Questions_Q9_F_resolved_column),189)&amp;"|",All_Questions_Q9_F_wrapped)),1,0),0))*1</f>
        <v>1</v>
      </c>
    </row>
    <row r="191">
      <c r="A191" t="n">
        <v>190</v>
      </c>
      <c r="B191" t="n">
        <v>5.25</v>
      </c>
      <c r="C191" t="n">
        <v>27.1</v>
      </c>
      <c r="D191">
        <f>1</f>
        <v>1</v>
      </c>
      <c r="E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F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G191">
        <f>E191*F191*1</f>
        <v>1</v>
      </c>
      <c r="H191">
        <f>1</f>
        <v>1</v>
      </c>
      <c r="I191">
        <f>IF(OR(All_Questions_Q8_F_Q="(None)",All_Questions_Q8_F_Q="",ISBLANK(All_Questions_Q8_F_Q),All_Questions_Q8_F_V="(All)",All_Questions_Q8_F_V="",ISBLANK(All_Questions_Q8_F_V)),1,IFERROR(IF(ISNUMBER(SEARCH("|"&amp;INDEX(INDIRECT(All_Questions_Q8_F_resolved_column),190)&amp;"|",All_Questions_Q8_F_wrapped)),1,0),0))*1</f>
        <v>1</v>
      </c>
      <c r="J191">
        <f>IF(OR(All_Questions_Q9_F_Q="(None)",All_Questions_Q9_F_Q="",ISBLANK(All_Questions_Q9_F_Q),All_Questions_Q9_F_V="(All)",All_Questions_Q9_F_V="",ISBLANK(All_Questions_Q9_F_V)),1,IFERROR(IF(ISNUMBER(SEARCH("|"&amp;INDEX(INDIRECT(All_Questions_Q9_F_resolved_column),190)&amp;"|",All_Questions_Q9_F_wrapped)),1,0),0))*1</f>
        <v>1</v>
      </c>
    </row>
    <row r="192">
      <c r="A192" t="n">
        <v>191</v>
      </c>
      <c r="B192" t="n">
        <v>5.25</v>
      </c>
      <c r="C192" t="n">
        <v>27.1</v>
      </c>
      <c r="D192">
        <f>1</f>
        <v>1</v>
      </c>
      <c r="E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F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G192">
        <f>E192*F192*1</f>
        <v>1</v>
      </c>
      <c r="H192">
        <f>1</f>
        <v>1</v>
      </c>
      <c r="I192">
        <f>IF(OR(All_Questions_Q8_F_Q="(None)",All_Questions_Q8_F_Q="",ISBLANK(All_Questions_Q8_F_Q),All_Questions_Q8_F_V="(All)",All_Questions_Q8_F_V="",ISBLANK(All_Questions_Q8_F_V)),1,IFERROR(IF(ISNUMBER(SEARCH("|"&amp;INDEX(INDIRECT(All_Questions_Q8_F_resolved_column),191)&amp;"|",All_Questions_Q8_F_wrapped)),1,0),0))*1</f>
        <v>1</v>
      </c>
      <c r="J192">
        <f>IF(OR(All_Questions_Q9_F_Q="(None)",All_Questions_Q9_F_Q="",ISBLANK(All_Questions_Q9_F_Q),All_Questions_Q9_F_V="(All)",All_Questions_Q9_F_V="",ISBLANK(All_Questions_Q9_F_V)),1,IFERROR(IF(ISNUMBER(SEARCH("|"&amp;INDEX(INDIRECT(All_Questions_Q9_F_resolved_column),191)&amp;"|",All_Questions_Q9_F_wrapped)),1,0),0))*1</f>
        <v>1</v>
      </c>
    </row>
    <row r="193">
      <c r="A193" t="n">
        <v>192</v>
      </c>
      <c r="B193" t="n">
        <v>5.25</v>
      </c>
      <c r="C193" t="n">
        <v>27.1</v>
      </c>
      <c r="D193">
        <f>1</f>
        <v>1</v>
      </c>
      <c r="E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F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G193">
        <f>E193*F193*1</f>
        <v>1</v>
      </c>
      <c r="H193">
        <f>1</f>
        <v>1</v>
      </c>
      <c r="I193">
        <f>IF(OR(All_Questions_Q8_F_Q="(None)",All_Questions_Q8_F_Q="",ISBLANK(All_Questions_Q8_F_Q),All_Questions_Q8_F_V="(All)",All_Questions_Q8_F_V="",ISBLANK(All_Questions_Q8_F_V)),1,IFERROR(IF(ISNUMBER(SEARCH("|"&amp;INDEX(INDIRECT(All_Questions_Q8_F_resolved_column),192)&amp;"|",All_Questions_Q8_F_wrapped)),1,0),0))*1</f>
        <v>1</v>
      </c>
      <c r="J193">
        <f>IF(OR(All_Questions_Q9_F_Q="(None)",All_Questions_Q9_F_Q="",ISBLANK(All_Questions_Q9_F_Q),All_Questions_Q9_F_V="(All)",All_Questions_Q9_F_V="",ISBLANK(All_Questions_Q9_F_V)),1,IFERROR(IF(ISNUMBER(SEARCH("|"&amp;INDEX(INDIRECT(All_Questions_Q9_F_resolved_column),192)&amp;"|",All_Questions_Q9_F_wrapped)),1,0),0))*1</f>
        <v>1</v>
      </c>
    </row>
    <row r="194">
      <c r="A194" t="n">
        <v>193</v>
      </c>
      <c r="B194" t="n">
        <v>5.25</v>
      </c>
      <c r="C194" t="n">
        <v>27.1</v>
      </c>
      <c r="D194">
        <f>1</f>
        <v>1</v>
      </c>
      <c r="E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F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G194">
        <f>E194*F194*1</f>
        <v>1</v>
      </c>
      <c r="H194">
        <f>1</f>
        <v>1</v>
      </c>
      <c r="I194">
        <f>IF(OR(All_Questions_Q8_F_Q="(None)",All_Questions_Q8_F_Q="",ISBLANK(All_Questions_Q8_F_Q),All_Questions_Q8_F_V="(All)",All_Questions_Q8_F_V="",ISBLANK(All_Questions_Q8_F_V)),1,IFERROR(IF(ISNUMBER(SEARCH("|"&amp;INDEX(INDIRECT(All_Questions_Q8_F_resolved_column),193)&amp;"|",All_Questions_Q8_F_wrapped)),1,0),0))*1</f>
        <v>1</v>
      </c>
      <c r="J194">
        <f>IF(OR(All_Questions_Q9_F_Q="(None)",All_Questions_Q9_F_Q="",ISBLANK(All_Questions_Q9_F_Q),All_Questions_Q9_F_V="(All)",All_Questions_Q9_F_V="",ISBLANK(All_Questions_Q9_F_V)),1,IFERROR(IF(ISNUMBER(SEARCH("|"&amp;INDEX(INDIRECT(All_Questions_Q9_F_resolved_column),193)&amp;"|",All_Questions_Q9_F_wrapped)),1,0),0))*1</f>
        <v>1</v>
      </c>
    </row>
    <row r="195">
      <c r="A195" t="n">
        <v>194</v>
      </c>
      <c r="B195" t="n">
        <v>5.25</v>
      </c>
      <c r="C195" t="n">
        <v>27.1</v>
      </c>
      <c r="D195">
        <f>1</f>
        <v>1</v>
      </c>
      <c r="E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F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G195">
        <f>E195*F195*1</f>
        <v>1</v>
      </c>
      <c r="H195">
        <f>1</f>
        <v>1</v>
      </c>
      <c r="I195">
        <f>IF(OR(All_Questions_Q8_F_Q="(None)",All_Questions_Q8_F_Q="",ISBLANK(All_Questions_Q8_F_Q),All_Questions_Q8_F_V="(All)",All_Questions_Q8_F_V="",ISBLANK(All_Questions_Q8_F_V)),1,IFERROR(IF(ISNUMBER(SEARCH("|"&amp;INDEX(INDIRECT(All_Questions_Q8_F_resolved_column),194)&amp;"|",All_Questions_Q8_F_wrapped)),1,0),0))*1</f>
        <v>1</v>
      </c>
      <c r="J195">
        <f>IF(OR(All_Questions_Q9_F_Q="(None)",All_Questions_Q9_F_Q="",ISBLANK(All_Questions_Q9_F_Q),All_Questions_Q9_F_V="(All)",All_Questions_Q9_F_V="",ISBLANK(All_Questions_Q9_F_V)),1,IFERROR(IF(ISNUMBER(SEARCH("|"&amp;INDEX(INDIRECT(All_Questions_Q9_F_resolved_column),194)&amp;"|",All_Questions_Q9_F_wrapped)),1,0),0))*1</f>
        <v>1</v>
      </c>
    </row>
    <row r="196">
      <c r="A196" t="n">
        <v>195</v>
      </c>
      <c r="B196" t="n">
        <v>5.25</v>
      </c>
      <c r="C196" t="n">
        <v>27.1</v>
      </c>
      <c r="D196">
        <f>1</f>
        <v>1</v>
      </c>
      <c r="E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F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G196">
        <f>E196*F196*1</f>
        <v>1</v>
      </c>
      <c r="H196">
        <f>1</f>
        <v>1</v>
      </c>
      <c r="I196">
        <f>IF(OR(All_Questions_Q8_F_Q="(None)",All_Questions_Q8_F_Q="",ISBLANK(All_Questions_Q8_F_Q),All_Questions_Q8_F_V="(All)",All_Questions_Q8_F_V="",ISBLANK(All_Questions_Q8_F_V)),1,IFERROR(IF(ISNUMBER(SEARCH("|"&amp;INDEX(INDIRECT(All_Questions_Q8_F_resolved_column),195)&amp;"|",All_Questions_Q8_F_wrapped)),1,0),0))*1</f>
        <v>1</v>
      </c>
      <c r="J196">
        <f>IF(OR(All_Questions_Q9_F_Q="(None)",All_Questions_Q9_F_Q="",ISBLANK(All_Questions_Q9_F_Q),All_Questions_Q9_F_V="(All)",All_Questions_Q9_F_V="",ISBLANK(All_Questions_Q9_F_V)),1,IFERROR(IF(ISNUMBER(SEARCH("|"&amp;INDEX(INDIRECT(All_Questions_Q9_F_resolved_column),195)&amp;"|",All_Questions_Q9_F_wrapped)),1,0),0))*1</f>
        <v>1</v>
      </c>
    </row>
    <row r="197">
      <c r="A197" t="n">
        <v>196</v>
      </c>
      <c r="B197" t="n">
        <v>5.25</v>
      </c>
      <c r="C197" t="n">
        <v>27.1</v>
      </c>
      <c r="D197">
        <f>1</f>
        <v>1</v>
      </c>
      <c r="E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F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G197">
        <f>E197*F197*1</f>
        <v>1</v>
      </c>
      <c r="H197">
        <f>1</f>
        <v>1</v>
      </c>
      <c r="I197">
        <f>IF(OR(All_Questions_Q8_F_Q="(None)",All_Questions_Q8_F_Q="",ISBLANK(All_Questions_Q8_F_Q),All_Questions_Q8_F_V="(All)",All_Questions_Q8_F_V="",ISBLANK(All_Questions_Q8_F_V)),1,IFERROR(IF(ISNUMBER(SEARCH("|"&amp;INDEX(INDIRECT(All_Questions_Q8_F_resolved_column),196)&amp;"|",All_Questions_Q8_F_wrapped)),1,0),0))*1</f>
        <v>1</v>
      </c>
      <c r="J197">
        <f>IF(OR(All_Questions_Q9_F_Q="(None)",All_Questions_Q9_F_Q="",ISBLANK(All_Questions_Q9_F_Q),All_Questions_Q9_F_V="(All)",All_Questions_Q9_F_V="",ISBLANK(All_Questions_Q9_F_V)),1,IFERROR(IF(ISNUMBER(SEARCH("|"&amp;INDEX(INDIRECT(All_Questions_Q9_F_resolved_column),196)&amp;"|",All_Questions_Q9_F_wrapped)),1,0),0))*1</f>
        <v>1</v>
      </c>
    </row>
    <row r="198">
      <c r="A198" t="n">
        <v>197</v>
      </c>
      <c r="B198" t="n">
        <v>5.25</v>
      </c>
      <c r="C198" t="n">
        <v>27.1</v>
      </c>
      <c r="D198">
        <f>1</f>
        <v>1</v>
      </c>
      <c r="E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F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G198">
        <f>E198*F198*1</f>
        <v>1</v>
      </c>
      <c r="H198">
        <f>1</f>
        <v>1</v>
      </c>
      <c r="I198">
        <f>IF(OR(All_Questions_Q8_F_Q="(None)",All_Questions_Q8_F_Q="",ISBLANK(All_Questions_Q8_F_Q),All_Questions_Q8_F_V="(All)",All_Questions_Q8_F_V="",ISBLANK(All_Questions_Q8_F_V)),1,IFERROR(IF(ISNUMBER(SEARCH("|"&amp;INDEX(INDIRECT(All_Questions_Q8_F_resolved_column),197)&amp;"|",All_Questions_Q8_F_wrapped)),1,0),0))*1</f>
        <v>1</v>
      </c>
      <c r="J198">
        <f>IF(OR(All_Questions_Q9_F_Q="(None)",All_Questions_Q9_F_Q="",ISBLANK(All_Questions_Q9_F_Q),All_Questions_Q9_F_V="(All)",All_Questions_Q9_F_V="",ISBLANK(All_Questions_Q9_F_V)),1,IFERROR(IF(ISNUMBER(SEARCH("|"&amp;INDEX(INDIRECT(All_Questions_Q9_F_resolved_column),197)&amp;"|",All_Questions_Q9_F_wrapped)),1,0),0))*1</f>
        <v>1</v>
      </c>
    </row>
    <row r="199">
      <c r="A199" t="n">
        <v>198</v>
      </c>
      <c r="B199" t="n">
        <v>5.25</v>
      </c>
      <c r="C199" t="n">
        <v>27.1</v>
      </c>
      <c r="D199">
        <f>1</f>
        <v>1</v>
      </c>
      <c r="E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F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G199">
        <f>E199*F199*1</f>
        <v>1</v>
      </c>
      <c r="H199">
        <f>1</f>
        <v>1</v>
      </c>
      <c r="I199">
        <f>IF(OR(All_Questions_Q8_F_Q="(None)",All_Questions_Q8_F_Q="",ISBLANK(All_Questions_Q8_F_Q),All_Questions_Q8_F_V="(All)",All_Questions_Q8_F_V="",ISBLANK(All_Questions_Q8_F_V)),1,IFERROR(IF(ISNUMBER(SEARCH("|"&amp;INDEX(INDIRECT(All_Questions_Q8_F_resolved_column),198)&amp;"|",All_Questions_Q8_F_wrapped)),1,0),0))*1</f>
        <v>1</v>
      </c>
      <c r="J199">
        <f>IF(OR(All_Questions_Q9_F_Q="(None)",All_Questions_Q9_F_Q="",ISBLANK(All_Questions_Q9_F_Q),All_Questions_Q9_F_V="(All)",All_Questions_Q9_F_V="",ISBLANK(All_Questions_Q9_F_V)),1,IFERROR(IF(ISNUMBER(SEARCH("|"&amp;INDEX(INDIRECT(All_Questions_Q9_F_resolved_column),198)&amp;"|",All_Questions_Q9_F_wrapped)),1,0),0))*1</f>
        <v>1</v>
      </c>
    </row>
    <row r="200">
      <c r="A200" t="n">
        <v>199</v>
      </c>
      <c r="B200" t="n">
        <v>5.25</v>
      </c>
      <c r="C200" t="n">
        <v>27.1</v>
      </c>
      <c r="D200">
        <f>1</f>
        <v>1</v>
      </c>
      <c r="E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F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G200">
        <f>E200*F200*1</f>
        <v>1</v>
      </c>
      <c r="H200">
        <f>1</f>
        <v>1</v>
      </c>
      <c r="I200">
        <f>IF(OR(All_Questions_Q8_F_Q="(None)",All_Questions_Q8_F_Q="",ISBLANK(All_Questions_Q8_F_Q),All_Questions_Q8_F_V="(All)",All_Questions_Q8_F_V="",ISBLANK(All_Questions_Q8_F_V)),1,IFERROR(IF(ISNUMBER(SEARCH("|"&amp;INDEX(INDIRECT(All_Questions_Q8_F_resolved_column),199)&amp;"|",All_Questions_Q8_F_wrapped)),1,0),0))*1</f>
        <v>1</v>
      </c>
      <c r="J200">
        <f>IF(OR(All_Questions_Q9_F_Q="(None)",All_Questions_Q9_F_Q="",ISBLANK(All_Questions_Q9_F_Q),All_Questions_Q9_F_V="(All)",All_Questions_Q9_F_V="",ISBLANK(All_Questions_Q9_F_V)),1,IFERROR(IF(ISNUMBER(SEARCH("|"&amp;INDEX(INDIRECT(All_Questions_Q9_F_resolved_column),199)&amp;"|",All_Questions_Q9_F_wrapped)),1,0),0))*1</f>
        <v>1</v>
      </c>
    </row>
    <row r="201">
      <c r="A201" t="n">
        <v>200</v>
      </c>
      <c r="B201" t="n">
        <v>5.25</v>
      </c>
      <c r="C201" t="n">
        <v>27.1</v>
      </c>
      <c r="D201">
        <f>1</f>
        <v>1</v>
      </c>
      <c r="E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F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G201">
        <f>E201*F201*1</f>
        <v>1</v>
      </c>
      <c r="H201">
        <f>1</f>
        <v>1</v>
      </c>
      <c r="I201">
        <f>IF(OR(All_Questions_Q8_F_Q="(None)",All_Questions_Q8_F_Q="",ISBLANK(All_Questions_Q8_F_Q),All_Questions_Q8_F_V="(All)",All_Questions_Q8_F_V="",ISBLANK(All_Questions_Q8_F_V)),1,IFERROR(IF(ISNUMBER(SEARCH("|"&amp;INDEX(INDIRECT(All_Questions_Q8_F_resolved_column),200)&amp;"|",All_Questions_Q8_F_wrapped)),1,0),0))*1</f>
        <v>1</v>
      </c>
      <c r="J201">
        <f>IF(OR(All_Questions_Q9_F_Q="(None)",All_Questions_Q9_F_Q="",ISBLANK(All_Questions_Q9_F_Q),All_Questions_Q9_F_V="(All)",All_Questions_Q9_F_V="",ISBLANK(All_Questions_Q9_F_V)),1,IFERROR(IF(ISNUMBER(SEARCH("|"&amp;INDEX(INDIRECT(All_Questions_Q9_F_resolved_column),200)&amp;"|",All_Questions_Q9_F_wrapped)),1,0),0))*1</f>
        <v>1</v>
      </c>
    </row>
    <row r="202">
      <c r="A202" t="n">
        <v>201</v>
      </c>
      <c r="B202" t="n">
        <v>5.25</v>
      </c>
      <c r="C202" t="n">
        <v>27.1</v>
      </c>
      <c r="D202">
        <f>1</f>
        <v>1</v>
      </c>
      <c r="E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F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G202">
        <f>E202*F202*1</f>
        <v>1</v>
      </c>
      <c r="H202">
        <f>1</f>
        <v>1</v>
      </c>
      <c r="I202">
        <f>IF(OR(All_Questions_Q8_F_Q="(None)",All_Questions_Q8_F_Q="",ISBLANK(All_Questions_Q8_F_Q),All_Questions_Q8_F_V="(All)",All_Questions_Q8_F_V="",ISBLANK(All_Questions_Q8_F_V)),1,IFERROR(IF(ISNUMBER(SEARCH("|"&amp;INDEX(INDIRECT(All_Questions_Q8_F_resolved_column),201)&amp;"|",All_Questions_Q8_F_wrapped)),1,0),0))*1</f>
        <v>1</v>
      </c>
      <c r="J202">
        <f>IF(OR(All_Questions_Q9_F_Q="(None)",All_Questions_Q9_F_Q="",ISBLANK(All_Questions_Q9_F_Q),All_Questions_Q9_F_V="(All)",All_Questions_Q9_F_V="",ISBLANK(All_Questions_Q9_F_V)),1,IFERROR(IF(ISNUMBER(SEARCH("|"&amp;INDEX(INDIRECT(All_Questions_Q9_F_resolved_column),201)&amp;"|",All_Questions_Q9_F_wrapped)),1,0),0))*1</f>
        <v>1</v>
      </c>
    </row>
    <row r="203">
      <c r="A203" t="n">
        <v>202</v>
      </c>
      <c r="B203" t="n">
        <v>5.25</v>
      </c>
      <c r="C203" t="n">
        <v>27.1</v>
      </c>
      <c r="D203">
        <f>1</f>
        <v>1</v>
      </c>
      <c r="E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F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G203">
        <f>E203*F203*1</f>
        <v>1</v>
      </c>
      <c r="H203">
        <f>1</f>
        <v>1</v>
      </c>
      <c r="I203">
        <f>IF(OR(All_Questions_Q8_F_Q="(None)",All_Questions_Q8_F_Q="",ISBLANK(All_Questions_Q8_F_Q),All_Questions_Q8_F_V="(All)",All_Questions_Q8_F_V="",ISBLANK(All_Questions_Q8_F_V)),1,IFERROR(IF(ISNUMBER(SEARCH("|"&amp;INDEX(INDIRECT(All_Questions_Q8_F_resolved_column),202)&amp;"|",All_Questions_Q8_F_wrapped)),1,0),0))*1</f>
        <v>1</v>
      </c>
      <c r="J203">
        <f>IF(OR(All_Questions_Q9_F_Q="(None)",All_Questions_Q9_F_Q="",ISBLANK(All_Questions_Q9_F_Q),All_Questions_Q9_F_V="(All)",All_Questions_Q9_F_V="",ISBLANK(All_Questions_Q9_F_V)),1,IFERROR(IF(ISNUMBER(SEARCH("|"&amp;INDEX(INDIRECT(All_Questions_Q9_F_resolved_column),202)&amp;"|",All_Questions_Q9_F_wrapped)),1,0),0))*1</f>
        <v>1</v>
      </c>
    </row>
    <row r="204">
      <c r="A204" t="n">
        <v>203</v>
      </c>
      <c r="B204" t="n">
        <v>5.25</v>
      </c>
      <c r="C204" t="n">
        <v>27.1</v>
      </c>
      <c r="D204">
        <f>1</f>
        <v>1</v>
      </c>
      <c r="E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F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G204">
        <f>E204*F204*1</f>
        <v>1</v>
      </c>
      <c r="H204">
        <f>1</f>
        <v>1</v>
      </c>
      <c r="I204">
        <f>IF(OR(All_Questions_Q8_F_Q="(None)",All_Questions_Q8_F_Q="",ISBLANK(All_Questions_Q8_F_Q),All_Questions_Q8_F_V="(All)",All_Questions_Q8_F_V="",ISBLANK(All_Questions_Q8_F_V)),1,IFERROR(IF(ISNUMBER(SEARCH("|"&amp;INDEX(INDIRECT(All_Questions_Q8_F_resolved_column),203)&amp;"|",All_Questions_Q8_F_wrapped)),1,0),0))*1</f>
        <v>1</v>
      </c>
      <c r="J204">
        <f>IF(OR(All_Questions_Q9_F_Q="(None)",All_Questions_Q9_F_Q="",ISBLANK(All_Questions_Q9_F_Q),All_Questions_Q9_F_V="(All)",All_Questions_Q9_F_V="",ISBLANK(All_Questions_Q9_F_V)),1,IFERROR(IF(ISNUMBER(SEARCH("|"&amp;INDEX(INDIRECT(All_Questions_Q9_F_resolved_column),203)&amp;"|",All_Questions_Q9_F_wrapped)),1,0),0))*1</f>
        <v>1</v>
      </c>
    </row>
    <row r="205">
      <c r="A205" t="n">
        <v>204</v>
      </c>
      <c r="B205" t="n">
        <v>5.25</v>
      </c>
      <c r="C205" t="n">
        <v>27.1</v>
      </c>
      <c r="D205">
        <f>1</f>
        <v>1</v>
      </c>
      <c r="E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F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G205">
        <f>E205*F205*1</f>
        <v>1</v>
      </c>
      <c r="H205">
        <f>1</f>
        <v>1</v>
      </c>
      <c r="I205">
        <f>IF(OR(All_Questions_Q8_F_Q="(None)",All_Questions_Q8_F_Q="",ISBLANK(All_Questions_Q8_F_Q),All_Questions_Q8_F_V="(All)",All_Questions_Q8_F_V="",ISBLANK(All_Questions_Q8_F_V)),1,IFERROR(IF(ISNUMBER(SEARCH("|"&amp;INDEX(INDIRECT(All_Questions_Q8_F_resolved_column),204)&amp;"|",All_Questions_Q8_F_wrapped)),1,0),0))*1</f>
        <v>1</v>
      </c>
      <c r="J205">
        <f>IF(OR(All_Questions_Q9_F_Q="(None)",All_Questions_Q9_F_Q="",ISBLANK(All_Questions_Q9_F_Q),All_Questions_Q9_F_V="(All)",All_Questions_Q9_F_V="",ISBLANK(All_Questions_Q9_F_V)),1,IFERROR(IF(ISNUMBER(SEARCH("|"&amp;INDEX(INDIRECT(All_Questions_Q9_F_resolved_column),204)&amp;"|",All_Questions_Q9_F_wrapped)),1,0),0))*1</f>
        <v>1</v>
      </c>
    </row>
    <row r="206">
      <c r="A206" t="n">
        <v>205</v>
      </c>
      <c r="B206" t="n">
        <v>5.25</v>
      </c>
      <c r="C206" t="n">
        <v>27.1</v>
      </c>
      <c r="D206">
        <f>1</f>
        <v>1</v>
      </c>
      <c r="E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F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G206">
        <f>E206*F206*1</f>
        <v>1</v>
      </c>
      <c r="H206">
        <f>1</f>
        <v>1</v>
      </c>
      <c r="I206">
        <f>IF(OR(All_Questions_Q8_F_Q="(None)",All_Questions_Q8_F_Q="",ISBLANK(All_Questions_Q8_F_Q),All_Questions_Q8_F_V="(All)",All_Questions_Q8_F_V="",ISBLANK(All_Questions_Q8_F_V)),1,IFERROR(IF(ISNUMBER(SEARCH("|"&amp;INDEX(INDIRECT(All_Questions_Q8_F_resolved_column),205)&amp;"|",All_Questions_Q8_F_wrapped)),1,0),0))*1</f>
        <v>1</v>
      </c>
      <c r="J206">
        <f>IF(OR(All_Questions_Q9_F_Q="(None)",All_Questions_Q9_F_Q="",ISBLANK(All_Questions_Q9_F_Q),All_Questions_Q9_F_V="(All)",All_Questions_Q9_F_V="",ISBLANK(All_Questions_Q9_F_V)),1,IFERROR(IF(ISNUMBER(SEARCH("|"&amp;INDEX(INDIRECT(All_Questions_Q9_F_resolved_column),205)&amp;"|",All_Questions_Q9_F_wrapped)),1,0),0))*1</f>
        <v>1</v>
      </c>
    </row>
    <row r="207">
      <c r="A207" t="n">
        <v>206</v>
      </c>
      <c r="B207" t="n">
        <v>5.25</v>
      </c>
      <c r="C207" t="n">
        <v>27.1</v>
      </c>
      <c r="D207">
        <f>1</f>
        <v>1</v>
      </c>
      <c r="E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F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G207">
        <f>E207*F207*1</f>
        <v>1</v>
      </c>
      <c r="H207">
        <f>1</f>
        <v>1</v>
      </c>
      <c r="I207">
        <f>IF(OR(All_Questions_Q8_F_Q="(None)",All_Questions_Q8_F_Q="",ISBLANK(All_Questions_Q8_F_Q),All_Questions_Q8_F_V="(All)",All_Questions_Q8_F_V="",ISBLANK(All_Questions_Q8_F_V)),1,IFERROR(IF(ISNUMBER(SEARCH("|"&amp;INDEX(INDIRECT(All_Questions_Q8_F_resolved_column),206)&amp;"|",All_Questions_Q8_F_wrapped)),1,0),0))*1</f>
        <v>1</v>
      </c>
      <c r="J207">
        <f>IF(OR(All_Questions_Q9_F_Q="(None)",All_Questions_Q9_F_Q="",ISBLANK(All_Questions_Q9_F_Q),All_Questions_Q9_F_V="(All)",All_Questions_Q9_F_V="",ISBLANK(All_Questions_Q9_F_V)),1,IFERROR(IF(ISNUMBER(SEARCH("|"&amp;INDEX(INDIRECT(All_Questions_Q9_F_resolved_column),206)&amp;"|",All_Questions_Q9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Q8_options</t>
        </is>
      </c>
      <c r="G1" t="inlineStr">
        <is>
          <t>Q9_options</t>
        </is>
      </c>
      <c r="H1" t="inlineStr">
        <is>
          <t>Q8_local_options</t>
        </is>
      </c>
      <c r="I1" t="inlineStr">
        <is>
          <t>Q9_local_options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'_RawData'!$A$2:$A$207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5.25</t>
        </is>
      </c>
      <c r="G3" t="inlineStr">
        <is>
          <t>27.1</t>
        </is>
      </c>
      <c r="H3" t="inlineStr">
        <is>
          <t>(All)</t>
        </is>
      </c>
      <c r="I3" t="inlineStr">
        <is>
          <t>(All)</t>
        </is>
      </c>
    </row>
    <row r="4">
      <c r="H4" t="inlineStr">
        <is>
          <t>5.25</t>
        </is>
      </c>
      <c r="I4" t="inlineStr">
        <is>
          <t>27.1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206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1" customWidth="1" min="3" max="3"/>
    <col width="16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[Q8]</t>
        </is>
      </c>
      <c r="B2" t="inlineStr">
        <is>
          <t>Q8</t>
        </is>
      </c>
      <c r="C2" t="inlineStr">
        <is>
          <t>Likely to recommend</t>
        </is>
      </c>
      <c r="D2" t="inlineStr">
        <is>
          <t>DIRECT_NUMERIC</t>
        </is>
      </c>
      <c r="E2" t="inlineStr">
        <is>
          <t>Q8</t>
        </is>
      </c>
      <c r="F2" t="n">
        <v>0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[Q9]</t>
        </is>
      </c>
      <c r="B3" t="inlineStr">
        <is>
          <t>Q9</t>
        </is>
      </c>
      <c r="C3" t="inlineStr">
        <is>
          <t>Planned spend</t>
        </is>
      </c>
      <c r="D3" t="inlineStr">
        <is>
          <t>DIRECT_NUMERIC</t>
        </is>
      </c>
      <c r="E3" t="inlineStr">
        <is>
          <t>Q9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Q8</t>
        </is>
      </c>
      <c r="B2" t="inlineStr">
        <is>
          <t>Q8</t>
        </is>
      </c>
      <c r="C2" t="inlineStr">
        <is>
          <t>DIRECT_NUMERIC</t>
        </is>
      </c>
      <c r="D2" t="inlineStr">
        <is>
          <t>All Questions</t>
        </is>
      </c>
      <c r="E2" s="6" t="inlineStr">
        <is>
          <t>All Questions</t>
        </is>
      </c>
      <c r="F2" t="n">
        <v>206</v>
      </c>
      <c r="G2" t="n">
        <v>0</v>
      </c>
      <c r="H2" s="7" t="n">
        <v>0</v>
      </c>
      <c r="I2" t="inlineStr"/>
    </row>
    <row r="3">
      <c r="A3" t="inlineStr">
        <is>
          <t>Q9</t>
        </is>
      </c>
      <c r="B3" t="inlineStr">
        <is>
          <t>Q9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206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Q8 - Likely to recommend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IFERROR(INDEX(All_Questions_Data_Names,MATCH(All_Questions_Q8_F_Q,All_Questions,0)),"'_RawData'!$A:$A")</f>
        <v>respondent_id_data</v>
      </c>
      <c r="G13" t="str">
        <f>"|" &amp; SUBSTITUTE(All_Questions_Q8_F_V,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4">
        <f>IFERROR(AVERAGEIFS(Q8_data,passes_workbook_filters_data,1,passes_workbook_custom_filters_data,1,All_Questions_passes_local_filters_data,1,All_Questions_Q8_F_passes_per_q_filter_data,1),0)</f>
        <v>5.25</v>
      </c>
      <c r="D17">
        <f>COUNTIFS(Q8_data,"&lt;&gt;",passes_workbook_filters_data,1,passes_workbook_custom_filters_data,1,All_Questions_passes_local_filters_data,1,All_Questions_Q8_F_passes_per_q_filter_data,1)</f>
        <v>206</v>
      </c>
    </row>
    <row r="18">
      <c r="A18" t="inlineStr">
        <is>
          <t>Min</t>
        </is>
      </c>
      <c r="B18" s="14">
        <f>IFERROR(MINIFS(Q8_data,passes_workbook_filters_data,1,passes_workbook_custom_filters_data,1,All_Questions_passes_local_filters_data,1,All_Questions_Q8_F_passes_per_q_filter_data,1),0)</f>
        <v>1.0</v>
      </c>
      <c r="D18">
        <f>COUNTIFS(Q8_data,"&lt;&gt;",passes_workbook_filters_data,1,passes_workbook_custom_filters_data,1,All_Questions_passes_local_filters_data,1,All_Questions_Q8_F_passes_per_q_filter_data,1)</f>
        <v>206</v>
      </c>
    </row>
    <row r="19">
      <c r="A19" t="inlineStr">
        <is>
          <t>Max</t>
        </is>
      </c>
      <c r="B19" s="14">
        <f>IFERROR(MAXIFS(Q8_data,passes_workbook_filters_data,1,passes_workbook_custom_filters_data,1,All_Questions_passes_local_filters_data,1,All_Questions_Q8_F_passes_per_q_filter_data,1),0)</f>
        <v>7.0</v>
      </c>
      <c r="D19">
        <f>COUNTIFS(Q8_data,"&lt;&gt;",passes_workbook_filters_data,1,passes_workbook_custom_filters_data,1,All_Questions_passes_local_filters_data,1,All_Questions_Q8_F_passes_per_q_filter_data,1)</f>
        <v>206</v>
      </c>
    </row>
    <row r="20">
      <c r="A20" t="inlineStr">
        <is>
          <t>Std</t>
        </is>
      </c>
      <c r="B20" s="14" t="n">
        <v>1.2</v>
      </c>
      <c r="C20" t="inlineStr">
        <is>
          <t>static baseline</t>
        </is>
      </c>
      <c r="D20">
        <f>COUNTIFS(Q8_data,"&lt;&gt;",passes_workbook_filters_data,1,passes_workbook_custom_filters_data,1,All_Questions_passes_local_filters_data,1,All_Questions_Q8_F_passes_per_q_filter_data,1)</f>
        <v>206</v>
      </c>
    </row>
    <row r="21">
      <c r="A21" t="inlineStr">
        <is>
          <t>Median</t>
        </is>
      </c>
      <c r="B21" s="14" t="n">
        <v>5</v>
      </c>
      <c r="C21" t="inlineStr">
        <is>
          <t>static baseline</t>
        </is>
      </c>
      <c r="D21" s="15" t="n">
        <v>206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Q9 - Planned spend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IFERROR(INDEX(All_Questions_Data_Names,MATCH(All_Questions_Q9_F_Q,All_Questions,0)),"'_RawData'!$A:$A")</f>
        <v>respondent_id_data</v>
      </c>
      <c r="G25" t="str">
        <f>"|" &amp; SUBSTITUTE(All_Questions_Q9_F_V,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4">
        <f>IFERROR(AVERAGEIFS(Q9_data,passes_workbook_filters_data,1,passes_workbook_custom_filters_data,1,All_Questions_passes_local_filters_data,1,All_Questions_Q9_F_passes_per_q_filter_data,1),0)</f>
        <v>27.1</v>
      </c>
      <c r="D29">
        <f>COUNTIFS(Q9_data,"&lt;&gt;",passes_workbook_filters_data,1,passes_workbook_custom_filters_data,1,All_Questions_passes_local_filters_data,1,All_Questions_Q9_F_passes_per_q_filter_data,1)</f>
        <v>206</v>
      </c>
    </row>
    <row r="30">
      <c r="A30" t="inlineStr">
        <is>
          <t>Min</t>
        </is>
      </c>
      <c r="B30" s="14">
        <f>IFERROR(MINIFS(Q9_data,passes_workbook_filters_data,1,passes_workbook_custom_filters_data,1,All_Questions_passes_local_filters_data,1,All_Questions_Q9_F_passes_per_q_filter_data,1),0)</f>
        <v>0.0</v>
      </c>
      <c r="D30">
        <f>COUNTIFS(Q9_data,"&lt;&gt;",passes_workbook_filters_data,1,passes_workbook_custom_filters_data,1,All_Questions_passes_local_filters_data,1,All_Questions_Q9_F_passes_per_q_filter_data,1)</f>
        <v>206</v>
      </c>
    </row>
    <row r="31">
      <c r="A31" t="inlineStr">
        <is>
          <t>Max</t>
        </is>
      </c>
      <c r="B31" s="14">
        <f>IFERROR(MAXIFS(Q9_data,passes_workbook_filters_data,1,passes_workbook_custom_filters_data,1,All_Questions_passes_local_filters_data,1,All_Questions_Q9_F_passes_per_q_filter_data,1),0)</f>
        <v>50.0</v>
      </c>
      <c r="D31">
        <f>COUNTIFS(Q9_data,"&lt;&gt;",passes_workbook_filters_data,1,passes_workbook_custom_filters_data,1,All_Questions_passes_local_filters_data,1,All_Questions_Q9_F_passes_per_q_filter_data,1)</f>
        <v>206</v>
      </c>
    </row>
    <row r="32">
      <c r="A32" t="inlineStr">
        <is>
          <t>Std</t>
        </is>
      </c>
      <c r="B32" s="14" t="n">
        <v>7.4</v>
      </c>
      <c r="C32" t="inlineStr">
        <is>
          <t>static baseline</t>
        </is>
      </c>
      <c r="D32">
        <f>COUNTIFS(Q9_data,"&lt;&gt;",passes_workbook_filters_data,1,passes_workbook_custom_filters_data,1,All_Questions_passes_local_filters_data,1,All_Questions_Q9_F_passes_per_q_filter_data,1)</f>
        <v>206</v>
      </c>
    </row>
    <row r="33">
      <c r="A33" t="inlineStr">
        <is>
          <t>Median</t>
        </is>
      </c>
      <c r="B33" s="14" t="n">
        <v>26.55</v>
      </c>
      <c r="C33" t="inlineStr">
        <is>
          <t>static baseline</t>
        </is>
      </c>
      <c r="D33" s="15" t="n">
        <v>206</v>
      </c>
    </row>
  </sheetData>
  <mergeCells count="1">
    <mergeCell ref="A1:J1"/>
  </mergeCells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=INDIRECT(IFERROR(INDEX(All_Questions_Options_Names,MATCH(All_Questions_Q8_F_Q,All_Questions,0)),"'_Options'!$E$2:$E$2"))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=INDIRECT(IFERROR(INDEX(All_Questions_Options_Names,MATCH(All_Questions_Q9_F_Q,All_Questions,0)),"'_Options'!$E$2:$E$2"))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2026-06-03T23:03:29Z</dcterms:created>
  <dcterms:modified xmlns:dcterms="http://purl.org/dc/terms/" xmlns:xsi="http://www.w3.org/2001/XMLSchema-instance" xsi:type="dcterms:W3CDTF">2026-06-03T23:03:31Z</dcterms:modified>
</cp:coreProperties>
</file>