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'Demographics'!$C$24</definedName>
    <definedName name="Demographics_Q_MS_EXPORT_F_V">'Demographics'!$E$24</definedName>
    <definedName name="Demographics_Q_MS_EXPORT_F_resolved_column">'Demographics'!$F$24</definedName>
    <definedName name="Demographics_Q_MS_EXPORT_F_wrapped">'Demographics'!$G$24</definedName>
    <definedName name="Demographics_Q_MS_EXPORT_F_passes_per_q_filter_data">'_RawData'!$S$2:$S$11</definedName>
    <definedName name="Demographics_Q_MS_EXPORT_CT">'Demographics'!$C$25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F_passes_per_q_filter_data">'_RawData'!$Y$2:$Y$11</definedName>
    <definedName name="All_Questions_Q_VERY_LONG_SINGLE_SELECT_EXPORT_NAME_CT">'All Questions'!$C$37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4" i="7"/>
  <c r="G24" i="7"/>
  <c r="G27" i="7"/>
  <c r="H27" i="7"/>
  <c r="I27" i="7"/>
  <c r="J27" i="7"/>
  <c r="K27" i="7"/>
  <c r="L27" i="7"/>
  <c r="M27" i="7"/>
  <c r="N27" i="7"/>
  <c r="B28" i="7"/>
  <c r="C28" i="7"/>
  <c r="D28" i="7"/>
  <c r="G28" i="7"/>
  <c r="H28" i="7"/>
  <c r="I28" i="7"/>
  <c r="J28" i="7"/>
  <c r="K28" i="7"/>
  <c r="L28" i="7"/>
  <c r="M28" i="7"/>
  <c r="N28" i="7"/>
  <c r="O28" i="7"/>
  <c r="B29" i="7"/>
  <c r="C29" i="7"/>
  <c r="D29" i="7"/>
  <c r="G29" i="7"/>
  <c r="H29" i="7"/>
  <c r="I29" i="7"/>
  <c r="J29" i="7"/>
  <c r="K29" i="7"/>
  <c r="L29" i="7"/>
  <c r="M29" i="7"/>
  <c r="N29" i="7"/>
  <c r="O29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3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0" headerRowCount="1">
  <autoFilter ref="A18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7_1" displayName="T_Demographics_27_1" ref="A27:D29" headerRowCount="1">
  <autoFilter ref="A27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9_1" displayName="T_All_Questions_39_1" ref="A39:D41" headerRowCount="1">
  <autoFilter ref="A39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M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2:$H2,1,MATCH(Demographics_Q_SS_EXPORT_F_Q,$A$1:$H$1,0)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2:$H2,1,MATCH(Demographics_Q_MS_EXPORT_F_Q,$A$1:$H$1,0)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M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3:$H3,1,MATCH(Demographics_Q_SS_EXPORT_F_Q,$A$1:$H$1,0)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3:$H3,1,MATCH(Demographics_Q_MS_EXPORT_F_Q,$A$1:$H$1,0)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M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4:$H4,1,MATCH(Demographics_Q_SS_EXPORT_F_Q,$A$1:$H$1,0)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4:$H4,1,MATCH(Demographics_Q_MS_EXPORT_F_Q,$A$1:$H$1,0)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M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5:$H5,1,MATCH(Demographics_Q_SS_EXPORT_F_Q,$A$1:$H$1,0)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5:$H5,1,MATCH(Demographics_Q_MS_EXPORT_F_Q,$A$1:$H$1,0)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M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6:$H6,1,MATCH(Demographics_Q_SS_EXPORT_F_Q,$A$1:$H$1,0)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6:$H6,1,MATCH(Demographics_Q_MS_EXPORT_F_Q,$A$1:$H$1,0)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M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7:$H7,1,MATCH(Demographics_Q_SS_EXPORT_F_Q,$A$1:$H$1,0)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7:$H7,1,MATCH(Demographics_Q_MS_EXPORT_F_Q,$A$1:$H$1,0)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M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8:$H8,1,MATCH(Demographics_Q_SS_EXPORT_F_Q,$A$1:$H$1,0)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8:$H8,1,MATCH(Demographics_Q_MS_EXPORT_F_Q,$A$1:$H$1,0)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M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9:$H9,1,MATCH(Demographics_Q_SS_EXPORT_F_Q,$A$1:$H$1,0)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9:$H9,1,MATCH(Demographics_Q_MS_EXPORT_F_Q,$A$1:$H$1,0)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M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10:$H10,1,MATCH(Demographics_Q_SS_EXPORT_F_Q,$A$1:$H$1,0)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10:$H10,1,MATCH(Demographics_Q_MS_EXPORT_F_Q,$A$1:$H$1,0)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M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11:$H11,1,MATCH(Demographics_Q_SS_EXPORT_F_Q,$A$1:$H$1,0)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11:$H11,1,MATCH(Demographics_Q_MS_EXPORT_F_Q,$A$1:$H$1,0)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Q_MS_EXPORT - 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IF(F_Custom1_Q="(None)","respondent_id_data",F_Custom1_Q &amp; "_data")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IF(F_Custom2_Q="(None)","respondent_id_data",F_Custom2_Q &amp; "_data")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IF(Demographics_F_Custom1_Q_resolved="(None)","respondent_id_data",Demographics_F_Custom1_Q_resolved &amp; "_data")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IF(Demographics_F_Custom2_Q_resolved="(None)","respondent_id_data",Demographics_F_Custom2_Q_resolved &amp; "_data")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IF(Demographics_Q_SS_EXPORT_F_Q="(None)","respondent_id_data",Demographics_Q_SS_EXPORT_F_Q &amp; "_data")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IFERROR(INDEX(INDIRECT(Demographics_Q_SS_EXPORT_CT &amp; "_options"),2),"")</f>
        <v/>
      </c>
      <c r="H18" t="str">
        <f>IFERROR(INDEX(INDIRECT(Demographics_Q_SS_EXPORT_CT &amp; "_options"),3),"")</f>
        <v/>
      </c>
      <c r="I18" t="str">
        <f>IFERROR(INDEX(INDIRECT(Demographics_Q_SS_EXPORT_CT &amp; "_options"),4),"")</f>
        <v/>
      </c>
      <c r="J18" t="str">
        <f>IFERROR(INDEX(INDIRECT(Demographics_Q_SS_EXPORT_CT &amp; "_options"),5),"")</f>
        <v/>
      </c>
      <c r="K18" t="str">
        <f>IFERROR(INDEX(INDIRECT(Demographics_Q_SS_EXPORT_CT &amp; "_options"),6),"")</f>
        <v/>
      </c>
      <c r="L18" t="str">
        <f>IFERROR(INDEX(INDIRECT(Demographics_Q_SS_EXPORT_CT &amp; "_options"),7),"")</f>
        <v/>
      </c>
      <c r="M18" t="str">
        <f>IFERROR(INDEX(INDIRECT(Demographics_Q_SS_EXPORT_CT &amp; "_options"),8),"")</f>
        <v/>
      </c>
      <c r="N18" t="str">
        <f>IFERROR(INDEX(INDIRECT(Demographics_Q_SS_EXPORT_CT &amp; "_options"),9),"")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"_data"),N$18)</f>
        <v>0</v>
      </c>
      <c r="O20">
        <f>SUM(G20:N20)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IF(Demographics_Q_MS_EXPORT_F_Q="(None)","respondent_id_data",Demographics_Q_MS_EXPORT_F_Q &amp; "_data")</f>
        <v>respondent_id_data</v>
      </c>
      <c r="G24" t="str">
        <f>"|" &amp; SUBSTITUTE(Demographics_Q_MS_EXPORT_F_V,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 t="str">
        <f>IFERROR(INDEX(INDIRECT(Demographics_Q_MS_EXPORT_CT &amp; "_options"),2),"")</f>
        <v/>
      </c>
      <c r="H27" t="str">
        <f>IFERROR(INDEX(INDIRECT(Demographics_Q_MS_EXPORT_CT &amp; "_options"),3),"")</f>
        <v/>
      </c>
      <c r="I27" t="str">
        <f>IFERROR(INDEX(INDIRECT(Demographics_Q_MS_EXPORT_CT &amp; "_options"),4),"")</f>
        <v/>
      </c>
      <c r="J27" t="str">
        <f>IFERROR(INDEX(INDIRECT(Demographics_Q_MS_EXPORT_CT &amp; "_options"),5),"")</f>
        <v/>
      </c>
      <c r="K27" t="str">
        <f>IFERROR(INDEX(INDIRECT(Demographics_Q_MS_EXPORT_CT &amp; "_options"),6),"")</f>
        <v/>
      </c>
      <c r="L27" t="str">
        <f>IFERROR(INDEX(INDIRECT(Demographics_Q_MS_EXPORT_CT &amp; "_options"),7),"")</f>
        <v/>
      </c>
      <c r="M27" t="str">
        <f>IFERROR(INDEX(INDIRECT(Demographics_Q_MS_EXPORT_CT &amp; "_options"),8),"")</f>
        <v/>
      </c>
      <c r="N27" t="str">
        <f>IFERROR(INDEX(INDIRECT(Demographics_Q_MS_EXPORT_CT &amp; "_options"),9),"")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COUNTIFS(Q_MS_EXPORTr1_data,"Selected",passes_workbook_filters_data,1,passes_workbook_custom_filters_data,1,Demographics_passes_local_filters_data,1,Demographics_Q_MS_EXPORT_F_passes_per_q_filter_data,1)</f>
        <v>5</v>
      </c>
      <c r="C28" s="7">
        <f>IFERROR(B28/SUBTOTAL(9,B28:B29),0)</f>
        <v>0.7142857142857143</v>
      </c>
      <c r="D28" s="14">
        <f>SUBTOTAL(9,B28:B29)</f>
        <v>7</v>
      </c>
      <c r="F28" t="inlineStr">
        <is>
          <t>First</t>
        </is>
      </c>
      <c r="G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"_data"),G$27)</f>
        <v>0</v>
      </c>
      <c r="H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"_data"),H$27)</f>
        <v>0</v>
      </c>
      <c r="I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"_data"),I$27)</f>
        <v>0</v>
      </c>
      <c r="J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"_data"),J$27)</f>
        <v>0</v>
      </c>
      <c r="K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"_data"),K$27)</f>
        <v>0</v>
      </c>
      <c r="L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"_data"),L$27)</f>
        <v>0</v>
      </c>
      <c r="M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"_data"),M$27)</f>
        <v>0</v>
      </c>
      <c r="N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"_data"),N$27)</f>
        <v>0</v>
      </c>
      <c r="O28">
        <f>SUM(G28:N28)</f>
        <v>0</v>
      </c>
    </row>
    <row r="29">
      <c r="A29" t="inlineStr">
        <is>
          <t>Second</t>
        </is>
      </c>
      <c r="B29">
        <f>COUNTIFS(Q_MS_EXPORTr2_data,"Selected",passes_workbook_filters_data,1,passes_workbook_custom_filters_data,1,Demographics_passes_local_filters_data,1,Demographics_Q_MS_EXPORT_F_passes_per_q_filter_data,1)</f>
        <v>2</v>
      </c>
      <c r="C29" s="7">
        <f>IFERROR(B29/SUBTOTAL(9,B28:B29),0)</f>
        <v>0.2857142857142857</v>
      </c>
      <c r="D29" s="14">
        <f>SUBTOTAL(9,B28:B29)</f>
        <v>7</v>
      </c>
      <c r="F29" t="inlineStr">
        <is>
          <t>Second</t>
        </is>
      </c>
      <c r="G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"_data"),G$27)</f>
        <v>0</v>
      </c>
      <c r="H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"_data"),H$27)</f>
        <v>0</v>
      </c>
      <c r="I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"_data"),I$27)</f>
        <v>0</v>
      </c>
      <c r="J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"_data"),J$27)</f>
        <v>0</v>
      </c>
      <c r="K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"_data"),K$27)</f>
        <v>0</v>
      </c>
      <c r="L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"_data"),L$27)</f>
        <v>0</v>
      </c>
      <c r="M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"_data"),M$27)</f>
        <v>0</v>
      </c>
      <c r="N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"_data"),N$27)</f>
        <v>0</v>
      </c>
      <c r="O29">
        <f>SUM(G29:N29)</f>
        <v>0</v>
      </c>
    </row>
  </sheetData>
  <mergeCells count="3">
    <mergeCell ref="A1:J1"/>
    <mergeCell ref="A23:J23"/>
    <mergeCell ref="A14:J14"/>
  </mergeCells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6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=INDIRECT(IF(Demographics_Q_MS_EXPORT_F_Q="(None)","None_options",Demographics_Q_MS_EXPORT_F_Q &amp; "_options"))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IF(All_Questions_F_Custom1_Q_resolved="(None)","respondent_id_data",All_Questions_F_Custom1_Q_resolved &amp; "_data")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IF(All_Questions_F_Custom2_Q_resolved="(None)","respondent_id_data",All_Questions_F_Custom2_Q_resolved &amp; "_data")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IF(All_Questions_Q_NUM_EXPORT_F_Q="(None)","respondent_id_data",All_Questions_Q_NUM_EXPORT_F_Q &amp; "_data")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IF(All_Questions_Q_GRID_EXPORT_F_Q="(None)","respondent_id_data",All_Questions_Q_GRID_EXPORT_F_Q &amp; "_data")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IFERROR(INDEX(INDIRECT(All_Questions_Q_GRID_EXPORT_CT &amp; "_options"),2),"")</f>
        <v/>
      </c>
      <c r="H30" t="str">
        <f>IFERROR(INDEX(INDIRECT(All_Questions_Q_GRID_EXPORT_CT &amp; "_options"),3),"")</f>
        <v/>
      </c>
      <c r="I30" t="str">
        <f>IFERROR(INDEX(INDIRECT(All_Questions_Q_GRID_EXPORT_CT &amp; "_options"),4),"")</f>
        <v/>
      </c>
      <c r="J30" t="str">
        <f>IFERROR(INDEX(INDIRECT(All_Questions_Q_GRID_EXPORT_CT &amp; "_options"),5),"")</f>
        <v/>
      </c>
      <c r="K30" t="str">
        <f>IFERROR(INDEX(INDIRECT(All_Questions_Q_GRID_EXPORT_CT &amp; "_options"),6),"")</f>
        <v/>
      </c>
      <c r="L30" t="str">
        <f>IFERROR(INDEX(INDIRECT(All_Questions_Q_GRID_EXPORT_CT &amp; "_options"),7),"")</f>
        <v/>
      </c>
      <c r="M30" t="str">
        <f>IFERROR(INDEX(INDIRECT(All_Questions_Q_GRID_EXPORT_CT &amp; "_options"),8),"")</f>
        <v/>
      </c>
      <c r="N30" t="str">
        <f>IFERROR(INDEX(INDIRECT(All_Questions_Q_GRID_EXPORT_CT &amp; "_options"),9),"")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"_data"),N$30)</f>
        <v>0</v>
      </c>
      <c r="O32">
        <f>SUM(G32:N32)</f>
        <v>0</v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IF(All_Questions_Q_VERY_LONG_SINGLE_SELECT_EXPORT_NAME_F_Q="(None)","respondent_id_data",All_Questions_Q_VERY_LONG_SINGLE_SELECT_EXPORT_NAME_F_Q &amp; "_data")</f>
        <v>respondent_id_data</v>
      </c>
      <c r="G36" t="str">
        <f>"|" &amp; SUBSTITUTE(All_Questions_Q_VERY_LONG_SINGLE_SELECT_EXPORT_NAME_F_V,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IFERROR(INDEX(INDIRECT(All_Questions_Q_VERY_LONG_SINGLE_SELECT_EXPORT_NAME_CT &amp; "_options"),2),"")</f>
        <v/>
      </c>
      <c r="H39" t="str">
        <f>IFERROR(INDEX(INDIRECT(All_Questions_Q_VERY_LONG_SINGLE_SELECT_EXPORT_NAME_CT &amp; "_options"),3),"")</f>
        <v/>
      </c>
      <c r="I39" t="str">
        <f>IFERROR(INDEX(INDIRECT(All_Questions_Q_VERY_LONG_SINGLE_SELECT_EXPORT_NAME_CT &amp; "_options"),4),"")</f>
        <v/>
      </c>
      <c r="J39" t="str">
        <f>IFERROR(INDEX(INDIRECT(All_Questions_Q_VERY_LONG_SINGLE_SELECT_EXPORT_NAME_CT &amp; "_options"),5),"")</f>
        <v/>
      </c>
      <c r="K39" t="str">
        <f>IFERROR(INDEX(INDIRECT(All_Questions_Q_VERY_LONG_SINGLE_SELECT_EXPORT_NAME_CT &amp; "_options"),6),"")</f>
        <v/>
      </c>
      <c r="L39" t="str">
        <f>IFERROR(INDEX(INDIRECT(All_Questions_Q_VERY_LONG_SINGLE_SELECT_EXPORT_NAME_CT &amp; "_options"),7),"")</f>
        <v/>
      </c>
      <c r="M39" t="str">
        <f>IFERROR(INDEX(INDIRECT(All_Questions_Q_VERY_LONG_SINGLE_SELECT_EXPORT_NAME_CT &amp; "_options"),8),"")</f>
        <v/>
      </c>
      <c r="N39" t="str">
        <f>IFERROR(INDEX(INDIRECT(All_Questions_Q_VERY_LONG_SINGLE_SELECT_EXPORT_NAME_CT &amp; "_options"),9),"")</f>
        <v/>
      </c>
      <c r="O39" s="5" t="inlineStr">
        <is>
          <t>TOTAL</t>
        </is>
      </c>
    </row>
    <row r="40">
      <c r="A40" t="inlineStr">
        <is>
          <t>A</t>
        </is>
      </c>
      <c r="B4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0" s="7">
        <f>IFERROR(B40/SUBTOTAL(9,B40:B41),0)</f>
        <v>0.7</v>
      </c>
      <c r="D40" s="14">
        <f>SUBTOTAL(9,B40:B41)</f>
        <v>10</v>
      </c>
      <c r="F40" t="inlineStr">
        <is>
          <t>A</t>
        </is>
      </c>
      <c r="G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"_data"),G$39)</f>
        <v>0</v>
      </c>
      <c r="H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"_data"),H$39)</f>
        <v>0</v>
      </c>
      <c r="I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"_data"),I$39)</f>
        <v>0</v>
      </c>
      <c r="J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"_data"),J$39)</f>
        <v>0</v>
      </c>
      <c r="K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"_data"),K$39)</f>
        <v>0</v>
      </c>
      <c r="L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"_data"),L$39)</f>
        <v>0</v>
      </c>
      <c r="M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"_data"),M$39)</f>
        <v>0</v>
      </c>
      <c r="N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"_data"),N$39)</f>
        <v>0</v>
      </c>
      <c r="O40">
        <f>SUM(G40:N40)</f>
        <v>0</v>
      </c>
    </row>
    <row r="41">
      <c r="A41" t="inlineStr">
        <is>
          <t>B</t>
        </is>
      </c>
      <c r="B4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1" s="7">
        <f>IFERROR(B41/SUBTOTAL(9,B40:B41),0)</f>
        <v>0.3</v>
      </c>
      <c r="D41" s="14">
        <f>SUBTOTAL(9,B40:B41)</f>
        <v>10</v>
      </c>
      <c r="F41" t="inlineStr">
        <is>
          <t>B</t>
        </is>
      </c>
      <c r="G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"_data"),G$39)</f>
        <v>0</v>
      </c>
      <c r="H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"_data"),H$39)</f>
        <v>0</v>
      </c>
      <c r="I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"_data"),I$39)</f>
        <v>0</v>
      </c>
      <c r="J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"_data"),J$39)</f>
        <v>0</v>
      </c>
      <c r="K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"_data"),K$39)</f>
        <v>0</v>
      </c>
      <c r="L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"_data"),L$39)</f>
        <v>0</v>
      </c>
      <c r="M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"_data"),M$39)</f>
        <v>0</v>
      </c>
      <c r="N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"_data"),N$39)</f>
        <v>0</v>
      </c>
      <c r="O41">
        <f>SUM(G41:N41)</f>
        <v>0</v>
      </c>
    </row>
  </sheetData>
  <mergeCells count="4">
    <mergeCell ref="A1:J1"/>
    <mergeCell ref="A26:J26"/>
    <mergeCell ref="A14:J14"/>
    <mergeCell ref="A35:J35"/>
  </mergeCells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8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2026-05-15T06:09:15Z</dcterms:created>
  <dcterms:modified xmlns:dcterms="http://purl.org/dc/terms/" xmlns:xsi="http://www.w3.org/2001/XMLSchema-instance" xsi:type="dcterms:W3CDTF">2026-05-15T06:09:15Z</dcterms:modified>
</cp:coreProperties>
</file>