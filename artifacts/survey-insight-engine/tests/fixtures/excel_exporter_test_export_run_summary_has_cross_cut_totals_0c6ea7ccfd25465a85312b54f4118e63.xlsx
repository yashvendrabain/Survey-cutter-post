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Run_Summary" sheetId="3" state="visible" r:id="rId3"/>
    <sheet xmlns:r="http://schemas.openxmlformats.org/officeDocument/2006/relationships" name="Question_Metadata" sheetId="4" state="visible" r:id="rId4"/>
    <sheet xmlns:r="http://schemas.openxmlformats.org/officeDocument/2006/relationships" name="Single_Cut_Index" sheetId="5" state="visible" r:id="rId5"/>
    <sheet xmlns:r="http://schemas.openxmlformats.org/officeDocument/2006/relationships" name="All Questions" sheetId="6" state="visible" r:id="rId6"/>
    <sheet xmlns:r="http://schemas.openxmlformats.org/officeDocument/2006/relationships" name="Calculation_Log" sheetId="7" state="visible" r:id="rId7"/>
    <sheet xmlns:r="http://schemas.openxmlformats.org/officeDocument/2006/relationships" name="Filter_Log" sheetId="8" state="visible" r:id="rId8"/>
    <sheet xmlns:r="http://schemas.openxmlformats.org/officeDocument/2006/relationships" name="Warnings" sheetId="9" state="visible" r:id="rId9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'All Questions'!$B8</definedName>
    <definedName name="F_Custom1_V">'All Questions'!$D8</definedName>
    <definedName name="F_Custom2_Q">'All Questions'!$B9</definedName>
    <definedName name="F_Custom2_V">'All Questions'!$D9</definedName>
    <definedName name="Q_SS_EXPORT_F_Q">'All Questions'!$B14</definedName>
    <definedName name="Q_SS_EXPORT_F_V">'All Questions'!$D14</definedName>
    <definedName name="Q_SS_EXPORT_CT">'All Questions'!$F14</definedName>
    <definedName name="Q_MS_EXPORT_F_Q">'All Questions'!$B23</definedName>
    <definedName name="Q_MS_EXPORT_F_V">'All Questions'!$D23</definedName>
    <definedName name="Q_MS_EXPORT_CT">'All Questions'!$F23</definedName>
    <definedName name="Q_NUM_EXPORT_F_Q">'All Questions'!$B32</definedName>
    <definedName name="Q_NUM_EXPORT_F_V">'All Questions'!$D32</definedName>
    <definedName name="Q_NUM_EXPORT_CT">'All Questions'!$F32</definedName>
    <definedName name="Q_GRID_EXPORT_F_Q">'All Questions'!$B44</definedName>
    <definedName name="Q_GRID_EXPORT_F_V">'All Questions'!$D44</definedName>
    <definedName name="Q_GRID_EXPORT_CT">'All Questions'!$F44</definedName>
    <definedName name="Q_VERY_LONG_SINGLE_SELECT_EXPORT_NAME_F_Q">'All Questions'!$B53</definedName>
    <definedName name="Q_VERY_LONG_SINGLE_SELECT_EXPORT_NAME_F_V">'All Questions'!$D53</definedName>
    <definedName name="Q_VERY_LONG_SINGLE_SELECT_EXPORT_NAME_CT">'All Questions'!$F53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sz val="9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2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164" fontId="0" fillId="0" borderId="0" pivotButton="0" quotePrefix="0" xfId="0"/>
    <xf numFmtId="0" fontId="3" fillId="3" borderId="0" applyAlignment="1" pivotButton="0" quotePrefix="0" xfId="0">
      <alignment vertical="center"/>
    </xf>
    <xf numFmtId="0" fontId="0" fillId="3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Source datamap:</t>
        </is>
      </c>
      <c r="B1" t="inlineStr">
        <is>
          <t>datamap.xlsx</t>
        </is>
      </c>
    </row>
    <row r="2">
      <c r="A2" s="1" t="inlineStr">
        <is>
          <t>Source raw data:</t>
        </is>
      </c>
      <c r="B2" t="inlineStr">
        <is>
          <t>raw.csv</t>
        </is>
      </c>
    </row>
    <row r="3">
      <c r="A3" s="1" t="inlineStr">
        <is>
          <t>Run timestamp:</t>
        </is>
      </c>
      <c r="B3" t="inlineStr">
        <is>
          <t>2026-05-04T12:00:00+00:00</t>
        </is>
      </c>
    </row>
    <row r="4">
      <c r="A4" s="1" t="inlineStr">
        <is>
          <t>Total respondents:</t>
        </is>
      </c>
      <c r="B4" t="n">
        <v>10</v>
      </c>
    </row>
    <row r="5">
      <c r="A5" s="1" t="inlineStr">
        <is>
          <t>Total questions:</t>
        </is>
      </c>
      <c r="B5" t="n">
        <v>11</v>
      </c>
    </row>
    <row r="6">
      <c r="A6" s="1" t="inlineStr">
        <is>
          <t>Results produced:</t>
        </is>
      </c>
      <c r="B6" t="n">
        <v>5</v>
      </c>
    </row>
    <row r="7">
      <c r="A7" s="1" t="inlineStr">
        <is>
          <t>Questions skipped:</t>
        </is>
      </c>
      <c r="B7" t="n">
        <v>2</v>
      </c>
    </row>
    <row r="8">
      <c r="A8" s="1" t="inlineStr">
        <is>
          <t>Cross cuts produced:</t>
        </is>
      </c>
      <c r="B8" t="n">
        <v>4</v>
      </c>
    </row>
    <row r="9">
      <c r="A9" s="1" t="inlineStr">
        <is>
          <t>Cross cut skips:</t>
        </is>
      </c>
      <c r="B9" t="n">
        <v>1</v>
      </c>
    </row>
    <row r="10">
      <c r="A10" s="1" t="inlineStr">
        <is>
          <t>Audit log records:</t>
        </is>
      </c>
      <c r="B10" t="n">
        <v>19</v>
      </c>
    </row>
    <row r="11">
      <c r="A11" s="1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Question Text</t>
        </is>
      </c>
      <c r="D1" s="2" t="inlineStr">
        <is>
          <t>Type</t>
        </is>
      </c>
      <c r="E1" s="2" t="inlineStr">
        <is>
          <t>Raw Columns</t>
        </is>
      </c>
      <c r="F1" s="2" t="inlineStr">
        <is>
          <t>Options Count</t>
        </is>
      </c>
      <c r="G1" s="2" t="inlineStr">
        <is>
          <t>Analysis Eligible</t>
        </is>
      </c>
      <c r="H1" s="2" t="inlineStr">
        <is>
          <t>Demographic</t>
        </is>
      </c>
      <c r="I1" s="2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Type</t>
        </is>
      </c>
      <c r="D1" s="2" t="inlineStr">
        <is>
          <t>Theme</t>
        </is>
      </c>
      <c r="E1" s="2" t="inlineStr">
        <is>
          <t>Sheet Name</t>
        </is>
      </c>
      <c r="F1" s="2" t="inlineStr">
        <is>
          <t>Valid N</t>
        </is>
      </c>
      <c r="G1" s="2" t="inlineStr">
        <is>
          <t>Missing N</t>
        </is>
      </c>
      <c r="H1" s="2" t="inlineStr">
        <is>
          <t>Missing %</t>
        </is>
      </c>
      <c r="I1" s="2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3" t="inlineStr">
        <is>
          <t>All Questions</t>
        </is>
      </c>
      <c r="F2" t="n">
        <v>10</v>
      </c>
      <c r="G2" t="n">
        <v>0</v>
      </c>
      <c r="H2" s="4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3" t="inlineStr">
        <is>
          <t>All Questions</t>
        </is>
      </c>
      <c r="F3" t="n">
        <v>10</v>
      </c>
      <c r="G3" t="n">
        <v>0</v>
      </c>
      <c r="H3" s="4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3" t="inlineStr">
        <is>
          <t>All Questions</t>
        </is>
      </c>
      <c r="F4" t="n">
        <v>10</v>
      </c>
      <c r="G4" t="n">
        <v>0</v>
      </c>
      <c r="H4" s="4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3" t="inlineStr">
        <is>
          <t>All Questions</t>
        </is>
      </c>
      <c r="F5" t="n">
        <v>10</v>
      </c>
      <c r="G5" t="n">
        <v>0</v>
      </c>
      <c r="H5" s="4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3" t="inlineStr">
        <is>
          <t>All Questions</t>
        </is>
      </c>
      <c r="F6" t="n">
        <v>10</v>
      </c>
      <c r="G6" t="n">
        <v>0</v>
      </c>
      <c r="H6" s="4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All Questions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3">
      <c r="A3" s="2" t="inlineStr">
        <is>
          <t>DEMOGRAPHIC FILTERS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7">
      <c r="A7" s="2" t="inlineStr">
        <is>
          <t>OPTIONAL CUSTOM FILTERS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Filter 1:</t>
        </is>
      </c>
      <c r="B8" t="inlineStr">
        <is>
          <t>(None)</t>
        </is>
      </c>
      <c r="C8" t="inlineStr">
        <is>
          <t>=</t>
        </is>
      </c>
      <c r="D8" t="inlineStr">
        <is>
          <t>(All)</t>
        </is>
      </c>
    </row>
    <row r="9">
      <c r="A9" t="inlineStr">
        <is>
          <t>Filter 2:</t>
        </is>
      </c>
      <c r="B9" t="inlineStr">
        <is>
          <t>(None)</t>
        </is>
      </c>
      <c r="C9" t="inlineStr">
        <is>
          <t>=</t>
        </is>
      </c>
      <c r="D9" t="inlineStr">
        <is>
          <t>(All)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9" t="inlineStr">
        <is>
          <t>Q_SS_EXPORT - Single select export question</t>
        </is>
      </c>
    </row>
    <row r="13">
      <c r="A13" s="10" t="inlineStr">
        <is>
          <t>Per-question filter</t>
        </is>
      </c>
      <c r="F13" s="10" t="inlineStr">
        <is>
          <t>Cross-tab by</t>
        </is>
      </c>
    </row>
    <row r="14">
      <c r="A14" t="inlineStr">
        <is>
          <t>Filter:</t>
        </is>
      </c>
      <c r="B14" t="inlineStr">
        <is>
          <t>(None)</t>
        </is>
      </c>
      <c r="C14" t="inlineStr">
        <is>
          <t>=</t>
        </is>
      </c>
      <c r="D14" t="inlineStr">
        <is>
          <t>(All)</t>
        </is>
      </c>
      <c r="F14" t="inlineStr">
        <is>
          <t>(None)</t>
        </is>
      </c>
    </row>
    <row r="16">
      <c r="A16" s="2" t="inlineStr">
        <is>
          <t>Option</t>
        </is>
      </c>
      <c r="B16" s="2" t="inlineStr">
        <is>
          <t>Count</t>
        </is>
      </c>
      <c r="C16" s="2" t="inlineStr">
        <is>
          <t>%</t>
        </is>
      </c>
      <c r="D16" s="2" t="inlineStr">
        <is>
          <t>Denominator</t>
        </is>
      </c>
      <c r="F16" s="1" t="inlineStr">
        <is>
          <t>Option \ Cross-tab</t>
        </is>
      </c>
      <c r="G16">
        <f>IFERROR(INDEX(INDIRECT(Q_SS_EXPORT_CT &amp; "_options"),2),"")</f>
        <v/>
      </c>
      <c r="H16">
        <f>IFERROR(INDEX(INDIRECT(Q_SS_EXPORT_CT &amp; "_options"),3),"")</f>
        <v/>
      </c>
      <c r="I16">
        <f>IFERROR(INDEX(INDIRECT(Q_SS_EXPORT_CT &amp; "_options"),4),"")</f>
        <v/>
      </c>
      <c r="J16">
        <f>IFERROR(INDEX(INDIRECT(Q_SS_EXPORT_CT &amp; "_options"),5),"")</f>
        <v/>
      </c>
      <c r="K16">
        <f>IFERROR(INDEX(INDIRECT(Q_SS_EXPORT_CT &amp; "_options"),6),"")</f>
        <v/>
      </c>
      <c r="L16">
        <f>IFERROR(INDEX(INDIRECT(Q_SS_EXPORT_CT &amp; "_options"),7),"")</f>
        <v/>
      </c>
      <c r="M16">
        <f>IFERROR(INDEX(INDIRECT(Q_SS_EXPORT_CT &amp; "_options"),8),"")</f>
        <v/>
      </c>
      <c r="N16">
        <f>IFERROR(INDEX(INDIRECT(Q_SS_EXPORT_CT &amp; "_options"),9),"")</f>
        <v/>
      </c>
      <c r="O16" s="1" t="inlineStr">
        <is>
          <t>TOTAL</t>
        </is>
      </c>
    </row>
    <row r="17">
      <c r="A17" t="inlineStr">
        <is>
          <t>Yes</t>
        </is>
      </c>
      <c r="B1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"_data")),IF(Q_SS_EXPORT_F_Q="(None)","&lt;&gt;",IF(Q_SS_EXPORT_F_V="(All)","*",Q_SS_EXPORT_F_V)),Q_SS_EXPORT_data,"Yes")</f>
        <v/>
      </c>
      <c r="C17" s="4">
        <f>IFERROR(B17/SUBTOTAL(9,B17:B18),0)</f>
        <v/>
      </c>
      <c r="D17" s="11">
        <f>SUBTOTAL(9,B17:B18)</f>
        <v/>
      </c>
      <c r="F17" t="inlineStr">
        <is>
          <t>Yes</t>
        </is>
      </c>
      <c r="G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"_data"),G$16))</f>
        <v/>
      </c>
      <c r="H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"_data"),H$16))</f>
        <v/>
      </c>
      <c r="I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"_data"),I$16))</f>
        <v/>
      </c>
      <c r="J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"_data"),J$16))</f>
        <v/>
      </c>
      <c r="K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"_data"),K$16))</f>
        <v/>
      </c>
      <c r="L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"_data"),L$16))</f>
        <v/>
      </c>
      <c r="M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"_data"),M$16))</f>
        <v/>
      </c>
      <c r="N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"_data"),N$16))</f>
        <v/>
      </c>
      <c r="O17">
        <f>SUM(G17:N17)</f>
        <v/>
      </c>
    </row>
    <row r="18">
      <c r="A18" t="inlineStr">
        <is>
          <t>No</t>
        </is>
      </c>
      <c r="B1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"_data")),IF(Q_SS_EXPORT_F_Q="(None)","&lt;&gt;",IF(Q_SS_EXPORT_F_V="(All)","*",Q_SS_EXPORT_F_V)),Q_SS_EXPORT_data,"No")</f>
        <v/>
      </c>
      <c r="C18" s="4">
        <f>IFERROR(B18/SUBTOTAL(9,B17:B18),0)</f>
        <v/>
      </c>
      <c r="D18" s="11">
        <f>SUBTOTAL(9,B17:B18)</f>
        <v/>
      </c>
      <c r="F18" t="inlineStr">
        <is>
          <t>No</t>
        </is>
      </c>
      <c r="G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"_data"),G$16))</f>
        <v/>
      </c>
      <c r="H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"_data"),H$16))</f>
        <v/>
      </c>
      <c r="I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"_data"),I$16))</f>
        <v/>
      </c>
      <c r="J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"_data"),J$16))</f>
        <v/>
      </c>
      <c r="K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"_data"),K$16))</f>
        <v/>
      </c>
      <c r="L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"_data"),L$16))</f>
        <v/>
      </c>
      <c r="M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"_data"),M$16))</f>
        <v/>
      </c>
      <c r="N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"_data"),N$16))</f>
        <v/>
      </c>
      <c r="O18">
        <f>SUM(G18:N18)</f>
        <v/>
      </c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9" t="inlineStr">
        <is>
          <t>Q_MS_EXPORT - Multi select export question</t>
        </is>
      </c>
    </row>
    <row r="22">
      <c r="A22" s="10" t="inlineStr">
        <is>
          <t>Per-question filter</t>
        </is>
      </c>
      <c r="F22" s="10" t="inlineStr">
        <is>
          <t>Cross-tab by</t>
        </is>
      </c>
    </row>
    <row r="23">
      <c r="A23" t="inlineStr">
        <is>
          <t>Filter:</t>
        </is>
      </c>
      <c r="B23" t="inlineStr">
        <is>
          <t>(None)</t>
        </is>
      </c>
      <c r="C23" t="inlineStr">
        <is>
          <t>=</t>
        </is>
      </c>
      <c r="D23" t="inlineStr">
        <is>
          <t>(All)</t>
        </is>
      </c>
      <c r="F23" t="inlineStr">
        <is>
          <t>(None)</t>
        </is>
      </c>
    </row>
    <row r="25">
      <c r="A25" s="2" t="inlineStr">
        <is>
          <t>Option</t>
        </is>
      </c>
      <c r="B25" s="2" t="inlineStr">
        <is>
          <t>Count</t>
        </is>
      </c>
      <c r="C25" s="2" t="inlineStr">
        <is>
          <t>%</t>
        </is>
      </c>
      <c r="D25" s="2" t="inlineStr">
        <is>
          <t>Denominator</t>
        </is>
      </c>
      <c r="F25" s="1" t="inlineStr">
        <is>
          <t>Option \ Cross-tab</t>
        </is>
      </c>
      <c r="G25">
        <f>IFERROR(INDEX(INDIRECT(Q_MS_EXPORT_CT &amp; "_options"),2),"")</f>
        <v/>
      </c>
      <c r="H25">
        <f>IFERROR(INDEX(INDIRECT(Q_MS_EXPORT_CT &amp; "_options"),3),"")</f>
        <v/>
      </c>
      <c r="I25">
        <f>IFERROR(INDEX(INDIRECT(Q_MS_EXPORT_CT &amp; "_options"),4),"")</f>
        <v/>
      </c>
      <c r="J25">
        <f>IFERROR(INDEX(INDIRECT(Q_MS_EXPORT_CT &amp; "_options"),5),"")</f>
        <v/>
      </c>
      <c r="K25">
        <f>IFERROR(INDEX(INDIRECT(Q_MS_EXPORT_CT &amp; "_options"),6),"")</f>
        <v/>
      </c>
      <c r="L25">
        <f>IFERROR(INDEX(INDIRECT(Q_MS_EXPORT_CT &amp; "_options"),7),"")</f>
        <v/>
      </c>
      <c r="M25">
        <f>IFERROR(INDEX(INDIRECT(Q_MS_EXPORT_CT &amp; "_options"),8),"")</f>
        <v/>
      </c>
      <c r="N25">
        <f>IFERROR(INDEX(INDIRECT(Q_MS_EXPORT_CT &amp; "_options"),9),"")</f>
        <v/>
      </c>
      <c r="O25" s="1" t="inlineStr">
        <is>
          <t>TOTAL</t>
        </is>
      </c>
    </row>
    <row r="26">
      <c r="A26" t="inlineStr">
        <is>
          <t>First</t>
        </is>
      </c>
      <c r="B2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"_data")),IF(Q_MS_EXPORT_F_Q="(None)","&lt;&gt;",IF(Q_MS_EXPORT_F_V="(All)","*",Q_MS_EXPORT_F_V)),Q_MS_EXPORTr1_data,"Selected")</f>
        <v/>
      </c>
      <c r="C26" s="4">
        <f>IFERROR(B26/SUBTOTAL(9,B26:B27),0)</f>
        <v/>
      </c>
      <c r="D26" s="11">
        <f>SUBTOTAL(9,B26:B27)</f>
        <v/>
      </c>
      <c r="F26" t="inlineStr">
        <is>
          <t>First</t>
        </is>
      </c>
      <c r="G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"_data"),G$25))</f>
        <v/>
      </c>
      <c r="H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"_data"),H$25))</f>
        <v/>
      </c>
      <c r="I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"_data"),I$25))</f>
        <v/>
      </c>
      <c r="J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"_data"),J$25))</f>
        <v/>
      </c>
      <c r="K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"_data"),K$25))</f>
        <v/>
      </c>
      <c r="L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"_data"),L$25))</f>
        <v/>
      </c>
      <c r="M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"_data"),M$25))</f>
        <v/>
      </c>
      <c r="N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"_data"),N$25))</f>
        <v/>
      </c>
      <c r="O26">
        <f>SUM(G26:N26)</f>
        <v/>
      </c>
    </row>
    <row r="27">
      <c r="A27" t="inlineStr">
        <is>
          <t>Second</t>
        </is>
      </c>
      <c r="B2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"_data")),IF(Q_MS_EXPORT_F_Q="(None)","&lt;&gt;",IF(Q_MS_EXPORT_F_V="(All)","*",Q_MS_EXPORT_F_V)),Q_MS_EXPORTr2_data,"Selected")</f>
        <v/>
      </c>
      <c r="C27" s="4">
        <f>IFERROR(B27/SUBTOTAL(9,B26:B27),0)</f>
        <v/>
      </c>
      <c r="D27" s="11">
        <f>SUBTOTAL(9,B26:B27)</f>
        <v/>
      </c>
      <c r="F27" t="inlineStr">
        <is>
          <t>Second</t>
        </is>
      </c>
      <c r="G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"_data"),G$25))</f>
        <v/>
      </c>
      <c r="H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"_data"),H$25))</f>
        <v/>
      </c>
      <c r="I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"_data"),I$25))</f>
        <v/>
      </c>
      <c r="J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"_data"),J$25))</f>
        <v/>
      </c>
      <c r="K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"_data"),K$25))</f>
        <v/>
      </c>
      <c r="L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"_data"),L$25))</f>
        <v/>
      </c>
      <c r="M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"_data"),M$25))</f>
        <v/>
      </c>
      <c r="N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"_data"),N$25))</f>
        <v/>
      </c>
      <c r="O27">
        <f>SUM(G27:N27)</f>
        <v/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9" t="inlineStr">
        <is>
          <t>Q_NUM_EXPORT - Numeric export question</t>
        </is>
      </c>
    </row>
    <row r="31">
      <c r="A31" s="10" t="inlineStr">
        <is>
          <t>Per-question filter</t>
        </is>
      </c>
      <c r="F31" s="10" t="inlineStr">
        <is>
          <t>Cross-tab by</t>
        </is>
      </c>
    </row>
    <row r="32">
      <c r="A32" t="inlineStr">
        <is>
          <t>Filter:</t>
        </is>
      </c>
      <c r="B32" t="inlineStr">
        <is>
          <t>(None)</t>
        </is>
      </c>
      <c r="C32" t="inlineStr">
        <is>
          <t>=</t>
        </is>
      </c>
      <c r="D32" t="inlineStr">
        <is>
          <t>(All)</t>
        </is>
      </c>
      <c r="F32" t="inlineStr">
        <is>
          <t>(None)</t>
        </is>
      </c>
    </row>
    <row r="34">
      <c r="A34" s="2" t="inlineStr">
        <is>
          <t>Metric</t>
        </is>
      </c>
      <c r="B34" s="2" t="inlineStr">
        <is>
          <t>Value</t>
        </is>
      </c>
      <c r="C34" s="2" t="inlineStr">
        <is>
          <t>Note</t>
        </is>
      </c>
      <c r="D34" s="2" t="inlineStr">
        <is>
          <t>Denominator</t>
        </is>
      </c>
    </row>
    <row r="35">
      <c r="A35" t="inlineStr">
        <is>
          <t>Mean</t>
        </is>
      </c>
      <c r="B35">
        <f>IFERROR(AVERAGEIFS(Q_NUM_EXPORT_data,INDIRECT(IF(F_Custom1_Q="(None)","respondent_id_data",F_Custom1_Q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5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6">
      <c r="A36" t="inlineStr">
        <is>
          <t>Min</t>
        </is>
      </c>
      <c r="B36">
        <f>IFERROR(MINIFS(Q_NUM_EXPORT_data,INDIRECT(IF(F_Custom1_Q="(None)","respondent_id_data",F_Custom1_Q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7">
      <c r="A37" t="inlineStr">
        <is>
          <t>Max</t>
        </is>
      </c>
      <c r="B37">
        <f>IFERROR(MAXIFS(Q_NUM_EXPORT_data,INDIRECT(IF(F_Custom1_Q="(None)","respondent_id_data",F_Custom1_Q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9">
      <c r="A39" s="12" t="inlineStr">
        <is>
          <t>Median not available in filtered view - see static baseline in audit log.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9" t="inlineStr">
        <is>
          <t>Q_GRID_EXPORT - Grid export question</t>
        </is>
      </c>
    </row>
    <row r="43">
      <c r="A43" s="10" t="inlineStr">
        <is>
          <t>Per-question filter</t>
        </is>
      </c>
      <c r="F43" s="10" t="inlineStr">
        <is>
          <t>Cross-tab by</t>
        </is>
      </c>
    </row>
    <row r="44">
      <c r="A44" t="inlineStr">
        <is>
          <t>Filter:</t>
        </is>
      </c>
      <c r="B44" t="inlineStr">
        <is>
          <t>(None)</t>
        </is>
      </c>
      <c r="C44" t="inlineStr">
        <is>
          <t>=</t>
        </is>
      </c>
      <c r="D44" t="inlineStr">
        <is>
          <t>(All)</t>
        </is>
      </c>
      <c r="F44" t="inlineStr">
        <is>
          <t>(None)</t>
        </is>
      </c>
    </row>
    <row r="46">
      <c r="A46" s="2" t="inlineStr">
        <is>
          <t>Option</t>
        </is>
      </c>
      <c r="B46" s="2" t="inlineStr">
        <is>
          <t>Count</t>
        </is>
      </c>
      <c r="C46" s="2" t="inlineStr">
        <is>
          <t>%</t>
        </is>
      </c>
      <c r="D46" s="2" t="inlineStr">
        <is>
          <t>Denominator</t>
        </is>
      </c>
      <c r="F46" s="1" t="inlineStr">
        <is>
          <t>Option \ Cross-tab</t>
        </is>
      </c>
      <c r="G46">
        <f>IFERROR(INDEX(INDIRECT(Q_GRID_EXPORT_CT &amp; "_options"),2),"")</f>
        <v/>
      </c>
      <c r="H46">
        <f>IFERROR(INDEX(INDIRECT(Q_GRID_EXPORT_CT &amp; "_options"),3),"")</f>
        <v/>
      </c>
      <c r="I46">
        <f>IFERROR(INDEX(INDIRECT(Q_GRID_EXPORT_CT &amp; "_options"),4),"")</f>
        <v/>
      </c>
      <c r="J46">
        <f>IFERROR(INDEX(INDIRECT(Q_GRID_EXPORT_CT &amp; "_options"),5),"")</f>
        <v/>
      </c>
      <c r="K46">
        <f>IFERROR(INDEX(INDIRECT(Q_GRID_EXPORT_CT &amp; "_options"),6),"")</f>
        <v/>
      </c>
      <c r="L46">
        <f>IFERROR(INDEX(INDIRECT(Q_GRID_EXPORT_CT &amp; "_options"),7),"")</f>
        <v/>
      </c>
      <c r="M46">
        <f>IFERROR(INDEX(INDIRECT(Q_GRID_EXPORT_CT &amp; "_options"),8),"")</f>
        <v/>
      </c>
      <c r="N46">
        <f>IFERROR(INDEX(INDIRECT(Q_GRID_EXPORT_CT &amp; "_options"),9),"")</f>
        <v/>
      </c>
      <c r="O46" s="1" t="inlineStr">
        <is>
          <t>TOTAL</t>
        </is>
      </c>
    </row>
    <row r="47">
      <c r="A47" t="inlineStr">
        <is>
          <t>Grid first row</t>
        </is>
      </c>
      <c r="B4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"_data")),IF(Q_GRID_EXPORT_F_Q="(None)","&lt;&gt;",IF(Q_GRID_EXPORT_F_V="(All)","*",Q_GRID_EXPORT_F_V)),Q_GRID_EXPORTr1_data,"Selected")</f>
        <v/>
      </c>
      <c r="C47" s="4">
        <f>IFERROR(B47/SUBTOTAL(9,B47:B48),0)</f>
        <v/>
      </c>
      <c r="D47" s="11">
        <f>SUBTOTAL(9,B47:B48)</f>
        <v/>
      </c>
      <c r="F47" t="inlineStr">
        <is>
          <t>Grid first row</t>
        </is>
      </c>
      <c r="G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"_data"),G$46))</f>
        <v/>
      </c>
      <c r="H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"_data"),H$46))</f>
        <v/>
      </c>
      <c r="I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"_data"),I$46))</f>
        <v/>
      </c>
      <c r="J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"_data"),J$46))</f>
        <v/>
      </c>
      <c r="K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"_data"),K$46))</f>
        <v/>
      </c>
      <c r="L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"_data"),L$46))</f>
        <v/>
      </c>
      <c r="M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"_data"),M$46))</f>
        <v/>
      </c>
      <c r="N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"_data"),N$46))</f>
        <v/>
      </c>
      <c r="O47">
        <f>SUM(G47:N47)</f>
        <v/>
      </c>
    </row>
    <row r="48">
      <c r="A48" t="inlineStr">
        <is>
          <t>Grid second row</t>
        </is>
      </c>
      <c r="B4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"_data")),IF(Q_GRID_EXPORT_F_Q="(None)","&lt;&gt;",IF(Q_GRID_EXPORT_F_V="(All)","*",Q_GRID_EXPORT_F_V)),Q_GRID_EXPORTr2_data,"Selected")</f>
        <v/>
      </c>
      <c r="C48" s="4">
        <f>IFERROR(B48/SUBTOTAL(9,B47:B48),0)</f>
        <v/>
      </c>
      <c r="D48" s="11">
        <f>SUBTOTAL(9,B47:B48)</f>
        <v/>
      </c>
      <c r="F48" t="inlineStr">
        <is>
          <t>Grid second row</t>
        </is>
      </c>
      <c r="G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"_data"),G$46))</f>
        <v/>
      </c>
      <c r="H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"_data"),H$46))</f>
        <v/>
      </c>
      <c r="I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"_data"),I$46))</f>
        <v/>
      </c>
      <c r="J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"_data"),J$46))</f>
        <v/>
      </c>
      <c r="K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"_data"),K$46))</f>
        <v/>
      </c>
      <c r="L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"_data"),L$46))</f>
        <v/>
      </c>
      <c r="M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"_data"),M$46))</f>
        <v/>
      </c>
      <c r="N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"_data"),N$46))</f>
        <v/>
      </c>
      <c r="O48">
        <f>SUM(G48:N48)</f>
        <v/>
      </c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9" t="inlineStr">
        <is>
          <t>Q_VERY_LONG_SINGLE_SELECT_EXPORT_NAME - Long sheet name export question</t>
        </is>
      </c>
    </row>
    <row r="52">
      <c r="A52" s="10" t="inlineStr">
        <is>
          <t>Per-question filter</t>
        </is>
      </c>
      <c r="F52" s="10" t="inlineStr">
        <is>
          <t>Cross-tab by</t>
        </is>
      </c>
    </row>
    <row r="53">
      <c r="A53" t="inlineStr">
        <is>
          <t>Filter:</t>
        </is>
      </c>
      <c r="B53" t="inlineStr">
        <is>
          <t>(None)</t>
        </is>
      </c>
      <c r="C53" t="inlineStr">
        <is>
          <t>=</t>
        </is>
      </c>
      <c r="D53" t="inlineStr">
        <is>
          <t>(All)</t>
        </is>
      </c>
      <c r="F53" t="inlineStr">
        <is>
          <t>(None)</t>
        </is>
      </c>
    </row>
    <row r="55">
      <c r="A55" s="2" t="inlineStr">
        <is>
          <t>Option</t>
        </is>
      </c>
      <c r="B55" s="2" t="inlineStr">
        <is>
          <t>Count</t>
        </is>
      </c>
      <c r="C55" s="2" t="inlineStr">
        <is>
          <t>%</t>
        </is>
      </c>
      <c r="D55" s="2" t="inlineStr">
        <is>
          <t>Denominator</t>
        </is>
      </c>
      <c r="F55" s="1" t="inlineStr">
        <is>
          <t>Option \ Cross-tab</t>
        </is>
      </c>
      <c r="G55">
        <f>IFERROR(INDEX(INDIRECT(Q_VERY_LONG_SINGLE_SELECT_EXPORT_NAME_CT &amp; "_options"),2),"")</f>
        <v/>
      </c>
      <c r="H55">
        <f>IFERROR(INDEX(INDIRECT(Q_VERY_LONG_SINGLE_SELECT_EXPORT_NAME_CT &amp; "_options"),3),"")</f>
        <v/>
      </c>
      <c r="I55">
        <f>IFERROR(INDEX(INDIRECT(Q_VERY_LONG_SINGLE_SELECT_EXPORT_NAME_CT &amp; "_options"),4),"")</f>
        <v/>
      </c>
      <c r="J55">
        <f>IFERROR(INDEX(INDIRECT(Q_VERY_LONG_SINGLE_SELECT_EXPORT_NAME_CT &amp; "_options"),5),"")</f>
        <v/>
      </c>
      <c r="K55">
        <f>IFERROR(INDEX(INDIRECT(Q_VERY_LONG_SINGLE_SELECT_EXPORT_NAME_CT &amp; "_options"),6),"")</f>
        <v/>
      </c>
      <c r="L55">
        <f>IFERROR(INDEX(INDIRECT(Q_VERY_LONG_SINGLE_SELECT_EXPORT_NAME_CT &amp; "_options"),7),"")</f>
        <v/>
      </c>
      <c r="M55">
        <f>IFERROR(INDEX(INDIRECT(Q_VERY_LONG_SINGLE_SELECT_EXPORT_NAME_CT &amp; "_options"),8),"")</f>
        <v/>
      </c>
      <c r="N55">
        <f>IFERROR(INDEX(INDIRECT(Q_VERY_LONG_SINGLE_SELECT_EXPORT_NAME_CT &amp; "_options"),9),"")</f>
        <v/>
      </c>
      <c r="O55" s="1" t="inlineStr">
        <is>
          <t>TOTAL</t>
        </is>
      </c>
    </row>
    <row r="56">
      <c r="A56" t="inlineStr">
        <is>
          <t>A</t>
        </is>
      </c>
      <c r="B5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"_data")),IF(Q_VERY_LONG_SINGLE_SELECT_EXPORT_NAME_F_Q="(None)","&lt;&gt;",IF(Q_VERY_LONG_SINGLE_SELECT_EXPORT_NAME_F_V="(All)","*",Q_VERY_LONG_SINGLE_SELECT_EXPORT_NAME_F_V)),Q_VERY_LONG_SINGLE_SELECT_EXPOR_data,"A")</f>
        <v/>
      </c>
      <c r="C56" s="4">
        <f>IFERROR(B56/SUBTOTAL(9,B56:B57),0)</f>
        <v/>
      </c>
      <c r="D56" s="11">
        <f>SUBTOTAL(9,B56:B57)</f>
        <v/>
      </c>
      <c r="F56" t="inlineStr">
        <is>
          <t>A</t>
        </is>
      </c>
      <c r="G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"_data"),G$55))</f>
        <v/>
      </c>
      <c r="H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"_data"),H$55))</f>
        <v/>
      </c>
      <c r="I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"_data"),I$55))</f>
        <v/>
      </c>
      <c r="J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"_data"),J$55))</f>
        <v/>
      </c>
      <c r="K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"_data"),K$55))</f>
        <v/>
      </c>
      <c r="L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"_data"),L$55))</f>
        <v/>
      </c>
      <c r="M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"_data"),M$55))</f>
        <v/>
      </c>
      <c r="N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"_data"),N$55))</f>
        <v/>
      </c>
      <c r="O56">
        <f>SUM(G56:N56)</f>
        <v/>
      </c>
    </row>
    <row r="57">
      <c r="A57" t="inlineStr">
        <is>
          <t>B</t>
        </is>
      </c>
      <c r="B5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"_data")),IF(Q_VERY_LONG_SINGLE_SELECT_EXPORT_NAME_F_Q="(None)","&lt;&gt;",IF(Q_VERY_LONG_SINGLE_SELECT_EXPORT_NAME_F_V="(All)","*",Q_VERY_LONG_SINGLE_SELECT_EXPORT_NAME_F_V)),Q_VERY_LONG_SINGLE_SELECT_EXPOR_data,"B")</f>
        <v/>
      </c>
      <c r="C57" s="4">
        <f>IFERROR(B57/SUBTOTAL(9,B56:B57),0)</f>
        <v/>
      </c>
      <c r="D57" s="11">
        <f>SUBTOTAL(9,B56:B57)</f>
        <v/>
      </c>
      <c r="F57" t="inlineStr">
        <is>
          <t>B</t>
        </is>
      </c>
      <c r="G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"_data"),G$55))</f>
        <v/>
      </c>
      <c r="H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"_data"),H$55))</f>
        <v/>
      </c>
      <c r="I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"_data"),I$55))</f>
        <v/>
      </c>
      <c r="J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"_data"),J$55))</f>
        <v/>
      </c>
      <c r="K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"_data"),K$55))</f>
        <v/>
      </c>
      <c r="L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"_data"),L$55))</f>
        <v/>
      </c>
      <c r="M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"_data"),M$55))</f>
        <v/>
      </c>
      <c r="N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"_data"),N$55))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  <dataValidation sqref="B14" showDropDown="0" showInputMessage="0" showErrorMessage="0" allowBlank="1" type="list">
      <formula1>=All_Questions</formula1>
    </dataValidation>
    <dataValidation sqref="D14" showDropDown="0" showInputMessage="0" showErrorMessage="0" allowBlank="1" type="list">
      <formula1>=INDIRECT(IF(Q_SS_EXPORT_F_Q="(None)","None_options",Q_SS_EXPORT_F_Q &amp; "_options"))</formula1>
    </dataValidation>
    <dataValidation sqref="F14" showDropDown="0" showInputMessage="0" showErrorMessage="0" allowBlank="1" type="list">
      <formula1>=All_Questions</formula1>
    </dataValidation>
    <dataValidation sqref="B23" showDropDown="0" showInputMessage="0" showErrorMessage="0" allowBlank="1" type="list">
      <formula1>=All_Questions</formula1>
    </dataValidation>
    <dataValidation sqref="D23" showDropDown="0" showInputMessage="0" showErrorMessage="0" allowBlank="1" type="list">
      <formula1>=INDIRECT(IF(Q_MS_EXPORT_F_Q="(None)","None_options",Q_MS_EXPORT_F_Q &amp; "_options"))</formula1>
    </dataValidation>
    <dataValidation sqref="F23" showDropDown="0" showInputMessage="0" showErrorMessage="0" allowBlank="1" type="list">
      <formula1>=All_Questions</formula1>
    </dataValidation>
    <dataValidation sqref="B32" showDropDown="0" showInputMessage="0" showErrorMessage="0" allowBlank="1" type="list">
      <formula1>=All_Questions</formula1>
    </dataValidation>
    <dataValidation sqref="D32" showDropDown="0" showInputMessage="0" showErrorMessage="0" allowBlank="1" type="list">
      <formula1>=INDIRECT(IF(Q_NUM_EXPORT_F_Q="(None)","None_options",Q_NUM_EXPORT_F_Q &amp; "_options"))</formula1>
    </dataValidation>
    <dataValidation sqref="F32" showDropDown="0" showInputMessage="0" showErrorMessage="0" allowBlank="1" type="list">
      <formula1>=All_Questions</formula1>
    </dataValidation>
    <dataValidation sqref="B44" showDropDown="0" showInputMessage="0" showErrorMessage="0" allowBlank="1" type="list">
      <formula1>=All_Questions</formula1>
    </dataValidation>
    <dataValidation sqref="D44" showDropDown="0" showInputMessage="0" showErrorMessage="0" allowBlank="1" type="list">
      <formula1>=INDIRECT(IF(Q_GRID_EXPORT_F_Q="(None)","None_options",Q_GRID_EXPORT_F_Q &amp; "_options"))</formula1>
    </dataValidation>
    <dataValidation sqref="F44" showDropDown="0" showInputMessage="0" showErrorMessage="0" allowBlank="1" type="list">
      <formula1>=All_Questions</formula1>
    </dataValidation>
    <dataValidation sqref="B53" showDropDown="0" showInputMessage="0" showErrorMessage="0" allowBlank="1" type="list">
      <formula1>=All_Questions</formula1>
    </dataValidation>
    <dataValidation sqref="D53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F53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2" t="inlineStr">
        <is>
          <t>Output Sheet</t>
        </is>
      </c>
      <c r="B1" s="2" t="inlineStr">
        <is>
          <t>Metric Name</t>
        </is>
      </c>
      <c r="C1" s="2" t="inlineStr">
        <is>
          <t>Source Question</t>
        </is>
      </c>
      <c r="D1" s="2" t="inlineStr">
        <is>
          <t>Source Columns</t>
        </is>
      </c>
      <c r="E1" s="2" t="inlineStr">
        <is>
          <t>Filter</t>
        </is>
      </c>
      <c r="F1" s="2" t="inlineStr">
        <is>
          <t>Numerator</t>
        </is>
      </c>
      <c r="G1" s="2" t="inlineStr">
        <is>
          <t>Denominator</t>
        </is>
      </c>
      <c r="H1" s="2" t="inlineStr">
        <is>
          <t>Formula</t>
        </is>
      </c>
      <c r="I1" s="2" t="inlineStr">
        <is>
          <t>Value Raw</t>
        </is>
      </c>
      <c r="J1" s="2" t="inlineStr">
        <is>
          <t>Valid N</t>
        </is>
      </c>
      <c r="K1" s="2" t="inlineStr">
        <is>
          <t>Missing N</t>
        </is>
      </c>
      <c r="L1" s="2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2026-05-13T16:01:02.097590+00:00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2026-05-13T16:01:02.098216+00:00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2026-05-13T16:01:02.098270+00:00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2026-05-13T16:01:02.099581+00:00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2026-05-13T16:01:02.100551+00:00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2026-05-13T16:01:02.101344+00:00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2026-05-13T16:01:02.102013+00:00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2026-05-13T16:01:02.102032+00:00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2026-05-13T16:01:02.103000+00:00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2026-05-13T16:01:02.103797+00:00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2026-05-13T16:01:02.104462+00:00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2026-05-13T16:01:02.104582+00:00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2" t="inlineStr">
        <is>
          <t>Cross Cut ID</t>
        </is>
      </c>
      <c r="B1" s="2" t="inlineStr">
        <is>
          <t>Title</t>
        </is>
      </c>
      <c r="C1" s="2" t="inlineStr">
        <is>
          <t>Filter Expression</t>
        </is>
      </c>
      <c r="D1" s="2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2" t="inlineStr">
        <is>
          <t>Source</t>
        </is>
      </c>
      <c r="B1" s="2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2026-05-13T16:01:02Z</dcterms:created>
  <dcterms:modified xmlns:dcterms="http://purl.org/dc/terms/" xmlns:xsi="http://www.w3.org/2001/XMLSchema-instance" xsi:type="dcterms:W3CDTF">2026-05-13T16:01:02Z</dcterms:modified>
</cp:coreProperties>
</file>