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CATGRIDr1_data">'_RawData'!$B$2:$B$11</definedName>
    <definedName name="Q_CATGRIDr2_data">'_RawData'!$C$2:$C$11</definedName>
    <definedName name="Q_CATGRIDr3_data">'_RawData'!$D$2:$D$11</definedName>
    <definedName name="All_Questions">'_Options'!$A$2:$A$2</definedName>
    <definedName name="All_Questions_Local">'_Options'!$B$2:$B$3</definedName>
    <definedName name="None_options">'_Options'!$E$2:$E$2</definedName>
    <definedName name="Q_CATGRIDr1_options">'_Options'!$F$2:$F$5</definedName>
    <definedName name="Q_CATGRIDr1_local_options">'_Options'!$I$2:$I$6</definedName>
    <definedName name="Q_CATGRIDr2_options">'_Options'!$G$2:$G$5</definedName>
    <definedName name="Q_CATGRIDr2_local_options">'_Options'!$J$2:$J$6</definedName>
    <definedName name="Q_CATGRIDr3_options">'_Options'!$H$2:$H$5</definedName>
    <definedName name="Q_CATGRIDr3_local_options">'_Options'!$K$2:$K$6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'_RawData'!$E$2:$E$11</definedName>
    <definedName name="F_Custom1_match_data">'_RawData'!$F$2:$F$11</definedName>
    <definedName name="F_Custom2_match_data">'_RawData'!$G$2:$G$11</definedName>
    <definedName name="passes_workbook_custom_filters_data">'_RawData'!$H$2:$H$11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'_RawData'!$I$2:$I$11</definedName>
    <definedName name="All_Questions_Q_CATGRID_F_Q">'All Questions'!$C$13</definedName>
    <definedName name="All_Questions_Q_CATGRID_F_V">'All Questions'!$E$13</definedName>
    <definedName name="All_Questions_Q_CATGRID_F_resolved_column">'All Questions'!$F$13</definedName>
    <definedName name="All_Questions_Q_CATGRID_F_wrapped">'All Questions'!$G$13</definedName>
    <definedName name="All_Questions_Q_CATGRID_F_passes_per_q_filter_data">'_RawData'!$J$2:$J$11</definedName>
    <definedName name="All_Questions_Q_CATGRID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D18" i="7"/>
  <c r="E18" i="7"/>
  <c r="F18" i="7"/>
  <c r="G18" i="7"/>
  <c r="H18" i="7"/>
  <c r="C19" i="7"/>
  <c r="D19" i="7"/>
  <c r="E19" i="7"/>
  <c r="F19" i="7"/>
  <c r="G19" i="7"/>
  <c r="H19" i="7"/>
  <c r="C20" i="7"/>
  <c r="D20" i="7"/>
  <c r="E20" i="7"/>
  <c r="F20" i="7"/>
  <c r="G20" i="7"/>
  <c r="H20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Q_CATGRIDr1</t>
        </is>
      </c>
      <c r="C1" t="inlineStr">
        <is>
          <t>Q_CATGRIDr2</t>
        </is>
      </c>
      <c r="D1" t="inlineStr">
        <is>
          <t>Q_CATGRIDr3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All_Questions_Q_CATGRID_F_passes_per_q_filter</t>
        </is>
      </c>
    </row>
    <row r="2">
      <c r="A2" t="n">
        <v>1</v>
      </c>
      <c r="B2" t="inlineStr">
        <is>
          <t>Decision maker</t>
        </is>
      </c>
      <c r="C2" t="inlineStr">
        <is>
          <t>Decision maker</t>
        </is>
      </c>
      <c r="D2" t="inlineStr">
        <is>
          <t>Decision maker</t>
        </is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1)&amp;"|",All_Questions_Q_CATGRID_F_wrapped)),1,0),0))</f>
        <v>1</v>
      </c>
    </row>
    <row r="3">
      <c r="A3" t="n">
        <v>2</v>
      </c>
      <c r="B3" t="inlineStr">
        <is>
          <t>Decision maker</t>
        </is>
      </c>
      <c r="C3" t="inlineStr">
        <is>
          <t>Influencer</t>
        </is>
      </c>
      <c r="D3" t="inlineStr">
        <is>
          <t>Decision maker</t>
        </is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2)&amp;"|",All_Questions_Q_CATGRID_F_wrapped)),1,0),0))</f>
        <v>1</v>
      </c>
    </row>
    <row r="4">
      <c r="A4" t="n">
        <v>3</v>
      </c>
      <c r="B4" t="inlineStr">
        <is>
          <t>Decision maker</t>
        </is>
      </c>
      <c r="C4" t="inlineStr">
        <is>
          <t>Influencer</t>
        </is>
      </c>
      <c r="D4" t="inlineStr">
        <is>
          <t>Influencer</t>
        </is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3)&amp;"|",All_Questions_Q_CATGRID_F_wrapped)),1,0),0))</f>
        <v>1</v>
      </c>
    </row>
    <row r="5">
      <c r="A5" t="n">
        <v>4</v>
      </c>
      <c r="B5" t="inlineStr">
        <is>
          <t>Influencer</t>
        </is>
      </c>
      <c r="C5" t="inlineStr">
        <is>
          <t>Influencer</t>
        </is>
      </c>
      <c r="D5" t="inlineStr">
        <is>
          <t>Influencer</t>
        </is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4)&amp;"|",All_Questions_Q_CATGRID_F_wrapped)),1,0),0))</f>
        <v>1</v>
      </c>
    </row>
    <row r="6">
      <c r="A6" t="n">
        <v>5</v>
      </c>
      <c r="B6" t="inlineStr">
        <is>
          <t>Influencer</t>
        </is>
      </c>
      <c r="C6" t="inlineStr">
        <is>
          <t>Influencer</t>
        </is>
      </c>
      <c r="D6" t="inlineStr">
        <is>
          <t>Not involved</t>
        </is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5)&amp;"|",All_Questions_Q_CATGRID_F_wrapped)),1,0),0))</f>
        <v>1</v>
      </c>
    </row>
    <row r="7">
      <c r="A7" t="n">
        <v>6</v>
      </c>
      <c r="B7" t="inlineStr">
        <is>
          <t>Influencer</t>
        </is>
      </c>
      <c r="C7" t="inlineStr">
        <is>
          <t>Influencer</t>
        </is>
      </c>
      <c r="D7" t="inlineStr">
        <is>
          <t>Not involved</t>
        </is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6)&amp;"|",All_Questions_Q_CATGRID_F_wrapped)),1,0),0))</f>
        <v>1</v>
      </c>
    </row>
    <row r="8">
      <c r="A8" t="n">
        <v>7</v>
      </c>
      <c r="B8" t="inlineStr">
        <is>
          <t>Influencer</t>
        </is>
      </c>
      <c r="C8" t="inlineStr">
        <is>
          <t>Not involved</t>
        </is>
      </c>
      <c r="D8" t="inlineStr">
        <is>
          <t>Not involved</t>
        </is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7)&amp;"|",All_Questions_Q_CATGRID_F_wrapped)),1,0),0))</f>
        <v>1</v>
      </c>
    </row>
    <row r="9">
      <c r="A9" t="n">
        <v>8</v>
      </c>
      <c r="B9" t="inlineStr">
        <is>
          <t>Not involved</t>
        </is>
      </c>
      <c r="C9" t="inlineStr">
        <is>
          <t>Not involved</t>
        </is>
      </c>
      <c r="D9" t="inlineStr">
        <is>
          <t>Not involved</t>
        </is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8)&amp;"|",All_Questions_Q_CATGRID_F_wrapped)),1,0),0))</f>
        <v>1</v>
      </c>
    </row>
    <row r="10">
      <c r="A10" t="n">
        <v>9</v>
      </c>
      <c r="B10" t="inlineStr">
        <is>
          <t>Not involved</t>
        </is>
      </c>
      <c r="C10" t="inlineStr">
        <is>
          <t>Not involved</t>
        </is>
      </c>
      <c r="D10" t="inlineStr">
        <is>
          <t>Not involved</t>
        </is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9)&amp;"|",All_Questions_Q_CATGRID_F_wrapped)),1,0),0))</f>
        <v>1</v>
      </c>
    </row>
    <row r="11">
      <c r="A11" t="n">
        <v>10</v>
      </c>
      <c r="B11" t="inlineStr">
        <is>
          <t>Not involved</t>
        </is>
      </c>
      <c r="C11" t="inlineStr">
        <is>
          <t>Not involved</t>
        </is>
      </c>
      <c r="D11" t="inlineStr">
        <is>
          <t>Not involved</t>
        </is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10)&amp;"|",All_Questions_Q_CATGRID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Q_CATGRIDr1_options</t>
        </is>
      </c>
      <c r="G1" t="inlineStr">
        <is>
          <t>Q_CATGRIDr2_options</t>
        </is>
      </c>
      <c r="H1" t="inlineStr">
        <is>
          <t>Q_CATGRIDr3_options</t>
        </is>
      </c>
      <c r="I1" t="inlineStr">
        <is>
          <t>Q_CATGRIDr1_local_options</t>
        </is>
      </c>
      <c r="J1" t="inlineStr">
        <is>
          <t>Q_CATGRIDr2_local_options</t>
        </is>
      </c>
      <c r="K1" t="inlineStr">
        <is>
          <t>Q_CATGRIDr3_local_options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Decision maker</t>
        </is>
      </c>
      <c r="G3" t="inlineStr">
        <is>
          <t>Decision maker</t>
        </is>
      </c>
      <c r="H3" t="inlineStr">
        <is>
          <t>Decision maker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F4" t="inlineStr">
        <is>
          <t>Influencer</t>
        </is>
      </c>
      <c r="G4" t="inlineStr">
        <is>
          <t>Influencer</t>
        </is>
      </c>
      <c r="H4" t="inlineStr">
        <is>
          <t>Influencer</t>
        </is>
      </c>
      <c r="I4" t="inlineStr">
        <is>
          <t>Decision maker</t>
        </is>
      </c>
      <c r="J4" t="inlineStr">
        <is>
          <t>Decision maker</t>
        </is>
      </c>
      <c r="K4" t="inlineStr">
        <is>
          <t>Decision maker</t>
        </is>
      </c>
    </row>
    <row r="5">
      <c r="F5" t="inlineStr">
        <is>
          <t>Not involved</t>
        </is>
      </c>
      <c r="G5" t="inlineStr">
        <is>
          <t>Not involved</t>
        </is>
      </c>
      <c r="H5" t="inlineStr">
        <is>
          <t>Not involved</t>
        </is>
      </c>
      <c r="I5" t="inlineStr">
        <is>
          <t>Influencer</t>
        </is>
      </c>
      <c r="J5" t="inlineStr">
        <is>
          <t>Influencer</t>
        </is>
      </c>
      <c r="K5" t="inlineStr">
        <is>
          <t>Influencer</t>
        </is>
      </c>
    </row>
    <row r="6">
      <c r="I6" t="inlineStr">
        <is>
          <t>Not involved</t>
        </is>
      </c>
      <c r="J6" t="inlineStr">
        <is>
          <t>Not involved</t>
        </is>
      </c>
      <c r="K6" t="inlineStr">
        <is>
          <t>Not involved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42" customWidth="1" min="3" max="3"/>
    <col width="20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[Q_CATGRID]</t>
        </is>
      </c>
      <c r="B2" t="inlineStr">
        <is>
          <t>Q_CATGRID</t>
        </is>
      </c>
      <c r="C2" t="inlineStr">
        <is>
          <t>Q_CATGRID - Stakeholder role by function</t>
        </is>
      </c>
      <c r="D2" t="inlineStr">
        <is>
          <t>GRID_SINGLE_SELECT</t>
        </is>
      </c>
      <c r="E2" t="inlineStr">
        <is>
          <t>Q_CATGRIDr1, Q_CATGRIDr2, Q_CATGRIDr3</t>
        </is>
      </c>
      <c r="F2" t="n">
        <v>3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Q_CATGRID</t>
        </is>
      </c>
      <c r="B2" t="inlineStr">
        <is>
          <t>Q_CATGRID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Q_CATGRID - Stakeholder role by function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IFERROR(INDEX(All_Questions_Data_Names,MATCH(All_Questions_Q_CATGRID_F_Q,All_Questions,0)),"'_RawData'!$A:$A")</f>
        <v>respondent_id_data</v>
      </c>
      <c r="G13" t="str">
        <f>"|" &amp; SUBSTITUTE(All_Questions_Q_CATGRID_F_V,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Not involved</t>
        </is>
      </c>
      <c r="D16" s="2" t="n"/>
      <c r="E16" s="4" t="inlineStr">
        <is>
          <t>Influencer</t>
        </is>
      </c>
      <c r="F16" s="2" t="n"/>
      <c r="G16" s="4" t="inlineStr">
        <is>
          <t>Decision maker</t>
        </is>
      </c>
      <c r="H16" s="2" t="n"/>
    </row>
    <row r="17">
      <c r="A17" s="2" t="inlineStr"/>
      <c r="B17" s="2" t="inlineStr"/>
      <c r="C17" s="4" t="inlineStr">
        <is>
          <t>Count</t>
        </is>
      </c>
      <c r="D17" s="4" t="inlineStr">
        <is>
          <t>%</t>
        </is>
      </c>
      <c r="E17" s="4" t="inlineStr">
        <is>
          <t>Count</t>
        </is>
      </c>
      <c r="F17" s="4" t="inlineStr">
        <is>
          <t>%</t>
        </is>
      </c>
      <c r="G17" s="4" t="inlineStr">
        <is>
          <t>Count</t>
        </is>
      </c>
      <c r="H17" s="4" t="inlineStr">
        <is>
          <t>%</t>
        </is>
      </c>
    </row>
    <row r="18">
      <c r="A18" s="14" t="inlineStr">
        <is>
          <t>Q_CATGRIDr1</t>
        </is>
      </c>
      <c r="B18" t="inlineStr">
        <is>
          <t>IT / Technical</t>
        </is>
      </c>
      <c r="C18">
        <f>COUNTIFS(Q_CATGRIDr1_data,"Not involved",passes_workbook_filters_data,1,passes_workbook_custom_filters_data,1,All_Questions_passes_local_filters_data,1,All_Questions_Q_CATGRID_F_passes_per_q_filter_data,1)</f>
        <v>3</v>
      </c>
      <c r="D18" s="7">
        <f>IFERROR(C18/10,0)</f>
        <v>0.3</v>
      </c>
      <c r="E18">
        <f>COUNTIFS(Q_CATGRIDr1_data,"Influencer",passes_workbook_filters_data,1,passes_workbook_custom_filters_data,1,All_Questions_passes_local_filters_data,1,All_Questions_Q_CATGRID_F_passes_per_q_filter_data,1)</f>
        <v>4</v>
      </c>
      <c r="F18" s="7">
        <f>IFERROR(E18/10,0)</f>
        <v>0.4</v>
      </c>
      <c r="G18">
        <f>COUNTIFS(Q_CATGRIDr1_data,"Decision maker",passes_workbook_filters_data,1,passes_workbook_custom_filters_data,1,All_Questions_passes_local_filters_data,1,All_Questions_Q_CATGRID_F_passes_per_q_filter_data,1)</f>
        <v>3</v>
      </c>
      <c r="H18" s="7">
        <f>IFERROR(G18/10,0)</f>
        <v>0.3</v>
      </c>
    </row>
    <row r="19">
      <c r="A19" s="14" t="inlineStr">
        <is>
          <t>Q_CATGRIDr2</t>
        </is>
      </c>
      <c r="B19" t="inlineStr">
        <is>
          <t>Security</t>
        </is>
      </c>
      <c r="C19">
        <f>COUNTIFS(Q_CATGRIDr2_data,"Not involved",passes_workbook_filters_data,1,passes_workbook_custom_filters_data,1,All_Questions_passes_local_filters_data,1,All_Questions_Q_CATGRID_F_passes_per_q_filter_data,1)</f>
        <v>4</v>
      </c>
      <c r="D19" s="7">
        <f>IFERROR(C19/10,0)</f>
        <v>0.4</v>
      </c>
      <c r="E19">
        <f>COUNTIFS(Q_CATGRIDr2_data,"Influencer",passes_workbook_filters_data,1,passes_workbook_custom_filters_data,1,All_Questions_passes_local_filters_data,1,All_Questions_Q_CATGRID_F_passes_per_q_filter_data,1)</f>
        <v>5</v>
      </c>
      <c r="F19" s="7">
        <f>IFERROR(E19/10,0)</f>
        <v>0.5</v>
      </c>
      <c r="G19">
        <f>COUNTIFS(Q_CATGRIDr2_data,"Decision maker",passes_workbook_filters_data,1,passes_workbook_custom_filters_data,1,All_Questions_passes_local_filters_data,1,All_Questions_Q_CATGRID_F_passes_per_q_filter_data,1)</f>
        <v>1</v>
      </c>
      <c r="H19" s="7">
        <f>IFERROR(G19/10,0)</f>
        <v>0.1</v>
      </c>
    </row>
    <row r="20">
      <c r="A20" s="14" t="inlineStr">
        <is>
          <t>Q_CATGRIDr3</t>
        </is>
      </c>
      <c r="B20" t="inlineStr">
        <is>
          <t>Human Resources</t>
        </is>
      </c>
      <c r="C20">
        <f>COUNTIFS(Q_CATGRIDr3_data,"Not involved",passes_workbook_filters_data,1,passes_workbook_custom_filters_data,1,All_Questions_passes_local_filters_data,1,All_Questions_Q_CATGRID_F_passes_per_q_filter_data,1)</f>
        <v>6</v>
      </c>
      <c r="D20" s="7">
        <f>IFERROR(C20/10,0)</f>
        <v>0.6</v>
      </c>
      <c r="E20">
        <f>COUNTIFS(Q_CATGRIDr3_data,"Influencer",passes_workbook_filters_data,1,passes_workbook_custom_filters_data,1,All_Questions_passes_local_filters_data,1,All_Questions_Q_CATGRID_F_passes_per_q_filter_data,1)</f>
        <v>2</v>
      </c>
      <c r="F20" s="7">
        <f>IFERROR(E20/10,0)</f>
        <v>0.2</v>
      </c>
      <c r="G20">
        <f>COUNTIFS(Q_CATGRIDr3_data,"Decision maker",passes_workbook_filters_data,1,passes_workbook_custom_filters_data,1,All_Questions_passes_local_filters_data,1,All_Questions_Q_CATGRID_F_passes_per_q_filter_data,1)</f>
        <v>2</v>
      </c>
      <c r="H20" s="7">
        <f>IFERROR(G20/10,0)</f>
        <v>0.2</v>
      </c>
    </row>
    <row r="21">
      <c r="A21" s="15" t="inlineStr">
        <is>
          <t>Total respondents</t>
        </is>
      </c>
      <c r="B21" s="15" t="n">
        <v>10</v>
      </c>
      <c r="C21" s="15" t="n"/>
      <c r="D21" s="15" t="n"/>
      <c r="E21" s="15" t="n"/>
      <c r="F21" s="15" t="n"/>
      <c r="G21" s="15" t="n"/>
      <c r="H21" s="15" t="n"/>
    </row>
    <row r="22">
      <c r="A22" s="4" t="inlineStr">
        <is>
          <t>Total responses</t>
        </is>
      </c>
      <c r="B22" s="4" t="n">
        <v>30</v>
      </c>
      <c r="C22" s="4" t="n"/>
      <c r="D22" s="4" t="n"/>
      <c r="E22" s="4" t="n"/>
      <c r="F22" s="4" t="n"/>
      <c r="G22" s="4" t="n"/>
      <c r="H22" s="4" t="n"/>
    </row>
  </sheetData>
  <mergeCells count="4">
    <mergeCell ref="G16:H16"/>
    <mergeCell ref="A1:J1"/>
    <mergeCell ref="E16:F16"/>
    <mergeCell ref="C16:D16"/>
  </mergeCells>
  <conditionalFormatting sqref="D18:D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=INDIRECT(IFERROR(INDEX(All_Questions_Options_Names,MATCH(All_Questions_Q_CATGRID_F_Q,All_Questions,0)),"'_Options'!$E$2:$E$2"))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2026-05-19T08:12:12Z</dcterms:created>
  <dcterms:modified xmlns:dcterms="http://purl.org/dc/terms/" xmlns:xsi="http://www.w3.org/2001/XMLSchema-instance" xsi:type="dcterms:W3CDTF">2026-05-19T08:12:12Z</dcterms:modified>
</cp:coreProperties>
</file>