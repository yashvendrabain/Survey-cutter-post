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7" i="8"/>
  <c r="G37" i="8"/>
  <c r="G40" i="8"/>
  <c r="H40" i="8"/>
  <c r="I40" i="8"/>
  <c r="J40" i="8"/>
  <c r="K40" i="8"/>
  <c r="L40" i="8"/>
  <c r="M40" i="8"/>
  <c r="N40" i="8"/>
  <c r="B41" i="8"/>
  <c r="C41" i="8"/>
  <c r="D41" i="8"/>
  <c r="G41" i="8"/>
  <c r="H41" i="8"/>
  <c r="I41" i="8"/>
  <c r="J41" i="8"/>
  <c r="K41" i="8"/>
  <c r="L41" i="8"/>
  <c r="M41" i="8"/>
  <c r="N41" i="8"/>
  <c r="O41" i="8"/>
  <c r="B42" i="8"/>
  <c r="C42" i="8"/>
  <c r="D42" i="8"/>
  <c r="G42" i="8"/>
  <c r="H42" i="8"/>
  <c r="I42" i="8"/>
  <c r="J42" i="8"/>
  <c r="K42" i="8"/>
  <c r="L42" i="8"/>
  <c r="M42" i="8"/>
  <c r="N42" i="8"/>
  <c r="O42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4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6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XLOOKUP(Demographics_Q_SS_EXPORT_F_Q,All_Questions,All_Questions_Data_Names,"respondent_id_data")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IFERROR(INDEX(INDIRECT(XLOOKUP(Demographics_Q_SS_EXPORT_CT,All_Questions,All_Questions_Options_Names,"None_options")),2),"")</f>
        <v/>
      </c>
      <c r="H18" t="str">
        <f>IFERROR(INDEX(INDIRECT(XLOOKUP(Demographics_Q_SS_EXPORT_CT,All_Questions,All_Questions_Options_Names,"None_options")),3),"")</f>
        <v/>
      </c>
      <c r="I18" t="str">
        <f>IFERROR(INDEX(INDIRECT(XLOOKUP(Demographics_Q_SS_EXPORT_CT,All_Questions,All_Questions_Options_Names,"None_options")),4),"")</f>
        <v/>
      </c>
      <c r="J18" t="str">
        <f>IFERROR(INDEX(INDIRECT(XLOOKUP(Demographics_Q_SS_EXPORT_CT,All_Questions,All_Questions_Options_Names,"None_options")),5),"")</f>
        <v/>
      </c>
      <c r="K18" t="str">
        <f>IFERROR(INDEX(INDIRECT(XLOOKUP(Demographics_Q_SS_EXPORT_CT,All_Questions,All_Questions_Options_Names,"None_options")),6),"")</f>
        <v/>
      </c>
      <c r="L18" t="str">
        <f>IFERROR(INDEX(INDIRECT(XLOOKUP(Demographics_Q_SS_EXPORT_CT,All_Questions,All_Questions_Options_Names,"None_options")),7),"")</f>
        <v/>
      </c>
      <c r="M18" t="str">
        <f>IFERROR(INDEX(INDIRECT(XLOOKUP(Demographics_Q_SS_EXPORT_CT,All_Questions,All_Questions_Options_Names,"None_options")),8),"")</f>
        <v/>
      </c>
      <c r="N18" t="str">
        <f>IFERROR(INDEX(INDIRECT(XLOOKUP(Demographics_Q_SS_EXPORT_CT,All_Questions,All_Questions_Options_Names,"None_options")),9),"")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XLOOKUP(Demographics_Q_MS_EXPORT_F_Q,All_Questions,All_Questions_Data_Names,"respondent_id_data")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IFERROR(INDEX(INDIRECT(XLOOKUP(Demographics_Q_MS_EXPORT_CT,All_Questions,All_Questions_Options_Names,"None_options")),2),"")</f>
        <v/>
      </c>
      <c r="H28" t="str">
        <f>IFERROR(INDEX(INDIRECT(XLOOKUP(Demographics_Q_MS_EXPORT_CT,All_Questions,All_Questions_Options_Names,"None_options")),3),"")</f>
        <v/>
      </c>
      <c r="I28" t="str">
        <f>IFERROR(INDEX(INDIRECT(XLOOKUP(Demographics_Q_MS_EXPORT_CT,All_Questions,All_Questions_Options_Names,"None_options")),4),"")</f>
        <v/>
      </c>
      <c r="J28" t="str">
        <f>IFERROR(INDEX(INDIRECT(XLOOKUP(Demographics_Q_MS_EXPORT_CT,All_Questions,All_Questions_Options_Names,"None_options")),5),"")</f>
        <v/>
      </c>
      <c r="K28" t="str">
        <f>IFERROR(INDEX(INDIRECT(XLOOKUP(Demographics_Q_MS_EXPORT_CT,All_Questions,All_Questions_Options_Names,"None_options")),6),"")</f>
        <v/>
      </c>
      <c r="L28" t="str">
        <f>IFERROR(INDEX(INDIRECT(XLOOKUP(Demographics_Q_MS_EXPORT_CT,All_Questions,All_Questions_Options_Names,"None_options")),7),"")</f>
        <v/>
      </c>
      <c r="M28" t="str">
        <f>IFERROR(INDEX(INDIRECT(XLOOKUP(Demographics_Q_MS_EXPORT_CT,All_Questions,All_Questions_Options_Names,"None_options")),8),"")</f>
        <v/>
      </c>
      <c r="N28" t="str">
        <f>IFERROR(INDEX(INDIRECT(XLOOKUP(Demographics_Q_MS_EXPORT_CT,All_Questions,All_Questions_Options_Names,"None_options")),9),"")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t="inlineStr">
        <is>
          <t>First</t>
        </is>
      </c>
      <c r="G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29">
        <f>SUM(G29:N29)</f>
        <v>0</v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Second</t>
        </is>
      </c>
      <c r="G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=INDIRECT(XLOOKUP(Demographics_Q_SS_EXPORT_F_Q,All_Questions,All_Questions_Options_Names,"None_options"))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=INDIRECT(XLOOKUP(Demographics_Q_MS_EXPORT_F_Q,All_Questions,All_Questions_Options_Names,"None_options"))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XLOOKUP(All_Questions_F_Custom1_Q_resolved,All_Questions,All_Questions_Data_Names,"respondent_id_data")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XLOOKUP(All_Questions_F_Custom2_Q_resolved,All_Questions,All_Questions_Data_Names,"respondent_id_data")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XLOOKUP(All_Questions_Q_NUM_EXPORT_F_Q,All_Questions,All_Questions_Data_Names,"respondent_id_data")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XLOOKUP(All_Questions_Q_GRID_EXPORT_F_Q,All_Questions,All_Questions_Data_Names,"respondent_id_data")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IFERROR(INDEX(INDIRECT(XLOOKUP(All_Questions_Q_GRID_EXPORT_CT,All_Questions,All_Questions_Options_Names,"None_options")),2),"")</f>
        <v/>
      </c>
      <c r="H30" t="str">
        <f>IFERROR(INDEX(INDIRECT(XLOOKUP(All_Questions_Q_GRID_EXPORT_CT,All_Questions,All_Questions_Options_Names,"None_options")),3),"")</f>
        <v/>
      </c>
      <c r="I30" t="str">
        <f>IFERROR(INDEX(INDIRECT(XLOOKUP(All_Questions_Q_GRID_EXPORT_CT,All_Questions,All_Questions_Options_Names,"None_options")),4),"")</f>
        <v/>
      </c>
      <c r="J30" t="str">
        <f>IFERROR(INDEX(INDIRECT(XLOOKUP(All_Questions_Q_GRID_EXPORT_CT,All_Questions,All_Questions_Options_Names,"None_options")),5),"")</f>
        <v/>
      </c>
      <c r="K30" t="str">
        <f>IFERROR(INDEX(INDIRECT(XLOOKUP(All_Questions_Q_GRID_EXPORT_CT,All_Questions,All_Questions_Options_Names,"None_options")),6),"")</f>
        <v/>
      </c>
      <c r="L30" t="str">
        <f>IFERROR(INDEX(INDIRECT(XLOOKUP(All_Questions_Q_GRID_EXPORT_CT,All_Questions,All_Questions_Options_Names,"None_options")),7),"")</f>
        <v/>
      </c>
      <c r="M30" t="str">
        <f>IFERROR(INDEX(INDIRECT(XLOOKUP(All_Questions_Q_GRID_EXPORT_CT,All_Questions,All_Questions_Options_Names,"None_options")),8),"")</f>
        <v/>
      </c>
      <c r="N30" t="str">
        <f>IFERROR(INDEX(INDIRECT(XLOOKUP(All_Questions_Q_GRID_EXPORT_CT,All_Questions,All_Questions_Options_Names,"None_options")),9),"")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2">
        <f>SUM(G32:N32)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Q_VERY_LONG_SINGLE_SELECT_EXPORT_NAME - Long Name Export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XLOOKUP(All_Questions_Q_VERY_LONG_SINGLE_SELECT_EXPORT_NAME_F_Q,All_Questions,All_Questions_Data_Names,"respondent_id_data")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5" t="inlineStr">
        <is>
          <t>Option \ Cross-tab</t>
        </is>
      </c>
      <c r="G40" t="str">
        <f>IFERROR(INDEX(INDIRECT(XLOOKUP(All_Questions_Q_VERY_LONG_SINGLE_SELECT_EXPORT_NAME_CT,All_Questions,All_Questions_Options_Names,"None_options")),2),"")</f>
        <v/>
      </c>
      <c r="H40" t="str">
        <f>IFERROR(INDEX(INDIRECT(XLOOKUP(All_Questions_Q_VERY_LONG_SINGLE_SELECT_EXPORT_NAME_CT,All_Questions,All_Questions_Options_Names,"None_options")),3),"")</f>
        <v/>
      </c>
      <c r="I40" t="str">
        <f>IFERROR(INDEX(INDIRECT(XLOOKUP(All_Questions_Q_VERY_LONG_SINGLE_SELECT_EXPORT_NAME_CT,All_Questions,All_Questions_Options_Names,"None_options")),4),"")</f>
        <v/>
      </c>
      <c r="J40" t="str">
        <f>IFERROR(INDEX(INDIRECT(XLOOKUP(All_Questions_Q_VERY_LONG_SINGLE_SELECT_EXPORT_NAME_CT,All_Questions,All_Questions_Options_Names,"None_options")),5),"")</f>
        <v/>
      </c>
      <c r="K40" t="str">
        <f>IFERROR(INDEX(INDIRECT(XLOOKUP(All_Questions_Q_VERY_LONG_SINGLE_SELECT_EXPORT_NAME_CT,All_Questions,All_Questions_Options_Names,"None_options")),6),"")</f>
        <v/>
      </c>
      <c r="L40" t="str">
        <f>IFERROR(INDEX(INDIRECT(XLOOKUP(All_Questions_Q_VERY_LONG_SINGLE_SELECT_EXPORT_NAME_CT,All_Questions,All_Questions_Options_Names,"None_options")),7),"")</f>
        <v/>
      </c>
      <c r="M40" t="str">
        <f>IFERROR(INDEX(INDIRECT(XLOOKUP(All_Questions_Q_VERY_LONG_SINGLE_SELECT_EXPORT_NAME_CT,All_Questions,All_Questions_Options_Names,"None_options")),8),"")</f>
        <v/>
      </c>
      <c r="N40" t="str">
        <f>IFERROR(INDEX(INDIRECT(XLOOKUP(All_Questions_Q_VERY_LONG_SINGLE_SELECT_EXPORT_NAME_CT,All_Questions,All_Questions_Options_Names,"None_options")),9),"")</f>
        <v/>
      </c>
      <c r="O40" s="5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t="inlineStr">
        <is>
          <t>A</t>
        </is>
      </c>
      <c r="G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1">
        <f>SUM(G41:N41)</f>
        <v>0</v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B</t>
        </is>
      </c>
      <c r="G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2">
        <f>SUM(G42:N42)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N3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N4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=INDIRECT(XLOOKUP(All_Questions_F_Custom2_Q_resolved,All_Questions,All_Questions_Options_Names,"None_options"))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=INDIRECT(XLOOKUP(All_Questions_Q_NUM_EXPORT_F_Q,All_Questions,All_Questions_Options_Names,"None_options"))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=INDIRECT(XLOOKUP(All_Questions_Q_GRID_EXPORT_F_Q,All_Questions,All_Questions_Options_Names,"None_options"))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2026-05-17T13:41:43Z</dcterms:created>
  <dcterms:modified xmlns:dcterms="http://purl.org/dc/terms/" xmlns:xsi="http://www.w3.org/2001/XMLSchema-instance" xsi:type="dcterms:W3CDTF">2026-05-17T13:41:43Z</dcterms:modified>
</cp:coreProperties>
</file>