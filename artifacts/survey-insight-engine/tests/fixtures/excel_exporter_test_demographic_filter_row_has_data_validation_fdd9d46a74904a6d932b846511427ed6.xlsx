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resolved_criteria">'All Questions'!$H$31</definedName>
    <definedName name="All_Questions_Q_NUM_EXPORT_F_passes_per_q_filter_data">'_RawData'!$T$2:$T$4</definedName>
    <definedName name="All_Questions_Q_NUM_EXPORT_CT">'All Questions'!$C$32</definedName>
    <definedName name="All_Questions_Q_GRID_EXPORT_F_Q">'All Questions'!$C$48</definedName>
    <definedName name="All_Questions_Q_GRID_EXPORT_F_V">'All Questions'!$E$48</definedName>
    <definedName name="All_Questions_Q_GRID_EXPORT_F_resolved_column">'All Questions'!$F$48</definedName>
    <definedName name="All_Questions_Q_GRID_EXPORT_F_wrapped">'All Questions'!$G$48</definedName>
    <definedName name="All_Questions_Q_GRID_EXPORT_F_resolved_criteria">'All Questions'!$H$48</definedName>
    <definedName name="All_Questions_Q_GRID_EXPORT_F_passes_per_q_filter_data">'_RawData'!$U$2:$U$4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resolved_criteria">'All Questions'!$H$59</definedName>
    <definedName name="All_Questions_Q_VERY_LONG_SINGLE_SELECT_EXPORT_NAME_F_passes_per_q_filter_data">'_RawData'!$V$2:$V$4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N27" i="8"/>
  <c r="F31" i="8"/>
  <c r="G31" i="8"/>
  <c r="H31" i="8"/>
  <c r="B35" i="8"/>
  <c r="D35" i="8"/>
  <c r="B36" i="8"/>
  <c r="D36" i="8"/>
  <c r="B37" i="8"/>
  <c r="D37" i="8"/>
  <c r="D38" i="8"/>
  <c r="B41" i="8"/>
  <c r="C41" i="8"/>
  <c r="D41" i="8"/>
  <c r="E41" i="8"/>
  <c r="F41" i="8"/>
  <c r="G41" i="8"/>
  <c r="H41" i="8"/>
  <c r="I41" i="8"/>
  <c r="J41" i="8"/>
  <c r="K41" i="8"/>
  <c r="L41" i="8"/>
  <c r="M41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N44" i="8"/>
  <c r="F48" i="8"/>
  <c r="G48" i="8"/>
  <c r="H48" i="8"/>
  <c r="C52" i="8"/>
  <c r="D52" i="8"/>
  <c r="E52" i="8"/>
  <c r="F52" i="8"/>
  <c r="C53" i="8"/>
  <c r="D53" i="8"/>
  <c r="E53" i="8"/>
  <c r="F53" i="8"/>
  <c r="F59" i="8"/>
  <c r="G59" i="8"/>
  <c r="H59" i="8"/>
  <c r="B63" i="8"/>
  <c r="C63" i="8"/>
  <c r="D63" i="8"/>
  <c r="B64" i="8"/>
  <c r="C64" i="8"/>
  <c r="D64" i="8"/>
  <c r="B67" i="8"/>
  <c r="C67" i="8"/>
  <c r="D67" i="8"/>
  <c r="E67" i="8"/>
  <c r="F67" i="8"/>
  <c r="G67" i="8"/>
  <c r="H67" i="8"/>
  <c r="I67" i="8"/>
  <c r="J67" i="8"/>
  <c r="K67" i="8"/>
  <c r="L67" i="8"/>
  <c r="M67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N71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'_RawData'!$A$2:$A$4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'_RawData'!$C$2:$C$4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'_RawData'!$B$2:$B$4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'_RawData'!$D$2:$D$4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'_Options'!$Y$2:$Y$4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'_RawData'!$H$2:$H$4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'_RawData'!$F$2:$F$4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'_RawData'!$F$2:$F$4</t>
        </is>
      </c>
      <c r="D5" t="inlineStr">
        <is>
          <t>'_Options'!$AA$2:$AA$6</t>
        </is>
      </c>
      <c r="M5" t="inlineStr">
        <is>
          <t>No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'_RawData'!$F$2:$F$4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'_RawData'!$H$2:$H$4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'_RawData'!$G$2:$G$4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'_RawData'!$G$2:$G$4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/>
    <row r="22">
      <c r="A22" s="4" t="inlineStr">
        <is>
          <t>Option</t>
        </is>
      </c>
      <c r="B22" s="2" t="str">
        <f>IF(Demographics_Q_SS_EXPORT_CT="(None)","",IFERROR(INDEX(INDIRECT(IFERROR(INDEX(Cross_Tab_Questions_Options_Names,MATCH(Demographics_Q_SS_EXPORT_CT,Cross_Tab_Questions,0)),"'_Options'!$E$2:$E$2")),2),""))</f>
        <v/>
      </c>
      <c r="C22" s="2" t="str">
        <f>IF(Demographics_Q_SS_EXPORT_CT="(None)","",IFERROR(INDEX(INDIRECT(IFERROR(INDEX(Cross_Tab_Questions_Options_Names,MATCH(Demographics_Q_SS_EXPORT_CT,Cross_Tab_Questions,0)),"'_Options'!$E$2:$E$2")),3),""))</f>
        <v/>
      </c>
      <c r="D22" s="2" t="str">
        <f>IF(Demographics_Q_SS_EXPORT_CT="(None)","",IFERROR(INDEX(INDIRECT(IFERROR(INDEX(Cross_Tab_Questions_Options_Names,MATCH(Demographics_Q_SS_EXPORT_CT,Cross_Tab_Questions,0)),"'_Options'!$E$2:$E$2")),4),""))</f>
        <v/>
      </c>
      <c r="E22" s="2" t="str">
        <f>IF(Demographics_Q_SS_EXPORT_CT="(None)","",IFERROR(INDEX(INDIRECT(IFERROR(INDEX(Cross_Tab_Questions_Options_Names,MATCH(Demographics_Q_SS_EXPORT_CT,Cross_Tab_Questions,0)),"'_Options'!$E$2:$E$2")),5),""))</f>
        <v/>
      </c>
      <c r="F22" s="2" t="str">
        <f>IF(Demographics_Q_SS_EXPORT_CT="(None)","",IFERROR(INDEX(INDIRECT(IFERROR(INDEX(Cross_Tab_Questions_Options_Names,MATCH(Demographics_Q_SS_EXPORT_CT,Cross_Tab_Questions,0)),"'_Options'!$E$2:$E$2")),6),""))</f>
        <v/>
      </c>
      <c r="G22" s="2" t="str">
        <f>IF(Demographics_Q_SS_EXPORT_CT="(None)","",IFERROR(INDEX(INDIRECT(IFERROR(INDEX(Cross_Tab_Questions_Options_Names,MATCH(Demographics_Q_SS_EXPORT_CT,Cross_Tab_Questions,0)),"'_Options'!$E$2:$E$2")),7),""))</f>
        <v/>
      </c>
      <c r="H22" s="2" t="str">
        <f>IF(Demographics_Q_SS_EXPORT_CT="(None)","",IFERROR(INDEX(INDIRECT(IFERROR(INDEX(Cross_Tab_Questions_Options_Names,MATCH(Demographics_Q_SS_EXPORT_CT,Cross_Tab_Questions,0)),"'_Options'!$E$2:$E$2")),8),""))</f>
        <v/>
      </c>
      <c r="I22" s="2" t="str">
        <f>IF(Demographics_Q_SS_EXPORT_CT="(None)","",IFERROR(INDEX(INDIRECT(IFERROR(INDEX(Cross_Tab_Questions_Options_Names,MATCH(Demographics_Q_SS_EXPORT_CT,Cross_Tab_Questions,0)),"'_Options'!$E$2:$E$2")),9),""))</f>
        <v/>
      </c>
      <c r="J22" s="2" t="str">
        <f>IF(Demographics_Q_SS_EXPORT_CT="(None)","",IFERROR(INDEX(INDIRECT(IFERROR(INDEX(Cross_Tab_Questions_Options_Names,MATCH(Demographics_Q_SS_EXPORT_CT,Cross_Tab_Questions,0)),"'_Options'!$E$2:$E$2")),10),""))</f>
        <v/>
      </c>
      <c r="K22" s="2" t="str">
        <f>IF(Demographics_Q_SS_EXPORT_CT="(None)","",IFERROR(INDEX(INDIRECT(IFERROR(INDEX(Cross_Tab_Questions_Options_Names,MATCH(Demographics_Q_SS_EXPORT_CT,Cross_Tab_Questions,0)),"'_Options'!$E$2:$E$2")),11),""))</f>
        <v/>
      </c>
      <c r="L22" s="2" t="str">
        <f>IF(Demographics_Q_SS_EXPORT_CT="(None)","",IFERROR(INDEX(INDIRECT(IFERROR(INDEX(Cross_Tab_Questions_Options_Names,MATCH(Demographics_Q_SS_EXPORT_CT,Cross_Tab_Questions,0)),"'_Options'!$E$2:$E$2")),12),""))</f>
        <v/>
      </c>
      <c r="M22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4">
        <f>IF(OR(Demographics_Q_SS_EXPORT_CT="(None)",B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4" s="14">
        <f>IF(OR(Demographics_Q_SS_EXPORT_CT="(None)",C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4" s="14">
        <f>IF(OR(Demographics_Q_SS_EXPORT_CT="(None)",D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4" s="14">
        <f>IF(OR(Demographics_Q_SS_EXPORT_CT="(None)",E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4" s="14">
        <f>IF(OR(Demographics_Q_SS_EXPORT_CT="(None)",F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4" s="14">
        <f>IF(OR(Demographics_Q_SS_EXPORT_CT="(None)",G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4" s="14">
        <f>IF(OR(Demographics_Q_SS_EXPORT_CT="(None)",H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4" s="14">
        <f>IF(OR(Demographics_Q_SS_EXPORT_CT="(None)",I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4" s="14">
        <f>IF(OR(Demographics_Q_SS_EXPORT_CT="(None)",J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4" s="14">
        <f>IF(OR(Demographics_Q_SS_EXPORT_CT="(None)",K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4" s="14">
        <f>IF(OR(Demographics_Q_SS_EXPORT_CT="(None)",L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4" s="14">
        <f>IF(OR(Demographics_Q_SS_EXPORT_CT="(None)",M$22=""),"",IF(M$22="Other",COUNTIFS(Q_SS_EXPORT_data,"Yes",passes_workbook_filters_data,1,passes_workbook_custom_filters_data,1,Demographics_passes_local_filters_data,1,Demographics_Q_SS_EXPORT_F_passes_per_q_filter_data,1)-SUM(B24,C24,D24,E24,F24,G24,H24,I24,J24,K24,L24)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4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5">
      <c r="A25" t="inlineStr">
        <is>
          <t>No</t>
        </is>
      </c>
      <c r="B25" s="14">
        <f>IF(OR(Demographics_Q_SS_EXPORT_CT="(None)",B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5" s="14">
        <f>IF(OR(Demographics_Q_SS_EXPORT_CT="(None)",C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5" s="14">
        <f>IF(OR(Demographics_Q_SS_EXPORT_CT="(None)",D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5" s="14">
        <f>IF(OR(Demographics_Q_SS_EXPORT_CT="(None)",E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5" s="14">
        <f>IF(OR(Demographics_Q_SS_EXPORT_CT="(None)",F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5" s="14">
        <f>IF(OR(Demographics_Q_SS_EXPORT_CT="(None)",G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5" s="14">
        <f>IF(OR(Demographics_Q_SS_EXPORT_CT="(None)",H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5" s="14">
        <f>IF(OR(Demographics_Q_SS_EXPORT_CT="(None)",I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5" s="14">
        <f>IF(OR(Demographics_Q_SS_EXPORT_CT="(None)",J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5" s="14">
        <f>IF(OR(Demographics_Q_SS_EXPORT_CT="(None)",K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5" s="14">
        <f>IF(OR(Demographics_Q_SS_EXPORT_CT="(None)",L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5" s="14">
        <f>IF(OR(Demographics_Q_SS_EXPORT_CT="(None)",M$22=""),"",IF(M$22="Other",COUNTIFS(Q_SS_EXPORT_data,"No",passes_workbook_filters_data,1,passes_workbook_custom_filters_data,1,Demographics_passes_local_filters_data,1,Demographics_Q_SS_EXPORT_F_passes_per_q_filter_data,1)-SUM(B25,C25,D25,E25,F25,G25,H25,I25,J25,K25,L25)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5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>
      <c r="A21" s="4" t="inlineStr">
        <is>
          <t>Total responses</t>
        </is>
      </c>
      <c r="B21" s="4" t="n">
        <v>7</v>
      </c>
      <c r="C21" s="4" t="n"/>
      <c r="D21" s="4" t="n"/>
    </row>
    <row r="22"/>
    <row r="23">
      <c r="A23" s="4" t="inlineStr">
        <is>
          <t>Option</t>
        </is>
      </c>
      <c r="B23" s="2" t="str">
        <f>IF(All_Questions_Q_MS_EXPORT_CT="(None)","",IFERROR(INDEX(INDIRECT(IFERROR(INDEX(Cross_Tab_Questions_Options_Names,MATCH(All_Questions_Q_MS_EXPORT_CT,Cross_Tab_Questions,0)),"'_Options'!$E$2:$E$2")),2),""))</f>
        <v/>
      </c>
      <c r="C23" s="2" t="str">
        <f>IF(All_Questions_Q_MS_EXPORT_CT="(None)","",IFERROR(INDEX(INDIRECT(IFERROR(INDEX(Cross_Tab_Questions_Options_Names,MATCH(All_Questions_Q_MS_EXPORT_CT,Cross_Tab_Questions,0)),"'_Options'!$E$2:$E$2")),3),""))</f>
        <v/>
      </c>
      <c r="D23" s="2" t="str">
        <f>IF(All_Questions_Q_MS_EXPORT_CT="(None)","",IFERROR(INDEX(INDIRECT(IFERROR(INDEX(Cross_Tab_Questions_Options_Names,MATCH(All_Questions_Q_MS_EXPORT_CT,Cross_Tab_Questions,0)),"'_Options'!$E$2:$E$2")),4),""))</f>
        <v/>
      </c>
      <c r="E23" s="2" t="str">
        <f>IF(All_Questions_Q_MS_EXPORT_CT="(None)","",IFERROR(INDEX(INDIRECT(IFERROR(INDEX(Cross_Tab_Questions_Options_Names,MATCH(All_Questions_Q_MS_EXPORT_CT,Cross_Tab_Questions,0)),"'_Options'!$E$2:$E$2")),5),""))</f>
        <v/>
      </c>
      <c r="F23" s="2" t="str">
        <f>IF(All_Questions_Q_MS_EXPORT_CT="(None)","",IFERROR(INDEX(INDIRECT(IFERROR(INDEX(Cross_Tab_Questions_Options_Names,MATCH(All_Questions_Q_MS_EXPORT_CT,Cross_Tab_Questions,0)),"'_Options'!$E$2:$E$2")),6),""))</f>
        <v/>
      </c>
      <c r="G23" s="2" t="str">
        <f>IF(All_Questions_Q_MS_EXPORT_CT="(None)","",IFERROR(INDEX(INDIRECT(IFERROR(INDEX(Cross_Tab_Questions_Options_Names,MATCH(All_Questions_Q_MS_EXPORT_CT,Cross_Tab_Questions,0)),"'_Options'!$E$2:$E$2")),7),""))</f>
        <v/>
      </c>
      <c r="H23" s="2" t="str">
        <f>IF(All_Questions_Q_MS_EXPORT_CT="(None)","",IFERROR(INDEX(INDIRECT(IFERROR(INDEX(Cross_Tab_Questions_Options_Names,MATCH(All_Questions_Q_MS_EXPORT_CT,Cross_Tab_Questions,0)),"'_Options'!$E$2:$E$2")),8),""))</f>
        <v/>
      </c>
      <c r="I23" s="2" t="str">
        <f>IF(All_Questions_Q_MS_EXPORT_CT="(None)","",IFERROR(INDEX(INDIRECT(IFERROR(INDEX(Cross_Tab_Questions_Options_Names,MATCH(All_Questions_Q_MS_EXPORT_CT,Cross_Tab_Questions,0)),"'_Options'!$E$2:$E$2")),9),""))</f>
        <v/>
      </c>
      <c r="J23" s="2" t="str">
        <f>IF(All_Questions_Q_MS_EXPORT_CT="(None)","",IFERROR(INDEX(INDIRECT(IFERROR(INDEX(Cross_Tab_Questions_Options_Names,MATCH(All_Questions_Q_MS_EXPORT_CT,Cross_Tab_Questions,0)),"'_Options'!$E$2:$E$2")),10),""))</f>
        <v/>
      </c>
      <c r="K23" s="2" t="str">
        <f>IF(All_Questions_Q_MS_EXPORT_CT="(None)","",IFERROR(INDEX(INDIRECT(IFERROR(INDEX(Cross_Tab_Questions_Options_Names,MATCH(All_Questions_Q_MS_EXPORT_CT,Cross_Tab_Questions,0)),"'_Options'!$E$2:$E$2")),11),""))</f>
        <v/>
      </c>
      <c r="L23" s="2" t="str">
        <f>IF(All_Questions_Q_MS_EXPORT_CT="(None)","",IFERROR(INDEX(INDIRECT(IFERROR(INDEX(Cross_Tab_Questions_Options_Names,MATCH(All_Questions_Q_MS_EXPORT_CT,Cross_Tab_Questions,0)),"'_Options'!$E$2:$E$2")),12),""))</f>
        <v/>
      </c>
      <c r="M23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% selected</t>
        </is>
      </c>
      <c r="C24" s="4" t="inlineStr">
        <is>
          <t>% selected</t>
        </is>
      </c>
      <c r="D24" s="4" t="inlineStr">
        <is>
          <t>% selected</t>
        </is>
      </c>
      <c r="E24" s="4" t="inlineStr">
        <is>
          <t>% selected</t>
        </is>
      </c>
      <c r="F24" s="4" t="inlineStr">
        <is>
          <t>% selected</t>
        </is>
      </c>
      <c r="G24" s="4" t="inlineStr">
        <is>
          <t>% selected</t>
        </is>
      </c>
      <c r="H24" s="4" t="inlineStr">
        <is>
          <t>% selected</t>
        </is>
      </c>
      <c r="I24" s="4" t="inlineStr">
        <is>
          <t>% selected</t>
        </is>
      </c>
      <c r="J24" s="4" t="inlineStr">
        <is>
          <t>% selected</t>
        </is>
      </c>
      <c r="K24" s="4" t="inlineStr">
        <is>
          <t>% selected</t>
        </is>
      </c>
      <c r="L24" s="4" t="inlineStr">
        <is>
          <t>% selected</t>
        </is>
      </c>
      <c r="M24" s="4" t="inlineStr">
        <is>
          <t>% selected</t>
        </is>
      </c>
      <c r="N24" s="4" t="inlineStr">
        <is>
          <t>% selected</t>
        </is>
      </c>
    </row>
    <row r="25">
      <c r="A25" t="inlineStr">
        <is>
          <t>First</t>
        </is>
      </c>
      <c r="B25" s="7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0.5</v>
      </c>
      <c r="C25" s="7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0.5</v>
      </c>
      <c r="D25" s="7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0.5</v>
      </c>
      <c r="E25" s="7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0.5</v>
      </c>
      <c r="F25" s="7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0.5</v>
      </c>
      <c r="G25" s="7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0.5</v>
      </c>
      <c r="H25" s="7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0.5</v>
      </c>
      <c r="I25" s="7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0.5</v>
      </c>
      <c r="J25" s="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0.5</v>
      </c>
      <c r="K25" s="7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0.5</v>
      </c>
      <c r="L25" s="7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0.5</v>
      </c>
      <c r="M25" s="7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0.5</v>
      </c>
      <c r="N25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6">
      <c r="A26" t="inlineStr">
        <is>
          <t>Second</t>
        </is>
      </c>
      <c r="B26" s="7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0.2</v>
      </c>
      <c r="C26" s="7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0.2</v>
      </c>
      <c r="D26" s="7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0.2</v>
      </c>
      <c r="E26" s="7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0.2</v>
      </c>
      <c r="F26" s="7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0.2</v>
      </c>
      <c r="G26" s="7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0.2</v>
      </c>
      <c r="H26" s="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0.2</v>
      </c>
      <c r="I26" s="7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0.2</v>
      </c>
      <c r="J26" s="7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0.2</v>
      </c>
      <c r="K26" s="7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0.2</v>
      </c>
      <c r="L26" s="7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0.2</v>
      </c>
      <c r="M26" s="7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0.2</v>
      </c>
      <c r="N26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1" t="str">
        <f>"|" &amp; SUBSTITUTE(All_Questions_Q_NUM_EXPORT_F_V, ", ", "|") &amp; "|"</f>
        <v>|(All)|</v>
      </c>
      <c r="H31" t="str">
        <f>IFERROR(INDEX(All_Questions_Value_Criteria,MATCH(All_Questions_Q_NUM_EXPORT_F_Q&amp;"|"&amp;All_Questions_Q_NUM_EXPORT_F_V,All_Questions_Value_Keys,0)),All_Questions_Q_NUM_EXPORT_F_V)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 s="1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 s="16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s="16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Median</t>
        </is>
      </c>
      <c r="B39" s="16" t="n">
        <v>5.5</v>
      </c>
      <c r="C39" t="inlineStr">
        <is>
          <t>static baseline</t>
        </is>
      </c>
      <c r="D39" s="14" t="n">
        <v>10</v>
      </c>
    </row>
    <row r="40"/>
    <row r="41">
      <c r="A41" s="4" t="inlineStr">
        <is>
          <t>Option</t>
        </is>
      </c>
      <c r="B41" s="2" t="str">
        <f>IF(All_Questions_Q_NUM_EXPORT_CT="(None)","",IFERROR(INDEX(INDIRECT(IFERROR(INDEX(Cross_Tab_Questions_Options_Names,MATCH(All_Questions_Q_NUM_EXPORT_CT,Cross_Tab_Questions,0)),"'_Options'!$E$2:$E$2")),2),""))</f>
        <v/>
      </c>
      <c r="C41" s="2" t="str">
        <f>IF(All_Questions_Q_NUM_EXPORT_CT="(None)","",IFERROR(INDEX(INDIRECT(IFERROR(INDEX(Cross_Tab_Questions_Options_Names,MATCH(All_Questions_Q_NUM_EXPORT_CT,Cross_Tab_Questions,0)),"'_Options'!$E$2:$E$2")),3),""))</f>
        <v/>
      </c>
      <c r="D41" s="2" t="str">
        <f>IF(All_Questions_Q_NUM_EXPORT_CT="(None)","",IFERROR(INDEX(INDIRECT(IFERROR(INDEX(Cross_Tab_Questions_Options_Names,MATCH(All_Questions_Q_NUM_EXPORT_CT,Cross_Tab_Questions,0)),"'_Options'!$E$2:$E$2")),4),""))</f>
        <v/>
      </c>
      <c r="E41" s="2" t="str">
        <f>IF(All_Questions_Q_NUM_EXPORT_CT="(None)","",IFERROR(INDEX(INDIRECT(IFERROR(INDEX(Cross_Tab_Questions_Options_Names,MATCH(All_Questions_Q_NUM_EXPORT_CT,Cross_Tab_Questions,0)),"'_Options'!$E$2:$E$2")),5),""))</f>
        <v/>
      </c>
      <c r="F41" s="2" t="str">
        <f>IF(All_Questions_Q_NUM_EXPORT_CT="(None)","",IFERROR(INDEX(INDIRECT(IFERROR(INDEX(Cross_Tab_Questions_Options_Names,MATCH(All_Questions_Q_NUM_EXPORT_CT,Cross_Tab_Questions,0)),"'_Options'!$E$2:$E$2")),6),""))</f>
        <v/>
      </c>
      <c r="G41" s="2" t="str">
        <f>IF(All_Questions_Q_NUM_EXPORT_CT="(None)","",IFERROR(INDEX(INDIRECT(IFERROR(INDEX(Cross_Tab_Questions_Options_Names,MATCH(All_Questions_Q_NUM_EXPORT_CT,Cross_Tab_Questions,0)),"'_Options'!$E$2:$E$2")),7),""))</f>
        <v/>
      </c>
      <c r="H41" s="2" t="str">
        <f>IF(All_Questions_Q_NUM_EXPORT_CT="(None)","",IFERROR(INDEX(INDIRECT(IFERROR(INDEX(Cross_Tab_Questions_Options_Names,MATCH(All_Questions_Q_NUM_EXPORT_CT,Cross_Tab_Questions,0)),"'_Options'!$E$2:$E$2")),8),""))</f>
        <v/>
      </c>
      <c r="I41" s="2" t="str">
        <f>IF(All_Questions_Q_NUM_EXPORT_CT="(None)","",IFERROR(INDEX(INDIRECT(IFERROR(INDEX(Cross_Tab_Questions_Options_Names,MATCH(All_Questions_Q_NUM_EXPORT_CT,Cross_Tab_Questions,0)),"'_Options'!$E$2:$E$2")),9),""))</f>
        <v/>
      </c>
      <c r="J41" s="2" t="str">
        <f>IF(All_Questions_Q_NUM_EXPORT_CT="(None)","",IFERROR(INDEX(INDIRECT(IFERROR(INDEX(Cross_Tab_Questions_Options_Names,MATCH(All_Questions_Q_NUM_EXPORT_CT,Cross_Tab_Questions,0)),"'_Options'!$E$2:$E$2")),10),""))</f>
        <v/>
      </c>
      <c r="K41" s="2" t="str">
        <f>IF(All_Questions_Q_NUM_EXPORT_CT="(None)","",IFERROR(INDEX(INDIRECT(IFERROR(INDEX(Cross_Tab_Questions_Options_Names,MATCH(All_Questions_Q_NUM_EXPORT_CT,Cross_Tab_Questions,0)),"'_Options'!$E$2:$E$2")),11),""))</f>
        <v/>
      </c>
      <c r="L41" s="2" t="str">
        <f>IF(All_Questions_Q_NUM_EXPORT_CT="(None)","",IFERROR(INDEX(INDIRECT(IFERROR(INDEX(Cross_Tab_Questions_Options_Names,MATCH(All_Questions_Q_NUM_EXPORT_CT,Cross_Tab_Questions,0)),"'_Options'!$E$2:$E$2")),12),""))</f>
        <v/>
      </c>
      <c r="M41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41" s="4" t="inlineStr">
        <is>
          <t>Total</t>
        </is>
      </c>
    </row>
    <row r="42">
      <c r="A42" s="4" t="inlineStr"/>
      <c r="B42" s="4" t="inlineStr">
        <is>
          <t>Mean</t>
        </is>
      </c>
      <c r="C42" s="4" t="inlineStr">
        <is>
          <t>Mean</t>
        </is>
      </c>
      <c r="D42" s="4" t="inlineStr">
        <is>
          <t>Mean</t>
        </is>
      </c>
      <c r="E42" s="4" t="inlineStr">
        <is>
          <t>Mean</t>
        </is>
      </c>
      <c r="F42" s="4" t="inlineStr">
        <is>
          <t>Mean</t>
        </is>
      </c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</row>
    <row r="43">
      <c r="A43" t="inlineStr">
        <is>
          <t>Numeric export question</t>
        </is>
      </c>
      <c r="B43" s="16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5.5</v>
      </c>
      <c r="C43" s="16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5.5</v>
      </c>
      <c r="D43" s="16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5.5</v>
      </c>
      <c r="E43" s="1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5.5</v>
      </c>
      <c r="F43" s="16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5.5</v>
      </c>
      <c r="G43" s="16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5.5</v>
      </c>
      <c r="H43" s="16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5.5</v>
      </c>
      <c r="I43" s="16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5.5</v>
      </c>
      <c r="J43" s="16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5.5</v>
      </c>
      <c r="K43" s="16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5.5</v>
      </c>
      <c r="L43" s="16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5.5</v>
      </c>
      <c r="M43" s="16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5.5</v>
      </c>
      <c r="N43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Q_GRID_EXPORT - Grid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8" t="str">
        <f>"|" &amp; SUBSTITUTE(All_Questions_Q_GRID_EXPORT_F_V, ", ", "|") &amp; "|"</f>
        <v>|(All)|</v>
      </c>
      <c r="H48" t="str">
        <f>IFERROR(INDEX(All_Questions_Value_Criteria,MATCH(All_Questions_Q_GRID_EXPORT_F_Q&amp;"|"&amp;All_Questions_Q_GRID_EXPORT_F_V,All_Questions_Value_Keys,0)),All_Questions_Q_GRID_EXPORT_F_V)</f>
        <v>(All)</v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E54" s="15" t="n"/>
      <c r="F54" s="15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9" t="str">
        <f>"|" &amp; SUBSTITUTE(All_Questions_Q_VERY_LONG_SINGLE_SELECT_EXPORT_NAME_F_V, ", ", "|") &amp; "|"</f>
        <v>|(All)|</v>
      </c>
      <c r="H59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4">
        <f>SUBTOTAL(9,B63:B64)</f>
        <v>10</v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4">
        <f>SUBTOTAL(9,B63:B64)</f>
        <v>10</v>
      </c>
    </row>
    <row r="65">
      <c r="A65" s="15" t="inlineStr">
        <is>
          <t>Total respondents</t>
        </is>
      </c>
      <c r="B65" s="15" t="n">
        <v>10</v>
      </c>
      <c r="C65" s="15" t="n"/>
      <c r="D65" s="15" t="n"/>
    </row>
    <row r="66"/>
    <row r="67">
      <c r="A67" s="4" t="inlineStr">
        <is>
          <t>Option</t>
        </is>
      </c>
      <c r="B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67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67" s="4" t="inlineStr">
        <is>
          <t>Total</t>
        </is>
      </c>
    </row>
    <row r="68">
      <c r="A68" s="4" t="inlineStr"/>
      <c r="B68" s="4" t="inlineStr">
        <is>
          <t># of resp</t>
        </is>
      </c>
      <c r="C68" s="4" t="inlineStr">
        <is>
          <t># of resp</t>
        </is>
      </c>
      <c r="D68" s="4" t="inlineStr">
        <is>
          <t># of resp</t>
        </is>
      </c>
      <c r="E68" s="4" t="inlineStr">
        <is>
          <t># of resp</t>
        </is>
      </c>
      <c r="F68" s="4" t="inlineStr">
        <is>
          <t># of resp</t>
        </is>
      </c>
      <c r="G68" s="4" t="inlineStr">
        <is>
          <t># of resp</t>
        </is>
      </c>
      <c r="H68" s="4" t="inlineStr">
        <is>
          <t># of resp</t>
        </is>
      </c>
      <c r="I68" s="4" t="inlineStr">
        <is>
          <t># of resp</t>
        </is>
      </c>
      <c r="J68" s="4" t="inlineStr">
        <is>
          <t># of resp</t>
        </is>
      </c>
      <c r="K68" s="4" t="inlineStr">
        <is>
          <t># of resp</t>
        </is>
      </c>
      <c r="L68" s="4" t="inlineStr">
        <is>
          <t># of resp</t>
        </is>
      </c>
      <c r="M68" s="4" t="inlineStr">
        <is>
          <t># of resp</t>
        </is>
      </c>
      <c r="N68" s="4" t="inlineStr">
        <is>
          <t># of resp</t>
        </is>
      </c>
    </row>
    <row r="69">
      <c r="A69" t="inlineStr">
        <is>
          <t>A</t>
        </is>
      </c>
      <c r="B69" s="14">
        <f>IF(OR(All_Questions_Q_VERY_LONG_SINGLE_SELECT_EXPORT_NAME_CT="(None)",B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69" s="14">
        <f>IF(OR(All_Questions_Q_VERY_LONG_SINGLE_SELECT_EXPORT_NAME_CT="(None)",C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69" s="14">
        <f>IF(OR(All_Questions_Q_VERY_LONG_SINGLE_SELECT_EXPORT_NAME_CT="(None)",D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69" s="14">
        <f>IF(OR(All_Questions_Q_VERY_LONG_SINGLE_SELECT_EXPORT_NAME_CT="(None)",E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69" s="14">
        <f>IF(OR(All_Questions_Q_VERY_LONG_SINGLE_SELECT_EXPORT_NAME_CT="(None)",F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69" s="14">
        <f>IF(OR(All_Questions_Q_VERY_LONG_SINGLE_SELECT_EXPORT_NAME_CT="(None)",G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69" s="14">
        <f>IF(OR(All_Questions_Q_VERY_LONG_SINGLE_SELECT_EXPORT_NAME_CT="(None)",H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69" s="14">
        <f>IF(OR(All_Questions_Q_VERY_LONG_SINGLE_SELECT_EXPORT_NAME_CT="(None)",I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69" s="14">
        <f>IF(OR(All_Questions_Q_VERY_LONG_SINGLE_SELECT_EXPORT_NAME_CT="(None)",J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69" s="14">
        <f>IF(OR(All_Questions_Q_VERY_LONG_SINGLE_SELECT_EXPORT_NAME_CT="(None)",K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69" s="14">
        <f>IF(OR(All_Questions_Q_VERY_LONG_SINGLE_SELECT_EXPORT_NAME_CT="(None)",L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69" s="14">
        <f>IF(OR(All_Questions_Q_VERY_LONG_SINGLE_SELECT_EXPORT_NAME_CT="(None)",M$67=""),"",IF(M$67="Other",COUNTIFS(Q_VERY_LONG_SINGLE_SELECT_EXPOR_data,"A",passes_workbook_filters_data,1,passes_workbook_custom_filters_data,1,All_Questions_passes_local_filters_data,1,All_Questions_Q_VERY_LONG_SINGLE_SELECT_EXPORT_NAME_F_passes_per_q_filter_data,1)-SUM(B69,C69,D69,E69,F69,G69,H69,I69,J69,K69,L69)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69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0">
      <c r="A70" t="inlineStr">
        <is>
          <t>B</t>
        </is>
      </c>
      <c r="B70" s="14">
        <f>IF(OR(All_Questions_Q_VERY_LONG_SINGLE_SELECT_EXPORT_NAME_CT="(None)",B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70" s="14">
        <f>IF(OR(All_Questions_Q_VERY_LONG_SINGLE_SELECT_EXPORT_NAME_CT="(None)",C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70" s="14">
        <f>IF(OR(All_Questions_Q_VERY_LONG_SINGLE_SELECT_EXPORT_NAME_CT="(None)",D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70" s="14">
        <f>IF(OR(All_Questions_Q_VERY_LONG_SINGLE_SELECT_EXPORT_NAME_CT="(None)",E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70" s="14">
        <f>IF(OR(All_Questions_Q_VERY_LONG_SINGLE_SELECT_EXPORT_NAME_CT="(None)",F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70" s="14">
        <f>IF(OR(All_Questions_Q_VERY_LONG_SINGLE_SELECT_EXPORT_NAME_CT="(None)",G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70" s="14">
        <f>IF(OR(All_Questions_Q_VERY_LONG_SINGLE_SELECT_EXPORT_NAME_CT="(None)",H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70" s="14">
        <f>IF(OR(All_Questions_Q_VERY_LONG_SINGLE_SELECT_EXPORT_NAME_CT="(None)",I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70" s="14">
        <f>IF(OR(All_Questions_Q_VERY_LONG_SINGLE_SELECT_EXPORT_NAME_CT="(None)",J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70" s="14">
        <f>IF(OR(All_Questions_Q_VERY_LONG_SINGLE_SELECT_EXPORT_NAME_CT="(None)",K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70" s="14">
        <f>IF(OR(All_Questions_Q_VERY_LONG_SINGLE_SELECT_EXPORT_NAME_CT="(None)",L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70" s="14">
        <f>IF(OR(All_Questions_Q_VERY_LONG_SINGLE_SELECT_EXPORT_NAME_CT="(None)",M$67=""),"",IF(M$67="Other",COUNTIFS(Q_VERY_LONG_SINGLE_SELECT_EXPOR_data,"B",passes_workbook_filters_data,1,passes_workbook_custom_filters_data,1,All_Questions_passes_local_filters_data,1,All_Questions_Q_VERY_LONG_SINGLE_SELECT_EXPORT_NAME_F_passes_per_q_filter_data,1)-SUM(B70,C70,D70,E70,F70,G70,H70,I70,J70,K70,L70)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70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1">
      <c r="A71" s="4" t="inlineStr">
        <is>
          <t>Total respondents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9:D70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9:E70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9:F70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9:G70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9:H70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9:I70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9:J70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9:K70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9:L70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9:M70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6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2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B$23</t>
        </is>
      </c>
      <c r="H9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9" t="n">
        <v>0.5</v>
      </c>
      <c r="J9" t="n">
        <v>0</v>
      </c>
      <c r="K9" t="n">
        <v>0</v>
      </c>
      <c r="L9" t="inlineStr">
        <is>
          <t>2026-06-09T11:19:06.228386+00:00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C$23</t>
        </is>
      </c>
      <c r="H10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10" t="n">
        <v>0.5</v>
      </c>
      <c r="J10" t="n">
        <v>0</v>
      </c>
      <c r="K10" t="n">
        <v>0</v>
      </c>
      <c r="L10" t="inlineStr">
        <is>
          <t>2026-06-09T11:19:06.228443+00:00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D$23</t>
        </is>
      </c>
      <c r="H11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11" t="n">
        <v>0.5</v>
      </c>
      <c r="J11" t="n">
        <v>0</v>
      </c>
      <c r="K11" t="n">
        <v>0</v>
      </c>
      <c r="L11" t="inlineStr">
        <is>
          <t>2026-06-09T11:19:06.228485+00:00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E$23</t>
        </is>
      </c>
      <c r="H12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12" t="n">
        <v>0.5</v>
      </c>
      <c r="J12" t="n">
        <v>0</v>
      </c>
      <c r="K12" t="n">
        <v>0</v>
      </c>
      <c r="L12" t="inlineStr">
        <is>
          <t>2026-06-09T11:19:06.228525+00:00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F$23</t>
        </is>
      </c>
      <c r="H13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13" t="n">
        <v>0.5</v>
      </c>
      <c r="J13" t="n">
        <v>0</v>
      </c>
      <c r="K13" t="n">
        <v>0</v>
      </c>
      <c r="L13" t="inlineStr">
        <is>
          <t>2026-06-09T11:19:06.228565+00:00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G$23</t>
        </is>
      </c>
      <c r="H14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14" t="n">
        <v>0.5</v>
      </c>
      <c r="J14" t="n">
        <v>0</v>
      </c>
      <c r="K14" t="n">
        <v>0</v>
      </c>
      <c r="L14" t="inlineStr">
        <is>
          <t>2026-06-09T11:19:06.228602+00:00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H$23</t>
        </is>
      </c>
      <c r="H15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15" t="n">
        <v>0.5</v>
      </c>
      <c r="J15" t="n">
        <v>0</v>
      </c>
      <c r="K15" t="n">
        <v>0</v>
      </c>
      <c r="L15" t="inlineStr">
        <is>
          <t>2026-06-09T11:19:06.228639+00:00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I$23</t>
        </is>
      </c>
      <c r="H16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16" t="n">
        <v>0.5</v>
      </c>
      <c r="J16" t="n">
        <v>0</v>
      </c>
      <c r="K16" t="n">
        <v>0</v>
      </c>
      <c r="L16" t="inlineStr">
        <is>
          <t>2026-06-09T11:19:06.228677+00:00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J$23</t>
        </is>
      </c>
      <c r="H1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17" t="n">
        <v>0.5</v>
      </c>
      <c r="J17" t="n">
        <v>0</v>
      </c>
      <c r="K17" t="n">
        <v>0</v>
      </c>
      <c r="L17" t="inlineStr">
        <is>
          <t>2026-06-09T11:19:06.228715+00:00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K$23</t>
        </is>
      </c>
      <c r="H18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18" t="n">
        <v>0.5</v>
      </c>
      <c r="J18" t="n">
        <v>0</v>
      </c>
      <c r="K18" t="n">
        <v>0</v>
      </c>
      <c r="L18" t="inlineStr">
        <is>
          <t>2026-06-09T11:19:06.228754+00:00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L$23</t>
        </is>
      </c>
      <c r="H19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19" t="n">
        <v>0.5</v>
      </c>
      <c r="J19" t="n">
        <v>0</v>
      </c>
      <c r="K19" t="n">
        <v>0</v>
      </c>
      <c r="L19" t="inlineStr">
        <is>
          <t>2026-06-09T11:19:06.228793+00:00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M$23</t>
        </is>
      </c>
      <c r="H20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20" t="n">
        <v>0.5</v>
      </c>
      <c r="J20" t="n">
        <v>0</v>
      </c>
      <c r="K20" t="n">
        <v>0</v>
      </c>
      <c r="L20" t="inlineStr">
        <is>
          <t>2026-06-09T11:19:06.228841+00:00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B$23</t>
        </is>
      </c>
      <c r="H21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21" t="n">
        <v>0.2</v>
      </c>
      <c r="J21" t="n">
        <v>0</v>
      </c>
      <c r="K21" t="n">
        <v>0</v>
      </c>
      <c r="L21" t="inlineStr">
        <is>
          <t>2026-06-09T11:19:06.228933+00:00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C$23</t>
        </is>
      </c>
      <c r="H22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22" t="n">
        <v>0.2</v>
      </c>
      <c r="J22" t="n">
        <v>0</v>
      </c>
      <c r="K22" t="n">
        <v>0</v>
      </c>
      <c r="L22" t="inlineStr">
        <is>
          <t>2026-06-09T11:19:06.229010+00:00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D$23</t>
        </is>
      </c>
      <c r="H23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23" t="n">
        <v>0.2</v>
      </c>
      <c r="J23" t="n">
        <v>0</v>
      </c>
      <c r="K23" t="n">
        <v>0</v>
      </c>
      <c r="L23" t="inlineStr">
        <is>
          <t>2026-06-09T11:19:06.229057+00:00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E$23</t>
        </is>
      </c>
      <c r="H24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24" t="n">
        <v>0.2</v>
      </c>
      <c r="J24" t="n">
        <v>0</v>
      </c>
      <c r="K24" t="n">
        <v>0</v>
      </c>
      <c r="L24" t="inlineStr">
        <is>
          <t>2026-06-09T11:19:06.229099+00:00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F$23</t>
        </is>
      </c>
      <c r="H25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25" t="n">
        <v>0.2</v>
      </c>
      <c r="J25" t="n">
        <v>0</v>
      </c>
      <c r="K25" t="n">
        <v>0</v>
      </c>
      <c r="L25" t="inlineStr">
        <is>
          <t>2026-06-09T11:19:06.229139+00:00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G$23</t>
        </is>
      </c>
      <c r="H26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26" t="n">
        <v>0.2</v>
      </c>
      <c r="J26" t="n">
        <v>0</v>
      </c>
      <c r="K26" t="n">
        <v>0</v>
      </c>
      <c r="L26" t="inlineStr">
        <is>
          <t>2026-06-09T11:19:06.229179+00:00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H$23</t>
        </is>
      </c>
      <c r="H2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27" t="n">
        <v>0.2</v>
      </c>
      <c r="J27" t="n">
        <v>0</v>
      </c>
      <c r="K27" t="n">
        <v>0</v>
      </c>
      <c r="L27" t="inlineStr">
        <is>
          <t>2026-06-09T11:19:06.229218+00:00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I$23</t>
        </is>
      </c>
      <c r="H28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28" t="n">
        <v>0.2</v>
      </c>
      <c r="J28" t="n">
        <v>0</v>
      </c>
      <c r="K28" t="n">
        <v>0</v>
      </c>
      <c r="L28" t="inlineStr">
        <is>
          <t>2026-06-09T11:19:06.229258+00:00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J$23</t>
        </is>
      </c>
      <c r="H29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29" t="n">
        <v>0.2</v>
      </c>
      <c r="J29" t="n">
        <v>0</v>
      </c>
      <c r="K29" t="n">
        <v>0</v>
      </c>
      <c r="L29" t="inlineStr">
        <is>
          <t>2026-06-09T11:19:06.229298+00:00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K$23</t>
        </is>
      </c>
      <c r="H30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30" t="n">
        <v>0.2</v>
      </c>
      <c r="J30" t="n">
        <v>0</v>
      </c>
      <c r="K30" t="n">
        <v>0</v>
      </c>
      <c r="L30" t="inlineStr">
        <is>
          <t>2026-06-09T11:19:06.229338+00:00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L$23</t>
        </is>
      </c>
      <c r="H31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31" t="n">
        <v>0.2</v>
      </c>
      <c r="J31" t="n">
        <v>0</v>
      </c>
      <c r="K31" t="n">
        <v>0</v>
      </c>
      <c r="L31" t="inlineStr">
        <is>
          <t>2026-06-09T11:19:06.229374+00:00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M$23</t>
        </is>
      </c>
      <c r="H32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32" t="n">
        <v>0.2</v>
      </c>
      <c r="J32" t="n">
        <v>0</v>
      </c>
      <c r="K32" t="n">
        <v>0</v>
      </c>
      <c r="L32" t="inlineStr">
        <is>
          <t>2026-06-09T11:19:06.229423+00:00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B$41</t>
        </is>
      </c>
      <c r="H33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0</v>
      </c>
      <c r="I33" t="n">
        <v>5.5</v>
      </c>
      <c r="J33" t="n">
        <v>0</v>
      </c>
      <c r="K33" t="n">
        <v>0</v>
      </c>
      <c r="L33" t="inlineStr">
        <is>
          <t>2026-06-09T11:19:06.234044+00:00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C$41</t>
        </is>
      </c>
      <c r="H34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0</v>
      </c>
      <c r="I34" t="n">
        <v>5.5</v>
      </c>
      <c r="J34" t="n">
        <v>0</v>
      </c>
      <c r="K34" t="n">
        <v>0</v>
      </c>
      <c r="L34" t="inlineStr">
        <is>
          <t>2026-06-09T11:19:06.234084+00:00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D$41</t>
        </is>
      </c>
      <c r="H35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0</v>
      </c>
      <c r="I35" t="n">
        <v>5.5</v>
      </c>
      <c r="J35" t="n">
        <v>0</v>
      </c>
      <c r="K35" t="n">
        <v>0</v>
      </c>
      <c r="L35" t="inlineStr">
        <is>
          <t>2026-06-09T11:19:06.234117+00:00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E$41</t>
        </is>
      </c>
      <c r="H3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0</v>
      </c>
      <c r="I36" t="n">
        <v>5.5</v>
      </c>
      <c r="J36" t="n">
        <v>0</v>
      </c>
      <c r="K36" t="n">
        <v>0</v>
      </c>
      <c r="L36" t="inlineStr">
        <is>
          <t>2026-06-09T11:19:06.234146+00:00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F$41</t>
        </is>
      </c>
      <c r="H37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0</v>
      </c>
      <c r="I37" t="n">
        <v>5.5</v>
      </c>
      <c r="J37" t="n">
        <v>0</v>
      </c>
      <c r="K37" t="n">
        <v>0</v>
      </c>
      <c r="L37" t="inlineStr">
        <is>
          <t>2026-06-09T11:19:06.234173+00:00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G$41</t>
        </is>
      </c>
      <c r="H38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0</v>
      </c>
      <c r="I38" t="n">
        <v>5.5</v>
      </c>
      <c r="J38" t="n">
        <v>0</v>
      </c>
      <c r="K38" t="n">
        <v>0</v>
      </c>
      <c r="L38" t="inlineStr">
        <is>
          <t>2026-06-09T11:19:06.234199+00:00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H$41</t>
        </is>
      </c>
      <c r="H39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0</v>
      </c>
      <c r="I39" t="n">
        <v>5.5</v>
      </c>
      <c r="J39" t="n">
        <v>0</v>
      </c>
      <c r="K39" t="n">
        <v>0</v>
      </c>
      <c r="L39" t="inlineStr">
        <is>
          <t>2026-06-09T11:19:06.234224+00:00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I$41</t>
        </is>
      </c>
      <c r="H40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0</v>
      </c>
      <c r="I40" t="n">
        <v>5.5</v>
      </c>
      <c r="J40" t="n">
        <v>0</v>
      </c>
      <c r="K40" t="n">
        <v>0</v>
      </c>
      <c r="L40" t="inlineStr">
        <is>
          <t>2026-06-09T11:19:06.234249+00:00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J$41</t>
        </is>
      </c>
      <c r="H41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0</v>
      </c>
      <c r="I41" t="n">
        <v>5.5</v>
      </c>
      <c r="J41" t="n">
        <v>0</v>
      </c>
      <c r="K41" t="n">
        <v>0</v>
      </c>
      <c r="L41" t="inlineStr">
        <is>
          <t>2026-06-09T11:19:06.234275+00:00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K$41</t>
        </is>
      </c>
      <c r="H42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0</v>
      </c>
      <c r="I42" t="n">
        <v>5.5</v>
      </c>
      <c r="J42" t="n">
        <v>0</v>
      </c>
      <c r="K42" t="n">
        <v>0</v>
      </c>
      <c r="L42" t="inlineStr">
        <is>
          <t>2026-06-09T11:19:06.234301+00:00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L$41</t>
        </is>
      </c>
      <c r="H43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0</v>
      </c>
      <c r="I43" t="n">
        <v>5.5</v>
      </c>
      <c r="J43" t="n">
        <v>0</v>
      </c>
      <c r="K43" t="n">
        <v>0</v>
      </c>
      <c r="L43" t="inlineStr">
        <is>
          <t>2026-06-09T11:19:06.234327+00:00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M$41</t>
        </is>
      </c>
      <c r="H44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0</v>
      </c>
      <c r="I44" t="n">
        <v>5.5</v>
      </c>
      <c r="J44" t="n">
        <v>0</v>
      </c>
      <c r="K44" t="n">
        <v>0</v>
      </c>
      <c r="L44" t="inlineStr">
        <is>
          <t>2026-06-09T11:19:06.234361+00:00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2026-06-09T11:19:06Z</dcterms:created>
  <dcterms:modified xmlns:dcterms="http://purl.org/dc/terms/" xmlns:xsi="http://www.w3.org/2001/XMLSchema-instance" xsi:type="dcterms:W3CDTF">2026-06-09T11:19:06Z</dcterms:modified>
</cp:coreProperties>
</file>