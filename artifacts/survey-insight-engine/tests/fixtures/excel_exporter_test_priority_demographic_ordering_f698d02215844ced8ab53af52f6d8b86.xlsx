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Questions'!$C$39</definedName>
    <definedName name="All_Questions_Q_VERY_LONG_SINGLE_SELECT_EXPORT_NAME_F_V">'All Questions'!$E$39</definedName>
    <definedName name="All_Questions_Q_VERY_LONG_SINGLE_SELECT_EXPORT_NAME_F_resolved_column">'All Questions'!$F$39</definedName>
    <definedName name="All_Questions_Q_VERY_LONG_SINGLE_SELECT_EXPORT_NAME_F_wrapped">'All Questions'!$G$39</definedName>
    <definedName name="All_Questions_Q_VERY_LONG_SINGLE_SELECT_EXPORT_NAME_F_passes_per_q_filter_data">'_RawData'!$Y$2:$Y$11</definedName>
    <definedName name="All_Questions_Q_VERY_LONG_SINGLE_SELECT_EXPORT_NAME_CT">'All Questions'!$C$40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C32" i="8"/>
  <c r="D32" i="8"/>
  <c r="E32" i="8"/>
  <c r="F32" i="8"/>
  <c r="C33" i="8"/>
  <c r="D33" i="8"/>
  <c r="E33" i="8"/>
  <c r="F33" i="8"/>
  <c r="F39" i="8"/>
  <c r="G39" i="8"/>
  <c r="G42" i="8"/>
  <c r="H42" i="8"/>
  <c r="I42" i="8"/>
  <c r="J42" i="8"/>
  <c r="K42" i="8"/>
  <c r="L42" i="8"/>
  <c r="M42" i="8"/>
  <c r="N42" i="8"/>
  <c r="O42" i="8"/>
  <c r="P42" i="8"/>
  <c r="Q42" i="8"/>
  <c r="R42" i="8"/>
  <c r="B43" i="8"/>
  <c r="C43" i="8"/>
  <c r="D43" i="8"/>
  <c r="B44" i="8"/>
  <c r="C44" i="8"/>
  <c r="D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S4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3" headerRowCount="1">
  <autoFilter ref="A18:D2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2_1" displayName="T_All_Questions_42_1" ref="A42:D45" headerRowCount="1">
  <autoFilter ref="A42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*1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*1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*1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*1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*1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*1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*1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*1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*1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*1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0.5</v>
      </c>
      <c r="D29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MPRODUCT(--((--(Q_MS_EXPORTr1_data&lt;&gt;"")+--(Q_MS_EXPORTr2_data&lt;&gt;""))&gt;0),--(passes_workbook_filters_data=1),--(passes_workbook_custom_filters_data=1),--(Demographics_passes_local_filters_data=1),--(Demographics_Q_MS_EXPORT_F_passes_per_q_filter_data=1)),0)</f>
        <v>0.2</v>
      </c>
      <c r="D30" s="14">
        <f>SUMPRODUCT(--((--(Q_MS_EXPORTr1_data&lt;&gt;"")+--(Q_MS_EXPORTr2_data&lt;&gt;""))&gt;0),--(passes_workbook_filters_data=1),--(passes_workbook_custom_filters_data=1),--(Demographics_passes_local_filters_data=1),--(Demographics_Q_MS_EXPORT_F_passes_per_q_filter_data=1))</f>
        <v>10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 s="16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 s="16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 s="16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s="16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t="inlineStr">
        <is>
          <t>Median</t>
        </is>
      </c>
      <c r="B23" s="16" t="n">
        <v>5.5</v>
      </c>
      <c r="C23" t="inlineStr">
        <is>
          <t>static baseline</t>
        </is>
      </c>
      <c r="D23" s="14" t="n">
        <v>10</v>
      </c>
    </row>
    <row r="24"/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29"/>
    <row r="30">
      <c r="A30" s="4" t="inlineStr">
        <is>
          <t>Sub-question ID</t>
        </is>
      </c>
      <c r="B30" s="4" t="inlineStr">
        <is>
          <t>Sub-question</t>
        </is>
      </c>
      <c r="C30" s="4" t="inlineStr">
        <is>
          <t>High</t>
        </is>
      </c>
      <c r="D30" s="2" t="n"/>
      <c r="E30" s="4" t="inlineStr">
        <is>
          <t>Low</t>
        </is>
      </c>
      <c r="F30" s="2" t="n"/>
    </row>
    <row r="31">
      <c r="A31" s="2" t="inlineStr"/>
      <c r="B31" s="2" t="inlineStr"/>
      <c r="C31" s="4" t="inlineStr">
        <is>
          <t>Count</t>
        </is>
      </c>
      <c r="D31" s="4" t="inlineStr">
        <is>
          <t>%</t>
        </is>
      </c>
      <c r="E31" s="4" t="inlineStr">
        <is>
          <t>Count</t>
        </is>
      </c>
      <c r="F31" s="4" t="inlineStr">
        <is>
          <t>%</t>
        </is>
      </c>
    </row>
    <row r="32">
      <c r="A32" s="17" t="inlineStr">
        <is>
          <t>Q_GRID_EXPORTr1</t>
        </is>
      </c>
      <c r="B32" t="inlineStr">
        <is>
          <t>Grid first row</t>
        </is>
      </c>
      <c r="C32">
        <f>COUNTIFS(Q_GRID_EXPORTr1_data,"High",passes_workbook_filters_data,1,passes_workbook_custom_filters_data,1,All_Questions_passes_local_filters_data,1,All_Questions_Q_GRID_EXPORT_F_passes_per_q_filter_data,1)</f>
        <v>6</v>
      </c>
      <c r="D32" s="7">
        <f>IFERROR(C32/10,0)</f>
        <v>0.6</v>
      </c>
      <c r="E32">
        <f>COUNTIFS(Q_GRID_EXPORTr1_data,"Low",passes_workbook_filters_data,1,passes_workbook_custom_filters_data,1,All_Questions_passes_local_filters_data,1,All_Questions_Q_GRID_EXPORT_F_passes_per_q_filter_data,1)</f>
        <v>4</v>
      </c>
      <c r="F32" s="7">
        <f>IFERROR(E32/10,0)</f>
        <v>0.4</v>
      </c>
    </row>
    <row r="33">
      <c r="A33" s="17" t="inlineStr">
        <is>
          <t>Q_GRID_EXPORTr2</t>
        </is>
      </c>
      <c r="B33" t="inlineStr">
        <is>
          <t>Grid second row</t>
        </is>
      </c>
      <c r="C33">
        <f>COUNTIFS(Q_GRID_EXPORTr2_data,"High",passes_workbook_filters_data,1,passes_workbook_custom_filters_data,1,All_Questions_passes_local_filters_data,1,All_Questions_Q_GRID_EXPORT_F_passes_per_q_filter_data,1)</f>
        <v>5</v>
      </c>
      <c r="D33" s="7">
        <f>IFERROR(C33/10,0)</f>
        <v>0.5</v>
      </c>
      <c r="E33">
        <f>COUNTIFS(Q_GRID_EXPORTr2_data,"Low",passes_workbook_filters_data,1,passes_workbook_custom_filters_data,1,All_Questions_passes_local_filters_data,1,All_Questions_Q_GRID_EXPORT_F_passes_per_q_filter_data,1)</f>
        <v>5</v>
      </c>
      <c r="F33" s="7">
        <f>IFERROR(E33/10,0)</f>
        <v>0.5</v>
      </c>
    </row>
    <row r="34">
      <c r="A34" s="15" t="inlineStr">
        <is>
          <t>Total respondents</t>
        </is>
      </c>
      <c r="B34" s="15" t="n">
        <v>10</v>
      </c>
      <c r="C34" s="15" t="n"/>
      <c r="D34" s="15" t="n"/>
      <c r="E34" s="15" t="n"/>
      <c r="F34" s="15" t="n"/>
    </row>
    <row r="35">
      <c r="A35" s="4" t="inlineStr">
        <is>
          <t>Total responses</t>
        </is>
      </c>
      <c r="B35" s="4" t="n">
        <v>20</v>
      </c>
      <c r="C35" s="4" t="n"/>
      <c r="D35" s="4" t="n"/>
      <c r="E35" s="4" t="n"/>
      <c r="F35" s="4" t="n"/>
    </row>
    <row r="36"/>
    <row r="37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A38" s="12" t="inlineStr">
        <is>
          <t>Q_VERY_LONG_SINGLE_SELECT_EXPORT_NAME - Long sheet name export question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</row>
    <row r="39">
      <c r="A39" s="13" t="inlineStr">
        <is>
          <t>Per-question filter</t>
        </is>
      </c>
      <c r="B39" t="inlineStr">
        <is>
          <t>Filter Q</t>
        </is>
      </c>
      <c r="C39" t="inlineStr">
        <is>
          <t>(None)</t>
        </is>
      </c>
      <c r="D39" t="inlineStr">
        <is>
          <t>Value</t>
        </is>
      </c>
      <c r="E39" t="inlineStr">
        <is>
          <t>(All)</t>
        </is>
      </c>
      <c r="F39" t="str">
        <f>IFERROR(INDEX(All_Questions_Data_Names,MATCH(All_Questions_Q_VERY_LONG_SINGLE_SELECT_EXPORT_NAME_F_Q,All_Questions,0)),"'_RawData'!$A:$A")</f>
        <v>respondent_id_data</v>
      </c>
      <c r="G39" t="str">
        <f>"|" &amp; SUBSTITUTE(All_Questions_Q_VERY_LONG_SINGLE_SELECT_EXPORT_NAME_F_V, ", ", "|") &amp; "|"</f>
        <v>|(All)|</v>
      </c>
    </row>
    <row r="40">
      <c r="A40" s="13" t="inlineStr">
        <is>
          <t>Cross-tab by</t>
        </is>
      </c>
      <c r="C40" t="inlineStr">
        <is>
          <t>(None)</t>
        </is>
      </c>
    </row>
    <row r="41"/>
    <row r="42">
      <c r="A42" s="4" t="inlineStr">
        <is>
          <t>Option</t>
        </is>
      </c>
      <c r="B42" s="4" t="inlineStr">
        <is>
          <t>Count</t>
        </is>
      </c>
      <c r="C42" s="4" t="inlineStr">
        <is>
          <t>%</t>
        </is>
      </c>
      <c r="D42" s="4" t="inlineStr">
        <is>
          <t>Denominator</t>
        </is>
      </c>
      <c r="F42" s="4" t="inlineStr">
        <is>
          <t>Option</t>
        </is>
      </c>
      <c r="G4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2" s="4" t="inlineStr">
        <is>
          <t>Total</t>
        </is>
      </c>
    </row>
    <row r="43">
      <c r="A43" t="inlineStr">
        <is>
          <t>A</t>
        </is>
      </c>
      <c r="B4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3" s="7">
        <f>IFERROR(B43/SUBTOTAL(9,B43:B44),0)</f>
        <v>0.7</v>
      </c>
      <c r="D43" s="14">
        <f>SUBTOTAL(9,B43:B44)</f>
        <v>10</v>
      </c>
      <c r="F43" s="4" t="inlineStr"/>
      <c r="G43" s="4" t="inlineStr">
        <is>
          <t># of resp</t>
        </is>
      </c>
      <c r="H43" s="4" t="inlineStr">
        <is>
          <t># of resp</t>
        </is>
      </c>
      <c r="I43" s="4" t="inlineStr">
        <is>
          <t># of resp</t>
        </is>
      </c>
      <c r="J43" s="4" t="inlineStr">
        <is>
          <t># of resp</t>
        </is>
      </c>
      <c r="K43" s="4" t="inlineStr">
        <is>
          <t># of resp</t>
        </is>
      </c>
      <c r="L43" s="4" t="inlineStr">
        <is>
          <t># of resp</t>
        </is>
      </c>
      <c r="M43" s="4" t="inlineStr">
        <is>
          <t># of resp</t>
        </is>
      </c>
      <c r="N43" s="4" t="inlineStr">
        <is>
          <t># of resp</t>
        </is>
      </c>
      <c r="O43" s="4" t="inlineStr">
        <is>
          <t># of resp</t>
        </is>
      </c>
      <c r="P43" s="4" t="inlineStr">
        <is>
          <t># of resp</t>
        </is>
      </c>
      <c r="Q43" s="4" t="inlineStr">
        <is>
          <t># of resp</t>
        </is>
      </c>
      <c r="R43" s="4" t="inlineStr">
        <is>
          <t># of resp</t>
        </is>
      </c>
      <c r="S43" s="4" t="inlineStr">
        <is>
          <t># of resp</t>
        </is>
      </c>
    </row>
    <row r="44">
      <c r="A44" t="inlineStr">
        <is>
          <t>B</t>
        </is>
      </c>
      <c r="B4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4" s="7">
        <f>IFERROR(B44/SUBTOTAL(9,B43:B44),0)</f>
        <v>0.3</v>
      </c>
      <c r="D44" s="14">
        <f>SUBTOTAL(9,B43:B44)</f>
        <v>10</v>
      </c>
      <c r="F44" t="inlineStr">
        <is>
          <t>A</t>
        </is>
      </c>
      <c r="G44">
        <f>IF(OR(All_Questions_Q_VERY_LONG_SINGLE_SELECT_EXPORT_NAME_CT="(None)",G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4">
        <f>IF(OR(All_Questions_Q_VERY_LONG_SINGLE_SELECT_EXPORT_NAME_CT="(None)",H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4">
        <f>IF(OR(All_Questions_Q_VERY_LONG_SINGLE_SELECT_EXPORT_NAME_CT="(None)",I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4">
        <f>IF(OR(All_Questions_Q_VERY_LONG_SINGLE_SELECT_EXPORT_NAME_CT="(None)",J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4">
        <f>IF(OR(All_Questions_Q_VERY_LONG_SINGLE_SELECT_EXPORT_NAME_CT="(None)",K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4">
        <f>IF(OR(All_Questions_Q_VERY_LONG_SINGLE_SELECT_EXPORT_NAME_CT="(None)",L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4">
        <f>IF(OR(All_Questions_Q_VERY_LONG_SINGLE_SELECT_EXPORT_NAME_CT="(None)",M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4">
        <f>IF(OR(All_Questions_Q_VERY_LONG_SINGLE_SELECT_EXPORT_NAME_CT="(None)",N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4">
        <f>IF(OR(All_Questions_Q_VERY_LONG_SINGLE_SELECT_EXPORT_NAME_CT="(None)",O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4">
        <f>IF(OR(All_Questions_Q_VERY_LONG_SINGLE_SELECT_EXPORT_NAME_CT="(None)",P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4">
        <f>IF(OR(All_Questions_Q_VERY_LONG_SINGLE_SELECT_EXPORT_NAME_CT="(None)",Q$42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4">
        <f>IF(OR(All_Questions_Q_VERY_LONG_SINGLE_SELECT_EXPORT_NAME_CT="(None)",R$42=""),"",IF(R$42="Other",COUNTIFS(Q_VERY_LONG_SINGLE_SELECT_EXPOR_data,"A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5">
      <c r="A45" s="15" t="inlineStr">
        <is>
          <t>Total respondents</t>
        </is>
      </c>
      <c r="B45" s="15" t="n">
        <v>10</v>
      </c>
      <c r="C45" s="15" t="n"/>
      <c r="D45" s="15" t="n"/>
      <c r="F45" t="inlineStr">
        <is>
          <t>B</t>
        </is>
      </c>
      <c r="G45">
        <f>IF(OR(All_Questions_Q_VERY_LONG_SINGLE_SELECT_EXPORT_NAME_CT="(None)",G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$42))</f>
        <v>0</v>
      </c>
      <c r="H45">
        <f>IF(OR(All_Questions_Q_VERY_LONG_SINGLE_SELECT_EXPORT_NAME_CT="(None)",H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$42))</f>
        <v>0</v>
      </c>
      <c r="I45">
        <f>IF(OR(All_Questions_Q_VERY_LONG_SINGLE_SELECT_EXPORT_NAME_CT="(None)",I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$42))</f>
        <v>0</v>
      </c>
      <c r="J45">
        <f>IF(OR(All_Questions_Q_VERY_LONG_SINGLE_SELECT_EXPORT_NAME_CT="(None)",J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$42))</f>
        <v>0</v>
      </c>
      <c r="K45">
        <f>IF(OR(All_Questions_Q_VERY_LONG_SINGLE_SELECT_EXPORT_NAME_CT="(None)",K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$42))</f>
        <v>0</v>
      </c>
      <c r="L45">
        <f>IF(OR(All_Questions_Q_VERY_LONG_SINGLE_SELECT_EXPORT_NAME_CT="(None)",L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$42))</f>
        <v>0</v>
      </c>
      <c r="M45">
        <f>IF(OR(All_Questions_Q_VERY_LONG_SINGLE_SELECT_EXPORT_NAME_CT="(None)",M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$42))</f>
        <v>0</v>
      </c>
      <c r="N45">
        <f>IF(OR(All_Questions_Q_VERY_LONG_SINGLE_SELECT_EXPORT_NAME_CT="(None)",N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$42))</f>
        <v>0</v>
      </c>
      <c r="O45">
        <f>IF(OR(All_Questions_Q_VERY_LONG_SINGLE_SELECT_EXPORT_NAME_CT="(None)",O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$42))</f>
        <v>0</v>
      </c>
      <c r="P45">
        <f>IF(OR(All_Questions_Q_VERY_LONG_SINGLE_SELECT_EXPORT_NAME_CT="(None)",P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$42))</f>
        <v>0</v>
      </c>
      <c r="Q45">
        <f>IF(OR(All_Questions_Q_VERY_LONG_SINGLE_SELECT_EXPORT_NAME_CT="(None)",Q$42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$42))</f>
        <v>0</v>
      </c>
      <c r="R45">
        <f>IF(OR(All_Questions_Q_VERY_LONG_SINGLE_SELECT_EXPORT_NAME_CT="(None)",R$42=""),"",IF(R$42="Other",COUNTIFS(Q_VERY_LONG_SINGLE_SELECT_EXPOR_data,"B",passes_workbook_filters_data,1,passes_workbook_custom_filters_data,1,All_Questions_passes_local_filters_data,1,All_Questions_Q_VERY_LONG_SINGLE_SELECT_EXPORT_NAME_F_passes_per_q_filter_data,1)-SUM(G45,H45,I45,J45,K45,L45,M45,N45,O45,P45,Q45)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$42)))</f>
        <v>0</v>
      </c>
      <c r="S4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6">
      <c r="F46" s="4" t="inlineStr">
        <is>
          <t>Total respondents</t>
        </is>
      </c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30:F30"/>
    <mergeCell ref="C30:D30"/>
  </mergeCells>
  <conditionalFormatting sqref="D32:D3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32:F3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3:B4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3:C4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4:G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4:H4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4:I4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4:J4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4:K4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4:L4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4:M4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4:N4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4:O4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4:P45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4:Q45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4:R45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9" showDropDown="0" showInputMessage="0" showErrorMessage="0" allowBlank="1" type="list">
      <formula1>=All_Questions</formula1>
    </dataValidation>
    <dataValidation sqref="E3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2026-06-07T12:45:54Z</dcterms:created>
  <dcterms:modified xmlns:dcterms="http://purl.org/dc/terms/" xmlns:xsi="http://www.w3.org/2001/XMLSchema-instance" xsi:type="dcterms:W3CDTF">2026-06-07T12:45:55Z</dcterms:modified>
</cp:coreProperties>
</file>