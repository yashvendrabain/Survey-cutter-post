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'_Options'!$A$2:$A$9</definedName>
    <definedName name="All_Questions_Local">'_Options'!$B$2:$B$10</definedName>
    <definedName name="Cross_Tab_Questions">'_Options'!$Z$2:$Z$7</definedName>
    <definedName name="Cross_Tab_Questions_Data_Names">'_Options'!$AA$2:$AA$7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'_Options'!$J$2:$J$4</definedName>
    <definedName name="Q_GRID_EXPORTr1_local_options">'_Options'!$T$2:$T$5</definedName>
    <definedName name="Q_GRID_EXPORTr2_options">'_Options'!$K$2:$K$4</definedName>
    <definedName name="Q_GRID_EXPORTr2_local_options">'_Options'!$U$2:$U$5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Q_MS_EXPORT_filter_values_options">'_Options'!$AE$2:$AE$4</definedName>
    <definedName name="Q_MS_EXPORT_filter_values_local_options">'_Options'!$AF$2:$AF$5</definedName>
    <definedName name="Q_GRID_EXPORT_filter_values_options">'_Options'!$AG$2:$AG$6</definedName>
    <definedName name="Q_GRID_EXPORT_filter_values_local_options">'_Options'!$AH$2:$AH$7</definedName>
    <definedName name="All_Questions_Data_Names">'_Options'!$C$2:$C$9</definedName>
    <definedName name="All_Questions_Options_Names">'_Options'!$D$2:$D$9</definedName>
    <definedName name="Cross_Tab_Questions_Options_Names">'_Options'!$AB$2:$AB$7</definedName>
    <definedName name="All_Questions_Value_Keys">'_Options'!$AR$2:$AR$7</definedName>
    <definedName name="All_Questions_Value_Data_Names">'_Options'!$AS$2:$AS$7</definedName>
    <definedName name="All_Questions_Value_Criteria">'_Options'!$AT$2:$AT$7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'_RawData'!$R$2:$R$11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'_RawData'!$S$2:$S$11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'_RawData'!$T$2:$T$11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'_RawData'!$U$2:$U$11</definedName>
    <definedName name="All_Questions_Q_VERY_LONG_SINGLE_SELECT_EXPORT_NAME_CT">'All Questions'!$C$71</definedName>
    <definedName name="All_Questions_Q_EXTRA_1_F_Q">'All Questions'!$C$81</definedName>
    <definedName name="All_Questions_Q_EXTRA_1_F_V">'All Questions'!$E$81</definedName>
    <definedName name="All_Questions_Q_EXTRA_1_F_resolved_column">'All Questions'!$F$81</definedName>
    <definedName name="All_Questions_Q_EXTRA_1_F_wrapped">'All Questions'!$G$81</definedName>
    <definedName name="All_Questions_Q_EXTRA_1_F_resolved_criteria">'All Questions'!$H$81</definedName>
    <definedName name="All_Questions_Q_EXTRA_1_F_passes_per_q_filter_data">'_RawData'!$V$2:$V$11</definedName>
    <definedName name="All_Questions_Q_EXTRA_1_CT">'All Questions'!$C$82</definedName>
    <definedName name="All_Questions_Q_EXTRA_2_F_Q">'All Questions'!$C$92</definedName>
    <definedName name="All_Questions_Q_EXTRA_2_F_V">'All Questions'!$E$92</definedName>
    <definedName name="All_Questions_Q_EXTRA_2_F_resolved_column">'All Questions'!$F$92</definedName>
    <definedName name="All_Questions_Q_EXTRA_2_F_wrapped">'All Questions'!$G$92</definedName>
    <definedName name="All_Questions_Q_EXTRA_2_F_resolved_criteria">'All Questions'!$H$92</definedName>
    <definedName name="All_Questions_Q_EXTRA_2_F_passes_per_q_filter_data">'_RawData'!$W$2:$W$11</definedName>
    <definedName name="All_Questions_Q_EXTRA_2_CT">'All Questions'!$C$93</definedName>
    <definedName name="All_Questions_Q_EXTRA_3_F_Q">'All Questions'!$C$103</definedName>
    <definedName name="All_Questions_Q_EXTRA_3_F_V">'All Questions'!$E$103</definedName>
    <definedName name="All_Questions_Q_EXTRA_3_F_resolved_column">'All Questions'!$F$103</definedName>
    <definedName name="All_Questions_Q_EXTRA_3_F_wrapped">'All Questions'!$G$103</definedName>
    <definedName name="All_Questions_Q_EXTRA_3_F_resolved_criteria">'All Questions'!$H$103</definedName>
    <definedName name="All_Questions_Q_EXTRA_3_F_passes_per_q_filter_data">'_RawData'!$X$2:$X$11</definedName>
    <definedName name="All_Questions_Q_EXTRA_3_CT">'All Questions'!$C$104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F81" i="7"/>
  <c r="G81" i="7"/>
  <c r="H81" i="7"/>
  <c r="G84" i="7"/>
  <c r="H84" i="7"/>
  <c r="I84" i="7"/>
  <c r="J84" i="7"/>
  <c r="K84" i="7"/>
  <c r="L84" i="7"/>
  <c r="M84" i="7"/>
  <c r="N84" i="7"/>
  <c r="O84" i="7"/>
  <c r="P84" i="7"/>
  <c r="Q84" i="7"/>
  <c r="R84" i="7"/>
  <c r="B85" i="7"/>
  <c r="C85" i="7"/>
  <c r="D85" i="7"/>
  <c r="B86" i="7"/>
  <c r="C86" i="7"/>
  <c r="D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S88" i="7"/>
  <c r="F92" i="7"/>
  <c r="G92" i="7"/>
  <c r="H92" i="7"/>
  <c r="G95" i="7"/>
  <c r="H95" i="7"/>
  <c r="I95" i="7"/>
  <c r="J95" i="7"/>
  <c r="K95" i="7"/>
  <c r="L95" i="7"/>
  <c r="M95" i="7"/>
  <c r="N95" i="7"/>
  <c r="O95" i="7"/>
  <c r="P95" i="7"/>
  <c r="Q95" i="7"/>
  <c r="R95" i="7"/>
  <c r="B96" i="7"/>
  <c r="C96" i="7"/>
  <c r="D96" i="7"/>
  <c r="B97" i="7"/>
  <c r="C97" i="7"/>
  <c r="D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S99" i="7"/>
  <c r="F103" i="7"/>
  <c r="G103" i="7"/>
  <c r="H103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B107" i="7"/>
  <c r="C107" i="7"/>
  <c r="D107" i="7"/>
  <c r="B108" i="7"/>
  <c r="C108" i="7"/>
  <c r="D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S110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84_1" displayName="T_All_Questions_84_1" ref="A84:D87" headerRowCount="1">
  <autoFilter ref="A84:D8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95_1" displayName="T_All_Questions_95_1" ref="A95:D98" headerRowCount="1">
  <autoFilter ref="A95:D9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106_1" displayName="T_All_Questions_106_1" ref="A106:D109" headerRowCount="1">
  <autoFilter ref="A106:D10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("|" &amp; SUBSTITUTE(All_Questions_Q_EXTRA_1_F_resolved_criteria, ", ", "|") &amp; "|"))),1,0),0))*1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("|" &amp; SUBSTITUTE(All_Questions_Q_EXTRA_2_F_resolved_criteria, ", ", "|") &amp; "|"))),1,0),0))*1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("|" &amp; SUBSTITUTE(All_Questions_Q_EXTRA_3_F_resolved_criteria,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("|" &amp; SUBSTITUTE(All_Questions_Q_EXTRA_1_F_resolved_criteria, ", ", "|") &amp; "|"))),1,0),0))*1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("|" &amp; SUBSTITUTE(All_Questions_Q_EXTRA_2_F_resolved_criteria, ", ", "|") &amp; "|"))),1,0),0))*1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("|" &amp; SUBSTITUTE(All_Questions_Q_EXTRA_3_F_resolved_criteria,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("|" &amp; SUBSTITUTE(All_Questions_Q_EXTRA_1_F_resolved_criteria, ", ", "|") &amp; "|"))),1,0),0))*1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("|" &amp; SUBSTITUTE(All_Questions_Q_EXTRA_2_F_resolved_criteria, ", ", "|") &amp; "|"))),1,0),0))*1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("|" &amp; SUBSTITUTE(All_Questions_Q_EXTRA_3_F_resolved_criteria,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("|" &amp; SUBSTITUTE(All_Questions_Q_EXTRA_1_F_resolved_criteria, ", ", "|") &amp; "|"))),1,0),0))*1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("|" &amp; SUBSTITUTE(All_Questions_Q_EXTRA_2_F_resolved_criteria, ", ", "|") &amp; "|"))),1,0),0))*1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("|" &amp; SUBSTITUTE(All_Questions_Q_EXTRA_3_F_resolved_criteria,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("|" &amp; SUBSTITUTE(All_Questions_Q_EXTRA_1_F_resolved_criteria, ", ", "|") &amp; "|"))),1,0),0))*1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("|" &amp; SUBSTITUTE(All_Questions_Q_EXTRA_2_F_resolved_criteria, ", ", "|") &amp; "|"))),1,0),0))*1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("|" &amp; SUBSTITUTE(All_Questions_Q_EXTRA_3_F_resolved_criteria,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("|" &amp; SUBSTITUTE(All_Questions_Q_EXTRA_1_F_resolved_criteria, ", ", "|") &amp; "|"))),1,0),0))*1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("|" &amp; SUBSTITUTE(All_Questions_Q_EXTRA_2_F_resolved_criteria, ", ", "|") &amp; "|"))),1,0),0))*1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("|" &amp; SUBSTITUTE(All_Questions_Q_EXTRA_3_F_resolved_criteria,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("|" &amp; SUBSTITUTE(All_Questions_Q_EXTRA_1_F_resolved_criteria, ", ", "|") &amp; "|"))),1,0),0))*1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("|" &amp; SUBSTITUTE(All_Questions_Q_EXTRA_2_F_resolved_criteria, ", ", "|") &amp; "|"))),1,0),0))*1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("|" &amp; SUBSTITUTE(All_Questions_Q_EXTRA_3_F_resolved_criteria,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("|" &amp; SUBSTITUTE(All_Questions_Q_EXTRA_1_F_resolved_criteria, ", ", "|") &amp; "|"))),1,0),0))*1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("|" &amp; SUBSTITUTE(All_Questions_Q_EXTRA_2_F_resolved_criteria, ", ", "|") &amp; "|"))),1,0),0))*1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("|" &amp; SUBSTITUTE(All_Questions_Q_EXTRA_3_F_resolved_criteria,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("|" &amp; SUBSTITUTE(All_Questions_Q_EXTRA_1_F_resolved_criteria, ", ", "|") &amp; "|"))),1,0),0))*1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("|" &amp; SUBSTITUTE(All_Questions_Q_EXTRA_2_F_resolved_criteria, ", ", "|") &amp; "|"))),1,0),0))*1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("|" &amp; SUBSTITUTE(All_Questions_Q_EXTRA_3_F_resolved_criteria,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("|" &amp; SUBSTITUTE(All_Questions_Q_EXTRA_1_F_resolved_criteria, ", ", "|") &amp; "|"))),1,0),0))*1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("|" &amp; SUBSTITUTE(All_Questions_Q_EXTRA_2_F_resolved_criteria, ", ", "|") &amp; "|"))),1,0),0))*1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("|" &amp; SUBSTITUTE(All_Questions_Q_EXTRA_3_F_resolved_criteria,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  <c r="Z1" t="inlineStr">
        <is>
          <t>Cross_Tab_Questions</t>
        </is>
      </c>
      <c r="AA1" t="inlineStr">
        <is>
          <t>Cross_Tab_Questions_Data_Names</t>
        </is>
      </c>
      <c r="AB1" t="inlineStr">
        <is>
          <t>Cross_Tab_Questions_Options_Names</t>
        </is>
      </c>
      <c r="AE1" t="inlineStr">
        <is>
          <t>Q_MS_EXPORT_filter_values_options</t>
        </is>
      </c>
      <c r="AF1" t="inlineStr">
        <is>
          <t>Q_MS_EXPORT_filter_values_local_options</t>
        </is>
      </c>
      <c r="AG1" t="inlineStr">
        <is>
          <t>Q_GRID_EXPORT_filter_values_options</t>
        </is>
      </c>
      <c r="AH1" t="inlineStr">
        <is>
          <t>Q_GRID_EXPORT_filter_values_local_options</t>
        </is>
      </c>
      <c r="AR1" t="inlineStr">
        <is>
          <t>All_Questions_Value_Keys</t>
        </is>
      </c>
      <c r="AS1" t="inlineStr">
        <is>
          <t>All_Questions_Value_Data_Names</t>
        </is>
      </c>
      <c r="A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(None)</t>
        </is>
      </c>
      <c r="AA2" t="inlineStr">
        <is>
          <t>'_RawData'!$A$2:$A$11</t>
        </is>
      </c>
      <c r="AB2" t="inlineStr">
        <is>
          <t>'_Options'!$E$2:$E$2</t>
        </is>
      </c>
      <c r="AE2" t="inlineStr">
        <is>
          <t>(All)</t>
        </is>
      </c>
      <c r="AF2" t="inlineStr">
        <is>
          <t>(Inherit)</t>
        </is>
      </c>
      <c r="AG2" t="inlineStr">
        <is>
          <t>(All)</t>
        </is>
      </c>
      <c r="AH2" t="inlineStr">
        <is>
          <t>(Inherit)</t>
        </is>
      </c>
      <c r="AR2" t="inlineStr">
        <is>
          <t>Q_MS_EXPORT - Multi Select Export Question|First</t>
        </is>
      </c>
      <c r="AS2" t="inlineStr">
        <is>
          <t>'_RawData'!$C$2:$C$11</t>
        </is>
      </c>
      <c r="AT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Q_SS_EXPORT - Single Select Export Question</t>
        </is>
      </c>
      <c r="AA3" t="inlineStr">
        <is>
          <t>'_RawData'!$B$2:$B$11</t>
        </is>
      </c>
      <c r="AB3" t="inlineStr">
        <is>
          <t>'_Options'!$F$2:$F$4</t>
        </is>
      </c>
      <c r="AE3" t="inlineStr">
        <is>
          <t>First</t>
        </is>
      </c>
      <c r="AF3" t="inlineStr">
        <is>
          <t>(All)</t>
        </is>
      </c>
      <c r="AG3" t="inlineStr">
        <is>
          <t>Grid first row: Low</t>
        </is>
      </c>
      <c r="AH3" t="inlineStr">
        <is>
          <t>(All)</t>
        </is>
      </c>
      <c r="AR3" t="inlineStr">
        <is>
          <t>Q_MS_EXPORT - Multi Select Export Question|Second</t>
        </is>
      </c>
      <c r="AS3" t="inlineStr">
        <is>
          <t>'_RawData'!$D$2:$D$11</t>
        </is>
      </c>
      <c r="AT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'_Options'!$AE$2:$AE$4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Low</t>
        </is>
      </c>
      <c r="U4" t="inlineStr">
        <is>
          <t>Low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  <c r="Z4" t="inlineStr">
        <is>
          <t>Q_VERY_LONG_SINGLE_SELECT_EXPORT_NAME - Long Sheet Name Export Question</t>
        </is>
      </c>
      <c r="AA4" t="inlineStr">
        <is>
          <t>'_RawData'!$H$2:$H$11</t>
        </is>
      </c>
      <c r="AB4" t="inlineStr">
        <is>
          <t>'_Options'!$L$2:$L$4</t>
        </is>
      </c>
      <c r="AE4" t="inlineStr">
        <is>
          <t>Second</t>
        </is>
      </c>
      <c r="AF4" t="inlineStr">
        <is>
          <t>First</t>
        </is>
      </c>
      <c r="AG4" t="inlineStr">
        <is>
          <t>Grid first row: High</t>
        </is>
      </c>
      <c r="AH4" t="inlineStr">
        <is>
          <t>Grid first row: Low</t>
        </is>
      </c>
      <c r="AR4" t="inlineStr">
        <is>
          <t>Q_GRID_EXPORT - Grid Export Question|Grid first row: Low</t>
        </is>
      </c>
      <c r="AS4" t="inlineStr">
        <is>
          <t>'_RawData'!$F$2:$F$11</t>
        </is>
      </c>
      <c r="AT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'_Options'!$AG$2:$AG$6</t>
        </is>
      </c>
      <c r="P5" t="inlineStr">
        <is>
          <t>No</t>
        </is>
      </c>
      <c r="T5" t="inlineStr">
        <is>
          <t>High</t>
        </is>
      </c>
      <c r="U5" t="inlineStr">
        <is>
          <t>High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  <c r="Z5" t="inlineStr">
        <is>
          <t>Q_EXTRA_1 - Extra Mixed Block Question 1</t>
        </is>
      </c>
      <c r="AA5" t="inlineStr">
        <is>
          <t>'_RawData'!$I$2:$I$11</t>
        </is>
      </c>
      <c r="AB5" t="inlineStr">
        <is>
          <t>'_Options'!$M$2:$M$4</t>
        </is>
      </c>
      <c r="AF5" t="inlineStr">
        <is>
          <t>Second</t>
        </is>
      </c>
      <c r="AG5" t="inlineStr">
        <is>
          <t>Grid second row: Low</t>
        </is>
      </c>
      <c r="AH5" t="inlineStr">
        <is>
          <t>Grid first row: High</t>
        </is>
      </c>
      <c r="AR5" t="inlineStr">
        <is>
          <t>Q_GRID_EXPORT - Grid Export Question|Grid first row: High</t>
        </is>
      </c>
      <c r="AS5" t="inlineStr">
        <is>
          <t>'_RawData'!$F$2:$F$11</t>
        </is>
      </c>
      <c r="AT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Z6" t="inlineStr">
        <is>
          <t>Q_EXTRA_2 - Extra Mixed Block Question 2</t>
        </is>
      </c>
      <c r="AA6" t="inlineStr">
        <is>
          <t>'_RawData'!$J$2:$J$11</t>
        </is>
      </c>
      <c r="AB6" t="inlineStr">
        <is>
          <t>'_Options'!$N$2:$N$4</t>
        </is>
      </c>
      <c r="AG6" t="inlineStr">
        <is>
          <t>Grid second row: High</t>
        </is>
      </c>
      <c r="AH6" t="inlineStr">
        <is>
          <t>Grid second row: Low</t>
        </is>
      </c>
      <c r="AR6" t="inlineStr">
        <is>
          <t>Q_GRID_EXPORT - Grid Export Question|Grid second row: Low</t>
        </is>
      </c>
      <c r="AS6" t="inlineStr">
        <is>
          <t>'_RawData'!$G$2:$G$11</t>
        </is>
      </c>
      <c r="AT6" t="inlineStr">
        <is>
          <t>Low</t>
        </is>
      </c>
    </row>
    <row r="7">
      <c r="A7" t="inlineStr">
        <is>
          <t>Q_EXTRA_1 - Extra Mixed Block Question 1</t>
        </is>
      </c>
      <c r="B7" t="inlineStr">
        <is>
          <t>Q_VERY_LONG_SINGLE_SELECT_EXPORT_NAME - Long Sheet Name Export Question</t>
        </is>
      </c>
      <c r="C7" t="inlineStr">
        <is>
          <t>'_RawData'!$I$2:$I$11</t>
        </is>
      </c>
      <c r="D7" t="inlineStr">
        <is>
          <t>'_Options'!$M$2:$M$4</t>
        </is>
      </c>
      <c r="Z7" t="inlineStr">
        <is>
          <t>Q_EXTRA_3 - Extra Mixed Block Question 3</t>
        </is>
      </c>
      <c r="AA7" t="inlineStr">
        <is>
          <t>'_RawData'!$K$2:$K$11</t>
        </is>
      </c>
      <c r="AB7" t="inlineStr">
        <is>
          <t>'_Options'!$O$2:$O$4</t>
        </is>
      </c>
      <c r="AH7" t="inlineStr">
        <is>
          <t>Grid second row: High</t>
        </is>
      </c>
      <c r="AR7" t="inlineStr">
        <is>
          <t>Q_GRID_EXPORT - Grid Export Question|Grid second row: High</t>
        </is>
      </c>
      <c r="AS7" t="inlineStr">
        <is>
          <t>'_RawData'!$G$2:$G$11</t>
        </is>
      </c>
      <c r="AT7" t="inlineStr">
        <is>
          <t>High</t>
        </is>
      </c>
    </row>
    <row r="8">
      <c r="A8" t="inlineStr">
        <is>
          <t>Q_EXTRA_2 - Extra Mixed Block Question 2</t>
        </is>
      </c>
      <c r="B8" t="inlineStr">
        <is>
          <t>Q_EXTRA_1 - Extra Mixed Block Question 1</t>
        </is>
      </c>
      <c r="C8" t="inlineStr">
        <is>
          <t>'_RawData'!$J$2:$J$11</t>
        </is>
      </c>
      <c r="D8" t="inlineStr">
        <is>
          <t>'_Options'!$N$2:$N$4</t>
        </is>
      </c>
    </row>
    <row r="9">
      <c r="A9" t="inlineStr">
        <is>
          <t>Q_EXTRA_3 - Extra Mixed Block Question 3</t>
        </is>
      </c>
      <c r="B9" t="inlineStr">
        <is>
          <t>Q_EXTRA_2 - Extra Mixed Block Question 2</t>
        </is>
      </c>
      <c r="C9" t="inlineStr">
        <is>
          <t>'_RawData'!$K$2:$K$11</t>
        </is>
      </c>
      <c r="D9" t="inlineStr">
        <is>
          <t>'_Options'!$O$2:$O$4</t>
        </is>
      </c>
    </row>
    <row r="10">
      <c r="B10" t="inlineStr">
        <is>
          <t>Q_EXTRA_3 - Extra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78"/>
    <row r="79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</row>
    <row r="80">
      <c r="A80" s="12" t="inlineStr">
        <is>
          <t>Q_EXTRA_1 - Extra mixed block question 1</t>
        </is>
      </c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</row>
    <row r="81">
      <c r="A81" s="13" t="inlineStr">
        <is>
          <t>Per-question filter</t>
        </is>
      </c>
      <c r="B81" t="inlineStr">
        <is>
          <t>Filter Q</t>
        </is>
      </c>
      <c r="C81" t="inlineStr">
        <is>
          <t>(None)</t>
        </is>
      </c>
      <c r="D81" t="inlineStr">
        <is>
          <t>Value</t>
        </is>
      </c>
      <c r="E81" t="inlineStr">
        <is>
          <t>(All)</t>
        </is>
      </c>
      <c r="F81" t="str">
        <f>IFERROR(INDEX(All_Questions_Value_Data_Names,MATCH(All_Questions_Q_EXTRA_1_F_Q&amp;"|"&amp;All_Questions_Q_EXTRA_1_F_V,All_Questions_Value_Keys,0)),IFERROR(INDEX(All_Questions_Data_Names,MATCH(All_Questions_Q_EXTRA_1_F_Q,All_Questions,0)),"'_RawData'!$A:$A"))</f>
        <v>respondent_id_data</v>
      </c>
      <c r="G81" t="str">
        <f>"|" &amp; SUBSTITUTE(All_Questions_Q_EXTRA_1_F_V, ", ", "|") &amp; "|"</f>
        <v>|(All)|</v>
      </c>
      <c r="H81" t="str">
        <f>IFERROR(INDEX(All_Questions_Value_Criteria,MATCH(All_Questions_Q_EXTRA_1_F_Q&amp;"|"&amp;All_Questions_Q_EXTRA_1_F_V,All_Questions_Value_Keys,0)),All_Questions_Q_EXTRA_1_F_V)</f>
        <v>(All)</v>
      </c>
    </row>
    <row r="82">
      <c r="A82" s="13" t="inlineStr">
        <is>
          <t>Cross-tab by</t>
        </is>
      </c>
      <c r="C82" t="inlineStr">
        <is>
          <t>(None)</t>
        </is>
      </c>
    </row>
    <row r="83"/>
    <row r="84">
      <c r="A84" s="4" t="inlineStr">
        <is>
          <t>Option</t>
        </is>
      </c>
      <c r="B84" s="4" t="inlineStr">
        <is>
          <t>Count</t>
        </is>
      </c>
      <c r="C84" s="4" t="inlineStr">
        <is>
          <t>%</t>
        </is>
      </c>
      <c r="D84" s="4" t="inlineStr">
        <is>
          <t>Denominator</t>
        </is>
      </c>
      <c r="F84" s="4" t="inlineStr">
        <is>
          <t>Option</t>
        </is>
      </c>
      <c r="G84" s="2" t="str">
        <f>IF(All_Questions_Q_EXTRA_1_CT="(None)","",IFERROR(INDEX(INDIRECT(IFERROR(INDEX(Cross_Tab_Questions_Options_Names,MATCH(All_Questions_Q_EXTRA_1_CT,Cross_Tab_Questions,0)),"'_Options'!$E$2:$E$2")),2),""))</f>
        <v/>
      </c>
      <c r="H84" s="2" t="str">
        <f>IF(All_Questions_Q_EXTRA_1_CT="(None)","",IFERROR(INDEX(INDIRECT(IFERROR(INDEX(Cross_Tab_Questions_Options_Names,MATCH(All_Questions_Q_EXTRA_1_CT,Cross_Tab_Questions,0)),"'_Options'!$E$2:$E$2")),3),""))</f>
        <v/>
      </c>
      <c r="I84" s="2" t="str">
        <f>IF(All_Questions_Q_EXTRA_1_CT="(None)","",IFERROR(INDEX(INDIRECT(IFERROR(INDEX(Cross_Tab_Questions_Options_Names,MATCH(All_Questions_Q_EXTRA_1_CT,Cross_Tab_Questions,0)),"'_Options'!$E$2:$E$2")),4),""))</f>
        <v/>
      </c>
      <c r="J84" s="2" t="str">
        <f>IF(All_Questions_Q_EXTRA_1_CT="(None)","",IFERROR(INDEX(INDIRECT(IFERROR(INDEX(Cross_Tab_Questions_Options_Names,MATCH(All_Questions_Q_EXTRA_1_CT,Cross_Tab_Questions,0)),"'_Options'!$E$2:$E$2")),5),""))</f>
        <v/>
      </c>
      <c r="K84" s="2" t="str">
        <f>IF(All_Questions_Q_EXTRA_1_CT="(None)","",IFERROR(INDEX(INDIRECT(IFERROR(INDEX(Cross_Tab_Questions_Options_Names,MATCH(All_Questions_Q_EXTRA_1_CT,Cross_Tab_Questions,0)),"'_Options'!$E$2:$E$2")),6),""))</f>
        <v/>
      </c>
      <c r="L84" s="2" t="str">
        <f>IF(All_Questions_Q_EXTRA_1_CT="(None)","",IFERROR(INDEX(INDIRECT(IFERROR(INDEX(Cross_Tab_Questions_Options_Names,MATCH(All_Questions_Q_EXTRA_1_CT,Cross_Tab_Questions,0)),"'_Options'!$E$2:$E$2")),7),""))</f>
        <v/>
      </c>
      <c r="M84" s="2" t="str">
        <f>IF(All_Questions_Q_EXTRA_1_CT="(None)","",IFERROR(INDEX(INDIRECT(IFERROR(INDEX(Cross_Tab_Questions_Options_Names,MATCH(All_Questions_Q_EXTRA_1_CT,Cross_Tab_Questions,0)),"'_Options'!$E$2:$E$2")),8),""))</f>
        <v/>
      </c>
      <c r="N84" s="2" t="str">
        <f>IF(All_Questions_Q_EXTRA_1_CT="(None)","",IFERROR(INDEX(INDIRECT(IFERROR(INDEX(Cross_Tab_Questions_Options_Names,MATCH(All_Questions_Q_EXTRA_1_CT,Cross_Tab_Questions,0)),"'_Options'!$E$2:$E$2")),9),""))</f>
        <v/>
      </c>
      <c r="O84" s="2" t="str">
        <f>IF(All_Questions_Q_EXTRA_1_CT="(None)","",IFERROR(INDEX(INDIRECT(IFERROR(INDEX(Cross_Tab_Questions_Options_Names,MATCH(All_Questions_Q_EXTRA_1_CT,Cross_Tab_Questions,0)),"'_Options'!$E$2:$E$2")),10),""))</f>
        <v/>
      </c>
      <c r="P84" s="2" t="str">
        <f>IF(All_Questions_Q_EXTRA_1_CT="(None)","",IFERROR(INDEX(INDIRECT(IFERROR(INDEX(Cross_Tab_Questions_Options_Names,MATCH(All_Questions_Q_EXTRA_1_CT,Cross_Tab_Questions,0)),"'_Options'!$E$2:$E$2")),11),""))</f>
        <v/>
      </c>
      <c r="Q84" s="2" t="str">
        <f>IF(All_Questions_Q_EXTRA_1_CT="(None)","",IFERROR(INDEX(INDIRECT(IFERROR(INDEX(Cross_Tab_Questions_Options_Names,MATCH(All_Questions_Q_EXTRA_1_CT,Cross_Tab_Questions,0)),"'_Options'!$E$2:$E$2")),12),""))</f>
        <v/>
      </c>
      <c r="R84" s="2" t="str">
        <f>IF(All_Questions_Q_EXTRA_1_CT="(None)","",IF(COUNTA(INDIRECT(IFERROR(INDEX(Cross_Tab_Questions_Options_Names,MATCH(All_Questions_Q_EXTRA_1_CT,Cross_Tab_Questions,0)),"'_Options'!$E$2:$E$2")))-1&gt;11,"Other",IFERROR(INDEX(INDIRECT(IFERROR(INDEX(Cross_Tab_Questions_Options_Names,MATCH(All_Questions_Q_EXTRA_1_CT,Cross_Tab_Questions,0)),"'_Options'!$E$2:$E$2")),13),"")))</f>
        <v/>
      </c>
      <c r="S84" s="4" t="inlineStr">
        <is>
          <t>Total</t>
        </is>
      </c>
    </row>
    <row r="85">
      <c r="A85" t="inlineStr">
        <is>
          <t>Extra 1 A</t>
        </is>
      </c>
      <c r="B85">
        <f>COUNTIFS(Q_EXTRA_1_data,"Extra 1 A",passes_workbook_filters_data,1,passes_workbook_custom_filters_data,1,All_Questions_passes_local_filters_data,1,All_Questions_Q_EXTRA_1_F_passes_per_q_filter_data,1)</f>
        <v>6</v>
      </c>
      <c r="C85" s="7">
        <f>IFERROR(B85/SUBTOTAL(9,B85:B86),0)</f>
        <v>0.6</v>
      </c>
      <c r="D85" s="14">
        <f>SUBTOTAL(9,B85:B86)</f>
        <v>10</v>
      </c>
      <c r="F85" s="4" t="inlineStr"/>
      <c r="G85" s="4" t="inlineStr">
        <is>
          <t># of resp</t>
        </is>
      </c>
      <c r="H85" s="4" t="inlineStr">
        <is>
          <t># of resp</t>
        </is>
      </c>
      <c r="I85" s="4" t="inlineStr">
        <is>
          <t># of resp</t>
        </is>
      </c>
      <c r="J85" s="4" t="inlineStr">
        <is>
          <t># of resp</t>
        </is>
      </c>
      <c r="K85" s="4" t="inlineStr">
        <is>
          <t># of resp</t>
        </is>
      </c>
      <c r="L85" s="4" t="inlineStr">
        <is>
          <t># of resp</t>
        </is>
      </c>
      <c r="M85" s="4" t="inlineStr">
        <is>
          <t># of resp</t>
        </is>
      </c>
      <c r="N85" s="4" t="inlineStr">
        <is>
          <t># of resp</t>
        </is>
      </c>
      <c r="O85" s="4" t="inlineStr">
        <is>
          <t># of resp</t>
        </is>
      </c>
      <c r="P85" s="4" t="inlineStr">
        <is>
          <t># of resp</t>
        </is>
      </c>
      <c r="Q85" s="4" t="inlineStr">
        <is>
          <t># of resp</t>
        </is>
      </c>
      <c r="R85" s="4" t="inlineStr">
        <is>
          <t># of resp</t>
        </is>
      </c>
      <c r="S85" s="4" t="inlineStr">
        <is>
          <t># of resp</t>
        </is>
      </c>
    </row>
    <row r="86">
      <c r="A86" t="inlineStr">
        <is>
          <t>Extra 1 B</t>
        </is>
      </c>
      <c r="B86">
        <f>COUNTIFS(Q_EXTRA_1_data,"Extra 1 B",passes_workbook_filters_data,1,passes_workbook_custom_filters_data,1,All_Questions_passes_local_filters_data,1,All_Questions_Q_EXTRA_1_F_passes_per_q_filter_data,1)</f>
        <v>4</v>
      </c>
      <c r="C86" s="7">
        <f>IFERROR(B86/SUBTOTAL(9,B85:B86),0)</f>
        <v>0.4</v>
      </c>
      <c r="D86" s="14">
        <f>SUBTOTAL(9,B85:B86)</f>
        <v>10</v>
      </c>
      <c r="F86" t="inlineStr">
        <is>
          <t>Extra 1 A</t>
        </is>
      </c>
      <c r="G86" s="14">
        <f>IF(OR(All_Questions_Q_EXTRA_1_CT="(None)",G$84=""),"",COUNTIFS(Q_EXTRA_1_data,"Extra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G$84))</f>
        <v>0</v>
      </c>
      <c r="H86" s="14">
        <f>IF(OR(All_Questions_Q_EXTRA_1_CT="(None)",H$84=""),"",COUNTIFS(Q_EXTRA_1_data,"Extra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H$84))</f>
        <v>0</v>
      </c>
      <c r="I86" s="14">
        <f>IF(OR(All_Questions_Q_EXTRA_1_CT="(None)",I$84=""),"",COUNTIFS(Q_EXTRA_1_data,"Extra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I$84))</f>
        <v>0</v>
      </c>
      <c r="J86" s="14">
        <f>IF(OR(All_Questions_Q_EXTRA_1_CT="(None)",J$84=""),"",COUNTIFS(Q_EXTRA_1_data,"Extra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J$84))</f>
        <v>0</v>
      </c>
      <c r="K86" s="14">
        <f>IF(OR(All_Questions_Q_EXTRA_1_CT="(None)",K$84=""),"",COUNTIFS(Q_EXTRA_1_data,"Extra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K$84))</f>
        <v>0</v>
      </c>
      <c r="L86" s="14">
        <f>IF(OR(All_Questions_Q_EXTRA_1_CT="(None)",L$84=""),"",COUNTIFS(Q_EXTRA_1_data,"Extra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L$84))</f>
        <v>0</v>
      </c>
      <c r="M86" s="14">
        <f>IF(OR(All_Questions_Q_EXTRA_1_CT="(None)",M$84=""),"",COUNTIFS(Q_EXTRA_1_data,"Extra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M$84))</f>
        <v>0</v>
      </c>
      <c r="N86" s="14">
        <f>IF(OR(All_Questions_Q_EXTRA_1_CT="(None)",N$84=""),"",COUNTIFS(Q_EXTRA_1_data,"Extra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N$84))</f>
        <v>0</v>
      </c>
      <c r="O86" s="14">
        <f>IF(OR(All_Questions_Q_EXTRA_1_CT="(None)",O$84=""),"",COUNTIFS(Q_EXTRA_1_data,"Extra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O$84))</f>
        <v>0</v>
      </c>
      <c r="P86" s="14">
        <f>IF(OR(All_Questions_Q_EXTRA_1_CT="(None)",P$84=""),"",COUNTIFS(Q_EXTRA_1_data,"Extra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P$84))</f>
        <v>0</v>
      </c>
      <c r="Q86" s="14">
        <f>IF(OR(All_Questions_Q_EXTRA_1_CT="(None)",Q$84=""),"",COUNTIFS(Q_EXTRA_1_data,"Extra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Q$84))</f>
        <v>0</v>
      </c>
      <c r="R86" s="14">
        <f>IF(OR(All_Questions_Q_EXTRA_1_CT="(None)",R$84=""),"",IF(R$84="Other",COUNTIFS(Q_EXTRA_1_data,"Extra 1 A",passes_workbook_filters_data,1,passes_workbook_custom_filters_data,1,All_Questions_passes_local_filters_data,1,All_Questions_Q_EXTRA_1_F_passes_per_q_filter_data,1)-SUM(G86,H86,I86,J86,K86,L86,M86,N86,O86,P86,Q86),COUNTIFS(Q_EXTRA_1_data,"Extra 1 A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R$84)))</f>
        <v>0</v>
      </c>
      <c r="S86" s="14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87">
      <c r="A87" s="15" t="inlineStr">
        <is>
          <t>Total respondents</t>
        </is>
      </c>
      <c r="B87" s="15" t="n">
        <v>10</v>
      </c>
      <c r="C87" s="15" t="n"/>
      <c r="D87" s="15" t="n"/>
      <c r="F87" t="inlineStr">
        <is>
          <t>Extra 1 B</t>
        </is>
      </c>
      <c r="G87" s="14">
        <f>IF(OR(All_Questions_Q_EXTRA_1_CT="(None)",G$84=""),"",COUNTIFS(Q_EXTRA_1_data,"Extra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G$84))</f>
        <v>0</v>
      </c>
      <c r="H87" s="14">
        <f>IF(OR(All_Questions_Q_EXTRA_1_CT="(None)",H$84=""),"",COUNTIFS(Q_EXTRA_1_data,"Extra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H$84))</f>
        <v>0</v>
      </c>
      <c r="I87" s="14">
        <f>IF(OR(All_Questions_Q_EXTRA_1_CT="(None)",I$84=""),"",COUNTIFS(Q_EXTRA_1_data,"Extra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I$84))</f>
        <v>0</v>
      </c>
      <c r="J87" s="14">
        <f>IF(OR(All_Questions_Q_EXTRA_1_CT="(None)",J$84=""),"",COUNTIFS(Q_EXTRA_1_data,"Extra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J$84))</f>
        <v>0</v>
      </c>
      <c r="K87" s="14">
        <f>IF(OR(All_Questions_Q_EXTRA_1_CT="(None)",K$84=""),"",COUNTIFS(Q_EXTRA_1_data,"Extra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K$84))</f>
        <v>0</v>
      </c>
      <c r="L87" s="14">
        <f>IF(OR(All_Questions_Q_EXTRA_1_CT="(None)",L$84=""),"",COUNTIFS(Q_EXTRA_1_data,"Extra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L$84))</f>
        <v>0</v>
      </c>
      <c r="M87" s="14">
        <f>IF(OR(All_Questions_Q_EXTRA_1_CT="(None)",M$84=""),"",COUNTIFS(Q_EXTRA_1_data,"Extra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M$84))</f>
        <v>0</v>
      </c>
      <c r="N87" s="14">
        <f>IF(OR(All_Questions_Q_EXTRA_1_CT="(None)",N$84=""),"",COUNTIFS(Q_EXTRA_1_data,"Extra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N$84))</f>
        <v>0</v>
      </c>
      <c r="O87" s="14">
        <f>IF(OR(All_Questions_Q_EXTRA_1_CT="(None)",O$84=""),"",COUNTIFS(Q_EXTRA_1_data,"Extra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O$84))</f>
        <v>0</v>
      </c>
      <c r="P87" s="14">
        <f>IF(OR(All_Questions_Q_EXTRA_1_CT="(None)",P$84=""),"",COUNTIFS(Q_EXTRA_1_data,"Extra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P$84))</f>
        <v>0</v>
      </c>
      <c r="Q87" s="14">
        <f>IF(OR(All_Questions_Q_EXTRA_1_CT="(None)",Q$84=""),"",COUNTIFS(Q_EXTRA_1_data,"Extra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Q$84))</f>
        <v>0</v>
      </c>
      <c r="R87" s="14">
        <f>IF(OR(All_Questions_Q_EXTRA_1_CT="(None)",R$84=""),"",IF(R$84="Other",COUNTIFS(Q_EXTRA_1_data,"Extra 1 B",passes_workbook_filters_data,1,passes_workbook_custom_filters_data,1,All_Questions_passes_local_filters_data,1,All_Questions_Q_EXTRA_1_F_passes_per_q_filter_data,1)-SUM(G87,H87,I87,J87,K87,L87,M87,N87,O87,P87,Q87),COUNTIFS(Q_EXTRA_1_data,"Extra 1 B",passes_workbook_filters_data,1,passes_workbook_custom_filters_data,1,All_Questions_passes_local_filters_data,1,All_Questions_Q_EXTRA_1_F_passes_per_q_filter_data,1,INDIRECT(IFERROR(INDEX(Cross_Tab_Questions_Data_Names,MATCH(All_Questions_Q_EXTRA_1_CT,Cross_Tab_Questions,0)),"'_RawData'!$A:$A")),R$84)))</f>
        <v>0</v>
      </c>
      <c r="S87" s="14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88">
      <c r="F88" s="4" t="inlineStr">
        <is>
          <t>Total respondents</t>
        </is>
      </c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89"/>
    <row r="90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</row>
    <row r="91">
      <c r="A91" s="12" t="inlineStr">
        <is>
          <t>Q_EXTRA_2 - Extra mixed block question 2</t>
        </is>
      </c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</row>
    <row r="92">
      <c r="A92" s="13" t="inlineStr">
        <is>
          <t>Per-question filter</t>
        </is>
      </c>
      <c r="B92" t="inlineStr">
        <is>
          <t>Filter Q</t>
        </is>
      </c>
      <c r="C92" t="inlineStr">
        <is>
          <t>(None)</t>
        </is>
      </c>
      <c r="D92" t="inlineStr">
        <is>
          <t>Value</t>
        </is>
      </c>
      <c r="E92" t="inlineStr">
        <is>
          <t>(All)</t>
        </is>
      </c>
      <c r="F92" t="str">
        <f>IFERROR(INDEX(All_Questions_Value_Data_Names,MATCH(All_Questions_Q_EXTRA_2_F_Q&amp;"|"&amp;All_Questions_Q_EXTRA_2_F_V,All_Questions_Value_Keys,0)),IFERROR(INDEX(All_Questions_Data_Names,MATCH(All_Questions_Q_EXTRA_2_F_Q,All_Questions,0)),"'_RawData'!$A:$A"))</f>
        <v>respondent_id_data</v>
      </c>
      <c r="G92" t="str">
        <f>"|" &amp; SUBSTITUTE(All_Questions_Q_EXTRA_2_F_V, ", ", "|") &amp; "|"</f>
        <v>|(All)|</v>
      </c>
      <c r="H92" t="str">
        <f>IFERROR(INDEX(All_Questions_Value_Criteria,MATCH(All_Questions_Q_EXTRA_2_F_Q&amp;"|"&amp;All_Questions_Q_EXTRA_2_F_V,All_Questions_Value_Keys,0)),All_Questions_Q_EXTRA_2_F_V)</f>
        <v>(All)</v>
      </c>
    </row>
    <row r="93">
      <c r="A93" s="13" t="inlineStr">
        <is>
          <t>Cross-tab by</t>
        </is>
      </c>
      <c r="C93" t="inlineStr">
        <is>
          <t>(None)</t>
        </is>
      </c>
    </row>
    <row r="94"/>
    <row r="95">
      <c r="A95" s="4" t="inlineStr">
        <is>
          <t>Option</t>
        </is>
      </c>
      <c r="B95" s="4" t="inlineStr">
        <is>
          <t>Count</t>
        </is>
      </c>
      <c r="C95" s="4" t="inlineStr">
        <is>
          <t>%</t>
        </is>
      </c>
      <c r="D95" s="4" t="inlineStr">
        <is>
          <t>Denominator</t>
        </is>
      </c>
      <c r="F95" s="4" t="inlineStr">
        <is>
          <t>Option</t>
        </is>
      </c>
      <c r="G95" s="2" t="str">
        <f>IF(All_Questions_Q_EXTRA_2_CT="(None)","",IFERROR(INDEX(INDIRECT(IFERROR(INDEX(Cross_Tab_Questions_Options_Names,MATCH(All_Questions_Q_EXTRA_2_CT,Cross_Tab_Questions,0)),"'_Options'!$E$2:$E$2")),2),""))</f>
        <v/>
      </c>
      <c r="H95" s="2" t="str">
        <f>IF(All_Questions_Q_EXTRA_2_CT="(None)","",IFERROR(INDEX(INDIRECT(IFERROR(INDEX(Cross_Tab_Questions_Options_Names,MATCH(All_Questions_Q_EXTRA_2_CT,Cross_Tab_Questions,0)),"'_Options'!$E$2:$E$2")),3),""))</f>
        <v/>
      </c>
      <c r="I95" s="2" t="str">
        <f>IF(All_Questions_Q_EXTRA_2_CT="(None)","",IFERROR(INDEX(INDIRECT(IFERROR(INDEX(Cross_Tab_Questions_Options_Names,MATCH(All_Questions_Q_EXTRA_2_CT,Cross_Tab_Questions,0)),"'_Options'!$E$2:$E$2")),4),""))</f>
        <v/>
      </c>
      <c r="J95" s="2" t="str">
        <f>IF(All_Questions_Q_EXTRA_2_CT="(None)","",IFERROR(INDEX(INDIRECT(IFERROR(INDEX(Cross_Tab_Questions_Options_Names,MATCH(All_Questions_Q_EXTRA_2_CT,Cross_Tab_Questions,0)),"'_Options'!$E$2:$E$2")),5),""))</f>
        <v/>
      </c>
      <c r="K95" s="2" t="str">
        <f>IF(All_Questions_Q_EXTRA_2_CT="(None)","",IFERROR(INDEX(INDIRECT(IFERROR(INDEX(Cross_Tab_Questions_Options_Names,MATCH(All_Questions_Q_EXTRA_2_CT,Cross_Tab_Questions,0)),"'_Options'!$E$2:$E$2")),6),""))</f>
        <v/>
      </c>
      <c r="L95" s="2" t="str">
        <f>IF(All_Questions_Q_EXTRA_2_CT="(None)","",IFERROR(INDEX(INDIRECT(IFERROR(INDEX(Cross_Tab_Questions_Options_Names,MATCH(All_Questions_Q_EXTRA_2_CT,Cross_Tab_Questions,0)),"'_Options'!$E$2:$E$2")),7),""))</f>
        <v/>
      </c>
      <c r="M95" s="2" t="str">
        <f>IF(All_Questions_Q_EXTRA_2_CT="(None)","",IFERROR(INDEX(INDIRECT(IFERROR(INDEX(Cross_Tab_Questions_Options_Names,MATCH(All_Questions_Q_EXTRA_2_CT,Cross_Tab_Questions,0)),"'_Options'!$E$2:$E$2")),8),""))</f>
        <v/>
      </c>
      <c r="N95" s="2" t="str">
        <f>IF(All_Questions_Q_EXTRA_2_CT="(None)","",IFERROR(INDEX(INDIRECT(IFERROR(INDEX(Cross_Tab_Questions_Options_Names,MATCH(All_Questions_Q_EXTRA_2_CT,Cross_Tab_Questions,0)),"'_Options'!$E$2:$E$2")),9),""))</f>
        <v/>
      </c>
      <c r="O95" s="2" t="str">
        <f>IF(All_Questions_Q_EXTRA_2_CT="(None)","",IFERROR(INDEX(INDIRECT(IFERROR(INDEX(Cross_Tab_Questions_Options_Names,MATCH(All_Questions_Q_EXTRA_2_CT,Cross_Tab_Questions,0)),"'_Options'!$E$2:$E$2")),10),""))</f>
        <v/>
      </c>
      <c r="P95" s="2" t="str">
        <f>IF(All_Questions_Q_EXTRA_2_CT="(None)","",IFERROR(INDEX(INDIRECT(IFERROR(INDEX(Cross_Tab_Questions_Options_Names,MATCH(All_Questions_Q_EXTRA_2_CT,Cross_Tab_Questions,0)),"'_Options'!$E$2:$E$2")),11),""))</f>
        <v/>
      </c>
      <c r="Q95" s="2" t="str">
        <f>IF(All_Questions_Q_EXTRA_2_CT="(None)","",IFERROR(INDEX(INDIRECT(IFERROR(INDEX(Cross_Tab_Questions_Options_Names,MATCH(All_Questions_Q_EXTRA_2_CT,Cross_Tab_Questions,0)),"'_Options'!$E$2:$E$2")),12),""))</f>
        <v/>
      </c>
      <c r="R95" s="2" t="str">
        <f>IF(All_Questions_Q_EXTRA_2_CT="(None)","",IF(COUNTA(INDIRECT(IFERROR(INDEX(Cross_Tab_Questions_Options_Names,MATCH(All_Questions_Q_EXTRA_2_CT,Cross_Tab_Questions,0)),"'_Options'!$E$2:$E$2")))-1&gt;11,"Other",IFERROR(INDEX(INDIRECT(IFERROR(INDEX(Cross_Tab_Questions_Options_Names,MATCH(All_Questions_Q_EXTRA_2_CT,Cross_Tab_Questions,0)),"'_Options'!$E$2:$E$2")),13),"")))</f>
        <v/>
      </c>
      <c r="S95" s="4" t="inlineStr">
        <is>
          <t>Total</t>
        </is>
      </c>
    </row>
    <row r="96">
      <c r="A96" t="inlineStr">
        <is>
          <t>Extra 2 A</t>
        </is>
      </c>
      <c r="B96">
        <f>COUNTIFS(Q_EXTRA_2_data,"Extra 2 A",passes_workbook_filters_data,1,passes_workbook_custom_filters_data,1,All_Questions_passes_local_filters_data,1,All_Questions_Q_EXTRA_2_F_passes_per_q_filter_data,1)</f>
        <v>6</v>
      </c>
      <c r="C96" s="7">
        <f>IFERROR(B96/SUBTOTAL(9,B96:B97),0)</f>
        <v>0.6</v>
      </c>
      <c r="D96" s="14">
        <f>SUBTOTAL(9,B96:B97)</f>
        <v>10</v>
      </c>
      <c r="F96" s="4" t="inlineStr"/>
      <c r="G96" s="4" t="inlineStr">
        <is>
          <t># of resp</t>
        </is>
      </c>
      <c r="H96" s="4" t="inlineStr">
        <is>
          <t># of resp</t>
        </is>
      </c>
      <c r="I96" s="4" t="inlineStr">
        <is>
          <t># of resp</t>
        </is>
      </c>
      <c r="J96" s="4" t="inlineStr">
        <is>
          <t># of resp</t>
        </is>
      </c>
      <c r="K96" s="4" t="inlineStr">
        <is>
          <t># of resp</t>
        </is>
      </c>
      <c r="L96" s="4" t="inlineStr">
        <is>
          <t># of resp</t>
        </is>
      </c>
      <c r="M96" s="4" t="inlineStr">
        <is>
          <t># of resp</t>
        </is>
      </c>
      <c r="N96" s="4" t="inlineStr">
        <is>
          <t># of resp</t>
        </is>
      </c>
      <c r="O96" s="4" t="inlineStr">
        <is>
          <t># of resp</t>
        </is>
      </c>
      <c r="P96" s="4" t="inlineStr">
        <is>
          <t># of resp</t>
        </is>
      </c>
      <c r="Q96" s="4" t="inlineStr">
        <is>
          <t># of resp</t>
        </is>
      </c>
      <c r="R96" s="4" t="inlineStr">
        <is>
          <t># of resp</t>
        </is>
      </c>
      <c r="S96" s="4" t="inlineStr">
        <is>
          <t># of resp</t>
        </is>
      </c>
    </row>
    <row r="97">
      <c r="A97" t="inlineStr">
        <is>
          <t>Extra 2 B</t>
        </is>
      </c>
      <c r="B97">
        <f>COUNTIFS(Q_EXTRA_2_data,"Extra 2 B",passes_workbook_filters_data,1,passes_workbook_custom_filters_data,1,All_Questions_passes_local_filters_data,1,All_Questions_Q_EXTRA_2_F_passes_per_q_filter_data,1)</f>
        <v>4</v>
      </c>
      <c r="C97" s="7">
        <f>IFERROR(B97/SUBTOTAL(9,B96:B97),0)</f>
        <v>0.4</v>
      </c>
      <c r="D97" s="14">
        <f>SUBTOTAL(9,B96:B97)</f>
        <v>10</v>
      </c>
      <c r="F97" t="inlineStr">
        <is>
          <t>Extra 2 A</t>
        </is>
      </c>
      <c r="G97" s="14">
        <f>IF(OR(All_Questions_Q_EXTRA_2_CT="(None)",G$95=""),"",COUNTIFS(Q_EXTRA_2_data,"Extra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G$95))</f>
        <v>0</v>
      </c>
      <c r="H97" s="14">
        <f>IF(OR(All_Questions_Q_EXTRA_2_CT="(None)",H$95=""),"",COUNTIFS(Q_EXTRA_2_data,"Extra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H$95))</f>
        <v>0</v>
      </c>
      <c r="I97" s="14">
        <f>IF(OR(All_Questions_Q_EXTRA_2_CT="(None)",I$95=""),"",COUNTIFS(Q_EXTRA_2_data,"Extra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I$95))</f>
        <v>0</v>
      </c>
      <c r="J97" s="14">
        <f>IF(OR(All_Questions_Q_EXTRA_2_CT="(None)",J$95=""),"",COUNTIFS(Q_EXTRA_2_data,"Extra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J$95))</f>
        <v>0</v>
      </c>
      <c r="K97" s="14">
        <f>IF(OR(All_Questions_Q_EXTRA_2_CT="(None)",K$95=""),"",COUNTIFS(Q_EXTRA_2_data,"Extra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K$95))</f>
        <v>0</v>
      </c>
      <c r="L97" s="14">
        <f>IF(OR(All_Questions_Q_EXTRA_2_CT="(None)",L$95=""),"",COUNTIFS(Q_EXTRA_2_data,"Extra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L$95))</f>
        <v>0</v>
      </c>
      <c r="M97" s="14">
        <f>IF(OR(All_Questions_Q_EXTRA_2_CT="(None)",M$95=""),"",COUNTIFS(Q_EXTRA_2_data,"Extra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M$95))</f>
        <v>0</v>
      </c>
      <c r="N97" s="14">
        <f>IF(OR(All_Questions_Q_EXTRA_2_CT="(None)",N$95=""),"",COUNTIFS(Q_EXTRA_2_data,"Extra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N$95))</f>
        <v>0</v>
      </c>
      <c r="O97" s="14">
        <f>IF(OR(All_Questions_Q_EXTRA_2_CT="(None)",O$95=""),"",COUNTIFS(Q_EXTRA_2_data,"Extra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O$95))</f>
        <v>0</v>
      </c>
      <c r="P97" s="14">
        <f>IF(OR(All_Questions_Q_EXTRA_2_CT="(None)",P$95=""),"",COUNTIFS(Q_EXTRA_2_data,"Extra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P$95))</f>
        <v>0</v>
      </c>
      <c r="Q97" s="14">
        <f>IF(OR(All_Questions_Q_EXTRA_2_CT="(None)",Q$95=""),"",COUNTIFS(Q_EXTRA_2_data,"Extra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Q$95))</f>
        <v>0</v>
      </c>
      <c r="R97" s="14">
        <f>IF(OR(All_Questions_Q_EXTRA_2_CT="(None)",R$95=""),"",IF(R$95="Other",COUNTIFS(Q_EXTRA_2_data,"Extra 2 A",passes_workbook_filters_data,1,passes_workbook_custom_filters_data,1,All_Questions_passes_local_filters_data,1,All_Questions_Q_EXTRA_2_F_passes_per_q_filter_data,1)-SUM(G97,H97,I97,J97,K97,L97,M97,N97,O97,P97,Q97),COUNTIFS(Q_EXTRA_2_data,"Extra 2 A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R$95)))</f>
        <v>0</v>
      </c>
      <c r="S97" s="14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98">
      <c r="A98" s="15" t="inlineStr">
        <is>
          <t>Total respondents</t>
        </is>
      </c>
      <c r="B98" s="15" t="n">
        <v>10</v>
      </c>
      <c r="C98" s="15" t="n"/>
      <c r="D98" s="15" t="n"/>
      <c r="F98" t="inlineStr">
        <is>
          <t>Extra 2 B</t>
        </is>
      </c>
      <c r="G98" s="14">
        <f>IF(OR(All_Questions_Q_EXTRA_2_CT="(None)",G$95=""),"",COUNTIFS(Q_EXTRA_2_data,"Extra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G$95))</f>
        <v>0</v>
      </c>
      <c r="H98" s="14">
        <f>IF(OR(All_Questions_Q_EXTRA_2_CT="(None)",H$95=""),"",COUNTIFS(Q_EXTRA_2_data,"Extra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H$95))</f>
        <v>0</v>
      </c>
      <c r="I98" s="14">
        <f>IF(OR(All_Questions_Q_EXTRA_2_CT="(None)",I$95=""),"",COUNTIFS(Q_EXTRA_2_data,"Extra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I$95))</f>
        <v>0</v>
      </c>
      <c r="J98" s="14">
        <f>IF(OR(All_Questions_Q_EXTRA_2_CT="(None)",J$95=""),"",COUNTIFS(Q_EXTRA_2_data,"Extra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J$95))</f>
        <v>0</v>
      </c>
      <c r="K98" s="14">
        <f>IF(OR(All_Questions_Q_EXTRA_2_CT="(None)",K$95=""),"",COUNTIFS(Q_EXTRA_2_data,"Extra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K$95))</f>
        <v>0</v>
      </c>
      <c r="L98" s="14">
        <f>IF(OR(All_Questions_Q_EXTRA_2_CT="(None)",L$95=""),"",COUNTIFS(Q_EXTRA_2_data,"Extra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L$95))</f>
        <v>0</v>
      </c>
      <c r="M98" s="14">
        <f>IF(OR(All_Questions_Q_EXTRA_2_CT="(None)",M$95=""),"",COUNTIFS(Q_EXTRA_2_data,"Extra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M$95))</f>
        <v>0</v>
      </c>
      <c r="N98" s="14">
        <f>IF(OR(All_Questions_Q_EXTRA_2_CT="(None)",N$95=""),"",COUNTIFS(Q_EXTRA_2_data,"Extra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N$95))</f>
        <v>0</v>
      </c>
      <c r="O98" s="14">
        <f>IF(OR(All_Questions_Q_EXTRA_2_CT="(None)",O$95=""),"",COUNTIFS(Q_EXTRA_2_data,"Extra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O$95))</f>
        <v>0</v>
      </c>
      <c r="P98" s="14">
        <f>IF(OR(All_Questions_Q_EXTRA_2_CT="(None)",P$95=""),"",COUNTIFS(Q_EXTRA_2_data,"Extra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P$95))</f>
        <v>0</v>
      </c>
      <c r="Q98" s="14">
        <f>IF(OR(All_Questions_Q_EXTRA_2_CT="(None)",Q$95=""),"",COUNTIFS(Q_EXTRA_2_data,"Extra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Q$95))</f>
        <v>0</v>
      </c>
      <c r="R98" s="14">
        <f>IF(OR(All_Questions_Q_EXTRA_2_CT="(None)",R$95=""),"",IF(R$95="Other",COUNTIFS(Q_EXTRA_2_data,"Extra 2 B",passes_workbook_filters_data,1,passes_workbook_custom_filters_data,1,All_Questions_passes_local_filters_data,1,All_Questions_Q_EXTRA_2_F_passes_per_q_filter_data,1)-SUM(G98,H98,I98,J98,K98,L98,M98,N98,O98,P98,Q98),COUNTIFS(Q_EXTRA_2_data,"Extra 2 B",passes_workbook_filters_data,1,passes_workbook_custom_filters_data,1,All_Questions_passes_local_filters_data,1,All_Questions_Q_EXTRA_2_F_passes_per_q_filter_data,1,INDIRECT(IFERROR(INDEX(Cross_Tab_Questions_Data_Names,MATCH(All_Questions_Q_EXTRA_2_CT,Cross_Tab_Questions,0)),"'_RawData'!$A:$A")),R$95)))</f>
        <v>0</v>
      </c>
      <c r="S98" s="14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99">
      <c r="F99" s="4" t="inlineStr">
        <is>
          <t>Total respondents</t>
        </is>
      </c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100"/>
    <row r="101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</row>
    <row r="102">
      <c r="A102" s="12" t="inlineStr">
        <is>
          <t>Q_EXTRA_3 - Extra mixed block question 3</t>
        </is>
      </c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</row>
    <row r="103">
      <c r="A103" s="13" t="inlineStr">
        <is>
          <t>Per-question filter</t>
        </is>
      </c>
      <c r="B103" t="inlineStr">
        <is>
          <t>Filter Q</t>
        </is>
      </c>
      <c r="C103" t="inlineStr">
        <is>
          <t>(None)</t>
        </is>
      </c>
      <c r="D103" t="inlineStr">
        <is>
          <t>Value</t>
        </is>
      </c>
      <c r="E103" t="inlineStr">
        <is>
          <t>(All)</t>
        </is>
      </c>
      <c r="F103" t="str">
        <f>IFERROR(INDEX(All_Questions_Value_Data_Names,MATCH(All_Questions_Q_EXTRA_3_F_Q&amp;"|"&amp;All_Questions_Q_EXTRA_3_F_V,All_Questions_Value_Keys,0)),IFERROR(INDEX(All_Questions_Data_Names,MATCH(All_Questions_Q_EXTRA_3_F_Q,All_Questions,0)),"'_RawData'!$A:$A"))</f>
        <v>respondent_id_data</v>
      </c>
      <c r="G103" t="str">
        <f>"|" &amp; SUBSTITUTE(All_Questions_Q_EXTRA_3_F_V, ", ", "|") &amp; "|"</f>
        <v>|(All)|</v>
      </c>
      <c r="H103" t="str">
        <f>IFERROR(INDEX(All_Questions_Value_Criteria,MATCH(All_Questions_Q_EXTRA_3_F_Q&amp;"|"&amp;All_Questions_Q_EXTRA_3_F_V,All_Questions_Value_Keys,0)),All_Questions_Q_EXTRA_3_F_V)</f>
        <v>(All)</v>
      </c>
    </row>
    <row r="104">
      <c r="A104" s="13" t="inlineStr">
        <is>
          <t>Cross-tab by</t>
        </is>
      </c>
      <c r="C104" t="inlineStr">
        <is>
          <t>(None)</t>
        </is>
      </c>
    </row>
    <row r="105"/>
    <row r="106">
      <c r="A106" s="4" t="inlineStr">
        <is>
          <t>Option</t>
        </is>
      </c>
      <c r="B106" s="4" t="inlineStr">
        <is>
          <t>Count</t>
        </is>
      </c>
      <c r="C106" s="4" t="inlineStr">
        <is>
          <t>%</t>
        </is>
      </c>
      <c r="D106" s="4" t="inlineStr">
        <is>
          <t>Denominator</t>
        </is>
      </c>
      <c r="F106" s="4" t="inlineStr">
        <is>
          <t>Option</t>
        </is>
      </c>
      <c r="G106" s="2" t="str">
        <f>IF(All_Questions_Q_EXTRA_3_CT="(None)","",IFERROR(INDEX(INDIRECT(IFERROR(INDEX(Cross_Tab_Questions_Options_Names,MATCH(All_Questions_Q_EXTRA_3_CT,Cross_Tab_Questions,0)),"'_Options'!$E$2:$E$2")),2),""))</f>
        <v/>
      </c>
      <c r="H106" s="2" t="str">
        <f>IF(All_Questions_Q_EXTRA_3_CT="(None)","",IFERROR(INDEX(INDIRECT(IFERROR(INDEX(Cross_Tab_Questions_Options_Names,MATCH(All_Questions_Q_EXTRA_3_CT,Cross_Tab_Questions,0)),"'_Options'!$E$2:$E$2")),3),""))</f>
        <v/>
      </c>
      <c r="I106" s="2" t="str">
        <f>IF(All_Questions_Q_EXTRA_3_CT="(None)","",IFERROR(INDEX(INDIRECT(IFERROR(INDEX(Cross_Tab_Questions_Options_Names,MATCH(All_Questions_Q_EXTRA_3_CT,Cross_Tab_Questions,0)),"'_Options'!$E$2:$E$2")),4),""))</f>
        <v/>
      </c>
      <c r="J106" s="2" t="str">
        <f>IF(All_Questions_Q_EXTRA_3_CT="(None)","",IFERROR(INDEX(INDIRECT(IFERROR(INDEX(Cross_Tab_Questions_Options_Names,MATCH(All_Questions_Q_EXTRA_3_CT,Cross_Tab_Questions,0)),"'_Options'!$E$2:$E$2")),5),""))</f>
        <v/>
      </c>
      <c r="K106" s="2" t="str">
        <f>IF(All_Questions_Q_EXTRA_3_CT="(None)","",IFERROR(INDEX(INDIRECT(IFERROR(INDEX(Cross_Tab_Questions_Options_Names,MATCH(All_Questions_Q_EXTRA_3_CT,Cross_Tab_Questions,0)),"'_Options'!$E$2:$E$2")),6),""))</f>
        <v/>
      </c>
      <c r="L106" s="2" t="str">
        <f>IF(All_Questions_Q_EXTRA_3_CT="(None)","",IFERROR(INDEX(INDIRECT(IFERROR(INDEX(Cross_Tab_Questions_Options_Names,MATCH(All_Questions_Q_EXTRA_3_CT,Cross_Tab_Questions,0)),"'_Options'!$E$2:$E$2")),7),""))</f>
        <v/>
      </c>
      <c r="M106" s="2" t="str">
        <f>IF(All_Questions_Q_EXTRA_3_CT="(None)","",IFERROR(INDEX(INDIRECT(IFERROR(INDEX(Cross_Tab_Questions_Options_Names,MATCH(All_Questions_Q_EXTRA_3_CT,Cross_Tab_Questions,0)),"'_Options'!$E$2:$E$2")),8),""))</f>
        <v/>
      </c>
      <c r="N106" s="2" t="str">
        <f>IF(All_Questions_Q_EXTRA_3_CT="(None)","",IFERROR(INDEX(INDIRECT(IFERROR(INDEX(Cross_Tab_Questions_Options_Names,MATCH(All_Questions_Q_EXTRA_3_CT,Cross_Tab_Questions,0)),"'_Options'!$E$2:$E$2")),9),""))</f>
        <v/>
      </c>
      <c r="O106" s="2" t="str">
        <f>IF(All_Questions_Q_EXTRA_3_CT="(None)","",IFERROR(INDEX(INDIRECT(IFERROR(INDEX(Cross_Tab_Questions_Options_Names,MATCH(All_Questions_Q_EXTRA_3_CT,Cross_Tab_Questions,0)),"'_Options'!$E$2:$E$2")),10),""))</f>
        <v/>
      </c>
      <c r="P106" s="2" t="str">
        <f>IF(All_Questions_Q_EXTRA_3_CT="(None)","",IFERROR(INDEX(INDIRECT(IFERROR(INDEX(Cross_Tab_Questions_Options_Names,MATCH(All_Questions_Q_EXTRA_3_CT,Cross_Tab_Questions,0)),"'_Options'!$E$2:$E$2")),11),""))</f>
        <v/>
      </c>
      <c r="Q106" s="2" t="str">
        <f>IF(All_Questions_Q_EXTRA_3_CT="(None)","",IFERROR(INDEX(INDIRECT(IFERROR(INDEX(Cross_Tab_Questions_Options_Names,MATCH(All_Questions_Q_EXTRA_3_CT,Cross_Tab_Questions,0)),"'_Options'!$E$2:$E$2")),12),""))</f>
        <v/>
      </c>
      <c r="R106" s="2" t="str">
        <f>IF(All_Questions_Q_EXTRA_3_CT="(None)","",IF(COUNTA(INDIRECT(IFERROR(INDEX(Cross_Tab_Questions_Options_Names,MATCH(All_Questions_Q_EXTRA_3_CT,Cross_Tab_Questions,0)),"'_Options'!$E$2:$E$2")))-1&gt;11,"Other",IFERROR(INDEX(INDIRECT(IFERROR(INDEX(Cross_Tab_Questions_Options_Names,MATCH(All_Questions_Q_EXTRA_3_CT,Cross_Tab_Questions,0)),"'_Options'!$E$2:$E$2")),13),"")))</f>
        <v/>
      </c>
      <c r="S106" s="4" t="inlineStr">
        <is>
          <t>Total</t>
        </is>
      </c>
    </row>
    <row r="107">
      <c r="A107" t="inlineStr">
        <is>
          <t>Extra 3 A</t>
        </is>
      </c>
      <c r="B107">
        <f>COUNTIFS(Q_EXTRA_3_data,"Extra 3 A",passes_workbook_filters_data,1,passes_workbook_custom_filters_data,1,All_Questions_passes_local_filters_data,1,All_Questions_Q_EXTRA_3_F_passes_per_q_filter_data,1)</f>
        <v>6</v>
      </c>
      <c r="C107" s="7">
        <f>IFERROR(B107/SUBTOTAL(9,B107:B108),0)</f>
        <v>0.6</v>
      </c>
      <c r="D107" s="14">
        <f>SUBTOTAL(9,B107:B108)</f>
        <v>10</v>
      </c>
      <c r="F107" s="4" t="inlineStr"/>
      <c r="G107" s="4" t="inlineStr">
        <is>
          <t># of resp</t>
        </is>
      </c>
      <c r="H107" s="4" t="inlineStr">
        <is>
          <t># of resp</t>
        </is>
      </c>
      <c r="I107" s="4" t="inlineStr">
        <is>
          <t># of resp</t>
        </is>
      </c>
      <c r="J107" s="4" t="inlineStr">
        <is>
          <t># of resp</t>
        </is>
      </c>
      <c r="K107" s="4" t="inlineStr">
        <is>
          <t># of resp</t>
        </is>
      </c>
      <c r="L107" s="4" t="inlineStr">
        <is>
          <t># of resp</t>
        </is>
      </c>
      <c r="M107" s="4" t="inlineStr">
        <is>
          <t># of resp</t>
        </is>
      </c>
      <c r="N107" s="4" t="inlineStr">
        <is>
          <t># of resp</t>
        </is>
      </c>
      <c r="O107" s="4" t="inlineStr">
        <is>
          <t># of resp</t>
        </is>
      </c>
      <c r="P107" s="4" t="inlineStr">
        <is>
          <t># of resp</t>
        </is>
      </c>
      <c r="Q107" s="4" t="inlineStr">
        <is>
          <t># of resp</t>
        </is>
      </c>
      <c r="R107" s="4" t="inlineStr">
        <is>
          <t># of resp</t>
        </is>
      </c>
      <c r="S107" s="4" t="inlineStr">
        <is>
          <t># of resp</t>
        </is>
      </c>
    </row>
    <row r="108">
      <c r="A108" t="inlineStr">
        <is>
          <t>Extra 3 B</t>
        </is>
      </c>
      <c r="B108">
        <f>COUNTIFS(Q_EXTRA_3_data,"Extra 3 B",passes_workbook_filters_data,1,passes_workbook_custom_filters_data,1,All_Questions_passes_local_filters_data,1,All_Questions_Q_EXTRA_3_F_passes_per_q_filter_data,1)</f>
        <v>4</v>
      </c>
      <c r="C108" s="7">
        <f>IFERROR(B108/SUBTOTAL(9,B107:B108),0)</f>
        <v>0.4</v>
      </c>
      <c r="D108" s="14">
        <f>SUBTOTAL(9,B107:B108)</f>
        <v>10</v>
      </c>
      <c r="F108" t="inlineStr">
        <is>
          <t>Extra 3 A</t>
        </is>
      </c>
      <c r="G108" s="14">
        <f>IF(OR(All_Questions_Q_EXTRA_3_CT="(None)",G$106=""),"",COUNTIFS(Q_EXTRA_3_data,"Extra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G$106))</f>
        <v>0</v>
      </c>
      <c r="H108" s="14">
        <f>IF(OR(All_Questions_Q_EXTRA_3_CT="(None)",H$106=""),"",COUNTIFS(Q_EXTRA_3_data,"Extra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H$106))</f>
        <v>0</v>
      </c>
      <c r="I108" s="14">
        <f>IF(OR(All_Questions_Q_EXTRA_3_CT="(None)",I$106=""),"",COUNTIFS(Q_EXTRA_3_data,"Extra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I$106))</f>
        <v>0</v>
      </c>
      <c r="J108" s="14">
        <f>IF(OR(All_Questions_Q_EXTRA_3_CT="(None)",J$106=""),"",COUNTIFS(Q_EXTRA_3_data,"Extra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J$106))</f>
        <v>0</v>
      </c>
      <c r="K108" s="14">
        <f>IF(OR(All_Questions_Q_EXTRA_3_CT="(None)",K$106=""),"",COUNTIFS(Q_EXTRA_3_data,"Extra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K$106))</f>
        <v>0</v>
      </c>
      <c r="L108" s="14">
        <f>IF(OR(All_Questions_Q_EXTRA_3_CT="(None)",L$106=""),"",COUNTIFS(Q_EXTRA_3_data,"Extra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L$106))</f>
        <v>0</v>
      </c>
      <c r="M108" s="14">
        <f>IF(OR(All_Questions_Q_EXTRA_3_CT="(None)",M$106=""),"",COUNTIFS(Q_EXTRA_3_data,"Extra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M$106))</f>
        <v>0</v>
      </c>
      <c r="N108" s="14">
        <f>IF(OR(All_Questions_Q_EXTRA_3_CT="(None)",N$106=""),"",COUNTIFS(Q_EXTRA_3_data,"Extra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N$106))</f>
        <v>0</v>
      </c>
      <c r="O108" s="14">
        <f>IF(OR(All_Questions_Q_EXTRA_3_CT="(None)",O$106=""),"",COUNTIFS(Q_EXTRA_3_data,"Extra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O$106))</f>
        <v>0</v>
      </c>
      <c r="P108" s="14">
        <f>IF(OR(All_Questions_Q_EXTRA_3_CT="(None)",P$106=""),"",COUNTIFS(Q_EXTRA_3_data,"Extra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P$106))</f>
        <v>0</v>
      </c>
      <c r="Q108" s="14">
        <f>IF(OR(All_Questions_Q_EXTRA_3_CT="(None)",Q$106=""),"",COUNTIFS(Q_EXTRA_3_data,"Extra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Q$106))</f>
        <v>0</v>
      </c>
      <c r="R108" s="14">
        <f>IF(OR(All_Questions_Q_EXTRA_3_CT="(None)",R$106=""),"",IF(R$106="Other",COUNTIFS(Q_EXTRA_3_data,"Extra 3 A",passes_workbook_filters_data,1,passes_workbook_custom_filters_data,1,All_Questions_passes_local_filters_data,1,All_Questions_Q_EXTRA_3_F_passes_per_q_filter_data,1)-SUM(G108,H108,I108,J108,K108,L108,M108,N108,O108,P108,Q108),COUNTIFS(Q_EXTRA_3_data,"Extra 3 A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R$106)))</f>
        <v>0</v>
      </c>
      <c r="S108" s="14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109">
      <c r="A109" s="15" t="inlineStr">
        <is>
          <t>Total respondents</t>
        </is>
      </c>
      <c r="B109" s="15" t="n">
        <v>10</v>
      </c>
      <c r="C109" s="15" t="n"/>
      <c r="D109" s="15" t="n"/>
      <c r="F109" t="inlineStr">
        <is>
          <t>Extra 3 B</t>
        </is>
      </c>
      <c r="G109" s="14">
        <f>IF(OR(All_Questions_Q_EXTRA_3_CT="(None)",G$106=""),"",COUNTIFS(Q_EXTRA_3_data,"Extra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G$106))</f>
        <v>0</v>
      </c>
      <c r="H109" s="14">
        <f>IF(OR(All_Questions_Q_EXTRA_3_CT="(None)",H$106=""),"",COUNTIFS(Q_EXTRA_3_data,"Extra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H$106))</f>
        <v>0</v>
      </c>
      <c r="I109" s="14">
        <f>IF(OR(All_Questions_Q_EXTRA_3_CT="(None)",I$106=""),"",COUNTIFS(Q_EXTRA_3_data,"Extra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I$106))</f>
        <v>0</v>
      </c>
      <c r="J109" s="14">
        <f>IF(OR(All_Questions_Q_EXTRA_3_CT="(None)",J$106=""),"",COUNTIFS(Q_EXTRA_3_data,"Extra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J$106))</f>
        <v>0</v>
      </c>
      <c r="K109" s="14">
        <f>IF(OR(All_Questions_Q_EXTRA_3_CT="(None)",K$106=""),"",COUNTIFS(Q_EXTRA_3_data,"Extra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K$106))</f>
        <v>0</v>
      </c>
      <c r="L109" s="14">
        <f>IF(OR(All_Questions_Q_EXTRA_3_CT="(None)",L$106=""),"",COUNTIFS(Q_EXTRA_3_data,"Extra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L$106))</f>
        <v>0</v>
      </c>
      <c r="M109" s="14">
        <f>IF(OR(All_Questions_Q_EXTRA_3_CT="(None)",M$106=""),"",COUNTIFS(Q_EXTRA_3_data,"Extra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M$106))</f>
        <v>0</v>
      </c>
      <c r="N109" s="14">
        <f>IF(OR(All_Questions_Q_EXTRA_3_CT="(None)",N$106=""),"",COUNTIFS(Q_EXTRA_3_data,"Extra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N$106))</f>
        <v>0</v>
      </c>
      <c r="O109" s="14">
        <f>IF(OR(All_Questions_Q_EXTRA_3_CT="(None)",O$106=""),"",COUNTIFS(Q_EXTRA_3_data,"Extra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O$106))</f>
        <v>0</v>
      </c>
      <c r="P109" s="14">
        <f>IF(OR(All_Questions_Q_EXTRA_3_CT="(None)",P$106=""),"",COUNTIFS(Q_EXTRA_3_data,"Extra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P$106))</f>
        <v>0</v>
      </c>
      <c r="Q109" s="14">
        <f>IF(OR(All_Questions_Q_EXTRA_3_CT="(None)",Q$106=""),"",COUNTIFS(Q_EXTRA_3_data,"Extra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Q$106))</f>
        <v>0</v>
      </c>
      <c r="R109" s="14">
        <f>IF(OR(All_Questions_Q_EXTRA_3_CT="(None)",R$106=""),"",IF(R$106="Other",COUNTIFS(Q_EXTRA_3_data,"Extra 3 B",passes_workbook_filters_data,1,passes_workbook_custom_filters_data,1,All_Questions_passes_local_filters_data,1,All_Questions_Q_EXTRA_3_F_passes_per_q_filter_data,1)-SUM(G109,H109,I109,J109,K109,L109,M109,N109,O109,P109,Q109),COUNTIFS(Q_EXTRA_3_data,"Extra 3 B",passes_workbook_filters_data,1,passes_workbook_custom_filters_data,1,All_Questions_passes_local_filters_data,1,All_Questions_Q_EXTRA_3_F_passes_per_q_filter_data,1,INDIRECT(IFERROR(INDEX(Cross_Tab_Questions_Data_Names,MATCH(All_Questions_Q_EXTRA_3_CT,Cross_Tab_Questions,0)),"'_RawData'!$A:$A")),R$106)))</f>
        <v>0</v>
      </c>
      <c r="S109" s="14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110">
      <c r="F110" s="4" t="inlineStr">
        <is>
          <t>Total respondents</t>
        </is>
      </c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5:B86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5:C86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6:G87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6:H87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6:I87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6:J87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6:K87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6:L87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6:M87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6:N87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6:O87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6:P87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6:Q87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6:R87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6:B97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6:C97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7:G98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7:H98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7:I98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7:J98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7:K98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7:L98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7:M98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7:N98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7:O98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7:P98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7:Q98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7:R98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107:B108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07:C108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08:G109">
    <cfRule type="colorScale" priority="9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08:H109">
    <cfRule type="colorScale" priority="10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08:I109">
    <cfRule type="colorScale" priority="10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08:J109">
    <cfRule type="colorScale" priority="10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08:K109">
    <cfRule type="colorScale" priority="10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08:L109">
    <cfRule type="colorScale" priority="10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08:M109">
    <cfRule type="colorScale" priority="10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08:N109">
    <cfRule type="colorScale" priority="10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08:O109">
    <cfRule type="colorScale" priority="10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08:P109">
    <cfRule type="colorScale" priority="10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08:Q109">
    <cfRule type="colorScale" priority="10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08:R109">
    <cfRule type="colorScale" priority="1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  <dataValidation sqref="C81" showDropDown="0" showInputMessage="0" showErrorMessage="0" allowBlank="1" type="list">
      <formula1>=All_Questions</formula1>
    </dataValidation>
    <dataValidation sqref="E81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82" showDropDown="0" showInputMessage="0" showErrorMessage="0" allowBlank="1" type="list">
      <formula1>=Cross_Tab_Questions</formula1>
    </dataValidation>
    <dataValidation sqref="C92" showDropDown="0" showInputMessage="0" showErrorMessage="0" allowBlank="1" type="list">
      <formula1>=All_Questions</formula1>
    </dataValidation>
    <dataValidation sqref="E92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93" showDropDown="0" showInputMessage="0" showErrorMessage="0" allowBlank="1" type="list">
      <formula1>=Cross_Tab_Questions</formula1>
    </dataValidation>
    <dataValidation sqref="C103" showDropDown="0" showInputMessage="0" showErrorMessage="0" allowBlank="1" type="list">
      <formula1>=All_Questions</formula1>
    </dataValidation>
    <dataValidation sqref="E103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10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2026-06-08T13:47:27.749861+00:00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2026-06-08T13:47:27.749929+00:00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2026-06-08T13:47:27.750000+00:00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2026-06-08T13:47:27.750044+00:00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2026-06-08T13:47:27.750085+00:00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2026-06-08T13:47:27.750124+00:00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2026-06-08T13:47:27.750165+00:00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2026-06-08T13:47:27.750205+00:00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2026-06-08T13:47:27.750246+00:00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2026-06-08T13:47:27.750318+00:00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2026-06-08T13:47:27.750368+00:00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2026-06-08T13:47:27.750421+00:00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2026-06-08T13:47:27.750496+00:00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2026-06-08T13:47:27.750538+00:00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2026-06-08T13:47:27.750576+00:00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2026-06-08T13:47:27.750615+00:00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2026-06-08T13:47:27.750653+00:00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2026-06-08T13:47:27.750690+00:00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2026-06-08T13:47:27.750728+00:00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2026-06-08T13:47:27.750765+00:00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2026-06-08T13:47:27.750803+00:00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2026-06-08T13:47:27.750839+00:00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2026-06-08T13:47:27.750877+00:00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2026-06-08T13:47:27.750923+00:00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2026-06-08T13:47:27.755697+00:00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2026-06-08T13:47:27.755738+00:00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2026-06-08T13:47:27.755767+00:00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2026-06-08T13:47:27.755793+00:00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2026-06-08T13:47:27.755817+00:00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2026-06-08T13:47:27.755842+00:00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2026-06-08T13:47:27.755866+00:00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2026-06-08T13:47:27.755893+00:00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2026-06-08T13:47:27.755918+00:00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2026-06-08T13:47:27.755966+00:00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2026-06-08T13:47:27.756005+00:00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2026-06-08T13:47:27.756045+00:00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2026-06-08T13:47:24Z</dcterms:created>
  <dcterms:modified xmlns:dcterms="http://purl.org/dc/terms/" xmlns:xsi="http://www.w3.org/2001/XMLSchema-instance" xsi:type="dcterms:W3CDTF">2026-06-08T13:47:27Z</dcterms:modified>
</cp:coreProperties>
</file>