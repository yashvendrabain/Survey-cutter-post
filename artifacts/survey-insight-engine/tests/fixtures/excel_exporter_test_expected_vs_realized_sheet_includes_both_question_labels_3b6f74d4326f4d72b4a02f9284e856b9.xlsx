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'_RawData'!$A:$A</definedName>
    <definedName name="Q_SS_EXPORT_data">'_RawData'!$B:$B</definedName>
    <definedName name="Q_MS_EXPORTr1_data">'_RawData'!$C:$C</definedName>
    <definedName name="Q_MS_EXPORTr2_data">'_RawData'!$D:$D</definedName>
    <definedName name="Q_NUM_EXPORT_data">'_RawData'!$E:$E</definedName>
    <definedName name="Q_GRID_EXPORTr1_data">'_RawData'!$F:$F</definedName>
    <definedName name="Q_GRID_EXPORTr2_data">'_RawData'!$G:$G</definedName>
    <definedName name="Q_VERY_LONG_SINGLE_SELECT_EXPOR_data">'_RawData'!$H:$H</definedName>
    <definedName name="Q_SEG_1_data">'_RawData'!$I:$I</definedName>
    <definedName name="Q_TGT_1_data">'_RawData'!$J:$J</definedName>
    <definedName name="Q_NUM_3_data">'_RawData'!$K:$K</definedName>
    <definedName name="Q_EXP_1_data">'_RawData'!$L:$L</definedName>
    <definedName name="Q_REAL_1_data">'_RawData'!$M:$M</definedName>
    <definedName name="All_Questions">'_Options'!$A$2:$A$14</definedName>
    <definedName name="None_options">'_Options'!$B$2:$B$2</definedName>
    <definedName name="Q_SS_EXPORT_options">'_Options'!$C$2:$C$4</definedName>
    <definedName name="Q_MS_EXPORTr1_options">'_Options'!$D$2:$D$3</definedName>
    <definedName name="Q_MS_EXPORTr2_options">'_Options'!$E$2:$E$3</definedName>
    <definedName name="Q_NUM_EXPORT_options">'_Options'!$F$2:$F$3</definedName>
    <definedName name="Q_GRID_EXPORTr1_options">'_Options'!$G$2:$G$3</definedName>
    <definedName name="Q_GRID_EXPORTr2_options">'_Options'!$H$2:$H$3</definedName>
    <definedName name="Q_VERY_LONG_SINGLE_SELECT_EXPOR_options">'_Options'!$I$2:$I$4</definedName>
    <definedName name="Q_SEG_1_options">'_Options'!$J$2:$J$5</definedName>
    <definedName name="Q_TGT_1_options">'_Options'!$K$2:$K$6</definedName>
    <definedName name="Q_NUM_3_options">'_Options'!$L$2:$L$2</definedName>
    <definedName name="Q_EXP_1_options">'_Options'!$M$2:$M$2</definedName>
    <definedName name="Q_REAL_1_options">'_Options'!$N$2:$N$2</definedName>
    <definedName name="F_Custom1_Q">'Filters'!$B$5</definedName>
    <definedName name="F_Custom1_V">'Filters'!$D$5</definedName>
    <definedName name="F_Custom1_resolved_column">'Filters'!$E$5</definedName>
    <definedName name="F_Custom1_crit">'Filters'!$F$5</definedName>
    <definedName name="F_Custom2_Q">'Filters'!$B$6</definedName>
    <definedName name="F_Custom2_V">'Filters'!$D$6</definedName>
    <definedName name="F_Custom2_resolved_column">'Filters'!$E$6</definedName>
    <definedName name="F_Custom2_crit">'Filters'!$F$6</definedName>
    <definedName name="Q_SS_EXPORT_F_Q">'Filters'!$B$10</definedName>
    <definedName name="Q_SS_EXPORT_F_V">'Filters'!$C$10</definedName>
    <definedName name="Q_SS_EXPORT_CT">'Filters'!$D$10</definedName>
    <definedName name="Q_SS_EXPORT_F_resolved_column">'Filters'!$E$10</definedName>
    <definedName name="Q_SS_EXPORT_F_crit">'Filters'!$F$10</definedName>
    <definedName name="Q_MS_EXPORT_F_Q">'Filters'!$B$11</definedName>
    <definedName name="Q_MS_EXPORT_F_V">'Filters'!$C$11</definedName>
    <definedName name="Q_MS_EXPORT_CT">'Filters'!$D$11</definedName>
    <definedName name="Q_MS_EXPORT_F_resolved_column">'Filters'!$E$11</definedName>
    <definedName name="Q_MS_EXPORT_F_crit">'Filters'!$F$11</definedName>
    <definedName name="Q_NUM_EXPORT_F_Q">'Filters'!$B$12</definedName>
    <definedName name="Q_NUM_EXPORT_F_V">'Filters'!$C$12</definedName>
    <definedName name="Q_NUM_EXPORT_CT">'Filters'!$D$12</definedName>
    <definedName name="Q_NUM_EXPORT_F_resolved_column">'Filters'!$E$12</definedName>
    <definedName name="Q_NUM_EXPORT_F_crit">'Filters'!$F$12</definedName>
    <definedName name="Q_GRID_EXPORT_F_Q">'Filters'!$B$13</definedName>
    <definedName name="Q_GRID_EXPORT_F_V">'Filters'!$C$13</definedName>
    <definedName name="Q_GRID_EXPORT_CT">'Filters'!$D$13</definedName>
    <definedName name="Q_GRID_EXPORT_F_resolved_column">'Filters'!$E$13</definedName>
    <definedName name="Q_GRID_EXPORT_F_crit">'Filters'!$F$13</definedName>
    <definedName name="Q_VERY_LONG_SINGLE_SELECT_EXPORT_NAME_F_Q">'Filters'!$B$14</definedName>
    <definedName name="Q_VERY_LONG_SINGLE_SELECT_EXPORT_NAME_F_V">'Filters'!$C$14</definedName>
    <definedName name="Q_VERY_LONG_SINGLE_SELECT_EXPORT_NAME_CT">'Filters'!$D$14</definedName>
    <definedName name="Q_VERY_LONG_SINGLE_SELECT_EXPORT_NAME_F_resolved_column">'Filters'!$E$14</definedName>
    <definedName name="Q_VERY_LONG_SINGLE_SELECT_EXPORT_NAME_F_crit">'Filters'!$F$14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b val="1"/>
      <sz val="11"/>
    </font>
    <font>
      <name val="Arial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3" fillId="0" borderId="0"/>
  </cellStyleXfs>
  <cellXfs count="13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3" fillId="0" borderId="0" pivotButton="0" quotePrefix="0" xfId="1"/>
    <xf numFmtId="164" fontId="0" fillId="0" borderId="0" pivotButton="0" quotePrefix="0" xfId="0"/>
    <xf numFmtId="0" fontId="4" fillId="3" borderId="0" applyAlignment="1" pivotButton="0" quotePrefix="0" xfId="0">
      <alignment vertical="center"/>
    </xf>
    <xf numFmtId="0" fontId="0" fillId="3" borderId="0" pivotButton="0" quotePrefix="0" xfId="0"/>
    <xf numFmtId="0" fontId="0" fillId="0" borderId="1" pivotButton="0" quotePrefix="0" xfId="0"/>
    <xf numFmtId="0" fontId="5" fillId="0" borderId="0" pivotButton="0" quotePrefix="0" xfId="0"/>
    <xf numFmtId="3" fontId="0" fillId="0" borderId="0" pivotButton="0" quotePrefix="0" xfId="0"/>
    <xf numFmtId="0" fontId="6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ables/table1.xml><?xml version="1.0" encoding="utf-8"?>
<table xmlns="http://schemas.openxmlformats.org/spreadsheetml/2006/main" id="1" name="T_All_Questions_6_1" displayName="T_All_Questions_6_1" ref="A6:D8" headerRowCount="1">
  <autoFilter ref="A6:D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3_1" displayName="T_All_Questions_13_1" ref="A13:D15" headerRowCount="1">
  <autoFilter ref="A13:D15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0_1" displayName="T_All_Questions_20_1" ref="A20:D24" headerRowCount="1">
  <autoFilter ref="A20:D24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2" headerRowCount="1">
  <autoFilter ref="A30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37_1" displayName="T_All_Questions_37_1" ref="A37:D39" headerRowCount="1">
  <autoFilter ref="A37:D3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None_options</t>
        </is>
      </c>
      <c r="C1" t="inlineStr">
        <is>
          <t>Q_SS_EXPORT_options</t>
        </is>
      </c>
      <c r="D1" t="inlineStr">
        <is>
          <t>Q_MS_EXPORTr1_options</t>
        </is>
      </c>
      <c r="E1" t="inlineStr">
        <is>
          <t>Q_MS_EXPORTr2_options</t>
        </is>
      </c>
      <c r="F1" t="inlineStr">
        <is>
          <t>Q_NUM_EXPORT_options</t>
        </is>
      </c>
      <c r="G1" t="inlineStr">
        <is>
          <t>Q_GRID_EXPORTr1_options</t>
        </is>
      </c>
      <c r="H1" t="inlineStr">
        <is>
          <t>Q_GRID_EXPORTr2_options</t>
        </is>
      </c>
      <c r="I1" t="inlineStr">
        <is>
          <t>Q_VERY_LONG_SINGLE_SELECT_EXPOR_options</t>
        </is>
      </c>
      <c r="J1" t="inlineStr">
        <is>
          <t>Q_SEG_1_options</t>
        </is>
      </c>
      <c r="K1" t="inlineStr">
        <is>
          <t>Q_TGT_1_options</t>
        </is>
      </c>
      <c r="L1" t="inlineStr">
        <is>
          <t>Q_NUM_3_options</t>
        </is>
      </c>
      <c r="M1" t="inlineStr">
        <is>
          <t>Q_EXP_1_options</t>
        </is>
      </c>
      <c r="N1" t="inlineStr">
        <is>
          <t>Q_REAL_1_options</t>
        </is>
      </c>
    </row>
    <row r="2">
      <c r="A2" t="inlineStr">
        <is>
          <t>(None)</t>
        </is>
      </c>
      <c r="B2" t="inlineStr">
        <is>
          <t>(All)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</row>
    <row r="3">
      <c r="A3" t="inlineStr">
        <is>
          <t>Q_SS_EXPORT</t>
        </is>
      </c>
      <c r="C3" t="inlineStr">
        <is>
          <t>Yes</t>
        </is>
      </c>
      <c r="D3" t="inlineStr">
        <is>
          <t>Selected</t>
        </is>
      </c>
      <c r="E3" t="inlineStr">
        <is>
          <t>Selected</t>
        </is>
      </c>
      <c r="F3" t="inlineStr">
        <is>
          <t>5.5</t>
        </is>
      </c>
      <c r="G3" t="inlineStr">
        <is>
          <t>Selected</t>
        </is>
      </c>
      <c r="H3" t="inlineStr">
        <is>
          <t>Selected</t>
        </is>
      </c>
      <c r="I3" t="inlineStr">
        <is>
          <t>A</t>
        </is>
      </c>
      <c r="J3" t="inlineStr">
        <is>
          <t>Segment 1</t>
        </is>
      </c>
      <c r="K3" t="inlineStr">
        <is>
          <t>A</t>
        </is>
      </c>
    </row>
    <row r="4">
      <c r="A4" t="inlineStr">
        <is>
          <t>Q_MS_EXPORTr1</t>
        </is>
      </c>
      <c r="C4" t="inlineStr">
        <is>
          <t>No</t>
        </is>
      </c>
      <c r="I4" t="inlineStr">
        <is>
          <t>B</t>
        </is>
      </c>
      <c r="J4" t="inlineStr">
        <is>
          <t>Segment 2</t>
        </is>
      </c>
      <c r="K4" t="inlineStr">
        <is>
          <t>B</t>
        </is>
      </c>
    </row>
    <row r="5">
      <c r="A5" t="inlineStr">
        <is>
          <t>Q_MS_EXPORTr2</t>
        </is>
      </c>
      <c r="J5" t="inlineStr">
        <is>
          <t>Segment 3</t>
        </is>
      </c>
      <c r="K5" t="inlineStr">
        <is>
          <t>C</t>
        </is>
      </c>
    </row>
    <row r="6">
      <c r="A6" t="inlineStr">
        <is>
          <t>Q_NUM_EXPORT</t>
        </is>
      </c>
      <c r="K6" t="inlineStr">
        <is>
          <t>D</t>
        </is>
      </c>
    </row>
    <row r="7">
      <c r="A7" t="inlineStr">
        <is>
          <t>Q_GRID_EXPORTr1</t>
        </is>
      </c>
    </row>
    <row r="8">
      <c r="A8" t="inlineStr">
        <is>
          <t>Q_GRID_EXPORTr2</t>
        </is>
      </c>
    </row>
    <row r="9">
      <c r="A9" t="inlineStr">
        <is>
          <t>Q_VERY_LONG_SINGLE_SELECT_EXPOR</t>
        </is>
      </c>
    </row>
    <row r="10">
      <c r="A10" t="inlineStr">
        <is>
          <t>Q_SEG_1</t>
        </is>
      </c>
    </row>
    <row r="11">
      <c r="A11" t="inlineStr">
        <is>
          <t>Q_TGT_1</t>
        </is>
      </c>
    </row>
    <row r="12">
      <c r="A12" t="inlineStr">
        <is>
          <t>Q_NUM_3</t>
        </is>
      </c>
    </row>
    <row r="13">
      <c r="A13" t="inlineStr">
        <is>
          <t>Q_EXP_1</t>
        </is>
      </c>
    </row>
    <row r="14">
      <c r="A14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Filter</t>
        </is>
      </c>
      <c r="B2" s="3" t="inlineStr">
        <is>
          <t>Value</t>
        </is>
      </c>
      <c r="C2" s="3" t="inlineStr">
        <is>
          <t>Resolved criterion</t>
        </is>
      </c>
      <c r="D2" s="3" t="inlineStr">
        <is>
          <t>Raw data column</t>
        </is>
      </c>
    </row>
    <row r="4">
      <c r="A4" s="3" t="inlineStr">
        <is>
          <t>CUSTOM FILTERS</t>
        </is>
      </c>
      <c r="B4" s="2" t="n"/>
      <c r="C4" s="2" t="n"/>
      <c r="D4" s="2" t="n"/>
      <c r="E4" s="2" t="n"/>
      <c r="F4" s="2" t="n"/>
    </row>
    <row r="5">
      <c r="A5" t="inlineStr">
        <is>
          <t>Filter 1 question</t>
        </is>
      </c>
      <c r="B5" t="inlineStr">
        <is>
          <t>(None)</t>
        </is>
      </c>
      <c r="C5" t="inlineStr">
        <is>
          <t>Filter value</t>
        </is>
      </c>
      <c r="D5" t="inlineStr">
        <is>
          <t>(All)</t>
        </is>
      </c>
      <c r="E5">
        <f>IF(F_Custom1_Q="(None)","respondent_id_data",F_Custom1_Q &amp; "_data")</f>
        <v/>
      </c>
      <c r="F5">
        <f>IF(F_Custom1_Q="(None)","&lt;&gt;",IF(F_Custom1_V="(All)","*",F_Custom1_V))</f>
        <v/>
      </c>
    </row>
    <row r="6">
      <c r="A6" t="inlineStr">
        <is>
          <t>Filter 2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IF(F_Custom2_Q="(None)","respondent_id_data",F_Custom2_Q &amp; "_data")</f>
        <v/>
      </c>
      <c r="F6">
        <f>IF(F_Custom2_Q="(None)","&lt;&gt;",IF(F_Custom2_V="(All)","*",F_Custom2_V))</f>
        <v/>
      </c>
    </row>
    <row r="8">
      <c r="A8" s="3" t="inlineStr">
        <is>
          <t>PER-QUESTION FILTERS</t>
        </is>
      </c>
      <c r="B8" s="2" t="n"/>
      <c r="C8" s="2" t="n"/>
      <c r="D8" s="2" t="n"/>
      <c r="E8" s="2" t="n"/>
      <c r="F8" s="2" t="n"/>
      <c r="G8" s="2" t="n"/>
    </row>
    <row r="9">
      <c r="A9" s="3" t="inlineStr">
        <is>
          <t>Question</t>
        </is>
      </c>
      <c r="B9" s="3" t="inlineStr">
        <is>
          <t>Filter question</t>
        </is>
      </c>
      <c r="C9" s="3" t="inlineStr">
        <is>
          <t>Filter value</t>
        </is>
      </c>
      <c r="D9" s="3" t="inlineStr">
        <is>
          <t>Cross-tab by</t>
        </is>
      </c>
      <c r="E9" s="3" t="inlineStr">
        <is>
          <t>Resolved column</t>
        </is>
      </c>
      <c r="F9" s="3" t="inlineStr">
        <is>
          <t>Resolved criterion</t>
        </is>
      </c>
    </row>
    <row r="10">
      <c r="A10" t="inlineStr">
        <is>
          <t>Q_SS_EXPORT - Single select export question</t>
        </is>
      </c>
      <c r="B10" t="inlineStr">
        <is>
          <t>(None)</t>
        </is>
      </c>
      <c r="C10" t="inlineStr">
        <is>
          <t>(All)</t>
        </is>
      </c>
      <c r="D10" t="inlineStr">
        <is>
          <t>(None)</t>
        </is>
      </c>
      <c r="E10">
        <f>IF(Q_SS_EXPORT_F_Q="(None)","respondent_id_data",Q_SS_EXPORT_F_Q &amp; "_data")</f>
        <v/>
      </c>
      <c r="F10">
        <f>IF(Q_SS_EXPORT_F_Q="(None)","&lt;&gt;",IF(Q_SS_EXPORT_F_V="(All)","*",Q_SS_EXPORT_F_V))</f>
        <v/>
      </c>
    </row>
    <row r="11">
      <c r="A11" t="inlineStr">
        <is>
          <t>Q_MS_EXPORT - Multi select export question</t>
        </is>
      </c>
      <c r="B11" t="inlineStr">
        <is>
          <t>(None)</t>
        </is>
      </c>
      <c r="C11" t="inlineStr">
        <is>
          <t>(All)</t>
        </is>
      </c>
      <c r="D11" t="inlineStr">
        <is>
          <t>(None)</t>
        </is>
      </c>
      <c r="E11">
        <f>IF(Q_MS_EXPORT_F_Q="(None)","respondent_id_data",Q_MS_EXPORT_F_Q &amp; "_data")</f>
        <v/>
      </c>
      <c r="F11">
        <f>IF(Q_MS_EXPORT_F_Q="(None)","&lt;&gt;",IF(Q_MS_EXPORT_F_V="(All)","*",Q_MS_EXPORT_F_V))</f>
        <v/>
      </c>
    </row>
    <row r="12">
      <c r="A12" t="inlineStr">
        <is>
          <t>Q_NUM_EXPORT - Numeric export question</t>
        </is>
      </c>
      <c r="B12" t="inlineStr">
        <is>
          <t>(None)</t>
        </is>
      </c>
      <c r="C12" t="inlineStr">
        <is>
          <t>(All)</t>
        </is>
      </c>
      <c r="D12" t="inlineStr">
        <is>
          <t>(None)</t>
        </is>
      </c>
      <c r="E12">
        <f>IF(Q_NUM_EXPORT_F_Q="(None)","respondent_id_data",Q_NUM_EXPORT_F_Q &amp; "_data")</f>
        <v/>
      </c>
      <c r="F12">
        <f>IF(Q_NUM_EXPORT_F_Q="(None)","&lt;&gt;",IF(Q_NUM_EXPORT_F_V="(All)","*",Q_NUM_EXPORT_F_V))</f>
        <v/>
      </c>
    </row>
    <row r="13">
      <c r="A13" t="inlineStr">
        <is>
          <t>Q_GRID_EXPORT - Grid export question</t>
        </is>
      </c>
      <c r="B13" t="inlineStr">
        <is>
          <t>(None)</t>
        </is>
      </c>
      <c r="C13" t="inlineStr">
        <is>
          <t>(All)</t>
        </is>
      </c>
      <c r="D13" t="inlineStr">
        <is>
          <t>(None)</t>
        </is>
      </c>
      <c r="E13">
        <f>IF(Q_GRID_EXPORT_F_Q="(None)","respondent_id_data",Q_GRID_EXPORT_F_Q &amp; "_data")</f>
        <v/>
      </c>
      <c r="F13">
        <f>IF(Q_GRID_EXPORT_F_Q="(None)","&lt;&gt;",IF(Q_GRID_EXPORT_F_V="(All)","*",Q_GRID_EXPORT_F_V))</f>
        <v/>
      </c>
    </row>
    <row r="14">
      <c r="A14" t="inlineStr">
        <is>
          <t>Q_VERY_LONG_SINGLE_SELECT_EXPORT_NAME - Long sheet name export question</t>
        </is>
      </c>
      <c r="B14" t="inlineStr">
        <is>
          <t>(None)</t>
        </is>
      </c>
      <c r="C14" t="inlineStr">
        <is>
          <t>(All)</t>
        </is>
      </c>
      <c r="D14" t="inlineStr">
        <is>
          <t>(None)</t>
        </is>
      </c>
      <c r="E14">
        <f>IF(Q_VERY_LONG_SINGLE_SELECT_EXPORT_NAME_F_Q="(None)","respondent_id_data",Q_VERY_LONG_SINGLE_SELECT_EXPORT_NAME_F_Q &amp; "_data")</f>
        <v/>
      </c>
      <c r="F14">
        <f>IF(Q_VERY_LONG_SINGLE_SELECT_EXPORT_NAME_F_Q="(None)","&lt;&gt;",IF(Q_VERY_LONG_SINGLE_SELECT_EXPORT_NAME_F_V="(All)","*",Q_VERY_LONG_SINGLE_SELECT_EXPORT_NAME_F_V))</f>
        <v/>
      </c>
    </row>
  </sheetData>
  <dataValidations count="19">
    <dataValidation sqref="B5" showDropDown="0" showInputMessage="0" showErrorMessage="0" allowBlank="1" type="list">
      <formula1>=All_Questions</formula1>
    </dataValidation>
    <dataValidation sqref="D5" showDropDown="0" showInputMessage="0" showErrorMessage="0" allowBlank="1" type="list">
      <formula1>=INDIRECT(IF(F_Custom1_Q="(None)","None_options",F_Custom1_Q &amp; "_options"))</formula1>
    </dataValidation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=INDIRECT(IF(F_Custom2_Q="(None)","None_options",F_Custom2_Q &amp; "_options"))</formula1>
    </dataValidation>
    <dataValidation sqref="B10" showDropDown="0" showInputMessage="0" showErrorMessage="0" allowBlank="1" type="list">
      <formula1>=All_Questions</formula1>
    </dataValidation>
    <dataValidation sqref="C10" showDropDown="0" showInputMessage="0" showErrorMessage="0" allowBlank="1" type="list">
      <formula1>=INDIRECT(IF(Q_SS_EXPORT_F_Q="(None)","None_options",Q_SS_EXPORT_F_Q &amp; "_options"))</formula1>
    </dataValidation>
    <dataValidation sqref="D10" showDropDown="0" showInputMessage="0" showErrorMessage="0" allowBlank="1" type="list">
      <formula1>=All_Questions</formula1>
    </dataValidation>
    <dataValidation sqref="B11" showDropDown="0" showInputMessage="0" showErrorMessage="0" allowBlank="1" type="list">
      <formula1>=All_Questions</formula1>
    </dataValidation>
    <dataValidation sqref="C11" showDropDown="0" showInputMessage="0" showErrorMessage="0" allowBlank="1" type="list">
      <formula1>=INDIRECT(IF(Q_MS_EXPORT_F_Q="(None)","None_options",Q_MS_EXPORT_F_Q &amp; "_options"))</formula1>
    </dataValidation>
    <dataValidation sqref="D11" showDropDown="0" showInputMessage="0" showErrorMessage="0" allowBlank="1" type="list">
      <formula1>=All_Questions</formula1>
    </dataValidation>
    <dataValidation sqref="B12" showDropDown="0" showInputMessage="0" showErrorMessage="0" allowBlank="1" type="list">
      <formula1>=All_Questions</formula1>
    </dataValidation>
    <dataValidation sqref="C12" showDropDown="0" showInputMessage="0" showErrorMessage="0" allowBlank="1" type="list">
      <formula1>=INDIRECT(IF(Q_NUM_EXPORT_F_Q="(None)","None_options",Q_NUM_EXPORT_F_Q &amp; "_options"))</formula1>
    </dataValidation>
    <dataValidation sqref="D12" showDropDown="0" showInputMessage="0" showErrorMessage="0" allowBlank="1" type="list">
      <formula1>=All_Questions</formula1>
    </dataValidation>
    <dataValidation sqref="B13" showDropDown="0" showInputMessage="0" showErrorMessage="0" allowBlank="1" type="list">
      <formula1>=All_Questions</formula1>
    </dataValidation>
    <dataValidation sqref="C13" showDropDown="0" showInputMessage="0" showErrorMessage="0" allowBlank="1" type="list">
      <formula1>=INDIRECT(IF(Q_GRID_EXPORT_F_Q="(None)","None_options",Q_GRID_EXPORT_F_Q &amp; "_options"))</formula1>
    </dataValidation>
    <dataValidation sqref="D13" showDropDown="0" showInputMessage="0" showErrorMessage="0" allowBlank="1" type="list">
      <formula1>=All_Questions</formula1>
    </dataValidation>
    <dataValidation sqref="B14" showDropDown="0" showInputMessage="0" showErrorMessage="0" allowBlank="1" type="list">
      <formula1>=All_Questions</formula1>
    </dataValidation>
    <dataValidation sqref="C14" showDropDown="0" showInputMessage="0" showErrorMessage="0" allowBlank="1" type="list">
      <formula1>=INDIRECT(IF(Q_VERY_LONG_SINGLE_SELECT_EXPORT_NAME_F_Q="(None)","None_options",Q_VERY_LONG_SINGLE_SELECT_EXPORT_NAME_F_Q &amp; "_options"))</formula1>
    </dataValidation>
    <dataValidation sqref="D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4" t="inlineStr">
        <is>
          <t>Source datamap:</t>
        </is>
      </c>
      <c r="B1" t="inlineStr">
        <is>
          <t>datamap.xlsx</t>
        </is>
      </c>
    </row>
    <row r="2">
      <c r="A2" s="4" t="inlineStr">
        <is>
          <t>Source raw data:</t>
        </is>
      </c>
      <c r="B2" t="inlineStr">
        <is>
          <t>raw.csv</t>
        </is>
      </c>
    </row>
    <row r="3">
      <c r="A3" s="4" t="inlineStr">
        <is>
          <t>Run timestamp:</t>
        </is>
      </c>
      <c r="B3" t="inlineStr">
        <is>
          <t>2026-05-04T12:00:00+00:00</t>
        </is>
      </c>
    </row>
    <row r="4">
      <c r="A4" s="4" t="inlineStr">
        <is>
          <t>Total respondents:</t>
        </is>
      </c>
      <c r="B4" t="n">
        <v>10</v>
      </c>
    </row>
    <row r="5">
      <c r="A5" s="4" t="inlineStr">
        <is>
          <t>Total questions:</t>
        </is>
      </c>
      <c r="B5" t="n">
        <v>11</v>
      </c>
    </row>
    <row r="6">
      <c r="A6" s="4" t="inlineStr">
        <is>
          <t>Results produced:</t>
        </is>
      </c>
      <c r="B6" t="n">
        <v>5</v>
      </c>
    </row>
    <row r="7">
      <c r="A7" s="4" t="inlineStr">
        <is>
          <t>Questions skipped:</t>
        </is>
      </c>
      <c r="B7" t="n">
        <v>2</v>
      </c>
    </row>
    <row r="8">
      <c r="A8" s="4" t="inlineStr">
        <is>
          <t>Cross cuts produced:</t>
        </is>
      </c>
      <c r="B8" t="n">
        <v>4</v>
      </c>
    </row>
    <row r="9">
      <c r="A9" s="4" t="inlineStr">
        <is>
          <t>Cross cut skips:</t>
        </is>
      </c>
      <c r="B9" t="n">
        <v>1</v>
      </c>
    </row>
    <row r="10">
      <c r="A10" s="4" t="inlineStr">
        <is>
          <t>Audit log records:</t>
        </is>
      </c>
      <c r="B10" t="n">
        <v>19</v>
      </c>
    </row>
    <row r="11">
      <c r="A11" s="4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3" t="inlineStr">
        <is>
          <t>Question ID</t>
        </is>
      </c>
      <c r="B1" s="3" t="inlineStr">
        <is>
          <t>Canonical ID</t>
        </is>
      </c>
      <c r="C1" s="3" t="inlineStr">
        <is>
          <t>Question Text</t>
        </is>
      </c>
      <c r="D1" s="3" t="inlineStr">
        <is>
          <t>Type</t>
        </is>
      </c>
      <c r="E1" s="3" t="inlineStr">
        <is>
          <t>Raw Columns</t>
        </is>
      </c>
      <c r="F1" s="3" t="inlineStr">
        <is>
          <t>Options Count</t>
        </is>
      </c>
      <c r="G1" s="3" t="inlineStr">
        <is>
          <t>Analysis Eligible</t>
        </is>
      </c>
      <c r="H1" s="3" t="inlineStr">
        <is>
          <t>Demographic</t>
        </is>
      </c>
      <c r="I1" s="3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3" t="inlineStr">
        <is>
          <t>Question ID</t>
        </is>
      </c>
      <c r="B1" s="3" t="inlineStr">
        <is>
          <t>Canonical ID</t>
        </is>
      </c>
      <c r="C1" s="3" t="inlineStr">
        <is>
          <t>Type</t>
        </is>
      </c>
      <c r="D1" s="3" t="inlineStr">
        <is>
          <t>Theme</t>
        </is>
      </c>
      <c r="E1" s="3" t="inlineStr">
        <is>
          <t>Sheet Name</t>
        </is>
      </c>
      <c r="F1" s="3" t="inlineStr">
        <is>
          <t>Valid N</t>
        </is>
      </c>
      <c r="G1" s="3" t="inlineStr">
        <is>
          <t>Missing N</t>
        </is>
      </c>
      <c r="H1" s="3" t="inlineStr">
        <is>
          <t>Missing %</t>
        </is>
      </c>
      <c r="I1" s="3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5" t="inlineStr">
        <is>
          <t>All Questions</t>
        </is>
      </c>
      <c r="F2" t="n">
        <v>10</v>
      </c>
      <c r="G2" t="n">
        <v>0</v>
      </c>
      <c r="H2" s="6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5" t="inlineStr">
        <is>
          <t>All Questions</t>
        </is>
      </c>
      <c r="F3" t="n">
        <v>10</v>
      </c>
      <c r="G3" t="n">
        <v>0</v>
      </c>
      <c r="H3" s="6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5" t="inlineStr">
        <is>
          <t>All Questions</t>
        </is>
      </c>
      <c r="F4" t="n">
        <v>10</v>
      </c>
      <c r="G4" t="n">
        <v>0</v>
      </c>
      <c r="H4" s="6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5" t="inlineStr">
        <is>
          <t>All Questions</t>
        </is>
      </c>
      <c r="F5" t="n">
        <v>10</v>
      </c>
      <c r="G5" t="n">
        <v>0</v>
      </c>
      <c r="H5" s="6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5" t="inlineStr">
        <is>
          <t>All Questions</t>
        </is>
      </c>
      <c r="F6" t="n">
        <v>10</v>
      </c>
      <c r="G6" t="n">
        <v>0</v>
      </c>
      <c r="H6" s="6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3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7" t="inlineStr">
        <is>
          <t>THEME: All Questions</t>
        </is>
      </c>
      <c r="B1" s="8" t="n"/>
      <c r="C1" s="8" t="n"/>
      <c r="D1" s="8" t="n"/>
      <c r="E1" s="8" t="n"/>
      <c r="F1" s="8" t="n"/>
      <c r="G1" s="8" t="n"/>
      <c r="H1" s="8" t="n"/>
      <c r="I1" s="8" t="n"/>
      <c r="J1" s="8" t="n"/>
    </row>
    <row r="3">
      <c r="A3" s="9" t="n"/>
      <c r="B3" s="9" t="n"/>
      <c r="C3" s="9" t="n"/>
      <c r="D3" s="9" t="n"/>
      <c r="E3" s="9" t="n"/>
      <c r="F3" s="9" t="n"/>
      <c r="G3" s="9" t="n"/>
      <c r="H3" s="9" t="n"/>
      <c r="I3" s="9" t="n"/>
      <c r="J3" s="9" t="n"/>
    </row>
    <row r="4">
      <c r="A4" s="10" t="inlineStr">
        <is>
          <t>Q_SS_EXPORT - Single select export question</t>
        </is>
      </c>
    </row>
    <row r="6">
      <c r="A6" s="3" t="inlineStr">
        <is>
          <t>Option</t>
        </is>
      </c>
      <c r="B6" s="3" t="inlineStr">
        <is>
          <t>Count</t>
        </is>
      </c>
      <c r="C6" s="3" t="inlineStr">
        <is>
          <t>%</t>
        </is>
      </c>
      <c r="D6" s="3" t="inlineStr">
        <is>
          <t>Denominator</t>
        </is>
      </c>
      <c r="F6" s="4" t="inlineStr">
        <is>
          <t>Option \ Cross-tab</t>
        </is>
      </c>
      <c r="G6">
        <f>IFERROR(INDEX(INDIRECT(Q_SS_EXPORT_CT &amp; "_options"),2),"")</f>
        <v/>
      </c>
      <c r="H6">
        <f>IFERROR(INDEX(INDIRECT(Q_SS_EXPORT_CT &amp; "_options"),3),"")</f>
        <v/>
      </c>
      <c r="I6">
        <f>IFERROR(INDEX(INDIRECT(Q_SS_EXPORT_CT &amp; "_options"),4),"")</f>
        <v/>
      </c>
      <c r="J6">
        <f>IFERROR(INDEX(INDIRECT(Q_SS_EXPORT_CT &amp; "_options"),5),"")</f>
        <v/>
      </c>
      <c r="K6">
        <f>IFERROR(INDEX(INDIRECT(Q_SS_EXPORT_CT &amp; "_options"),6),"")</f>
        <v/>
      </c>
      <c r="L6">
        <f>IFERROR(INDEX(INDIRECT(Q_SS_EXPORT_CT &amp; "_options"),7),"")</f>
        <v/>
      </c>
      <c r="M6">
        <f>IFERROR(INDEX(INDIRECT(Q_SS_EXPORT_CT &amp; "_options"),8),"")</f>
        <v/>
      </c>
      <c r="N6">
        <f>IFERROR(INDEX(INDIRECT(Q_SS_EXPORT_CT &amp; "_options"),9),"")</f>
        <v/>
      </c>
      <c r="O6" s="4" t="inlineStr">
        <is>
          <t>TOTAL</t>
        </is>
      </c>
    </row>
    <row r="7">
      <c r="A7" t="inlineStr">
        <is>
          <t>Yes</t>
        </is>
      </c>
      <c r="B7">
        <f>COUNTIFS(INDIRECT(F_Custom1_resolved_column),F_Custom1_crit,INDIRECT(F_Custom2_resolved_column),F_Custom2_crit,INDIRECT(Q_SS_EXPORT_F_resolved_column),Q_SS_EXPORT_F_crit,Q_SS_EXPORT_data,"Yes")</f>
        <v/>
      </c>
      <c r="C7" s="6">
        <f>IFERROR(B7/SUBTOTAL(9,B7:B8),0)</f>
        <v/>
      </c>
      <c r="D7" s="11">
        <f>SUBTOTAL(9,B7:B8)</f>
        <v/>
      </c>
      <c r="F7" t="inlineStr">
        <is>
          <t>Yes</t>
        </is>
      </c>
      <c r="G7">
        <f>IF(Q_SS_EXPORT_CT="(None)","",COUNTIFS(INDIRECT(F_Custom1_resolved_column),F_Custom1_crit,INDIRECT(F_Custom2_resolved_column),F_Custom2_crit,INDIRECT(Q_SS_EXPORT_F_resolved_column),Q_SS_EXPORT_F_crit,Q_SS_EXPORT_data,"Yes",INDIRECT(Q_SS_EXPORT_CT &amp; "_data"),G$6))</f>
        <v/>
      </c>
      <c r="H7">
        <f>IF(Q_SS_EXPORT_CT="(None)","",COUNTIFS(INDIRECT(F_Custom1_resolved_column),F_Custom1_crit,INDIRECT(F_Custom2_resolved_column),F_Custom2_crit,INDIRECT(Q_SS_EXPORT_F_resolved_column),Q_SS_EXPORT_F_crit,Q_SS_EXPORT_data,"Yes",INDIRECT(Q_SS_EXPORT_CT &amp; "_data"),H$6))</f>
        <v/>
      </c>
      <c r="I7">
        <f>IF(Q_SS_EXPORT_CT="(None)","",COUNTIFS(INDIRECT(F_Custom1_resolved_column),F_Custom1_crit,INDIRECT(F_Custom2_resolved_column),F_Custom2_crit,INDIRECT(Q_SS_EXPORT_F_resolved_column),Q_SS_EXPORT_F_crit,Q_SS_EXPORT_data,"Yes",INDIRECT(Q_SS_EXPORT_CT &amp; "_data"),I$6))</f>
        <v/>
      </c>
      <c r="J7">
        <f>IF(Q_SS_EXPORT_CT="(None)","",COUNTIFS(INDIRECT(F_Custom1_resolved_column),F_Custom1_crit,INDIRECT(F_Custom2_resolved_column),F_Custom2_crit,INDIRECT(Q_SS_EXPORT_F_resolved_column),Q_SS_EXPORT_F_crit,Q_SS_EXPORT_data,"Yes",INDIRECT(Q_SS_EXPORT_CT &amp; "_data"),J$6))</f>
        <v/>
      </c>
      <c r="K7">
        <f>IF(Q_SS_EXPORT_CT="(None)","",COUNTIFS(INDIRECT(F_Custom1_resolved_column),F_Custom1_crit,INDIRECT(F_Custom2_resolved_column),F_Custom2_crit,INDIRECT(Q_SS_EXPORT_F_resolved_column),Q_SS_EXPORT_F_crit,Q_SS_EXPORT_data,"Yes",INDIRECT(Q_SS_EXPORT_CT &amp; "_data"),K$6))</f>
        <v/>
      </c>
      <c r="L7">
        <f>IF(Q_SS_EXPORT_CT="(None)","",COUNTIFS(INDIRECT(F_Custom1_resolved_column),F_Custom1_crit,INDIRECT(F_Custom2_resolved_column),F_Custom2_crit,INDIRECT(Q_SS_EXPORT_F_resolved_column),Q_SS_EXPORT_F_crit,Q_SS_EXPORT_data,"Yes",INDIRECT(Q_SS_EXPORT_CT &amp; "_data"),L$6))</f>
        <v/>
      </c>
      <c r="M7">
        <f>IF(Q_SS_EXPORT_CT="(None)","",COUNTIFS(INDIRECT(F_Custom1_resolved_column),F_Custom1_crit,INDIRECT(F_Custom2_resolved_column),F_Custom2_crit,INDIRECT(Q_SS_EXPORT_F_resolved_column),Q_SS_EXPORT_F_crit,Q_SS_EXPORT_data,"Yes",INDIRECT(Q_SS_EXPORT_CT &amp; "_data"),M$6))</f>
        <v/>
      </c>
      <c r="N7">
        <f>IF(Q_SS_EXPORT_CT="(None)","",COUNTIFS(INDIRECT(F_Custom1_resolved_column),F_Custom1_crit,INDIRECT(F_Custom2_resolved_column),F_Custom2_crit,INDIRECT(Q_SS_EXPORT_F_resolved_column),Q_SS_EXPORT_F_crit,Q_SS_EXPORT_data,"Yes",INDIRECT(Q_SS_EXPORT_CT &amp; "_data"),N$6))</f>
        <v/>
      </c>
      <c r="O7">
        <f>SUM(G7:N7)</f>
        <v/>
      </c>
    </row>
    <row r="8">
      <c r="A8" t="inlineStr">
        <is>
          <t>No</t>
        </is>
      </c>
      <c r="B8">
        <f>COUNTIFS(INDIRECT(F_Custom1_resolved_column),F_Custom1_crit,INDIRECT(F_Custom2_resolved_column),F_Custom2_crit,INDIRECT(Q_SS_EXPORT_F_resolved_column),Q_SS_EXPORT_F_crit,Q_SS_EXPORT_data,"No")</f>
        <v/>
      </c>
      <c r="C8" s="6">
        <f>IFERROR(B8/SUBTOTAL(9,B7:B8),0)</f>
        <v/>
      </c>
      <c r="D8" s="11">
        <f>SUBTOTAL(9,B7:B8)</f>
        <v/>
      </c>
      <c r="F8" t="inlineStr">
        <is>
          <t>No</t>
        </is>
      </c>
      <c r="G8">
        <f>IF(Q_SS_EXPORT_CT="(None)","",COUNTIFS(INDIRECT(F_Custom1_resolved_column),F_Custom1_crit,INDIRECT(F_Custom2_resolved_column),F_Custom2_crit,INDIRECT(Q_SS_EXPORT_F_resolved_column),Q_SS_EXPORT_F_crit,Q_SS_EXPORT_data,"No",INDIRECT(Q_SS_EXPORT_CT &amp; "_data"),G$6))</f>
        <v/>
      </c>
      <c r="H8">
        <f>IF(Q_SS_EXPORT_CT="(None)","",COUNTIFS(INDIRECT(F_Custom1_resolved_column),F_Custom1_crit,INDIRECT(F_Custom2_resolved_column),F_Custom2_crit,INDIRECT(Q_SS_EXPORT_F_resolved_column),Q_SS_EXPORT_F_crit,Q_SS_EXPORT_data,"No",INDIRECT(Q_SS_EXPORT_CT &amp; "_data"),H$6))</f>
        <v/>
      </c>
      <c r="I8">
        <f>IF(Q_SS_EXPORT_CT="(None)","",COUNTIFS(INDIRECT(F_Custom1_resolved_column),F_Custom1_crit,INDIRECT(F_Custom2_resolved_column),F_Custom2_crit,INDIRECT(Q_SS_EXPORT_F_resolved_column),Q_SS_EXPORT_F_crit,Q_SS_EXPORT_data,"No",INDIRECT(Q_SS_EXPORT_CT &amp; "_data"),I$6))</f>
        <v/>
      </c>
      <c r="J8">
        <f>IF(Q_SS_EXPORT_CT="(None)","",COUNTIFS(INDIRECT(F_Custom1_resolved_column),F_Custom1_crit,INDIRECT(F_Custom2_resolved_column),F_Custom2_crit,INDIRECT(Q_SS_EXPORT_F_resolved_column),Q_SS_EXPORT_F_crit,Q_SS_EXPORT_data,"No",INDIRECT(Q_SS_EXPORT_CT &amp; "_data"),J$6))</f>
        <v/>
      </c>
      <c r="K8">
        <f>IF(Q_SS_EXPORT_CT="(None)","",COUNTIFS(INDIRECT(F_Custom1_resolved_column),F_Custom1_crit,INDIRECT(F_Custom2_resolved_column),F_Custom2_crit,INDIRECT(Q_SS_EXPORT_F_resolved_column),Q_SS_EXPORT_F_crit,Q_SS_EXPORT_data,"No",INDIRECT(Q_SS_EXPORT_CT &amp; "_data"),K$6))</f>
        <v/>
      </c>
      <c r="L8">
        <f>IF(Q_SS_EXPORT_CT="(None)","",COUNTIFS(INDIRECT(F_Custom1_resolved_column),F_Custom1_crit,INDIRECT(F_Custom2_resolved_column),F_Custom2_crit,INDIRECT(Q_SS_EXPORT_F_resolved_column),Q_SS_EXPORT_F_crit,Q_SS_EXPORT_data,"No",INDIRECT(Q_SS_EXPORT_CT &amp; "_data"),L$6))</f>
        <v/>
      </c>
      <c r="M8">
        <f>IF(Q_SS_EXPORT_CT="(None)","",COUNTIFS(INDIRECT(F_Custom1_resolved_column),F_Custom1_crit,INDIRECT(F_Custom2_resolved_column),F_Custom2_crit,INDIRECT(Q_SS_EXPORT_F_resolved_column),Q_SS_EXPORT_F_crit,Q_SS_EXPORT_data,"No",INDIRECT(Q_SS_EXPORT_CT &amp; "_data"),M$6))</f>
        <v/>
      </c>
      <c r="N8">
        <f>IF(Q_SS_EXPORT_CT="(None)","",COUNTIFS(INDIRECT(F_Custom1_resolved_column),F_Custom1_crit,INDIRECT(F_Custom2_resolved_column),F_Custom2_crit,INDIRECT(Q_SS_EXPORT_F_resolved_column),Q_SS_EXPORT_F_crit,Q_SS_EXPORT_data,"No",INDIRECT(Q_SS_EXPORT_CT &amp; "_data"),N$6))</f>
        <v/>
      </c>
      <c r="O8">
        <f>SUM(G8:N8)</f>
        <v/>
      </c>
    </row>
    <row r="10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</row>
    <row r="11">
      <c r="A11" s="10" t="inlineStr">
        <is>
          <t>Q_MS_EXPORT - Multi select export question</t>
        </is>
      </c>
    </row>
    <row r="13">
      <c r="A13" s="3" t="inlineStr">
        <is>
          <t>Option</t>
        </is>
      </c>
      <c r="B13" s="3" t="inlineStr">
        <is>
          <t>Count</t>
        </is>
      </c>
      <c r="C13" s="3" t="inlineStr">
        <is>
          <t>%</t>
        </is>
      </c>
      <c r="D13" s="3" t="inlineStr">
        <is>
          <t>Denominator</t>
        </is>
      </c>
      <c r="F13" s="4" t="inlineStr">
        <is>
          <t>Option \ Cross-tab</t>
        </is>
      </c>
      <c r="G13">
        <f>IFERROR(INDEX(INDIRECT(Q_MS_EXPORT_CT &amp; "_options"),2),"")</f>
        <v/>
      </c>
      <c r="H13">
        <f>IFERROR(INDEX(INDIRECT(Q_MS_EXPORT_CT &amp; "_options"),3),"")</f>
        <v/>
      </c>
      <c r="I13">
        <f>IFERROR(INDEX(INDIRECT(Q_MS_EXPORT_CT &amp; "_options"),4),"")</f>
        <v/>
      </c>
      <c r="J13">
        <f>IFERROR(INDEX(INDIRECT(Q_MS_EXPORT_CT &amp; "_options"),5),"")</f>
        <v/>
      </c>
      <c r="K13">
        <f>IFERROR(INDEX(INDIRECT(Q_MS_EXPORT_CT &amp; "_options"),6),"")</f>
        <v/>
      </c>
      <c r="L13">
        <f>IFERROR(INDEX(INDIRECT(Q_MS_EXPORT_CT &amp; "_options"),7),"")</f>
        <v/>
      </c>
      <c r="M13">
        <f>IFERROR(INDEX(INDIRECT(Q_MS_EXPORT_CT &amp; "_options"),8),"")</f>
        <v/>
      </c>
      <c r="N13">
        <f>IFERROR(INDEX(INDIRECT(Q_MS_EXPORT_CT &amp; "_options"),9),"")</f>
        <v/>
      </c>
      <c r="O13" s="4" t="inlineStr">
        <is>
          <t>TOTAL</t>
        </is>
      </c>
    </row>
    <row r="14">
      <c r="A14" t="inlineStr">
        <is>
          <t>First</t>
        </is>
      </c>
      <c r="B14">
        <f>COUNTIFS(INDIRECT(F_Custom1_resolved_column),F_Custom1_crit,INDIRECT(F_Custom2_resolved_column),F_Custom2_crit,INDIRECT(Q_MS_EXPORT_F_resolved_column),Q_MS_EXPORT_F_crit,Q_MS_EXPORTr1_data,"Selected")</f>
        <v/>
      </c>
      <c r="C14" s="6">
        <f>IFERROR(B14/SUBTOTAL(9,B14:B15),0)</f>
        <v/>
      </c>
      <c r="D14" s="11">
        <f>SUBTOTAL(9,B14:B15)</f>
        <v/>
      </c>
      <c r="F14" t="inlineStr">
        <is>
          <t>First</t>
        </is>
      </c>
      <c r="G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"_data"),G$13))</f>
        <v/>
      </c>
      <c r="H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"_data"),H$13))</f>
        <v/>
      </c>
      <c r="I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"_data"),I$13))</f>
        <v/>
      </c>
      <c r="J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"_data"),J$13))</f>
        <v/>
      </c>
      <c r="K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"_data"),K$13))</f>
        <v/>
      </c>
      <c r="L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"_data"),L$13))</f>
        <v/>
      </c>
      <c r="M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"_data"),M$13))</f>
        <v/>
      </c>
      <c r="N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"_data"),N$13))</f>
        <v/>
      </c>
      <c r="O14">
        <f>SUM(G14:N14)</f>
        <v/>
      </c>
    </row>
    <row r="15">
      <c r="A15" t="inlineStr">
        <is>
          <t>Second</t>
        </is>
      </c>
      <c r="B15">
        <f>COUNTIFS(INDIRECT(F_Custom1_resolved_column),F_Custom1_crit,INDIRECT(F_Custom2_resolved_column),F_Custom2_crit,INDIRECT(Q_MS_EXPORT_F_resolved_column),Q_MS_EXPORT_F_crit,Q_MS_EXPORTr2_data,"Selected")</f>
        <v/>
      </c>
      <c r="C15" s="6">
        <f>IFERROR(B15/SUBTOTAL(9,B14:B15),0)</f>
        <v/>
      </c>
      <c r="D15" s="11">
        <f>SUBTOTAL(9,B14:B15)</f>
        <v/>
      </c>
      <c r="F15" t="inlineStr">
        <is>
          <t>Second</t>
        </is>
      </c>
      <c r="G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"_data"),G$13))</f>
        <v/>
      </c>
      <c r="H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"_data"),H$13))</f>
        <v/>
      </c>
      <c r="I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"_data"),I$13))</f>
        <v/>
      </c>
      <c r="J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"_data"),J$13))</f>
        <v/>
      </c>
      <c r="K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"_data"),K$13))</f>
        <v/>
      </c>
      <c r="L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"_data"),L$13))</f>
        <v/>
      </c>
      <c r="M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"_data"),M$13))</f>
        <v/>
      </c>
      <c r="N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"_data"),N$13))</f>
        <v/>
      </c>
      <c r="O15">
        <f>SUM(G15:N15)</f>
        <v/>
      </c>
    </row>
    <row r="17">
      <c r="A17" s="9" t="n"/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</row>
    <row r="18">
      <c r="A18" s="10" t="inlineStr">
        <is>
          <t>Q_NUM_EXPORT - Numeric export question</t>
        </is>
      </c>
    </row>
    <row r="20">
      <c r="A20" s="3" t="inlineStr">
        <is>
          <t>Metric</t>
        </is>
      </c>
      <c r="B20" s="3" t="inlineStr">
        <is>
          <t>Value</t>
        </is>
      </c>
      <c r="C20" s="3" t="inlineStr">
        <is>
          <t>Note</t>
        </is>
      </c>
      <c r="D20" s="3" t="inlineStr">
        <is>
          <t>Denominator</t>
        </is>
      </c>
    </row>
    <row r="21">
      <c r="A21" t="inlineStr">
        <is>
          <t>Mean</t>
        </is>
      </c>
      <c r="B21">
        <f>IFERROR(AVERAGEIFS(Q_NUM_EXPORT_data,INDIRECT(F_Custom1_resolved_column),F_Custom1_crit,INDIRECT(F_Custom2_resolved_column),F_Custom2_crit,INDIRECT(Q_NUM_EXPORT_F_resolved_column),Q_NUM_EXPORT_F_crit,Q_NUM_EXPORT_data,"&lt;&gt;"),0)</f>
        <v/>
      </c>
      <c r="D21">
        <f>COUNTIFS(INDIRECT(F_Custom1_resolved_column),F_Custom1_crit,INDIRECT(F_Custom2_resolved_column),F_Custom2_crit,INDIRECT(Q_NUM_EXPORT_F_resolved_column),Q_NUM_EXPORT_F_crit,Q_NUM_EXPORT_data,"&lt;&gt;")</f>
        <v/>
      </c>
    </row>
    <row r="22">
      <c r="A22" t="inlineStr">
        <is>
          <t>Min</t>
        </is>
      </c>
      <c r="B22">
        <f>IFERROR(MINIFS(Q_NUM_EXPORT_data,INDIRECT(F_Custom1_resolved_column),F_Custom1_crit,INDIRECT(F_Custom2_resolved_column),F_Custom2_crit,INDIRECT(Q_NUM_EXPORT_F_resolved_column),Q_NUM_EXPORT_F_crit,Q_NUM_EXPORT_data,"&lt;&gt;"),0)</f>
        <v/>
      </c>
      <c r="D22">
        <f>COUNTIFS(INDIRECT(F_Custom1_resolved_column),F_Custom1_crit,INDIRECT(F_Custom2_resolved_column),F_Custom2_crit,INDIRECT(Q_NUM_EXPORT_F_resolved_column),Q_NUM_EXPORT_F_crit,Q_NUM_EXPORT_data,"&lt;&gt;")</f>
        <v/>
      </c>
    </row>
    <row r="23">
      <c r="A23" t="inlineStr">
        <is>
          <t>Max</t>
        </is>
      </c>
      <c r="B23">
        <f>IFERROR(MAXIFS(Q_NUM_EXPORT_data,INDIRECT(F_Custom1_resolved_column),F_Custom1_crit,INDIRECT(F_Custom2_resolved_column),F_Custom2_crit,INDIRECT(Q_NUM_EXPORT_F_resolved_column),Q_NUM_EXPORT_F_crit,Q_NUM_EXPORT_data,"&lt;&gt;"),0)</f>
        <v/>
      </c>
      <c r="D23">
        <f>COUNTIFS(INDIRECT(F_Custom1_resolved_column),F_Custom1_crit,INDIRECT(F_Custom2_resolved_column),F_Custom2_crit,INDIRECT(Q_NUM_EXPORT_F_resolved_column),Q_NUM_EXPORT_F_crit,Q_NUM_EXPORT_data,"&lt;&gt;")</f>
        <v/>
      </c>
    </row>
    <row r="24">
      <c r="A24" t="inlineStr">
        <is>
          <t>Std</t>
        </is>
      </c>
      <c r="B24" t="n">
        <v>2.9</v>
      </c>
      <c r="C24" t="inlineStr">
        <is>
          <t>static baseline</t>
        </is>
      </c>
      <c r="D24">
        <f>COUNTIFS(INDIRECT(F_Custom1_resolved_column),F_Custom1_crit,INDIRECT(F_Custom2_resolved_column),F_Custom2_crit,INDIRECT(Q_NUM_EXPORT_F_resolved_column),Q_NUM_EXPORT_F_crit,Q_NUM_EXPORT_data,"&lt;&gt;")</f>
        <v/>
      </c>
    </row>
    <row r="25">
      <c r="A25" s="12" t="inlineStr">
        <is>
          <t>Median not available in filtered view - see static baseline in audit log.</t>
        </is>
      </c>
    </row>
    <row r="27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</row>
    <row r="28">
      <c r="A28" s="10" t="inlineStr">
        <is>
          <t>Q_GRID_EXPORT - Grid export question</t>
        </is>
      </c>
    </row>
    <row r="30">
      <c r="A30" s="3" t="inlineStr">
        <is>
          <t>Option</t>
        </is>
      </c>
      <c r="B30" s="3" t="inlineStr">
        <is>
          <t>Count</t>
        </is>
      </c>
      <c r="C30" s="3" t="inlineStr">
        <is>
          <t>%</t>
        </is>
      </c>
      <c r="D30" s="3" t="inlineStr">
        <is>
          <t>Denominator</t>
        </is>
      </c>
      <c r="F30" s="4" t="inlineStr">
        <is>
          <t>Option \ Cross-tab</t>
        </is>
      </c>
      <c r="G30">
        <f>IFERROR(INDEX(INDIRECT(Q_GRID_EXPORT_CT &amp; "_options"),2),"")</f>
        <v/>
      </c>
      <c r="H30">
        <f>IFERROR(INDEX(INDIRECT(Q_GRID_EXPORT_CT &amp; "_options"),3),"")</f>
        <v/>
      </c>
      <c r="I30">
        <f>IFERROR(INDEX(INDIRECT(Q_GRID_EXPORT_CT &amp; "_options"),4),"")</f>
        <v/>
      </c>
      <c r="J30">
        <f>IFERROR(INDEX(INDIRECT(Q_GRID_EXPORT_CT &amp; "_options"),5),"")</f>
        <v/>
      </c>
      <c r="K30">
        <f>IFERROR(INDEX(INDIRECT(Q_GRID_EXPORT_CT &amp; "_options"),6),"")</f>
        <v/>
      </c>
      <c r="L30">
        <f>IFERROR(INDEX(INDIRECT(Q_GRID_EXPORT_CT &amp; "_options"),7),"")</f>
        <v/>
      </c>
      <c r="M30">
        <f>IFERROR(INDEX(INDIRECT(Q_GRID_EXPORT_CT &amp; "_options"),8),"")</f>
        <v/>
      </c>
      <c r="N30">
        <f>IFERROR(INDEX(INDIRECT(Q_GRID_EXPORT_CT &amp; "_options"),9),"")</f>
        <v/>
      </c>
      <c r="O30" s="4" t="inlineStr">
        <is>
          <t>TOTAL</t>
        </is>
      </c>
    </row>
    <row r="31">
      <c r="A31" t="inlineStr">
        <is>
          <t>Grid first row</t>
        </is>
      </c>
      <c r="B31">
        <f>COUNTIFS(INDIRECT(F_Custom1_resolved_column),F_Custom1_crit,INDIRECT(F_Custom2_resolved_column),F_Custom2_crit,INDIRECT(Q_GRID_EXPORT_F_resolved_column),Q_GRID_EXPORT_F_crit,Q_GRID_EXPORTr1_data,"Selected")</f>
        <v/>
      </c>
      <c r="C31" s="6">
        <f>IFERROR(B31/SUBTOTAL(9,B31:B32),0)</f>
        <v/>
      </c>
      <c r="D31" s="11">
        <f>SUBTOTAL(9,B31:B32)</f>
        <v/>
      </c>
      <c r="F31" t="inlineStr">
        <is>
          <t>Grid first row</t>
        </is>
      </c>
      <c r="G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"_data"),G$30))</f>
        <v/>
      </c>
      <c r="H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"_data"),H$30))</f>
        <v/>
      </c>
      <c r="I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"_data"),I$30))</f>
        <v/>
      </c>
      <c r="J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"_data"),J$30))</f>
        <v/>
      </c>
      <c r="K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"_data"),K$30))</f>
        <v/>
      </c>
      <c r="L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"_data"),L$30))</f>
        <v/>
      </c>
      <c r="M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"_data"),M$30))</f>
        <v/>
      </c>
      <c r="N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"_data"),N$30))</f>
        <v/>
      </c>
      <c r="O31">
        <f>SUM(G31:N31)</f>
        <v/>
      </c>
    </row>
    <row r="32">
      <c r="A32" t="inlineStr">
        <is>
          <t>Grid second row</t>
        </is>
      </c>
      <c r="B32">
        <f>COUNTIFS(INDIRECT(F_Custom1_resolved_column),F_Custom1_crit,INDIRECT(F_Custom2_resolved_column),F_Custom2_crit,INDIRECT(Q_GRID_EXPORT_F_resolved_column),Q_GRID_EXPORT_F_crit,Q_GRID_EXPORTr2_data,"Selected")</f>
        <v/>
      </c>
      <c r="C32" s="6">
        <f>IFERROR(B32/SUBTOTAL(9,B31:B32),0)</f>
        <v/>
      </c>
      <c r="D32" s="11">
        <f>SUBTOTAL(9,B31:B32)</f>
        <v/>
      </c>
      <c r="F32" t="inlineStr">
        <is>
          <t>Grid second row</t>
        </is>
      </c>
      <c r="G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"_data"),G$30))</f>
        <v/>
      </c>
      <c r="H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"_data"),H$30))</f>
        <v/>
      </c>
      <c r="I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"_data"),I$30))</f>
        <v/>
      </c>
      <c r="J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"_data"),J$30))</f>
        <v/>
      </c>
      <c r="K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"_data"),K$30))</f>
        <v/>
      </c>
      <c r="L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"_data"),L$30))</f>
        <v/>
      </c>
      <c r="M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"_data"),M$30))</f>
        <v/>
      </c>
      <c r="N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"_data"),N$30))</f>
        <v/>
      </c>
      <c r="O32">
        <f>SUM(G32:N32)</f>
        <v/>
      </c>
    </row>
    <row r="34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</row>
    <row r="35">
      <c r="A35" s="10" t="inlineStr">
        <is>
          <t>Q_VERY_LONG_SINGLE_SELECT_EXPORT_NAME - Long sheet name export question</t>
        </is>
      </c>
    </row>
    <row r="37">
      <c r="A37" s="3" t="inlineStr">
        <is>
          <t>Option</t>
        </is>
      </c>
      <c r="B37" s="3" t="inlineStr">
        <is>
          <t>Count</t>
        </is>
      </c>
      <c r="C37" s="3" t="inlineStr">
        <is>
          <t>%</t>
        </is>
      </c>
      <c r="D37" s="3" t="inlineStr">
        <is>
          <t>Denominator</t>
        </is>
      </c>
      <c r="F37" s="4" t="inlineStr">
        <is>
          <t>Option \ Cross-tab</t>
        </is>
      </c>
      <c r="G37">
        <f>IFERROR(INDEX(INDIRECT(Q_VERY_LONG_SINGLE_SELECT_EXPORT_NAME_CT &amp; "_options"),2),"")</f>
        <v/>
      </c>
      <c r="H37">
        <f>IFERROR(INDEX(INDIRECT(Q_VERY_LONG_SINGLE_SELECT_EXPORT_NAME_CT &amp; "_options"),3),"")</f>
        <v/>
      </c>
      <c r="I37">
        <f>IFERROR(INDEX(INDIRECT(Q_VERY_LONG_SINGLE_SELECT_EXPORT_NAME_CT &amp; "_options"),4),"")</f>
        <v/>
      </c>
      <c r="J37">
        <f>IFERROR(INDEX(INDIRECT(Q_VERY_LONG_SINGLE_SELECT_EXPORT_NAME_CT &amp; "_options"),5),"")</f>
        <v/>
      </c>
      <c r="K37">
        <f>IFERROR(INDEX(INDIRECT(Q_VERY_LONG_SINGLE_SELECT_EXPORT_NAME_CT &amp; "_options"),6),"")</f>
        <v/>
      </c>
      <c r="L37">
        <f>IFERROR(INDEX(INDIRECT(Q_VERY_LONG_SINGLE_SELECT_EXPORT_NAME_CT &amp; "_options"),7),"")</f>
        <v/>
      </c>
      <c r="M37">
        <f>IFERROR(INDEX(INDIRECT(Q_VERY_LONG_SINGLE_SELECT_EXPORT_NAME_CT &amp; "_options"),8),"")</f>
        <v/>
      </c>
      <c r="N37">
        <f>IFERROR(INDEX(INDIRECT(Q_VERY_LONG_SINGLE_SELECT_EXPORT_NAME_CT &amp; "_options"),9),"")</f>
        <v/>
      </c>
      <c r="O37" s="4" t="inlineStr">
        <is>
          <t>TOTAL</t>
        </is>
      </c>
    </row>
    <row r="38">
      <c r="A38" t="inlineStr">
        <is>
          <t>A</t>
        </is>
      </c>
      <c r="B38">
        <f>COUNTIFS(INDIRECT(F_Custom1_resolved_column),F_Custom1_crit,INDIRECT(F_Custom2_resolved_column),F_Custom2_crit,INDIRECT(Q_VERY_LONG_SINGLE_SELECT_EXPORT_NAME_F_resolved_column),Q_VERY_LONG_SINGLE_SELECT_EXPORT_NAME_F_crit,Q_VERY_LONG_SINGLE_SELECT_EXPOR_data,"A")</f>
        <v/>
      </c>
      <c r="C38" s="6">
        <f>IFERROR(B38/SUBTOTAL(9,B38:B39),0)</f>
        <v/>
      </c>
      <c r="D38" s="11">
        <f>SUBTOTAL(9,B38:B39)</f>
        <v/>
      </c>
      <c r="F38" t="inlineStr">
        <is>
          <t>A</t>
        </is>
      </c>
      <c r="G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"_data"),G$37))</f>
        <v/>
      </c>
      <c r="H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"_data"),H$37))</f>
        <v/>
      </c>
      <c r="I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"_data"),I$37))</f>
        <v/>
      </c>
      <c r="J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"_data"),J$37))</f>
        <v/>
      </c>
      <c r="K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"_data"),K$37))</f>
        <v/>
      </c>
      <c r="L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"_data"),L$37))</f>
        <v/>
      </c>
      <c r="M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"_data"),M$37))</f>
        <v/>
      </c>
      <c r="N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"_data"),N$37))</f>
        <v/>
      </c>
      <c r="O38">
        <f>SUM(G38:N38)</f>
        <v/>
      </c>
    </row>
    <row r="39">
      <c r="A39" t="inlineStr">
        <is>
          <t>B</t>
        </is>
      </c>
      <c r="B39">
        <f>COUNTIFS(INDIRECT(F_Custom1_resolved_column),F_Custom1_crit,INDIRECT(F_Custom2_resolved_column),F_Custom2_crit,INDIRECT(Q_VERY_LONG_SINGLE_SELECT_EXPORT_NAME_F_resolved_column),Q_VERY_LONG_SINGLE_SELECT_EXPORT_NAME_F_crit,Q_VERY_LONG_SINGLE_SELECT_EXPOR_data,"B")</f>
        <v/>
      </c>
      <c r="C39" s="6">
        <f>IFERROR(B39/SUBTOTAL(9,B38:B39),0)</f>
        <v/>
      </c>
      <c r="D39" s="11">
        <f>SUBTOTAL(9,B38:B39)</f>
        <v/>
      </c>
      <c r="F39" t="inlineStr">
        <is>
          <t>B</t>
        </is>
      </c>
      <c r="G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"_data"),G$37))</f>
        <v/>
      </c>
      <c r="H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"_data"),H$37))</f>
        <v/>
      </c>
      <c r="I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"_data"),I$37))</f>
        <v/>
      </c>
      <c r="J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"_data"),J$37))</f>
        <v/>
      </c>
      <c r="K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"_data"),K$37))</f>
        <v/>
      </c>
      <c r="L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"_data"),L$37))</f>
        <v/>
      </c>
      <c r="M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"_data"),M$37))</f>
        <v/>
      </c>
      <c r="N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"_data"),N$37))</f>
        <v/>
      </c>
      <c r="O39">
        <f>SUM(G39:N39)</f>
        <v/>
      </c>
    </row>
  </sheetData>
  <mergeCells count="6">
    <mergeCell ref="A1:J1"/>
    <mergeCell ref="A18:J18"/>
    <mergeCell ref="A35:J35"/>
    <mergeCell ref="A4:J4"/>
    <mergeCell ref="A28:J28"/>
    <mergeCell ref="A11:J11"/>
  </mergeCell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3" t="inlineStr">
        <is>
          <t>Output Sheet</t>
        </is>
      </c>
      <c r="B1" s="3" t="inlineStr">
        <is>
          <t>Metric Name</t>
        </is>
      </c>
      <c r="C1" s="3" t="inlineStr">
        <is>
          <t>Source Question</t>
        </is>
      </c>
      <c r="D1" s="3" t="inlineStr">
        <is>
          <t>Source Columns</t>
        </is>
      </c>
      <c r="E1" s="3" t="inlineStr">
        <is>
          <t>Filter</t>
        </is>
      </c>
      <c r="F1" s="3" t="inlineStr">
        <is>
          <t>Numerator</t>
        </is>
      </c>
      <c r="G1" s="3" t="inlineStr">
        <is>
          <t>Denominator</t>
        </is>
      </c>
      <c r="H1" s="3" t="inlineStr">
        <is>
          <t>Formula</t>
        </is>
      </c>
      <c r="I1" s="3" t="inlineStr">
        <is>
          <t>Value Raw</t>
        </is>
      </c>
      <c r="J1" s="3" t="inlineStr">
        <is>
          <t>Valid N</t>
        </is>
      </c>
      <c r="K1" s="3" t="inlineStr">
        <is>
          <t>Missing N</t>
        </is>
      </c>
      <c r="L1" s="3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2026-05-13T19:23:22.956021+00:00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2026-05-13T19:23:22.956628+00:00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2026-05-13T19:23:22.956666+00:00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2026-05-13T19:23:22.957735+00:00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2026-05-13T19:23:22.958563+00:00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2026-05-13T19:23:22.959392+00:00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2026-05-13T19:23:22.959938+00:00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2026-05-13T19:23:22.959954+00:00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2026-05-13T19:23:22.960859+00:00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2026-05-13T19:23:22.961509+00:00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2026-05-13T19:23:22.962024+00:00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2026-05-13T19:23:22.962105+00:00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3" t="inlineStr">
        <is>
          <t>Cross Cut ID</t>
        </is>
      </c>
      <c r="B1" s="3" t="inlineStr">
        <is>
          <t>Title</t>
        </is>
      </c>
      <c r="C1" s="3" t="inlineStr">
        <is>
          <t>Filter Expression</t>
        </is>
      </c>
      <c r="D1" s="3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3" t="inlineStr">
        <is>
          <t>Source</t>
        </is>
      </c>
      <c r="B1" s="3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2026-05-13T19:23:22Z</dcterms:created>
  <dcterms:modified xmlns:dcterms="http://purl.org/dc/terms/" xmlns:xsi="http://www.w3.org/2001/XMLSchema-instance" xsi:type="dcterms:W3CDTF">2026-05-13T19:23:22Z</dcterms:modified>
</cp:coreProperties>
</file>