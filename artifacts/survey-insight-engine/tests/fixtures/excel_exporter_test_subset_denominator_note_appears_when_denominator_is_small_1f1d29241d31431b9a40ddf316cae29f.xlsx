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IF(All_Questions_Q_SS_EXPORT_CT="(None)","",IFERROR(INDEX(INDIRECT(XLOOKUP(All_Questions_Q_SS_EXPORT_CT,All_Questions,All_Questions_Options_Names,"None_options")),2),""))</f>
        <v/>
      </c>
      <c r="H17" s="2" t="n"/>
      <c r="I17" s="2" t="str">
        <f>IF(All_Questions_Q_SS_EXPORT_CT="(None)","",IFERROR(INDEX(INDIRECT(XLOOKUP(All_Questions_Q_SS_EXPORT_CT,All_Questions,All_Questions_Options_Names,"None_options")),3),""))</f>
        <v/>
      </c>
      <c r="J17" s="2" t="n"/>
      <c r="K17" s="2" t="str">
        <f>IF(All_Questions_Q_SS_EXPORT_CT="(None)","",IFERROR(INDEX(INDIRECT(XLOOKUP(All_Questions_Q_SS_EXPORT_CT,All_Questions,All_Questions_Options_Names,"None_options")),4),""))</f>
        <v/>
      </c>
      <c r="L17" s="2" t="n"/>
      <c r="M17" s="2" t="str">
        <f>IF(All_Questions_Q_SS_EXPORT_CT="(None)","",IFERROR(INDEX(INDIRECT(XLOOKUP(All_Questions_Q_SS_EXPORT_CT,All_Questions,All_Questions_Options_Names,"None_options")),5),""))</f>
        <v/>
      </c>
      <c r="N17" s="2" t="n"/>
      <c r="O17" s="2" t="str">
        <f>IF(All_Questions_Q_SS_EXPORT_CT="(None)","",IFERROR(INDEX(INDIRECT(XLOOKUP(All_Questions_Q_SS_EXPORT_CT,All_Questions,All_Questions_Options_Names,"None_options")),6),""))</f>
        <v/>
      </c>
      <c r="P17" s="2" t="n"/>
      <c r="Q17" s="2" t="str">
        <f>IF(All_Questions_Q_SS_EXPORT_CT="(None)","",IFERROR(INDEX(INDIRECT(XLOOKUP(All_Questions_Q_SS_EXPORT_CT,All_Questions,All_Questions_Options_Names,"None_options")),7),""))</f>
        <v/>
      </c>
      <c r="R17" s="2" t="n"/>
      <c r="S17" s="2" t="str">
        <f>IF(All_Questions_Q_SS_EXPORT_CT="(None)","",IFERROR(INDEX(INDIRECT(XLOOKUP(All_Questions_Q_SS_EXPORT_CT,All_Questions,All_Questions_Options_Names,"None_options")),8),""))</f>
        <v/>
      </c>
      <c r="T17" s="2" t="n"/>
      <c r="U17" s="2" t="str">
        <f>IF(All_Questions_Q_SS_EXPORT_CT="(None)","",IFERROR(INDEX(INDIRECT(XLOOKUP(All_Questions_Q_SS_EXPORT_CT,All_Questions,All_Questions_Options_Names,"None_options")),9),""))</f>
        <v/>
      </c>
      <c r="V17" s="2" t="n"/>
      <c r="W17" s="2" t="str">
        <f>IF(All_Questions_Q_SS_EXPORT_CT="(None)","",IFERROR(INDEX(INDIRECT(XLOOKUP(All_Questions_Q_SS_EXPORT_CT,All_Questions,All_Questions_Options_Names,"None_options")),10),""))</f>
        <v/>
      </c>
      <c r="X17" s="2" t="n"/>
      <c r="Y17" s="2" t="str">
        <f>IF(All_Questions_Q_SS_EXPORT_CT="(None)","",IFERROR(INDEX(INDIRECT(XLOOKUP(All_Questions_Q_SS_EXPORT_CT,All_Questions,All_Questions_Options_Names,"None_options")),11),""))</f>
        <v/>
      </c>
      <c r="Z17" s="2" t="n"/>
      <c r="AA17" s="2" t="str">
        <f>IF(All_Questions_Q_SS_EXPORT_CT="(None)","",IFERROR(INDEX(INDIRECT(XLOOKUP(All_Questions_Q_SS_EXPORT_CT,All_Questions,All_Questions_Options_Names,"None_options")),12),""))</f>
        <v/>
      </c>
      <c r="AB17" s="2" t="n"/>
      <c r="AC17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IF(All_Questions_Q_MS_EXPORT_CT="(None)","",IFERROR(INDEX(INDIRECT(XLOOKUP(All_Questions_Q_MS_EXPORT_CT,All_Questions,All_Questions_Options_Names,"None_options")),2),""))</f>
        <v/>
      </c>
      <c r="H27" s="2" t="n"/>
      <c r="I27" s="2" t="str">
        <f>IF(All_Questions_Q_MS_EXPORT_CT="(None)","",IFERROR(INDEX(INDIRECT(XLOOKUP(All_Questions_Q_MS_EXPORT_CT,All_Questions,All_Questions_Options_Names,"None_options")),3),""))</f>
        <v/>
      </c>
      <c r="J27" s="2" t="n"/>
      <c r="K27" s="2" t="str">
        <f>IF(All_Questions_Q_MS_EXPORT_CT="(None)","",IFERROR(INDEX(INDIRECT(XLOOKUP(All_Questions_Q_MS_EXPORT_CT,All_Questions,All_Questions_Options_Names,"None_options")),4),""))</f>
        <v/>
      </c>
      <c r="L27" s="2" t="n"/>
      <c r="M27" s="2" t="str">
        <f>IF(All_Questions_Q_MS_EXPORT_CT="(None)","",IFERROR(INDEX(INDIRECT(XLOOKUP(All_Questions_Q_MS_EXPORT_CT,All_Questions,All_Questions_Options_Names,"None_options")),5),""))</f>
        <v/>
      </c>
      <c r="N27" s="2" t="n"/>
      <c r="O27" s="2" t="str">
        <f>IF(All_Questions_Q_MS_EXPORT_CT="(None)","",IFERROR(INDEX(INDIRECT(XLOOKUP(All_Questions_Q_MS_EXPORT_CT,All_Questions,All_Questions_Options_Names,"None_options")),6),""))</f>
        <v/>
      </c>
      <c r="P27" s="2" t="n"/>
      <c r="Q27" s="2" t="str">
        <f>IF(All_Questions_Q_MS_EXPORT_CT="(None)","",IFERROR(INDEX(INDIRECT(XLOOKUP(All_Questions_Q_MS_EXPORT_CT,All_Questions,All_Questions_Options_Names,"None_options")),7),""))</f>
        <v/>
      </c>
      <c r="R27" s="2" t="n"/>
      <c r="S27" s="2" t="str">
        <f>IF(All_Questions_Q_MS_EXPORT_CT="(None)","",IFERROR(INDEX(INDIRECT(XLOOKUP(All_Questions_Q_MS_EXPORT_CT,All_Questions,All_Questions_Options_Names,"None_options")),8),""))</f>
        <v/>
      </c>
      <c r="T27" s="2" t="n"/>
      <c r="U27" s="2" t="str">
        <f>IF(All_Questions_Q_MS_EXPORT_CT="(None)","",IFERROR(INDEX(INDIRECT(XLOOKUP(All_Questions_Q_MS_EXPORT_CT,All_Questions,All_Questions_Options_Names,"None_options")),9),""))</f>
        <v/>
      </c>
      <c r="V27" s="2" t="n"/>
      <c r="W27" s="2" t="str">
        <f>IF(All_Questions_Q_MS_EXPORT_CT="(None)","",IFERROR(INDEX(INDIRECT(XLOOKUP(All_Questions_Q_MS_EXPORT_CT,All_Questions,All_Questions_Options_Names,"None_options")),10),""))</f>
        <v/>
      </c>
      <c r="X27" s="2" t="n"/>
      <c r="Y27" s="2" t="str">
        <f>IF(All_Questions_Q_MS_EXPORT_CT="(None)","",IFERROR(INDEX(INDIRECT(XLOOKUP(All_Questions_Q_MS_EXPORT_CT,All_Questions,All_Questions_Options_Names,"None_options")),11),""))</f>
        <v/>
      </c>
      <c r="Z27" s="2" t="n"/>
      <c r="AA27" s="2" t="str">
        <f>IF(All_Questions_Q_MS_EXPORT_CT="(None)","",IFERROR(INDEX(INDIRECT(XLOOKUP(All_Questions_Q_MS_EXPORT_CT,All_Questions,All_Questions_Options_Names,"None_options")),12),""))</f>
        <v/>
      </c>
      <c r="AB27" s="2" t="n"/>
      <c r="AC2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IF(All_Questions_Q_GRID_EXPORT_CT="(None)","",IFERROR(INDEX(INDIRECT(XLOOKUP(All_Questions_Q_GRID_EXPORT_CT,All_Questions,All_Questions_Options_Names,"None_options")),2),""))</f>
        <v/>
      </c>
      <c r="H49" s="2" t="n"/>
      <c r="I49" s="2" t="str">
        <f>IF(All_Questions_Q_GRID_EXPORT_CT="(None)","",IFERROR(INDEX(INDIRECT(XLOOKUP(All_Questions_Q_GRID_EXPORT_CT,All_Questions,All_Questions_Options_Names,"None_options")),3),""))</f>
        <v/>
      </c>
      <c r="J49" s="2" t="n"/>
      <c r="K49" s="2" t="str">
        <f>IF(All_Questions_Q_GRID_EXPORT_CT="(None)","",IFERROR(INDEX(INDIRECT(XLOOKUP(All_Questions_Q_GRID_EXPORT_CT,All_Questions,All_Questions_Options_Names,"None_options")),4),""))</f>
        <v/>
      </c>
      <c r="L49" s="2" t="n"/>
      <c r="M49" s="2" t="str">
        <f>IF(All_Questions_Q_GRID_EXPORT_CT="(None)","",IFERROR(INDEX(INDIRECT(XLOOKUP(All_Questions_Q_GRID_EXPORT_CT,All_Questions,All_Questions_Options_Names,"None_options")),5),""))</f>
        <v/>
      </c>
      <c r="N49" s="2" t="n"/>
      <c r="O49" s="2" t="str">
        <f>IF(All_Questions_Q_GRID_EXPORT_CT="(None)","",IFERROR(INDEX(INDIRECT(XLOOKUP(All_Questions_Q_GRID_EXPORT_CT,All_Questions,All_Questions_Options_Names,"None_options")),6),""))</f>
        <v/>
      </c>
      <c r="P49" s="2" t="n"/>
      <c r="Q49" s="2" t="str">
        <f>IF(All_Questions_Q_GRID_EXPORT_CT="(None)","",IFERROR(INDEX(INDIRECT(XLOOKUP(All_Questions_Q_GRID_EXPORT_CT,All_Questions,All_Questions_Options_Names,"None_options")),7),""))</f>
        <v/>
      </c>
      <c r="R49" s="2" t="n"/>
      <c r="S49" s="2" t="str">
        <f>IF(All_Questions_Q_GRID_EXPORT_CT="(None)","",IFERROR(INDEX(INDIRECT(XLOOKUP(All_Questions_Q_GRID_EXPORT_CT,All_Questions,All_Questions_Options_Names,"None_options")),8),""))</f>
        <v/>
      </c>
      <c r="T49" s="2" t="n"/>
      <c r="U49" s="2" t="str">
        <f>IF(All_Questions_Q_GRID_EXPORT_CT="(None)","",IFERROR(INDEX(INDIRECT(XLOOKUP(All_Questions_Q_GRID_EXPORT_CT,All_Questions,All_Questions_Options_Names,"None_options")),9),""))</f>
        <v/>
      </c>
      <c r="V49" s="2" t="n"/>
      <c r="W49" s="2" t="str">
        <f>IF(All_Questions_Q_GRID_EXPORT_CT="(None)","",IFERROR(INDEX(INDIRECT(XLOOKUP(All_Questions_Q_GRID_EXPORT_CT,All_Questions,All_Questions_Options_Names,"None_options")),10),""))</f>
        <v/>
      </c>
      <c r="X49" s="2" t="n"/>
      <c r="Y49" s="2" t="str">
        <f>IF(All_Questions_Q_GRID_EXPORT_CT="(None)","",IFERROR(INDEX(INDIRECT(XLOOKUP(All_Questions_Q_GRID_EXPORT_CT,All_Questions,All_Questions_Options_Names,"None_options")),11),""))</f>
        <v/>
      </c>
      <c r="Z49" s="2" t="n"/>
      <c r="AA49" s="2" t="str">
        <f>IF(All_Questions_Q_GRID_EXPORT_CT="(None)","",IFERROR(INDEX(INDIRECT(XLOOKUP(All_Questions_Q_GRID_EXPORT_CT,All_Questions,All_Questions_Options_Names,"None_options")),12),""))</f>
        <v/>
      </c>
      <c r="AB49" s="2" t="n"/>
      <c r="AC4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9" s="2" t="n"/>
      <c r="I5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9" s="2" t="n"/>
      <c r="K5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9" s="2" t="n"/>
      <c r="M5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9" s="2" t="n"/>
      <c r="O5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9" s="2" t="n"/>
      <c r="Q5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9" s="2" t="n"/>
      <c r="S5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9" s="2" t="n"/>
      <c r="U5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9" s="2" t="n"/>
      <c r="W5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9" s="2" t="n"/>
      <c r="Y5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9" s="2" t="n"/>
      <c r="AA5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9" s="2" t="n"/>
      <c r="AC5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2026-05-18T10:57:32Z</dcterms:created>
  <dcterms:modified xmlns:dcterms="http://purl.org/dc/terms/" xmlns:xsi="http://www.w3.org/2001/XMLSchema-instance" xsi:type="dcterms:W3CDTF">2026-05-18T10:57:33Z</dcterms:modified>
</cp:coreProperties>
</file>