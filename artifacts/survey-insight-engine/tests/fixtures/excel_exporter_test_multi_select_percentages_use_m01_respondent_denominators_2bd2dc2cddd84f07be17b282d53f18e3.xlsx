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'_Options'!$A$2:$A$6</definedName>
    <definedName name="All_Questions_Local">'_Options'!$B$2:$B$7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All_Questions_Q4_F_wrapped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All_Questions_Q5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All_Questions_Q4_F_wrapped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All_Questions_Q5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All_Questions_Q4_F_wrapped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All_Questions_Q5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All_Questions_Q4_F_wrapped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All_Questions_Q5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All_Questions_Q4_F_wrapped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All_Questions_Q5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All_Questions_Q4_F_wrapped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All_Questions_Q5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All_Questions_Q4_F_wrapped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All_Questions_Q5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All_Questions_Q4_F_wrapped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All_Questions_Q5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All_Questions_Q4_F_wrapped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All_Questions_Q5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All_Questions_Q4_F_wrapped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All_Questions_Q5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All_Questions_Q4_F_wrapped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All_Questions_Q5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All_Questions_Q4_F_wrapped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All_Questions_Q5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All_Questions_Q4_F_wrapped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All_Questions_Q5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All_Questions_Q4_F_wrapped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All_Questions_Q5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All_Questions_Q4_F_wrapped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All_Questions_Q5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All_Questions_Q4_F_wrapped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All_Questions_Q5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All_Questions_Q4_F_wrapped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All_Questions_Q5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All_Questions_Q4_F_wrapped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All_Questions_Q5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All_Questions_Q4_F_wrapped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All_Questions_Q5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All_Questions_Q4_F_wrapped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All_Questions_Q5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All_Questions_Q4_F_wrapped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All_Questions_Q5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All_Questions_Q4_F_wrapped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All_Questions_Q5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All_Questions_Q4_F_wrapped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All_Questions_Q5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All_Questions_Q4_F_wrapped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All_Questions_Q5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All_Questions_Q4_F_wrapped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All_Questions_Q5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All_Questions_Q4_F_wrapped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All_Questions_Q5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All_Questions_Q4_F_wrapped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All_Questions_Q5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All_Questions_Q4_F_wrapped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All_Questions_Q5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All_Questions_Q4_F_wrapped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All_Questions_Q5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All_Questions_Q4_F_wrapped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All_Questions_Q5_F_wrapped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All_Questions_Q4_F_wrapped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All_Questions_Q5_F_wrapped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All_Questions_Q4_F_wrapped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All_Questions_Q5_F_wrapped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All_Questions_Q4_F_wrapped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All_Questions_Q5_F_wrapped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All_Questions_Q4_F_wrapped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All_Questions_Q5_F_wrapped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All_Questions_Q4_F_wrapped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All_Questions_Q5_F_wrapped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All_Questions_Q4_F_wrapped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All_Questions_Q5_F_wrapped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All_Questions_Q4_F_wrapped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All_Questions_Q5_F_wrapped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All_Questions_Q4_F_wrapped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All_Questions_Q5_F_wrapped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All_Questions_Q4_F_wrapped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All_Questions_Q5_F_wrapped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All_Questions_Q4_F_wrapped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All_Questions_Q5_F_wrapped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All_Questions_Q4_F_wrapped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All_Questions_Q5_F_wrapped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All_Questions_Q4_F_wrapped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All_Questions_Q5_F_wrapped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All_Questions_Q4_F_wrapped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All_Questions_Q5_F_wrapped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All_Questions_Q4_F_wrapped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All_Questions_Q5_F_wrapped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All_Questions_Q4_F_wrapped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All_Questions_Q5_F_wrapped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All_Questions_Q4_F_wrapped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All_Questions_Q5_F_wrapped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All_Questions_Q4_F_wrapped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All_Questions_Q5_F_wrapped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All_Questions_Q4_F_wrapped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All_Questions_Q5_F_wrapped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All_Questions_Q4_F_wrapped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All_Questions_Q5_F_wrapped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All_Questions_Q4_F_wrapped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All_Questions_Q5_F_wrapped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All_Questions_Q4_F_wrapped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All_Questions_Q5_F_wrapped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All_Questions_Q4_F_wrapped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All_Questions_Q5_F_wrapped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All_Questions_Q4_F_wrapped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All_Questions_Q5_F_wrapped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All_Questions_Q4_F_wrapped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All_Questions_Q5_F_wrapped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All_Questions_Q4_F_wrapped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All_Questions_Q5_F_wrapped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All_Questions_Q4_F_wrapped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All_Questions_Q5_F_wrapped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All_Questions_Q4_F_wrapped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All_Questions_Q5_F_wrapped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All_Questions_Q4_F_wrapped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All_Questions_Q5_F_wrapped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All_Questions_Q4_F_wrapped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All_Questions_Q5_F_wrapped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All_Questions_Q4_F_wrapped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All_Questions_Q5_F_wrapped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All_Questions_Q4_F_wrapped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All_Questions_Q5_F_wrapped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All_Questions_Q4_F_wrapped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All_Questions_Q5_F_wrapped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All_Questions_Q4_F_wrapped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All_Questions_Q5_F_wrapped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All_Questions_Q4_F_wrapped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All_Questions_Q5_F_wrapped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All_Questions_Q4_F_wrapped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All_Questions_Q5_F_wrapped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All_Questions_Q4_F_wrapped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All_Questions_Q5_F_wrapped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All_Questions_Q4_F_wrapped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All_Questions_Q5_F_wrapped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All_Questions_Q4_F_wrapped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All_Questions_Q5_F_wrapped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All_Questions_Q4_F_wrapped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All_Questions_Q5_F_wrapped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All_Questions_Q4_F_wrapped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All_Questions_Q5_F_wrapped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All_Questions_Q4_F_wrapped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All_Questions_Q5_F_wrapped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All_Questions_Q4_F_wrapped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All_Questions_Q5_F_wrapped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All_Questions_Q4_F_wrapped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All_Questions_Q5_F_wrapped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All_Questions_Q4_F_wrapped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All_Questions_Q5_F_wrapped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All_Questions_Q4_F_wrapped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All_Questions_Q5_F_wrapped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All_Questions_Q4_F_wrapped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All_Questions_Q5_F_wrapped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All_Questions_Q4_F_wrapped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All_Questions_Q5_F_wrapped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All_Questions_Q4_F_wrapped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All_Questions_Q5_F_wrapped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All_Questions_Q4_F_wrapped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All_Questions_Q5_F_wrapped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All_Questions_Q4_F_wrapped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All_Questions_Q5_F_wrapped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All_Questions_Q4_F_wrapped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All_Questions_Q5_F_wrapped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All_Questions_Q4_F_wrapped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All_Questions_Q5_F_wrapped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All_Questions_Q4_F_wrapped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All_Questions_Q5_F_wrapped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All_Questions_Q4_F_wrapped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All_Questions_Q5_F_wrapped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All_Questions_Q4_F_wrapped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All_Questions_Q5_F_wrapped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All_Questions_Q4_F_wrapped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All_Questions_Q5_F_wrapped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All_Questions_Q4_F_wrapped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All_Questions_Q5_F_wrapped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All_Questions_Q4_F_wrapped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All_Questions_Q5_F_wrapped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All_Questions_Q4_F_wrapped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All_Questions_Q5_F_wrapped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All_Questions_Q4_F_wrapped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All_Questions_Q5_F_wrapped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All_Questions_Q4_F_wrapped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All_Questions_Q5_F_wrapped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All_Questions_Q4_F_wrapped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All_Questions_Q5_F_wrapped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All_Questions_Q4_F_wrapped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All_Questions_Q5_F_wrapped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All_Questions_Q4_F_wrapped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All_Questions_Q5_F_wrapped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All_Questions_Q4_F_wrapped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All_Questions_Q5_F_wrapped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All_Questions_Q4_F_wrapped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All_Questions_Q5_F_wrapped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All_Questions_Q4_F_wrapped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All_Questions_Q5_F_wrapped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All_Questions_Q4_F_wrapped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All_Questions_Q5_F_wrapped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All_Questions_Q4_F_wrapped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All_Questions_Q5_F_wrapped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All_Questions_Q4_F_wrapped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All_Questions_Q5_F_wrapped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All_Questions_Q4_F_wrapped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All_Questions_Q5_F_wrapped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All_Questions_Q4_F_wrapped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All_Questions_Q5_F_wrapped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All_Questions_Q4_F_wrapped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All_Questions_Q5_F_wrapped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All_Questions_Q4_F_wrapped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All_Questions_Q5_F_wrapped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All_Questions_Q4_F_wrapped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All_Questions_Q5_F_wrapped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All_Questions_Q4_F_wrapped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All_Questions_Q5_F_wrapped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All_Questions_Q4_F_wrapped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All_Questions_Q5_F_wrapped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All_Questions_Q4_F_wrapped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All_Questions_Q5_F_wrapped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All_Questions_Q4_F_wrapped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All_Questions_Q5_F_wrapped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All_Questions_Q4_F_wrapped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All_Questions_Q5_F_wrapped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All_Questions_Q4_F_wrapped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All_Questions_Q5_F_wrapped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All_Questions_Q4_F_wrapped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All_Questions_Q5_F_wrapped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All_Questions_Q4_F_wrapped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All_Questions_Q5_F_wrapped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All_Questions_Q4_F_wrapped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All_Questions_Q5_F_wrapped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All_Questions_Q4_F_wrapped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All_Questions_Q5_F_wrapped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All_Questions_Q4_F_wrapped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All_Questions_Q5_F_wrapped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All_Questions_Q4_F_wrapped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All_Questions_Q5_F_wrapped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All_Questions_Q4_F_wrapped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All_Questions_Q5_F_wrapped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All_Questions_Q4_F_wrapped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All_Questions_Q5_F_wrapped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All_Questions_Q4_F_wrapped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All_Questions_Q5_F_wrapped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All_Questions_Q4_F_wrapped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All_Questions_Q5_F_wrapped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All_Questions_Q4_F_wrapped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All_Questions_Q5_F_wrapped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All_Questions_Q4_F_wrapped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All_Questions_Q5_F_wrapped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All_Questions_Q4_F_wrapped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All_Questions_Q5_F_wrapped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All_Questions_Q4_F_wrapped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All_Questions_Q5_F_wrapped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All_Questions_Q4_F_wrapped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All_Questions_Q5_F_wrapped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All_Questions_Q4_F_wrapped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All_Questions_Q5_F_wrapped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All_Questions_Q4_F_wrapped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All_Questions_Q5_F_wrapped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All_Questions_Q4_F_wrapped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All_Questions_Q5_F_wrapped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All_Questions_Q4_F_wrapped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All_Questions_Q5_F_wrapped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All_Questions_Q4_F_wrapped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All_Questions_Q5_F_wrapped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All_Questions_Q4_F_wrapped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All_Questions_Q5_F_wrapped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All_Questions_Q4_F_wrapped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All_Questions_Q5_F_wrapped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All_Questions_Q4_F_wrapped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All_Questions_Q5_F_wrapped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All_Questions_Q4_F_wrapped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All_Questions_Q5_F_wrapped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All_Questions_Q4_F_wrapped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All_Questions_Q5_F_wrapped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All_Questions_Q4_F_wrapped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All_Questions_Q5_F_wrapped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All_Questions_Q4_F_wrapped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All_Questions_Q5_F_wrapped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All_Questions_Q4_F_wrapped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All_Questions_Q5_F_wrapped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All_Questions_Q4_F_wrapped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All_Questions_Q5_F_wrapped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All_Questions_Q4_F_wrapped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All_Questions_Q5_F_wrapped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All_Questions_Q4_F_wrapped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All_Questions_Q5_F_wrapped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All_Questions_Q4_F_wrapped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All_Questions_Q5_F_wrapped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All_Questions_Q4_F_wrapped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All_Questions_Q5_F_wrapped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All_Questions_Q4_F_wrapped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All_Questions_Q5_F_wrapped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All_Questions_Q4_F_wrapped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All_Questions_Q5_F_wrapped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All_Questions_Q4_F_wrapped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All_Questions_Q5_F_wrapped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All_Questions_Q4_F_wrapped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All_Questions_Q5_F_wrapped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All_Questions_Q4_F_wrapped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All_Questions_Q5_F_wrapped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All_Questions_Q4_F_wrapped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All_Questions_Q5_F_wrapped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All_Questions_Q4_F_wrapped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All_Questions_Q5_F_wrapped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All_Questions_Q4_F_wrapped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All_Questions_Q5_F_wrapped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All_Questions_Q4_F_wrapped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All_Questions_Q5_F_wrapped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All_Questions_Q4_F_wrapped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All_Questions_Q5_F_wrapped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All_Questions_Q4_F_wrapped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All_Questions_Q5_F_wrapped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All_Questions_Q4_F_wrapped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All_Questions_Q5_F_wrapped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All_Questions_Q4_F_wrapped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All_Questions_Q5_F_wrapped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All_Questions_Q4_F_wrapped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All_Questions_Q5_F_wrapped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All_Questions_Q4_F_wrapped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All_Questions_Q5_F_wrapped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All_Questions_Q4_F_wrapped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All_Questions_Q5_F_wrapped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All_Questions_Q4_F_wrapped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All_Questions_Q5_F_wrapped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All_Questions_Q4_F_wrapped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All_Questions_Q5_F_wrapped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All_Questions_Q4_F_wrapped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All_Questions_Q5_F_wrapped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All_Questions_Q4_F_wrapped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All_Questions_Q5_F_wrapped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All_Questions_Q4_F_wrapped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All_Questions_Q5_F_wrapped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All_Questions_Q4_F_wrapped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All_Questions_Q5_F_wrapped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All_Questions_Q4_F_wrapped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All_Questions_Q5_F_wrapped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All_Questions_Q4_F_wrapped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All_Questions_Q5_F_wrapped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All_Questions_Q4_F_wrapped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All_Questions_Q5_F_wrapped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All_Questions_Q4_F_wrapped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All_Questions_Q5_F_wrapped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All_Questions_Q4_F_wrapped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All_Questions_Q5_F_wrapped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All_Questions_Q4_F_wrapped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All_Questions_Q5_F_wrapped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All_Questions_Q4_F_wrapped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All_Questions_Q5_F_wrapped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All_Questions_Q4_F_wrapped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All_Questions_Q5_F_wrapped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All_Questions_Q4_F_wrapped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All_Questions_Q5_F_wrapped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All_Questions_Q4_F_wrapped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All_Questions_Q5_F_wrapped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All_Questions_Q4_F_wrapped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All_Questions_Q5_F_wrapped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All_Questions_Q4_F_wrapped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All_Questions_Q5_F_wrapped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All_Questions_Q4_F_wrapped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All_Questions_Q5_F_wrapped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All_Questions_Q4_F_wrapped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All_Questions_Q5_F_wrapped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All_Questions_Q4_F_wrapped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All_Questions_Q5_F_wrapped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All_Questions_Q4_F_wrapped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All_Questions_Q5_F_wrapped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All_Questions_Q4_F_wrapped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All_Questions_Q5_F_wrapped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All_Questions_Q4_F_wrapped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All_Questions_Q5_F_wrapped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All_Questions_Q4_F_wrapped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All_Questions_Q5_F_wrapped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All_Questions_Q4_F_wrapped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All_Questions_Q5_F_wrapped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All_Questions_Q4_F_wrapped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All_Questions_Q5_F_wrapped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All_Questions_Q4_F_wrapped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All_Questions_Q5_F_wrapped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All_Questions_Q4_F_wrapped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All_Questions_Q5_F_wrapped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All_Questions_Q4_F_wrapped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All_Questions_Q5_F_wrapped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All_Questions_Q4_F_wrapped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All_Questions_Q5_F_wrapped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All_Questions_Q4_F_wrapped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All_Questions_Q5_F_wrapped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All_Questions_Q4_F_wrapped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All_Questions_Q5_F_wrapped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All_Questions_Q4_F_wrapped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All_Questions_Q5_F_wrapped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All_Questions_Q4_F_wrapped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All_Questions_Q5_F_wrapped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All_Questions_Q4_F_wrapped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All_Questions_Q5_F_wrapped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All_Questions_Q4_F_wrapped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All_Questions_Q5_F_wrapped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All_Questions_Q4_F_wrapped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All_Questions_Q5_F_wrapped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All_Questions_Q4_F_wrapped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All_Questions_Q5_F_wrapped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All_Questions_Q4_F_wrapped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All_Questions_Q5_F_wrapped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All_Questions_Q4_F_wrapped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All_Questions_Q5_F_wrapped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All_Questions_Q4_F_wrapped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All_Questions_Q5_F_wrapped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All_Questions_Q4_F_wrapped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All_Questions_Q5_F_wrapped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All_Questions_Q4_F_wrapped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All_Questions_Q5_F_wrapped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All_Questions_Q4_F_wrapped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All_Questions_Q5_F_wrapped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All_Questions_Q4_F_wrapped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All_Questions_Q5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A3" t="inlineStr">
        <is>
          <t>Q4 - Business Needs - Revenue intelligence</t>
        </is>
      </c>
      <c r="B3" t="inlineStr">
        <is>
          <t>(None)</t>
        </is>
      </c>
      <c r="C3" t="inlineStr">
        <is>
          <t>'_RawData'!$B$2:$B$207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A4" t="inlineStr">
        <is>
          <t>Q4 - Business Needs - Other business need</t>
        </is>
      </c>
      <c r="B4" t="inlineStr">
        <is>
          <t>Q4 - Business Needs - Revenue intelligence</t>
        </is>
      </c>
      <c r="C4" t="inlineStr">
        <is>
          <t>'_RawData'!$C$2:$C$207</t>
        </is>
      </c>
      <c r="D4" t="inlineStr">
        <is>
          <t>'_Options'!$G$2:$G$3</t>
        </is>
      </c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</row>
    <row r="5">
      <c r="A5" t="inlineStr">
        <is>
          <t>Q5 - Pressures - Cost pressure</t>
        </is>
      </c>
      <c r="B5" t="inlineStr">
        <is>
          <t>Q4 - Business Needs - Other business need</t>
        </is>
      </c>
      <c r="C5" t="inlineStr">
        <is>
          <t>'_RawData'!$D$2:$D$207</t>
        </is>
      </c>
      <c r="D5" t="inlineStr">
        <is>
          <t>'_Options'!$H$2:$H$3</t>
        </is>
      </c>
    </row>
    <row r="6">
      <c r="A6" t="inlineStr">
        <is>
          <t>Q5 - Pressures - Other pressure</t>
        </is>
      </c>
      <c r="B6" t="inlineStr">
        <is>
          <t>Q5 - Pressures - Cost pressure</t>
        </is>
      </c>
      <c r="C6" t="inlineStr">
        <is>
          <t>'_RawData'!$E$2:$E$207</t>
        </is>
      </c>
      <c r="D6" t="inlineStr">
        <is>
          <t>'_Options'!$I$2:$I$3</t>
        </is>
      </c>
    </row>
    <row r="7">
      <c r="B7" t="inlineStr">
        <is>
          <t>Q5 - Pressures - Other pressure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IFERROR(INDEX(All_Questions_Data_Names,MATCH(All_Questions_Q4_F_Q,All_Questions,0)),"'_RawData'!$A:$A")</f>
        <v>respondent_id_data</v>
      </c>
      <c r="G13" t="str">
        <f>"|" &amp; SUBSTITUTE(All_Questions_Q4_F_V,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IF(All_Questions_Q4_CT="(None)","",IFERROR(INDEX(INDIRECT(IFERROR(INDEX(All_Questions_Options_Names,MATCH(All_Questions_Q4_CT,All_Questions,0)),"'_Options'!$E$2:$E$2")),2),""))</f>
        <v/>
      </c>
      <c r="H16" s="2" t="str">
        <f>IF(All_Questions_Q4_CT="(None)","",IFERROR(INDEX(INDIRECT(IFERROR(INDEX(All_Questions_Options_Names,MATCH(All_Questions_Q4_CT,All_Questions,0)),"'_Options'!$E$2:$E$2")),3),""))</f>
        <v/>
      </c>
      <c r="I16" s="2" t="str">
        <f>IF(All_Questions_Q4_CT="(None)","",IFERROR(INDEX(INDIRECT(IFERROR(INDEX(All_Questions_Options_Names,MATCH(All_Questions_Q4_CT,All_Questions,0)),"'_Options'!$E$2:$E$2")),4),""))</f>
        <v/>
      </c>
      <c r="J16" s="2" t="str">
        <f>IF(All_Questions_Q4_CT="(None)","",IFERROR(INDEX(INDIRECT(IFERROR(INDEX(All_Questions_Options_Names,MATCH(All_Questions_Q4_CT,All_Questions,0)),"'_Options'!$E$2:$E$2")),5),""))</f>
        <v/>
      </c>
      <c r="K16" s="2" t="str">
        <f>IF(All_Questions_Q4_CT="(None)","",IFERROR(INDEX(INDIRECT(IFERROR(INDEX(All_Questions_Options_Names,MATCH(All_Questions_Q4_CT,All_Questions,0)),"'_Options'!$E$2:$E$2")),6),""))</f>
        <v/>
      </c>
      <c r="L16" s="2" t="str">
        <f>IF(All_Questions_Q4_CT="(None)","",IFERROR(INDEX(INDIRECT(IFERROR(INDEX(All_Questions_Options_Names,MATCH(All_Questions_Q4_CT,All_Questions,0)),"'_Options'!$E$2:$E$2")),7),""))</f>
        <v/>
      </c>
      <c r="M16" s="2" t="str">
        <f>IF(All_Questions_Q4_CT="(None)","",IFERROR(INDEX(INDIRECT(IFERROR(INDEX(All_Questions_Options_Names,MATCH(All_Questions_Q4_CT,All_Questions,0)),"'_Options'!$E$2:$E$2")),8),""))</f>
        <v/>
      </c>
      <c r="N16" s="2" t="str">
        <f>IF(All_Questions_Q4_CT="(None)","",IFERROR(INDEX(INDIRECT(IFERROR(INDEX(All_Questions_Options_Names,MATCH(All_Questions_Q4_CT,All_Questions,0)),"'_Options'!$E$2:$E$2")),9),""))</f>
        <v/>
      </c>
      <c r="O16" s="2" t="str">
        <f>IF(All_Questions_Q4_CT="(None)","",IFERROR(INDEX(INDIRECT(IFERROR(INDEX(All_Questions_Options_Names,MATCH(All_Questions_Q4_CT,All_Questions,0)),"'_Options'!$E$2:$E$2")),10),""))</f>
        <v/>
      </c>
      <c r="P16" s="2" t="str">
        <f>IF(All_Questions_Q4_CT="(None)","",IFERROR(INDEX(INDIRECT(IFERROR(INDEX(All_Questions_Options_Names,MATCH(All_Questions_Q4_CT,All_Questions,0)),"'_Options'!$E$2:$E$2")),11),""))</f>
        <v/>
      </c>
      <c r="Q16" s="2" t="str">
        <f>IF(All_Questions_Q4_CT="(None)","",IFERROR(INDEX(INDIRECT(IFERROR(INDEX(All_Questions_Options_Names,MATCH(All_Questions_Q4_CT,All_Questions,0)),"'_Options'!$E$2:$E$2")),12),""))</f>
        <v/>
      </c>
      <c r="R16" s="2" t="str">
        <f>IF(All_Questions_Q4_CT="(None)","",IF(COUNTA(INDIRECT(IFERROR(INDEX(All_Questions_Options_Names,MATCH(All_Questions_Q4_CT,All_Questions,0)),"'_Options'!$E$2:$E$2")))-1&gt;11,"Other",IFERROR(INDEX(INDIRECT(IFERROR(INDEX(All_Questions_Options_Names,MATCH(All_Questions_Q4_CT,All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% selected</t>
        </is>
      </c>
      <c r="H17" s="4" t="inlineStr">
        <is>
          <t>% selected</t>
        </is>
      </c>
      <c r="I17" s="4" t="inlineStr">
        <is>
          <t>% selected</t>
        </is>
      </c>
      <c r="J17" s="4" t="inlineStr">
        <is>
          <t>% selected</t>
        </is>
      </c>
      <c r="K17" s="4" t="inlineStr">
        <is>
          <t>% selected</t>
        </is>
      </c>
      <c r="L17" s="4" t="inlineStr">
        <is>
          <t>% selected</t>
        </is>
      </c>
      <c r="M17" s="4" t="inlineStr">
        <is>
          <t>% selected</t>
        </is>
      </c>
      <c r="N17" s="4" t="inlineStr">
        <is>
          <t>% selected</t>
        </is>
      </c>
      <c r="O17" s="4" t="inlineStr">
        <is>
          <t>% selected</t>
        </is>
      </c>
      <c r="P17" s="4" t="inlineStr">
        <is>
          <t>% selected</t>
        </is>
      </c>
      <c r="Q17" s="4" t="inlineStr">
        <is>
          <t>% selected</t>
        </is>
      </c>
      <c r="R17" s="4" t="inlineStr">
        <is>
          <t>% selected</t>
        </is>
      </c>
      <c r="S17" s="4" t="inlineStr">
        <is>
          <t>% selected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 s="7">
        <f>IF(OR(All_Questions_Q4_CT="(None)",G$16=""),"",IF(G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G$16)),"")))</f>
        <v>0.6844660194174758</v>
      </c>
      <c r="H18" s="7">
        <f>IF(OR(All_Questions_Q4_CT="(None)",H$16=""),"",IF(H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H$16)),"")))</f>
        <v>0.6844660194174758</v>
      </c>
      <c r="I18" s="7">
        <f>IF(OR(All_Questions_Q4_CT="(None)",I$16=""),"",IF(I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I$16)),"")))</f>
        <v>0.6844660194174758</v>
      </c>
      <c r="J18" s="7">
        <f>IF(OR(All_Questions_Q4_CT="(None)",J$16=""),"",IF(J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J$16)),"")))</f>
        <v>0.6844660194174758</v>
      </c>
      <c r="K18" s="7">
        <f>IF(OR(All_Questions_Q4_CT="(None)",K$16=""),"",IF(K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K$16)),"")))</f>
        <v>0.6844660194174758</v>
      </c>
      <c r="L18" s="7">
        <f>IF(OR(All_Questions_Q4_CT="(None)",L$16=""),"",IF(L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L$16)),"")))</f>
        <v>0.6844660194174758</v>
      </c>
      <c r="M18" s="7">
        <f>IF(OR(All_Questions_Q4_CT="(None)",M$16=""),"",IF(M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M$16)),"")))</f>
        <v>0.6844660194174758</v>
      </c>
      <c r="N18" s="7">
        <f>IF(OR(All_Questions_Q4_CT="(None)",N$16=""),"",IF(N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N$16)),"")))</f>
        <v>0.6844660194174758</v>
      </c>
      <c r="O18" s="7">
        <f>IF(OR(All_Questions_Q4_CT="(None)",O$16=""),"",IF(O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O$16)),"")))</f>
        <v>0.6844660194174758</v>
      </c>
      <c r="P18" s="7">
        <f>IF(OR(All_Questions_Q4_CT="(None)",P$16=""),"",IF(P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P$16)),"")))</f>
        <v>0.6844660194174758</v>
      </c>
      <c r="Q18" s="7">
        <f>IF(OR(All_Questions_Q4_CT="(None)",Q$16=""),"",IF(Q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Q$16)),"")))</f>
        <v>0.6844660194174758</v>
      </c>
      <c r="R18" s="7">
        <f>IF(OR(All_Questions_Q4_CT="(None)",R$16=""),"",IF(R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R$16)),"")))</f>
        <v>0.6844660194174758</v>
      </c>
      <c r="S18" s="7">
        <f>IF(All_Questions_Q4_CT="(None)","",IFERROR(COUNTIFS(Q4r1_data,"Selected",passes_workbook_filters_data,1,passes_workbook_custom_filters_data,1,All_Questions_passes_local_filters_data,1,All_Questions_Q4_F_passes_per_q_filter_data,1)/SUMPRODUCT(--((--(Q4r1_data&lt;&gt;"")+--(Q4r2_data&lt;&gt;""))&gt;0),--(passes_workbook_filters_data=1),--(passes_workbook_custom_filters_data=1),--(All_Questions_passes_local_filters_data=1),--(All_Questions_Q4_F_passes_per_q_filter_data=1)),""))</f>
        <v>0.6844660194174758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 s="7">
        <f>IF(OR(All_Questions_Q4_CT="(None)",G$16=""),"",IF(G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G$16)),"")))</f>
        <v>0.4029126213592233</v>
      </c>
      <c r="H19" s="7">
        <f>IF(OR(All_Questions_Q4_CT="(None)",H$16=""),"",IF(H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H$16)),"")))</f>
        <v>0.4029126213592233</v>
      </c>
      <c r="I19" s="7">
        <f>IF(OR(All_Questions_Q4_CT="(None)",I$16=""),"",IF(I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I$16)),"")))</f>
        <v>0.4029126213592233</v>
      </c>
      <c r="J19" s="7">
        <f>IF(OR(All_Questions_Q4_CT="(None)",J$16=""),"",IF(J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J$16)),"")))</f>
        <v>0.4029126213592233</v>
      </c>
      <c r="K19" s="7">
        <f>IF(OR(All_Questions_Q4_CT="(None)",K$16=""),"",IF(K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K$16)),"")))</f>
        <v>0.4029126213592233</v>
      </c>
      <c r="L19" s="7">
        <f>IF(OR(All_Questions_Q4_CT="(None)",L$16=""),"",IF(L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L$16)),"")))</f>
        <v>0.4029126213592233</v>
      </c>
      <c r="M19" s="7">
        <f>IF(OR(All_Questions_Q4_CT="(None)",M$16=""),"",IF(M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M$16)),"")))</f>
        <v>0.4029126213592233</v>
      </c>
      <c r="N19" s="7">
        <f>IF(OR(All_Questions_Q4_CT="(None)",N$16=""),"",IF(N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N$16)),"")))</f>
        <v>0.4029126213592233</v>
      </c>
      <c r="O19" s="7">
        <f>IF(OR(All_Questions_Q4_CT="(None)",O$16=""),"",IF(O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O$16)),"")))</f>
        <v>0.4029126213592233</v>
      </c>
      <c r="P19" s="7">
        <f>IF(OR(All_Questions_Q4_CT="(None)",P$16=""),"",IF(P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P$16)),"")))</f>
        <v>0.4029126213592233</v>
      </c>
      <c r="Q19" s="7">
        <f>IF(OR(All_Questions_Q4_CT="(None)",Q$16=""),"",IF(Q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Q$16)),"")))</f>
        <v>0.4029126213592233</v>
      </c>
      <c r="R19" s="7">
        <f>IF(OR(All_Questions_Q4_CT="(None)",R$16=""),"",IF(R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R$16)),"")))</f>
        <v>0.4029126213592233</v>
      </c>
      <c r="S19" s="7">
        <f>IF(All_Questions_Q4_CT="(None)","",IFERROR(COUNTIFS(Q4r2_data,"Selected",passes_workbook_filters_data,1,passes_workbook_custom_filters_data,1,All_Questions_passes_local_filters_data,1,All_Questions_Q4_F_passes_per_q_filter_data,1)/SUMPRODUCT(--((--(Q4r1_data&lt;&gt;"")+--(Q4r2_data&lt;&gt;""))&gt;0),--(passes_workbook_filters_data=1),--(passes_workbook_custom_filters_data=1),--(All_Questions_passes_local_filters_data=1),--(All_Questions_Q4_F_passes_per_q_filter_data=1)),""))</f>
        <v>0.4029126213592233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IFERROR(INDEX(All_Questions_Data_Names,MATCH(All_Questions_Q5_F_Q,All_Questions,0)),"'_RawData'!$A:$A")</f>
        <v>respondent_id_data</v>
      </c>
      <c r="G24" t="str">
        <f>"|" &amp; SUBSTITUTE(All_Questions_Q5_F_V,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IF(All_Questions_Q5_CT="(None)","",IFERROR(INDEX(INDIRECT(IFERROR(INDEX(All_Questions_Options_Names,MATCH(All_Questions_Q5_CT,All_Questions,0)),"'_Options'!$E$2:$E$2")),2),""))</f>
        <v/>
      </c>
      <c r="H27" s="2" t="str">
        <f>IF(All_Questions_Q5_CT="(None)","",IFERROR(INDEX(INDIRECT(IFERROR(INDEX(All_Questions_Options_Names,MATCH(All_Questions_Q5_CT,All_Questions,0)),"'_Options'!$E$2:$E$2")),3),""))</f>
        <v/>
      </c>
      <c r="I27" s="2" t="str">
        <f>IF(All_Questions_Q5_CT="(None)","",IFERROR(INDEX(INDIRECT(IFERROR(INDEX(All_Questions_Options_Names,MATCH(All_Questions_Q5_CT,All_Questions,0)),"'_Options'!$E$2:$E$2")),4),""))</f>
        <v/>
      </c>
      <c r="J27" s="2" t="str">
        <f>IF(All_Questions_Q5_CT="(None)","",IFERROR(INDEX(INDIRECT(IFERROR(INDEX(All_Questions_Options_Names,MATCH(All_Questions_Q5_CT,All_Questions,0)),"'_Options'!$E$2:$E$2")),5),""))</f>
        <v/>
      </c>
      <c r="K27" s="2" t="str">
        <f>IF(All_Questions_Q5_CT="(None)","",IFERROR(INDEX(INDIRECT(IFERROR(INDEX(All_Questions_Options_Names,MATCH(All_Questions_Q5_CT,All_Questions,0)),"'_Options'!$E$2:$E$2")),6),""))</f>
        <v/>
      </c>
      <c r="L27" s="2" t="str">
        <f>IF(All_Questions_Q5_CT="(None)","",IFERROR(INDEX(INDIRECT(IFERROR(INDEX(All_Questions_Options_Names,MATCH(All_Questions_Q5_CT,All_Questions,0)),"'_Options'!$E$2:$E$2")),7),""))</f>
        <v/>
      </c>
      <c r="M27" s="2" t="str">
        <f>IF(All_Questions_Q5_CT="(None)","",IFERROR(INDEX(INDIRECT(IFERROR(INDEX(All_Questions_Options_Names,MATCH(All_Questions_Q5_CT,All_Questions,0)),"'_Options'!$E$2:$E$2")),8),""))</f>
        <v/>
      </c>
      <c r="N27" s="2" t="str">
        <f>IF(All_Questions_Q5_CT="(None)","",IFERROR(INDEX(INDIRECT(IFERROR(INDEX(All_Questions_Options_Names,MATCH(All_Questions_Q5_CT,All_Questions,0)),"'_Options'!$E$2:$E$2")),9),""))</f>
        <v/>
      </c>
      <c r="O27" s="2" t="str">
        <f>IF(All_Questions_Q5_CT="(None)","",IFERROR(INDEX(INDIRECT(IFERROR(INDEX(All_Questions_Options_Names,MATCH(All_Questions_Q5_CT,All_Questions,0)),"'_Options'!$E$2:$E$2")),10),""))</f>
        <v/>
      </c>
      <c r="P27" s="2" t="str">
        <f>IF(All_Questions_Q5_CT="(None)","",IFERROR(INDEX(INDIRECT(IFERROR(INDEX(All_Questions_Options_Names,MATCH(All_Questions_Q5_CT,All_Questions,0)),"'_Options'!$E$2:$E$2")),11),""))</f>
        <v/>
      </c>
      <c r="Q27" s="2" t="str">
        <f>IF(All_Questions_Q5_CT="(None)","",IFERROR(INDEX(INDIRECT(IFERROR(INDEX(All_Questions_Options_Names,MATCH(All_Questions_Q5_CT,All_Questions,0)),"'_Options'!$E$2:$E$2")),12),""))</f>
        <v/>
      </c>
      <c r="R27" s="2" t="str">
        <f>IF(All_Questions_Q5_CT="(None)","",IF(COUNTA(INDIRECT(IFERROR(INDEX(All_Questions_Options_Names,MATCH(All_Questions_Q5_CT,All_Questions,0)),"'_Options'!$E$2:$E$2")))-1&gt;11,"Other",IFERROR(INDEX(INDIRECT(IFERROR(INDEX(All_Questions_Options_Names,MATCH(All_Questions_Q5_CT,All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 s="7">
        <f>IF(OR(All_Questions_Q5_CT="(None)",G$27=""),"",IF(G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G$27)),"")))</f>
        <v>0.6071428571428571</v>
      </c>
      <c r="H29" s="7">
        <f>IF(OR(All_Questions_Q5_CT="(None)",H$27=""),"",IF(H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H$27)),"")))</f>
        <v>0.6071428571428571</v>
      </c>
      <c r="I29" s="7">
        <f>IF(OR(All_Questions_Q5_CT="(None)",I$27=""),"",IF(I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I$27)),"")))</f>
        <v>0.6071428571428571</v>
      </c>
      <c r="J29" s="7">
        <f>IF(OR(All_Questions_Q5_CT="(None)",J$27=""),"",IF(J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J$27)),"")))</f>
        <v>0.6071428571428571</v>
      </c>
      <c r="K29" s="7">
        <f>IF(OR(All_Questions_Q5_CT="(None)",K$27=""),"",IF(K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K$27)),"")))</f>
        <v>0.6071428571428571</v>
      </c>
      <c r="L29" s="7">
        <f>IF(OR(All_Questions_Q5_CT="(None)",L$27=""),"",IF(L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L$27)),"")))</f>
        <v>0.6071428571428571</v>
      </c>
      <c r="M29" s="7">
        <f>IF(OR(All_Questions_Q5_CT="(None)",M$27=""),"",IF(M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M$27)),"")))</f>
        <v>0.6071428571428571</v>
      </c>
      <c r="N29" s="7">
        <f>IF(OR(All_Questions_Q5_CT="(None)",N$27=""),"",IF(N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N$27)),"")))</f>
        <v>0.6071428571428571</v>
      </c>
      <c r="O29" s="7">
        <f>IF(OR(All_Questions_Q5_CT="(None)",O$27=""),"",IF(O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O$27)),"")))</f>
        <v>0.6071428571428571</v>
      </c>
      <c r="P29" s="7">
        <f>IF(OR(All_Questions_Q5_CT="(None)",P$27=""),"",IF(P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P$27)),"")))</f>
        <v>0.6071428571428571</v>
      </c>
      <c r="Q29" s="7">
        <f>IF(OR(All_Questions_Q5_CT="(None)",Q$27=""),"",IF(Q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Q$27)),"")))</f>
        <v>0.6071428571428571</v>
      </c>
      <c r="R29" s="7">
        <f>IF(OR(All_Questions_Q5_CT="(None)",R$27=""),"",IF(R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R$27)),"")))</f>
        <v>0.6071428571428571</v>
      </c>
      <c r="S29" s="7">
        <f>IF(All_Questions_Q5_CT="(None)","",IFERROR(COUNTIFS(Q5r1_data,"Selected",passes_workbook_filters_data,1,passes_workbook_custom_filters_data,1,All_Questions_passes_local_filters_data,1,All_Questions_Q5_F_passes_per_q_filter_data,1)/SUMPRODUCT(--((--(Q5r1_data&lt;&gt;"")+--(Q5r2_data&lt;&gt;""))&gt;0),--(passes_workbook_filters_data=1),--(passes_workbook_custom_filters_data=1),--(All_Questions_passes_local_filters_data=1),--(All_Questions_Q5_F_passes_per_q_filter_data=1)),""))</f>
        <v>0.6071428571428571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 s="7">
        <f>IF(OR(All_Questions_Q5_CT="(None)",G$27=""),"",IF(G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G$27)),"")))</f>
        <v>0.39285714285714285</v>
      </c>
      <c r="H30" s="7">
        <f>IF(OR(All_Questions_Q5_CT="(None)",H$27=""),"",IF(H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H$27)),"")))</f>
        <v>0.39285714285714285</v>
      </c>
      <c r="I30" s="7">
        <f>IF(OR(All_Questions_Q5_CT="(None)",I$27=""),"",IF(I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I$27)),"")))</f>
        <v>0.39285714285714285</v>
      </c>
      <c r="J30" s="7">
        <f>IF(OR(All_Questions_Q5_CT="(None)",J$27=""),"",IF(J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J$27)),"")))</f>
        <v>0.39285714285714285</v>
      </c>
      <c r="K30" s="7">
        <f>IF(OR(All_Questions_Q5_CT="(None)",K$27=""),"",IF(K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K$27)),"")))</f>
        <v>0.39285714285714285</v>
      </c>
      <c r="L30" s="7">
        <f>IF(OR(All_Questions_Q5_CT="(None)",L$27=""),"",IF(L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L$27)),"")))</f>
        <v>0.39285714285714285</v>
      </c>
      <c r="M30" s="7">
        <f>IF(OR(All_Questions_Q5_CT="(None)",M$27=""),"",IF(M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M$27)),"")))</f>
        <v>0.39285714285714285</v>
      </c>
      <c r="N30" s="7">
        <f>IF(OR(All_Questions_Q5_CT="(None)",N$27=""),"",IF(N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N$27)),"")))</f>
        <v>0.39285714285714285</v>
      </c>
      <c r="O30" s="7">
        <f>IF(OR(All_Questions_Q5_CT="(None)",O$27=""),"",IF(O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O$27)),"")))</f>
        <v>0.39285714285714285</v>
      </c>
      <c r="P30" s="7">
        <f>IF(OR(All_Questions_Q5_CT="(None)",P$27=""),"",IF(P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P$27)),"")))</f>
        <v>0.39285714285714285</v>
      </c>
      <c r="Q30" s="7">
        <f>IF(OR(All_Questions_Q5_CT="(None)",Q$27=""),"",IF(Q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Q$27)),"")))</f>
        <v>0.39285714285714285</v>
      </c>
      <c r="R30" s="7">
        <f>IF(OR(All_Questions_Q5_CT="(None)",R$27=""),"",IF(R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R$27)),"")))</f>
        <v>0.39285714285714285</v>
      </c>
      <c r="S30" s="7">
        <f>IF(All_Questions_Q5_CT="(None)","",IFERROR(COUNTIFS(Q5r2_data,"Selected",passes_workbook_filters_data,1,passes_workbook_custom_filters_data,1,All_Questions_passes_local_filters_data,1,All_Questions_Q5_F_passes_per_q_filter_data,1)/SUMPRODUCT(--((--(Q5r1_data&lt;&gt;"")+--(Q5r2_data&lt;&gt;""))&gt;0),--(passes_workbook_filters_data=1),--(passes_workbook_custom_filters_data=1),--(All_Questions_passes_local_filters_data=1),--(All_Questions_Q5_F_passes_per_q_filter_data=1)),""))</f>
        <v>0.39285714285714285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2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cross_tab_by_selection_rate</t>
        </is>
      </c>
      <c r="C2" t="inlineStr">
        <is>
          <t>Q4</t>
        </is>
      </c>
      <c r="D2" t="inlineStr">
        <is>
          <t>Q4r1</t>
        </is>
      </c>
      <c r="E2" t="inlineStr">
        <is>
          <t>All_Questions_Q4_CT = G$16</t>
        </is>
      </c>
      <c r="H2">
        <f>IF(OR(All_Questions_Q4_CT="(None)",G$16=""),"",IF(G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G$16)),"")))</f>
        <v>0</v>
      </c>
      <c r="I2" t="n">
        <v>0.6844660194174758</v>
      </c>
      <c r="J2" t="n">
        <v>0</v>
      </c>
      <c r="K2" t="n">
        <v>0</v>
      </c>
      <c r="L2" t="inlineStr">
        <is>
          <t>2026-06-08T13:15:04.433374+00:00</t>
        </is>
      </c>
    </row>
    <row r="3">
      <c r="A3" t="inlineStr">
        <is>
          <t>All Questions</t>
        </is>
      </c>
      <c r="B3" t="inlineStr">
        <is>
          <t>cross_tab_by_selection_rate</t>
        </is>
      </c>
      <c r="C3" t="inlineStr">
        <is>
          <t>Q4</t>
        </is>
      </c>
      <c r="D3" t="inlineStr">
        <is>
          <t>Q4r1</t>
        </is>
      </c>
      <c r="E3" t="inlineStr">
        <is>
          <t>All_Questions_Q4_CT = H$16</t>
        </is>
      </c>
      <c r="H3">
        <f>IF(OR(All_Questions_Q4_CT="(None)",H$16=""),"",IF(H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H$16)),"")))</f>
        <v>0</v>
      </c>
      <c r="I3" t="n">
        <v>0.6844660194174758</v>
      </c>
      <c r="J3" t="n">
        <v>0</v>
      </c>
      <c r="K3" t="n">
        <v>0</v>
      </c>
      <c r="L3" t="inlineStr">
        <is>
          <t>2026-06-08T13:15:04.433662+00:00</t>
        </is>
      </c>
    </row>
    <row r="4">
      <c r="A4" t="inlineStr">
        <is>
          <t>All Questions</t>
        </is>
      </c>
      <c r="B4" t="inlineStr">
        <is>
          <t>cross_tab_by_selection_rate</t>
        </is>
      </c>
      <c r="C4" t="inlineStr">
        <is>
          <t>Q4</t>
        </is>
      </c>
      <c r="D4" t="inlineStr">
        <is>
          <t>Q4r1</t>
        </is>
      </c>
      <c r="E4" t="inlineStr">
        <is>
          <t>All_Questions_Q4_CT = I$16</t>
        </is>
      </c>
      <c r="H4">
        <f>IF(OR(All_Questions_Q4_CT="(None)",I$16=""),"",IF(I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I$16)),"")))</f>
        <v>0</v>
      </c>
      <c r="I4" t="n">
        <v>0.6844660194174758</v>
      </c>
      <c r="J4" t="n">
        <v>0</v>
      </c>
      <c r="K4" t="n">
        <v>0</v>
      </c>
      <c r="L4" t="inlineStr">
        <is>
          <t>2026-06-08T13:15:04.433908+00:00</t>
        </is>
      </c>
    </row>
    <row r="5">
      <c r="A5" t="inlineStr">
        <is>
          <t>All Questions</t>
        </is>
      </c>
      <c r="B5" t="inlineStr">
        <is>
          <t>cross_tab_by_selection_rate</t>
        </is>
      </c>
      <c r="C5" t="inlineStr">
        <is>
          <t>Q4</t>
        </is>
      </c>
      <c r="D5" t="inlineStr">
        <is>
          <t>Q4r1</t>
        </is>
      </c>
      <c r="E5" t="inlineStr">
        <is>
          <t>All_Questions_Q4_CT = J$16</t>
        </is>
      </c>
      <c r="H5">
        <f>IF(OR(All_Questions_Q4_CT="(None)",J$16=""),"",IF(J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J$16)),"")))</f>
        <v>0</v>
      </c>
      <c r="I5" t="n">
        <v>0.6844660194174758</v>
      </c>
      <c r="J5" t="n">
        <v>0</v>
      </c>
      <c r="K5" t="n">
        <v>0</v>
      </c>
      <c r="L5" t="inlineStr">
        <is>
          <t>2026-06-08T13:15:04.434180+00:00</t>
        </is>
      </c>
    </row>
    <row r="6">
      <c r="A6" t="inlineStr">
        <is>
          <t>All Questions</t>
        </is>
      </c>
      <c r="B6" t="inlineStr">
        <is>
          <t>cross_tab_by_selection_rate</t>
        </is>
      </c>
      <c r="C6" t="inlineStr">
        <is>
          <t>Q4</t>
        </is>
      </c>
      <c r="D6" t="inlineStr">
        <is>
          <t>Q4r1</t>
        </is>
      </c>
      <c r="E6" t="inlineStr">
        <is>
          <t>All_Questions_Q4_CT = K$16</t>
        </is>
      </c>
      <c r="H6">
        <f>IF(OR(All_Questions_Q4_CT="(None)",K$16=""),"",IF(K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K$16)),"")))</f>
        <v>0</v>
      </c>
      <c r="I6" t="n">
        <v>0.6844660194174758</v>
      </c>
      <c r="J6" t="n">
        <v>0</v>
      </c>
      <c r="K6" t="n">
        <v>0</v>
      </c>
      <c r="L6" t="inlineStr">
        <is>
          <t>2026-06-08T13:15:04.434451+00:00</t>
        </is>
      </c>
    </row>
    <row r="7">
      <c r="A7" t="inlineStr">
        <is>
          <t>All Questions</t>
        </is>
      </c>
      <c r="B7" t="inlineStr">
        <is>
          <t>cross_tab_by_selection_rate</t>
        </is>
      </c>
      <c r="C7" t="inlineStr">
        <is>
          <t>Q4</t>
        </is>
      </c>
      <c r="D7" t="inlineStr">
        <is>
          <t>Q4r1</t>
        </is>
      </c>
      <c r="E7" t="inlineStr">
        <is>
          <t>All_Questions_Q4_CT = L$16</t>
        </is>
      </c>
      <c r="H7">
        <f>IF(OR(All_Questions_Q4_CT="(None)",L$16=""),"",IF(L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L$16)),"")))</f>
        <v>0</v>
      </c>
      <c r="I7" t="n">
        <v>0.6844660194174758</v>
      </c>
      <c r="J7" t="n">
        <v>0</v>
      </c>
      <c r="K7" t="n">
        <v>0</v>
      </c>
      <c r="L7" t="inlineStr">
        <is>
          <t>2026-06-08T13:15:04.434692+00:00</t>
        </is>
      </c>
    </row>
    <row r="8">
      <c r="A8" t="inlineStr">
        <is>
          <t>All Questions</t>
        </is>
      </c>
      <c r="B8" t="inlineStr">
        <is>
          <t>cross_tab_by_selection_rate</t>
        </is>
      </c>
      <c r="C8" t="inlineStr">
        <is>
          <t>Q4</t>
        </is>
      </c>
      <c r="D8" t="inlineStr">
        <is>
          <t>Q4r1</t>
        </is>
      </c>
      <c r="E8" t="inlineStr">
        <is>
          <t>All_Questions_Q4_CT = M$16</t>
        </is>
      </c>
      <c r="H8">
        <f>IF(OR(All_Questions_Q4_CT="(None)",M$16=""),"",IF(M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M$16)),"")))</f>
        <v>0</v>
      </c>
      <c r="I8" t="n">
        <v>0.6844660194174758</v>
      </c>
      <c r="J8" t="n">
        <v>0</v>
      </c>
      <c r="K8" t="n">
        <v>0</v>
      </c>
      <c r="L8" t="inlineStr">
        <is>
          <t>2026-06-08T13:15:04.434989+00:00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Q4</t>
        </is>
      </c>
      <c r="D9" t="inlineStr">
        <is>
          <t>Q4r1</t>
        </is>
      </c>
      <c r="E9" t="inlineStr">
        <is>
          <t>All_Questions_Q4_CT = N$16</t>
        </is>
      </c>
      <c r="H9">
        <f>IF(OR(All_Questions_Q4_CT="(None)",N$16=""),"",IF(N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N$16)),"")))</f>
        <v>0</v>
      </c>
      <c r="I9" t="n">
        <v>0.6844660194174758</v>
      </c>
      <c r="J9" t="n">
        <v>0</v>
      </c>
      <c r="K9" t="n">
        <v>0</v>
      </c>
      <c r="L9" t="inlineStr">
        <is>
          <t>2026-06-08T13:15:04.435252+00:00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Q4</t>
        </is>
      </c>
      <c r="D10" t="inlineStr">
        <is>
          <t>Q4r1</t>
        </is>
      </c>
      <c r="E10" t="inlineStr">
        <is>
          <t>All_Questions_Q4_CT = O$16</t>
        </is>
      </c>
      <c r="H10">
        <f>IF(OR(All_Questions_Q4_CT="(None)",O$16=""),"",IF(O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O$16)),"")))</f>
        <v>0</v>
      </c>
      <c r="I10" t="n">
        <v>0.6844660194174758</v>
      </c>
      <c r="J10" t="n">
        <v>0</v>
      </c>
      <c r="K10" t="n">
        <v>0</v>
      </c>
      <c r="L10" t="inlineStr">
        <is>
          <t>2026-06-08T13:15:04.435540+00:00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Q4</t>
        </is>
      </c>
      <c r="D11" t="inlineStr">
        <is>
          <t>Q4r1</t>
        </is>
      </c>
      <c r="E11" t="inlineStr">
        <is>
          <t>All_Questions_Q4_CT = P$16</t>
        </is>
      </c>
      <c r="H11">
        <f>IF(OR(All_Questions_Q4_CT="(None)",P$16=""),"",IF(P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P$16)),"")))</f>
        <v>0</v>
      </c>
      <c r="I11" t="n">
        <v>0.6844660194174758</v>
      </c>
      <c r="J11" t="n">
        <v>0</v>
      </c>
      <c r="K11" t="n">
        <v>0</v>
      </c>
      <c r="L11" t="inlineStr">
        <is>
          <t>2026-06-08T13:15:04.435778+00:00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Q4</t>
        </is>
      </c>
      <c r="D12" t="inlineStr">
        <is>
          <t>Q4r1</t>
        </is>
      </c>
      <c r="E12" t="inlineStr">
        <is>
          <t>All_Questions_Q4_CT = Q$16</t>
        </is>
      </c>
      <c r="H12">
        <f>IF(OR(All_Questions_Q4_CT="(None)",Q$16=""),"",IF(Q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Q$16)),"")))</f>
        <v>0</v>
      </c>
      <c r="I12" t="n">
        <v>0.6844660194174758</v>
      </c>
      <c r="J12" t="n">
        <v>0</v>
      </c>
      <c r="K12" t="n">
        <v>0</v>
      </c>
      <c r="L12" t="inlineStr">
        <is>
          <t>2026-06-08T13:15:04.436043+00:00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Q4</t>
        </is>
      </c>
      <c r="D13" t="inlineStr">
        <is>
          <t>Q4r1</t>
        </is>
      </c>
      <c r="E13" t="inlineStr">
        <is>
          <t>All_Questions_Q4_CT = R$16</t>
        </is>
      </c>
      <c r="H13">
        <f>IF(OR(All_Questions_Q4_CT="(None)",R$16=""),"",IF(R$16="Other","",IFERROR(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R$16)),"")))</f>
        <v>0</v>
      </c>
      <c r="I13" t="n">
        <v>0.6844660194174758</v>
      </c>
      <c r="J13" t="n">
        <v>0</v>
      </c>
      <c r="K13" t="n">
        <v>0</v>
      </c>
      <c r="L13" t="inlineStr">
        <is>
          <t>2026-06-08T13:15:04.436389+00:00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Q4</t>
        </is>
      </c>
      <c r="D14" t="inlineStr">
        <is>
          <t>Q4r2</t>
        </is>
      </c>
      <c r="E14" t="inlineStr">
        <is>
          <t>All_Questions_Q4_CT = G$16</t>
        </is>
      </c>
      <c r="H14">
        <f>IF(OR(All_Questions_Q4_CT="(None)",G$16=""),"",IF(G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G$16)),"")))</f>
        <v>0</v>
      </c>
      <c r="I14" t="n">
        <v>0.4029126213592233</v>
      </c>
      <c r="J14" t="n">
        <v>0</v>
      </c>
      <c r="K14" t="n">
        <v>0</v>
      </c>
      <c r="L14" t="inlineStr">
        <is>
          <t>2026-06-08T13:15:04.436819+00:00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Q4</t>
        </is>
      </c>
      <c r="D15" t="inlineStr">
        <is>
          <t>Q4r2</t>
        </is>
      </c>
      <c r="E15" t="inlineStr">
        <is>
          <t>All_Questions_Q4_CT = H$16</t>
        </is>
      </c>
      <c r="H15">
        <f>IF(OR(All_Questions_Q4_CT="(None)",H$16=""),"",IF(H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H$16)),"")))</f>
        <v>0</v>
      </c>
      <c r="I15" t="n">
        <v>0.4029126213592233</v>
      </c>
      <c r="J15" t="n">
        <v>0</v>
      </c>
      <c r="K15" t="n">
        <v>0</v>
      </c>
      <c r="L15" t="inlineStr">
        <is>
          <t>2026-06-08T13:15:04.437094+00:00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Q4</t>
        </is>
      </c>
      <c r="D16" t="inlineStr">
        <is>
          <t>Q4r2</t>
        </is>
      </c>
      <c r="E16" t="inlineStr">
        <is>
          <t>All_Questions_Q4_CT = I$16</t>
        </is>
      </c>
      <c r="H16">
        <f>IF(OR(All_Questions_Q4_CT="(None)",I$16=""),"",IF(I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I$16)),"")))</f>
        <v>0</v>
      </c>
      <c r="I16" t="n">
        <v>0.4029126213592233</v>
      </c>
      <c r="J16" t="n">
        <v>0</v>
      </c>
      <c r="K16" t="n">
        <v>0</v>
      </c>
      <c r="L16" t="inlineStr">
        <is>
          <t>2026-06-08T13:15:04.437370+00:00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Q4</t>
        </is>
      </c>
      <c r="D17" t="inlineStr">
        <is>
          <t>Q4r2</t>
        </is>
      </c>
      <c r="E17" t="inlineStr">
        <is>
          <t>All_Questions_Q4_CT = J$16</t>
        </is>
      </c>
      <c r="H17">
        <f>IF(OR(All_Questions_Q4_CT="(None)",J$16=""),"",IF(J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J$16)),"")))</f>
        <v>0</v>
      </c>
      <c r="I17" t="n">
        <v>0.4029126213592233</v>
      </c>
      <c r="J17" t="n">
        <v>0</v>
      </c>
      <c r="K17" t="n">
        <v>0</v>
      </c>
      <c r="L17" t="inlineStr">
        <is>
          <t>2026-06-08T13:15:04.437616+00:00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Q4</t>
        </is>
      </c>
      <c r="D18" t="inlineStr">
        <is>
          <t>Q4r2</t>
        </is>
      </c>
      <c r="E18" t="inlineStr">
        <is>
          <t>All_Questions_Q4_CT = K$16</t>
        </is>
      </c>
      <c r="H18">
        <f>IF(OR(All_Questions_Q4_CT="(None)",K$16=""),"",IF(K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K$16)),"")))</f>
        <v>0</v>
      </c>
      <c r="I18" t="n">
        <v>0.4029126213592233</v>
      </c>
      <c r="J18" t="n">
        <v>0</v>
      </c>
      <c r="K18" t="n">
        <v>0</v>
      </c>
      <c r="L18" t="inlineStr">
        <is>
          <t>2026-06-08T13:15:04.437853+00:00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Q4</t>
        </is>
      </c>
      <c r="D19" t="inlineStr">
        <is>
          <t>Q4r2</t>
        </is>
      </c>
      <c r="E19" t="inlineStr">
        <is>
          <t>All_Questions_Q4_CT = L$16</t>
        </is>
      </c>
      <c r="H19">
        <f>IF(OR(All_Questions_Q4_CT="(None)",L$16=""),"",IF(L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L$16)),"")))</f>
        <v>0</v>
      </c>
      <c r="I19" t="n">
        <v>0.4029126213592233</v>
      </c>
      <c r="J19" t="n">
        <v>0</v>
      </c>
      <c r="K19" t="n">
        <v>0</v>
      </c>
      <c r="L19" t="inlineStr">
        <is>
          <t>2026-06-08T13:15:04.438117+00:00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Q4</t>
        </is>
      </c>
      <c r="D20" t="inlineStr">
        <is>
          <t>Q4r2</t>
        </is>
      </c>
      <c r="E20" t="inlineStr">
        <is>
          <t>All_Questions_Q4_CT = M$16</t>
        </is>
      </c>
      <c r="H20">
        <f>IF(OR(All_Questions_Q4_CT="(None)",M$16=""),"",IF(M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M$16)),"")))</f>
        <v>0</v>
      </c>
      <c r="I20" t="n">
        <v>0.4029126213592233</v>
      </c>
      <c r="J20" t="n">
        <v>0</v>
      </c>
      <c r="K20" t="n">
        <v>0</v>
      </c>
      <c r="L20" t="inlineStr">
        <is>
          <t>2026-06-08T13:15:04.438388+00:00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Q4</t>
        </is>
      </c>
      <c r="D21" t="inlineStr">
        <is>
          <t>Q4r2</t>
        </is>
      </c>
      <c r="E21" t="inlineStr">
        <is>
          <t>All_Questions_Q4_CT = N$16</t>
        </is>
      </c>
      <c r="H21">
        <f>IF(OR(All_Questions_Q4_CT="(None)",N$16=""),"",IF(N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N$16)),"")))</f>
        <v>0</v>
      </c>
      <c r="I21" t="n">
        <v>0.4029126213592233</v>
      </c>
      <c r="J21" t="n">
        <v>0</v>
      </c>
      <c r="K21" t="n">
        <v>0</v>
      </c>
      <c r="L21" t="inlineStr">
        <is>
          <t>2026-06-08T13:15:04.438628+00:00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Q4</t>
        </is>
      </c>
      <c r="D22" t="inlineStr">
        <is>
          <t>Q4r2</t>
        </is>
      </c>
      <c r="E22" t="inlineStr">
        <is>
          <t>All_Questions_Q4_CT = O$16</t>
        </is>
      </c>
      <c r="H22">
        <f>IF(OR(All_Questions_Q4_CT="(None)",O$16=""),"",IF(O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O$16)),"")))</f>
        <v>0</v>
      </c>
      <c r="I22" t="n">
        <v>0.4029126213592233</v>
      </c>
      <c r="J22" t="n">
        <v>0</v>
      </c>
      <c r="K22" t="n">
        <v>0</v>
      </c>
      <c r="L22" t="inlineStr">
        <is>
          <t>2026-06-08T13:15:04.438862+00:00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Q4</t>
        </is>
      </c>
      <c r="D23" t="inlineStr">
        <is>
          <t>Q4r2</t>
        </is>
      </c>
      <c r="E23" t="inlineStr">
        <is>
          <t>All_Questions_Q4_CT = P$16</t>
        </is>
      </c>
      <c r="H23">
        <f>IF(OR(All_Questions_Q4_CT="(None)",P$16=""),"",IF(P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P$16)),"")))</f>
        <v>0</v>
      </c>
      <c r="I23" t="n">
        <v>0.4029126213592233</v>
      </c>
      <c r="J23" t="n">
        <v>0</v>
      </c>
      <c r="K23" t="n">
        <v>0</v>
      </c>
      <c r="L23" t="inlineStr">
        <is>
          <t>2026-06-08T13:15:04.439153+00:00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Q4</t>
        </is>
      </c>
      <c r="D24" t="inlineStr">
        <is>
          <t>Q4r2</t>
        </is>
      </c>
      <c r="E24" t="inlineStr">
        <is>
          <t>All_Questions_Q4_CT = Q$16</t>
        </is>
      </c>
      <c r="H24">
        <f>IF(OR(All_Questions_Q4_CT="(None)",Q$16=""),"",IF(Q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Q$16)),"")))</f>
        <v>0</v>
      </c>
      <c r="I24" t="n">
        <v>0.4029126213592233</v>
      </c>
      <c r="J24" t="n">
        <v>0</v>
      </c>
      <c r="K24" t="n">
        <v>0</v>
      </c>
      <c r="L24" t="inlineStr">
        <is>
          <t>2026-06-08T13:15:04.439441+00:00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Q4</t>
        </is>
      </c>
      <c r="D25" t="inlineStr">
        <is>
          <t>Q4r2</t>
        </is>
      </c>
      <c r="E25" t="inlineStr">
        <is>
          <t>All_Questions_Q4_CT = R$16</t>
        </is>
      </c>
      <c r="H25">
        <f>IF(OR(All_Questions_Q4_CT="(None)",R$16=""),"",IF(R$16="Other","",IFERROR(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All_Questions_Data_Names,MATCH(All_Questions_Q4_CT,All_Questions,0)),"'_RawData'!$A:$A"))=R$16)),"")))</f>
        <v>0</v>
      </c>
      <c r="I25" t="n">
        <v>0.4029126213592233</v>
      </c>
      <c r="J25" t="n">
        <v>0</v>
      </c>
      <c r="K25" t="n">
        <v>0</v>
      </c>
      <c r="L25" t="inlineStr">
        <is>
          <t>2026-06-08T13:15:04.439749+00:00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Q5</t>
        </is>
      </c>
      <c r="D26" t="inlineStr">
        <is>
          <t>Q5r1</t>
        </is>
      </c>
      <c r="E26" t="inlineStr">
        <is>
          <t>All_Questions_Q5_CT = G$27</t>
        </is>
      </c>
      <c r="H26">
        <f>IF(OR(All_Questions_Q5_CT="(None)",G$27=""),"",IF(G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G$27)),"")))</f>
        <v>0</v>
      </c>
      <c r="I26" t="n">
        <v>0.6071428571428571</v>
      </c>
      <c r="J26" t="n">
        <v>0</v>
      </c>
      <c r="K26" t="n">
        <v>0</v>
      </c>
      <c r="L26" t="inlineStr">
        <is>
          <t>2026-06-08T13:15:04.476640+00:00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Q5</t>
        </is>
      </c>
      <c r="D27" t="inlineStr">
        <is>
          <t>Q5r1</t>
        </is>
      </c>
      <c r="E27" t="inlineStr">
        <is>
          <t>All_Questions_Q5_CT = H$27</t>
        </is>
      </c>
      <c r="H27">
        <f>IF(OR(All_Questions_Q5_CT="(None)",H$27=""),"",IF(H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H$27)),"")))</f>
        <v>0</v>
      </c>
      <c r="I27" t="n">
        <v>0.6071428571428571</v>
      </c>
      <c r="J27" t="n">
        <v>0</v>
      </c>
      <c r="K27" t="n">
        <v>0</v>
      </c>
      <c r="L27" t="inlineStr">
        <is>
          <t>2026-06-08T13:15:04.476929+00:00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Q5</t>
        </is>
      </c>
      <c r="D28" t="inlineStr">
        <is>
          <t>Q5r1</t>
        </is>
      </c>
      <c r="E28" t="inlineStr">
        <is>
          <t>All_Questions_Q5_CT = I$27</t>
        </is>
      </c>
      <c r="H28">
        <f>IF(OR(All_Questions_Q5_CT="(None)",I$27=""),"",IF(I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I$27)),"")))</f>
        <v>0</v>
      </c>
      <c r="I28" t="n">
        <v>0.6071428571428571</v>
      </c>
      <c r="J28" t="n">
        <v>0</v>
      </c>
      <c r="K28" t="n">
        <v>0</v>
      </c>
      <c r="L28" t="inlineStr">
        <is>
          <t>2026-06-08T13:15:04.477198+00:00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Q5</t>
        </is>
      </c>
      <c r="D29" t="inlineStr">
        <is>
          <t>Q5r1</t>
        </is>
      </c>
      <c r="E29" t="inlineStr">
        <is>
          <t>All_Questions_Q5_CT = J$27</t>
        </is>
      </c>
      <c r="H29">
        <f>IF(OR(All_Questions_Q5_CT="(None)",J$27=""),"",IF(J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J$27)),"")))</f>
        <v>0</v>
      </c>
      <c r="I29" t="n">
        <v>0.6071428571428571</v>
      </c>
      <c r="J29" t="n">
        <v>0</v>
      </c>
      <c r="K29" t="n">
        <v>0</v>
      </c>
      <c r="L29" t="inlineStr">
        <is>
          <t>2026-06-08T13:15:04.477468+00:00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Q5</t>
        </is>
      </c>
      <c r="D30" t="inlineStr">
        <is>
          <t>Q5r1</t>
        </is>
      </c>
      <c r="E30" t="inlineStr">
        <is>
          <t>All_Questions_Q5_CT = K$27</t>
        </is>
      </c>
      <c r="H30">
        <f>IF(OR(All_Questions_Q5_CT="(None)",K$27=""),"",IF(K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K$27)),"")))</f>
        <v>0</v>
      </c>
      <c r="I30" t="n">
        <v>0.6071428571428571</v>
      </c>
      <c r="J30" t="n">
        <v>0</v>
      </c>
      <c r="K30" t="n">
        <v>0</v>
      </c>
      <c r="L30" t="inlineStr">
        <is>
          <t>2026-06-08T13:15:04.477703+00:00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Q5</t>
        </is>
      </c>
      <c r="D31" t="inlineStr">
        <is>
          <t>Q5r1</t>
        </is>
      </c>
      <c r="E31" t="inlineStr">
        <is>
          <t>All_Questions_Q5_CT = L$27</t>
        </is>
      </c>
      <c r="H31">
        <f>IF(OR(All_Questions_Q5_CT="(None)",L$27=""),"",IF(L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L$27)),"")))</f>
        <v>0</v>
      </c>
      <c r="I31" t="n">
        <v>0.6071428571428571</v>
      </c>
      <c r="J31" t="n">
        <v>0</v>
      </c>
      <c r="K31" t="n">
        <v>0</v>
      </c>
      <c r="L31" t="inlineStr">
        <is>
          <t>2026-06-08T13:15:04.477933+00:00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Q5</t>
        </is>
      </c>
      <c r="D32" t="inlineStr">
        <is>
          <t>Q5r1</t>
        </is>
      </c>
      <c r="E32" t="inlineStr">
        <is>
          <t>All_Questions_Q5_CT = M$27</t>
        </is>
      </c>
      <c r="H32">
        <f>IF(OR(All_Questions_Q5_CT="(None)",M$27=""),"",IF(M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M$27)),"")))</f>
        <v>0</v>
      </c>
      <c r="I32" t="n">
        <v>0.6071428571428571</v>
      </c>
      <c r="J32" t="n">
        <v>0</v>
      </c>
      <c r="K32" t="n">
        <v>0</v>
      </c>
      <c r="L32" t="inlineStr">
        <is>
          <t>2026-06-08T13:15:04.478196+00:00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Q5</t>
        </is>
      </c>
      <c r="D33" t="inlineStr">
        <is>
          <t>Q5r1</t>
        </is>
      </c>
      <c r="E33" t="inlineStr">
        <is>
          <t>All_Questions_Q5_CT = N$27</t>
        </is>
      </c>
      <c r="H33">
        <f>IF(OR(All_Questions_Q5_CT="(None)",N$27=""),"",IF(N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N$27)),"")))</f>
        <v>0</v>
      </c>
      <c r="I33" t="n">
        <v>0.6071428571428571</v>
      </c>
      <c r="J33" t="n">
        <v>0</v>
      </c>
      <c r="K33" t="n">
        <v>0</v>
      </c>
      <c r="L33" t="inlineStr">
        <is>
          <t>2026-06-08T13:15:04.478457+00:00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Q5</t>
        </is>
      </c>
      <c r="D34" t="inlineStr">
        <is>
          <t>Q5r1</t>
        </is>
      </c>
      <c r="E34" t="inlineStr">
        <is>
          <t>All_Questions_Q5_CT = O$27</t>
        </is>
      </c>
      <c r="H34">
        <f>IF(OR(All_Questions_Q5_CT="(None)",O$27=""),"",IF(O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O$27)),"")))</f>
        <v>0</v>
      </c>
      <c r="I34" t="n">
        <v>0.6071428571428571</v>
      </c>
      <c r="J34" t="n">
        <v>0</v>
      </c>
      <c r="K34" t="n">
        <v>0</v>
      </c>
      <c r="L34" t="inlineStr">
        <is>
          <t>2026-06-08T13:15:04.478688+00:00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Q5</t>
        </is>
      </c>
      <c r="D35" t="inlineStr">
        <is>
          <t>Q5r1</t>
        </is>
      </c>
      <c r="E35" t="inlineStr">
        <is>
          <t>All_Questions_Q5_CT = P$27</t>
        </is>
      </c>
      <c r="H35">
        <f>IF(OR(All_Questions_Q5_CT="(None)",P$27=""),"",IF(P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P$27)),"")))</f>
        <v>0</v>
      </c>
      <c r="I35" t="n">
        <v>0.6071428571428571</v>
      </c>
      <c r="J35" t="n">
        <v>0</v>
      </c>
      <c r="K35" t="n">
        <v>0</v>
      </c>
      <c r="L35" t="inlineStr">
        <is>
          <t>2026-06-08T13:15:04.478920+00:00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Q5</t>
        </is>
      </c>
      <c r="D36" t="inlineStr">
        <is>
          <t>Q5r1</t>
        </is>
      </c>
      <c r="E36" t="inlineStr">
        <is>
          <t>All_Questions_Q5_CT = Q$27</t>
        </is>
      </c>
      <c r="H36">
        <f>IF(OR(All_Questions_Q5_CT="(None)",Q$27=""),"",IF(Q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Q$27)),"")))</f>
        <v>0</v>
      </c>
      <c r="I36" t="n">
        <v>0.6071428571428571</v>
      </c>
      <c r="J36" t="n">
        <v>0</v>
      </c>
      <c r="K36" t="n">
        <v>0</v>
      </c>
      <c r="L36" t="inlineStr">
        <is>
          <t>2026-06-08T13:15:04.479178+00:00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Q5</t>
        </is>
      </c>
      <c r="D37" t="inlineStr">
        <is>
          <t>Q5r1</t>
        </is>
      </c>
      <c r="E37" t="inlineStr">
        <is>
          <t>All_Questions_Q5_CT = R$27</t>
        </is>
      </c>
      <c r="H37">
        <f>IF(OR(All_Questions_Q5_CT="(None)",R$27=""),"",IF(R$27="Other","",IFERROR(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R$27)),"")))</f>
        <v>0</v>
      </c>
      <c r="I37" t="n">
        <v>0.6071428571428571</v>
      </c>
      <c r="J37" t="n">
        <v>0</v>
      </c>
      <c r="K37" t="n">
        <v>0</v>
      </c>
      <c r="L37" t="inlineStr">
        <is>
          <t>2026-06-08T13:15:04.479505+00:00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Q5</t>
        </is>
      </c>
      <c r="D38" t="inlineStr">
        <is>
          <t>Q5r2</t>
        </is>
      </c>
      <c r="E38" t="inlineStr">
        <is>
          <t>All_Questions_Q5_CT = G$27</t>
        </is>
      </c>
      <c r="H38">
        <f>IF(OR(All_Questions_Q5_CT="(None)",G$27=""),"",IF(G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G$27)),"")))</f>
        <v>0</v>
      </c>
      <c r="I38" t="n">
        <v>0.3928571428571428</v>
      </c>
      <c r="J38" t="n">
        <v>0</v>
      </c>
      <c r="K38" t="n">
        <v>0</v>
      </c>
      <c r="L38" t="inlineStr">
        <is>
          <t>2026-06-08T13:15:04.479919+00:00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Q5</t>
        </is>
      </c>
      <c r="D39" t="inlineStr">
        <is>
          <t>Q5r2</t>
        </is>
      </c>
      <c r="E39" t="inlineStr">
        <is>
          <t>All_Questions_Q5_CT = H$27</t>
        </is>
      </c>
      <c r="H39">
        <f>IF(OR(All_Questions_Q5_CT="(None)",H$27=""),"",IF(H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H$27)),"")))</f>
        <v>0</v>
      </c>
      <c r="I39" t="n">
        <v>0.3928571428571428</v>
      </c>
      <c r="J39" t="n">
        <v>0</v>
      </c>
      <c r="K39" t="n">
        <v>0</v>
      </c>
      <c r="L39" t="inlineStr">
        <is>
          <t>2026-06-08T13:15:04.480192+00:00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Q5</t>
        </is>
      </c>
      <c r="D40" t="inlineStr">
        <is>
          <t>Q5r2</t>
        </is>
      </c>
      <c r="E40" t="inlineStr">
        <is>
          <t>All_Questions_Q5_CT = I$27</t>
        </is>
      </c>
      <c r="H40">
        <f>IF(OR(All_Questions_Q5_CT="(None)",I$27=""),"",IF(I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I$27)),"")))</f>
        <v>0</v>
      </c>
      <c r="I40" t="n">
        <v>0.3928571428571428</v>
      </c>
      <c r="J40" t="n">
        <v>0</v>
      </c>
      <c r="K40" t="n">
        <v>0</v>
      </c>
      <c r="L40" t="inlineStr">
        <is>
          <t>2026-06-08T13:15:04.480457+00:00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Q5</t>
        </is>
      </c>
      <c r="D41" t="inlineStr">
        <is>
          <t>Q5r2</t>
        </is>
      </c>
      <c r="E41" t="inlineStr">
        <is>
          <t>All_Questions_Q5_CT = J$27</t>
        </is>
      </c>
      <c r="H41">
        <f>IF(OR(All_Questions_Q5_CT="(None)",J$27=""),"",IF(J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J$27)),"")))</f>
        <v>0</v>
      </c>
      <c r="I41" t="n">
        <v>0.3928571428571428</v>
      </c>
      <c r="J41" t="n">
        <v>0</v>
      </c>
      <c r="K41" t="n">
        <v>0</v>
      </c>
      <c r="L41" t="inlineStr">
        <is>
          <t>2026-06-08T13:15:04.480689+00:00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Q5</t>
        </is>
      </c>
      <c r="D42" t="inlineStr">
        <is>
          <t>Q5r2</t>
        </is>
      </c>
      <c r="E42" t="inlineStr">
        <is>
          <t>All_Questions_Q5_CT = K$27</t>
        </is>
      </c>
      <c r="H42">
        <f>IF(OR(All_Questions_Q5_CT="(None)",K$27=""),"",IF(K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K$27)),"")))</f>
        <v>0</v>
      </c>
      <c r="I42" t="n">
        <v>0.3928571428571428</v>
      </c>
      <c r="J42" t="n">
        <v>0</v>
      </c>
      <c r="K42" t="n">
        <v>0</v>
      </c>
      <c r="L42" t="inlineStr">
        <is>
          <t>2026-06-08T13:15:04.480916+00:00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Q5</t>
        </is>
      </c>
      <c r="D43" t="inlineStr">
        <is>
          <t>Q5r2</t>
        </is>
      </c>
      <c r="E43" t="inlineStr">
        <is>
          <t>All_Questions_Q5_CT = L$27</t>
        </is>
      </c>
      <c r="H43">
        <f>IF(OR(All_Questions_Q5_CT="(None)",L$27=""),"",IF(L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L$27)),"")))</f>
        <v>0</v>
      </c>
      <c r="I43" t="n">
        <v>0.3928571428571428</v>
      </c>
      <c r="J43" t="n">
        <v>0</v>
      </c>
      <c r="K43" t="n">
        <v>0</v>
      </c>
      <c r="L43" t="inlineStr">
        <is>
          <t>2026-06-08T13:15:04.481176+00:00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Q5</t>
        </is>
      </c>
      <c r="D44" t="inlineStr">
        <is>
          <t>Q5r2</t>
        </is>
      </c>
      <c r="E44" t="inlineStr">
        <is>
          <t>All_Questions_Q5_CT = M$27</t>
        </is>
      </c>
      <c r="H44">
        <f>IF(OR(All_Questions_Q5_CT="(None)",M$27=""),"",IF(M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M$27)),"")))</f>
        <v>0</v>
      </c>
      <c r="I44" t="n">
        <v>0.3928571428571428</v>
      </c>
      <c r="J44" t="n">
        <v>0</v>
      </c>
      <c r="K44" t="n">
        <v>0</v>
      </c>
      <c r="L44" t="inlineStr">
        <is>
          <t>2026-06-08T13:15:04.481443+00:00</t>
        </is>
      </c>
    </row>
    <row r="45">
      <c r="A45" t="inlineStr">
        <is>
          <t>All Questions</t>
        </is>
      </c>
      <c r="B45" t="inlineStr">
        <is>
          <t>cross_tab_by_selection_rate</t>
        </is>
      </c>
      <c r="C45" t="inlineStr">
        <is>
          <t>Q5</t>
        </is>
      </c>
      <c r="D45" t="inlineStr">
        <is>
          <t>Q5r2</t>
        </is>
      </c>
      <c r="E45" t="inlineStr">
        <is>
          <t>All_Questions_Q5_CT = N$27</t>
        </is>
      </c>
      <c r="H45">
        <f>IF(OR(All_Questions_Q5_CT="(None)",N$27=""),"",IF(N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N$27)),"")))</f>
        <v>0</v>
      </c>
      <c r="I45" t="n">
        <v>0.3928571428571428</v>
      </c>
      <c r="J45" t="n">
        <v>0</v>
      </c>
      <c r="K45" t="n">
        <v>0</v>
      </c>
      <c r="L45" t="inlineStr">
        <is>
          <t>2026-06-08T13:15:04.481684+00:00</t>
        </is>
      </c>
    </row>
    <row r="46">
      <c r="A46" t="inlineStr">
        <is>
          <t>All Questions</t>
        </is>
      </c>
      <c r="B46" t="inlineStr">
        <is>
          <t>cross_tab_by_selection_rate</t>
        </is>
      </c>
      <c r="C46" t="inlineStr">
        <is>
          <t>Q5</t>
        </is>
      </c>
      <c r="D46" t="inlineStr">
        <is>
          <t>Q5r2</t>
        </is>
      </c>
      <c r="E46" t="inlineStr">
        <is>
          <t>All_Questions_Q5_CT = O$27</t>
        </is>
      </c>
      <c r="H46">
        <f>IF(OR(All_Questions_Q5_CT="(None)",O$27=""),"",IF(O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O$27)),"")))</f>
        <v>0</v>
      </c>
      <c r="I46" t="n">
        <v>0.3928571428571428</v>
      </c>
      <c r="J46" t="n">
        <v>0</v>
      </c>
      <c r="K46" t="n">
        <v>0</v>
      </c>
      <c r="L46" t="inlineStr">
        <is>
          <t>2026-06-08T13:15:04.481919+00:00</t>
        </is>
      </c>
    </row>
    <row r="47">
      <c r="A47" t="inlineStr">
        <is>
          <t>All Questions</t>
        </is>
      </c>
      <c r="B47" t="inlineStr">
        <is>
          <t>cross_tab_by_selection_rate</t>
        </is>
      </c>
      <c r="C47" t="inlineStr">
        <is>
          <t>Q5</t>
        </is>
      </c>
      <c r="D47" t="inlineStr">
        <is>
          <t>Q5r2</t>
        </is>
      </c>
      <c r="E47" t="inlineStr">
        <is>
          <t>All_Questions_Q5_CT = P$27</t>
        </is>
      </c>
      <c r="H47">
        <f>IF(OR(All_Questions_Q5_CT="(None)",P$27=""),"",IF(P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P$27)),"")))</f>
        <v>0</v>
      </c>
      <c r="I47" t="n">
        <v>0.3928571428571428</v>
      </c>
      <c r="J47" t="n">
        <v>0</v>
      </c>
      <c r="K47" t="n">
        <v>0</v>
      </c>
      <c r="L47" t="inlineStr">
        <is>
          <t>2026-06-08T13:15:04.482183+00:00</t>
        </is>
      </c>
    </row>
    <row r="48">
      <c r="A48" t="inlineStr">
        <is>
          <t>All Questions</t>
        </is>
      </c>
      <c r="B48" t="inlineStr">
        <is>
          <t>cross_tab_by_selection_rate</t>
        </is>
      </c>
      <c r="C48" t="inlineStr">
        <is>
          <t>Q5</t>
        </is>
      </c>
      <c r="D48" t="inlineStr">
        <is>
          <t>Q5r2</t>
        </is>
      </c>
      <c r="E48" t="inlineStr">
        <is>
          <t>All_Questions_Q5_CT = Q$27</t>
        </is>
      </c>
      <c r="H48">
        <f>IF(OR(All_Questions_Q5_CT="(None)",Q$27=""),"",IF(Q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Q$27)),"")))</f>
        <v>0</v>
      </c>
      <c r="I48" t="n">
        <v>0.3928571428571428</v>
      </c>
      <c r="J48" t="n">
        <v>0</v>
      </c>
      <c r="K48" t="n">
        <v>0</v>
      </c>
      <c r="L48" t="inlineStr">
        <is>
          <t>2026-06-08T13:15:04.482453+00:00</t>
        </is>
      </c>
    </row>
    <row r="49">
      <c r="A49" t="inlineStr">
        <is>
          <t>All Questions</t>
        </is>
      </c>
      <c r="B49" t="inlineStr">
        <is>
          <t>cross_tab_by_selection_rate</t>
        </is>
      </c>
      <c r="C49" t="inlineStr">
        <is>
          <t>Q5</t>
        </is>
      </c>
      <c r="D49" t="inlineStr">
        <is>
          <t>Q5r2</t>
        </is>
      </c>
      <c r="E49" t="inlineStr">
        <is>
          <t>All_Questions_Q5_CT = R$27</t>
        </is>
      </c>
      <c r="H49">
        <f>IF(OR(All_Questions_Q5_CT="(None)",R$27=""),"",IF(R$27="Other","",IFERROR(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All_Questions_Data_Names,MATCH(All_Questions_Q5_CT,All_Questions,0)),"'_RawData'!$A:$A"))=R$27)),"")))</f>
        <v>0</v>
      </c>
      <c r="I49" t="n">
        <v>0.3928571428571428</v>
      </c>
      <c r="J49" t="n">
        <v>0</v>
      </c>
      <c r="K49" t="n">
        <v>0</v>
      </c>
      <c r="L49" t="inlineStr">
        <is>
          <t>2026-06-08T13:15:04.482760+00:00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2026-06-08T13:15:03Z</dcterms:created>
  <dcterms:modified xmlns:dcterms="http://purl.org/dc/terms/" xmlns:xsi="http://www.w3.org/2001/XMLSchema-instance" xsi:type="dcterms:W3CDTF">2026-06-08T13:15:04Z</dcterms:modified>
</cp:coreProperties>
</file>