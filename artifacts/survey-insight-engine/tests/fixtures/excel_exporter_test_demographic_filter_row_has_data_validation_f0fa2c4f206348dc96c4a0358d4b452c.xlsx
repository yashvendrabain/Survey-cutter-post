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comments/comment1.xml" ContentType="application/vnd.openxmlformats-officedocument.spreadsheetml.comments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2.xml" ContentType="application/vnd.openxmlformats-officedocument.spreadsheetml.comments+xml"/>
  <ns0:Override PartName="/xl/tables/table1.xml" ContentType="application/vnd.openxmlformats-officedocument.spreadsheetml.table+xml"/>
  <ns0:Override PartName="/xl/worksheets/sheet8.xml" ContentType="application/vnd.openxmlformats-officedocument.spreadsheetml.worksheet+xml"/>
  <ns0:Override PartName="/xl/comments/comment3.xml" ContentType="application/vnd.openxmlformats-officedocument.spreadsheetml.comments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sheets/sheet11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Demographics" sheetId="7" state="visible" r:id="rId7"/>
    <sheet xmlns:r="http://schemas.openxmlformats.org/officeDocument/2006/relationships" name="All Questions" sheetId="8" state="visible" r:id="rId8"/>
    <sheet xmlns:r="http://schemas.openxmlformats.org/officeDocument/2006/relationships" name="Calculation_Log" sheetId="9" state="visible" r:id="rId9"/>
    <sheet xmlns:r="http://schemas.openxmlformats.org/officeDocument/2006/relationships" name="Filter_Log" sheetId="10" state="visible" r:id="rId10"/>
    <sheet xmlns:r="http://schemas.openxmlformats.org/officeDocument/2006/relationships" name="Warnings" sheetId="11" state="visible" r:id="rId11"/>
  </sheets>
  <definedNames>
    <definedName name="respondent_id_data">'_RawData'!$A$2:$A$4</definedName>
    <definedName name="Q_SS_EXPORT_data">'_RawData'!$B$2:$B$4</definedName>
    <definedName name="Q_MS_EXPORTr1_data">'_RawData'!$C$2:$C$4</definedName>
    <definedName name="Q_MS_EXPORTr2_data">'_RawData'!$D$2:$D$4</definedName>
    <definedName name="Q_NUM_EXPORT_data">'_RawData'!$E$2:$E$4</definedName>
    <definedName name="Q_GRID_EXPORTr1_data">'_RawData'!$F$2:$F$4</definedName>
    <definedName name="Q_GRID_EXPORTr2_data">'_RawData'!$G$2:$G$4</definedName>
    <definedName name="Q_VERY_LONG_SINGLE_SELECT_EXPOR_data">'_RawData'!$H$2:$H$4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'_Options'!$I$2:$I$2</definedName>
    <definedName name="Q_NUM_EXPORT_local_options">'_Options'!$P$2:$P$3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Q_SS_EXPORT">'Filters'!$B$4</definedName>
    <definedName name="F_Q_SS_EXPORT_wrapped">'Filters'!$C$4</definedName>
    <definedName name="F_Custom1_Q">'Filters'!$B$7</definedName>
    <definedName name="F_Custom1_V">'Filters'!$D$7</definedName>
    <definedName name="F_Custom1_resolved_column">'Filters'!$E$7</definedName>
    <definedName name="F_Custom1_wrapped">'Filters'!$F$7</definedName>
    <definedName name="F_Custom2_Q">'Filters'!$B$8</definedName>
    <definedName name="F_Custom2_V">'Filters'!$D$8</definedName>
    <definedName name="F_Custom2_resolved_column">'Filters'!$E$8</definedName>
    <definedName name="F_Custom2_wrapped">'Filters'!$F$8</definedName>
    <definedName name="F_Q_SS_EXPORT_match_data">'_RawData'!$I$2:$I$4</definedName>
    <definedName name="passes_workbook_filters_data">'_RawData'!$J$2:$J$4</definedName>
    <definedName name="F_Custom1_match_data">'_RawData'!$K$2:$K$4</definedName>
    <definedName name="F_Custom2_match_data">'_RawData'!$L$2:$L$4</definedName>
    <definedName name="passes_workbook_custom_filters_data">'_RawData'!$M$2:$M$4</definedName>
    <definedName name="Demographics_F_Q_SS_EXPORT">'Demographics'!$B$5</definedName>
    <definedName name="Demographics_F_Q_SS_EXPORT_resolved">'Demographics'!$C$5</definedName>
    <definedName name="Demographics_F_Q_SS_EXPORT_wrapped">'Demographics'!$D$5</definedName>
    <definedName name="Demographics_F_Custom1_Q">'Demographics'!$B$6</definedName>
    <definedName name="Demographics_F_Custom1_Q_resolved">'Demographics'!$C$6</definedName>
    <definedName name="Demographics_F_Custom1_V">'Demographics'!$B$7</definedName>
    <definedName name="Demographics_F_Custom1_V_resolved">'Demographics'!$C$7</definedName>
    <definedName name="Demographics_F_Custom1_wrapped">'Demographics'!$D$7</definedName>
    <definedName name="Demographics_F_Custom1_resolved_column">'Demographics'!$F$7</definedName>
    <definedName name="Demographics_F_Custom2_Q">'Demographics'!$B$8</definedName>
    <definedName name="Demographics_F_Custom2_Q_resolved">'Demographics'!$C$8</definedName>
    <definedName name="Demographics_F_Custom2_V">'Demographics'!$B$9</definedName>
    <definedName name="Demographics_F_Custom2_V_resolved">'Demographics'!$C$9</definedName>
    <definedName name="Demographics_F_Custom2_wrapped">'Demographics'!$D$9</definedName>
    <definedName name="Demographics_F_Custom2_resolved_column">'Demographics'!$F$9</definedName>
    <definedName name="Demographics_F_Q_SS_EXPORT_local_match_data">'_RawData'!$N$2:$N$4</definedName>
    <definedName name="Demographics_passes_local_filters_data">'_RawData'!$O$2:$O$4</definedName>
    <definedName name="Demographics_Q_SS_EXPORT_F_Q">'Demographics'!$C$14</definedName>
    <definedName name="Demographics_Q_SS_EXPORT_F_V">'Demographics'!$E$14</definedName>
    <definedName name="Demographics_Q_SS_EXPORT_F_resolved_column">'Demographics'!$F$14</definedName>
    <definedName name="Demographics_Q_SS_EXPORT_F_wrapped">'Demographics'!$G$14</definedName>
    <definedName name="Demographics_Q_SS_EXPORT_F_passes_per_q_filter_data">'_RawData'!$P$2:$P$4</definedName>
    <definedName name="Demographics_Q_SS_EXPORT_CT">'Demographics'!$C$15</definedName>
    <definedName name="All_Questions_F_Q_SS_EXPORT">'All Questions'!$B$5</definedName>
    <definedName name="All_Questions_F_Q_SS_EXPORT_resolved">'All Questions'!$C$5</definedName>
    <definedName name="All_Questions_F_Q_SS_EXPORT_wrapped">'All Questions'!$D$5</definedName>
    <definedName name="All_Questions_F_Custom1_Q">'All Questions'!$B$6</definedName>
    <definedName name="All_Questions_F_Custom1_Q_resolved">'All Questions'!$C$6</definedName>
    <definedName name="All_Questions_F_Custom1_V">'All Questions'!$B$7</definedName>
    <definedName name="All_Questions_F_Custom1_V_resolved">'All Questions'!$C$7</definedName>
    <definedName name="All_Questions_F_Custom1_wrapped">'All Questions'!$D$7</definedName>
    <definedName name="All_Questions_F_Custom1_resolved_column">'All Questions'!$F$7</definedName>
    <definedName name="All_Questions_F_Custom2_Q">'All Questions'!$B$8</definedName>
    <definedName name="All_Questions_F_Custom2_Q_resolved">'All Questions'!$C$8</definedName>
    <definedName name="All_Questions_F_Custom2_V">'All Questions'!$B$9</definedName>
    <definedName name="All_Questions_F_Custom2_V_resolved">'All Questions'!$C$9</definedName>
    <definedName name="All_Questions_F_Custom2_wrapped">'All Questions'!$D$9</definedName>
    <definedName name="All_Questions_F_Custom2_resolved_column">'All Questions'!$F$9</definedName>
    <definedName name="All_Questions_F_Q_SS_EXPORT_local_match_data">'_RawData'!$Q$2:$Q$4</definedName>
    <definedName name="All_Questions_passes_local_filters_data">'_RawData'!$R$2:$R$4</definedName>
    <definedName name="All_Questions_Q_MS_EXPORT_F_Q">'All Questions'!$C$14</definedName>
    <definedName name="All_Questions_Q_MS_EXPORT_F_V">'All Questions'!$E$14</definedName>
    <definedName name="All_Questions_Q_MS_EXPORT_F_resolved_column">'All Questions'!$F$14</definedName>
    <definedName name="All_Questions_Q_MS_EXPORT_F_wrapped">'All Questions'!$G$14</definedName>
    <definedName name="All_Questions_Q_MS_EXPORT_F_passes_per_q_filter_data">'_RawData'!$S$2:$S$4</definedName>
    <definedName name="All_Questions_Q_MS_EXPORT_CT">'All Questions'!$C$15</definedName>
    <definedName name="All_Questions_Q_NUM_EXPORT_F_Q">'All Questions'!$C$25</definedName>
    <definedName name="All_Questions_Q_NUM_EXPORT_F_V">'All Questions'!$E$25</definedName>
    <definedName name="All_Questions_Q_NUM_EXPORT_F_resolved_column">'All Questions'!$F$25</definedName>
    <definedName name="All_Questions_Q_NUM_EXPORT_F_wrapped">'All Questions'!$G$25</definedName>
    <definedName name="All_Questions_Q_NUM_EXPORT_F_passes_per_q_filter_data">'_RawData'!$T$2:$T$4</definedName>
    <definedName name="All_Questions_Q_NUM_EXPORT_CT">'All Questions'!$C$26</definedName>
    <definedName name="All_Questions_Q_GRID_EXPORT_F_Q">'All Questions'!$C$37</definedName>
    <definedName name="All_Questions_Q_GRID_EXPORT_F_V">'All Questions'!$E$37</definedName>
    <definedName name="All_Questions_Q_GRID_EXPORT_F_resolved_column">'All Questions'!$F$37</definedName>
    <definedName name="All_Questions_Q_GRID_EXPORT_F_wrapped">'All Questions'!$G$37</definedName>
    <definedName name="All_Questions_Q_GRID_EXPORT_F_passes_per_q_filter_data">'_RawData'!$U$2:$U$4</definedName>
    <definedName name="All_Questions_Q_GRID_EXPORT_CT">'All Questions'!$C$38</definedName>
    <definedName name="All_Questions_Q_VERY_LONG_SINGLE_SELECT_EXPORT_NAME_F_Q">'All Questions'!$C$48</definedName>
    <definedName name="All_Questions_Q_VERY_LONG_SINGLE_SELECT_EXPORT_NAME_F_V">'All Questions'!$E$48</definedName>
    <definedName name="All_Questions_Q_VERY_LONG_SINGLE_SELECT_EXPORT_NAME_F_resolved_column">'All Questions'!$F$48</definedName>
    <definedName name="All_Questions_Q_VERY_LONG_SINGLE_SELECT_EXPORT_NAME_F_wrapped">'All Questions'!$G$48</definedName>
    <definedName name="All_Questions_Q_VERY_LONG_SINGLE_SELECT_EXPORT_NAME_F_passes_per_q_filter_data">'_RawData'!$V$2:$V$4</definedName>
    <definedName name="All_Questions_Q_VERY_LONG_SINGLE_SELECT_EXPORT_NAME_CT">'All Questions'!$C$49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S2" i="1"/>
  <c r="T2" i="1"/>
  <c r="U2" i="1"/>
  <c r="V2" i="1"/>
  <c r="I3" i="1"/>
  <c r="J3" i="1"/>
  <c r="K3" i="1"/>
  <c r="L3" i="1"/>
  <c r="M3" i="1"/>
  <c r="N3" i="1"/>
  <c r="O3" i="1"/>
  <c r="P3" i="1"/>
  <c r="Q3" i="1"/>
  <c r="R3" i="1"/>
  <c r="S3" i="1"/>
  <c r="T3" i="1"/>
  <c r="U3" i="1"/>
  <c r="V3" i="1"/>
  <c r="I4" i="1"/>
  <c r="J4" i="1"/>
  <c r="K4" i="1"/>
  <c r="L4" i="1"/>
  <c r="M4" i="1"/>
  <c r="N4" i="1"/>
  <c r="O4" i="1"/>
  <c r="P4" i="1"/>
  <c r="Q4" i="1"/>
  <c r="R4" i="1"/>
  <c r="S4" i="1"/>
  <c r="T4" i="1"/>
  <c r="U4" i="1"/>
  <c r="V4" i="1"/>
  <c r="C4" i="3"/>
  <c r="E7" i="3"/>
  <c r="F7" i="3"/>
  <c r="E8" i="3"/>
  <c r="F8" i="3"/>
  <c r="C5" i="7"/>
  <c r="D5" i="7"/>
  <c r="C6" i="7"/>
  <c r="C7" i="7"/>
  <c r="D7" i="7"/>
  <c r="F7" i="7"/>
  <c r="C8" i="7"/>
  <c r="C9" i="7"/>
  <c r="D9" i="7"/>
  <c r="F9" i="7"/>
  <c r="F14" i="7"/>
  <c r="G14" i="7"/>
  <c r="G17" i="7"/>
  <c r="H17" i="7"/>
  <c r="I17" i="7"/>
  <c r="J17" i="7"/>
  <c r="K17" i="7"/>
  <c r="L17" i="7"/>
  <c r="M17" i="7"/>
  <c r="N17" i="7"/>
  <c r="O17" i="7"/>
  <c r="P17" i="7"/>
  <c r="Q17" i="7"/>
  <c r="R17" i="7"/>
  <c r="B18" i="7"/>
  <c r="C18" i="7"/>
  <c r="D18" i="7"/>
  <c r="B19" i="7"/>
  <c r="C19" i="7"/>
  <c r="D19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G20" i="7"/>
  <c r="H20" i="7"/>
  <c r="I20" i="7"/>
  <c r="J20" i="7"/>
  <c r="K20" i="7"/>
  <c r="L20" i="7"/>
  <c r="M20" i="7"/>
  <c r="N20" i="7"/>
  <c r="O20" i="7"/>
  <c r="P20" i="7"/>
  <c r="Q20" i="7"/>
  <c r="R20" i="7"/>
  <c r="S20" i="7"/>
  <c r="S21" i="7"/>
  <c r="C5" i="8"/>
  <c r="D5" i="8"/>
  <c r="C6" i="8"/>
  <c r="C7" i="8"/>
  <c r="D7" i="8"/>
  <c r="F7" i="8"/>
  <c r="C8" i="8"/>
  <c r="C9" i="8"/>
  <c r="D9" i="8"/>
  <c r="F9" i="8"/>
  <c r="F14" i="8"/>
  <c r="G14" i="8"/>
  <c r="G17" i="8"/>
  <c r="H17" i="8"/>
  <c r="I17" i="8"/>
  <c r="J17" i="8"/>
  <c r="K17" i="8"/>
  <c r="L17" i="8"/>
  <c r="M17" i="8"/>
  <c r="N17" i="8"/>
  <c r="O17" i="8"/>
  <c r="P17" i="8"/>
  <c r="Q17" i="8"/>
  <c r="R17" i="8"/>
  <c r="B18" i="8"/>
  <c r="C18" i="8"/>
  <c r="D18" i="8"/>
  <c r="B19" i="8"/>
  <c r="C19" i="8"/>
  <c r="D19" i="8"/>
  <c r="G19" i="8"/>
  <c r="H19" i="8"/>
  <c r="I19" i="8"/>
  <c r="J19" i="8"/>
  <c r="K19" i="8"/>
  <c r="L19" i="8"/>
  <c r="M19" i="8"/>
  <c r="N19" i="8"/>
  <c r="O19" i="8"/>
  <c r="P19" i="8"/>
  <c r="Q19" i="8"/>
  <c r="R19" i="8"/>
  <c r="S19" i="8"/>
  <c r="G20" i="8"/>
  <c r="H20" i="8"/>
  <c r="I20" i="8"/>
  <c r="J20" i="8"/>
  <c r="K20" i="8"/>
  <c r="L20" i="8"/>
  <c r="M20" i="8"/>
  <c r="N20" i="8"/>
  <c r="O20" i="8"/>
  <c r="P20" i="8"/>
  <c r="Q20" i="8"/>
  <c r="R20" i="8"/>
  <c r="S20" i="8"/>
  <c r="S21" i="8"/>
  <c r="F25" i="8"/>
  <c r="G25" i="8"/>
  <c r="B29" i="8"/>
  <c r="D29" i="8"/>
  <c r="B30" i="8"/>
  <c r="D30" i="8"/>
  <c r="B31" i="8"/>
  <c r="D31" i="8"/>
  <c r="D32" i="8"/>
  <c r="F37" i="8"/>
  <c r="G37" i="8"/>
  <c r="G40" i="8"/>
  <c r="H40" i="8"/>
  <c r="I40" i="8"/>
  <c r="J40" i="8"/>
  <c r="K40" i="8"/>
  <c r="L40" i="8"/>
  <c r="M40" i="8"/>
  <c r="N40" i="8"/>
  <c r="O40" i="8"/>
  <c r="P40" i="8"/>
  <c r="Q40" i="8"/>
  <c r="R40" i="8"/>
  <c r="B41" i="8"/>
  <c r="C41" i="8"/>
  <c r="D41" i="8"/>
  <c r="B42" i="8"/>
  <c r="C42" i="8"/>
  <c r="D42" i="8"/>
  <c r="G42" i="8"/>
  <c r="H42" i="8"/>
  <c r="I42" i="8"/>
  <c r="J42" i="8"/>
  <c r="K42" i="8"/>
  <c r="L42" i="8"/>
  <c r="M42" i="8"/>
  <c r="N42" i="8"/>
  <c r="O42" i="8"/>
  <c r="P42" i="8"/>
  <c r="Q42" i="8"/>
  <c r="R42" i="8"/>
  <c r="S42" i="8"/>
  <c r="G43" i="8"/>
  <c r="H43" i="8"/>
  <c r="I43" i="8"/>
  <c r="J43" i="8"/>
  <c r="K43" i="8"/>
  <c r="L43" i="8"/>
  <c r="M43" i="8"/>
  <c r="N43" i="8"/>
  <c r="O43" i="8"/>
  <c r="P43" i="8"/>
  <c r="Q43" i="8"/>
  <c r="R43" i="8"/>
  <c r="S43" i="8"/>
  <c r="S44" i="8"/>
  <c r="F48" i="8"/>
  <c r="G48" i="8"/>
  <c r="G51" i="8"/>
  <c r="H51" i="8"/>
  <c r="I51" i="8"/>
  <c r="J51" i="8"/>
  <c r="K51" i="8"/>
  <c r="L51" i="8"/>
  <c r="M51" i="8"/>
  <c r="N51" i="8"/>
  <c r="O51" i="8"/>
  <c r="P51" i="8"/>
  <c r="Q51" i="8"/>
  <c r="R51" i="8"/>
  <c r="B52" i="8"/>
  <c r="C52" i="8"/>
  <c r="D52" i="8"/>
  <c r="B53" i="8"/>
  <c r="C53" i="8"/>
  <c r="D53" i="8"/>
  <c r="G53" i="8"/>
  <c r="H53" i="8"/>
  <c r="I53" i="8"/>
  <c r="J53" i="8"/>
  <c r="K53" i="8"/>
  <c r="L53" i="8"/>
  <c r="M53" i="8"/>
  <c r="N53" i="8"/>
  <c r="O53" i="8"/>
  <c r="P53" i="8"/>
  <c r="Q53" i="8"/>
  <c r="R53" i="8"/>
  <c r="S53" i="8"/>
  <c r="G54" i="8"/>
  <c r="H54" i="8"/>
  <c r="I54" i="8"/>
  <c r="J54" i="8"/>
  <c r="K54" i="8"/>
  <c r="L54" i="8"/>
  <c r="M54" i="8"/>
  <c r="N54" i="8"/>
  <c r="O54" i="8"/>
  <c r="P54" i="8"/>
  <c r="Q54" i="8"/>
  <c r="R54" i="8"/>
  <c r="S54" i="8"/>
  <c r="S55" i="8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worksheet" Target="/xl/worksheets/sheet11.xml" Id="rId11" /><ns0:Relationship Type="http://schemas.openxmlformats.org/officeDocument/2006/relationships/styles" Target="styles.xml" Id="rId12" /><ns0:Relationship Type="http://schemas.openxmlformats.org/officeDocument/2006/relationships/theme" Target="theme/theme1.xml" Id="rId13" /><ns0:Relationship Id="rId14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4" authorId="0" shapeId="0">
      <text>
        <t>Single select export question</t>
      </text>
    </comment>
  </commentList>
</comments>
</file>

<file path=xl/comments/comment2.xml><?xml version="1.0" encoding="utf-8"?>
<comments xmlns="http://schemas.openxmlformats.org/spreadsheetml/2006/main">
  <authors>
    <author>Survey Analysis Engine</author>
  </authors>
  <commentList>
    <comment ref="A5" authorId="0" shapeId="0">
      <text>
        <t>Single select export question</t>
      </text>
    </comment>
  </commentList>
</comments>
</file>

<file path=xl/comments/comment3.xml><?xml version="1.0" encoding="utf-8"?>
<comments xmlns="http://schemas.openxmlformats.org/spreadsheetml/2006/main">
  <authors>
    <author>Survey Analysis Engine</author>
  </authors>
  <commentList>
    <comment ref="A5" authorId="0" shapeId="0">
      <text>
        <t>Single select export question</t>
      </text>
    </comment>
  </commentList>
</comments>
</file>

<file path=xl/tables/table1.xml><?xml version="1.0" encoding="utf-8"?>
<table xmlns="http://schemas.openxmlformats.org/spreadsheetml/2006/main" id="1" name="T_Demographics_17_1" displayName="T_Demographics_17_1" ref="A17:D20" headerRowCount="1">
  <autoFilter ref="A17:D2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17_1" displayName="T_All_Questions_17_1" ref="A17:D21" headerRowCount="1">
  <autoFilter ref="A17:D2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28_1" displayName="T_All_Questions_28_1" ref="A28:D32" headerRowCount="1">
  <autoFilter ref="A28:D32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0_1" displayName="T_All_Questions_40_1" ref="A40:D44" headerRowCount="1">
  <autoFilter ref="A40:D44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51_1" displayName="T_All_Questions_51_1" ref="A51:D54" headerRowCount="1">
  <autoFilter ref="A51:D54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6.xml.rels><Relationships xmlns="http://schemas.openxmlformats.org/package/2006/relationships"><Relationship Type="http://schemas.openxmlformats.org/officeDocument/2006/relationships/hyperlink" Target="#'Demographic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8.xml.rels><Relationships xmlns="http://schemas.openxmlformats.org/package/2006/relationships"><Relationship Type="http://schemas.openxmlformats.org/officeDocument/2006/relationships/table" Target="/xl/tables/table2.xml" Id="rId1"/><Relationship Type="http://schemas.openxmlformats.org/officeDocument/2006/relationships/table" Target="/xl/tables/table3.xml" Id="rId2"/><Relationship Type="http://schemas.openxmlformats.org/officeDocument/2006/relationships/table" Target="/xl/tables/table4.xml" Id="rId3"/><Relationship Type="http://schemas.openxmlformats.org/officeDocument/2006/relationships/table" Target="/xl/tables/table5.xml" Id="rId4"/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F_Q_SS_EXPORT_match</t>
        </is>
      </c>
      <c r="J1" t="inlineStr">
        <is>
          <t>passes_workbook_filters</t>
        </is>
      </c>
      <c r="K1" t="inlineStr">
        <is>
          <t>F_Custom1_match</t>
        </is>
      </c>
      <c r="L1" t="inlineStr">
        <is>
          <t>F_Custom2_match</t>
        </is>
      </c>
      <c r="M1" t="inlineStr">
        <is>
          <t>passes_workbook_custom_filters</t>
        </is>
      </c>
      <c r="N1" t="inlineStr">
        <is>
          <t>Demographics_F_Q_SS_EXPORT_local_match</t>
        </is>
      </c>
      <c r="O1" t="inlineStr">
        <is>
          <t>Demographics_passes_local_filters</t>
        </is>
      </c>
      <c r="P1" t="inlineStr">
        <is>
          <t>Demographics_Q_SS_EXPORT_F_passes_per_q_filter</t>
        </is>
      </c>
      <c r="Q1" t="inlineStr">
        <is>
          <t>All_Questions_F_Q_SS_EXPORT_local_match</t>
        </is>
      </c>
      <c r="R1" t="inlineStr">
        <is>
          <t>All_Questions_passes_local_filters</t>
        </is>
      </c>
      <c r="S1" t="inlineStr">
        <is>
          <t>All_Questions_Q_MS_EXPORT_F_passes_per_q_filter</t>
        </is>
      </c>
      <c r="T1" t="inlineStr">
        <is>
          <t>All_Questions_Q_NUM_EXPORT_F_passes_per_q_filter</t>
        </is>
      </c>
      <c r="U1" t="inlineStr">
        <is>
          <t>All_Questions_Q_GRID_EXPORT_F_passes_per_q_filter</t>
        </is>
      </c>
      <c r="V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I2">
        <f>(((F_Q_SS_EXPORT="(All)")+(F_Q_SS_EXPORT="")+ISBLANK(F_Q_SS_EXPORT)+ISNUMBER(SEARCH("|"&amp;B2&amp;"|",F_Q_SS_EXPORT_wrapped)))&gt;0)*1</f>
        <v>1</v>
      </c>
      <c r="J2">
        <f>I2*1</f>
        <v>1</v>
      </c>
      <c r="K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L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M2">
        <f>K2*L2*1</f>
        <v>1</v>
      </c>
      <c r="N2">
        <f>(((Demographics_F_Q_SS_EXPORT_resolved="(All)")+(Demographics_F_Q_SS_EXPORT_resolved="")+ISBLANK(Demographics_F_Q_SS_EXPORT_resolved)+ISNUMBER(SEARCH("|"&amp;B2&amp;"|",Demographics_F_Q_SS_EXPORT_wrapped)))&gt;0)*1</f>
        <v>1</v>
      </c>
      <c r="O2">
        <f>N2*1</f>
        <v>1</v>
      </c>
      <c r="P2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1)&amp;"|",Demographics_Q_SS_EXPORT_F_wrapped)),1,0),0))</f>
        <v>1</v>
      </c>
      <c r="Q2">
        <f>(((All_Questions_F_Q_SS_EXPORT_resolved="(All)")+(All_Questions_F_Q_SS_EXPORT_resolved="")+ISBLANK(All_Questions_F_Q_SS_EXPORT_resolved)+ISNUMBER(SEARCH("|"&amp;B2&amp;"|",All_Questions_F_Q_SS_EXPORT_wrapped)))&gt;0)*1</f>
        <v>1</v>
      </c>
      <c r="R2">
        <f>Q2*1</f>
        <v>1</v>
      </c>
      <c r="S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T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U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V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No</t>
        </is>
      </c>
      <c r="I3">
        <f>(((F_Q_SS_EXPORT="(All)")+(F_Q_SS_EXPORT="")+ISBLANK(F_Q_SS_EXPORT)+ISNUMBER(SEARCH("|"&amp;B3&amp;"|",F_Q_SS_EXPORT_wrapped)))&gt;0)*1</f>
        <v>1</v>
      </c>
      <c r="J3">
        <f>I3*1</f>
        <v>1</v>
      </c>
      <c r="K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L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M3">
        <f>K3*L3*1</f>
        <v>1</v>
      </c>
      <c r="N3">
        <f>(((Demographics_F_Q_SS_EXPORT_resolved="(All)")+(Demographics_F_Q_SS_EXPORT_resolved="")+ISBLANK(Demographics_F_Q_SS_EXPORT_resolved)+ISNUMBER(SEARCH("|"&amp;B3&amp;"|",Demographics_F_Q_SS_EXPORT_wrapped)))&gt;0)*1</f>
        <v>1</v>
      </c>
      <c r="O3">
        <f>N3*1</f>
        <v>1</v>
      </c>
      <c r="P3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2)&amp;"|",Demographics_Q_SS_EXPORT_F_wrapped)),1,0),0))</f>
        <v>1</v>
      </c>
      <c r="Q3">
        <f>(((All_Questions_F_Q_SS_EXPORT_resolved="(All)")+(All_Questions_F_Q_SS_EXPORT_resolved="")+ISBLANK(All_Questions_F_Q_SS_EXPORT_resolved)+ISNUMBER(SEARCH("|"&amp;B3&amp;"|",All_Questions_F_Q_SS_EXPORT_wrapped)))&gt;0)*1</f>
        <v>1</v>
      </c>
      <c r="R3">
        <f>Q3*1</f>
        <v>1</v>
      </c>
      <c r="S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T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U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V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I4">
        <f>(((F_Q_SS_EXPORT="(All)")+(F_Q_SS_EXPORT="")+ISBLANK(F_Q_SS_EXPORT)+ISNUMBER(SEARCH("|"&amp;B4&amp;"|",F_Q_SS_EXPORT_wrapped)))&gt;0)*1</f>
        <v>1</v>
      </c>
      <c r="J4">
        <f>I4*1</f>
        <v>1</v>
      </c>
      <c r="K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L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M4">
        <f>K4*L4*1</f>
        <v>1</v>
      </c>
      <c r="N4">
        <f>(((Demographics_F_Q_SS_EXPORT_resolved="(All)")+(Demographics_F_Q_SS_EXPORT_resolved="")+ISBLANK(Demographics_F_Q_SS_EXPORT_resolved)+ISNUMBER(SEARCH("|"&amp;B4&amp;"|",Demographics_F_Q_SS_EXPORT_wrapped)))&gt;0)*1</f>
        <v>1</v>
      </c>
      <c r="O4">
        <f>N4*1</f>
        <v>1</v>
      </c>
      <c r="P4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3)&amp;"|",Demographics_Q_SS_EXPORT_F_wrapped)),1,0),0))</f>
        <v>1</v>
      </c>
      <c r="Q4">
        <f>(((All_Questions_F_Q_SS_EXPORT_resolved="(All)")+(All_Questions_F_Q_SS_EXPORT_resolved="")+ISBLANK(All_Questions_F_Q_SS_EXPORT_resolved)+ISNUMBER(SEARCH("|"&amp;B4&amp;"|",All_Questions_F_Q_SS_EXPORT_wrapped)))&gt;0)*1</f>
        <v>1</v>
      </c>
      <c r="R4">
        <f>Q4*1</f>
        <v>1</v>
      </c>
      <c r="S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T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U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V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'_RawData'!$A$2:$A$4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</t>
        </is>
      </c>
      <c r="B3" t="inlineStr">
        <is>
          <t>(None)</t>
        </is>
      </c>
      <c r="C3" t="inlineStr">
        <is>
          <t>'_RawData'!$B$2:$B$4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Name Export</t>
        </is>
      </c>
      <c r="B4" t="inlineStr">
        <is>
          <t>Q_SS_EXPORT - Single Select Export</t>
        </is>
      </c>
      <c r="C4" t="inlineStr">
        <is>
          <t>'_RawData'!$H$2:$H$4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Name Export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>
      <c r="A4" t="inlineStr">
        <is>
          <t>Single Select Export</t>
        </is>
      </c>
      <c r="B4" t="inlineStr">
        <is>
          <t>(All)</t>
        </is>
      </c>
      <c r="C4" t="str">
        <f>"|" &amp; SUBSTITUTE(F_Q_SS_EXPORT, ", ", "|") &amp; "|"</f>
        <v>|(All)|</v>
      </c>
      <c r="D4" t="inlineStr">
        <is>
          <t>Yes, No</t>
        </is>
      </c>
    </row>
    <row r="6">
      <c r="A6" s="4" t="inlineStr">
        <is>
          <t>CUSTOM FILTERS</t>
        </is>
      </c>
      <c r="B6" s="2" t="n"/>
      <c r="C6" s="2" t="n"/>
      <c r="D6" s="2" t="n"/>
      <c r="E6" s="2" t="n"/>
      <c r="F6" s="2" t="n"/>
    </row>
    <row r="7">
      <c r="A7" t="inlineStr">
        <is>
          <t>Filter 1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IFERROR(INDEX(All_Questions_Data_Names,MATCH(F_Custom1_Q,All_Questions,0)),"'_RawData'!$A:$A")</f>
        <v>respondent_id_data</v>
      </c>
      <c r="F7" t="str">
        <f>"|" &amp; SUBSTITUTE(F_Custom1_V, ", ", "|") &amp; "|"</f>
        <v>|(All)|</v>
      </c>
    </row>
    <row r="8">
      <c r="A8" t="inlineStr">
        <is>
          <t>Filter 2 question</t>
        </is>
      </c>
      <c r="B8" t="inlineStr">
        <is>
          <t>(None)</t>
        </is>
      </c>
      <c r="C8" t="inlineStr">
        <is>
          <t>Filter value</t>
        </is>
      </c>
      <c r="D8" t="inlineStr">
        <is>
          <t>(All)</t>
        </is>
      </c>
      <c r="E8" t="str">
        <f>IFERROR(INDEX(All_Questions_Data_Names,MATCH(F_Custom2_Q,All_Questions,0)),"'_RawData'!$A:$A")</f>
        <v>respondent_id_data</v>
      </c>
      <c r="F8" t="str">
        <f>"|" &amp; SUBSTITUTE(F_Custom2_V, ", ", "|") &amp; "|"</f>
        <v>|(All)|</v>
      </c>
    </row>
  </sheetData>
  <dataValidations count="5">
    <dataValidation sqref="B4" showDropDown="0" showInputMessage="0" showErrorMessage="0" allowBlank="1" type="list">
      <formula1>=Q_SS_EXPORT_options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=INDIRECT(IFERROR(INDEX(All_Questions_Options_Names,MATCH(F_Custom1_Q,All_Questions,0)),"'_Options'!$E$2:$E$2"))</formula1>
    </dataValidation>
    <dataValidation sqref="B8" showDropDown="0" showInputMessage="0" showErrorMessage="0" allowBlank="1" type="list">
      <formula1>=All_Questions</formula1>
    </dataValidation>
    <dataValidation sqref="D8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Yes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Demographics</t>
        </is>
      </c>
      <c r="E2" s="6" t="inlineStr">
        <is>
          <t>Demographics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2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Demographics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Single Select Export</t>
        </is>
      </c>
      <c r="B5" t="inlineStr">
        <is>
          <t>(Inherit)</t>
        </is>
      </c>
      <c r="C5" t="str">
        <f>IF(Demographics_F_Q_SS_EXPORT="(Inherit)",F_Q_SS_EXPORT,Demographics_F_Q_SS_EXPORT)</f>
        <v>(All)</v>
      </c>
      <c r="D5" t="str">
        <f>"|" &amp; SUBSTITUTE(Demographics_F_Q_SS_EXPORT_resolved, ", ", "|") &amp; "|"</f>
        <v>|(All)|</v>
      </c>
      <c r="E5" t="inlineStr">
        <is>
          <t>Yes, No</t>
        </is>
      </c>
    </row>
    <row r="6">
      <c r="A6" t="inlineStr">
        <is>
          <t>Custom 1 question</t>
        </is>
      </c>
      <c r="B6" t="inlineStr">
        <is>
          <t>(Inherit)</t>
        </is>
      </c>
      <c r="C6" t="str">
        <f>IF(Demographics_F_Custom1_Q="(Inherit)",F_Custom1_Q,Demographics_F_Custom1_Q)</f>
        <v>(None)</v>
      </c>
      <c r="E6" t="inlineStr">
        <is>
          <t>Workbook question or local override</t>
        </is>
      </c>
    </row>
    <row r="7">
      <c r="A7" t="inlineStr">
        <is>
          <t>Custom 1 value</t>
        </is>
      </c>
      <c r="B7" t="inlineStr">
        <is>
          <t>(Inherit)</t>
        </is>
      </c>
      <c r="C7" t="str">
        <f>IF(Demographics_F_Custom1_V="(Inherit)",F_Custom1_V,Demographics_F_Custom1_V)</f>
        <v>(All)</v>
      </c>
      <c r="D7" t="str">
        <f>"|" &amp; SUBSTITUTE(Demographics_F_Custom1_V_resolved, ", ", "|") &amp; "|"</f>
        <v>|(All)|</v>
      </c>
      <c r="E7" t="inlineStr">
        <is>
          <t>Choose one value or type comma-separated values</t>
        </is>
      </c>
      <c r="F7" t="str">
        <f>IFERROR(INDEX(All_Questions_Data_Names,MATCH(Demographics_F_Custom1_Q_resolved,All_Questions,0)),"'_RawData'!$A:$A")</f>
        <v>respondent_id_data</v>
      </c>
    </row>
    <row r="8">
      <c r="A8" t="inlineStr">
        <is>
          <t>Custom 2 question</t>
        </is>
      </c>
      <c r="B8" t="inlineStr">
        <is>
          <t>(Inherit)</t>
        </is>
      </c>
      <c r="C8" t="str">
        <f>IF(Demographics_F_Custom2_Q="(Inherit)",F_Custom2_Q,Demographics_F_Custom2_Q)</f>
        <v>(None)</v>
      </c>
      <c r="E8" t="inlineStr">
        <is>
          <t>Workbook question or local override</t>
        </is>
      </c>
    </row>
    <row r="9">
      <c r="A9" t="inlineStr">
        <is>
          <t>Custom 2 value</t>
        </is>
      </c>
      <c r="B9" t="inlineStr">
        <is>
          <t>(Inherit)</t>
        </is>
      </c>
      <c r="C9" t="str">
        <f>IF(Demographics_F_Custom2_V="(Inherit)",F_Custom2_V,Demographics_F_Custom2_V)</f>
        <v>(All)</v>
      </c>
      <c r="D9" t="str">
        <f>"|" &amp; SUBSTITUTE(Demographics_F_Custom2_V_resolved, ", ", "|") &amp; "|"</f>
        <v>|(All)|</v>
      </c>
      <c r="E9" t="inlineStr">
        <is>
          <t>Choose one value or type comma-separated values</t>
        </is>
      </c>
      <c r="F9" t="str">
        <f>IFERROR(INDEX(All_Questions_Data_Names,MATCH(Demographics_F_Custom2_Q_resolved,All_Questions,0)),"'_RawData'!$A:$A")</f>
        <v>respondent_id_data</v>
      </c>
    </row>
    <row r="12">
      <c r="A12" s="11" t="n"/>
      <c r="B12" s="11" t="n"/>
      <c r="C12" s="11" t="n"/>
      <c r="D12" s="11" t="n"/>
      <c r="E12" s="11" t="n"/>
      <c r="F12" s="11" t="n"/>
      <c r="G12" s="11" t="n"/>
      <c r="H12" s="11" t="n"/>
      <c r="I12" s="11" t="n"/>
      <c r="J12" s="11" t="n"/>
    </row>
    <row r="13">
      <c r="A13" s="12" t="inlineStr">
        <is>
          <t>Q_SS_EXPORT - Single select export question</t>
        </is>
      </c>
      <c r="B13" s="12" t="n"/>
      <c r="C13" s="12" t="n"/>
      <c r="D13" s="12" t="n"/>
      <c r="E13" s="12" t="n"/>
      <c r="F13" s="12" t="n"/>
      <c r="G13" s="12" t="n"/>
      <c r="H13" s="12" t="n"/>
      <c r="I13" s="12" t="n"/>
      <c r="J13" s="12" t="n"/>
      <c r="K13" s="12" t="n"/>
      <c r="L13" s="12" t="n"/>
      <c r="M13" s="12" t="n"/>
      <c r="N13" s="12" t="n"/>
    </row>
    <row r="14">
      <c r="A14" s="13" t="inlineStr">
        <is>
          <t>Per-question filter</t>
        </is>
      </c>
      <c r="B14" t="inlineStr">
        <is>
          <t>Filter Q</t>
        </is>
      </c>
      <c r="C14" t="inlineStr">
        <is>
          <t>(None)</t>
        </is>
      </c>
      <c r="D14" t="inlineStr">
        <is>
          <t>Value</t>
        </is>
      </c>
      <c r="E14" t="inlineStr">
        <is>
          <t>(All)</t>
        </is>
      </c>
      <c r="F14" t="str">
        <f>IFERROR(INDEX(All_Questions_Data_Names,MATCH(Demographics_Q_SS_EXPORT_F_Q,All_Questions,0)),"'_RawData'!$A:$A")</f>
        <v>respondent_id_data</v>
      </c>
      <c r="G14" t="str">
        <f>"|" &amp; SUBSTITUTE(Demographics_Q_SS_EXPORT_F_V, ", ", "|") &amp; "|"</f>
        <v>|(All)|</v>
      </c>
    </row>
    <row r="15">
      <c r="A15" s="13" t="inlineStr">
        <is>
          <t>Cross-tab by</t>
        </is>
      </c>
      <c r="C15" t="inlineStr">
        <is>
          <t>(None)</t>
        </is>
      </c>
    </row>
    <row r="17">
      <c r="A17" s="4" t="inlineStr">
        <is>
          <t>Option</t>
        </is>
      </c>
      <c r="B17" s="4" t="inlineStr">
        <is>
          <t>Count</t>
        </is>
      </c>
      <c r="C17" s="4" t="inlineStr">
        <is>
          <t>%</t>
        </is>
      </c>
      <c r="D17" s="4" t="inlineStr">
        <is>
          <t>Denominator</t>
        </is>
      </c>
      <c r="F17" s="4" t="inlineStr">
        <is>
          <t>Option</t>
        </is>
      </c>
      <c r="G17" s="2" t="str">
        <f>IF(Demographics_Q_SS_EXPORT_CT="(None)","",IFERROR(INDEX(INDIRECT(IFERROR(INDEX(All_Questions_Options_Names,MATCH(Demographics_Q_SS_EXPORT_CT,All_Questions,0)),"'_Options'!$E$2:$E$2")),2),""))</f>
        <v/>
      </c>
      <c r="H17" s="2" t="str">
        <f>IF(Demographics_Q_SS_EXPORT_CT="(None)","",IFERROR(INDEX(INDIRECT(IFERROR(INDEX(All_Questions_Options_Names,MATCH(Demographics_Q_SS_EXPORT_CT,All_Questions,0)),"'_Options'!$E$2:$E$2")),3),""))</f>
        <v/>
      </c>
      <c r="I17" s="2" t="str">
        <f>IF(Demographics_Q_SS_EXPORT_CT="(None)","",IFERROR(INDEX(INDIRECT(IFERROR(INDEX(All_Questions_Options_Names,MATCH(Demographics_Q_SS_EXPORT_CT,All_Questions,0)),"'_Options'!$E$2:$E$2")),4),""))</f>
        <v/>
      </c>
      <c r="J17" s="2" t="str">
        <f>IF(Demographics_Q_SS_EXPORT_CT="(None)","",IFERROR(INDEX(INDIRECT(IFERROR(INDEX(All_Questions_Options_Names,MATCH(Demographics_Q_SS_EXPORT_CT,All_Questions,0)),"'_Options'!$E$2:$E$2")),5),""))</f>
        <v/>
      </c>
      <c r="K17" s="2" t="str">
        <f>IF(Demographics_Q_SS_EXPORT_CT="(None)","",IFERROR(INDEX(INDIRECT(IFERROR(INDEX(All_Questions_Options_Names,MATCH(Demographics_Q_SS_EXPORT_CT,All_Questions,0)),"'_Options'!$E$2:$E$2")),6),""))</f>
        <v/>
      </c>
      <c r="L17" s="2" t="str">
        <f>IF(Demographics_Q_SS_EXPORT_CT="(None)","",IFERROR(INDEX(INDIRECT(IFERROR(INDEX(All_Questions_Options_Names,MATCH(Demographics_Q_SS_EXPORT_CT,All_Questions,0)),"'_Options'!$E$2:$E$2")),7),""))</f>
        <v/>
      </c>
      <c r="M17" s="2" t="str">
        <f>IF(Demographics_Q_SS_EXPORT_CT="(None)","",IFERROR(INDEX(INDIRECT(IFERROR(INDEX(All_Questions_Options_Names,MATCH(Demographics_Q_SS_EXPORT_CT,All_Questions,0)),"'_Options'!$E$2:$E$2")),8),""))</f>
        <v/>
      </c>
      <c r="N17" s="2" t="str">
        <f>IF(Demographics_Q_SS_EXPORT_CT="(None)","",IFERROR(INDEX(INDIRECT(IFERROR(INDEX(All_Questions_Options_Names,MATCH(Demographics_Q_SS_EXPORT_CT,All_Questions,0)),"'_Options'!$E$2:$E$2")),9),""))</f>
        <v/>
      </c>
      <c r="O17" s="2" t="str">
        <f>IF(Demographics_Q_SS_EXPORT_CT="(None)","",IFERROR(INDEX(INDIRECT(IFERROR(INDEX(All_Questions_Options_Names,MATCH(Demographics_Q_SS_EXPORT_CT,All_Questions,0)),"'_Options'!$E$2:$E$2")),10),""))</f>
        <v/>
      </c>
      <c r="P17" s="2" t="str">
        <f>IF(Demographics_Q_SS_EXPORT_CT="(None)","",IFERROR(INDEX(INDIRECT(IFERROR(INDEX(All_Questions_Options_Names,MATCH(Demographics_Q_SS_EXPORT_CT,All_Questions,0)),"'_Options'!$E$2:$E$2")),11),""))</f>
        <v/>
      </c>
      <c r="Q17" s="2" t="str">
        <f>IF(Demographics_Q_SS_EXPORT_CT="(None)","",IFERROR(INDEX(INDIRECT(IFERROR(INDEX(All_Questions_Options_Names,MATCH(Demographics_Q_SS_EXPORT_CT,All_Questions,0)),"'_Options'!$E$2:$E$2")),12),""))</f>
        <v/>
      </c>
      <c r="R17" s="2" t="str">
        <f>IF(Demographics_Q_SS_EXPORT_CT="(None)","",IF(COUNTA(INDIRECT(IFERROR(INDEX(All_Questions_Options_Names,MATCH(Demographics_Q_SS_EXPORT_CT,All_Questions,0)),"'_Options'!$E$2:$E$2")))-1&gt;11,"Other",IFERROR(INDEX(INDIRECT(IFERROR(INDEX(All_Questions_Options_Names,MATCH(Demographics_Q_SS_EXPORT_CT,All_Questions,0)),"'_Options'!$E$2:$E$2")),13),"")))</f>
        <v/>
      </c>
      <c r="S17" s="4" t="inlineStr">
        <is>
          <t>Total</t>
        </is>
      </c>
    </row>
    <row r="18">
      <c r="A18" t="inlineStr">
        <is>
          <t>Yes</t>
        </is>
      </c>
      <c r="B18">
        <f>COUNTIFS(Q_SS_EXPORT_data,"Yes",passes_workbook_filters_data,1,passes_workbook_custom_filters_data,1,Demographics_passes_local_filters_data,1,Demographics_Q_SS_EXPORT_F_passes_per_q_filter_data,1)</f>
        <v>6</v>
      </c>
      <c r="C18" s="7">
        <f>IFERROR(B18/SUBTOTAL(9,B18:B19),0)</f>
        <v>0.6</v>
      </c>
      <c r="D18" s="14">
        <f>SUBTOTAL(9,B18:B19)</f>
        <v>10</v>
      </c>
      <c r="F18" s="4" t="inlineStr"/>
      <c r="G18" s="4" t="inlineStr">
        <is>
          <t># of resp</t>
        </is>
      </c>
      <c r="H18" s="4" t="inlineStr">
        <is>
          <t># of resp</t>
        </is>
      </c>
      <c r="I18" s="4" t="inlineStr">
        <is>
          <t># of resp</t>
        </is>
      </c>
      <c r="J18" s="4" t="inlineStr">
        <is>
          <t># of resp</t>
        </is>
      </c>
      <c r="K18" s="4" t="inlineStr">
        <is>
          <t># of resp</t>
        </is>
      </c>
      <c r="L18" s="4" t="inlineStr">
        <is>
          <t># of resp</t>
        </is>
      </c>
      <c r="M18" s="4" t="inlineStr">
        <is>
          <t># of resp</t>
        </is>
      </c>
      <c r="N18" s="4" t="inlineStr">
        <is>
          <t># of resp</t>
        </is>
      </c>
      <c r="O18" s="4" t="inlineStr">
        <is>
          <t># of resp</t>
        </is>
      </c>
      <c r="P18" s="4" t="inlineStr">
        <is>
          <t># of resp</t>
        </is>
      </c>
      <c r="Q18" s="4" t="inlineStr">
        <is>
          <t># of resp</t>
        </is>
      </c>
      <c r="R18" s="4" t="inlineStr">
        <is>
          <t># of resp</t>
        </is>
      </c>
      <c r="S18" s="4" t="inlineStr">
        <is>
          <t># of resp</t>
        </is>
      </c>
    </row>
    <row r="19">
      <c r="A19" t="inlineStr">
        <is>
          <t>No</t>
        </is>
      </c>
      <c r="B19">
        <f>COUNTIFS(Q_SS_EXPORT_data,"No",passes_workbook_filters_data,1,passes_workbook_custom_filters_data,1,Demographics_passes_local_filters_data,1,Demographics_Q_SS_EXPORT_F_passes_per_q_filter_data,1)</f>
        <v>4</v>
      </c>
      <c r="C19" s="7">
        <f>IFERROR(B19/SUBTOTAL(9,B18:B19),0)</f>
        <v>0.4</v>
      </c>
      <c r="D19" s="14">
        <f>SUBTOTAL(9,B18:B19)</f>
        <v>10</v>
      </c>
      <c r="F19" t="inlineStr">
        <is>
          <t>Yes</t>
        </is>
      </c>
      <c r="G19">
        <f>IF(OR(Demographics_Q_SS_EXPORT_CT="(None)",G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G$17))</f>
        <v>0</v>
      </c>
      <c r="H19">
        <f>IF(OR(Demographics_Q_SS_EXPORT_CT="(None)",H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H$17))</f>
        <v>0</v>
      </c>
      <c r="I19">
        <f>IF(OR(Demographics_Q_SS_EXPORT_CT="(None)",I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I$17))</f>
        <v>0</v>
      </c>
      <c r="J19">
        <f>IF(OR(Demographics_Q_SS_EXPORT_CT="(None)",J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J$17))</f>
        <v>0</v>
      </c>
      <c r="K19">
        <f>IF(OR(Demographics_Q_SS_EXPORT_CT="(None)",K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K$17))</f>
        <v>0</v>
      </c>
      <c r="L19">
        <f>IF(OR(Demographics_Q_SS_EXPORT_CT="(None)",L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L$17))</f>
        <v>0</v>
      </c>
      <c r="M19">
        <f>IF(OR(Demographics_Q_SS_EXPORT_CT="(None)",M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M$17))</f>
        <v>0</v>
      </c>
      <c r="N19">
        <f>IF(OR(Demographics_Q_SS_EXPORT_CT="(None)",N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N$17))</f>
        <v>0</v>
      </c>
      <c r="O19">
        <f>IF(OR(Demographics_Q_SS_EXPORT_CT="(None)",O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O$17))</f>
        <v>0</v>
      </c>
      <c r="P19">
        <f>IF(OR(Demographics_Q_SS_EXPORT_CT="(None)",P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P$17))</f>
        <v>0</v>
      </c>
      <c r="Q19">
        <f>IF(OR(Demographics_Q_SS_EXPORT_CT="(None)",Q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Q$17))</f>
        <v>0</v>
      </c>
      <c r="R19">
        <f>IF(OR(Demographics_Q_SS_EXPORT_CT="(None)",R$17=""),"",IF(R$17="Other",COUNTIFS(Q_SS_EXPORT_data,"Yes",passes_workbook_filters_data,1,passes_workbook_custom_filters_data,1,Demographics_passes_local_filters_data,1,Demographics_Q_SS_EXPORT_F_passes_per_q_filter_data,1)-SUM(G19,H19,I19,J19,K19,L19,M19,N19,O19,P19,Q19)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R$17)))</f>
        <v>0</v>
      </c>
      <c r="S19">
        <f>IF(Demographics_Q_SS_EXPORT_CT="(None)","",COUNTIFS(Q_SS_EXPORT_data,"Yes",passes_workbook_filters_data,1,passes_workbook_custom_filters_data,1,Demographics_passes_local_filters_data,1,Demographics_Q_SS_EXPORT_F_passes_per_q_filter_data,1))</f>
        <v>0</v>
      </c>
    </row>
    <row r="20">
      <c r="A20" s="15" t="inlineStr">
        <is>
          <t>Total respondents</t>
        </is>
      </c>
      <c r="B20" s="15" t="n">
        <v>10</v>
      </c>
      <c r="C20" s="15" t="n"/>
      <c r="D20" s="15" t="n"/>
      <c r="F20" t="inlineStr">
        <is>
          <t>No</t>
        </is>
      </c>
      <c r="G20">
        <f>IF(OR(Demographics_Q_SS_EXPORT_CT="(None)",G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G$17))</f>
        <v>0</v>
      </c>
      <c r="H20">
        <f>IF(OR(Demographics_Q_SS_EXPORT_CT="(None)",H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H$17))</f>
        <v>0</v>
      </c>
      <c r="I20">
        <f>IF(OR(Demographics_Q_SS_EXPORT_CT="(None)",I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I$17))</f>
        <v>0</v>
      </c>
      <c r="J20">
        <f>IF(OR(Demographics_Q_SS_EXPORT_CT="(None)",J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J$17))</f>
        <v>0</v>
      </c>
      <c r="K20">
        <f>IF(OR(Demographics_Q_SS_EXPORT_CT="(None)",K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K$17))</f>
        <v>0</v>
      </c>
      <c r="L20">
        <f>IF(OR(Demographics_Q_SS_EXPORT_CT="(None)",L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L$17))</f>
        <v>0</v>
      </c>
      <c r="M20">
        <f>IF(OR(Demographics_Q_SS_EXPORT_CT="(None)",M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M$17))</f>
        <v>0</v>
      </c>
      <c r="N20">
        <f>IF(OR(Demographics_Q_SS_EXPORT_CT="(None)",N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N$17))</f>
        <v>0</v>
      </c>
      <c r="O20">
        <f>IF(OR(Demographics_Q_SS_EXPORT_CT="(None)",O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O$17))</f>
        <v>0</v>
      </c>
      <c r="P20">
        <f>IF(OR(Demographics_Q_SS_EXPORT_CT="(None)",P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P$17))</f>
        <v>0</v>
      </c>
      <c r="Q20">
        <f>IF(OR(Demographics_Q_SS_EXPORT_CT="(None)",Q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Q$17))</f>
        <v>0</v>
      </c>
      <c r="R20">
        <f>IF(OR(Demographics_Q_SS_EXPORT_CT="(None)",R$17=""),"",IF(R$17="Other",COUNTIFS(Q_SS_EXPORT_data,"No",passes_workbook_filters_data,1,passes_workbook_custom_filters_data,1,Demographics_passes_local_filters_data,1,Demographics_Q_SS_EXPORT_F_passes_per_q_filter_data,1)-SUM(G20,H20,I20,J20,K20,L20,M20,N20,O20,P20,Q20)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R$17)))</f>
        <v>0</v>
      </c>
      <c r="S20">
        <f>IF(Demographics_Q_SS_EXPORT_CT="(None)","",COUNTIFS(Q_SS_EXPORT_data,"No",passes_workbook_filters_data,1,passes_workbook_custom_filters_data,1,Demographics_passes_local_filters_data,1,Demographics_Q_SS_EXPORT_F_passes_per_q_filter_data,1))</f>
        <v>0</v>
      </c>
    </row>
    <row r="21">
      <c r="F21" s="4" t="inlineStr">
        <is>
          <t>Total respondents</t>
        </is>
      </c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>
        <f>IF(Demographics_Q_SS_EXPORT_CT="(None)","",COUNTIFS(respondent_id_data,"&lt;&gt;",passes_workbook_filters_data,1,passes_workbook_custom_filters_data,1,Demographics_passes_local_filters_data,1,Demographics_Q_SS_EXPORT_F_passes_per_q_filter_data,1))</f>
        <v>0</v>
      </c>
    </row>
  </sheetData>
  <mergeCells count="1">
    <mergeCell ref="A1:J1"/>
  </mergeCells>
  <conditionalFormatting sqref="B18:B19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8:C19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9:G20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9:H20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9:I20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9:J20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9:K20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9:L20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9:M20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9:N20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9:O20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9:P20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9:Q20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9:R20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8">
    <dataValidation sqref="B5" showDropDown="0" showInputMessage="0" showErrorMessage="0" allowBlank="1" type="list">
      <formula1>=Q_SS_EXPORT_local_options</formula1>
    </dataValidation>
    <dataValidation sqref="B6" showDropDown="0" showInputMessage="0" showErrorMessage="0" allowBlank="1" type="list">
      <formula1>=All_Questions_Local</formula1>
    </dataValidation>
    <dataValidation sqref="B7" showDropDown="0" showInputMessage="0" showErrorMessage="0" allowBlank="1" type="list">
      <formula1>=INDIRECT(IFERROR(INDEX(All_Questions_Options_Names,MATCH(Demographics_F_Custom1_Q_resolved,All_Questions,0)),"'_Options'!$E$2:$E$2"))</formula1>
    </dataValidation>
    <dataValidation sqref="B8" showDropDown="0" showInputMessage="0" showErrorMessage="0" allowBlank="1" type="list">
      <formula1>=All_Questions_Local</formula1>
    </dataValidation>
    <dataValidation sqref="B9" showDropDown="0" showInputMessage="0" showErrorMessage="0" allowBlank="1" type="list">
      <formula1>=INDIRECT(IFERROR(INDEX(All_Questions_Options_Names,MATCH(Demographics_F_Custom2_Q_resolved,All_Questions,0)),"'_Options'!$E$2:$E$2"))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E14" showDropDown="0" showInputMessage="0" showErrorMessage="0" allowBlank="1" type="list">
      <formula1>=INDIRECT(IFERROR(INDEX(All_Questions_Options_Names,MATCH(Demographics_Q_SS_EXPORT_F_Q,All_Questions,0)),"'_Options'!$E$2:$E$2"))</formula1>
    </dataValidation>
    <dataValidation sqref="C15" showDropDown="0" showInputMessage="0" showErrorMessage="0" allowBlank="1" type="list">
      <formula1>=All_Questions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S5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Single Select Export</t>
        </is>
      </c>
      <c r="B5" t="inlineStr">
        <is>
          <t>(Inherit)</t>
        </is>
      </c>
      <c r="C5" t="str">
        <f>IF(All_Questions_F_Q_SS_EXPORT="(Inherit)",F_Q_SS_EXPORT,All_Questions_F_Q_SS_EXPORT)</f>
        <v>(All)</v>
      </c>
      <c r="D5" t="str">
        <f>"|" &amp; SUBSTITUTE(All_Questions_F_Q_SS_EXPORT_resolved, ", ", "|") &amp; "|"</f>
        <v>|(All)|</v>
      </c>
      <c r="E5" t="inlineStr">
        <is>
          <t>Yes, No</t>
        </is>
      </c>
    </row>
    <row r="6">
      <c r="A6" t="inlineStr">
        <is>
          <t>Custom 1 question</t>
        </is>
      </c>
      <c r="B6" t="inlineStr">
        <is>
          <t>(Inherit)</t>
        </is>
      </c>
      <c r="C6" t="str">
        <f>IF(All_Questions_F_Custom1_Q="(Inherit)",F_Custom1_Q,All_Questions_F_Custom1_Q)</f>
        <v>(None)</v>
      </c>
      <c r="E6" t="inlineStr">
        <is>
          <t>Workbook question or local override</t>
        </is>
      </c>
    </row>
    <row r="7">
      <c r="A7" t="inlineStr">
        <is>
          <t>Custom 1 value</t>
        </is>
      </c>
      <c r="B7" t="inlineStr">
        <is>
          <t>(Inherit)</t>
        </is>
      </c>
      <c r="C7" t="str">
        <f>IF(All_Questions_F_Custom1_V="(Inherit)",F_Custom1_V,All_Questions_F_Custom1_V)</f>
        <v>(All)</v>
      </c>
      <c r="D7" t="str">
        <f>"|" &amp; SUBSTITUTE(All_Questions_F_Custom1_V_resolved, ", ", "|") &amp; "|"</f>
        <v>|(All)|</v>
      </c>
      <c r="E7" t="inlineStr">
        <is>
          <t>Choose one value or type comma-separated values</t>
        </is>
      </c>
      <c r="F7" t="str">
        <f>IFERROR(INDEX(All_Questions_Data_Names,MATCH(All_Questions_F_Custom1_Q_resolved,All_Questions,0)),"'_RawData'!$A:$A")</f>
        <v>respondent_id_data</v>
      </c>
    </row>
    <row r="8">
      <c r="A8" t="inlineStr">
        <is>
          <t>Custom 2 question</t>
        </is>
      </c>
      <c r="B8" t="inlineStr">
        <is>
          <t>(Inherit)</t>
        </is>
      </c>
      <c r="C8" t="str">
        <f>IF(All_Questions_F_Custom2_Q="(Inherit)",F_Custom2_Q,All_Questions_F_Custom2_Q)</f>
        <v>(None)</v>
      </c>
      <c r="E8" t="inlineStr">
        <is>
          <t>Workbook question or local override</t>
        </is>
      </c>
    </row>
    <row r="9">
      <c r="A9" t="inlineStr">
        <is>
          <t>Custom 2 value</t>
        </is>
      </c>
      <c r="B9" t="inlineStr">
        <is>
          <t>(Inherit)</t>
        </is>
      </c>
      <c r="C9" t="str">
        <f>IF(All_Questions_F_Custom2_V="(Inherit)",F_Custom2_V,All_Questions_F_Custom2_V)</f>
        <v>(All)</v>
      </c>
      <c r="D9" t="str">
        <f>"|" &amp; SUBSTITUTE(All_Questions_F_Custom2_V_resolved, ", ", "|") &amp; "|"</f>
        <v>|(All)|</v>
      </c>
      <c r="E9" t="inlineStr">
        <is>
          <t>Choose one value or type comma-separated values</t>
        </is>
      </c>
      <c r="F9" t="str">
        <f>IFERROR(INDEX(All_Questions_Data_Names,MATCH(All_Questions_F_Custom2_Q_resolved,All_Questions,0)),"'_RawData'!$A:$A")</f>
        <v>respondent_id_data</v>
      </c>
    </row>
    <row r="12">
      <c r="A12" s="11" t="n"/>
      <c r="B12" s="11" t="n"/>
      <c r="C12" s="11" t="n"/>
      <c r="D12" s="11" t="n"/>
      <c r="E12" s="11" t="n"/>
      <c r="F12" s="11" t="n"/>
      <c r="G12" s="11" t="n"/>
      <c r="H12" s="11" t="n"/>
      <c r="I12" s="11" t="n"/>
      <c r="J12" s="11" t="n"/>
    </row>
    <row r="13">
      <c r="A13" s="12" t="inlineStr">
        <is>
          <t>Q_MS_EXPORT - Multi select export question</t>
        </is>
      </c>
      <c r="B13" s="12" t="n"/>
      <c r="C13" s="12" t="n"/>
      <c r="D13" s="12" t="n"/>
      <c r="E13" s="12" t="n"/>
      <c r="F13" s="12" t="n"/>
      <c r="G13" s="12" t="n"/>
      <c r="H13" s="12" t="n"/>
      <c r="I13" s="12" t="n"/>
      <c r="J13" s="12" t="n"/>
      <c r="K13" s="12" t="n"/>
      <c r="L13" s="12" t="n"/>
      <c r="M13" s="12" t="n"/>
      <c r="N13" s="12" t="n"/>
    </row>
    <row r="14">
      <c r="A14" s="13" t="inlineStr">
        <is>
          <t>Per-question filter</t>
        </is>
      </c>
      <c r="B14" t="inlineStr">
        <is>
          <t>Filter Q</t>
        </is>
      </c>
      <c r="C14" t="inlineStr">
        <is>
          <t>(None)</t>
        </is>
      </c>
      <c r="D14" t="inlineStr">
        <is>
          <t>Value</t>
        </is>
      </c>
      <c r="E14" t="inlineStr">
        <is>
          <t>(All)</t>
        </is>
      </c>
      <c r="F14" t="str">
        <f>IFERROR(INDEX(All_Questions_Data_Names,MATCH(All_Questions_Q_MS_EXPORT_F_Q,All_Questions,0)),"'_RawData'!$A:$A")</f>
        <v>respondent_id_data</v>
      </c>
      <c r="G14" t="str">
        <f>"|" &amp; SUBSTITUTE(All_Questions_Q_MS_EXPORT_F_V, ", ", "|") &amp; "|"</f>
        <v>|(All)|</v>
      </c>
    </row>
    <row r="15">
      <c r="A15" s="13" t="inlineStr">
        <is>
          <t>Cross-tab by</t>
        </is>
      </c>
      <c r="C15" t="inlineStr">
        <is>
          <t>(None)</t>
        </is>
      </c>
    </row>
    <row r="17">
      <c r="A17" s="4" t="inlineStr">
        <is>
          <t>Option</t>
        </is>
      </c>
      <c r="B17" s="4" t="inlineStr">
        <is>
          <t>Count</t>
        </is>
      </c>
      <c r="C17" s="4" t="inlineStr">
        <is>
          <t>%</t>
        </is>
      </c>
      <c r="D17" s="4" t="inlineStr">
        <is>
          <t>Denominator</t>
        </is>
      </c>
      <c r="F17" s="4" t="inlineStr">
        <is>
          <t>Option</t>
        </is>
      </c>
      <c r="G17" s="2" t="str">
        <f>IF(All_Questions_Q_MS_EXPORT_CT="(None)","",IFERROR(INDEX(INDIRECT(IFERROR(INDEX(All_Questions_Options_Names,MATCH(All_Questions_Q_MS_EXPORT_CT,All_Questions,0)),"'_Options'!$E$2:$E$2")),2),""))</f>
        <v/>
      </c>
      <c r="H17" s="2" t="str">
        <f>IF(All_Questions_Q_MS_EXPORT_CT="(None)","",IFERROR(INDEX(INDIRECT(IFERROR(INDEX(All_Questions_Options_Names,MATCH(All_Questions_Q_MS_EXPORT_CT,All_Questions,0)),"'_Options'!$E$2:$E$2")),3),""))</f>
        <v/>
      </c>
      <c r="I17" s="2" t="str">
        <f>IF(All_Questions_Q_MS_EXPORT_CT="(None)","",IFERROR(INDEX(INDIRECT(IFERROR(INDEX(All_Questions_Options_Names,MATCH(All_Questions_Q_MS_EXPORT_CT,All_Questions,0)),"'_Options'!$E$2:$E$2")),4),""))</f>
        <v/>
      </c>
      <c r="J17" s="2" t="str">
        <f>IF(All_Questions_Q_MS_EXPORT_CT="(None)","",IFERROR(INDEX(INDIRECT(IFERROR(INDEX(All_Questions_Options_Names,MATCH(All_Questions_Q_MS_EXPORT_CT,All_Questions,0)),"'_Options'!$E$2:$E$2")),5),""))</f>
        <v/>
      </c>
      <c r="K17" s="2" t="str">
        <f>IF(All_Questions_Q_MS_EXPORT_CT="(None)","",IFERROR(INDEX(INDIRECT(IFERROR(INDEX(All_Questions_Options_Names,MATCH(All_Questions_Q_MS_EXPORT_CT,All_Questions,0)),"'_Options'!$E$2:$E$2")),6),""))</f>
        <v/>
      </c>
      <c r="L17" s="2" t="str">
        <f>IF(All_Questions_Q_MS_EXPORT_CT="(None)","",IFERROR(INDEX(INDIRECT(IFERROR(INDEX(All_Questions_Options_Names,MATCH(All_Questions_Q_MS_EXPORT_CT,All_Questions,0)),"'_Options'!$E$2:$E$2")),7),""))</f>
        <v/>
      </c>
      <c r="M17" s="2" t="str">
        <f>IF(All_Questions_Q_MS_EXPORT_CT="(None)","",IFERROR(INDEX(INDIRECT(IFERROR(INDEX(All_Questions_Options_Names,MATCH(All_Questions_Q_MS_EXPORT_CT,All_Questions,0)),"'_Options'!$E$2:$E$2")),8),""))</f>
        <v/>
      </c>
      <c r="N17" s="2" t="str">
        <f>IF(All_Questions_Q_MS_EXPORT_CT="(None)","",IFERROR(INDEX(INDIRECT(IFERROR(INDEX(All_Questions_Options_Names,MATCH(All_Questions_Q_MS_EXPORT_CT,All_Questions,0)),"'_Options'!$E$2:$E$2")),9),""))</f>
        <v/>
      </c>
      <c r="O17" s="2" t="str">
        <f>IF(All_Questions_Q_MS_EXPORT_CT="(None)","",IFERROR(INDEX(INDIRECT(IFERROR(INDEX(All_Questions_Options_Names,MATCH(All_Questions_Q_MS_EXPORT_CT,All_Questions,0)),"'_Options'!$E$2:$E$2")),10),""))</f>
        <v/>
      </c>
      <c r="P17" s="2" t="str">
        <f>IF(All_Questions_Q_MS_EXPORT_CT="(None)","",IFERROR(INDEX(INDIRECT(IFERROR(INDEX(All_Questions_Options_Names,MATCH(All_Questions_Q_MS_EXPORT_CT,All_Questions,0)),"'_Options'!$E$2:$E$2")),11),""))</f>
        <v/>
      </c>
      <c r="Q17" s="2" t="str">
        <f>IF(All_Questions_Q_MS_EXPORT_CT="(None)","",IFERROR(INDEX(INDIRECT(IFERROR(INDEX(All_Questions_Options_Names,MATCH(All_Questions_Q_MS_EXPORT_CT,All_Questions,0)),"'_Options'!$E$2:$E$2")),12),""))</f>
        <v/>
      </c>
      <c r="R17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17" s="4" t="inlineStr">
        <is>
          <t>Total</t>
        </is>
      </c>
    </row>
    <row r="18">
      <c r="A18" t="inlineStr">
        <is>
          <t>First</t>
        </is>
      </c>
      <c r="B18">
        <f>COUNTIFS(Q_MS_EXPORTr1_data,"Selected",passes_workbook_filters_data,1,passes_workbook_custom_filters_data,1,All_Questions_passes_local_filters_data,1,All_Questions_Q_MS_EXPORT_F_passes_per_q_filter_data,1)</f>
        <v>5</v>
      </c>
      <c r="C18" s="7">
        <f>IFERROR(B18/SUBTOTAL(9,B18:B19),0)</f>
        <v>0.7142857142857143</v>
      </c>
      <c r="D18" s="14">
        <f>SUBTOTAL(9,B18:B19)</f>
        <v>7</v>
      </c>
      <c r="F18" s="4" t="inlineStr"/>
      <c r="G18" s="4" t="inlineStr">
        <is>
          <t># of resp</t>
        </is>
      </c>
      <c r="H18" s="4" t="inlineStr">
        <is>
          <t># of resp</t>
        </is>
      </c>
      <c r="I18" s="4" t="inlineStr">
        <is>
          <t># of resp</t>
        </is>
      </c>
      <c r="J18" s="4" t="inlineStr">
        <is>
          <t># of resp</t>
        </is>
      </c>
      <c r="K18" s="4" t="inlineStr">
        <is>
          <t># of resp</t>
        </is>
      </c>
      <c r="L18" s="4" t="inlineStr">
        <is>
          <t># of resp</t>
        </is>
      </c>
      <c r="M18" s="4" t="inlineStr">
        <is>
          <t># of resp</t>
        </is>
      </c>
      <c r="N18" s="4" t="inlineStr">
        <is>
          <t># of resp</t>
        </is>
      </c>
      <c r="O18" s="4" t="inlineStr">
        <is>
          <t># of resp</t>
        </is>
      </c>
      <c r="P18" s="4" t="inlineStr">
        <is>
          <t># of resp</t>
        </is>
      </c>
      <c r="Q18" s="4" t="inlineStr">
        <is>
          <t># of resp</t>
        </is>
      </c>
      <c r="R18" s="4" t="inlineStr">
        <is>
          <t># of resp</t>
        </is>
      </c>
      <c r="S18" s="4" t="inlineStr">
        <is>
          <t># of resp</t>
        </is>
      </c>
    </row>
    <row r="19">
      <c r="A19" t="inlineStr">
        <is>
          <t>Second</t>
        </is>
      </c>
      <c r="B19">
        <f>COUNTIFS(Q_MS_EXPORTr2_data,"Selected",passes_workbook_filters_data,1,passes_workbook_custom_filters_data,1,All_Questions_passes_local_filters_data,1,All_Questions_Q_MS_EXPORT_F_passes_per_q_filter_data,1)</f>
        <v>2</v>
      </c>
      <c r="C19" s="7">
        <f>IFERROR(B19/SUBTOTAL(9,B18:B19),0)</f>
        <v>0.2857142857142857</v>
      </c>
      <c r="D19" s="14">
        <f>SUBTOTAL(9,B18:B19)</f>
        <v>7</v>
      </c>
      <c r="F19" t="inlineStr">
        <is>
          <t>First</t>
        </is>
      </c>
      <c r="G19">
        <f>IF(OR(All_Questions_Q_MS_EXPORT_CT="(None)",G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$17))</f>
        <v>0</v>
      </c>
      <c r="H19">
        <f>IF(OR(All_Questions_Q_MS_EXPORT_CT="(None)",H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$17))</f>
        <v>0</v>
      </c>
      <c r="I19">
        <f>IF(OR(All_Questions_Q_MS_EXPORT_CT="(None)",I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$17))</f>
        <v>0</v>
      </c>
      <c r="J19">
        <f>IF(OR(All_Questions_Q_MS_EXPORT_CT="(None)",J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$17))</f>
        <v>0</v>
      </c>
      <c r="K19">
        <f>IF(OR(All_Questions_Q_MS_EXPORT_CT="(None)",K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$17))</f>
        <v>0</v>
      </c>
      <c r="L19">
        <f>IF(OR(All_Questions_Q_MS_EXPORT_CT="(None)",L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$17))</f>
        <v>0</v>
      </c>
      <c r="M19">
        <f>IF(OR(All_Questions_Q_MS_EXPORT_CT="(None)",M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$17))</f>
        <v>0</v>
      </c>
      <c r="N19">
        <f>IF(OR(All_Questions_Q_MS_EXPORT_CT="(None)",N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$17))</f>
        <v>0</v>
      </c>
      <c r="O19">
        <f>IF(OR(All_Questions_Q_MS_EXPORT_CT="(None)",O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$17))</f>
        <v>0</v>
      </c>
      <c r="P19">
        <f>IF(OR(All_Questions_Q_MS_EXPORT_CT="(None)",P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$17))</f>
        <v>0</v>
      </c>
      <c r="Q19">
        <f>IF(OR(All_Questions_Q_MS_EXPORT_CT="(None)",Q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$17))</f>
        <v>0</v>
      </c>
      <c r="R19">
        <f>IF(OR(All_Questions_Q_MS_EXPORT_CT="(None)",R$17=""),"",IF(R$17="Other",COUNTIFS(Q_MS_EXPORTr1_data,"Selected",passes_workbook_filters_data,1,passes_workbook_custom_filters_data,1,All_Questions_passes_local_filters_data,1,All_Questions_Q_MS_EXPORT_F_passes_per_q_filter_data,1)-SUM(G19,H19,I19,J19,K19,L19,M19,N19,O19,P19,Q19)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$17)))</f>
        <v>0</v>
      </c>
      <c r="S19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0">
      <c r="A20" s="15" t="inlineStr">
        <is>
          <t>Total respondents</t>
        </is>
      </c>
      <c r="B20" s="15" t="n">
        <v>10</v>
      </c>
      <c r="C20" s="15" t="n"/>
      <c r="D20" s="15" t="n"/>
      <c r="F20" t="inlineStr">
        <is>
          <t>Second</t>
        </is>
      </c>
      <c r="G20">
        <f>IF(OR(All_Questions_Q_MS_EXPORT_CT="(None)",G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$17))</f>
        <v>0</v>
      </c>
      <c r="H20">
        <f>IF(OR(All_Questions_Q_MS_EXPORT_CT="(None)",H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$17))</f>
        <v>0</v>
      </c>
      <c r="I20">
        <f>IF(OR(All_Questions_Q_MS_EXPORT_CT="(None)",I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$17))</f>
        <v>0</v>
      </c>
      <c r="J20">
        <f>IF(OR(All_Questions_Q_MS_EXPORT_CT="(None)",J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$17))</f>
        <v>0</v>
      </c>
      <c r="K20">
        <f>IF(OR(All_Questions_Q_MS_EXPORT_CT="(None)",K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$17))</f>
        <v>0</v>
      </c>
      <c r="L20">
        <f>IF(OR(All_Questions_Q_MS_EXPORT_CT="(None)",L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$17))</f>
        <v>0</v>
      </c>
      <c r="M20">
        <f>IF(OR(All_Questions_Q_MS_EXPORT_CT="(None)",M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$17))</f>
        <v>0</v>
      </c>
      <c r="N20">
        <f>IF(OR(All_Questions_Q_MS_EXPORT_CT="(None)",N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$17))</f>
        <v>0</v>
      </c>
      <c r="O20">
        <f>IF(OR(All_Questions_Q_MS_EXPORT_CT="(None)",O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$17))</f>
        <v>0</v>
      </c>
      <c r="P20">
        <f>IF(OR(All_Questions_Q_MS_EXPORT_CT="(None)",P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$17))</f>
        <v>0</v>
      </c>
      <c r="Q20">
        <f>IF(OR(All_Questions_Q_MS_EXPORT_CT="(None)",Q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$17))</f>
        <v>0</v>
      </c>
      <c r="R20">
        <f>IF(OR(All_Questions_Q_MS_EXPORT_CT="(None)",R$17=""),"",IF(R$17="Other",COUNTIFS(Q_MS_EXPORTr2_data,"Selected",passes_workbook_filters_data,1,passes_workbook_custom_filters_data,1,All_Questions_passes_local_filters_data,1,All_Questions_Q_MS_EXPORT_F_passes_per_q_filter_data,1)-SUM(G20,H20,I20,J20,K20,L20,M20,N20,O20,P20,Q20)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$17)))</f>
        <v>0</v>
      </c>
      <c r="S20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21">
      <c r="A21" s="4" t="inlineStr">
        <is>
          <t>Total responses</t>
        </is>
      </c>
      <c r="B21" s="4" t="n">
        <v>7</v>
      </c>
      <c r="C21" s="4" t="n"/>
      <c r="D21" s="4" t="n"/>
      <c r="F21" s="4" t="inlineStr">
        <is>
          <t>Total respondents</t>
        </is>
      </c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23">
      <c r="A23" s="11" t="n"/>
      <c r="B23" s="11" t="n"/>
      <c r="C23" s="11" t="n"/>
      <c r="D23" s="11" t="n"/>
      <c r="E23" s="11" t="n"/>
      <c r="F23" s="11" t="n"/>
      <c r="G23" s="11" t="n"/>
      <c r="H23" s="11" t="n"/>
      <c r="I23" s="11" t="n"/>
      <c r="J23" s="11" t="n"/>
    </row>
    <row r="24">
      <c r="A24" s="12" t="inlineStr">
        <is>
          <t>Q_NUM_EXPORT - Numeric export question</t>
        </is>
      </c>
      <c r="B24" s="12" t="n"/>
      <c r="C24" s="12" t="n"/>
      <c r="D24" s="12" t="n"/>
      <c r="E24" s="12" t="n"/>
      <c r="F24" s="12" t="n"/>
      <c r="G24" s="12" t="n"/>
      <c r="H24" s="12" t="n"/>
      <c r="I24" s="12" t="n"/>
      <c r="J24" s="12" t="n"/>
      <c r="K24" s="12" t="n"/>
      <c r="L24" s="12" t="n"/>
      <c r="M24" s="12" t="n"/>
      <c r="N24" s="12" t="n"/>
    </row>
    <row r="25">
      <c r="A25" s="13" t="inlineStr">
        <is>
          <t>Per-question filter</t>
        </is>
      </c>
      <c r="B25" t="inlineStr">
        <is>
          <t>Filter Q</t>
        </is>
      </c>
      <c r="C25" t="inlineStr">
        <is>
          <t>(None)</t>
        </is>
      </c>
      <c r="D25" t="inlineStr">
        <is>
          <t>Value</t>
        </is>
      </c>
      <c r="E25" t="inlineStr">
        <is>
          <t>(All)</t>
        </is>
      </c>
      <c r="F25" t="str">
        <f>IFERROR(INDEX(All_Questions_Data_Names,MATCH(All_Questions_Q_NUM_EXPORT_F_Q,All_Questions,0)),"'_RawData'!$A:$A")</f>
        <v>respondent_id_data</v>
      </c>
      <c r="G25" t="str">
        <f>"|" &amp; SUBSTITUTE(All_Questions_Q_NUM_EXPORT_F_V, ", ", "|") &amp; "|"</f>
        <v>|(All)|</v>
      </c>
    </row>
    <row r="26">
      <c r="A26" s="13" t="inlineStr">
        <is>
          <t>Cross-tab by</t>
        </is>
      </c>
      <c r="C26" t="inlineStr">
        <is>
          <t>(None)</t>
        </is>
      </c>
    </row>
    <row r="28">
      <c r="A28" s="4" t="inlineStr">
        <is>
          <t>Metric</t>
        </is>
      </c>
      <c r="B28" s="4" t="inlineStr">
        <is>
          <t>Value</t>
        </is>
      </c>
      <c r="C28" s="4" t="inlineStr">
        <is>
          <t>Note</t>
        </is>
      </c>
      <c r="D28" s="4" t="inlineStr">
        <is>
          <t>Denominator</t>
        </is>
      </c>
    </row>
    <row r="29">
      <c r="A29" t="inlineStr">
        <is>
          <t>Mean</t>
        </is>
      </c>
      <c r="B29">
        <f>IFERROR(AVERAGEIFS(Q_NUM_EXPORT_data,passes_workbook_filters_data,1,passes_workbook_custom_filters_data,1,All_Questions_passes_local_filters_data,1,All_Questions_Q_NUM_EXPORT_F_passes_per_q_filter_data,1),0)</f>
        <v>5.5</v>
      </c>
      <c r="D29">
        <f>COUNTIFS(Q_NUM_EXPORT_data,"&lt;&gt;",passes_workbook_filters_data,1,passes_workbook_custom_filters_data,1,All_Questions_passes_local_filters_data,1,All_Questions_Q_NUM_EXPORT_F_passes_per_q_filter_data,1)</f>
        <v>10</v>
      </c>
    </row>
    <row r="30">
      <c r="A30" t="inlineStr">
        <is>
          <t>Min</t>
        </is>
      </c>
      <c r="B30">
        <f>IFERROR(MINIFS(Q_NUM_EXPORT_data,passes_workbook_filters_data,1,passes_workbook_custom_filters_data,1,All_Questions_passes_local_filters_data,1,All_Questions_Q_NUM_EXPORT_F_passes_per_q_filter_data,1),0)</f>
        <v>1.0</v>
      </c>
      <c r="D30">
        <f>COUNTIFS(Q_NUM_EXPORT_data,"&lt;&gt;",passes_workbook_filters_data,1,passes_workbook_custom_filters_data,1,All_Questions_passes_local_filters_data,1,All_Questions_Q_NUM_EXPORT_F_passes_per_q_filter_data,1)</f>
        <v>10</v>
      </c>
    </row>
    <row r="31">
      <c r="A31" t="inlineStr">
        <is>
          <t>Max</t>
        </is>
      </c>
      <c r="B31">
        <f>IFERROR(MAXIFS(Q_NUM_EXPORT_data,passes_workbook_filters_data,1,passes_workbook_custom_filters_data,1,All_Questions_passes_local_filters_data,1,All_Questions_Q_NUM_EXPORT_F_passes_per_q_filter_data,1),0)</f>
        <v>10.0</v>
      </c>
      <c r="D31">
        <f>COUNTIFS(Q_NUM_EXPORT_data,"&lt;&gt;",passes_workbook_filters_data,1,passes_workbook_custom_filters_data,1,All_Questions_passes_local_filters_data,1,All_Questions_Q_NUM_EXPORT_F_passes_per_q_filter_data,1)</f>
        <v>10</v>
      </c>
    </row>
    <row r="32">
      <c r="A32" t="inlineStr">
        <is>
          <t>Std</t>
        </is>
      </c>
      <c r="B32" t="n">
        <v>2.9</v>
      </c>
      <c r="C32" t="inlineStr">
        <is>
          <t>static baseline</t>
        </is>
      </c>
      <c r="D32">
        <f>COUNTIFS(Q_NUM_EXPORT_data,"&lt;&gt;",passes_workbook_filters_data,1,passes_workbook_custom_filters_data,1,All_Questions_passes_local_filters_data,1,All_Questions_Q_NUM_EXPORT_F_passes_per_q_filter_data,1)</f>
        <v>10</v>
      </c>
    </row>
    <row r="33">
      <c r="A33" s="10" t="inlineStr">
        <is>
          <t>Median not available in filtered view - see static baseline in audit log.</t>
        </is>
      </c>
    </row>
    <row r="35">
      <c r="A35" s="11" t="n"/>
      <c r="B35" s="11" t="n"/>
      <c r="C35" s="11" t="n"/>
      <c r="D35" s="11" t="n"/>
      <c r="E35" s="11" t="n"/>
      <c r="F35" s="11" t="n"/>
      <c r="G35" s="11" t="n"/>
      <c r="H35" s="11" t="n"/>
      <c r="I35" s="11" t="n"/>
      <c r="J35" s="11" t="n"/>
    </row>
    <row r="36">
      <c r="A36" s="12" t="inlineStr">
        <is>
          <t>Q_GRID_EXPORT - Grid export question</t>
        </is>
      </c>
      <c r="B36" s="12" t="n"/>
      <c r="C36" s="12" t="n"/>
      <c r="D36" s="12" t="n"/>
      <c r="E36" s="12" t="n"/>
      <c r="F36" s="12" t="n"/>
      <c r="G36" s="12" t="n"/>
      <c r="H36" s="12" t="n"/>
      <c r="I36" s="12" t="n"/>
      <c r="J36" s="12" t="n"/>
      <c r="K36" s="12" t="n"/>
      <c r="L36" s="12" t="n"/>
      <c r="M36" s="12" t="n"/>
      <c r="N36" s="12" t="n"/>
    </row>
    <row r="37">
      <c r="A37" s="13" t="inlineStr">
        <is>
          <t>Per-question filter</t>
        </is>
      </c>
      <c r="B37" t="inlineStr">
        <is>
          <t>Filter Q</t>
        </is>
      </c>
      <c r="C37" t="inlineStr">
        <is>
          <t>(None)</t>
        </is>
      </c>
      <c r="D37" t="inlineStr">
        <is>
          <t>Value</t>
        </is>
      </c>
      <c r="E37" t="inlineStr">
        <is>
          <t>(All)</t>
        </is>
      </c>
      <c r="F37" t="str">
        <f>IFERROR(INDEX(All_Questions_Data_Names,MATCH(All_Questions_Q_GRID_EXPORT_F_Q,All_Questions,0)),"'_RawData'!$A:$A")</f>
        <v>respondent_id_data</v>
      </c>
      <c r="G37" t="str">
        <f>"|" &amp; SUBSTITUTE(All_Questions_Q_GRID_EXPORT_F_V, ", ", "|") &amp; "|"</f>
        <v>|(All)|</v>
      </c>
    </row>
    <row r="38">
      <c r="A38" s="13" t="inlineStr">
        <is>
          <t>Cross-tab by</t>
        </is>
      </c>
      <c r="C38" t="inlineStr">
        <is>
          <t>(None)</t>
        </is>
      </c>
    </row>
    <row r="40">
      <c r="A40" s="4" t="inlineStr">
        <is>
          <t>Option</t>
        </is>
      </c>
      <c r="B40" s="4" t="inlineStr">
        <is>
          <t>Count</t>
        </is>
      </c>
      <c r="C40" s="4" t="inlineStr">
        <is>
          <t>%</t>
        </is>
      </c>
      <c r="D40" s="4" t="inlineStr">
        <is>
          <t>Denominator</t>
        </is>
      </c>
      <c r="F40" s="4" t="inlineStr">
        <is>
          <t>Option</t>
        </is>
      </c>
      <c r="G40" s="2" t="str">
        <f>IF(All_Questions_Q_GRID_EXPORT_CT="(None)","",IFERROR(INDEX(INDIRECT(IFERROR(INDEX(All_Questions_Options_Names,MATCH(All_Questions_Q_GRID_EXPORT_CT,All_Questions,0)),"'_Options'!$E$2:$E$2")),2),""))</f>
        <v/>
      </c>
      <c r="H40" s="2" t="str">
        <f>IF(All_Questions_Q_GRID_EXPORT_CT="(None)","",IFERROR(INDEX(INDIRECT(IFERROR(INDEX(All_Questions_Options_Names,MATCH(All_Questions_Q_GRID_EXPORT_CT,All_Questions,0)),"'_Options'!$E$2:$E$2")),3),""))</f>
        <v/>
      </c>
      <c r="I40" s="2" t="str">
        <f>IF(All_Questions_Q_GRID_EXPORT_CT="(None)","",IFERROR(INDEX(INDIRECT(IFERROR(INDEX(All_Questions_Options_Names,MATCH(All_Questions_Q_GRID_EXPORT_CT,All_Questions,0)),"'_Options'!$E$2:$E$2")),4),""))</f>
        <v/>
      </c>
      <c r="J40" s="2" t="str">
        <f>IF(All_Questions_Q_GRID_EXPORT_CT="(None)","",IFERROR(INDEX(INDIRECT(IFERROR(INDEX(All_Questions_Options_Names,MATCH(All_Questions_Q_GRID_EXPORT_CT,All_Questions,0)),"'_Options'!$E$2:$E$2")),5),""))</f>
        <v/>
      </c>
      <c r="K40" s="2" t="str">
        <f>IF(All_Questions_Q_GRID_EXPORT_CT="(None)","",IFERROR(INDEX(INDIRECT(IFERROR(INDEX(All_Questions_Options_Names,MATCH(All_Questions_Q_GRID_EXPORT_CT,All_Questions,0)),"'_Options'!$E$2:$E$2")),6),""))</f>
        <v/>
      </c>
      <c r="L40" s="2" t="str">
        <f>IF(All_Questions_Q_GRID_EXPORT_CT="(None)","",IFERROR(INDEX(INDIRECT(IFERROR(INDEX(All_Questions_Options_Names,MATCH(All_Questions_Q_GRID_EXPORT_CT,All_Questions,0)),"'_Options'!$E$2:$E$2")),7),""))</f>
        <v/>
      </c>
      <c r="M40" s="2" t="str">
        <f>IF(All_Questions_Q_GRID_EXPORT_CT="(None)","",IFERROR(INDEX(INDIRECT(IFERROR(INDEX(All_Questions_Options_Names,MATCH(All_Questions_Q_GRID_EXPORT_CT,All_Questions,0)),"'_Options'!$E$2:$E$2")),8),""))</f>
        <v/>
      </c>
      <c r="N40" s="2" t="str">
        <f>IF(All_Questions_Q_GRID_EXPORT_CT="(None)","",IFERROR(INDEX(INDIRECT(IFERROR(INDEX(All_Questions_Options_Names,MATCH(All_Questions_Q_GRID_EXPORT_CT,All_Questions,0)),"'_Options'!$E$2:$E$2")),9),""))</f>
        <v/>
      </c>
      <c r="O40" s="2" t="str">
        <f>IF(All_Questions_Q_GRID_EXPORT_CT="(None)","",IFERROR(INDEX(INDIRECT(IFERROR(INDEX(All_Questions_Options_Names,MATCH(All_Questions_Q_GRID_EXPORT_CT,All_Questions,0)),"'_Options'!$E$2:$E$2")),10),""))</f>
        <v/>
      </c>
      <c r="P40" s="2" t="str">
        <f>IF(All_Questions_Q_GRID_EXPORT_CT="(None)","",IFERROR(INDEX(INDIRECT(IFERROR(INDEX(All_Questions_Options_Names,MATCH(All_Questions_Q_GRID_EXPORT_CT,All_Questions,0)),"'_Options'!$E$2:$E$2")),11),""))</f>
        <v/>
      </c>
      <c r="Q40" s="2" t="str">
        <f>IF(All_Questions_Q_GRID_EXPORT_CT="(None)","",IFERROR(INDEX(INDIRECT(IFERROR(INDEX(All_Questions_Options_Names,MATCH(All_Questions_Q_GRID_EXPORT_CT,All_Questions,0)),"'_Options'!$E$2:$E$2")),12),""))</f>
        <v/>
      </c>
      <c r="R40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0" s="4" t="inlineStr">
        <is>
          <t>Total</t>
        </is>
      </c>
    </row>
    <row r="41">
      <c r="A41" t="inlineStr">
        <is>
          <t>Grid first row</t>
        </is>
      </c>
      <c r="B41">
        <f>COUNTIFS(Q_GRID_EXPORTr1_data,"Selected",passes_workbook_filters_data,1,passes_workbook_custom_filters_data,1,All_Questions_passes_local_filters_data,1,All_Questions_Q_GRID_EXPORT_F_passes_per_q_filter_data,1)</f>
        <v>10</v>
      </c>
      <c r="C41" s="7">
        <f>IFERROR(B41/SUBTOTAL(9,B41:B42),0)</f>
        <v>0.5</v>
      </c>
      <c r="D41" s="14">
        <f>SUBTOTAL(9,B41:B42)</f>
        <v>20</v>
      </c>
      <c r="F41" s="4" t="inlineStr"/>
      <c r="G41" s="4" t="inlineStr">
        <is>
          <t># of resp</t>
        </is>
      </c>
      <c r="H41" s="4" t="inlineStr">
        <is>
          <t># of resp</t>
        </is>
      </c>
      <c r="I41" s="4" t="inlineStr">
        <is>
          <t># of resp</t>
        </is>
      </c>
      <c r="J41" s="4" t="inlineStr">
        <is>
          <t># of resp</t>
        </is>
      </c>
      <c r="K41" s="4" t="inlineStr">
        <is>
          <t># of resp</t>
        </is>
      </c>
      <c r="L41" s="4" t="inlineStr">
        <is>
          <t># of resp</t>
        </is>
      </c>
      <c r="M41" s="4" t="inlineStr">
        <is>
          <t># of resp</t>
        </is>
      </c>
      <c r="N41" s="4" t="inlineStr">
        <is>
          <t># of resp</t>
        </is>
      </c>
      <c r="O41" s="4" t="inlineStr">
        <is>
          <t># of resp</t>
        </is>
      </c>
      <c r="P41" s="4" t="inlineStr">
        <is>
          <t># of resp</t>
        </is>
      </c>
      <c r="Q41" s="4" t="inlineStr">
        <is>
          <t># of resp</t>
        </is>
      </c>
      <c r="R41" s="4" t="inlineStr">
        <is>
          <t># of resp</t>
        </is>
      </c>
      <c r="S41" s="4" t="inlineStr">
        <is>
          <t># of resp</t>
        </is>
      </c>
    </row>
    <row r="42">
      <c r="A42" t="inlineStr">
        <is>
          <t>Grid second row</t>
        </is>
      </c>
      <c r="B42">
        <f>COUNTIFS(Q_GRID_EXPORTr2_data,"Selected",passes_workbook_filters_data,1,passes_workbook_custom_filters_data,1,All_Questions_passes_local_filters_data,1,All_Questions_Q_GRID_EXPORT_F_passes_per_q_filter_data,1)</f>
        <v>10</v>
      </c>
      <c r="C42" s="7">
        <f>IFERROR(B42/SUBTOTAL(9,B41:B42),0)</f>
        <v>0.5</v>
      </c>
      <c r="D42" s="14">
        <f>SUBTOTAL(9,B41:B42)</f>
        <v>20</v>
      </c>
      <c r="F42" t="inlineStr">
        <is>
          <t>Grid first row</t>
        </is>
      </c>
      <c r="G42">
        <f>IF(OR(All_Questions_Q_GRID_EXPORT_CT="(None)",G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$40))</f>
        <v>0</v>
      </c>
      <c r="H42">
        <f>IF(OR(All_Questions_Q_GRID_EXPORT_CT="(None)",H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$40))</f>
        <v>0</v>
      </c>
      <c r="I42">
        <f>IF(OR(All_Questions_Q_GRID_EXPORT_CT="(None)",I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$40))</f>
        <v>0</v>
      </c>
      <c r="J42">
        <f>IF(OR(All_Questions_Q_GRID_EXPORT_CT="(None)",J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$40))</f>
        <v>0</v>
      </c>
      <c r="K42">
        <f>IF(OR(All_Questions_Q_GRID_EXPORT_CT="(None)",K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$40))</f>
        <v>0</v>
      </c>
      <c r="L42">
        <f>IF(OR(All_Questions_Q_GRID_EXPORT_CT="(None)",L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$40))</f>
        <v>0</v>
      </c>
      <c r="M42">
        <f>IF(OR(All_Questions_Q_GRID_EXPORT_CT="(None)",M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$40))</f>
        <v>0</v>
      </c>
      <c r="N42">
        <f>IF(OR(All_Questions_Q_GRID_EXPORT_CT="(None)",N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$40))</f>
        <v>0</v>
      </c>
      <c r="O42">
        <f>IF(OR(All_Questions_Q_GRID_EXPORT_CT="(None)",O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$40))</f>
        <v>0</v>
      </c>
      <c r="P42">
        <f>IF(OR(All_Questions_Q_GRID_EXPORT_CT="(None)",P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$40))</f>
        <v>0</v>
      </c>
      <c r="Q42">
        <f>IF(OR(All_Questions_Q_GRID_EXPORT_CT="(None)",Q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$40))</f>
        <v>0</v>
      </c>
      <c r="R42">
        <f>IF(OR(All_Questions_Q_GRID_EXPORT_CT="(None)",R$40=""),"",IF(R$40="Other",COUNTIFS(Q_GRID_EXPORTr1_data,"Selected",passes_workbook_filters_data,1,passes_workbook_custom_filters_data,1,All_Questions_passes_local_filters_data,1,All_Questions_Q_GRID_EXPORT_F_passes_per_q_filter_data,1)-SUM(G42,H42,I42,J42,K42,L42,M42,N42,O42,P42,Q42)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$40)))</f>
        <v>0</v>
      </c>
      <c r="S42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43">
      <c r="A43" s="15" t="inlineStr">
        <is>
          <t>Total respondents</t>
        </is>
      </c>
      <c r="B43" s="15" t="n">
        <v>10</v>
      </c>
      <c r="C43" s="15" t="n"/>
      <c r="D43" s="15" t="n"/>
      <c r="F43" t="inlineStr">
        <is>
          <t>Grid second row</t>
        </is>
      </c>
      <c r="G43">
        <f>IF(OR(All_Questions_Q_GRID_EXPORT_CT="(None)",G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$40))</f>
        <v>0</v>
      </c>
      <c r="H43">
        <f>IF(OR(All_Questions_Q_GRID_EXPORT_CT="(None)",H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$40))</f>
        <v>0</v>
      </c>
      <c r="I43">
        <f>IF(OR(All_Questions_Q_GRID_EXPORT_CT="(None)",I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$40))</f>
        <v>0</v>
      </c>
      <c r="J43">
        <f>IF(OR(All_Questions_Q_GRID_EXPORT_CT="(None)",J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$40))</f>
        <v>0</v>
      </c>
      <c r="K43">
        <f>IF(OR(All_Questions_Q_GRID_EXPORT_CT="(None)",K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$40))</f>
        <v>0</v>
      </c>
      <c r="L43">
        <f>IF(OR(All_Questions_Q_GRID_EXPORT_CT="(None)",L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$40))</f>
        <v>0</v>
      </c>
      <c r="M43">
        <f>IF(OR(All_Questions_Q_GRID_EXPORT_CT="(None)",M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$40))</f>
        <v>0</v>
      </c>
      <c r="N43">
        <f>IF(OR(All_Questions_Q_GRID_EXPORT_CT="(None)",N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$40))</f>
        <v>0</v>
      </c>
      <c r="O43">
        <f>IF(OR(All_Questions_Q_GRID_EXPORT_CT="(None)",O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$40))</f>
        <v>0</v>
      </c>
      <c r="P43">
        <f>IF(OR(All_Questions_Q_GRID_EXPORT_CT="(None)",P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$40))</f>
        <v>0</v>
      </c>
      <c r="Q43">
        <f>IF(OR(All_Questions_Q_GRID_EXPORT_CT="(None)",Q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$40))</f>
        <v>0</v>
      </c>
      <c r="R43">
        <f>IF(OR(All_Questions_Q_GRID_EXPORT_CT="(None)",R$40=""),"",IF(R$40="Other",COUNTIFS(Q_GRID_EXPORTr2_data,"Selected",passes_workbook_filters_data,1,passes_workbook_custom_filters_data,1,All_Questions_passes_local_filters_data,1,All_Questions_Q_GRID_EXPORT_F_passes_per_q_filter_data,1)-SUM(G43,H43,I43,J43,K43,L43,M43,N43,O43,P43,Q43)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$40)))</f>
        <v>0</v>
      </c>
      <c r="S43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44">
      <c r="A44" s="4" t="inlineStr">
        <is>
          <t>Total responses</t>
        </is>
      </c>
      <c r="B44" s="4" t="n">
        <v>20</v>
      </c>
      <c r="C44" s="4" t="n"/>
      <c r="D44" s="4" t="n"/>
      <c r="F44" s="4" t="inlineStr">
        <is>
          <t>Total respondents</t>
        </is>
      </c>
      <c r="G44" s="2" t="n"/>
      <c r="H44" s="2" t="n"/>
      <c r="I44" s="2" t="n"/>
      <c r="J44" s="2" t="n"/>
      <c r="K44" s="2" t="n"/>
      <c r="L44" s="2" t="n"/>
      <c r="M44" s="2" t="n"/>
      <c r="N44" s="2" t="n"/>
      <c r="O44" s="2" t="n"/>
      <c r="P44" s="2" t="n"/>
      <c r="Q44" s="2" t="n"/>
      <c r="R44" s="2" t="n"/>
      <c r="S44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46">
      <c r="A46" s="11" t="n"/>
      <c r="B46" s="11" t="n"/>
      <c r="C46" s="11" t="n"/>
      <c r="D46" s="11" t="n"/>
      <c r="E46" s="11" t="n"/>
      <c r="F46" s="11" t="n"/>
      <c r="G46" s="11" t="n"/>
      <c r="H46" s="11" t="n"/>
      <c r="I46" s="11" t="n"/>
      <c r="J46" s="11" t="n"/>
    </row>
    <row r="47">
      <c r="A47" s="12" t="inlineStr">
        <is>
          <t>Q_VERY_LONG_SINGLE_SELECT_EXPORT_NAME - Long sheet name export question</t>
        </is>
      </c>
      <c r="B47" s="12" t="n"/>
      <c r="C47" s="12" t="n"/>
      <c r="D47" s="12" t="n"/>
      <c r="E47" s="12" t="n"/>
      <c r="F47" s="12" t="n"/>
      <c r="G47" s="12" t="n"/>
      <c r="H47" s="12" t="n"/>
      <c r="I47" s="12" t="n"/>
      <c r="J47" s="12" t="n"/>
      <c r="K47" s="12" t="n"/>
      <c r="L47" s="12" t="n"/>
      <c r="M47" s="12" t="n"/>
      <c r="N47" s="12" t="n"/>
    </row>
    <row r="48">
      <c r="A48" s="13" t="inlineStr">
        <is>
          <t>Per-question filter</t>
        </is>
      </c>
      <c r="B48" t="inlineStr">
        <is>
          <t>Filter Q</t>
        </is>
      </c>
      <c r="C48" t="inlineStr">
        <is>
          <t>(None)</t>
        </is>
      </c>
      <c r="D48" t="inlineStr">
        <is>
          <t>Value</t>
        </is>
      </c>
      <c r="E48" t="inlineStr">
        <is>
          <t>(All)</t>
        </is>
      </c>
      <c r="F48" t="str">
        <f>IFERROR(INDEX(All_Questions_Data_Names,MATCH(All_Questions_Q_VERY_LONG_SINGLE_SELECT_EXPORT_NAME_F_Q,All_Questions,0)),"'_RawData'!$A:$A")</f>
        <v>respondent_id_data</v>
      </c>
      <c r="G48" t="str">
        <f>"|" &amp; SUBSTITUTE(All_Questions_Q_VERY_LONG_SINGLE_SELECT_EXPORT_NAME_F_V, ", ", "|") &amp; "|"</f>
        <v>|(All)|</v>
      </c>
    </row>
    <row r="49">
      <c r="A49" s="13" t="inlineStr">
        <is>
          <t>Cross-tab by</t>
        </is>
      </c>
      <c r="C49" t="inlineStr">
        <is>
          <t>(None)</t>
        </is>
      </c>
    </row>
    <row r="51">
      <c r="A51" s="4" t="inlineStr">
        <is>
          <t>Option</t>
        </is>
      </c>
      <c r="B51" s="4" t="inlineStr">
        <is>
          <t>Count</t>
        </is>
      </c>
      <c r="C51" s="4" t="inlineStr">
        <is>
          <t>%</t>
        </is>
      </c>
      <c r="D51" s="4" t="inlineStr">
        <is>
          <t>Denominator</t>
        </is>
      </c>
      <c r="F51" s="4" t="inlineStr">
        <is>
          <t>Option</t>
        </is>
      </c>
      <c r="G51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51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51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51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51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51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51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51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51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51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51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51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51" s="4" t="inlineStr">
        <is>
          <t>Total</t>
        </is>
      </c>
    </row>
    <row r="52">
      <c r="A52" t="inlineStr">
        <is>
          <t>A</t>
        </is>
      </c>
      <c r="B52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52" s="7">
        <f>IFERROR(B52/SUBTOTAL(9,B52:B53),0)</f>
        <v>0.7</v>
      </c>
      <c r="D52" s="14">
        <f>SUBTOTAL(9,B52:B53)</f>
        <v>10</v>
      </c>
      <c r="F52" s="4" t="inlineStr"/>
      <c r="G52" s="4" t="inlineStr">
        <is>
          <t># of resp</t>
        </is>
      </c>
      <c r="H52" s="4" t="inlineStr">
        <is>
          <t># of resp</t>
        </is>
      </c>
      <c r="I52" s="4" t="inlineStr">
        <is>
          <t># of resp</t>
        </is>
      </c>
      <c r="J52" s="4" t="inlineStr">
        <is>
          <t># of resp</t>
        </is>
      </c>
      <c r="K52" s="4" t="inlineStr">
        <is>
          <t># of resp</t>
        </is>
      </c>
      <c r="L52" s="4" t="inlineStr">
        <is>
          <t># of resp</t>
        </is>
      </c>
      <c r="M52" s="4" t="inlineStr">
        <is>
          <t># of resp</t>
        </is>
      </c>
      <c r="N52" s="4" t="inlineStr">
        <is>
          <t># of resp</t>
        </is>
      </c>
      <c r="O52" s="4" t="inlineStr">
        <is>
          <t># of resp</t>
        </is>
      </c>
      <c r="P52" s="4" t="inlineStr">
        <is>
          <t># of resp</t>
        </is>
      </c>
      <c r="Q52" s="4" t="inlineStr">
        <is>
          <t># of resp</t>
        </is>
      </c>
      <c r="R52" s="4" t="inlineStr">
        <is>
          <t># of resp</t>
        </is>
      </c>
      <c r="S52" s="4" t="inlineStr">
        <is>
          <t># of resp</t>
        </is>
      </c>
    </row>
    <row r="53">
      <c r="A53" t="inlineStr">
        <is>
          <t>B</t>
        </is>
      </c>
      <c r="B53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53" s="7">
        <f>IFERROR(B53/SUBTOTAL(9,B52:B53),0)</f>
        <v>0.3</v>
      </c>
      <c r="D53" s="14">
        <f>SUBTOTAL(9,B52:B53)</f>
        <v>10</v>
      </c>
      <c r="F53" t="inlineStr">
        <is>
          <t>A</t>
        </is>
      </c>
      <c r="G53">
        <f>IF(OR(All_Questions_Q_VERY_LONG_SINGLE_SELECT_EXPORT_NAME_CT="(None)",G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$51))</f>
        <v>0</v>
      </c>
      <c r="H53">
        <f>IF(OR(All_Questions_Q_VERY_LONG_SINGLE_SELECT_EXPORT_NAME_CT="(None)",H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$51))</f>
        <v>0</v>
      </c>
      <c r="I53">
        <f>IF(OR(All_Questions_Q_VERY_LONG_SINGLE_SELECT_EXPORT_NAME_CT="(None)",I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$51))</f>
        <v>0</v>
      </c>
      <c r="J53">
        <f>IF(OR(All_Questions_Q_VERY_LONG_SINGLE_SELECT_EXPORT_NAME_CT="(None)",J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$51))</f>
        <v>0</v>
      </c>
      <c r="K53">
        <f>IF(OR(All_Questions_Q_VERY_LONG_SINGLE_SELECT_EXPORT_NAME_CT="(None)",K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$51))</f>
        <v>0</v>
      </c>
      <c r="L53">
        <f>IF(OR(All_Questions_Q_VERY_LONG_SINGLE_SELECT_EXPORT_NAME_CT="(None)",L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$51))</f>
        <v>0</v>
      </c>
      <c r="M53">
        <f>IF(OR(All_Questions_Q_VERY_LONG_SINGLE_SELECT_EXPORT_NAME_CT="(None)",M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$51))</f>
        <v>0</v>
      </c>
      <c r="N53">
        <f>IF(OR(All_Questions_Q_VERY_LONG_SINGLE_SELECT_EXPORT_NAME_CT="(None)",N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$51))</f>
        <v>0</v>
      </c>
      <c r="O53">
        <f>IF(OR(All_Questions_Q_VERY_LONG_SINGLE_SELECT_EXPORT_NAME_CT="(None)",O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$51))</f>
        <v>0</v>
      </c>
      <c r="P53">
        <f>IF(OR(All_Questions_Q_VERY_LONG_SINGLE_SELECT_EXPORT_NAME_CT="(None)",P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$51))</f>
        <v>0</v>
      </c>
      <c r="Q53">
        <f>IF(OR(All_Questions_Q_VERY_LONG_SINGLE_SELECT_EXPORT_NAME_CT="(None)",Q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$51))</f>
        <v>0</v>
      </c>
      <c r="R53">
        <f>IF(OR(All_Questions_Q_VERY_LONG_SINGLE_SELECT_EXPORT_NAME_CT="(None)",R$51=""),"",IF(R$51="Other",COUNTIFS(Q_VERY_LONG_SINGLE_SELECT_EXPOR_data,"A",passes_workbook_filters_data,1,passes_workbook_custom_filters_data,1,All_Questions_passes_local_filters_data,1,All_Questions_Q_VERY_LONG_SINGLE_SELECT_EXPORT_NAME_F_passes_per_q_filter_data,1)-SUM(G53,H53,I53,J53,K53,L53,M53,N53,O53,P53,Q53)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$51)))</f>
        <v>0</v>
      </c>
      <c r="S53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54">
      <c r="A54" s="15" t="inlineStr">
        <is>
          <t>Total respondents</t>
        </is>
      </c>
      <c r="B54" s="15" t="n">
        <v>10</v>
      </c>
      <c r="C54" s="15" t="n"/>
      <c r="D54" s="15" t="n"/>
      <c r="F54" t="inlineStr">
        <is>
          <t>B</t>
        </is>
      </c>
      <c r="G54">
        <f>IF(OR(All_Questions_Q_VERY_LONG_SINGLE_SELECT_EXPORT_NAME_CT="(None)",G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$51))</f>
        <v>0</v>
      </c>
      <c r="H54">
        <f>IF(OR(All_Questions_Q_VERY_LONG_SINGLE_SELECT_EXPORT_NAME_CT="(None)",H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$51))</f>
        <v>0</v>
      </c>
      <c r="I54">
        <f>IF(OR(All_Questions_Q_VERY_LONG_SINGLE_SELECT_EXPORT_NAME_CT="(None)",I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$51))</f>
        <v>0</v>
      </c>
      <c r="J54">
        <f>IF(OR(All_Questions_Q_VERY_LONG_SINGLE_SELECT_EXPORT_NAME_CT="(None)",J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$51))</f>
        <v>0</v>
      </c>
      <c r="K54">
        <f>IF(OR(All_Questions_Q_VERY_LONG_SINGLE_SELECT_EXPORT_NAME_CT="(None)",K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$51))</f>
        <v>0</v>
      </c>
      <c r="L54">
        <f>IF(OR(All_Questions_Q_VERY_LONG_SINGLE_SELECT_EXPORT_NAME_CT="(None)",L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$51))</f>
        <v>0</v>
      </c>
      <c r="M54">
        <f>IF(OR(All_Questions_Q_VERY_LONG_SINGLE_SELECT_EXPORT_NAME_CT="(None)",M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$51))</f>
        <v>0</v>
      </c>
      <c r="N54">
        <f>IF(OR(All_Questions_Q_VERY_LONG_SINGLE_SELECT_EXPORT_NAME_CT="(None)",N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$51))</f>
        <v>0</v>
      </c>
      <c r="O54">
        <f>IF(OR(All_Questions_Q_VERY_LONG_SINGLE_SELECT_EXPORT_NAME_CT="(None)",O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$51))</f>
        <v>0</v>
      </c>
      <c r="P54">
        <f>IF(OR(All_Questions_Q_VERY_LONG_SINGLE_SELECT_EXPORT_NAME_CT="(None)",P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$51))</f>
        <v>0</v>
      </c>
      <c r="Q54">
        <f>IF(OR(All_Questions_Q_VERY_LONG_SINGLE_SELECT_EXPORT_NAME_CT="(None)",Q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$51))</f>
        <v>0</v>
      </c>
      <c r="R54">
        <f>IF(OR(All_Questions_Q_VERY_LONG_SINGLE_SELECT_EXPORT_NAME_CT="(None)",R$51=""),"",IF(R$51="Other",COUNTIFS(Q_VERY_LONG_SINGLE_SELECT_EXPOR_data,"B",passes_workbook_filters_data,1,passes_workbook_custom_filters_data,1,All_Questions_passes_local_filters_data,1,All_Questions_Q_VERY_LONG_SINGLE_SELECT_EXPORT_NAME_F_passes_per_q_filter_data,1)-SUM(G54,H54,I54,J54,K54,L54,M54,N54,O54,P54,Q54)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$51)))</f>
        <v>0</v>
      </c>
      <c r="S54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55">
      <c r="F55" s="4" t="inlineStr">
        <is>
          <t>Total respondents</t>
        </is>
      </c>
      <c r="G55" s="2" t="n"/>
      <c r="H55" s="2" t="n"/>
      <c r="I55" s="2" t="n"/>
      <c r="J55" s="2" t="n"/>
      <c r="K55" s="2" t="n"/>
      <c r="L55" s="2" t="n"/>
      <c r="M55" s="2" t="n"/>
      <c r="N55" s="2" t="n"/>
      <c r="O55" s="2" t="n"/>
      <c r="P55" s="2" t="n"/>
      <c r="Q55" s="2" t="n"/>
      <c r="R55" s="2" t="n"/>
      <c r="S55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8:B19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8:C19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9:G20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9:H20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9:I20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9:J20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9:K20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9:L20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9:M20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9:N20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9:O20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9:P20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9:Q20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9:R20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1:B42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1:C42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2:G43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42:H43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42:I43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42:J43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42:K43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42:L43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42:M43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42:N43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42:O43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42:P43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42:Q43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42:R43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2:B53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2:C53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3:G54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3:H54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3:I54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3:J54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3:K54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3:L54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3:M54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3:N54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3:O54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3:P54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3:Q54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3:R54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7">
    <dataValidation sqref="B5" showDropDown="0" showInputMessage="0" showErrorMessage="0" allowBlank="1" type="list">
      <formula1>=Q_SS_EXPORT_local_options</formula1>
    </dataValidation>
    <dataValidation sqref="B6" showDropDown="0" showInputMessage="0" showErrorMessage="0" allowBlank="1" type="list">
      <formula1>=All_Questions_Local</formula1>
    </dataValidation>
    <dataValidation sqref="B7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8" showDropDown="0" showInputMessage="0" showErrorMessage="0" allowBlank="1" type="list">
      <formula1>=All_Questions_Local</formula1>
    </dataValidation>
    <dataValidation sqref="B9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E14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15" showDropDown="0" showInputMessage="0" showErrorMessage="0" allowBlank="1" type="list">
      <formula1>=All_Questions</formula1>
    </dataValidation>
    <dataValidation sqref="C25" showDropDown="0" showInputMessage="0" showErrorMessage="0" allowBlank="1" type="list">
      <formula1>=All_Questions</formula1>
    </dataValidation>
    <dataValidation sqref="E25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26" showDropDown="0" showInputMessage="0" showErrorMessage="0" allowBlank="1" type="list">
      <formula1>=All_Questions</formula1>
    </dataValidation>
    <dataValidation sqref="C37" showDropDown="0" showInputMessage="0" showErrorMessage="0" allowBlank="1" type="list">
      <formula1>=All_Questions</formula1>
    </dataValidation>
    <dataValidation sqref="E37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38" showDropDown="0" showInputMessage="0" showErrorMessage="0" allowBlank="1" type="list">
      <formula1>=All_Questions</formula1>
    </dataValidation>
    <dataValidation sqref="C48" showDropDown="0" showInputMessage="0" showErrorMessage="0" allowBlank="1" type="list">
      <formula1>=All_Questions</formula1>
    </dataValidation>
    <dataValidation sqref="E48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49" showDropDown="0" showInputMessage="0" showErrorMessage="0" allowBlank="1" type="list">
      <formula1>=All_Questions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4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2026-05-19T05:46:45Z</dcterms:created>
  <dcterms:modified xmlns:dcterms="http://purl.org/dc/terms/" xmlns:xsi="http://www.w3.org/2001/XMLSchema-instance" xsi:type="dcterms:W3CDTF">2026-05-19T05:46:45Z</dcterms:modified>
</cp:coreProperties>
</file>