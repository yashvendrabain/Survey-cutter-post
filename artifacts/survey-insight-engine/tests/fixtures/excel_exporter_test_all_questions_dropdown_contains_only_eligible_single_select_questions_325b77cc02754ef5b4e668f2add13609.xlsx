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n"/>
      <c r="I16" s="2" t="str">
        <f>IF(All_Questions_Q_SS_EXPORT_CT="(None)","",IFERROR(INDEX(INDIRECT(IFERROR(INDEX(All_Questions_Options_Names,MATCH(All_Questions_Q_SS_EXPORT_CT,All_Questions,0)),"'_Options'!$E$2:$E$2")),3),""))</f>
        <v/>
      </c>
      <c r="J16" s="2" t="n"/>
      <c r="K16" s="2" t="str">
        <f>IF(All_Questions_Q_SS_EXPORT_CT="(None)","",IFERROR(INDEX(INDIRECT(IFERROR(INDEX(All_Questions_Options_Names,MATCH(All_Questions_Q_SS_EXPORT_CT,All_Questions,0)),"'_Options'!$E$2:$E$2")),4),""))</f>
        <v/>
      </c>
      <c r="L16" s="2" t="n"/>
      <c r="M16" s="2" t="str">
        <f>IF(All_Questions_Q_SS_EXPORT_CT="(None)","",IFERROR(INDEX(INDIRECT(IFERROR(INDEX(All_Questions_Options_Names,MATCH(All_Questions_Q_SS_EXPORT_CT,All_Questions,0)),"'_Options'!$E$2:$E$2")),5),""))</f>
        <v/>
      </c>
      <c r="N16" s="2" t="n"/>
      <c r="O16" s="2" t="str">
        <f>IF(All_Questions_Q_SS_EXPORT_CT="(None)","",IFERROR(INDEX(INDIRECT(IFERROR(INDEX(All_Questions_Options_Names,MATCH(All_Questions_Q_SS_EXPORT_CT,All_Questions,0)),"'_Options'!$E$2:$E$2")),6),""))</f>
        <v/>
      </c>
      <c r="P16" s="2" t="n"/>
      <c r="Q16" s="2" t="str">
        <f>IF(All_Questions_Q_SS_EXPORT_CT="(None)","",IFERROR(INDEX(INDIRECT(IFERROR(INDEX(All_Questions_Options_Names,MATCH(All_Questions_Q_SS_EXPORT_CT,All_Questions,0)),"'_Options'!$E$2:$E$2")),7),""))</f>
        <v/>
      </c>
      <c r="R16" s="2" t="n"/>
      <c r="S16" s="2" t="str">
        <f>IF(All_Questions_Q_SS_EXPORT_CT="(None)","",IFERROR(INDEX(INDIRECT(IFERROR(INDEX(All_Questions_Options_Names,MATCH(All_Questions_Q_SS_EXPORT_CT,All_Questions,0)),"'_Options'!$E$2:$E$2")),8),""))</f>
        <v/>
      </c>
      <c r="T16" s="2" t="n"/>
      <c r="U16" s="2" t="str">
        <f>IF(All_Questions_Q_SS_EXPORT_CT="(None)","",IFERROR(INDEX(INDIRECT(IFERROR(INDEX(All_Questions_Options_Names,MATCH(All_Questions_Q_SS_EXPORT_CT,All_Questions,0)),"'_Options'!$E$2:$E$2")),9),""))</f>
        <v/>
      </c>
      <c r="V16" s="2" t="n"/>
      <c r="W16" s="2" t="str">
        <f>IF(All_Questions_Q_SS_EXPORT_CT="(None)","",IFERROR(INDEX(INDIRECT(IFERROR(INDEX(All_Questions_Options_Names,MATCH(All_Questions_Q_SS_EXPORT_CT,All_Questions,0)),"'_Options'!$E$2:$E$2")),10),""))</f>
        <v/>
      </c>
      <c r="X16" s="2" t="n"/>
      <c r="Y16" s="2" t="str">
        <f>IF(All_Questions_Q_SS_EXPORT_CT="(None)","",IFERROR(INDEX(INDIRECT(IFERROR(INDEX(All_Questions_Options_Names,MATCH(All_Questions_Q_SS_EXPORT_CT,All_Questions,0)),"'_Options'!$E$2:$E$2")),11),""))</f>
        <v/>
      </c>
      <c r="Z16" s="2" t="n"/>
      <c r="AA16" s="2" t="str">
        <f>IF(All_Questions_Q_SS_EXPORT_CT="(None)","",IFERROR(INDEX(INDIRECT(IFERROR(INDEX(All_Questions_Options_Names,MATCH(All_Questions_Q_SS_EXPORT_CT,All_Questions,0)),"'_Options'!$E$2:$E$2")),12),""))</f>
        <v/>
      </c>
      <c r="AB16" s="2" t="n"/>
      <c r="AC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n"/>
      <c r="I26" s="2" t="str">
        <f>IF(All_Questions_Q_MS_EXPORT_CT="(None)","",IFERROR(INDEX(INDIRECT(IFERROR(INDEX(All_Questions_Options_Names,MATCH(All_Questions_Q_MS_EXPORT_CT,All_Questions,0)),"'_Options'!$E$2:$E$2")),3),""))</f>
        <v/>
      </c>
      <c r="J26" s="2" t="n"/>
      <c r="K26" s="2" t="str">
        <f>IF(All_Questions_Q_MS_EXPORT_CT="(None)","",IFERROR(INDEX(INDIRECT(IFERROR(INDEX(All_Questions_Options_Names,MATCH(All_Questions_Q_MS_EXPORT_CT,All_Questions,0)),"'_Options'!$E$2:$E$2")),4),""))</f>
        <v/>
      </c>
      <c r="L26" s="2" t="n"/>
      <c r="M26" s="2" t="str">
        <f>IF(All_Questions_Q_MS_EXPORT_CT="(None)","",IFERROR(INDEX(INDIRECT(IFERROR(INDEX(All_Questions_Options_Names,MATCH(All_Questions_Q_MS_EXPORT_CT,All_Questions,0)),"'_Options'!$E$2:$E$2")),5),""))</f>
        <v/>
      </c>
      <c r="N26" s="2" t="n"/>
      <c r="O26" s="2" t="str">
        <f>IF(All_Questions_Q_MS_EXPORT_CT="(None)","",IFERROR(INDEX(INDIRECT(IFERROR(INDEX(All_Questions_Options_Names,MATCH(All_Questions_Q_MS_EXPORT_CT,All_Questions,0)),"'_Options'!$E$2:$E$2")),6),""))</f>
        <v/>
      </c>
      <c r="P26" s="2" t="n"/>
      <c r="Q26" s="2" t="str">
        <f>IF(All_Questions_Q_MS_EXPORT_CT="(None)","",IFERROR(INDEX(INDIRECT(IFERROR(INDEX(All_Questions_Options_Names,MATCH(All_Questions_Q_MS_EXPORT_CT,All_Questions,0)),"'_Options'!$E$2:$E$2")),7),""))</f>
        <v/>
      </c>
      <c r="R26" s="2" t="n"/>
      <c r="S26" s="2" t="str">
        <f>IF(All_Questions_Q_MS_EXPORT_CT="(None)","",IFERROR(INDEX(INDIRECT(IFERROR(INDEX(All_Questions_Options_Names,MATCH(All_Questions_Q_MS_EXPORT_CT,All_Questions,0)),"'_Options'!$E$2:$E$2")),8),""))</f>
        <v/>
      </c>
      <c r="T26" s="2" t="n"/>
      <c r="U26" s="2" t="str">
        <f>IF(All_Questions_Q_MS_EXPORT_CT="(None)","",IFERROR(INDEX(INDIRECT(IFERROR(INDEX(All_Questions_Options_Names,MATCH(All_Questions_Q_MS_EXPORT_CT,All_Questions,0)),"'_Options'!$E$2:$E$2")),9),""))</f>
        <v/>
      </c>
      <c r="V26" s="2" t="n"/>
      <c r="W26" s="2" t="str">
        <f>IF(All_Questions_Q_MS_EXPORT_CT="(None)","",IFERROR(INDEX(INDIRECT(IFERROR(INDEX(All_Questions_Options_Names,MATCH(All_Questions_Q_MS_EXPORT_CT,All_Questions,0)),"'_Options'!$E$2:$E$2")),10),""))</f>
        <v/>
      </c>
      <c r="X26" s="2" t="n"/>
      <c r="Y26" s="2" t="str">
        <f>IF(All_Questions_Q_MS_EXPORT_CT="(None)","",IFERROR(INDEX(INDIRECT(IFERROR(INDEX(All_Questions_Options_Names,MATCH(All_Questions_Q_MS_EXPORT_CT,All_Questions,0)),"'_Options'!$E$2:$E$2")),11),""))</f>
        <v/>
      </c>
      <c r="Z26" s="2" t="n"/>
      <c r="AA26" s="2" t="str">
        <f>IF(All_Questions_Q_MS_EXPORT_CT="(None)","",IFERROR(INDEX(INDIRECT(IFERROR(INDEX(All_Questions_Options_Names,MATCH(All_Questions_Q_MS_EXPORT_CT,All_Questions,0)),"'_Options'!$E$2:$E$2")),12),""))</f>
        <v/>
      </c>
      <c r="AB26" s="2" t="n"/>
      <c r="AC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n"/>
      <c r="I48" s="2" t="str">
        <f>IF(All_Questions_Q_GRID_EXPORT_CT="(None)","",IFERROR(INDEX(INDIRECT(IFERROR(INDEX(All_Questions_Options_Names,MATCH(All_Questions_Q_GRID_EXPORT_CT,All_Questions,0)),"'_Options'!$E$2:$E$2")),3),""))</f>
        <v/>
      </c>
      <c r="J48" s="2" t="n"/>
      <c r="K48" s="2" t="str">
        <f>IF(All_Questions_Q_GRID_EXPORT_CT="(None)","",IFERROR(INDEX(INDIRECT(IFERROR(INDEX(All_Questions_Options_Names,MATCH(All_Questions_Q_GRID_EXPORT_CT,All_Questions,0)),"'_Options'!$E$2:$E$2")),4),""))</f>
        <v/>
      </c>
      <c r="L48" s="2" t="n"/>
      <c r="M48" s="2" t="str">
        <f>IF(All_Questions_Q_GRID_EXPORT_CT="(None)","",IFERROR(INDEX(INDIRECT(IFERROR(INDEX(All_Questions_Options_Names,MATCH(All_Questions_Q_GRID_EXPORT_CT,All_Questions,0)),"'_Options'!$E$2:$E$2")),5),""))</f>
        <v/>
      </c>
      <c r="N48" s="2" t="n"/>
      <c r="O48" s="2" t="str">
        <f>IF(All_Questions_Q_GRID_EXPORT_CT="(None)","",IFERROR(INDEX(INDIRECT(IFERROR(INDEX(All_Questions_Options_Names,MATCH(All_Questions_Q_GRID_EXPORT_CT,All_Questions,0)),"'_Options'!$E$2:$E$2")),6),""))</f>
        <v/>
      </c>
      <c r="P48" s="2" t="n"/>
      <c r="Q48" s="2" t="str">
        <f>IF(All_Questions_Q_GRID_EXPORT_CT="(None)","",IFERROR(INDEX(INDIRECT(IFERROR(INDEX(All_Questions_Options_Names,MATCH(All_Questions_Q_GRID_EXPORT_CT,All_Questions,0)),"'_Options'!$E$2:$E$2")),7),""))</f>
        <v/>
      </c>
      <c r="R48" s="2" t="n"/>
      <c r="S48" s="2" t="str">
        <f>IF(All_Questions_Q_GRID_EXPORT_CT="(None)","",IFERROR(INDEX(INDIRECT(IFERROR(INDEX(All_Questions_Options_Names,MATCH(All_Questions_Q_GRID_EXPORT_CT,All_Questions,0)),"'_Options'!$E$2:$E$2")),8),""))</f>
        <v/>
      </c>
      <c r="T48" s="2" t="n"/>
      <c r="U48" s="2" t="str">
        <f>IF(All_Questions_Q_GRID_EXPORT_CT="(None)","",IFERROR(INDEX(INDIRECT(IFERROR(INDEX(All_Questions_Options_Names,MATCH(All_Questions_Q_GRID_EXPORT_CT,All_Questions,0)),"'_Options'!$E$2:$E$2")),9),""))</f>
        <v/>
      </c>
      <c r="V48" s="2" t="n"/>
      <c r="W48" s="2" t="str">
        <f>IF(All_Questions_Q_GRID_EXPORT_CT="(None)","",IFERROR(INDEX(INDIRECT(IFERROR(INDEX(All_Questions_Options_Names,MATCH(All_Questions_Q_GRID_EXPORT_CT,All_Questions,0)),"'_Options'!$E$2:$E$2")),10),""))</f>
        <v/>
      </c>
      <c r="X48" s="2" t="n"/>
      <c r="Y48" s="2" t="str">
        <f>IF(All_Questions_Q_GRID_EXPORT_CT="(None)","",IFERROR(INDEX(INDIRECT(IFERROR(INDEX(All_Questions_Options_Names,MATCH(All_Questions_Q_GRID_EXPORT_CT,All_Questions,0)),"'_Options'!$E$2:$E$2")),11),""))</f>
        <v/>
      </c>
      <c r="Z48" s="2" t="n"/>
      <c r="AA48" s="2" t="str">
        <f>IF(All_Questions_Q_GRID_EXPORT_CT="(None)","",IFERROR(INDEX(INDIRECT(IFERROR(INDEX(All_Questions_Options_Names,MATCH(All_Questions_Q_GRID_EXPORT_CT,All_Questions,0)),"'_Options'!$E$2:$E$2")),12),""))</f>
        <v/>
      </c>
      <c r="AB48" s="2" t="n"/>
      <c r="AC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n"/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J58" s="2" t="n"/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L58" s="2" t="n"/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N58" s="2" t="n"/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P58" s="2" t="n"/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R58" s="2" t="n"/>
      <c r="S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T58" s="2" t="n"/>
      <c r="U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V58" s="2" t="n"/>
      <c r="W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X58" s="2" t="n"/>
      <c r="Y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Z58" s="2" t="n"/>
      <c r="AA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AB58" s="2" t="n"/>
      <c r="AC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2026-05-18T12:47:29Z</dcterms:created>
  <dcterms:modified xmlns:dcterms="http://purl.org/dc/terms/" xmlns:xsi="http://www.w3.org/2001/XMLSchema-instance" xsi:type="dcterms:W3CDTF">2026-05-18T12:47:33Z</dcterms:modified>
</cp:coreProperties>
</file>