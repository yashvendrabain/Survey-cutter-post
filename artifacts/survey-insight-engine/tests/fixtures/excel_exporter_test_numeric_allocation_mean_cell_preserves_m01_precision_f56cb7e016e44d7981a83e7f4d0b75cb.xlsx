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20" i="7"/>
  <c r="C20" i="7"/>
  <c r="D20" i="7"/>
  <c r="E20" i="7"/>
  <c r="F20" i="7"/>
  <c r="G20" i="7"/>
  <c r="H20" i="7"/>
  <c r="I20" i="7"/>
  <c r="J20" i="7"/>
  <c r="K20" i="7"/>
  <c r="L20" i="7"/>
  <c r="M20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N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A20" s="4" t="inlineStr">
        <is>
          <t>Option</t>
        </is>
      </c>
      <c r="B20" s="2" t="str">
        <f>IF(All_Questions_Q6_CT="(None)","",IFERROR(INDEX(INDIRECT(IFERROR(INDEX(Cross_Tab_Questions_Options_Names,MATCH(All_Questions_Q6_CT,Cross_Tab_Questions,0)),"'_Options'!$E$2:$E$2")),2),""))</f>
        <v/>
      </c>
      <c r="C20" s="2" t="str">
        <f>IF(All_Questions_Q6_CT="(None)","",IFERROR(INDEX(INDIRECT(IFERROR(INDEX(Cross_Tab_Questions_Options_Names,MATCH(All_Questions_Q6_CT,Cross_Tab_Questions,0)),"'_Options'!$E$2:$E$2")),3),""))</f>
        <v/>
      </c>
      <c r="D20" s="2" t="str">
        <f>IF(All_Questions_Q6_CT="(None)","",IFERROR(INDEX(INDIRECT(IFERROR(INDEX(Cross_Tab_Questions_Options_Names,MATCH(All_Questions_Q6_CT,Cross_Tab_Questions,0)),"'_Options'!$E$2:$E$2")),4),""))</f>
        <v/>
      </c>
      <c r="E20" s="2" t="str">
        <f>IF(All_Questions_Q6_CT="(None)","",IFERROR(INDEX(INDIRECT(IFERROR(INDEX(Cross_Tab_Questions_Options_Names,MATCH(All_Questions_Q6_CT,Cross_Tab_Questions,0)),"'_Options'!$E$2:$E$2")),5),""))</f>
        <v/>
      </c>
      <c r="F20" s="2" t="str">
        <f>IF(All_Questions_Q6_CT="(None)","",IFERROR(INDEX(INDIRECT(IFERROR(INDEX(Cross_Tab_Questions_Options_Names,MATCH(All_Questions_Q6_CT,Cross_Tab_Questions,0)),"'_Options'!$E$2:$E$2")),6),""))</f>
        <v/>
      </c>
      <c r="G20" s="2" t="str">
        <f>IF(All_Questions_Q6_CT="(None)","",IFERROR(INDEX(INDIRECT(IFERROR(INDEX(Cross_Tab_Questions_Options_Names,MATCH(All_Questions_Q6_CT,Cross_Tab_Questions,0)),"'_Options'!$E$2:$E$2")),7),""))</f>
        <v/>
      </c>
      <c r="H20" s="2" t="str">
        <f>IF(All_Questions_Q6_CT="(None)","",IFERROR(INDEX(INDIRECT(IFERROR(INDEX(Cross_Tab_Questions_Options_Names,MATCH(All_Questions_Q6_CT,Cross_Tab_Questions,0)),"'_Options'!$E$2:$E$2")),8),""))</f>
        <v/>
      </c>
      <c r="I20" s="2" t="str">
        <f>IF(All_Questions_Q6_CT="(None)","",IFERROR(INDEX(INDIRECT(IFERROR(INDEX(Cross_Tab_Questions_Options_Names,MATCH(All_Questions_Q6_CT,Cross_Tab_Questions,0)),"'_Options'!$E$2:$E$2")),9),""))</f>
        <v/>
      </c>
      <c r="J20" s="2" t="str">
        <f>IF(All_Questions_Q6_CT="(None)","",IFERROR(INDEX(INDIRECT(IFERROR(INDEX(Cross_Tab_Questions_Options_Names,MATCH(All_Questions_Q6_CT,Cross_Tab_Questions,0)),"'_Options'!$E$2:$E$2")),10),""))</f>
        <v/>
      </c>
      <c r="K20" s="2" t="str">
        <f>IF(All_Questions_Q6_CT="(None)","",IFERROR(INDEX(INDIRECT(IFERROR(INDEX(Cross_Tab_Questions_Options_Names,MATCH(All_Questions_Q6_CT,Cross_Tab_Questions,0)),"'_Options'!$E$2:$E$2")),11),""))</f>
        <v/>
      </c>
      <c r="L20" s="2" t="str">
        <f>IF(All_Questions_Q6_CT="(None)","",IFERROR(INDEX(INDIRECT(IFERROR(INDEX(Cross_Tab_Questions_Options_Names,MATCH(All_Questions_Q6_CT,Cross_Tab_Questions,0)),"'_Options'!$E$2:$E$2")),12),""))</f>
        <v/>
      </c>
      <c r="M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N20" s="4" t="inlineStr">
        <is>
          <t>Total</t>
        </is>
      </c>
    </row>
    <row r="21">
      <c r="A21" s="4" t="inlineStr"/>
      <c r="B21" s="4" t="inlineStr">
        <is>
          <t>Mean</t>
        </is>
      </c>
      <c r="C21" s="4" t="inlineStr">
        <is>
          <t>Mean</t>
        </is>
      </c>
      <c r="D21" s="4" t="inlineStr">
        <is>
          <t>Mean</t>
        </is>
      </c>
      <c r="E21" s="4" t="inlineStr">
        <is>
          <t>Mean</t>
        </is>
      </c>
      <c r="F21" s="4" t="inlineStr">
        <is>
          <t>Mean</t>
        </is>
      </c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</row>
    <row r="22">
      <c r="A22" t="inlineStr">
        <is>
          <t>CRM &amp; sales tools</t>
        </is>
      </c>
      <c r="B22" s="14">
        <f>IF(OR(All_Questions_Q6_CT="(None)",B$20=""),"",IF(B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B$20),"")))</f>
        <v>26.3695</v>
      </c>
      <c r="C22" s="14">
        <f>IF(OR(All_Questions_Q6_CT="(None)",C$20=""),"",IF(C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C$20),"")))</f>
        <v>26.3695</v>
      </c>
      <c r="D22" s="14">
        <f>IF(OR(All_Questions_Q6_CT="(None)",D$20=""),"",IF(D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D$20),"")))</f>
        <v>26.3695</v>
      </c>
      <c r="E22" s="14">
        <f>IF(OR(All_Questions_Q6_CT="(None)",E$20=""),"",IF(E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E$20),"")))</f>
        <v>26.3695</v>
      </c>
      <c r="F22" s="14">
        <f>IF(OR(All_Questions_Q6_CT="(None)",F$20=""),"",IF(F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F$20),"")))</f>
        <v>26.3695</v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A23" s="4" t="inlineStr">
        <is>
          <t>Total respondents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B$20</t>
        </is>
      </c>
      <c r="H2">
        <f>IF(OR(All_Questions_Q6_CT="(None)",B$20=""),"",IF(B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B$20),"")))</f>
        <v>0</v>
      </c>
      <c r="I2" t="n">
        <v>26.3695</v>
      </c>
      <c r="J2" t="n">
        <v>0</v>
      </c>
      <c r="K2" t="n">
        <v>0</v>
      </c>
      <c r="L2" t="inlineStr">
        <is>
          <t>2026-06-09T11:19:35.616431+00:00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C$20</t>
        </is>
      </c>
      <c r="H3">
        <f>IF(OR(All_Questions_Q6_CT="(None)",C$20=""),"",IF(C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C$20),"")))</f>
        <v>0</v>
      </c>
      <c r="I3" t="n">
        <v>26.3695</v>
      </c>
      <c r="J3" t="n">
        <v>0</v>
      </c>
      <c r="K3" t="n">
        <v>0</v>
      </c>
      <c r="L3" t="inlineStr">
        <is>
          <t>2026-06-09T11:19:35.616655+00:00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D$20</t>
        </is>
      </c>
      <c r="H4">
        <f>IF(OR(All_Questions_Q6_CT="(None)",D$20=""),"",IF(D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D$20),"")))</f>
        <v>0</v>
      </c>
      <c r="I4" t="n">
        <v>26.3695</v>
      </c>
      <c r="J4" t="n">
        <v>0</v>
      </c>
      <c r="K4" t="n">
        <v>0</v>
      </c>
      <c r="L4" t="inlineStr">
        <is>
          <t>2026-06-09T11:19:35.616842+00:00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E$20</t>
        </is>
      </c>
      <c r="H5">
        <f>IF(OR(All_Questions_Q6_CT="(None)",E$20=""),"",IF(E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E$20),"")))</f>
        <v>0</v>
      </c>
      <c r="I5" t="n">
        <v>26.3695</v>
      </c>
      <c r="J5" t="n">
        <v>0</v>
      </c>
      <c r="K5" t="n">
        <v>0</v>
      </c>
      <c r="L5" t="inlineStr">
        <is>
          <t>2026-06-09T11:19:35.617082+00:00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F$20</t>
        </is>
      </c>
      <c r="H6">
        <f>IF(OR(All_Questions_Q6_CT="(None)",F$20=""),"",IF(F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F$20),"")))</f>
        <v>0</v>
      </c>
      <c r="I6" t="n">
        <v>26.3695</v>
      </c>
      <c r="J6" t="n">
        <v>0</v>
      </c>
      <c r="K6" t="n">
        <v>0</v>
      </c>
      <c r="L6" t="inlineStr">
        <is>
          <t>2026-06-09T11:19:35.617271+00:00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G$20</t>
        </is>
      </c>
      <c r="H7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7" t="n">
        <v>26.3695</v>
      </c>
      <c r="J7" t="n">
        <v>0</v>
      </c>
      <c r="K7" t="n">
        <v>0</v>
      </c>
      <c r="L7" t="inlineStr">
        <is>
          <t>2026-06-09T11:19:35.617456+00:00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H$20</t>
        </is>
      </c>
      <c r="H8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8" t="n">
        <v>26.3695</v>
      </c>
      <c r="J8" t="n">
        <v>0</v>
      </c>
      <c r="K8" t="n">
        <v>0</v>
      </c>
      <c r="L8" t="inlineStr">
        <is>
          <t>2026-06-09T11:19:35.617639+00:00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I$20</t>
        </is>
      </c>
      <c r="H9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9" t="n">
        <v>26.3695</v>
      </c>
      <c r="J9" t="n">
        <v>0</v>
      </c>
      <c r="K9" t="n">
        <v>0</v>
      </c>
      <c r="L9" t="inlineStr">
        <is>
          <t>2026-06-09T11:19:35.617826+00:00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J$20</t>
        </is>
      </c>
      <c r="H10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10" t="n">
        <v>26.3695</v>
      </c>
      <c r="J10" t="n">
        <v>0</v>
      </c>
      <c r="K10" t="n">
        <v>0</v>
      </c>
      <c r="L10" t="inlineStr">
        <is>
          <t>2026-06-09T11:19:35.618062+00:00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K$20</t>
        </is>
      </c>
      <c r="H11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11" t="n">
        <v>26.3695</v>
      </c>
      <c r="J11" t="n">
        <v>0</v>
      </c>
      <c r="K11" t="n">
        <v>0</v>
      </c>
      <c r="L11" t="inlineStr">
        <is>
          <t>2026-06-09T11:19:35.618252+00:00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L$20</t>
        </is>
      </c>
      <c r="H12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12" t="n">
        <v>26.3695</v>
      </c>
      <c r="J12" t="n">
        <v>0</v>
      </c>
      <c r="K12" t="n">
        <v>0</v>
      </c>
      <c r="L12" t="inlineStr">
        <is>
          <t>2026-06-09T11:19:35.618435+00:00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M$20</t>
        </is>
      </c>
      <c r="H13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13" t="n">
        <v>26.3695</v>
      </c>
      <c r="J13" t="n">
        <v>0</v>
      </c>
      <c r="K13" t="n">
        <v>0</v>
      </c>
      <c r="L13" t="inlineStr">
        <is>
          <t>2026-06-09T11:19:35.618700+00:00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2026-06-09T11:19:34Z</dcterms:created>
  <dcterms:modified xmlns:dcterms="http://purl.org/dc/terms/" xmlns:xsi="http://www.w3.org/2001/XMLSchema-instance" xsi:type="dcterms:W3CDTF">2026-06-09T11:19:35Z</dcterms:modified>
</cp:coreProperties>
</file>