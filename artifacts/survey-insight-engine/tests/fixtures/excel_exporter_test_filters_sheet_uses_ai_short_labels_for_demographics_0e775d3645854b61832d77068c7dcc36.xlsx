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n"/>
      <c r="I18" s="2" t="str">
        <f>IF(Demographics_Q4_CT="(None)","",IFERROR(INDEX(INDIRECT(IFERROR(INDEX(All_Questions_Options_Names,MATCH(Demographics_Q4_CT,All_Questions,0)),"'_Options'!$E$2:$E$2")),3),""))</f>
        <v/>
      </c>
      <c r="J18" s="2" t="n"/>
      <c r="K18" s="2" t="str">
        <f>IF(Demographics_Q4_CT="(None)","",IFERROR(INDEX(INDIRECT(IFERROR(INDEX(All_Questions_Options_Names,MATCH(Demographics_Q4_CT,All_Questions,0)),"'_Options'!$E$2:$E$2")),4),""))</f>
        <v/>
      </c>
      <c r="L18" s="2" t="n"/>
      <c r="M18" s="2" t="str">
        <f>IF(Demographics_Q4_CT="(None)","",IFERROR(INDEX(INDIRECT(IFERROR(INDEX(All_Questions_Options_Names,MATCH(Demographics_Q4_CT,All_Questions,0)),"'_Options'!$E$2:$E$2")),5),""))</f>
        <v/>
      </c>
      <c r="N18" s="2" t="n"/>
      <c r="O18" s="2" t="str">
        <f>IF(Demographics_Q4_CT="(None)","",IFERROR(INDEX(INDIRECT(IFERROR(INDEX(All_Questions_Options_Names,MATCH(Demographics_Q4_CT,All_Questions,0)),"'_Options'!$E$2:$E$2")),6),""))</f>
        <v/>
      </c>
      <c r="P18" s="2" t="n"/>
      <c r="Q18" s="2" t="str">
        <f>IF(Demographics_Q4_CT="(None)","",IFERROR(INDEX(INDIRECT(IFERROR(INDEX(All_Questions_Options_Names,MATCH(Demographics_Q4_CT,All_Questions,0)),"'_Options'!$E$2:$E$2")),7),""))</f>
        <v/>
      </c>
      <c r="R18" s="2" t="n"/>
      <c r="S18" s="2" t="str">
        <f>IF(Demographics_Q4_CT="(None)","",IFERROR(INDEX(INDIRECT(IFERROR(INDEX(All_Questions_Options_Names,MATCH(Demographics_Q4_CT,All_Questions,0)),"'_Options'!$E$2:$E$2")),8),""))</f>
        <v/>
      </c>
      <c r="T18" s="2" t="n"/>
      <c r="U18" s="2" t="str">
        <f>IF(Demographics_Q4_CT="(None)","",IFERROR(INDEX(INDIRECT(IFERROR(INDEX(All_Questions_Options_Names,MATCH(Demographics_Q4_CT,All_Questions,0)),"'_Options'!$E$2:$E$2")),9),""))</f>
        <v/>
      </c>
      <c r="V18" s="2" t="n"/>
      <c r="W18" s="2" t="str">
        <f>IF(Demographics_Q4_CT="(None)","",IFERROR(INDEX(INDIRECT(IFERROR(INDEX(All_Questions_Options_Names,MATCH(Demographics_Q4_CT,All_Questions,0)),"'_Options'!$E$2:$E$2")),10),""))</f>
        <v/>
      </c>
      <c r="X18" s="2" t="n"/>
      <c r="Y18" s="2" t="str">
        <f>IF(Demographics_Q4_CT="(None)","",IFERROR(INDEX(INDIRECT(IFERROR(INDEX(All_Questions_Options_Names,MATCH(Demographics_Q4_CT,All_Questions,0)),"'_Options'!$E$2:$E$2")),11),""))</f>
        <v/>
      </c>
      <c r="Z18" s="2" t="n"/>
      <c r="AA18" s="2" t="str">
        <f>IF(Demographics_Q4_CT="(None)","",IFERROR(INDEX(INDIRECT(IFERROR(INDEX(All_Questions_Options_Names,MATCH(Demographics_Q4_CT,All_Questions,0)),"'_Options'!$E$2:$E$2")),12),""))</f>
        <v/>
      </c>
      <c r="AB18" s="2" t="n"/>
      <c r="AC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G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I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K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M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O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Q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S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U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W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Y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A$18)),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G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I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K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M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O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Q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S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U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W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Y$18)+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A$18)),COUNTIFS(respondent_id_data,"&lt;&gt;",passes_workbook_filters_data,1,passes_workbook_custom_filters_data,1,Demographics_passes_local_filters_data,1,Demographics_Q4_F_passes_per_q_filter_data,1,INDIRECT(IFERROR(INDEX(All_Questions_Data_Names,MATCH(Demographics_Q4_CT,All_Questions,0)),"'_RawData'!$A:$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n"/>
      <c r="I28" s="2" t="str">
        <f>IF(Demographics_Q14_CT="(None)","",IFERROR(INDEX(INDIRECT(IFERROR(INDEX(All_Questions_Options_Names,MATCH(Demographics_Q14_CT,All_Questions,0)),"'_Options'!$E$2:$E$2")),3),""))</f>
        <v/>
      </c>
      <c r="J28" s="2" t="n"/>
      <c r="K28" s="2" t="str">
        <f>IF(Demographics_Q14_CT="(None)","",IFERROR(INDEX(INDIRECT(IFERROR(INDEX(All_Questions_Options_Names,MATCH(Demographics_Q14_CT,All_Questions,0)),"'_Options'!$E$2:$E$2")),4),""))</f>
        <v/>
      </c>
      <c r="L28" s="2" t="n"/>
      <c r="M28" s="2" t="str">
        <f>IF(Demographics_Q14_CT="(None)","",IFERROR(INDEX(INDIRECT(IFERROR(INDEX(All_Questions_Options_Names,MATCH(Demographics_Q14_CT,All_Questions,0)),"'_Options'!$E$2:$E$2")),5),""))</f>
        <v/>
      </c>
      <c r="N28" s="2" t="n"/>
      <c r="O28" s="2" t="str">
        <f>IF(Demographics_Q14_CT="(None)","",IFERROR(INDEX(INDIRECT(IFERROR(INDEX(All_Questions_Options_Names,MATCH(Demographics_Q14_CT,All_Questions,0)),"'_Options'!$E$2:$E$2")),6),""))</f>
        <v/>
      </c>
      <c r="P28" s="2" t="n"/>
      <c r="Q28" s="2" t="str">
        <f>IF(Demographics_Q14_CT="(None)","",IFERROR(INDEX(INDIRECT(IFERROR(INDEX(All_Questions_Options_Names,MATCH(Demographics_Q14_CT,All_Questions,0)),"'_Options'!$E$2:$E$2")),7),""))</f>
        <v/>
      </c>
      <c r="R28" s="2" t="n"/>
      <c r="S28" s="2" t="str">
        <f>IF(Demographics_Q14_CT="(None)","",IFERROR(INDEX(INDIRECT(IFERROR(INDEX(All_Questions_Options_Names,MATCH(Demographics_Q14_CT,All_Questions,0)),"'_Options'!$E$2:$E$2")),8),""))</f>
        <v/>
      </c>
      <c r="T28" s="2" t="n"/>
      <c r="U28" s="2" t="str">
        <f>IF(Demographics_Q14_CT="(None)","",IFERROR(INDEX(INDIRECT(IFERROR(INDEX(All_Questions_Options_Names,MATCH(Demographics_Q14_CT,All_Questions,0)),"'_Options'!$E$2:$E$2")),9),""))</f>
        <v/>
      </c>
      <c r="V28" s="2" t="n"/>
      <c r="W28" s="2" t="str">
        <f>IF(Demographics_Q14_CT="(None)","",IFERROR(INDEX(INDIRECT(IFERROR(INDEX(All_Questions_Options_Names,MATCH(Demographics_Q14_CT,All_Questions,0)),"'_Options'!$E$2:$E$2")),10),""))</f>
        <v/>
      </c>
      <c r="X28" s="2" t="n"/>
      <c r="Y28" s="2" t="str">
        <f>IF(Demographics_Q14_CT="(None)","",IFERROR(INDEX(INDIRECT(IFERROR(INDEX(All_Questions_Options_Names,MATCH(Demographics_Q14_CT,All_Questions,0)),"'_Options'!$E$2:$E$2")),11),""))</f>
        <v/>
      </c>
      <c r="Z28" s="2" t="n"/>
      <c r="AA28" s="2" t="str">
        <f>IF(Demographics_Q14_CT="(None)","",IFERROR(INDEX(INDIRECT(IFERROR(INDEX(All_Questions_Options_Names,MATCH(Demographics_Q14_CT,All_Questions,0)),"'_Options'!$E$2:$E$2")),12),""))</f>
        <v/>
      </c>
      <c r="AB28" s="2" t="n"/>
      <c r="AC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G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I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K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M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O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Q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S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U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W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Y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A$28)),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G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I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K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M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O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Q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S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U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W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Y$28)+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A$28)),COUNTIFS(respondent_id_data,"&lt;&gt;",passes_workbook_filters_data,1,passes_workbook_custom_filters_data,1,Demographics_passes_local_filters_data,1,Demographics_Q14_F_passes_per_q_filter_data,1,INDIRECT(IFERROR(INDEX(All_Questions_Data_Names,MATCH(Demographics_Q14_CT,All_Questions,0)),"'_RawData'!$A:$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2026-05-18T12:48:18Z</dcterms:created>
  <dcterms:modified xmlns:dcterms="http://purl.org/dc/terms/" xmlns:xsi="http://www.w3.org/2001/XMLSchema-instance" xsi:type="dcterms:W3CDTF">2026-05-18T12:48:18Z</dcterms:modified>
</cp:coreProperties>
</file>