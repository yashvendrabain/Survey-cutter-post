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E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Q1_data</t>
        </is>
      </c>
      <c r="D3" t="inlineStr">
        <is>
          <t>Q1_options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Q2_data</t>
        </is>
      </c>
      <c r="D4" t="inlineStr">
        <is>
          <t>Q2_options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XLOOKUP(Demographics_Q1_F_Q,All_Questions,All_Questions_Data_Names,"respondent_id_data")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IF(Demographics_Q1_CT="(None)","",IFERROR(INDEX(INDIRECT(XLOOKUP(Demographics_Q1_CT,All_Questions,All_Questions_Options_Names,"None_options")),2),""))</f>
        <v/>
      </c>
      <c r="H17" s="2" t="n"/>
      <c r="I17" s="2" t="str">
        <f>IF(Demographics_Q1_CT="(None)","",IFERROR(INDEX(INDIRECT(XLOOKUP(Demographics_Q1_CT,All_Questions,All_Questions_Options_Names,"None_options")),3),""))</f>
        <v/>
      </c>
      <c r="J17" s="2" t="n"/>
      <c r="K17" s="2" t="str">
        <f>IF(Demographics_Q1_CT="(None)","",IFERROR(INDEX(INDIRECT(XLOOKUP(Demographics_Q1_CT,All_Questions,All_Questions_Options_Names,"None_options")),4),""))</f>
        <v/>
      </c>
      <c r="L17" s="2" t="n"/>
      <c r="M17" s="2" t="str">
        <f>IF(Demographics_Q1_CT="(None)","",IFERROR(INDEX(INDIRECT(XLOOKUP(Demographics_Q1_CT,All_Questions,All_Questions_Options_Names,"None_options")),5),""))</f>
        <v/>
      </c>
      <c r="N17" s="2" t="n"/>
      <c r="O17" s="2" t="str">
        <f>IF(Demographics_Q1_CT="(None)","",IFERROR(INDEX(INDIRECT(XLOOKUP(Demographics_Q1_CT,All_Questions,All_Questions_Options_Names,"None_options")),6),""))</f>
        <v/>
      </c>
      <c r="P17" s="2" t="n"/>
      <c r="Q17" s="2" t="str">
        <f>IF(Demographics_Q1_CT="(None)","",IFERROR(INDEX(INDIRECT(XLOOKUP(Demographics_Q1_CT,All_Questions,All_Questions_Options_Names,"None_options")),7),""))</f>
        <v/>
      </c>
      <c r="R17" s="2" t="n"/>
      <c r="S17" s="2" t="str">
        <f>IF(Demographics_Q1_CT="(None)","",IFERROR(INDEX(INDIRECT(XLOOKUP(Demographics_Q1_CT,All_Questions,All_Questions_Options_Names,"None_options")),8),""))</f>
        <v/>
      </c>
      <c r="T17" s="2" t="n"/>
      <c r="U17" s="2" t="str">
        <f>IF(Demographics_Q1_CT="(None)","",IFERROR(INDEX(INDIRECT(XLOOKUP(Demographics_Q1_CT,All_Questions,All_Questions_Options_Names,"None_options")),9),""))</f>
        <v/>
      </c>
      <c r="V17" s="2" t="n"/>
      <c r="W17" s="2" t="str">
        <f>IF(Demographics_Q1_CT="(None)","",IFERROR(INDEX(INDIRECT(XLOOKUP(Demographics_Q1_CT,All_Questions,All_Questions_Options_Names,"None_options")),10),""))</f>
        <v/>
      </c>
      <c r="X17" s="2" t="n"/>
      <c r="Y17" s="2" t="str">
        <f>IF(Demographics_Q1_CT="(None)","",IFERROR(INDEX(INDIRECT(XLOOKUP(Demographics_Q1_CT,All_Questions,All_Questions_Options_Names,"None_options")),11),""))</f>
        <v/>
      </c>
      <c r="Z17" s="2" t="n"/>
      <c r="AA17" s="2" t="str">
        <f>IF(Demographics_Q1_CT="(None)","",IFERROR(INDEX(INDIRECT(XLOOKUP(Demographics_Q1_CT,All_Questions,All_Questions_Options_Names,"None_options")),12),""))</f>
        <v/>
      </c>
      <c r="AB17" s="2" t="n"/>
      <c r="AC17" s="2" t="str">
        <f>IF(Demographics_Q1_CT="(None)","",IF(COUNTA(INDIRECT(XLOOKUP(Demographics_Q1_CT,All_Questions,All_Questions_Options_Names,"None_options")))-1&gt;11,"Other",IFERROR(INDEX(INDIRECT(XLOOKUP(Demographics_Q1_CT,All_Questions,All_Questions_Options_Names,"None_options")),13),"")))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G$17)),0)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I$17)),0)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K$17)),0)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M$17)),0)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O$17)),0)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Q$17)),0)</f>
        <v>0</v>
      </c>
      <c r="S19">
        <f>IF(OR(Demographics_Q1_CT="(None)",S$17=""),"",COUNTIFS(Q1_data,"United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S$17)),0)</f>
        <v>0</v>
      </c>
      <c r="U19">
        <f>IF(OR(Demographics_Q1_CT="(None)",U$17=""),"",COUNTIFS(Q1_data,"United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U$17)),0)</f>
        <v>0</v>
      </c>
      <c r="W19">
        <f>IF(OR(Demographics_Q1_CT="(None)",W$17=""),"",COUNTIFS(Q1_data,"United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W$17)),0)</f>
        <v>0</v>
      </c>
      <c r="Y19">
        <f>IF(OR(Demographics_Q1_CT="(None)",Y$17=""),"",COUNTIFS(Q1_data,"United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Y$17)),0)</f>
        <v>0</v>
      </c>
      <c r="AA19">
        <f>IF(OR(Demographics_Q1_CT="(None)",AA$17=""),"",COUNTIFS(Q1_data,"United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A$17)),0)</f>
        <v>0</v>
      </c>
      <c r="AC19">
        <f>IF(OR(Demographics_Q1_CT="(None)",AC$17=""),"",IF(AC$17="Other",COUNTIFS(Q1_data,"United States",passes_workbook_filters_data,1,passes_workbook_custom_filters_data,1,Demographics_passes_local_filters_data,1,Demographics_Q1_F_passes_per_q_filter_data,1)-SUM(G19,I19,K19,M19,O19,Q19,S19,U19,W19,Y19,AA19),COUNTIFS(Q1_data,"United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1_F_passes_per_q_filter_data,1)-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G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I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K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M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O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Q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S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U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W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Y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A$17)),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C$17))),0)</f>
        <v>0</v>
      </c>
      <c r="AE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G$17)),0)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I$17)),0)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K$17)),0)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M$17)),0)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O$17)),0)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Q$17)),0)</f>
        <v>0</v>
      </c>
      <c r="S20">
        <f>IF(OR(Demographics_Q1_CT="(None)",S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S$17)),0)</f>
        <v>0</v>
      </c>
      <c r="U20">
        <f>IF(OR(Demographics_Q1_CT="(None)",U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U$17)),0)</f>
        <v>0</v>
      </c>
      <c r="W20">
        <f>IF(OR(Demographics_Q1_CT="(None)",W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W$17)),0)</f>
        <v>0</v>
      </c>
      <c r="Y20">
        <f>IF(OR(Demographics_Q1_CT="(None)",Y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Y$17)),0)</f>
        <v>0</v>
      </c>
      <c r="AA20">
        <f>IF(OR(Demographics_Q1_CT="(None)",AA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A$17)),0)</f>
        <v>0</v>
      </c>
      <c r="AC20">
        <f>IF(OR(Demographics_Q1_CT="(None)",AC$17=""),"",IF(AC$17="Other",COUNTIFS(Q1_data,"Canada",passes_workbook_filters_data,1,passes_workbook_custom_filters_data,1,Demographics_passes_local_filters_data,1,Demographics_Q1_F_passes_per_q_filter_data,1)-SUM(G20,I20,K20,M20,O20,Q20,S20,U20,W20,Y20,AA20)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1_F_passes_per_q_filter_data,1)-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G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I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K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M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O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Q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S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U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W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Y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A$17)),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C$17))),0)</f>
        <v>0</v>
      </c>
      <c r="AE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G$17))</f>
        <v>0</v>
      </c>
      <c r="H21" s="7">
        <f>IFERROR(G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G$17)),0)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I$17))</f>
        <v>0</v>
      </c>
      <c r="J21" s="7">
        <f>IFERROR(I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I$17)),0)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K$17))</f>
        <v>0</v>
      </c>
      <c r="L21" s="7">
        <f>IFERROR(K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K$17)),0)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M$17))</f>
        <v>0</v>
      </c>
      <c r="N21" s="7">
        <f>IFERROR(M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M$17)),0)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O$17))</f>
        <v>0</v>
      </c>
      <c r="P21" s="7">
        <f>IFERROR(O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O$17)),0)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Q$17))</f>
        <v>0</v>
      </c>
      <c r="R21" s="7">
        <f>IFERROR(Q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Q$17)),0)</f>
        <v>0</v>
      </c>
      <c r="S21">
        <f>IF(OR(Demographics_Q1_CT="(None)",S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S$17))</f>
        <v>0</v>
      </c>
      <c r="T21" s="7">
        <f>IFERROR(S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S$17)),0)</f>
        <v>0</v>
      </c>
      <c r="U21">
        <f>IF(OR(Demographics_Q1_CT="(None)",U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U$17))</f>
        <v>0</v>
      </c>
      <c r="V21" s="7">
        <f>IFERROR(U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U$17)),0)</f>
        <v>0</v>
      </c>
      <c r="W21">
        <f>IF(OR(Demographics_Q1_CT="(None)",W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W$17))</f>
        <v>0</v>
      </c>
      <c r="X21" s="7">
        <f>IFERROR(W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W$17)),0)</f>
        <v>0</v>
      </c>
      <c r="Y21">
        <f>IF(OR(Demographics_Q1_CT="(None)",Y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Y$17))</f>
        <v>0</v>
      </c>
      <c r="Z21" s="7">
        <f>IFERROR(Y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Y$17)),0)</f>
        <v>0</v>
      </c>
      <c r="AA21">
        <f>IF(OR(Demographics_Q1_CT="(None)",AA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AA$17))</f>
        <v>0</v>
      </c>
      <c r="AB21" s="7">
        <f>IFERROR(AA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A$17)),0)</f>
        <v>0</v>
      </c>
      <c r="AC21">
        <f>IF(OR(Demographics_Q1_CT="(None)",AC$17=""),"",IF(AC$17="Other",COUNTIFS(Q1_data,"India",passes_workbook_filters_data,1,passes_workbook_custom_filters_data,1,Demographics_passes_local_filters_data,1,Demographics_Q1_F_passes_per_q_filter_data,1)-SUM(G21,I21,K21,M21,O21,Q21,S21,U21,W21,Y21,AA21),COUNTIFS(Q1_data,"India",passes_workbook_filters_data,1,passes_workbook_custom_filters_data,1,Demographics_passes_local_filters_data,1,Demographics_Q1_F_passes_per_q_filter_data,1,INDIRECT(XLOOKUP(Demographics_Q1_CT,All_Questions,All_Questions_Data_Names,"respondent_id_data")),AC$17)))</f>
        <v>0</v>
      </c>
      <c r="AD21" s="7">
        <f>IFERROR(AC21/(IF(AC$17="Other",COUNTIFS(respondent_id_data,"&lt;&gt;",passes_workbook_filters_data,1,passes_workbook_custom_filters_data,1,Demographics_passes_local_filters_data,1,Demographics_Q1_F_passes_per_q_filter_data,1)-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G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I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K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M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O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Q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S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U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W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Y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A$17)),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C$17))),0)</f>
        <v>0</v>
      </c>
      <c r="AE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=INDIRECT(XLOOKUP(Demographics_Q1_F_Q,All_Questions,All_Questions_Options_Names,"None_options"))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XLOOKUP(All_Questions_Q2_F_Q,All_Questions,All_Questions_Data_Names,"respondent_id_data")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IF(All_Questions_Q2_CT="(None)","",IFERROR(INDEX(INDIRECT(XLOOKUP(All_Questions_Q2_CT,All_Questions,All_Questions_Options_Names,"None_options")),2),""))</f>
        <v/>
      </c>
      <c r="H17" s="2" t="n"/>
      <c r="I17" s="2" t="str">
        <f>IF(All_Questions_Q2_CT="(None)","",IFERROR(INDEX(INDIRECT(XLOOKUP(All_Questions_Q2_CT,All_Questions,All_Questions_Options_Names,"None_options")),3),""))</f>
        <v/>
      </c>
      <c r="J17" s="2" t="n"/>
      <c r="K17" s="2" t="str">
        <f>IF(All_Questions_Q2_CT="(None)","",IFERROR(INDEX(INDIRECT(XLOOKUP(All_Questions_Q2_CT,All_Questions,All_Questions_Options_Names,"None_options")),4),""))</f>
        <v/>
      </c>
      <c r="L17" s="2" t="n"/>
      <c r="M17" s="2" t="str">
        <f>IF(All_Questions_Q2_CT="(None)","",IFERROR(INDEX(INDIRECT(XLOOKUP(All_Questions_Q2_CT,All_Questions,All_Questions_Options_Names,"None_options")),5),""))</f>
        <v/>
      </c>
      <c r="N17" s="2" t="n"/>
      <c r="O17" s="2" t="str">
        <f>IF(All_Questions_Q2_CT="(None)","",IFERROR(INDEX(INDIRECT(XLOOKUP(All_Questions_Q2_CT,All_Questions,All_Questions_Options_Names,"None_options")),6),""))</f>
        <v/>
      </c>
      <c r="P17" s="2" t="n"/>
      <c r="Q17" s="2" t="str">
        <f>IF(All_Questions_Q2_CT="(None)","",IFERROR(INDEX(INDIRECT(XLOOKUP(All_Questions_Q2_CT,All_Questions,All_Questions_Options_Names,"None_options")),7),""))</f>
        <v/>
      </c>
      <c r="R17" s="2" t="n"/>
      <c r="S17" s="2" t="str">
        <f>IF(All_Questions_Q2_CT="(None)","",IFERROR(INDEX(INDIRECT(XLOOKUP(All_Questions_Q2_CT,All_Questions,All_Questions_Options_Names,"None_options")),8),""))</f>
        <v/>
      </c>
      <c r="T17" s="2" t="n"/>
      <c r="U17" s="2" t="str">
        <f>IF(All_Questions_Q2_CT="(None)","",IFERROR(INDEX(INDIRECT(XLOOKUP(All_Questions_Q2_CT,All_Questions,All_Questions_Options_Names,"None_options")),9),""))</f>
        <v/>
      </c>
      <c r="V17" s="2" t="n"/>
      <c r="W17" s="2" t="str">
        <f>IF(All_Questions_Q2_CT="(None)","",IFERROR(INDEX(INDIRECT(XLOOKUP(All_Questions_Q2_CT,All_Questions,All_Questions_Options_Names,"None_options")),10),""))</f>
        <v/>
      </c>
      <c r="X17" s="2" t="n"/>
      <c r="Y17" s="2" t="str">
        <f>IF(All_Questions_Q2_CT="(None)","",IFERROR(INDEX(INDIRECT(XLOOKUP(All_Questions_Q2_CT,All_Questions,All_Questions_Options_Names,"None_options")),11),""))</f>
        <v/>
      </c>
      <c r="Z17" s="2" t="n"/>
      <c r="AA17" s="2" t="str">
        <f>IF(All_Questions_Q2_CT="(None)","",IFERROR(INDEX(INDIRECT(XLOOKUP(All_Questions_Q2_CT,All_Questions,All_Questions_Options_Names,"None_options")),12),""))</f>
        <v/>
      </c>
      <c r="AB17" s="2" t="n"/>
      <c r="AC17" s="2" t="str">
        <f>IF(All_Questions_Q2_CT="(None)","",IF(COUNTA(INDIRECT(XLOOKUP(All_Questions_Q2_CT,All_Questions,All_Questions_Options_Names,"None_options")))-1&gt;11,"Other",IFERROR(INDEX(INDIRECT(XLOOKUP(All_Questions_Q2_CT,All_Questions,All_Questions_Options_Names,"None_options")),13),"")))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G$17)),0)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I$17)),0)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K$17)),0)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M$17)),0)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O$17)),0)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Q$17)),0)</f>
        <v>0</v>
      </c>
      <c r="S19">
        <f>IF(OR(All_Questions_Q2_CT="(None)",S$17=""),"",COUNTIFS(Q2_data,"Version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S$17)),0)</f>
        <v>0</v>
      </c>
      <c r="U19">
        <f>IF(OR(All_Questions_Q2_CT="(None)",U$17=""),"",COUNTIFS(Q2_data,"Version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U$17)),0)</f>
        <v>0</v>
      </c>
      <c r="W19">
        <f>IF(OR(All_Questions_Q2_CT="(None)",W$17=""),"",COUNTIFS(Q2_data,"Version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W$17)),0)</f>
        <v>0</v>
      </c>
      <c r="Y19">
        <f>IF(OR(All_Questions_Q2_CT="(None)",Y$17=""),"",COUNTIFS(Q2_data,"Version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Y$17)),0)</f>
        <v>0</v>
      </c>
      <c r="AA19">
        <f>IF(OR(All_Questions_Q2_CT="(None)",AA$17=""),"",COUNTIFS(Q2_data,"Version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AA$17)),0)</f>
        <v>0</v>
      </c>
      <c r="AC19">
        <f>IF(OR(All_Questions_Q2_CT="(None)",AC$17=""),"",IF(AC$17="Other",COUNTIFS(Q2_data,"Version 2",passes_workbook_filters_data,1,passes_workbook_custom_filters_data,1,All_Questions_passes_local_filters_data,1,All_Questions_Q2_F_passes_per_q_filter_data,1)-SUM(G19,I19,K19,M19,O19,Q19,S19,U19,W19,Y19,AA19),COUNTIFS(Q2_data,"Version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2_F_passes_per_q_filter_data,1)-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G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I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K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M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O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Q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S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U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W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Y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AA$17)),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AC$17))),0)</f>
        <v>0</v>
      </c>
      <c r="AE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G$17)),0)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I$17)),0)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K$17)),0)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M$17)),0)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O$17)),0)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Q$17)),0)</f>
        <v>0</v>
      </c>
      <c r="S20">
        <f>IF(OR(All_Questions_Q2_CT="(None)",S$17=""),"",COUNTIFS(Q2_data,"Version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S$17)),0)</f>
        <v>0</v>
      </c>
      <c r="U20">
        <f>IF(OR(All_Questions_Q2_CT="(None)",U$17=""),"",COUNTIFS(Q2_data,"Version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U$17)),0)</f>
        <v>0</v>
      </c>
      <c r="W20">
        <f>IF(OR(All_Questions_Q2_CT="(None)",W$17=""),"",COUNTIFS(Q2_data,"Version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W$17)),0)</f>
        <v>0</v>
      </c>
      <c r="Y20">
        <f>IF(OR(All_Questions_Q2_CT="(None)",Y$17=""),"",COUNTIFS(Q2_data,"Version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Y$17)),0)</f>
        <v>0</v>
      </c>
      <c r="AA20">
        <f>IF(OR(All_Questions_Q2_CT="(None)",AA$17=""),"",COUNTIFS(Q2_data,"Version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AA$17)),0)</f>
        <v>0</v>
      </c>
      <c r="AC20">
        <f>IF(OR(All_Questions_Q2_CT="(None)",AC$17=""),"",IF(AC$17="Other",COUNTIFS(Q2_data,"Version 3",passes_workbook_filters_data,1,passes_workbook_custom_filters_data,1,All_Questions_passes_local_filters_data,1,All_Questions_Q2_F_passes_per_q_filter_data,1)-SUM(G20,I20,K20,M20,O20,Q20,S20,U20,W20,Y20,AA20),COUNTIFS(Q2_data,"Version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2_F_passes_per_q_filter_data,1)-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G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I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K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M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O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Q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S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U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W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Y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AA$17)),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AC$17))),0)</f>
        <v>0</v>
      </c>
      <c r="AE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=INDIRECT(XLOOKUP(All_Questions_Q2_F_Q,All_Questions,All_Questions_Options_Names,"None_options"))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2026-05-18T10:52:01Z</dcterms:created>
  <dcterms:modified xmlns:dcterms="http://purl.org/dc/terms/" xmlns:xsi="http://www.w3.org/2001/XMLSchema-instance" xsi:type="dcterms:W3CDTF">2026-05-18T10:52:01Z</dcterms:modified>
</cp:coreProperties>
</file>