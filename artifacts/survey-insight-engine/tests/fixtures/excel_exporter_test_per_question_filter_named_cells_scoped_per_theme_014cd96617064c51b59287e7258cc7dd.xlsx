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F_passes_per_q_filter_data">'_RawData'!$S$2:$S$11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F_passes_per_q_filter_data">'_RawData'!$T$2:$T$11</definedName>
    <definedName name="All_Questions_Q_VERY_LONG_SINGLE_SELECT_EXPORT_NAME_CT">'All Questions'!$C$32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  <c r="F31" i="9"/>
  <c r="G31" i="9"/>
  <c r="G34" i="9"/>
  <c r="H34" i="9"/>
  <c r="I34" i="9"/>
  <c r="J34" i="9"/>
  <c r="K34" i="9"/>
  <c r="L34" i="9"/>
  <c r="M34" i="9"/>
  <c r="N34" i="9"/>
  <c r="B35" i="9"/>
  <c r="C35" i="9"/>
  <c r="D35" i="9"/>
  <c r="G35" i="9"/>
  <c r="H35" i="9"/>
  <c r="I35" i="9"/>
  <c r="J35" i="9"/>
  <c r="K35" i="9"/>
  <c r="L35" i="9"/>
  <c r="M35" i="9"/>
  <c r="N35" i="9"/>
  <c r="O35" i="9"/>
  <c r="B36" i="9"/>
  <c r="C36" i="9"/>
  <c r="D36" i="9"/>
  <c r="G36" i="9"/>
  <c r="H36" i="9"/>
  <c r="I36" i="9"/>
  <c r="J36" i="9"/>
  <c r="K36" i="9"/>
  <c r="L36" i="9"/>
  <c r="M36" i="9"/>
  <c r="N36" i="9"/>
  <c r="O36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IF(All_Questions_Q_MS_EXPORT_F_Q="(None)","respondent_id_data",All_Questions_Q_MS_EXPORT_F_Q &amp; "_data")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IFERROR(INDEX(INDIRECT(All_Questions_Q_MS_EXPORT_CT &amp; "_options"),2),"")</f>
        <v/>
      </c>
      <c r="H16" t="str">
        <f>IFERROR(INDEX(INDIRECT(All_Questions_Q_MS_EXPORT_CT &amp; "_options"),3),"")</f>
        <v/>
      </c>
      <c r="I16" t="str">
        <f>IFERROR(INDEX(INDIRECT(All_Questions_Q_MS_EXPORT_CT &amp; "_options"),4),"")</f>
        <v/>
      </c>
      <c r="J16" t="str">
        <f>IFERROR(INDEX(INDIRECT(All_Questions_Q_MS_EXPORT_CT &amp; "_options"),5),"")</f>
        <v/>
      </c>
      <c r="K16" t="str">
        <f>IFERROR(INDEX(INDIRECT(All_Questions_Q_MS_EXPORT_CT &amp; "_options"),6),"")</f>
        <v/>
      </c>
      <c r="L16" t="str">
        <f>IFERROR(INDEX(INDIRECT(All_Questions_Q_MS_EXPORT_CT &amp; "_options"),7),"")</f>
        <v/>
      </c>
      <c r="M16" t="str">
        <f>IFERROR(INDEX(INDIRECT(All_Questions_Q_MS_EXPORT_CT &amp; "_options"),8),"")</f>
        <v/>
      </c>
      <c r="N16" t="str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IF(All_Questions_Q_GRID_EXPORT_F_Q="(None)","respondent_id_data",All_Questions_Q_GRID_EXPORT_F_Q &amp; "_data")</f>
        <v>respondent_id_data</v>
      </c>
      <c r="G22" t="str">
        <f>"|" &amp; SUBSTITUTE(All_Questions_Q_GRID_EXPORT_F_V,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IFERROR(INDEX(INDIRECT(All_Questions_Q_GRID_EXPORT_CT &amp; "_options"),2),"")</f>
        <v/>
      </c>
      <c r="H25" t="str">
        <f>IFERROR(INDEX(INDIRECT(All_Questions_Q_GRID_EXPORT_CT &amp; "_options"),3),"")</f>
        <v/>
      </c>
      <c r="I25" t="str">
        <f>IFERROR(INDEX(INDIRECT(All_Questions_Q_GRID_EXPORT_CT &amp; "_options"),4),"")</f>
        <v/>
      </c>
      <c r="J25" t="str">
        <f>IFERROR(INDEX(INDIRECT(All_Questions_Q_GRID_EXPORT_CT &amp; "_options"),5),"")</f>
        <v/>
      </c>
      <c r="K25" t="str">
        <f>IFERROR(INDEX(INDIRECT(All_Questions_Q_GRID_EXPORT_CT &amp; "_options"),6),"")</f>
        <v/>
      </c>
      <c r="L25" t="str">
        <f>IFERROR(INDEX(INDIRECT(All_Questions_Q_GRID_EXPORT_CT &amp; "_options"),7),"")</f>
        <v/>
      </c>
      <c r="M25" t="str">
        <f>IFERROR(INDEX(INDIRECT(All_Questions_Q_GRID_EXPORT_CT &amp; "_options"),8),"")</f>
        <v/>
      </c>
      <c r="N25" t="str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COUNTIFS(Q_GRID_EXPORTr1_data,"Selected",passes_workbook_filters_data,1,passes_workbook_custom_filters_data,1,All_Questions_passes_local_filters_data,1,All_Questions_Q_GRID_EXPORT_F_passes_per_q_filter_data,1)</f>
        <v>10</v>
      </c>
      <c r="C26" s="7">
        <f>IFERROR(B26/SUBTOTAL(9,B26:B27),0)</f>
        <v>0.5</v>
      </c>
      <c r="D26" s="14">
        <f>SUBTOTAL(9,B26:B27)</f>
        <v>20</v>
      </c>
      <c r="F26" t="inlineStr">
        <is>
          <t>Grid first row</t>
        </is>
      </c>
      <c r="G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6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6">
        <f>SUM(G26:N26)</f>
        <v>0</v>
      </c>
    </row>
    <row r="27">
      <c r="A27" t="inlineStr">
        <is>
          <t>Grid second row</t>
        </is>
      </c>
      <c r="B27">
        <f>COUNTIFS(Q_GRID_EXPORTr2_data,"Selected",passes_workbook_filters_data,1,passes_workbook_custom_filters_data,1,All_Questions_passes_local_filters_data,1,All_Questions_Q_GRID_EXPORT_F_passes_per_q_filter_data,1)</f>
        <v>10</v>
      </c>
      <c r="C27" s="7">
        <f>IFERROR(B27/SUBTOTAL(9,B26:B27),0)</f>
        <v>0.5</v>
      </c>
      <c r="D27" s="14">
        <f>SUBTOTAL(9,B26:B27)</f>
        <v>20</v>
      </c>
      <c r="F27" t="inlineStr">
        <is>
          <t>Grid second row</t>
        </is>
      </c>
      <c r="G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"_data"),G$25)</f>
        <v>0</v>
      </c>
      <c r="H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"_data"),H$25)</f>
        <v>0</v>
      </c>
      <c r="I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"_data"),I$25)</f>
        <v>0</v>
      </c>
      <c r="J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"_data"),J$25)</f>
        <v>0</v>
      </c>
      <c r="K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"_data"),K$25)</f>
        <v>0</v>
      </c>
      <c r="L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"_data"),L$25)</f>
        <v>0</v>
      </c>
      <c r="M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"_data"),M$25)</f>
        <v>0</v>
      </c>
      <c r="N27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IF(All_Questions_Q_VERY_LONG_SINGLE_SELECT_EXPORT_NAME_F_Q="(None)","respondent_id_data",All_Questions_Q_VERY_LONG_SINGLE_SELECT_EXPORT_NAME_F_Q &amp; "_data")</f>
        <v>respondent_id_data</v>
      </c>
      <c r="G31" t="str">
        <f>"|" &amp; SUBSTITUTE(All_Questions_Q_VERY_LONG_SINGLE_SELECT_EXPORT_NAME_F_V,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 t="str">
        <f>IFERROR(INDEX(INDIRECT(All_Questions_Q_VERY_LONG_SINGLE_SELECT_EXPORT_NAME_CT &amp; "_options"),2),"")</f>
        <v/>
      </c>
      <c r="H34" t="str">
        <f>IFERROR(INDEX(INDIRECT(All_Questions_Q_VERY_LONG_SINGLE_SELECT_EXPORT_NAME_CT &amp; "_options"),3),"")</f>
        <v/>
      </c>
      <c r="I34" t="str">
        <f>IFERROR(INDEX(INDIRECT(All_Questions_Q_VERY_LONG_SINGLE_SELECT_EXPORT_NAME_CT &amp; "_options"),4),"")</f>
        <v/>
      </c>
      <c r="J34" t="str">
        <f>IFERROR(INDEX(INDIRECT(All_Questions_Q_VERY_LONG_SINGLE_SELECT_EXPORT_NAME_CT &amp; "_options"),5),"")</f>
        <v/>
      </c>
      <c r="K34" t="str">
        <f>IFERROR(INDEX(INDIRECT(All_Questions_Q_VERY_LONG_SINGLE_SELECT_EXPORT_NAME_CT &amp; "_options"),6),"")</f>
        <v/>
      </c>
      <c r="L34" t="str">
        <f>IFERROR(INDEX(INDIRECT(All_Questions_Q_VERY_LONG_SINGLE_SELECT_EXPORT_NAME_CT &amp; "_options"),7),"")</f>
        <v/>
      </c>
      <c r="M34" t="str">
        <f>IFERROR(INDEX(INDIRECT(All_Questions_Q_VERY_LONG_SINGLE_SELECT_EXPORT_NAME_CT &amp; "_options"),8),"")</f>
        <v/>
      </c>
      <c r="N34" t="str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5" s="7">
        <f>IFERROR(B35/SUBTOTAL(9,B35:B36),0)</f>
        <v>0.7</v>
      </c>
      <c r="D35" s="14">
        <f>SUBTOTAL(9,B35:B36)</f>
        <v>10</v>
      </c>
      <c r="F35" t="inlineStr">
        <is>
          <t>A</t>
        </is>
      </c>
      <c r="G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5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5">
        <f>SUM(G35:N35)</f>
        <v>0</v>
      </c>
    </row>
    <row r="36">
      <c r="A36" t="inlineStr">
        <is>
          <t>B</t>
        </is>
      </c>
      <c r="B3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6" s="7">
        <f>IFERROR(B36/SUBTOTAL(9,B35:B36),0)</f>
        <v>0.3</v>
      </c>
      <c r="D36" s="14">
        <f>SUBTOTAL(9,B35:B36)</f>
        <v>10</v>
      </c>
      <c r="F36" t="inlineStr">
        <is>
          <t>B</t>
        </is>
      </c>
      <c r="G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"_data"),G$34)</f>
        <v>0</v>
      </c>
      <c r="H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"_data"),H$34)</f>
        <v>0</v>
      </c>
      <c r="I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"_data"),I$34)</f>
        <v>0</v>
      </c>
      <c r="J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"_data"),J$34)</f>
        <v>0</v>
      </c>
      <c r="K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"_data"),K$34)</f>
        <v>0</v>
      </c>
      <c r="L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"_data"),L$34)</f>
        <v>0</v>
      </c>
      <c r="M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"_data"),M$34)</f>
        <v>0</v>
      </c>
      <c r="N36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"_data"),N$34)</f>
        <v>0</v>
      </c>
      <c r="O36">
        <f>SUM(G36:N36)</f>
        <v>0</v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2026-05-15T07:05:28Z</dcterms:created>
  <dcterms:modified xmlns:dcterms="http://purl.org/dc/terms/" xmlns:xsi="http://www.w3.org/2001/XMLSchema-instance" xsi:type="dcterms:W3CDTF">2026-05-15T07:05:28Z</dcterms:modified>
</cp:coreProperties>
</file>