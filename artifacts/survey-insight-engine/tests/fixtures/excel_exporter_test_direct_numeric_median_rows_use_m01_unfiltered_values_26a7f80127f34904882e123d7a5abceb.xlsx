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IF(All_Questions_Q8_CT="(None)","",IFERROR(INDEX(INDIRECT(IFERROR(INDEX(All_Questions_Options_Names,MATCH(All_Questions_Q8_CT,All_Questions,0)),"'_Options'!$E$2:$E$2")),2),""))</f>
        <v/>
      </c>
      <c r="H23" s="2" t="str">
        <f>IF(All_Questions_Q8_CT="(None)","",IFERROR(INDEX(INDIRECT(IFERROR(INDEX(All_Questions_Options_Names,MATCH(All_Questions_Q8_CT,All_Questions,0)),"'_Options'!$E$2:$E$2")),3),""))</f>
        <v/>
      </c>
      <c r="I23" s="2" t="str">
        <f>IF(All_Questions_Q8_CT="(None)","",IFERROR(INDEX(INDIRECT(IFERROR(INDEX(All_Questions_Options_Names,MATCH(All_Questions_Q8_CT,All_Questions,0)),"'_Options'!$E$2:$E$2")),4),""))</f>
        <v/>
      </c>
      <c r="J23" s="2" t="str">
        <f>IF(All_Questions_Q8_CT="(None)","",IFERROR(INDEX(INDIRECT(IFERROR(INDEX(All_Questions_Options_Names,MATCH(All_Questions_Q8_CT,All_Questions,0)),"'_Options'!$E$2:$E$2")),5),""))</f>
        <v/>
      </c>
      <c r="K23" s="2" t="str">
        <f>IF(All_Questions_Q8_CT="(None)","",IFERROR(INDEX(INDIRECT(IFERROR(INDEX(All_Questions_Options_Names,MATCH(All_Questions_Q8_CT,All_Questions,0)),"'_Options'!$E$2:$E$2")),6),""))</f>
        <v/>
      </c>
      <c r="L23" s="2" t="str">
        <f>IF(All_Questions_Q8_CT="(None)","",IFERROR(INDEX(INDIRECT(IFERROR(INDEX(All_Questions_Options_Names,MATCH(All_Questions_Q8_CT,All_Questions,0)),"'_Options'!$E$2:$E$2")),7),""))</f>
        <v/>
      </c>
      <c r="M23" s="2" t="str">
        <f>IF(All_Questions_Q8_CT="(None)","",IFERROR(INDEX(INDIRECT(IFERROR(INDEX(All_Questions_Options_Names,MATCH(All_Questions_Q8_CT,All_Questions,0)),"'_Options'!$E$2:$E$2")),8),""))</f>
        <v/>
      </c>
      <c r="N23" s="2" t="str">
        <f>IF(All_Questions_Q8_CT="(None)","",IFERROR(INDEX(INDIRECT(IFERROR(INDEX(All_Questions_Options_Names,MATCH(All_Questions_Q8_CT,All_Questions,0)),"'_Options'!$E$2:$E$2")),9),""))</f>
        <v/>
      </c>
      <c r="O23" s="2" t="str">
        <f>IF(All_Questions_Q8_CT="(None)","",IFERROR(INDEX(INDIRECT(IFERROR(INDEX(All_Questions_Options_Names,MATCH(All_Questions_Q8_CT,All_Questions,0)),"'_Options'!$E$2:$E$2")),10),""))</f>
        <v/>
      </c>
      <c r="P23" s="2" t="str">
        <f>IF(All_Questions_Q8_CT="(None)","",IFERROR(INDEX(INDIRECT(IFERROR(INDEX(All_Questions_Options_Names,MATCH(All_Questions_Q8_CT,All_Questions,0)),"'_Options'!$E$2:$E$2")),11),""))</f>
        <v/>
      </c>
      <c r="Q23" s="2" t="str">
        <f>IF(All_Questions_Q8_CT="(None)","",IFERROR(INDEX(INDIRECT(IFERROR(INDEX(All_Questions_Options_Names,MATCH(All_Questions_Q8_CT,All_Questions,0)),"'_Options'!$E$2:$E$2")),12),""))</f>
        <v/>
      </c>
      <c r="R23" s="2" t="str">
        <f>IF(All_Questions_Q8_CT="(None)","",IF(COUNTA(INDIRECT(IFERROR(INDEX(All_Questions_Options_Names,MATCH(All_Questions_Q8_CT,All_Questions,0)),"'_Options'!$E$2:$E$2")))-1&gt;11,"Other",IFERROR(INDEX(INDIRECT(IFERROR(INDEX(All_Questions_Options_Names,MATCH(All_Questions_Q8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IFERROR(INDEX(All_Questions_Data_Names,MATCH(All_Questions_Q9_F_Q,All_Questions,0)),"'_RawData'!$A:$A")</f>
        <v>respondent_id_data</v>
      </c>
      <c r="G30" t="str">
        <f>"|" &amp; SUBSTITUTE(All_Questions_Q9_F_V, ", ", "|") &amp; "|"</f>
        <v>|(All)|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IF(All_Questions_Q9_CT="(None)","",IFERROR(INDEX(INDIRECT(IFERROR(INDEX(All_Questions_Options_Names,MATCH(All_Questions_Q9_CT,All_Questions,0)),"'_Options'!$E$2:$E$2")),2),""))</f>
        <v/>
      </c>
      <c r="H40" s="2" t="str">
        <f>IF(All_Questions_Q9_CT="(None)","",IFERROR(INDEX(INDIRECT(IFERROR(INDEX(All_Questions_Options_Names,MATCH(All_Questions_Q9_CT,All_Questions,0)),"'_Options'!$E$2:$E$2")),3),""))</f>
        <v/>
      </c>
      <c r="I40" s="2" t="str">
        <f>IF(All_Questions_Q9_CT="(None)","",IFERROR(INDEX(INDIRECT(IFERROR(INDEX(All_Questions_Options_Names,MATCH(All_Questions_Q9_CT,All_Questions,0)),"'_Options'!$E$2:$E$2")),4),""))</f>
        <v/>
      </c>
      <c r="J40" s="2" t="str">
        <f>IF(All_Questions_Q9_CT="(None)","",IFERROR(INDEX(INDIRECT(IFERROR(INDEX(All_Questions_Options_Names,MATCH(All_Questions_Q9_CT,All_Questions,0)),"'_Options'!$E$2:$E$2")),5),""))</f>
        <v/>
      </c>
      <c r="K40" s="2" t="str">
        <f>IF(All_Questions_Q9_CT="(None)","",IFERROR(INDEX(INDIRECT(IFERROR(INDEX(All_Questions_Options_Names,MATCH(All_Questions_Q9_CT,All_Questions,0)),"'_Options'!$E$2:$E$2")),6),""))</f>
        <v/>
      </c>
      <c r="L40" s="2" t="str">
        <f>IF(All_Questions_Q9_CT="(None)","",IFERROR(INDEX(INDIRECT(IFERROR(INDEX(All_Questions_Options_Names,MATCH(All_Questions_Q9_CT,All_Questions,0)),"'_Options'!$E$2:$E$2")),7),""))</f>
        <v/>
      </c>
      <c r="M40" s="2" t="str">
        <f>IF(All_Questions_Q9_CT="(None)","",IFERROR(INDEX(INDIRECT(IFERROR(INDEX(All_Questions_Options_Names,MATCH(All_Questions_Q9_CT,All_Questions,0)),"'_Options'!$E$2:$E$2")),8),""))</f>
        <v/>
      </c>
      <c r="N40" s="2" t="str">
        <f>IF(All_Questions_Q9_CT="(None)","",IFERROR(INDEX(INDIRECT(IFERROR(INDEX(All_Questions_Options_Names,MATCH(All_Questions_Q9_CT,All_Questions,0)),"'_Options'!$E$2:$E$2")),9),""))</f>
        <v/>
      </c>
      <c r="O40" s="2" t="str">
        <f>IF(All_Questions_Q9_CT="(None)","",IFERROR(INDEX(INDIRECT(IFERROR(INDEX(All_Questions_Options_Names,MATCH(All_Questions_Q9_CT,All_Questions,0)),"'_Options'!$E$2:$E$2")),10),""))</f>
        <v/>
      </c>
      <c r="P40" s="2" t="str">
        <f>IF(All_Questions_Q9_CT="(None)","",IFERROR(INDEX(INDIRECT(IFERROR(INDEX(All_Questions_Options_Names,MATCH(All_Questions_Q9_CT,All_Questions,0)),"'_Options'!$E$2:$E$2")),11),""))</f>
        <v/>
      </c>
      <c r="Q40" s="2" t="str">
        <f>IF(All_Questions_Q9_CT="(None)","",IFERROR(INDEX(INDIRECT(IFERROR(INDEX(All_Questions_Options_Names,MATCH(All_Questions_Q9_CT,All_Questions,0)),"'_Options'!$E$2:$E$2")),12),""))</f>
        <v/>
      </c>
      <c r="R40" s="2" t="str">
        <f>IF(All_Questions_Q9_CT="(None)","",IF(COUNTA(INDIRECT(IFERROR(INDEX(All_Questions_Options_Names,MATCH(All_Questions_Q9_CT,All_Questions,0)),"'_Options'!$E$2:$E$2")))-1&gt;11,"Other",IFERROR(INDEX(INDIRECT(IFERROR(INDEX(All_Questions_Options_Names,MATCH(All_Questions_Q9_CT,All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2026-06-08T08:49:21.701493+00:00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2026-06-08T08:49:21.701542+00:00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2026-06-08T08:49:21.701563+00:00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2026-06-08T08:49:21.701581+00:00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2026-06-08T08:49:21.701600+00:00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2026-06-08T08:49:21.701618+00:00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2026-06-08T08:49:21.701635+00:00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2026-06-08T08:49:21.701653+00:00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2026-06-08T08:49:21.701670+00:00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2026-06-08T08:49:21.701689+00:00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2026-06-08T08:49:21.701707+00:00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2026-06-08T08:49:21.701732+00:00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2026-06-08T08:49:21.706456+00:00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2026-06-08T08:49:21.706491+00:00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2026-06-08T08:49:21.706511+00:00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2026-06-08T08:49:21.706530+00:00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2026-06-08T08:49:21.706546+00:00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2026-06-08T08:49:21.706565+00:00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2026-06-08T08:49:21.706583+00:00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2026-06-08T08:49:21.706601+00:00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2026-06-08T08:49:21.706618+00:00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2026-06-08T08:49:21.706636+00:00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2026-06-08T08:49:21.706653+00:00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2026-06-08T08:49:21.706677+00:00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2026-06-08T08:49:20Z</dcterms:created>
  <dcterms:modified xmlns:dcterms="http://purl.org/dc/terms/" xmlns:xsi="http://www.w3.org/2001/XMLSchema-instance" xsi:type="dcterms:W3CDTF">2026-06-08T08:49:21Z</dcterms:modified>
</cp:coreProperties>
</file>