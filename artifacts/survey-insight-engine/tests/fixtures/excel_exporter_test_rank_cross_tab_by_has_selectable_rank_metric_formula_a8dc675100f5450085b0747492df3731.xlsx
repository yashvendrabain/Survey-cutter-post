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PTS">'All Questions'!$C$16:$C$19</definedName>
    <definedName name="All_Questions_Q_RANK_RM">'All Questions'!$Q$29</definedName>
    <definedName name="All_Questions_Q_RANK_RP">'All Questions'!$Q$30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B25" i="7"/>
  <c r="B26" i="7"/>
  <c r="C27" i="7"/>
  <c r="B29" i="7"/>
  <c r="C29" i="7"/>
  <c r="D29" i="7"/>
  <c r="E29" i="7"/>
  <c r="F29" i="7"/>
  <c r="G29" i="7"/>
  <c r="H29" i="7"/>
  <c r="I29" i="7"/>
  <c r="J29" i="7"/>
  <c r="K29" i="7"/>
  <c r="L29" i="7"/>
  <c r="M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N3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10</v>
      </c>
    </row>
    <row r="17">
      <c r="A17" s="15" t="n"/>
      <c r="B17" s="15" t="inlineStr">
        <is>
          <t>Rank 2</t>
        </is>
      </c>
      <c r="C17" s="16" t="n">
        <v>6</v>
      </c>
    </row>
    <row r="18">
      <c r="A18" s="15" t="n"/>
      <c r="B18" s="15" t="inlineStr">
        <is>
          <t>Rank 3</t>
        </is>
      </c>
      <c r="C18" s="16" t="n">
        <v>3</v>
      </c>
    </row>
    <row r="19">
      <c r="A19" s="15" t="n"/>
      <c r="B19" s="15" t="inlineStr">
        <is>
          <t>Rank 4</t>
        </is>
      </c>
      <c r="C19" s="16" t="n">
        <v>0</v>
      </c>
    </row>
    <row r="20"/>
    <row r="21">
      <c r="A21" s="4" t="inlineStr">
        <is>
          <t>Option ID</t>
        </is>
      </c>
      <c r="B21" s="4" t="inlineStr">
        <is>
          <t>Option</t>
        </is>
      </c>
      <c r="C21" s="4" t="inlineStr">
        <is>
          <t>Weighted Average</t>
        </is>
      </c>
      <c r="D21" s="4" t="inlineStr">
        <is>
          <t>1</t>
        </is>
      </c>
      <c r="E21" s="2" t="n"/>
      <c r="F21" s="4" t="inlineStr">
        <is>
          <t>2</t>
        </is>
      </c>
      <c r="G21" s="2" t="n"/>
      <c r="H21" s="4" t="inlineStr">
        <is>
          <t>3</t>
        </is>
      </c>
      <c r="I21" s="2" t="n"/>
      <c r="J21" s="4" t="inlineStr">
        <is>
          <t>4</t>
        </is>
      </c>
      <c r="K21" s="2" t="n"/>
    </row>
    <row r="22">
      <c r="A22" s="2" t="n"/>
      <c r="B22" s="2" t="n"/>
      <c r="C22" s="4" t="inlineStr">
        <is>
          <t>0-K</t>
        </is>
      </c>
      <c r="D22" s="4" t="inlineStr">
        <is>
          <t># of respondents</t>
        </is>
      </c>
      <c r="E22" s="4" t="inlineStr">
        <is>
          <t>% of respondents</t>
        </is>
      </c>
      <c r="F22" s="4" t="inlineStr">
        <is>
          <t># of respondents</t>
        </is>
      </c>
      <c r="G22" s="4" t="inlineStr">
        <is>
          <t>% of respondents</t>
        </is>
      </c>
      <c r="H22" s="4" t="inlineStr">
        <is>
          <t># of respondents</t>
        </is>
      </c>
      <c r="I22" s="4" t="inlineStr">
        <is>
          <t>% of respondents</t>
        </is>
      </c>
      <c r="J22" s="4" t="inlineStr">
        <is>
          <t># of respondents</t>
        </is>
      </c>
      <c r="K22" s="4" t="inlineStr">
        <is>
          <t>% of respondents</t>
        </is>
      </c>
    </row>
    <row r="23">
      <c r="A23" s="17" t="inlineStr">
        <is>
          <t>Q_RANK_A</t>
        </is>
      </c>
      <c r="B23" t="inlineStr">
        <is>
          <t>Vendor A</t>
        </is>
      </c>
      <c r="C23" s="18">
        <f>IFERROR((INDEX(All_Questions_Q_RANK_PTS,1)*COUNTIFS(Q_RANK_A_data,"1",passes_workbook_filters_data,1,passes_workbook_custom_filters_data,1,All_Questions_passes_local_filters_data,1,All_Questions_Q_RANK_F_passes_per_q_filter_data,1) + INDEX(All_Questions_Q_RANK_PTS,2)*COUNTIFS(Q_RANK_A_data,"2",passes_workbook_filters_data,1,passes_workbook_custom_filters_data,1,All_Questions_passes_local_filters_data,1,All_Questions_Q_RANK_F_passes_per_q_filter_data,1) + INDEX(All_Questions_Q_RANK_PTS,3)*COUNTIFS(Q_RANK_A_data,"3",passes_workbook_filters_data,1,passes_workbook_custom_filters_data,1,All_Questions_passes_local_filters_data,1,All_Questions_Q_RANK_F_passes_per_q_filter_data,1) + INDEX(All_Questions_Q_RANK_PTS,4)*COUNTIFS(Q_RANK_A_data,"4",passes_workbook_filters_data,1,passes_workbook_custom_filters_data,1,All_Questions_passes_local_filters_data,1,All_Questions_Q_RANK_F_passes_per_q_filter_data,1))/$B$25,0)</f>
        <v>4.75</v>
      </c>
      <c r="D23" s="19">
        <f>COUNTIFS(Q_RANK_A_data,"1",passes_workbook_filters_data,1,passes_workbook_custom_filters_data,1,All_Questions_passes_local_filters_data,1,All_Questions_Q_RANK_F_passes_per_q_filter_data,1)</f>
        <v>1</v>
      </c>
      <c r="E23" s="7">
        <f>IFERROR(D23/$B$25,0)</f>
        <v>0.25</v>
      </c>
      <c r="F23" s="19">
        <f>COUNTIFS(Q_RANK_A_data,"2",passes_workbook_filters_data,1,passes_workbook_custom_filters_data,1,All_Questions_passes_local_filters_data,1,All_Questions_Q_RANK_F_passes_per_q_filter_data,1)</f>
        <v>1</v>
      </c>
      <c r="G23" s="7">
        <f>IFERROR(F23/$B$25,0)</f>
        <v>0.25</v>
      </c>
      <c r="H23" s="19">
        <f>COUNTIFS(Q_RANK_A_data,"3",passes_workbook_filters_data,1,passes_workbook_custom_filters_data,1,All_Questions_passes_local_filters_data,1,All_Questions_Q_RANK_F_passes_per_q_filter_data,1)</f>
        <v>1</v>
      </c>
      <c r="I23" s="7">
        <f>IFERROR(H23/$B$25,0)</f>
        <v>0.25</v>
      </c>
      <c r="J23" s="19">
        <f>COUNTIFS(Q_RANK_A_data,"4",passes_workbook_filters_data,1,passes_workbook_custom_filters_data,1,All_Questions_passes_local_filters_data,1,All_Questions_Q_RANK_F_passes_per_q_filter_data,1)</f>
        <v>1</v>
      </c>
      <c r="K23" s="7">
        <f>IFERROR(J23/$B$25,0)</f>
        <v>0.25</v>
      </c>
    </row>
    <row r="24">
      <c r="A24" s="17" t="inlineStr">
        <is>
          <t>Q_RANK_B</t>
        </is>
      </c>
      <c r="B24" t="inlineStr">
        <is>
          <t>Vendor B</t>
        </is>
      </c>
      <c r="C24" s="18">
        <f>IFERROR((INDEX(All_Questions_Q_RANK_PTS,1)*COUNTIFS(Q_RANK_B_data,"1",passes_workbook_filters_data,1,passes_workbook_custom_filters_data,1,All_Questions_passes_local_filters_data,1,All_Questions_Q_RANK_F_passes_per_q_filter_data,1) + INDEX(All_Questions_Q_RANK_PTS,2)*COUNTIFS(Q_RANK_B_data,"2",passes_workbook_filters_data,1,passes_workbook_custom_filters_data,1,All_Questions_passes_local_filters_data,1,All_Questions_Q_RANK_F_passes_per_q_filter_data,1) + INDEX(All_Questions_Q_RANK_PTS,3)*COUNTIFS(Q_RANK_B_data,"3",passes_workbook_filters_data,1,passes_workbook_custom_filters_data,1,All_Questions_passes_local_filters_data,1,All_Questions_Q_RANK_F_passes_per_q_filter_data,1) + INDEX(All_Questions_Q_RANK_PTS,4)*COUNTIFS(Q_RANK_B_data,"4",passes_workbook_filters_data,1,passes_workbook_custom_filters_data,1,All_Questions_passes_local_filters_data,1,All_Questions_Q_RANK_F_passes_per_q_filter_data,1))/$B$25,0)</f>
        <v>3.0</v>
      </c>
      <c r="D24" s="19">
        <f>COUNTIFS(Q_RANK_B_data,"1",passes_workbook_filters_data,1,passes_workbook_custom_filters_data,1,All_Questions_passes_local_filters_data,1,All_Questions_Q_RANK_F_passes_per_q_filter_data,1)</f>
        <v>0</v>
      </c>
      <c r="E24" s="7">
        <f>IFERROR(D24/$B$25,0)</f>
        <v>0.0</v>
      </c>
      <c r="F24" s="19">
        <f>COUNTIFS(Q_RANK_B_data,"2",passes_workbook_filters_data,1,passes_workbook_custom_filters_data,1,All_Questions_passes_local_filters_data,1,All_Questions_Q_RANK_F_passes_per_q_filter_data,1)</f>
        <v>2</v>
      </c>
      <c r="G24" s="7">
        <f>IFERROR(F24/$B$25,0)</f>
        <v>0.5</v>
      </c>
      <c r="H24" s="19">
        <f>COUNTIFS(Q_RANK_B_data,"3",passes_workbook_filters_data,1,passes_workbook_custom_filters_data,1,All_Questions_passes_local_filters_data,1,All_Questions_Q_RANK_F_passes_per_q_filter_data,1)</f>
        <v>0</v>
      </c>
      <c r="I24" s="7">
        <f>IFERROR(H24/$B$25,0)</f>
        <v>0.0</v>
      </c>
      <c r="J24" s="19">
        <f>COUNTIFS(Q_RANK_B_data,"4",passes_workbook_filters_data,1,passes_workbook_custom_filters_data,1,All_Questions_passes_local_filters_data,1,All_Questions_Q_RANK_F_passes_per_q_filter_data,1)</f>
        <v>0</v>
      </c>
      <c r="K24" s="7">
        <f>IFERROR(J24/$B$25,0)</f>
        <v>0.0</v>
      </c>
    </row>
    <row r="25">
      <c r="A25" s="20" t="inlineStr">
        <is>
          <t>Total respondents</t>
        </is>
      </c>
      <c r="B25" s="21">
        <f>SUMPRODUCT(--((--(Q_RANK_A_data&lt;&gt;"")+--(Q_RANK_B_data&lt;&gt;""))&gt;0),--(passes_workbook_filters_data=1),--(passes_workbook_custom_filters_data=1),--(All_Questions_passes_local_filters_data=1),--(All_Questions_Q_RANK_F_passes_per_q_filter_data=1))</f>
        <v>4</v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4" t="inlineStr">
        <is>
          <t>Total responses</t>
        </is>
      </c>
      <c r="B26" s="22">
        <f>SUM(D23,F23,H23,J23,D24,F24,H24,J24)</f>
        <v>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5" t="inlineStr">
        <is>
          <t>QC check</t>
        </is>
      </c>
      <c r="C27">
        <f>B26=SUM(D23,F23,H23,J23,D24,F24,H24,J24)</f>
        <v>1</v>
      </c>
    </row>
    <row r="28"/>
    <row r="29">
      <c r="A29" s="4" t="inlineStr">
        <is>
          <t>Option</t>
        </is>
      </c>
      <c r="B29" s="2" t="str">
        <f>IF(All_Questions_Q_RANK_CT="(None)","",IFERROR(INDEX(INDIRECT(IFERROR(INDEX(Cross_Tab_Questions_Options_Names,MATCH(All_Questions_Q_RANK_CT,Cross_Tab_Questions,0)),"'_Options'!$E$2:$E$2")),2),""))</f>
        <v/>
      </c>
      <c r="C29" s="2" t="str">
        <f>IF(All_Questions_Q_RANK_CT="(None)","",IFERROR(INDEX(INDIRECT(IFERROR(INDEX(Cross_Tab_Questions_Options_Names,MATCH(All_Questions_Q_RANK_CT,Cross_Tab_Questions,0)),"'_Options'!$E$2:$E$2")),3),""))</f>
        <v/>
      </c>
      <c r="D29" s="2" t="str">
        <f>IF(All_Questions_Q_RANK_CT="(None)","",IFERROR(INDEX(INDIRECT(IFERROR(INDEX(Cross_Tab_Questions_Options_Names,MATCH(All_Questions_Q_RANK_CT,Cross_Tab_Questions,0)),"'_Options'!$E$2:$E$2")),4),""))</f>
        <v/>
      </c>
      <c r="E29" s="2" t="str">
        <f>IF(All_Questions_Q_RANK_CT="(None)","",IFERROR(INDEX(INDIRECT(IFERROR(INDEX(Cross_Tab_Questions_Options_Names,MATCH(All_Questions_Q_RANK_CT,Cross_Tab_Questions,0)),"'_Options'!$E$2:$E$2")),5),""))</f>
        <v/>
      </c>
      <c r="F29" s="2" t="str">
        <f>IF(All_Questions_Q_RANK_CT="(None)","",IFERROR(INDEX(INDIRECT(IFERROR(INDEX(Cross_Tab_Questions_Options_Names,MATCH(All_Questions_Q_RANK_CT,Cross_Tab_Questions,0)),"'_Options'!$E$2:$E$2")),6),""))</f>
        <v/>
      </c>
      <c r="G29" s="2" t="str">
        <f>IF(All_Questions_Q_RANK_CT="(None)","",IFERROR(INDEX(INDIRECT(IFERROR(INDEX(Cross_Tab_Questions_Options_Names,MATCH(All_Questions_Q_RANK_CT,Cross_Tab_Questions,0)),"'_Options'!$E$2:$E$2")),7),""))</f>
        <v/>
      </c>
      <c r="H29" s="2" t="str">
        <f>IF(All_Questions_Q_RANK_CT="(None)","",IFERROR(INDEX(INDIRECT(IFERROR(INDEX(Cross_Tab_Questions_Options_Names,MATCH(All_Questions_Q_RANK_CT,Cross_Tab_Questions,0)),"'_Options'!$E$2:$E$2")),8),""))</f>
        <v/>
      </c>
      <c r="I29" s="2" t="str">
        <f>IF(All_Questions_Q_RANK_CT="(None)","",IFERROR(INDEX(INDIRECT(IFERROR(INDEX(Cross_Tab_Questions_Options_Names,MATCH(All_Questions_Q_RANK_CT,Cross_Tab_Questions,0)),"'_Options'!$E$2:$E$2")),9),""))</f>
        <v/>
      </c>
      <c r="J29" s="2" t="str">
        <f>IF(All_Questions_Q_RANK_CT="(None)","",IFERROR(INDEX(INDIRECT(IFERROR(INDEX(Cross_Tab_Questions_Options_Names,MATCH(All_Questions_Q_RANK_CT,Cross_Tab_Questions,0)),"'_Options'!$E$2:$E$2")),10),""))</f>
        <v/>
      </c>
      <c r="K29" s="2" t="str">
        <f>IF(All_Questions_Q_RANK_CT="(None)","",IFERROR(INDEX(INDIRECT(IFERROR(INDEX(Cross_Tab_Questions_Options_Names,MATCH(All_Questions_Q_RANK_CT,Cross_Tab_Questions,0)),"'_Options'!$E$2:$E$2")),11),""))</f>
        <v/>
      </c>
      <c r="L29" s="2" t="str">
        <f>IF(All_Questions_Q_RANK_CT="(None)","",IFERROR(INDEX(INDIRECT(IFERROR(INDEX(Cross_Tab_Questions_Options_Names,MATCH(All_Questions_Q_RANK_CT,Cross_Tab_Questions,0)),"'_Options'!$E$2:$E$2")),12),""))</f>
        <v/>
      </c>
      <c r="M29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N29" s="4" t="inlineStr">
        <is>
          <t>Total</t>
        </is>
      </c>
      <c r="P29" s="14" t="inlineStr">
        <is>
          <t>Rank metric</t>
        </is>
      </c>
      <c r="Q29" s="15" t="inlineStr">
        <is>
          <t>Weighted Average</t>
        </is>
      </c>
    </row>
    <row r="30">
      <c r="A30" s="4" t="inlineStr"/>
      <c r="B30" s="4" t="str">
        <f>IF(All_Questions_Q_RANK_RM="Sum of ranks","Sum of ranks",IF(All_Questions_Q_RANK_RM="Rank position count","Rank position count","Weighted Average"))</f>
        <v>Weighted Average</v>
      </c>
      <c r="C30" s="4" t="str">
        <f>IF(All_Questions_Q_RANK_RM="Sum of ranks","Sum of ranks",IF(All_Questions_Q_RANK_RM="Rank position count","Rank position count","Weighted Average"))</f>
        <v>Weighted Average</v>
      </c>
      <c r="D30" s="4" t="str">
        <f>IF(All_Questions_Q_RANK_RM="Sum of ranks","Sum of ranks",IF(All_Questions_Q_RANK_RM="Rank position count","Rank position count","Weighted Average"))</f>
        <v>Weighted Average</v>
      </c>
      <c r="E30" s="4" t="str">
        <f>IF(All_Questions_Q_RANK_RM="Sum of ranks","Sum of ranks",IF(All_Questions_Q_RANK_RM="Rank position count","Rank position count","Weighted Average"))</f>
        <v>Weighted Average</v>
      </c>
      <c r="F30" s="4" t="str">
        <f>IF(All_Questions_Q_RANK_RM="Sum of ranks","Sum of ranks",IF(All_Questions_Q_RANK_RM="Rank position count","Rank position count","Weighted Average"))</f>
        <v>Weighted Average</v>
      </c>
      <c r="G30" s="4" t="str">
        <f>IF(All_Questions_Q_RANK_RM="Sum of ranks","Sum of ranks",IF(All_Questions_Q_RANK_RM="Rank position count","Rank position count","Weighted Average"))</f>
        <v>Weighted Average</v>
      </c>
      <c r="H30" s="4" t="str">
        <f>IF(All_Questions_Q_RANK_RM="Sum of ranks","Sum of ranks",IF(All_Questions_Q_RANK_RM="Rank position count","Rank position count","Weighted Average"))</f>
        <v>Weighted Average</v>
      </c>
      <c r="I30" s="4" t="str">
        <f>IF(All_Questions_Q_RANK_RM="Sum of ranks","Sum of ranks",IF(All_Questions_Q_RANK_RM="Rank position count","Rank position count","Weighted Average"))</f>
        <v>Weighted Average</v>
      </c>
      <c r="J30" s="4" t="str">
        <f>IF(All_Questions_Q_RANK_RM="Sum of ranks","Sum of ranks",IF(All_Questions_Q_RANK_RM="Rank position count","Rank position count","Weighted Average"))</f>
        <v>Weighted Average</v>
      </c>
      <c r="K30" s="4" t="str">
        <f>IF(All_Questions_Q_RANK_RM="Sum of ranks","Sum of ranks",IF(All_Questions_Q_RANK_RM="Rank position count","Rank position count","Weighted Average"))</f>
        <v>Weighted Average</v>
      </c>
      <c r="L30" s="4" t="str">
        <f>IF(All_Questions_Q_RANK_RM="Sum of ranks","Sum of ranks",IF(All_Questions_Q_RANK_RM="Rank position count","Rank position count","Weighted Average"))</f>
        <v>Weighted Average</v>
      </c>
      <c r="M30" s="4" t="str">
        <f>IF(All_Questions_Q_RANK_RM="Sum of ranks","Sum of ranks",IF(All_Questions_Q_RANK_RM="Rank position count","Rank position count","Weighted Average"))</f>
        <v>Weighted Average</v>
      </c>
      <c r="N30" s="4" t="str">
        <f>IF(All_Questions_Q_RANK_RM="Sum of ranks","Sum of ranks",IF(All_Questions_Q_RANK_RM="Rank position count","Rank position count","Weighted Average"))</f>
        <v>Weighted Average</v>
      </c>
      <c r="P30" s="14" t="inlineStr">
        <is>
          <t>Rank position</t>
        </is>
      </c>
      <c r="Q30" s="15" t="n">
        <v>2</v>
      </c>
    </row>
    <row r="31">
      <c r="A31" t="inlineStr">
        <is>
          <t>Vendor A</t>
        </is>
      </c>
      <c r="B31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4.75</v>
      </c>
      <c r="C31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4.75</v>
      </c>
      <c r="D31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4.75</v>
      </c>
      <c r="E31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4.75</v>
      </c>
      <c r="F31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4.75</v>
      </c>
      <c r="G31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4.75</v>
      </c>
      <c r="H3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4.75</v>
      </c>
      <c r="I31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4.75</v>
      </c>
      <c r="J31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4.75</v>
      </c>
      <c r="K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4.75</v>
      </c>
      <c r="L31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4.75</v>
      </c>
      <c r="M31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4.75</v>
      </c>
      <c r="N31">
        <f>IF(All_Questions_Q_RANK_CT="(None)","",IF(All_Questions_Q_RANK_RM="Sum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INDEX(All_Questions_Q_RANK_PTS,1)*COUNTIFS(Q_RANK_A_data,1,passes_workbook_filters_data,1,passes_workbook_custom_filters_data,1,All_Questions_passes_local_filters_data,1,All_Questions_Q_RANK_F_passes_per_q_filter_data,1) + INDEX(All_Questions_Q_RANK_PTS,2)*COUNTIFS(Q_RANK_A_data,2,passes_workbook_filters_data,1,passes_workbook_custom_filters_data,1,All_Questions_passes_local_filters_data,1,All_Questions_Q_RANK_F_passes_per_q_filter_data,1) + INDEX(All_Questions_Q_RANK_PTS,3)*COUNTIFS(Q_RANK_A_data,3,passes_workbook_filters_data,1,passes_workbook_custom_filters_data,1,All_Questions_passes_local_filters_data,1,All_Questions_Q_RANK_F_passes_per_q_filter_data,1) + INDEX(All_Questions_Q_RANK_PTS,4)*COUNTIFS(Q_RANK_A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4.75</v>
      </c>
    </row>
    <row r="32">
      <c r="A32" t="inlineStr">
        <is>
          <t>Vendor B</t>
        </is>
      </c>
      <c r="B32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3.0</v>
      </c>
      <c r="C32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3.0</v>
      </c>
      <c r="D32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3.0</v>
      </c>
      <c r="E32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3.0</v>
      </c>
      <c r="F32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3.0</v>
      </c>
      <c r="G32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3.0</v>
      </c>
      <c r="H32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3.0</v>
      </c>
      <c r="I32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3.0</v>
      </c>
      <c r="J3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3.0</v>
      </c>
      <c r="K32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3.0</v>
      </c>
      <c r="L32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3.0</v>
      </c>
      <c r="M3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3.0</v>
      </c>
      <c r="N32">
        <f>IF(All_Questions_Q_RANK_CT="(None)","",IF(All_Questions_Q_RANK_RM="Sum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INDEX(All_Questions_Q_RANK_PTS,1)*COUNTIFS(Q_RANK_B_data,1,passes_workbook_filters_data,1,passes_workbook_custom_filters_data,1,All_Questions_passes_local_filters_data,1,All_Questions_Q_RANK_F_passes_per_q_filter_data,1) + INDEX(All_Questions_Q_RANK_PTS,2)*COUNTIFS(Q_RANK_B_data,2,passes_workbook_filters_data,1,passes_workbook_custom_filters_data,1,All_Questions_passes_local_filters_data,1,All_Questions_Q_RANK_F_passes_per_q_filter_data,1) + INDEX(All_Questions_Q_RANK_PTS,3)*COUNTIFS(Q_RANK_B_data,3,passes_workbook_filters_data,1,passes_workbook_custom_filters_data,1,All_Questions_passes_local_filters_data,1,All_Questions_Q_RANK_F_passes_per_q_filter_data,1) + INDEX(All_Questions_Q_RANK_PTS,4)*COUNTIFS(Q_RANK_B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3.0</v>
      </c>
    </row>
    <row r="33">
      <c r="A33" s="4" t="inlineStr">
        <is>
          <t>Total respondents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F21:G21"/>
    <mergeCell ref="A1:J1"/>
    <mergeCell ref="J21:K21"/>
    <mergeCell ref="H21:I21"/>
    <mergeCell ref="D21:E21"/>
  </mergeCells>
  <conditionalFormatting sqref="E23:E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Q29" showDropDown="0" showInputMessage="0" showErrorMessage="0" allowBlank="0" type="list">
      <formula1>"Weighted Average,Sum of ranks,Rank position count"</formula1>
    </dataValidation>
    <dataValidation sqref="Q30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B$29</t>
        </is>
      </c>
      <c r="H2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2" t="n">
        <v>4.75</v>
      </c>
      <c r="J2" t="n">
        <v>0</v>
      </c>
      <c r="K2" t="n">
        <v>0</v>
      </c>
      <c r="L2" t="inlineStr">
        <is>
          <t>2026-06-09T11:31:10.914610+00:00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B$29</t>
        </is>
      </c>
      <c r="H3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" t="n">
        <v>4.75</v>
      </c>
      <c r="J3" t="n">
        <v>0</v>
      </c>
      <c r="K3" t="n">
        <v>0</v>
      </c>
      <c r="L3" t="inlineStr">
        <is>
          <t>2026-06-09T11:31:10.914688+00:00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B$29</t>
        </is>
      </c>
      <c r="H4">
        <f>IF(OR(All_Questions_Q_RANK_CT="(None)",B$29=""),"",IF(B$29="Other","",IF(All_Questions_Q_RANK_RM="Sum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4" t="n">
        <v>4.75</v>
      </c>
      <c r="J4" t="n">
        <v>0</v>
      </c>
      <c r="K4" t="n">
        <v>0</v>
      </c>
      <c r="L4" t="inlineStr">
        <is>
          <t>2026-06-09T11:31:10.914727+00:00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C$29</t>
        </is>
      </c>
      <c r="H5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5" t="n">
        <v>4.75</v>
      </c>
      <c r="J5" t="n">
        <v>0</v>
      </c>
      <c r="K5" t="n">
        <v>0</v>
      </c>
      <c r="L5" t="inlineStr">
        <is>
          <t>2026-06-09T11:31:10.915154+00:00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C$29</t>
        </is>
      </c>
      <c r="H6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6" t="n">
        <v>4.75</v>
      </c>
      <c r="J6" t="n">
        <v>0</v>
      </c>
      <c r="K6" t="n">
        <v>0</v>
      </c>
      <c r="L6" t="inlineStr">
        <is>
          <t>2026-06-09T11:31:10.915195+00:00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C$29</t>
        </is>
      </c>
      <c r="H7">
        <f>IF(OR(All_Questions_Q_RANK_CT="(None)",C$29=""),"",IF(C$29="Other","",IF(All_Questions_Q_RANK_RM="Sum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7" t="n">
        <v>4.75</v>
      </c>
      <c r="J7" t="n">
        <v>0</v>
      </c>
      <c r="K7" t="n">
        <v>0</v>
      </c>
      <c r="L7" t="inlineStr">
        <is>
          <t>2026-06-09T11:31:10.915233+00:00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D$29</t>
        </is>
      </c>
      <c r="H8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8" t="n">
        <v>4.75</v>
      </c>
      <c r="J8" t="n">
        <v>0</v>
      </c>
      <c r="K8" t="n">
        <v>0</v>
      </c>
      <c r="L8" t="inlineStr">
        <is>
          <t>2026-06-09T11:31:10.915614+00:00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D$29</t>
        </is>
      </c>
      <c r="H9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9" t="n">
        <v>4.75</v>
      </c>
      <c r="J9" t="n">
        <v>0</v>
      </c>
      <c r="K9" t="n">
        <v>0</v>
      </c>
      <c r="L9" t="inlineStr">
        <is>
          <t>2026-06-09T11:31:10.915653+00:00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D$29</t>
        </is>
      </c>
      <c r="H10">
        <f>IF(OR(All_Questions_Q_RANK_CT="(None)",D$29=""),"",IF(D$29="Other","",IF(All_Questions_Q_RANK_RM="Sum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10" t="n">
        <v>4.75</v>
      </c>
      <c r="J10" t="n">
        <v>0</v>
      </c>
      <c r="K10" t="n">
        <v>0</v>
      </c>
      <c r="L10" t="inlineStr">
        <is>
          <t>2026-06-09T11:31:10.915690+00:00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E$29</t>
        </is>
      </c>
      <c r="H11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1" t="n">
        <v>4.75</v>
      </c>
      <c r="J11" t="n">
        <v>0</v>
      </c>
      <c r="K11" t="n">
        <v>0</v>
      </c>
      <c r="L11" t="inlineStr">
        <is>
          <t>2026-06-09T11:31:10.916114+00:00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E$29</t>
        </is>
      </c>
      <c r="H12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2" t="n">
        <v>4.75</v>
      </c>
      <c r="J12" t="n">
        <v>0</v>
      </c>
      <c r="K12" t="n">
        <v>0</v>
      </c>
      <c r="L12" t="inlineStr">
        <is>
          <t>2026-06-09T11:31:10.916155+00:00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E$29</t>
        </is>
      </c>
      <c r="H13">
        <f>IF(OR(All_Questions_Q_RANK_CT="(None)",E$29=""),"",IF(E$29="Other","",IF(All_Questions_Q_RANK_RM="Sum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13" t="n">
        <v>4.75</v>
      </c>
      <c r="J13" t="n">
        <v>0</v>
      </c>
      <c r="K13" t="n">
        <v>0</v>
      </c>
      <c r="L13" t="inlineStr">
        <is>
          <t>2026-06-09T11:31:10.916191+00:00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F$29</t>
        </is>
      </c>
      <c r="H14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4" t="n">
        <v>4.75</v>
      </c>
      <c r="J14" t="n">
        <v>0</v>
      </c>
      <c r="K14" t="n">
        <v>0</v>
      </c>
      <c r="L14" t="inlineStr">
        <is>
          <t>2026-06-09T11:31:10.916567+00:00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F$29</t>
        </is>
      </c>
      <c r="H15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5" t="n">
        <v>4.75</v>
      </c>
      <c r="J15" t="n">
        <v>0</v>
      </c>
      <c r="K15" t="n">
        <v>0</v>
      </c>
      <c r="L15" t="inlineStr">
        <is>
          <t>2026-06-09T11:31:10.916607+00:00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F$29</t>
        </is>
      </c>
      <c r="H16">
        <f>IF(OR(All_Questions_Q_RANK_CT="(None)",F$29=""),"",IF(F$29="Other","",IF(All_Questions_Q_RANK_RM="Sum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16" t="n">
        <v>4.75</v>
      </c>
      <c r="J16" t="n">
        <v>0</v>
      </c>
      <c r="K16" t="n">
        <v>0</v>
      </c>
      <c r="L16" t="inlineStr">
        <is>
          <t>2026-06-09T11:31:10.916644+00:00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G$29</t>
        </is>
      </c>
      <c r="H17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7" t="n">
        <v>4.75</v>
      </c>
      <c r="J17" t="n">
        <v>0</v>
      </c>
      <c r="K17" t="n">
        <v>0</v>
      </c>
      <c r="L17" t="inlineStr">
        <is>
          <t>2026-06-09T11:31:10.917060+00:00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G$29</t>
        </is>
      </c>
      <c r="H18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8" t="n">
        <v>4.75</v>
      </c>
      <c r="J18" t="n">
        <v>0</v>
      </c>
      <c r="K18" t="n">
        <v>0</v>
      </c>
      <c r="L18" t="inlineStr">
        <is>
          <t>2026-06-09T11:31:10.917099+00:00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G$29</t>
        </is>
      </c>
      <c r="H19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19" t="n">
        <v>4.75</v>
      </c>
      <c r="J19" t="n">
        <v>0</v>
      </c>
      <c r="K19" t="n">
        <v>0</v>
      </c>
      <c r="L19" t="inlineStr">
        <is>
          <t>2026-06-09T11:31:10.917136+00:00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H$29</t>
        </is>
      </c>
      <c r="H20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0" t="n">
        <v>4.75</v>
      </c>
      <c r="J20" t="n">
        <v>0</v>
      </c>
      <c r="K20" t="n">
        <v>0</v>
      </c>
      <c r="L20" t="inlineStr">
        <is>
          <t>2026-06-09T11:31:10.917510+00:00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H$29</t>
        </is>
      </c>
      <c r="H2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1" t="n">
        <v>4.75</v>
      </c>
      <c r="J21" t="n">
        <v>0</v>
      </c>
      <c r="K21" t="n">
        <v>0</v>
      </c>
      <c r="L21" t="inlineStr">
        <is>
          <t>2026-06-09T11:31:10.917549+00:00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H$29</t>
        </is>
      </c>
      <c r="H22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22" t="n">
        <v>4.75</v>
      </c>
      <c r="J22" t="n">
        <v>0</v>
      </c>
      <c r="K22" t="n">
        <v>0</v>
      </c>
      <c r="L22" t="inlineStr">
        <is>
          <t>2026-06-09T11:31:10.917585+00:00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I$29</t>
        </is>
      </c>
      <c r="H23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3" t="n">
        <v>4.75</v>
      </c>
      <c r="J23" t="n">
        <v>0</v>
      </c>
      <c r="K23" t="n">
        <v>0</v>
      </c>
      <c r="L23" t="inlineStr">
        <is>
          <t>2026-06-09T11:31:10.917993+00:00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I$29</t>
        </is>
      </c>
      <c r="H24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4" t="n">
        <v>4.75</v>
      </c>
      <c r="J24" t="n">
        <v>0</v>
      </c>
      <c r="K24" t="n">
        <v>0</v>
      </c>
      <c r="L24" t="inlineStr">
        <is>
          <t>2026-06-09T11:31:10.918034+00:00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I$29</t>
        </is>
      </c>
      <c r="H25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25" t="n">
        <v>4.75</v>
      </c>
      <c r="J25" t="n">
        <v>0</v>
      </c>
      <c r="K25" t="n">
        <v>0</v>
      </c>
      <c r="L25" t="inlineStr">
        <is>
          <t>2026-06-09T11:31:10.918070+00:00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J$29</t>
        </is>
      </c>
      <c r="H26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6" t="n">
        <v>4.75</v>
      </c>
      <c r="J26" t="n">
        <v>0</v>
      </c>
      <c r="K26" t="n">
        <v>0</v>
      </c>
      <c r="L26" t="inlineStr">
        <is>
          <t>2026-06-09T11:31:10.918447+00:00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J$29</t>
        </is>
      </c>
      <c r="H27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7" t="n">
        <v>4.75</v>
      </c>
      <c r="J27" t="n">
        <v>0</v>
      </c>
      <c r="K27" t="n">
        <v>0</v>
      </c>
      <c r="L27" t="inlineStr">
        <is>
          <t>2026-06-09T11:31:10.918487+00:00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J$29</t>
        </is>
      </c>
      <c r="H28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28" t="n">
        <v>4.75</v>
      </c>
      <c r="J28" t="n">
        <v>0</v>
      </c>
      <c r="K28" t="n">
        <v>0</v>
      </c>
      <c r="L28" t="inlineStr">
        <is>
          <t>2026-06-09T11:31:10.918522+00:00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K$29</t>
        </is>
      </c>
      <c r="H29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29" t="n">
        <v>4.75</v>
      </c>
      <c r="J29" t="n">
        <v>0</v>
      </c>
      <c r="K29" t="n">
        <v>0</v>
      </c>
      <c r="L29" t="inlineStr">
        <is>
          <t>2026-06-09T11:31:10.918889+00:00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K$29</t>
        </is>
      </c>
      <c r="H30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30" t="n">
        <v>4.75</v>
      </c>
      <c r="J30" t="n">
        <v>0</v>
      </c>
      <c r="K30" t="n">
        <v>0</v>
      </c>
      <c r="L30" t="inlineStr">
        <is>
          <t>2026-06-09T11:31:10.918965+00:00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K$29</t>
        </is>
      </c>
      <c r="H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31" t="n">
        <v>4.75</v>
      </c>
      <c r="J31" t="n">
        <v>0</v>
      </c>
      <c r="K31" t="n">
        <v>0</v>
      </c>
      <c r="L31" t="inlineStr">
        <is>
          <t>2026-06-09T11:31:10.919008+00:00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L$29</t>
        </is>
      </c>
      <c r="H32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2" t="n">
        <v>4.75</v>
      </c>
      <c r="J32" t="n">
        <v>0</v>
      </c>
      <c r="K32" t="n">
        <v>0</v>
      </c>
      <c r="L32" t="inlineStr">
        <is>
          <t>2026-06-09T11:31:10.919384+00:00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L$29</t>
        </is>
      </c>
      <c r="H33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3" t="n">
        <v>4.75</v>
      </c>
      <c r="J33" t="n">
        <v>0</v>
      </c>
      <c r="K33" t="n">
        <v>0</v>
      </c>
      <c r="L33" t="inlineStr">
        <is>
          <t>2026-06-09T11:31:10.919423+00:00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L$29</t>
        </is>
      </c>
      <c r="H34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34" t="n">
        <v>4.75</v>
      </c>
      <c r="J34" t="n">
        <v>0</v>
      </c>
      <c r="K34" t="n">
        <v>0</v>
      </c>
      <c r="L34" t="inlineStr">
        <is>
          <t>2026-06-09T11:31:10.919459+00:00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M$29</t>
        </is>
      </c>
      <c r="H35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5" t="n">
        <v>4.75</v>
      </c>
      <c r="J35" t="n">
        <v>0</v>
      </c>
      <c r="K35" t="n">
        <v>0</v>
      </c>
      <c r="L35" t="inlineStr">
        <is>
          <t>2026-06-09T11:31:10.919907+00:00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M$29</t>
        </is>
      </c>
      <c r="H36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6" t="n">
        <v>4.75</v>
      </c>
      <c r="J36" t="n">
        <v>0</v>
      </c>
      <c r="K36" t="n">
        <v>0</v>
      </c>
      <c r="L36" t="inlineStr">
        <is>
          <t>2026-06-09T11:31:10.919986+00:00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M$29</t>
        </is>
      </c>
      <c r="H37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37" t="n">
        <v>4.75</v>
      </c>
      <c r="J37" t="n">
        <v>0</v>
      </c>
      <c r="K37" t="n">
        <v>0</v>
      </c>
      <c r="L37" t="inlineStr">
        <is>
          <t>2026-06-09T11:31:10.920024+00:00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Q_RANK</t>
        </is>
      </c>
      <c r="D38" t="inlineStr">
        <is>
          <t>Q_RANK_B</t>
        </is>
      </c>
      <c r="E38" t="inlineStr">
        <is>
          <t>All_Questions_Q_RANK_CT = B$29</t>
        </is>
      </c>
      <c r="H38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8" t="n">
        <v>3</v>
      </c>
      <c r="J38" t="n">
        <v>0</v>
      </c>
      <c r="K38" t="n">
        <v>0</v>
      </c>
      <c r="L38" t="inlineStr">
        <is>
          <t>2026-06-09T11:31:10.920702+00:00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Q_RANK</t>
        </is>
      </c>
      <c r="D39" t="inlineStr">
        <is>
          <t>Q_RANK_B</t>
        </is>
      </c>
      <c r="E39" t="inlineStr">
        <is>
          <t>All_Questions_Q_RANK_CT = B$29</t>
        </is>
      </c>
      <c r="H39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39" t="n">
        <v>3</v>
      </c>
      <c r="J39" t="n">
        <v>0</v>
      </c>
      <c r="K39" t="n">
        <v>0</v>
      </c>
      <c r="L39" t="inlineStr">
        <is>
          <t>2026-06-09T11:31:10.920742+00:00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Q_RANK</t>
        </is>
      </c>
      <c r="D40" t="inlineStr">
        <is>
          <t>Q_RANK_B</t>
        </is>
      </c>
      <c r="E40" t="inlineStr">
        <is>
          <t>All_Questions_Q_RANK_CT = B$29</t>
        </is>
      </c>
      <c r="H40">
        <f>IF(OR(All_Questions_Q_RANK_CT="(None)",B$29=""),"",IF(B$29="Other","",IF(All_Questions_Q_RANK_RM="Sum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B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B$29)),"")))))</f>
        <v>0</v>
      </c>
      <c r="I40" t="n">
        <v>3</v>
      </c>
      <c r="J40" t="n">
        <v>0</v>
      </c>
      <c r="K40" t="n">
        <v>0</v>
      </c>
      <c r="L40" t="inlineStr">
        <is>
          <t>2026-06-09T11:31:10.920779+00:00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Q_RANK</t>
        </is>
      </c>
      <c r="D41" t="inlineStr">
        <is>
          <t>Q_RANK_B</t>
        </is>
      </c>
      <c r="E41" t="inlineStr">
        <is>
          <t>All_Questions_Q_RANK_CT = C$29</t>
        </is>
      </c>
      <c r="H41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1" t="n">
        <v>3</v>
      </c>
      <c r="J41" t="n">
        <v>0</v>
      </c>
      <c r="K41" t="n">
        <v>0</v>
      </c>
      <c r="L41" t="inlineStr">
        <is>
          <t>2026-06-09T11:31:10.921203+00:00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Q_RANK</t>
        </is>
      </c>
      <c r="D42" t="inlineStr">
        <is>
          <t>Q_RANK_B</t>
        </is>
      </c>
      <c r="E42" t="inlineStr">
        <is>
          <t>All_Questions_Q_RANK_CT = C$29</t>
        </is>
      </c>
      <c r="H42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2" t="n">
        <v>3</v>
      </c>
      <c r="J42" t="n">
        <v>0</v>
      </c>
      <c r="K42" t="n">
        <v>0</v>
      </c>
      <c r="L42" t="inlineStr">
        <is>
          <t>2026-06-09T11:31:10.921244+00:00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Q_RANK</t>
        </is>
      </c>
      <c r="D43" t="inlineStr">
        <is>
          <t>Q_RANK_B</t>
        </is>
      </c>
      <c r="E43" t="inlineStr">
        <is>
          <t>All_Questions_Q_RANK_CT = C$29</t>
        </is>
      </c>
      <c r="H43">
        <f>IF(OR(All_Questions_Q_RANK_CT="(None)",C$29=""),"",IF(C$29="Other","",IF(All_Questions_Q_RANK_RM="Sum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C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C$29)),"")))))</f>
        <v>0</v>
      </c>
      <c r="I43" t="n">
        <v>3</v>
      </c>
      <c r="J43" t="n">
        <v>0</v>
      </c>
      <c r="K43" t="n">
        <v>0</v>
      </c>
      <c r="L43" t="inlineStr">
        <is>
          <t>2026-06-09T11:31:10.921281+00:00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Q_RANK</t>
        </is>
      </c>
      <c r="D44" t="inlineStr">
        <is>
          <t>Q_RANK_B</t>
        </is>
      </c>
      <c r="E44" t="inlineStr">
        <is>
          <t>All_Questions_Q_RANK_CT = D$29</t>
        </is>
      </c>
      <c r="H44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4" t="n">
        <v>3</v>
      </c>
      <c r="J44" t="n">
        <v>0</v>
      </c>
      <c r="K44" t="n">
        <v>0</v>
      </c>
      <c r="L44" t="inlineStr">
        <is>
          <t>2026-06-09T11:31:10.921651+00:00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Q_RANK</t>
        </is>
      </c>
      <c r="D45" t="inlineStr">
        <is>
          <t>Q_RANK_B</t>
        </is>
      </c>
      <c r="E45" t="inlineStr">
        <is>
          <t>All_Questions_Q_RANK_CT = D$29</t>
        </is>
      </c>
      <c r="H45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5" t="n">
        <v>3</v>
      </c>
      <c r="J45" t="n">
        <v>0</v>
      </c>
      <c r="K45" t="n">
        <v>0</v>
      </c>
      <c r="L45" t="inlineStr">
        <is>
          <t>2026-06-09T11:31:10.921689+00:00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Q_RANK</t>
        </is>
      </c>
      <c r="D46" t="inlineStr">
        <is>
          <t>Q_RANK_B</t>
        </is>
      </c>
      <c r="E46" t="inlineStr">
        <is>
          <t>All_Questions_Q_RANK_CT = D$29</t>
        </is>
      </c>
      <c r="H46">
        <f>IF(OR(All_Questions_Q_RANK_CT="(None)",D$29=""),"",IF(D$29="Other","",IF(All_Questions_Q_RANK_RM="Sum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D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D$29)),"")))))</f>
        <v>0</v>
      </c>
      <c r="I46" t="n">
        <v>3</v>
      </c>
      <c r="J46" t="n">
        <v>0</v>
      </c>
      <c r="K46" t="n">
        <v>0</v>
      </c>
      <c r="L46" t="inlineStr">
        <is>
          <t>2026-06-09T11:31:10.921725+00:00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Q_RANK_B</t>
        </is>
      </c>
      <c r="E47" t="inlineStr">
        <is>
          <t>All_Questions_Q_RANK_CT = E$29</t>
        </is>
      </c>
      <c r="H47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7" t="n">
        <v>3</v>
      </c>
      <c r="J47" t="n">
        <v>0</v>
      </c>
      <c r="K47" t="n">
        <v>0</v>
      </c>
      <c r="L47" t="inlineStr">
        <is>
          <t>2026-06-09T11:31:10.922136+00:00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Q_RANK_B</t>
        </is>
      </c>
      <c r="E48" t="inlineStr">
        <is>
          <t>All_Questions_Q_RANK_CT = E$29</t>
        </is>
      </c>
      <c r="H48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8" t="n">
        <v>3</v>
      </c>
      <c r="J48" t="n">
        <v>0</v>
      </c>
      <c r="K48" t="n">
        <v>0</v>
      </c>
      <c r="L48" t="inlineStr">
        <is>
          <t>2026-06-09T11:31:10.922177+00:00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Q_RANK_B</t>
        </is>
      </c>
      <c r="E49" t="inlineStr">
        <is>
          <t>All_Questions_Q_RANK_CT = E$29</t>
        </is>
      </c>
      <c r="H49">
        <f>IF(OR(All_Questions_Q_RANK_CT="(None)",E$29=""),"",IF(E$29="Other","",IF(All_Questions_Q_RANK_RM="Sum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E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E$29)),"")))))</f>
        <v>0</v>
      </c>
      <c r="I49" t="n">
        <v>3</v>
      </c>
      <c r="J49" t="n">
        <v>0</v>
      </c>
      <c r="K49" t="n">
        <v>0</v>
      </c>
      <c r="L49" t="inlineStr">
        <is>
          <t>2026-06-09T11:31:10.922214+00:00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F$29</t>
        </is>
      </c>
      <c r="H50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0" t="n">
        <v>3</v>
      </c>
      <c r="J50" t="n">
        <v>0</v>
      </c>
      <c r="K50" t="n">
        <v>0</v>
      </c>
      <c r="L50" t="inlineStr">
        <is>
          <t>2026-06-09T11:31:10.922587+00:00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F$29</t>
        </is>
      </c>
      <c r="H51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1" t="n">
        <v>3</v>
      </c>
      <c r="J51" t="n">
        <v>0</v>
      </c>
      <c r="K51" t="n">
        <v>0</v>
      </c>
      <c r="L51" t="inlineStr">
        <is>
          <t>2026-06-09T11:31:10.922625+00:00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F$29</t>
        </is>
      </c>
      <c r="H52">
        <f>IF(OR(All_Questions_Q_RANK_CT="(None)",F$29=""),"",IF(F$29="Other","",IF(All_Questions_Q_RANK_RM="Sum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F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F$29)),"")))))</f>
        <v>0</v>
      </c>
      <c r="I52" t="n">
        <v>3</v>
      </c>
      <c r="J52" t="n">
        <v>0</v>
      </c>
      <c r="K52" t="n">
        <v>0</v>
      </c>
      <c r="L52" t="inlineStr">
        <is>
          <t>2026-06-09T11:31:10.922661+00:00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G$29</t>
        </is>
      </c>
      <c r="H53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3" t="n">
        <v>3</v>
      </c>
      <c r="J53" t="n">
        <v>0</v>
      </c>
      <c r="K53" t="n">
        <v>0</v>
      </c>
      <c r="L53" t="inlineStr">
        <is>
          <t>2026-06-09T11:31:10.923072+00:00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G$29</t>
        </is>
      </c>
      <c r="H54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4" t="n">
        <v>3</v>
      </c>
      <c r="J54" t="n">
        <v>0</v>
      </c>
      <c r="K54" t="n">
        <v>0</v>
      </c>
      <c r="L54" t="inlineStr">
        <is>
          <t>2026-06-09T11:31:10.923112+00:00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G$29</t>
        </is>
      </c>
      <c r="H55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55" t="n">
        <v>3</v>
      </c>
      <c r="J55" t="n">
        <v>0</v>
      </c>
      <c r="K55" t="n">
        <v>0</v>
      </c>
      <c r="L55" t="inlineStr">
        <is>
          <t>2026-06-09T11:31:10.923150+00:00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H$29</t>
        </is>
      </c>
      <c r="H56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6" t="n">
        <v>3</v>
      </c>
      <c r="J56" t="n">
        <v>0</v>
      </c>
      <c r="K56" t="n">
        <v>0</v>
      </c>
      <c r="L56" t="inlineStr">
        <is>
          <t>2026-06-09T11:31:10.923525+00:00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H$29</t>
        </is>
      </c>
      <c r="H57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7" t="n">
        <v>3</v>
      </c>
      <c r="J57" t="n">
        <v>0</v>
      </c>
      <c r="K57" t="n">
        <v>0</v>
      </c>
      <c r="L57" t="inlineStr">
        <is>
          <t>2026-06-09T11:31:10.923563+00:00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H$29</t>
        </is>
      </c>
      <c r="H58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8" t="n">
        <v>3</v>
      </c>
      <c r="J58" t="n">
        <v>0</v>
      </c>
      <c r="K58" t="n">
        <v>0</v>
      </c>
      <c r="L58" t="inlineStr">
        <is>
          <t>2026-06-09T11:31:10.923598+00:00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I$29</t>
        </is>
      </c>
      <c r="H59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59" t="n">
        <v>3</v>
      </c>
      <c r="J59" t="n">
        <v>0</v>
      </c>
      <c r="K59" t="n">
        <v>0</v>
      </c>
      <c r="L59" t="inlineStr">
        <is>
          <t>2026-06-09T11:31:10.924004+00:00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I$29</t>
        </is>
      </c>
      <c r="H60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60" t="n">
        <v>3</v>
      </c>
      <c r="J60" t="n">
        <v>0</v>
      </c>
      <c r="K60" t="n">
        <v>0</v>
      </c>
      <c r="L60" t="inlineStr">
        <is>
          <t>2026-06-09T11:31:10.924045+00:00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I$29</t>
        </is>
      </c>
      <c r="H61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61" t="n">
        <v>3</v>
      </c>
      <c r="J61" t="n">
        <v>0</v>
      </c>
      <c r="K61" t="n">
        <v>0</v>
      </c>
      <c r="L61" t="inlineStr">
        <is>
          <t>2026-06-09T11:31:10.924081+00:00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J$29</t>
        </is>
      </c>
      <c r="H6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2" t="n">
        <v>3</v>
      </c>
      <c r="J62" t="n">
        <v>0</v>
      </c>
      <c r="K62" t="n">
        <v>0</v>
      </c>
      <c r="L62" t="inlineStr">
        <is>
          <t>2026-06-09T11:31:10.924454+00:00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J$29</t>
        </is>
      </c>
      <c r="H63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3" t="n">
        <v>3</v>
      </c>
      <c r="J63" t="n">
        <v>0</v>
      </c>
      <c r="K63" t="n">
        <v>0</v>
      </c>
      <c r="L63" t="inlineStr">
        <is>
          <t>2026-06-09T11:31:10.924492+00:00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J$29</t>
        </is>
      </c>
      <c r="H64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64" t="n">
        <v>3</v>
      </c>
      <c r="J64" t="n">
        <v>0</v>
      </c>
      <c r="K64" t="n">
        <v>0</v>
      </c>
      <c r="L64" t="inlineStr">
        <is>
          <t>2026-06-09T11:31:10.924528+00:00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K$29</t>
        </is>
      </c>
      <c r="H65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5" t="n">
        <v>3</v>
      </c>
      <c r="J65" t="n">
        <v>0</v>
      </c>
      <c r="K65" t="n">
        <v>0</v>
      </c>
      <c r="L65" t="inlineStr">
        <is>
          <t>2026-06-09T11:31:10.924892+00:00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K$29</t>
        </is>
      </c>
      <c r="H66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6" t="n">
        <v>3</v>
      </c>
      <c r="J66" t="n">
        <v>0</v>
      </c>
      <c r="K66" t="n">
        <v>0</v>
      </c>
      <c r="L66" t="inlineStr">
        <is>
          <t>2026-06-09T11:31:10.924970+00:00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K$29</t>
        </is>
      </c>
      <c r="H67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67" t="n">
        <v>3</v>
      </c>
      <c r="J67" t="n">
        <v>0</v>
      </c>
      <c r="K67" t="n">
        <v>0</v>
      </c>
      <c r="L67" t="inlineStr">
        <is>
          <t>2026-06-09T11:31:10.925012+00:00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L$29</t>
        </is>
      </c>
      <c r="H68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68" t="n">
        <v>3</v>
      </c>
      <c r="J68" t="n">
        <v>0</v>
      </c>
      <c r="K68" t="n">
        <v>0</v>
      </c>
      <c r="L68" t="inlineStr">
        <is>
          <t>2026-06-09T11:31:10.925388+00:00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L$29</t>
        </is>
      </c>
      <c r="H69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69" t="n">
        <v>3</v>
      </c>
      <c r="J69" t="n">
        <v>0</v>
      </c>
      <c r="K69" t="n">
        <v>0</v>
      </c>
      <c r="L69" t="inlineStr">
        <is>
          <t>2026-06-09T11:31:10.925426+00:00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L$29</t>
        </is>
      </c>
      <c r="H70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70" t="n">
        <v>3</v>
      </c>
      <c r="J70" t="n">
        <v>0</v>
      </c>
      <c r="K70" t="n">
        <v>0</v>
      </c>
      <c r="L70" t="inlineStr">
        <is>
          <t>2026-06-09T11:31:10.925462+00:00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M$29</t>
        </is>
      </c>
      <c r="H71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1" t="n">
        <v>3</v>
      </c>
      <c r="J71" t="n">
        <v>0</v>
      </c>
      <c r="K71" t="n">
        <v>0</v>
      </c>
      <c r="L71" t="inlineStr">
        <is>
          <t>2026-06-09T11:31:10.925908+00:00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M$29</t>
        </is>
      </c>
      <c r="H7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2" t="n">
        <v>3</v>
      </c>
      <c r="J72" t="n">
        <v>0</v>
      </c>
      <c r="K72" t="n">
        <v>0</v>
      </c>
      <c r="L72" t="inlineStr">
        <is>
          <t>2026-06-09T11:31:10.925988+00:00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M$29</t>
        </is>
      </c>
      <c r="H73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73" t="n">
        <v>3</v>
      </c>
      <c r="J73" t="n">
        <v>0</v>
      </c>
      <c r="K73" t="n">
        <v>0</v>
      </c>
      <c r="L73" t="inlineStr">
        <is>
          <t>2026-06-09T11:31:10.926027+00:00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2026-06-09T11:31:05Z</dcterms:created>
  <dcterms:modified xmlns:dcterms="http://purl.org/dc/terms/" xmlns:xsi="http://www.w3.org/2001/XMLSchema-instance" xsi:type="dcterms:W3CDTF">2026-06-09T11:31:10Z</dcterms:modified>
</cp:coreProperties>
</file>