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passes_per_q_filter_data">'_RawData'!$I$2:$I$5</definedName>
    <definedName name="All_Questions_Q_RANK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All_Questions_Q_RANK_F_wrapped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All_Questions_Q_RANK_F_wrapped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All_Questions_Q_RANK_F_wrapped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All_Questions_Q_RAN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IFERROR(INDEX(All_Questions_Data_Names,MATCH(All_Questions_Q_RANK_F_Q,All_Questions,0)),"'_RawData'!$A:$A")</f>
        <v>respondent_id_data</v>
      </c>
      <c r="G13" t="str">
        <f>"|" &amp; SUBSTITUTE(All_Questions_Q_RANK_F_V,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  <c r="H16" s="4" t="inlineStr">
        <is>
          <t>3</t>
        </is>
      </c>
      <c r="I16" s="2" t="n"/>
      <c r="J16" s="4" t="inlineStr">
        <is>
          <t>4</t>
        </is>
      </c>
      <c r="K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  <c r="H17" s="4" t="inlineStr">
        <is>
          <t># of respondents</t>
        </is>
      </c>
      <c r="I17" s="4" t="inlineStr">
        <is>
          <t>% of respondents</t>
        </is>
      </c>
      <c r="J17" s="4" t="inlineStr">
        <is>
          <t># of respondents</t>
        </is>
      </c>
      <c r="K17" s="4" t="inlineStr">
        <is>
          <t>% of respondents</t>
        </is>
      </c>
    </row>
    <row r="18">
      <c r="A18" s="14" t="inlineStr">
        <is>
          <t>Q_RANK_A</t>
        </is>
      </c>
      <c r="B18" t="inlineStr">
        <is>
          <t>Vendor A</t>
        </is>
      </c>
      <c r="C18" s="15">
        <f>IFERROR((SUM(D18*4,F18*3,H18*2,J18*1)/(4*$B$20))*100,0)</f>
        <v>62.5</v>
      </c>
      <c r="D18" s="16">
        <f>COUNTIFS(Q_RANK_A_data,"1",passes_workbook_filters_data,1,passes_workbook_custom_filters_data,1,All_Questions_passes_local_filters_data,1,All_Questions_Q_RANK_F_passes_per_q_filter_data,1)</f>
        <v>1</v>
      </c>
      <c r="E18" s="7">
        <f>IFERROR(D18/$B$20,0)</f>
        <v>0.25</v>
      </c>
      <c r="F18" s="16">
        <f>COUNTIFS(Q_RANK_A_data,"2",passes_workbook_filters_data,1,passes_workbook_custom_filters_data,1,All_Questions_passes_local_filters_data,1,All_Questions_Q_RANK_F_passes_per_q_filter_data,1)</f>
        <v>1</v>
      </c>
      <c r="G18" s="7">
        <f>IFERROR(F18/$B$20,0)</f>
        <v>0.25</v>
      </c>
      <c r="H18" s="16">
        <f>COUNTIFS(Q_RANK_A_data,"3",passes_workbook_filters_data,1,passes_workbook_custom_filters_data,1,All_Questions_passes_local_filters_data,1,All_Questions_Q_RANK_F_passes_per_q_filter_data,1)</f>
        <v>1</v>
      </c>
      <c r="I18" s="7">
        <f>IFERROR(H18/$B$20,0)</f>
        <v>0.25</v>
      </c>
      <c r="J18" s="16">
        <f>COUNTIFS(Q_RANK_A_data,"4",passes_workbook_filters_data,1,passes_workbook_custom_filters_data,1,All_Questions_passes_local_filters_data,1,All_Questions_Q_RANK_F_passes_per_q_filter_data,1)</f>
        <v>1</v>
      </c>
      <c r="K18" s="7">
        <f>IFERROR(J18/$B$20,0)</f>
        <v>0.25</v>
      </c>
    </row>
    <row r="19">
      <c r="A19" s="14" t="inlineStr">
        <is>
          <t>Q_RANK_B</t>
        </is>
      </c>
      <c r="B19" t="inlineStr">
        <is>
          <t>Vendor B</t>
        </is>
      </c>
      <c r="C19" s="15">
        <f>IFERROR((SUM(D19*4,F19*3,H19*2,J19*1)/(4*$B$20))*100,0)</f>
        <v>37.5</v>
      </c>
      <c r="D19" s="16">
        <f>COUNTIFS(Q_RANK_B_data,"1",passes_workbook_filters_data,1,passes_workbook_custom_filters_data,1,All_Questions_passes_local_filters_data,1,All_Questions_Q_RANK_F_passes_per_q_filter_data,1)</f>
        <v>0</v>
      </c>
      <c r="E19" s="7">
        <f>IFERROR(D19/$B$20,0)</f>
        <v>0.0</v>
      </c>
      <c r="F19" s="16">
        <f>COUNTIFS(Q_RANK_B_data,"2",passes_workbook_filters_data,1,passes_workbook_custom_filters_data,1,All_Questions_passes_local_filters_data,1,All_Questions_Q_RANK_F_passes_per_q_filter_data,1)</f>
        <v>2</v>
      </c>
      <c r="G19" s="7">
        <f>IFERROR(F19/$B$20,0)</f>
        <v>0.5</v>
      </c>
      <c r="H19" s="16">
        <f>COUNTIFS(Q_RANK_B_data,"3",passes_workbook_filters_data,1,passes_workbook_custom_filters_data,1,All_Questions_passes_local_filters_data,1,All_Questions_Q_RANK_F_passes_per_q_filter_data,1)</f>
        <v>0</v>
      </c>
      <c r="I19" s="7">
        <f>IFERROR(H19/$B$20,0)</f>
        <v>0.0</v>
      </c>
      <c r="J19" s="16">
        <f>COUNTIFS(Q_RANK_B_data,"4",passes_workbook_filters_data,1,passes_workbook_custom_filters_data,1,All_Questions_passes_local_filters_data,1,All_Questions_Q_RANK_F_passes_per_q_filter_data,1)</f>
        <v>0</v>
      </c>
      <c r="K19" s="7">
        <f>IFERROR(J19/$B$20,0)</f>
        <v>0.0</v>
      </c>
    </row>
    <row r="20">
      <c r="A20" s="17" t="inlineStr">
        <is>
          <t>Total respondents</t>
        </is>
      </c>
      <c r="B20" s="18">
        <f>COUNTIFS(Q_RANK_A_data,"&lt;&gt;",passes_workbook_filters_data,1,passes_workbook_custom_filters_data,1,All_Questions_passes_local_filters_data,1,All_Questions_Q_RANK_F_passes_per_q_filter_data,1)</f>
        <v>4</v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4" t="inlineStr">
        <is>
          <t>Total responses</t>
        </is>
      </c>
      <c r="B21" s="19">
        <f>SUM(D18,F18,H18,J18,D19,F19,H19,J19)</f>
        <v>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5" t="inlineStr">
        <is>
          <t>QC check</t>
        </is>
      </c>
      <c r="C22">
        <f>B21=SUM(D18,F18,H18,J18,D19,F19,H19,J19)</f>
        <v>1</v>
      </c>
    </row>
    <row r="23"/>
    <row r="24">
      <c r="F24" s="4" t="inlineStr">
        <is>
          <t>Option</t>
        </is>
      </c>
      <c r="G24" s="2" t="str">
        <f>IF(All_Questions_Q_RANK_CT="(None)","",IFERROR(INDEX(INDIRECT(IFERROR(INDEX(All_Questions_Options_Names,MATCH(All_Questions_Q_RANK_CT,All_Questions,0)),"'_Options'!$E$2:$E$2")),2),""))</f>
        <v/>
      </c>
      <c r="H24" s="2" t="str">
        <f>IF(All_Questions_Q_RANK_CT="(None)","",IFERROR(INDEX(INDIRECT(IFERROR(INDEX(All_Questions_Options_Names,MATCH(All_Questions_Q_RANK_CT,All_Questions,0)),"'_Options'!$E$2:$E$2")),3),""))</f>
        <v/>
      </c>
      <c r="I24" s="2" t="str">
        <f>IF(All_Questions_Q_RANK_CT="(None)","",IFERROR(INDEX(INDIRECT(IFERROR(INDEX(All_Questions_Options_Names,MATCH(All_Questions_Q_RANK_CT,All_Questions,0)),"'_Options'!$E$2:$E$2")),4),""))</f>
        <v/>
      </c>
      <c r="J24" s="2" t="str">
        <f>IF(All_Questions_Q_RANK_CT="(None)","",IFERROR(INDEX(INDIRECT(IFERROR(INDEX(All_Questions_Options_Names,MATCH(All_Questions_Q_RANK_CT,All_Questions,0)),"'_Options'!$E$2:$E$2")),5),""))</f>
        <v/>
      </c>
      <c r="K24" s="2" t="str">
        <f>IF(All_Questions_Q_RANK_CT="(None)","",IFERROR(INDEX(INDIRECT(IFERROR(INDEX(All_Questions_Options_Names,MATCH(All_Questions_Q_RANK_CT,All_Questions,0)),"'_Options'!$E$2:$E$2")),6),""))</f>
        <v/>
      </c>
      <c r="L24" s="2" t="str">
        <f>IF(All_Questions_Q_RANK_CT="(None)","",IFERROR(INDEX(INDIRECT(IFERROR(INDEX(All_Questions_Options_Names,MATCH(All_Questions_Q_RANK_CT,All_Questions,0)),"'_Options'!$E$2:$E$2")),7),""))</f>
        <v/>
      </c>
      <c r="M24" s="2" t="str">
        <f>IF(All_Questions_Q_RANK_CT="(None)","",IFERROR(INDEX(INDIRECT(IFERROR(INDEX(All_Questions_Options_Names,MATCH(All_Questions_Q_RANK_CT,All_Questions,0)),"'_Options'!$E$2:$E$2")),8),""))</f>
        <v/>
      </c>
      <c r="N24" s="2" t="str">
        <f>IF(All_Questions_Q_RANK_CT="(None)","",IFERROR(INDEX(INDIRECT(IFERROR(INDEX(All_Questions_Options_Names,MATCH(All_Questions_Q_RANK_CT,All_Questions,0)),"'_Options'!$E$2:$E$2")),9),""))</f>
        <v/>
      </c>
      <c r="O24" s="2" t="str">
        <f>IF(All_Questions_Q_RANK_CT="(None)","",IFERROR(INDEX(INDIRECT(IFERROR(INDEX(All_Questions_Options_Names,MATCH(All_Questions_Q_RANK_CT,All_Questions,0)),"'_Options'!$E$2:$E$2")),10),""))</f>
        <v/>
      </c>
      <c r="P24" s="2" t="str">
        <f>IF(All_Questions_Q_RANK_CT="(None)","",IFERROR(INDEX(INDIRECT(IFERROR(INDEX(All_Questions_Options_Names,MATCH(All_Questions_Q_RANK_CT,All_Questions,0)),"'_Options'!$E$2:$E$2")),11),""))</f>
        <v/>
      </c>
      <c r="Q24" s="2" t="str">
        <f>IF(All_Questions_Q_RANK_CT="(None)","",IFERROR(INDEX(INDIRECT(IFERROR(INDEX(All_Questions_Options_Names,MATCH(All_Questions_Q_RANK_CT,All_Questions,0)),"'_Options'!$E$2:$E$2")),12),""))</f>
        <v/>
      </c>
      <c r="R24" s="2" t="str">
        <f>IF(All_Questions_Q_RANK_CT="(None)","",IF(COUNTA(INDIRECT(IFERROR(INDEX(All_Questions_Options_Names,MATCH(All_Questions_Q_RANK_CT,All_Questions,0)),"'_Options'!$E$2:$E$2")))-1&gt;11,"Other",IFERROR(INDEX(INDIRECT(IFERROR(INDEX(All_Questions_Options_Names,MATCH(All_Questions_Q_RANK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Net Rank Score</t>
        </is>
      </c>
      <c r="H25" s="4" t="inlineStr">
        <is>
          <t>Net Rank Score</t>
        </is>
      </c>
      <c r="I25" s="4" t="inlineStr">
        <is>
          <t>Net Rank Score</t>
        </is>
      </c>
      <c r="J25" s="4" t="inlineStr">
        <is>
          <t>Net Rank Score</t>
        </is>
      </c>
      <c r="K25" s="4" t="inlineStr">
        <is>
          <t>Net Rank Score</t>
        </is>
      </c>
      <c r="L25" s="4" t="inlineStr">
        <is>
          <t>Net Rank Score</t>
        </is>
      </c>
      <c r="M25" s="4" t="inlineStr">
        <is>
          <t>Net Rank Score</t>
        </is>
      </c>
      <c r="N25" s="4" t="inlineStr">
        <is>
          <t>Net Rank Score</t>
        </is>
      </c>
      <c r="O25" s="4" t="inlineStr">
        <is>
          <t>Net Rank Score</t>
        </is>
      </c>
      <c r="P25" s="4" t="inlineStr">
        <is>
          <t>Net Rank Score</t>
        </is>
      </c>
      <c r="Q25" s="4" t="inlineStr">
        <is>
          <t>Net Rank Score</t>
        </is>
      </c>
      <c r="R25" s="4" t="inlineStr">
        <is>
          <t>Net Rank Score</t>
        </is>
      </c>
      <c r="S25" s="4" t="inlineStr">
        <is>
          <t>Net Rank Score</t>
        </is>
      </c>
    </row>
    <row r="26">
      <c r="F26" t="inlineStr">
        <is>
          <t>Vendor A</t>
        </is>
      </c>
      <c r="G26" s="15">
        <f>IF(OR(All_Questions_Q_RANK_CT="(None)",G$24=""),"",IF(G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62.5</v>
      </c>
      <c r="H26" s="15">
        <f>IF(OR(All_Questions_Q_RANK_CT="(None)",H$24=""),"",IF(H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62.5</v>
      </c>
      <c r="I26" s="15">
        <f>IF(OR(All_Questions_Q_RANK_CT="(None)",I$24=""),"",IF(I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62.5</v>
      </c>
      <c r="J26" s="15">
        <f>IF(OR(All_Questions_Q_RANK_CT="(None)",J$24=""),"",IF(J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62.5</v>
      </c>
      <c r="K26" s="15">
        <f>IF(OR(All_Questions_Q_RANK_CT="(None)",K$24=""),"",IF(K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62.5</v>
      </c>
      <c r="L26" s="15">
        <f>IF(OR(All_Questions_Q_RANK_CT="(None)",L$24=""),"",IF(L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62.5</v>
      </c>
      <c r="M26" s="15">
        <f>IF(OR(All_Questions_Q_RANK_CT="(None)",M$24=""),"",IF(M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62.5</v>
      </c>
      <c r="N26" s="15">
        <f>IF(OR(All_Questions_Q_RANK_CT="(None)",N$24=""),"",IF(N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62.5</v>
      </c>
      <c r="O26" s="15">
        <f>IF(OR(All_Questions_Q_RANK_CT="(None)",O$24=""),"",IF(O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62.5</v>
      </c>
      <c r="P26" s="15">
        <f>IF(OR(All_Questions_Q_RANK_CT="(None)",P$24=""),"",IF(P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62.5</v>
      </c>
      <c r="Q26" s="15">
        <f>IF(OR(All_Questions_Q_RANK_CT="(None)",Q$24=""),"",IF(Q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62.5</v>
      </c>
      <c r="R26" s="15">
        <f>IF(OR(All_Questions_Q_RANK_CT="(None)",R$24=""),"",IF(R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62.5</v>
      </c>
      <c r="S26" s="15">
        <f>IF(All_Questions_Q_RANK_CT="(None)","",IFERROR((((5)*COUNTIFS(Q_RANK_A_data,"&gt;=1",passes_workbook_filters_data,1,passes_workbook_custom_filters_data,1,All_Questions_passes_local_filters_data,1,All_Questions_Q_RANK_F_passes_per_q_filter_data,1))-SUMIFS(Q_RANK_A_data,Q_RANK_A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</f>
        <v>62.5</v>
      </c>
    </row>
    <row r="27">
      <c r="F27" t="inlineStr">
        <is>
          <t>Vendor B</t>
        </is>
      </c>
      <c r="G27" s="15">
        <f>IF(OR(All_Questions_Q_RANK_CT="(None)",G$24=""),"",IF(G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37.5</v>
      </c>
      <c r="H27" s="15">
        <f>IF(OR(All_Questions_Q_RANK_CT="(None)",H$24=""),"",IF(H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37.5</v>
      </c>
      <c r="I27" s="15">
        <f>IF(OR(All_Questions_Q_RANK_CT="(None)",I$24=""),"",IF(I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37.5</v>
      </c>
      <c r="J27" s="15">
        <f>IF(OR(All_Questions_Q_RANK_CT="(None)",J$24=""),"",IF(J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37.5</v>
      </c>
      <c r="K27" s="15">
        <f>IF(OR(All_Questions_Q_RANK_CT="(None)",K$24=""),"",IF(K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37.5</v>
      </c>
      <c r="L27" s="15">
        <f>IF(OR(All_Questions_Q_RANK_CT="(None)",L$24=""),"",IF(L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37.5</v>
      </c>
      <c r="M27" s="15">
        <f>IF(OR(All_Questions_Q_RANK_CT="(None)",M$24=""),"",IF(M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37.5</v>
      </c>
      <c r="N27" s="15">
        <f>IF(OR(All_Questions_Q_RANK_CT="(None)",N$24=""),"",IF(N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37.5</v>
      </c>
      <c r="O27" s="15">
        <f>IF(OR(All_Questions_Q_RANK_CT="(None)",O$24=""),"",IF(O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37.5</v>
      </c>
      <c r="P27" s="15">
        <f>IF(OR(All_Questions_Q_RANK_CT="(None)",P$24=""),"",IF(P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37.5</v>
      </c>
      <c r="Q27" s="15">
        <f>IF(OR(All_Questions_Q_RANK_CT="(None)",Q$24=""),"",IF(Q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37.5</v>
      </c>
      <c r="R27" s="15">
        <f>IF(OR(All_Questions_Q_RANK_CT="(None)",R$24=""),"",IF(R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37.5</v>
      </c>
      <c r="S27" s="15">
        <f>IF(All_Questions_Q_RANK_CT="(None)","",IFERROR((((5)*COUNTIFS(Q_RANK_B_data,"&gt;=1",passes_workbook_filters_data,1,passes_workbook_custom_filters_data,1,All_Questions_passes_local_filters_data,1,All_Questions_Q_RANK_F_passes_per_q_filter_data,1))-SUMIFS(Q_RANK_B_data,Q_RANK_B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</f>
        <v>37.5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A1:J1"/>
    <mergeCell ref="D16:E16"/>
    <mergeCell ref="H16:I16"/>
    <mergeCell ref="F16:G16"/>
    <mergeCell ref="J16:K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G$24</t>
        </is>
      </c>
      <c r="H2">
        <f>IF(OR(All_Questions_Q_RANK_CT="(None)",G$24=""),"",IF(G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0</v>
      </c>
      <c r="I2" t="n">
        <v>62.5</v>
      </c>
      <c r="J2" t="n">
        <v>0</v>
      </c>
      <c r="K2" t="n">
        <v>0</v>
      </c>
      <c r="L2" t="inlineStr">
        <is>
          <t>2026-06-08T09:16:24.230719+00:00</t>
        </is>
      </c>
    </row>
    <row r="3">
      <c r="A3" t="inlineStr">
        <is>
          <t>All Questions</t>
        </is>
      </c>
      <c r="B3" t="inlineStr">
        <is>
          <t>cross_tab_by_net_rank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H$24</t>
        </is>
      </c>
      <c r="H3">
        <f>IF(OR(All_Questions_Q_RANK_CT="(None)",H$24=""),"",IF(H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0</v>
      </c>
      <c r="I3" t="n">
        <v>62.5</v>
      </c>
      <c r="J3" t="n">
        <v>0</v>
      </c>
      <c r="K3" t="n">
        <v>0</v>
      </c>
      <c r="L3" t="inlineStr">
        <is>
          <t>2026-06-08T09:16:24.230979+00:00</t>
        </is>
      </c>
    </row>
    <row r="4">
      <c r="A4" t="inlineStr">
        <is>
          <t>All Questions</t>
        </is>
      </c>
      <c r="B4" t="inlineStr">
        <is>
          <t>cross_tab_by_net_rank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I$24</t>
        </is>
      </c>
      <c r="H4">
        <f>IF(OR(All_Questions_Q_RANK_CT="(None)",I$24=""),"",IF(I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0</v>
      </c>
      <c r="I4" t="n">
        <v>62.5</v>
      </c>
      <c r="J4" t="n">
        <v>0</v>
      </c>
      <c r="K4" t="n">
        <v>0</v>
      </c>
      <c r="L4" t="inlineStr">
        <is>
          <t>2026-06-08T09:16:24.231246+00:00</t>
        </is>
      </c>
    </row>
    <row r="5">
      <c r="A5" t="inlineStr">
        <is>
          <t>All Questions</t>
        </is>
      </c>
      <c r="B5" t="inlineStr">
        <is>
          <t>cross_tab_by_net_rank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J$24</t>
        </is>
      </c>
      <c r="H5">
        <f>IF(OR(All_Questions_Q_RANK_CT="(None)",J$24=""),"",IF(J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0</v>
      </c>
      <c r="I5" t="n">
        <v>62.5</v>
      </c>
      <c r="J5" t="n">
        <v>0</v>
      </c>
      <c r="K5" t="n">
        <v>0</v>
      </c>
      <c r="L5" t="inlineStr">
        <is>
          <t>2026-06-08T09:16:24.231465+00:00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K$24</t>
        </is>
      </c>
      <c r="H6">
        <f>IF(OR(All_Questions_Q_RANK_CT="(None)",K$24=""),"",IF(K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0</v>
      </c>
      <c r="I6" t="n">
        <v>62.5</v>
      </c>
      <c r="J6" t="n">
        <v>0</v>
      </c>
      <c r="K6" t="n">
        <v>0</v>
      </c>
      <c r="L6" t="inlineStr">
        <is>
          <t>2026-06-08T09:16:24.231681+00:00</t>
        </is>
      </c>
    </row>
    <row r="7">
      <c r="A7" t="inlineStr">
        <is>
          <t>All Questions</t>
        </is>
      </c>
      <c r="B7" t="inlineStr">
        <is>
          <t>cross_tab_by_net_rank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L$24</t>
        </is>
      </c>
      <c r="H7">
        <f>IF(OR(All_Questions_Q_RANK_CT="(None)",L$24=""),"",IF(L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0</v>
      </c>
      <c r="I7" t="n">
        <v>62.5</v>
      </c>
      <c r="J7" t="n">
        <v>0</v>
      </c>
      <c r="K7" t="n">
        <v>0</v>
      </c>
      <c r="L7" t="inlineStr">
        <is>
          <t>2026-06-08T09:16:24.231901+00:00</t>
        </is>
      </c>
    </row>
    <row r="8">
      <c r="A8" t="inlineStr">
        <is>
          <t>All Questions</t>
        </is>
      </c>
      <c r="B8" t="inlineStr">
        <is>
          <t>cross_tab_by_net_rank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M$24</t>
        </is>
      </c>
      <c r="H8">
        <f>IF(OR(All_Questions_Q_RANK_CT="(None)",M$24=""),"",IF(M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0</v>
      </c>
      <c r="I8" t="n">
        <v>62.5</v>
      </c>
      <c r="J8" t="n">
        <v>0</v>
      </c>
      <c r="K8" t="n">
        <v>0</v>
      </c>
      <c r="L8" t="inlineStr">
        <is>
          <t>2026-06-08T09:16:24.232160+00:00</t>
        </is>
      </c>
    </row>
    <row r="9">
      <c r="A9" t="inlineStr">
        <is>
          <t>All Questions</t>
        </is>
      </c>
      <c r="B9" t="inlineStr">
        <is>
          <t>cross_tab_by_net_rank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N$24</t>
        </is>
      </c>
      <c r="H9">
        <f>IF(OR(All_Questions_Q_RANK_CT="(None)",N$24=""),"",IF(N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0</v>
      </c>
      <c r="I9" t="n">
        <v>62.5</v>
      </c>
      <c r="J9" t="n">
        <v>0</v>
      </c>
      <c r="K9" t="n">
        <v>0</v>
      </c>
      <c r="L9" t="inlineStr">
        <is>
          <t>2026-06-08T09:16:24.232384+00:00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O$24</t>
        </is>
      </c>
      <c r="H10">
        <f>IF(OR(All_Questions_Q_RANK_CT="(None)",O$24=""),"",IF(O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0</v>
      </c>
      <c r="I10" t="n">
        <v>62.5</v>
      </c>
      <c r="J10" t="n">
        <v>0</v>
      </c>
      <c r="K10" t="n">
        <v>0</v>
      </c>
      <c r="L10" t="inlineStr">
        <is>
          <t>2026-06-08T09:16:24.232599+00:00</t>
        </is>
      </c>
    </row>
    <row r="11">
      <c r="A11" t="inlineStr">
        <is>
          <t>All Questions</t>
        </is>
      </c>
      <c r="B11" t="inlineStr">
        <is>
          <t>cross_tab_by_net_rank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P$24</t>
        </is>
      </c>
      <c r="H11">
        <f>IF(OR(All_Questions_Q_RANK_CT="(None)",P$24=""),"",IF(P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0</v>
      </c>
      <c r="I11" t="n">
        <v>62.5</v>
      </c>
      <c r="J11" t="n">
        <v>0</v>
      </c>
      <c r="K11" t="n">
        <v>0</v>
      </c>
      <c r="L11" t="inlineStr">
        <is>
          <t>2026-06-08T09:16:24.232812+00:00</t>
        </is>
      </c>
    </row>
    <row r="12">
      <c r="A12" t="inlineStr">
        <is>
          <t>All Questions</t>
        </is>
      </c>
      <c r="B12" t="inlineStr">
        <is>
          <t>cross_tab_by_net_rank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Q$24</t>
        </is>
      </c>
      <c r="H12">
        <f>IF(OR(All_Questions_Q_RANK_CT="(None)",Q$24=""),"",IF(Q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0</v>
      </c>
      <c r="I12" t="n">
        <v>62.5</v>
      </c>
      <c r="J12" t="n">
        <v>0</v>
      </c>
      <c r="K12" t="n">
        <v>0</v>
      </c>
      <c r="L12" t="inlineStr">
        <is>
          <t>2026-06-08T09:16:24.233021+00:00</t>
        </is>
      </c>
    </row>
    <row r="13">
      <c r="A13" t="inlineStr">
        <is>
          <t>All Questions</t>
        </is>
      </c>
      <c r="B13" t="inlineStr">
        <is>
          <t>cross_tab_by_net_rank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R$24</t>
        </is>
      </c>
      <c r="H13">
        <f>IF(OR(All_Questions_Q_RANK_CT="(None)",R$24=""),"",IF(R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0</v>
      </c>
      <c r="I13" t="n">
        <v>62.5</v>
      </c>
      <c r="J13" t="n">
        <v>0</v>
      </c>
      <c r="K13" t="n">
        <v>0</v>
      </c>
      <c r="L13" t="inlineStr">
        <is>
          <t>2026-06-08T09:16:24.233372+00:00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Q_RANK</t>
        </is>
      </c>
      <c r="D14" t="inlineStr">
        <is>
          <t>Q_RANK_B</t>
        </is>
      </c>
      <c r="E14" t="inlineStr">
        <is>
          <t>All_Questions_Q_RANK_CT = G$24</t>
        </is>
      </c>
      <c r="H14">
        <f>IF(OR(All_Questions_Q_RANK_CT="(None)",G$24=""),"",IF(G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0</v>
      </c>
      <c r="I14" t="n">
        <v>37.5</v>
      </c>
      <c r="J14" t="n">
        <v>0</v>
      </c>
      <c r="K14" t="n">
        <v>0</v>
      </c>
      <c r="L14" t="inlineStr">
        <is>
          <t>2026-06-08T09:16:24.233793+00:00</t>
        </is>
      </c>
    </row>
    <row r="15">
      <c r="A15" t="inlineStr">
        <is>
          <t>All Questions</t>
        </is>
      </c>
      <c r="B15" t="inlineStr">
        <is>
          <t>cross_tab_by_net_rank</t>
        </is>
      </c>
      <c r="C15" t="inlineStr">
        <is>
          <t>Q_RANK</t>
        </is>
      </c>
      <c r="D15" t="inlineStr">
        <is>
          <t>Q_RANK_B</t>
        </is>
      </c>
      <c r="E15" t="inlineStr">
        <is>
          <t>All_Questions_Q_RANK_CT = H$24</t>
        </is>
      </c>
      <c r="H15">
        <f>IF(OR(All_Questions_Q_RANK_CT="(None)",H$24=""),"",IF(H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0</v>
      </c>
      <c r="I15" t="n">
        <v>37.5</v>
      </c>
      <c r="J15" t="n">
        <v>0</v>
      </c>
      <c r="K15" t="n">
        <v>0</v>
      </c>
      <c r="L15" t="inlineStr">
        <is>
          <t>2026-06-08T09:16:24.234013+00:00</t>
        </is>
      </c>
    </row>
    <row r="16">
      <c r="A16" t="inlineStr">
        <is>
          <t>All Questions</t>
        </is>
      </c>
      <c r="B16" t="inlineStr">
        <is>
          <t>cross_tab_by_net_rank</t>
        </is>
      </c>
      <c r="C16" t="inlineStr">
        <is>
          <t>Q_RANK</t>
        </is>
      </c>
      <c r="D16" t="inlineStr">
        <is>
          <t>Q_RANK_B</t>
        </is>
      </c>
      <c r="E16" t="inlineStr">
        <is>
          <t>All_Questions_Q_RANK_CT = I$24</t>
        </is>
      </c>
      <c r="H16">
        <f>IF(OR(All_Questions_Q_RANK_CT="(None)",I$24=""),"",IF(I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0</v>
      </c>
      <c r="I16" t="n">
        <v>37.5</v>
      </c>
      <c r="J16" t="n">
        <v>0</v>
      </c>
      <c r="K16" t="n">
        <v>0</v>
      </c>
      <c r="L16" t="inlineStr">
        <is>
          <t>2026-06-08T09:16:24.234286+00:00</t>
        </is>
      </c>
    </row>
    <row r="17">
      <c r="A17" t="inlineStr">
        <is>
          <t>All Questions</t>
        </is>
      </c>
      <c r="B17" t="inlineStr">
        <is>
          <t>cross_tab_by_net_rank</t>
        </is>
      </c>
      <c r="C17" t="inlineStr">
        <is>
          <t>Q_RANK</t>
        </is>
      </c>
      <c r="D17" t="inlineStr">
        <is>
          <t>Q_RANK_B</t>
        </is>
      </c>
      <c r="E17" t="inlineStr">
        <is>
          <t>All_Questions_Q_RANK_CT = J$24</t>
        </is>
      </c>
      <c r="H17">
        <f>IF(OR(All_Questions_Q_RANK_CT="(None)",J$24=""),"",IF(J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0</v>
      </c>
      <c r="I17" t="n">
        <v>37.5</v>
      </c>
      <c r="J17" t="n">
        <v>0</v>
      </c>
      <c r="K17" t="n">
        <v>0</v>
      </c>
      <c r="L17" t="inlineStr">
        <is>
          <t>2026-06-08T09:16:24.234507+00:00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Q_RANK</t>
        </is>
      </c>
      <c r="D18" t="inlineStr">
        <is>
          <t>Q_RANK_B</t>
        </is>
      </c>
      <c r="E18" t="inlineStr">
        <is>
          <t>All_Questions_Q_RANK_CT = K$24</t>
        </is>
      </c>
      <c r="H18">
        <f>IF(OR(All_Questions_Q_RANK_CT="(None)",K$24=""),"",IF(K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0</v>
      </c>
      <c r="I18" t="n">
        <v>37.5</v>
      </c>
      <c r="J18" t="n">
        <v>0</v>
      </c>
      <c r="K18" t="n">
        <v>0</v>
      </c>
      <c r="L18" t="inlineStr">
        <is>
          <t>2026-06-08T09:16:24.234724+00:00</t>
        </is>
      </c>
    </row>
    <row r="19">
      <c r="A19" t="inlineStr">
        <is>
          <t>All Questions</t>
        </is>
      </c>
      <c r="B19" t="inlineStr">
        <is>
          <t>cross_tab_by_net_rank</t>
        </is>
      </c>
      <c r="C19" t="inlineStr">
        <is>
          <t>Q_RANK</t>
        </is>
      </c>
      <c r="D19" t="inlineStr">
        <is>
          <t>Q_RANK_B</t>
        </is>
      </c>
      <c r="E19" t="inlineStr">
        <is>
          <t>All_Questions_Q_RANK_CT = L$24</t>
        </is>
      </c>
      <c r="H19">
        <f>IF(OR(All_Questions_Q_RANK_CT="(None)",L$24=""),"",IF(L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0</v>
      </c>
      <c r="I19" t="n">
        <v>37.5</v>
      </c>
      <c r="J19" t="n">
        <v>0</v>
      </c>
      <c r="K19" t="n">
        <v>0</v>
      </c>
      <c r="L19" t="inlineStr">
        <is>
          <t>2026-06-08T09:16:24.234940+00:00</t>
        </is>
      </c>
    </row>
    <row r="20">
      <c r="A20" t="inlineStr">
        <is>
          <t>All Questions</t>
        </is>
      </c>
      <c r="B20" t="inlineStr">
        <is>
          <t>cross_tab_by_net_rank</t>
        </is>
      </c>
      <c r="C20" t="inlineStr">
        <is>
          <t>Q_RANK</t>
        </is>
      </c>
      <c r="D20" t="inlineStr">
        <is>
          <t>Q_RANK_B</t>
        </is>
      </c>
      <c r="E20" t="inlineStr">
        <is>
          <t>All_Questions_Q_RANK_CT = M$24</t>
        </is>
      </c>
      <c r="H20">
        <f>IF(OR(All_Questions_Q_RANK_CT="(None)",M$24=""),"",IF(M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0</v>
      </c>
      <c r="I20" t="n">
        <v>37.5</v>
      </c>
      <c r="J20" t="n">
        <v>0</v>
      </c>
      <c r="K20" t="n">
        <v>0</v>
      </c>
      <c r="L20" t="inlineStr">
        <is>
          <t>2026-06-08T09:16:24.235207+00:00</t>
        </is>
      </c>
    </row>
    <row r="21">
      <c r="A21" t="inlineStr">
        <is>
          <t>All Questions</t>
        </is>
      </c>
      <c r="B21" t="inlineStr">
        <is>
          <t>cross_tab_by_net_rank</t>
        </is>
      </c>
      <c r="C21" t="inlineStr">
        <is>
          <t>Q_RANK</t>
        </is>
      </c>
      <c r="D21" t="inlineStr">
        <is>
          <t>Q_RANK_B</t>
        </is>
      </c>
      <c r="E21" t="inlineStr">
        <is>
          <t>All_Questions_Q_RANK_CT = N$24</t>
        </is>
      </c>
      <c r="H21">
        <f>IF(OR(All_Questions_Q_RANK_CT="(None)",N$24=""),"",IF(N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0</v>
      </c>
      <c r="I21" t="n">
        <v>37.5</v>
      </c>
      <c r="J21" t="n">
        <v>0</v>
      </c>
      <c r="K21" t="n">
        <v>0</v>
      </c>
      <c r="L21" t="inlineStr">
        <is>
          <t>2026-06-08T09:16:24.235431+00:00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Q_RANK</t>
        </is>
      </c>
      <c r="D22" t="inlineStr">
        <is>
          <t>Q_RANK_B</t>
        </is>
      </c>
      <c r="E22" t="inlineStr">
        <is>
          <t>All_Questions_Q_RANK_CT = O$24</t>
        </is>
      </c>
      <c r="H22">
        <f>IF(OR(All_Questions_Q_RANK_CT="(None)",O$24=""),"",IF(O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0</v>
      </c>
      <c r="I22" t="n">
        <v>37.5</v>
      </c>
      <c r="J22" t="n">
        <v>0</v>
      </c>
      <c r="K22" t="n">
        <v>0</v>
      </c>
      <c r="L22" t="inlineStr">
        <is>
          <t>2026-06-08T09:16:24.235648+00:00</t>
        </is>
      </c>
    </row>
    <row r="23">
      <c r="A23" t="inlineStr">
        <is>
          <t>All Questions</t>
        </is>
      </c>
      <c r="B23" t="inlineStr">
        <is>
          <t>cross_tab_by_net_rank</t>
        </is>
      </c>
      <c r="C23" t="inlineStr">
        <is>
          <t>Q_RANK</t>
        </is>
      </c>
      <c r="D23" t="inlineStr">
        <is>
          <t>Q_RANK_B</t>
        </is>
      </c>
      <c r="E23" t="inlineStr">
        <is>
          <t>All_Questions_Q_RANK_CT = P$24</t>
        </is>
      </c>
      <c r="H23">
        <f>IF(OR(All_Questions_Q_RANK_CT="(None)",P$24=""),"",IF(P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0</v>
      </c>
      <c r="I23" t="n">
        <v>37.5</v>
      </c>
      <c r="J23" t="n">
        <v>0</v>
      </c>
      <c r="K23" t="n">
        <v>0</v>
      </c>
      <c r="L23" t="inlineStr">
        <is>
          <t>2026-06-08T09:16:24.235864+00:00</t>
        </is>
      </c>
    </row>
    <row r="24">
      <c r="A24" t="inlineStr">
        <is>
          <t>All Questions</t>
        </is>
      </c>
      <c r="B24" t="inlineStr">
        <is>
          <t>cross_tab_by_net_rank</t>
        </is>
      </c>
      <c r="C24" t="inlineStr">
        <is>
          <t>Q_RANK</t>
        </is>
      </c>
      <c r="D24" t="inlineStr">
        <is>
          <t>Q_RANK_B</t>
        </is>
      </c>
      <c r="E24" t="inlineStr">
        <is>
          <t>All_Questions_Q_RANK_CT = Q$24</t>
        </is>
      </c>
      <c r="H24">
        <f>IF(OR(All_Questions_Q_RANK_CT="(None)",Q$24=""),"",IF(Q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0</v>
      </c>
      <c r="I24" t="n">
        <v>37.5</v>
      </c>
      <c r="J24" t="n">
        <v>0</v>
      </c>
      <c r="K24" t="n">
        <v>0</v>
      </c>
      <c r="L24" t="inlineStr">
        <is>
          <t>2026-06-08T09:16:24.236100+00:00</t>
        </is>
      </c>
    </row>
    <row r="25">
      <c r="A25" t="inlineStr">
        <is>
          <t>All Questions</t>
        </is>
      </c>
      <c r="B25" t="inlineStr">
        <is>
          <t>cross_tab_by_net_rank</t>
        </is>
      </c>
      <c r="C25" t="inlineStr">
        <is>
          <t>Q_RANK</t>
        </is>
      </c>
      <c r="D25" t="inlineStr">
        <is>
          <t>Q_RANK_B</t>
        </is>
      </c>
      <c r="E25" t="inlineStr">
        <is>
          <t>All_Questions_Q_RANK_CT = R$24</t>
        </is>
      </c>
      <c r="H25">
        <f>IF(OR(All_Questions_Q_RANK_CT="(None)",R$24=""),"",IF(R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0</v>
      </c>
      <c r="I25" t="n">
        <v>37.5</v>
      </c>
      <c r="J25" t="n">
        <v>0</v>
      </c>
      <c r="K25" t="n">
        <v>0</v>
      </c>
      <c r="L25" t="inlineStr">
        <is>
          <t>2026-06-08T09:16:24.236408+00:00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2026-06-08T09:16:22Z</dcterms:created>
  <dcterms:modified xmlns:dcterms="http://purl.org/dc/terms/" xmlns:xsi="http://www.w3.org/2001/XMLSchema-instance" xsi:type="dcterms:W3CDTF">2026-06-08T09:16:24Z</dcterms:modified>
</cp:coreProperties>
</file>