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'_RawData'!$A$2:$A$5</definedName>
    <definedName name="Q1_data">'_RawData'!$B$2:$B$5</definedName>
    <definedName name="Q2_data">'_RawData'!$C$2:$C$5</definedName>
    <definedName name="Q3r1_data">'_RawData'!$D$2:$D$5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1_options">'_Options'!$F$2:$F$5</definedName>
    <definedName name="Q1_local_options">'_Options'!$I$2:$I$6</definedName>
    <definedName name="Q2_options">'_Options'!$G$2:$G$4</definedName>
    <definedName name="Q2_local_options">'_Options'!$J$2:$J$5</definedName>
    <definedName name="Q3r1_options">'_Options'!$H$2:$H$3</definedName>
    <definedName name="Q3r1_local_options">'_Options'!$K$2:$K$4</definedName>
    <definedName name="F_Q1">'Filters'!$B$4</definedName>
    <definedName name="F_Q1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Q1_match_data">'_RawData'!$E$2:$E$5</definedName>
    <definedName name="passes_workbook_filters_data">'_RawData'!$F$2:$F$5</definedName>
    <definedName name="F_Custom1_match_data">'_RawData'!$G$2:$G$5</definedName>
    <definedName name="F_Custom2_match_data">'_RawData'!$H$2:$H$5</definedName>
    <definedName name="passes_workbook_custom_filters_data">'_RawData'!$I$2:$I$5</definedName>
    <definedName name="Demographics_F_Q1">'Demographics'!$B$5</definedName>
    <definedName name="Demographics_F_Q1_resolved">'Demographics'!$C$5</definedName>
    <definedName name="Demographics_F_Q1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Q1_local_match_data">'_RawData'!$J$2:$J$5</definedName>
    <definedName name="Demographics_passes_local_filters_data">'_RawData'!$K$2:$K$5</definedName>
    <definedName name="Demographics_Q1_F_Q">'Demographics'!$C$14</definedName>
    <definedName name="Demographics_Q1_F_V">'Demographics'!$E$14</definedName>
    <definedName name="Demographics_Q1_F_resolved_column">'Demographics'!$F$14</definedName>
    <definedName name="Demographics_Q1_F_wrapped">'Demographics'!$G$14</definedName>
    <definedName name="Demographics_Q1_F_passes_per_q_filter_data">'_RawData'!$L$2:$L$5</definedName>
    <definedName name="Demographics_Q1_CT">'Demographics'!$C$15</definedName>
    <definedName name="All_Questions_F_Q1">'All Questions'!$B$5</definedName>
    <definedName name="All_Questions_F_Q1_resolved">'All Questions'!$C$5</definedName>
    <definedName name="All_Questions_F_Q1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Q1_local_match_data">'_RawData'!$M$2:$M$5</definedName>
    <definedName name="All_Questions_passes_local_filters_data">'_RawData'!$N$2:$N$5</definedName>
    <definedName name="All_Questions_Q2_F_Q">'All Questions'!$C$14</definedName>
    <definedName name="All_Questions_Q2_F_V">'All Questions'!$E$14</definedName>
    <definedName name="All_Questions_Q2_F_resolved_column">'All Questions'!$F$14</definedName>
    <definedName name="All_Questions_Q2_F_wrapped">'All Questions'!$G$14</definedName>
    <definedName name="All_Questions_Q2_F_passes_per_q_filter_data">'_RawData'!$O$2:$O$5</definedName>
    <definedName name="All_Questions_Q2_CT">'All Questions'!$C$15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K2" i="1"/>
  <c r="L2" i="1"/>
  <c r="M2" i="1"/>
  <c r="N2" i="1"/>
  <c r="O2" i="1"/>
  <c r="E3" i="1"/>
  <c r="F3" i="1"/>
  <c r="G3" i="1"/>
  <c r="H3" i="1"/>
  <c r="I3" i="1"/>
  <c r="J3" i="1"/>
  <c r="K3" i="1"/>
  <c r="L3" i="1"/>
  <c r="M3" i="1"/>
  <c r="N3" i="1"/>
  <c r="O3" i="1"/>
  <c r="E4" i="1"/>
  <c r="F4" i="1"/>
  <c r="G4" i="1"/>
  <c r="H4" i="1"/>
  <c r="I4" i="1"/>
  <c r="J4" i="1"/>
  <c r="K4" i="1"/>
  <c r="L4" i="1"/>
  <c r="M4" i="1"/>
  <c r="N4" i="1"/>
  <c r="O4" i="1"/>
  <c r="E5" i="1"/>
  <c r="F5" i="1"/>
  <c r="G5" i="1"/>
  <c r="H5" i="1"/>
  <c r="I5" i="1"/>
  <c r="J5" i="1"/>
  <c r="K5" i="1"/>
  <c r="L5" i="1"/>
  <c r="M5" i="1"/>
  <c r="N5" i="1"/>
  <c r="O5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B18" i="7"/>
  <c r="C18" i="7"/>
  <c r="D18" i="7"/>
  <c r="G18" i="7"/>
  <c r="H18" i="7"/>
  <c r="I18" i="7"/>
  <c r="J18" i="7"/>
  <c r="K18" i="7"/>
  <c r="L18" i="7"/>
  <c r="M18" i="7"/>
  <c r="N18" i="7"/>
  <c r="O18" i="7"/>
  <c r="B19" i="7"/>
  <c r="C19" i="7"/>
  <c r="D19" i="7"/>
  <c r="G19" i="7"/>
  <c r="H19" i="7"/>
  <c r="I19" i="7"/>
  <c r="J19" i="7"/>
  <c r="K19" i="7"/>
  <c r="L19" i="7"/>
  <c r="M19" i="7"/>
  <c r="N19" i="7"/>
  <c r="O19" i="7"/>
  <c r="B20" i="7"/>
  <c r="C20" i="7"/>
  <c r="D20" i="7"/>
  <c r="G20" i="7"/>
  <c r="H20" i="7"/>
  <c r="I20" i="7"/>
  <c r="J20" i="7"/>
  <c r="K20" i="7"/>
  <c r="L20" i="7"/>
  <c r="M20" i="7"/>
  <c r="N20" i="7"/>
  <c r="O20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B18" i="8"/>
  <c r="C18" i="8"/>
  <c r="D18" i="8"/>
  <c r="G18" i="8"/>
  <c r="H18" i="8"/>
  <c r="I18" i="8"/>
  <c r="J18" i="8"/>
  <c r="K18" i="8"/>
  <c r="L18" i="8"/>
  <c r="M18" i="8"/>
  <c r="N18" i="8"/>
  <c r="O18" i="8"/>
  <c r="B19" i="8"/>
  <c r="C19" i="8"/>
  <c r="D19" i="8"/>
  <c r="G19" i="8"/>
  <c r="H19" i="8"/>
  <c r="I19" i="8"/>
  <c r="J19" i="8"/>
  <c r="K19" i="8"/>
  <c r="L19" i="8"/>
  <c r="M19" i="8"/>
  <c r="N19" i="8"/>
  <c r="O19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In which country do you currently work?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In which country do you currently work?</t>
      </text>
    </comment>
    <comment ref="A13" authorId="0" shapeId="0">
      <text>
        <t>In which country do you currently work?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In which country do you currently work?</t>
      </text>
    </comment>
    <comment ref="A13" authorId="0" shapeId="0">
      <text>
        <t>Which survey version did the respondent see?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</t>
        </is>
      </c>
      <c r="C1" t="inlineStr">
        <is>
          <t>Q2</t>
        </is>
      </c>
      <c r="D1" t="inlineStr">
        <is>
          <t>Q3r1</t>
        </is>
      </c>
      <c r="E1" t="inlineStr">
        <is>
          <t>F_Q1_match</t>
        </is>
      </c>
      <c r="F1" t="inlineStr">
        <is>
          <t>passes_workbook_filters</t>
        </is>
      </c>
      <c r="G1" t="inlineStr">
        <is>
          <t>F_Custom1_match</t>
        </is>
      </c>
      <c r="H1" t="inlineStr">
        <is>
          <t>F_Custom2_match</t>
        </is>
      </c>
      <c r="I1" t="inlineStr">
        <is>
          <t>passes_workbook_custom_filters</t>
        </is>
      </c>
      <c r="J1" t="inlineStr">
        <is>
          <t>Demographics_F_Q1_local_match</t>
        </is>
      </c>
      <c r="K1" t="inlineStr">
        <is>
          <t>Demographics_passes_local_filters</t>
        </is>
      </c>
      <c r="L1" t="inlineStr">
        <is>
          <t>Demographics_Q1_F_passes_per_q_filter</t>
        </is>
      </c>
      <c r="M1" t="inlineStr">
        <is>
          <t>All_Questions_F_Q1_local_match</t>
        </is>
      </c>
      <c r="N1" t="inlineStr">
        <is>
          <t>All_Questions_passes_local_filters</t>
        </is>
      </c>
      <c r="O1" t="inlineStr">
        <is>
          <t>All_Questions_Q2_F_passes_per_q_filter</t>
        </is>
      </c>
    </row>
    <row r="2">
      <c r="A2" t="n">
        <v>1</v>
      </c>
      <c r="B2" t="inlineStr">
        <is>
          <t>United States</t>
        </is>
      </c>
      <c r="C2" t="inlineStr">
        <is>
          <t>Version 2</t>
        </is>
      </c>
      <c r="E2">
        <f>(((F_Q1="(All)")+(F_Q1="")+ISBLANK(F_Q1)+ISNUMBER(SEARCH("|"&amp;B2&amp;"|",F_Q1_wrapped)))&gt;0)*1</f>
        <v>1</v>
      </c>
      <c r="F2">
        <f>E2*1</f>
        <v>1</v>
      </c>
      <c r="G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H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I2">
        <f>G2*H2*1</f>
        <v>1</v>
      </c>
      <c r="J2">
        <f>(((Demographics_F_Q1_resolved="(All)")+(Demographics_F_Q1_resolved="")+ISBLANK(Demographics_F_Q1_resolved)+ISNUMBER(SEARCH("|"&amp;B2&amp;"|",Demographics_F_Q1_wrapped)))&gt;0)*1</f>
        <v>1</v>
      </c>
      <c r="K2">
        <f>J2*1</f>
        <v>1</v>
      </c>
      <c r="L2">
        <f>IF(OR(Demographics_Q1_F_Q="(None)",Demographics_Q1_F_Q="",ISBLANK(Demographics_Q1_F_Q),Demographics_Q1_F_V="(All)",Demographics_Q1_F_V="",ISBLANK(Demographics_Q1_F_V)),1,IFERROR(IF(ISNUMBER(SEARCH("|"&amp;INDEX(INDIRECT(Demographics_Q1_F_resolved_column),1)&amp;"|",Demographics_Q1_F_wrapped)),1,0),0))</f>
        <v>1</v>
      </c>
      <c r="M2">
        <f>(((All_Questions_F_Q1_resolved="(All)")+(All_Questions_F_Q1_resolved="")+ISBLANK(All_Questions_F_Q1_resolved)+ISNUMBER(SEARCH("|"&amp;B2&amp;"|",All_Questions_F_Q1_wrapped)))&gt;0)*1</f>
        <v>1</v>
      </c>
      <c r="N2">
        <f>M2*1</f>
        <v>1</v>
      </c>
      <c r="O2">
        <f>IF(OR(All_Questions_Q2_F_Q="(None)",All_Questions_Q2_F_Q="",ISBLANK(All_Questions_Q2_F_Q),All_Questions_Q2_F_V="(All)",All_Questions_Q2_F_V="",ISBLANK(All_Questions_Q2_F_V)),1,IFERROR(IF(ISNUMBER(SEARCH("|"&amp;INDEX(INDIRECT(All_Questions_Q2_F_resolved_column),1)&amp;"|",All_Questions_Q2_F_wrapped)),1,0),0))</f>
        <v>1</v>
      </c>
    </row>
    <row r="3">
      <c r="A3" t="n">
        <v>2</v>
      </c>
      <c r="B3" t="inlineStr">
        <is>
          <t>United States</t>
        </is>
      </c>
      <c r="C3" t="inlineStr">
        <is>
          <t>Version 2</t>
        </is>
      </c>
      <c r="E3">
        <f>(((F_Q1="(All)")+(F_Q1="")+ISBLANK(F_Q1)+ISNUMBER(SEARCH("|"&amp;B3&amp;"|",F_Q1_wrapped)))&gt;0)*1</f>
        <v>1</v>
      </c>
      <c r="F3">
        <f>E3*1</f>
        <v>1</v>
      </c>
      <c r="G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H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I3">
        <f>G3*H3*1</f>
        <v>1</v>
      </c>
      <c r="J3">
        <f>(((Demographics_F_Q1_resolved="(All)")+(Demographics_F_Q1_resolved="")+ISBLANK(Demographics_F_Q1_resolved)+ISNUMBER(SEARCH("|"&amp;B3&amp;"|",Demographics_F_Q1_wrapped)))&gt;0)*1</f>
        <v>1</v>
      </c>
      <c r="K3">
        <f>J3*1</f>
        <v>1</v>
      </c>
      <c r="L3">
        <f>IF(OR(Demographics_Q1_F_Q="(None)",Demographics_Q1_F_Q="",ISBLANK(Demographics_Q1_F_Q),Demographics_Q1_F_V="(All)",Demographics_Q1_F_V="",ISBLANK(Demographics_Q1_F_V)),1,IFERROR(IF(ISNUMBER(SEARCH("|"&amp;INDEX(INDIRECT(Demographics_Q1_F_resolved_column),2)&amp;"|",Demographics_Q1_F_wrapped)),1,0),0))</f>
        <v>1</v>
      </c>
      <c r="M3">
        <f>(((All_Questions_F_Q1_resolved="(All)")+(All_Questions_F_Q1_resolved="")+ISBLANK(All_Questions_F_Q1_resolved)+ISNUMBER(SEARCH("|"&amp;B3&amp;"|",All_Questions_F_Q1_wrapped)))&gt;0)*1</f>
        <v>1</v>
      </c>
      <c r="N3">
        <f>M3*1</f>
        <v>1</v>
      </c>
      <c r="O3">
        <f>IF(OR(All_Questions_Q2_F_Q="(None)",All_Questions_Q2_F_Q="",ISBLANK(All_Questions_Q2_F_Q),All_Questions_Q2_F_V="(All)",All_Questions_Q2_F_V="",ISBLANK(All_Questions_Q2_F_V)),1,IFERROR(IF(ISNUMBER(SEARCH("|"&amp;INDEX(INDIRECT(All_Questions_Q2_F_resolved_column),2)&amp;"|",All_Questions_Q2_F_wrapped)),1,0),0))</f>
        <v>1</v>
      </c>
    </row>
    <row r="4">
      <c r="A4" t="n">
        <v>3</v>
      </c>
      <c r="B4" t="inlineStr">
        <is>
          <t>Canada</t>
        </is>
      </c>
      <c r="C4" t="inlineStr">
        <is>
          <t>Version 3</t>
        </is>
      </c>
      <c r="E4">
        <f>(((F_Q1="(All)")+(F_Q1="")+ISBLANK(F_Q1)+ISNUMBER(SEARCH("|"&amp;B4&amp;"|",F_Q1_wrapped)))&gt;0)*1</f>
        <v>1</v>
      </c>
      <c r="F4">
        <f>E4*1</f>
        <v>1</v>
      </c>
      <c r="G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H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I4">
        <f>G4*H4*1</f>
        <v>1</v>
      </c>
      <c r="J4">
        <f>(((Demographics_F_Q1_resolved="(All)")+(Demographics_F_Q1_resolved="")+ISBLANK(Demographics_F_Q1_resolved)+ISNUMBER(SEARCH("|"&amp;B4&amp;"|",Demographics_F_Q1_wrapped)))&gt;0)*1</f>
        <v>1</v>
      </c>
      <c r="K4">
        <f>J4*1</f>
        <v>1</v>
      </c>
      <c r="L4">
        <f>IF(OR(Demographics_Q1_F_Q="(None)",Demographics_Q1_F_Q="",ISBLANK(Demographics_Q1_F_Q),Demographics_Q1_F_V="(All)",Demographics_Q1_F_V="",ISBLANK(Demographics_Q1_F_V)),1,IFERROR(IF(ISNUMBER(SEARCH("|"&amp;INDEX(INDIRECT(Demographics_Q1_F_resolved_column),3)&amp;"|",Demographics_Q1_F_wrapped)),1,0),0))</f>
        <v>1</v>
      </c>
      <c r="M4">
        <f>(((All_Questions_F_Q1_resolved="(All)")+(All_Questions_F_Q1_resolved="")+ISBLANK(All_Questions_F_Q1_resolved)+ISNUMBER(SEARCH("|"&amp;B4&amp;"|",All_Questions_F_Q1_wrapped)))&gt;0)*1</f>
        <v>1</v>
      </c>
      <c r="N4">
        <f>M4*1</f>
        <v>1</v>
      </c>
      <c r="O4">
        <f>IF(OR(All_Questions_Q2_F_Q="(None)",All_Questions_Q2_F_Q="",ISBLANK(All_Questions_Q2_F_Q),All_Questions_Q2_F_V="(All)",All_Questions_Q2_F_V="",ISBLANK(All_Questions_Q2_F_V)),1,IFERROR(IF(ISNUMBER(SEARCH("|"&amp;INDEX(INDIRECT(All_Questions_Q2_F_resolved_column),3)&amp;"|",All_Questions_Q2_F_wrapped)),1,0),0))</f>
        <v>1</v>
      </c>
    </row>
    <row r="5">
      <c r="A5" t="n">
        <v>4</v>
      </c>
      <c r="B5" t="inlineStr">
        <is>
          <t>India</t>
        </is>
      </c>
      <c r="C5" t="inlineStr">
        <is>
          <t>Version 3</t>
        </is>
      </c>
      <c r="E5">
        <f>(((F_Q1="(All)")+(F_Q1="")+ISBLANK(F_Q1)+ISNUMBER(SEARCH("|"&amp;B5&amp;"|",F_Q1_wrapped)))&gt;0)*1</f>
        <v>1</v>
      </c>
      <c r="F5">
        <f>E5*1</f>
        <v>1</v>
      </c>
      <c r="G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H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I5">
        <f>G5*H5*1</f>
        <v>1</v>
      </c>
      <c r="J5">
        <f>(((Demographics_F_Q1_resolved="(All)")+(Demographics_F_Q1_resolved="")+ISBLANK(Demographics_F_Q1_resolved)+ISNUMBER(SEARCH("|"&amp;B5&amp;"|",Demographics_F_Q1_wrapped)))&gt;0)*1</f>
        <v>1</v>
      </c>
      <c r="K5">
        <f>J5*1</f>
        <v>1</v>
      </c>
      <c r="L5">
        <f>IF(OR(Demographics_Q1_F_Q="(None)",Demographics_Q1_F_Q="",ISBLANK(Demographics_Q1_F_Q),Demographics_Q1_F_V="(All)",Demographics_Q1_F_V="",ISBLANK(Demographics_Q1_F_V)),1,IFERROR(IF(ISNUMBER(SEARCH("|"&amp;INDEX(INDIRECT(Demographics_Q1_F_resolved_column),4)&amp;"|",Demographics_Q1_F_wrapped)),1,0),0))</f>
        <v>1</v>
      </c>
      <c r="M5">
        <f>(((All_Questions_F_Q1_resolved="(All)")+(All_Questions_F_Q1_resolved="")+ISBLANK(All_Questions_F_Q1_resolved)+ISNUMBER(SEARCH("|"&amp;B5&amp;"|",All_Questions_F_Q1_wrapped)))&gt;0)*1</f>
        <v>1</v>
      </c>
      <c r="N5">
        <f>M5*1</f>
        <v>1</v>
      </c>
      <c r="O5">
        <f>IF(OR(All_Questions_Q2_F_Q="(None)",All_Questions_Q2_F_Q="",ISBLANK(All_Questions_Q2_F_Q),All_Questions_Q2_F_V="(All)",All_Questions_Q2_F_V="",ISBLANK(All_Questions_Q2_F_V)),1,IFERROR(IF(ISNUMBER(SEARCH("|"&amp;INDEX(INDIRECT(All_Questions_Q2_F_resolved_column),4)&amp;"|",All_Questions_Q2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Q1_options</t>
        </is>
      </c>
      <c r="G1" t="inlineStr">
        <is>
          <t>Q2_options</t>
        </is>
      </c>
      <c r="H1" t="inlineStr">
        <is>
          <t>Q3r1_options</t>
        </is>
      </c>
      <c r="I1" t="inlineStr">
        <is>
          <t>Q1_local_options</t>
        </is>
      </c>
      <c r="J1" t="inlineStr">
        <is>
          <t>Q2_local_options</t>
        </is>
      </c>
      <c r="K1" t="inlineStr">
        <is>
          <t>Q3r1_local_options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A3" t="inlineStr">
        <is>
          <t>Q1 - Country</t>
        </is>
      </c>
      <c r="B3" t="inlineStr">
        <is>
          <t>(None)</t>
        </is>
      </c>
      <c r="C3" t="inlineStr">
        <is>
          <t>Q1_data</t>
        </is>
      </c>
      <c r="D3" t="inlineStr">
        <is>
          <t>Q1_options</t>
        </is>
      </c>
      <c r="F3" t="inlineStr">
        <is>
          <t>United States</t>
        </is>
      </c>
      <c r="G3" t="inlineStr">
        <is>
          <t>Version 2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A4" t="inlineStr">
        <is>
          <t>Q2 - Survey Version</t>
        </is>
      </c>
      <c r="B4" t="inlineStr">
        <is>
          <t>Q1 - Country</t>
        </is>
      </c>
      <c r="C4" t="inlineStr">
        <is>
          <t>Q2_data</t>
        </is>
      </c>
      <c r="D4" t="inlineStr">
        <is>
          <t>Q2_options</t>
        </is>
      </c>
      <c r="F4" t="inlineStr">
        <is>
          <t>Canada</t>
        </is>
      </c>
      <c r="G4" t="inlineStr">
        <is>
          <t>Version 3</t>
        </is>
      </c>
      <c r="I4" t="inlineStr">
        <is>
          <t>United States</t>
        </is>
      </c>
      <c r="J4" t="inlineStr">
        <is>
          <t>Version 2</t>
        </is>
      </c>
      <c r="K4" t="inlineStr">
        <is>
          <t>Selected</t>
        </is>
      </c>
    </row>
    <row r="5">
      <c r="B5" t="inlineStr">
        <is>
          <t>Q2 - Survey Version</t>
        </is>
      </c>
      <c r="F5" t="inlineStr">
        <is>
          <t>India</t>
        </is>
      </c>
      <c r="I5" t="inlineStr">
        <is>
          <t>Canada</t>
        </is>
      </c>
      <c r="J5" t="inlineStr">
        <is>
          <t>Version 3</t>
        </is>
      </c>
    </row>
    <row r="6">
      <c r="I6" t="inlineStr">
        <is>
          <t>India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Country</t>
        </is>
      </c>
      <c r="B4" t="inlineStr">
        <is>
          <t>(All)</t>
        </is>
      </c>
      <c r="C4" t="str">
        <f>"|" &amp; SUBSTITUTE(F_Q1, ", ", "|") &amp; "|"</f>
        <v>|(All)|</v>
      </c>
      <c r="D4" t="inlineStr">
        <is>
          <t>United States, Canada, India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XLOOKUP(F_Custom1_Q,All_Questions,All_Questions_Data_Names,"respondent_id_data")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XLOOKUP(F_Custom2_Q,All_Questions,All_Questions_Data_Names,"respondent_id_data")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=Q1_options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=INDIRECT(XLOOKUP(F_Custom1_Q,All_Questions,All_Questions_Options_Names,"None_options"))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  <legacyDrawing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3</v>
      </c>
    </row>
    <row r="6">
      <c r="A6" s="5" t="inlineStr">
        <is>
          <t>Results produced:</t>
        </is>
      </c>
      <c r="B6" t="n">
        <v>2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6" customWidth="1" min="3" max="3"/>
    <col width="21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[Q1]</t>
        </is>
      </c>
      <c r="B2" t="inlineStr">
        <is>
          <t>Q1</t>
        </is>
      </c>
      <c r="C2" t="inlineStr">
        <is>
          <t>In which country do you currently work?</t>
        </is>
      </c>
      <c r="D2" t="inlineStr">
        <is>
          <t>SINGLE_SELECT</t>
        </is>
      </c>
      <c r="E2" t="inlineStr">
        <is>
          <t>Q1</t>
        </is>
      </c>
      <c r="F2" t="n">
        <v>3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[Q2]</t>
        </is>
      </c>
      <c r="B3" t="inlineStr">
        <is>
          <t>Q2</t>
        </is>
      </c>
      <c r="C3" t="inlineStr">
        <is>
          <t>Which survey version did the respondent see?</t>
        </is>
      </c>
      <c r="D3" t="inlineStr">
        <is>
          <t>SINGLE_SELECT</t>
        </is>
      </c>
      <c r="E3" t="inlineStr">
        <is>
          <t>Q2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[Q3]</t>
        </is>
      </c>
      <c r="B4" t="inlineStr">
        <is>
          <t>Q3</t>
        </is>
      </c>
      <c r="C4" t="inlineStr">
        <is>
          <t>Which terms apply?</t>
        </is>
      </c>
      <c r="D4" t="inlineStr">
        <is>
          <t>MULTI_SELECT_BINARY</t>
        </is>
      </c>
      <c r="E4" t="inlineStr">
        <is>
          <t>Q3r1</t>
        </is>
      </c>
      <c r="F4" t="n">
        <v>1</v>
      </c>
      <c r="G4" t="inlineStr">
        <is>
          <t>Yes</t>
        </is>
      </c>
      <c r="H4" t="inlineStr">
        <is>
          <t>No</t>
        </is>
      </c>
      <c r="I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4</v>
      </c>
      <c r="G2" t="n">
        <v>0</v>
      </c>
      <c r="H2" s="7" t="n">
        <v>0</v>
      </c>
      <c r="I2" t="inlineStr"/>
    </row>
    <row r="3">
      <c r="A3" t="inlineStr">
        <is>
          <t>Q2</t>
        </is>
      </c>
      <c r="B3" t="inlineStr">
        <is>
          <t>Q2</t>
        </is>
      </c>
      <c r="C3" t="inlineStr">
        <is>
          <t>SINGLE_SELECT</t>
        </is>
      </c>
      <c r="D3" t="inlineStr">
        <is>
          <t>All Questions</t>
        </is>
      </c>
      <c r="E3" s="6" t="inlineStr">
        <is>
          <t>All Questions</t>
        </is>
      </c>
      <c r="F3" t="n">
        <v>4</v>
      </c>
      <c r="G3" t="n">
        <v>0</v>
      </c>
      <c r="H3" s="7" t="n">
        <v>0</v>
      </c>
      <c r="I3" t="inlineStr"/>
    </row>
  </sheetData>
  <hyperlinks>
    <hyperlink ref="E2" r:id="rId1"/>
    <hyperlink ref="E3" r:id="rId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IF(Demographics_F_Q1="(Inherit)",F_Q1,Demographics_F_Q1)</f>
        <v>(All)</v>
      </c>
      <c r="D5" t="str">
        <f>"|" &amp; SUBSTITUTE(Demographics_F_Q1_resolved, ", ", "|") &amp; "|"</f>
        <v>|(All)|</v>
      </c>
      <c r="E5" t="inlineStr">
        <is>
          <t>United States, Canada, India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XLOOKUP(Demographics_F_Custom1_Q_resolved,All_Questions,All_Questions_Data_Names,"respondent_id_data")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XLOOKUP(Demographics_F_Custom2_Q_resolved,All_Questions,All_Questions_Data_Names,"respondent_id_data")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Q1 - Country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XLOOKUP(Demographics_Q1_F_Q,All_Questions,All_Questions_Data_Names,"respondent_id_data")</f>
        <v>respondent_id_data</v>
      </c>
      <c r="G14" t="str">
        <f>"|" &amp; SUBSTITUTE(Demographics_Q1_F_V,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5" t="inlineStr">
        <is>
          <t>Option \ Cross-tab</t>
        </is>
      </c>
      <c r="G17" t="str">
        <f>IFERROR(INDEX(INDIRECT(XLOOKUP(Demographics_Q1_CT,All_Questions,All_Questions_Options_Names,"None_options")),2),"")</f>
        <v/>
      </c>
      <c r="H17" t="str">
        <f>IFERROR(INDEX(INDIRECT(XLOOKUP(Demographics_Q1_CT,All_Questions,All_Questions_Options_Names,"None_options")),3),"")</f>
        <v/>
      </c>
      <c r="I17" t="str">
        <f>IFERROR(INDEX(INDIRECT(XLOOKUP(Demographics_Q1_CT,All_Questions,All_Questions_Options_Names,"None_options")),4),"")</f>
        <v/>
      </c>
      <c r="J17" t="str">
        <f>IFERROR(INDEX(INDIRECT(XLOOKUP(Demographics_Q1_CT,All_Questions,All_Questions_Options_Names,"None_options")),5),"")</f>
        <v/>
      </c>
      <c r="K17" t="str">
        <f>IFERROR(INDEX(INDIRECT(XLOOKUP(Demographics_Q1_CT,All_Questions,All_Questions_Options_Names,"None_options")),6),"")</f>
        <v/>
      </c>
      <c r="L17" t="str">
        <f>IFERROR(INDEX(INDIRECT(XLOOKUP(Demographics_Q1_CT,All_Questions,All_Questions_Options_Names,"None_options")),7),"")</f>
        <v/>
      </c>
      <c r="M17" t="str">
        <f>IFERROR(INDEX(INDIRECT(XLOOKUP(Demographics_Q1_CT,All_Questions,All_Questions_Options_Names,"None_options")),8),"")</f>
        <v/>
      </c>
      <c r="N17" t="str">
        <f>IFERROR(INDEX(INDIRECT(XLOOKUP(Demographics_Q1_CT,All_Questions,All_Questions_Options_Names,"None_options")),9),"")</f>
        <v/>
      </c>
      <c r="O17" s="5" t="inlineStr">
        <is>
          <t>TOTAL</t>
        </is>
      </c>
    </row>
    <row r="18">
      <c r="A18" t="inlineStr">
        <is>
          <t>United States</t>
        </is>
      </c>
      <c r="B18">
        <f>COUNTIFS(Q1_data,"United States",passes_workbook_filters_data,1,passes_workbook_custom_filters_data,1,Demographics_passes_local_filters_data,1,Demographics_Q1_F_passes_per_q_filter_data,1)</f>
        <v>2</v>
      </c>
      <c r="C18" s="7">
        <f>IFERROR(B18/SUBTOTAL(9,B18:B20),0)</f>
        <v>0.5</v>
      </c>
      <c r="D18" s="14">
        <f>SUBTOTAL(9,B18:B20)</f>
        <v>4</v>
      </c>
      <c r="F18" t="inlineStr">
        <is>
          <t>United States</t>
        </is>
      </c>
      <c r="G18">
        <f>(Demographics_Q1_CT&lt;&gt;"(None)")*COUNTIFS(Q1_data,"United States",passes_workbook_filters_data,1,passes_workbook_custom_filters_data,1,Demographics_passes_local_filters_data,1,Demographics_Q1_F_passes_per_q_filter_data,1,INDIRECT(XLOOKUP(Demographics_Q1_CT,All_Questions,All_Questions_Data_Names,"respondent_id_data")),G$17)</f>
        <v>0</v>
      </c>
      <c r="H18">
        <f>(Demographics_Q1_CT&lt;&gt;"(None)")*COUNTIFS(Q1_data,"United States",passes_workbook_filters_data,1,passes_workbook_custom_filters_data,1,Demographics_passes_local_filters_data,1,Demographics_Q1_F_passes_per_q_filter_data,1,INDIRECT(XLOOKUP(Demographics_Q1_CT,All_Questions,All_Questions_Data_Names,"respondent_id_data")),H$17)</f>
        <v>0</v>
      </c>
      <c r="I18">
        <f>(Demographics_Q1_CT&lt;&gt;"(None)")*COUNTIFS(Q1_data,"United States",passes_workbook_filters_data,1,passes_workbook_custom_filters_data,1,Demographics_passes_local_filters_data,1,Demographics_Q1_F_passes_per_q_filter_data,1,INDIRECT(XLOOKUP(Demographics_Q1_CT,All_Questions,All_Questions_Data_Names,"respondent_id_data")),I$17)</f>
        <v>0</v>
      </c>
      <c r="J18">
        <f>(Demographics_Q1_CT&lt;&gt;"(None)")*COUNTIFS(Q1_data,"United States",passes_workbook_filters_data,1,passes_workbook_custom_filters_data,1,Demographics_passes_local_filters_data,1,Demographics_Q1_F_passes_per_q_filter_data,1,INDIRECT(XLOOKUP(Demographics_Q1_CT,All_Questions,All_Questions_Data_Names,"respondent_id_data")),J$17)</f>
        <v>0</v>
      </c>
      <c r="K18">
        <f>(Demographics_Q1_CT&lt;&gt;"(None)")*COUNTIFS(Q1_data,"United States",passes_workbook_filters_data,1,passes_workbook_custom_filters_data,1,Demographics_passes_local_filters_data,1,Demographics_Q1_F_passes_per_q_filter_data,1,INDIRECT(XLOOKUP(Demographics_Q1_CT,All_Questions,All_Questions_Data_Names,"respondent_id_data")),K$17)</f>
        <v>0</v>
      </c>
      <c r="L18">
        <f>(Demographics_Q1_CT&lt;&gt;"(None)")*COUNTIFS(Q1_data,"United States",passes_workbook_filters_data,1,passes_workbook_custom_filters_data,1,Demographics_passes_local_filters_data,1,Demographics_Q1_F_passes_per_q_filter_data,1,INDIRECT(XLOOKUP(Demographics_Q1_CT,All_Questions,All_Questions_Data_Names,"respondent_id_data")),L$17)</f>
        <v>0</v>
      </c>
      <c r="M18">
        <f>(Demographics_Q1_CT&lt;&gt;"(None)")*COUNTIFS(Q1_data,"United States",passes_workbook_filters_data,1,passes_workbook_custom_filters_data,1,Demographics_passes_local_filters_data,1,Demographics_Q1_F_passes_per_q_filter_data,1,INDIRECT(XLOOKUP(Demographics_Q1_CT,All_Questions,All_Questions_Data_Names,"respondent_id_data")),M$17)</f>
        <v>0</v>
      </c>
      <c r="N18">
        <f>(Demographics_Q1_CT&lt;&gt;"(None)")*COUNTIFS(Q1_data,"United States",passes_workbook_filters_data,1,passes_workbook_custom_filters_data,1,Demographics_passes_local_filters_data,1,Demographics_Q1_F_passes_per_q_filter_data,1,INDIRECT(XLOOKUP(Demographics_Q1_CT,All_Questions,All_Questions_Data_Names,"respondent_id_data")),N$17)</f>
        <v>0</v>
      </c>
      <c r="O18">
        <f>SUM(G18:N18)</f>
        <v>0</v>
      </c>
    </row>
    <row r="19">
      <c r="A19" t="inlineStr">
        <is>
          <t>Canada</t>
        </is>
      </c>
      <c r="B19">
        <f>COUNTIFS(Q1_data,"Canada",passes_workbook_filters_data,1,passes_workbook_custom_filters_data,1,Demographics_passes_local_filters_data,1,Demographics_Q1_F_passes_per_q_filter_data,1)</f>
        <v>1</v>
      </c>
      <c r="C19" s="7">
        <f>IFERROR(B19/SUBTOTAL(9,B18:B20),0)</f>
        <v>0.25</v>
      </c>
      <c r="D19" s="14">
        <f>SUBTOTAL(9,B18:B20)</f>
        <v>4</v>
      </c>
      <c r="F19" t="inlineStr">
        <is>
          <t>Canada</t>
        </is>
      </c>
      <c r="G19">
        <f>(Demographics_Q1_CT&lt;&gt;"(None)")*COUNTIFS(Q1_data,"Canada",passes_workbook_filters_data,1,passes_workbook_custom_filters_data,1,Demographics_passes_local_filters_data,1,Demographics_Q1_F_passes_per_q_filter_data,1,INDIRECT(XLOOKUP(Demographics_Q1_CT,All_Questions,All_Questions_Data_Names,"respondent_id_data")),G$17)</f>
        <v>0</v>
      </c>
      <c r="H19">
        <f>(Demographics_Q1_CT&lt;&gt;"(None)")*COUNTIFS(Q1_data,"Canada",passes_workbook_filters_data,1,passes_workbook_custom_filters_data,1,Demographics_passes_local_filters_data,1,Demographics_Q1_F_passes_per_q_filter_data,1,INDIRECT(XLOOKUP(Demographics_Q1_CT,All_Questions,All_Questions_Data_Names,"respondent_id_data")),H$17)</f>
        <v>0</v>
      </c>
      <c r="I19">
        <f>(Demographics_Q1_CT&lt;&gt;"(None)")*COUNTIFS(Q1_data,"Canada",passes_workbook_filters_data,1,passes_workbook_custom_filters_data,1,Demographics_passes_local_filters_data,1,Demographics_Q1_F_passes_per_q_filter_data,1,INDIRECT(XLOOKUP(Demographics_Q1_CT,All_Questions,All_Questions_Data_Names,"respondent_id_data")),I$17)</f>
        <v>0</v>
      </c>
      <c r="J19">
        <f>(Demographics_Q1_CT&lt;&gt;"(None)")*COUNTIFS(Q1_data,"Canada",passes_workbook_filters_data,1,passes_workbook_custom_filters_data,1,Demographics_passes_local_filters_data,1,Demographics_Q1_F_passes_per_q_filter_data,1,INDIRECT(XLOOKUP(Demographics_Q1_CT,All_Questions,All_Questions_Data_Names,"respondent_id_data")),J$17)</f>
        <v>0</v>
      </c>
      <c r="K19">
        <f>(Demographics_Q1_CT&lt;&gt;"(None)")*COUNTIFS(Q1_data,"Canada",passes_workbook_filters_data,1,passes_workbook_custom_filters_data,1,Demographics_passes_local_filters_data,1,Demographics_Q1_F_passes_per_q_filter_data,1,INDIRECT(XLOOKUP(Demographics_Q1_CT,All_Questions,All_Questions_Data_Names,"respondent_id_data")),K$17)</f>
        <v>0</v>
      </c>
      <c r="L19">
        <f>(Demographics_Q1_CT&lt;&gt;"(None)")*COUNTIFS(Q1_data,"Canada",passes_workbook_filters_data,1,passes_workbook_custom_filters_data,1,Demographics_passes_local_filters_data,1,Demographics_Q1_F_passes_per_q_filter_data,1,INDIRECT(XLOOKUP(Demographics_Q1_CT,All_Questions,All_Questions_Data_Names,"respondent_id_data")),L$17)</f>
        <v>0</v>
      </c>
      <c r="M19">
        <f>(Demographics_Q1_CT&lt;&gt;"(None)")*COUNTIFS(Q1_data,"Canada",passes_workbook_filters_data,1,passes_workbook_custom_filters_data,1,Demographics_passes_local_filters_data,1,Demographics_Q1_F_passes_per_q_filter_data,1,INDIRECT(XLOOKUP(Demographics_Q1_CT,All_Questions,All_Questions_Data_Names,"respondent_id_data")),M$17)</f>
        <v>0</v>
      </c>
      <c r="N19">
        <f>(Demographics_Q1_CT&lt;&gt;"(None)")*COUNTIFS(Q1_data,"Canada",passes_workbook_filters_data,1,passes_workbook_custom_filters_data,1,Demographics_passes_local_filters_data,1,Demographics_Q1_F_passes_per_q_filter_data,1,INDIRECT(XLOOKUP(Demographics_Q1_CT,All_Questions,All_Questions_Data_Names,"respondent_id_data")),N$17)</f>
        <v>0</v>
      </c>
      <c r="O19">
        <f>SUM(G19:N19)</f>
        <v>0</v>
      </c>
    </row>
    <row r="20">
      <c r="A20" t="inlineStr">
        <is>
          <t>India</t>
        </is>
      </c>
      <c r="B20">
        <f>COUNTIFS(Q1_data,"India",passes_workbook_filters_data,1,passes_workbook_custom_filters_data,1,Demographics_passes_local_filters_data,1,Demographics_Q1_F_passes_per_q_filter_data,1)</f>
        <v>1</v>
      </c>
      <c r="C20" s="7">
        <f>IFERROR(B20/SUBTOTAL(9,B18:B20),0)</f>
        <v>0.25</v>
      </c>
      <c r="D20" s="14">
        <f>SUBTOTAL(9,B18:B20)</f>
        <v>4</v>
      </c>
      <c r="F20" t="inlineStr">
        <is>
          <t>India</t>
        </is>
      </c>
      <c r="G20">
        <f>(Demographics_Q1_CT&lt;&gt;"(None)")*COUNTIFS(Q1_data,"India",passes_workbook_filters_data,1,passes_workbook_custom_filters_data,1,Demographics_passes_local_filters_data,1,Demographics_Q1_F_passes_per_q_filter_data,1,INDIRECT(XLOOKUP(Demographics_Q1_CT,All_Questions,All_Questions_Data_Names,"respondent_id_data")),G$17)</f>
        <v>0</v>
      </c>
      <c r="H20">
        <f>(Demographics_Q1_CT&lt;&gt;"(None)")*COUNTIFS(Q1_data,"India",passes_workbook_filters_data,1,passes_workbook_custom_filters_data,1,Demographics_passes_local_filters_data,1,Demographics_Q1_F_passes_per_q_filter_data,1,INDIRECT(XLOOKUP(Demographics_Q1_CT,All_Questions,All_Questions_Data_Names,"respondent_id_data")),H$17)</f>
        <v>0</v>
      </c>
      <c r="I20">
        <f>(Demographics_Q1_CT&lt;&gt;"(None)")*COUNTIFS(Q1_data,"India",passes_workbook_filters_data,1,passes_workbook_custom_filters_data,1,Demographics_passes_local_filters_data,1,Demographics_Q1_F_passes_per_q_filter_data,1,INDIRECT(XLOOKUP(Demographics_Q1_CT,All_Questions,All_Questions_Data_Names,"respondent_id_data")),I$17)</f>
        <v>0</v>
      </c>
      <c r="J20">
        <f>(Demographics_Q1_CT&lt;&gt;"(None)")*COUNTIFS(Q1_data,"India",passes_workbook_filters_data,1,passes_workbook_custom_filters_data,1,Demographics_passes_local_filters_data,1,Demographics_Q1_F_passes_per_q_filter_data,1,INDIRECT(XLOOKUP(Demographics_Q1_CT,All_Questions,All_Questions_Data_Names,"respondent_id_data")),J$17)</f>
        <v>0</v>
      </c>
      <c r="K20">
        <f>(Demographics_Q1_CT&lt;&gt;"(None)")*COUNTIFS(Q1_data,"India",passes_workbook_filters_data,1,passes_workbook_custom_filters_data,1,Demographics_passes_local_filters_data,1,Demographics_Q1_F_passes_per_q_filter_data,1,INDIRECT(XLOOKUP(Demographics_Q1_CT,All_Questions,All_Questions_Data_Names,"respondent_id_data")),K$17)</f>
        <v>0</v>
      </c>
      <c r="L20">
        <f>(Demographics_Q1_CT&lt;&gt;"(None)")*COUNTIFS(Q1_data,"India",passes_workbook_filters_data,1,passes_workbook_custom_filters_data,1,Demographics_passes_local_filters_data,1,Demographics_Q1_F_passes_per_q_filter_data,1,INDIRECT(XLOOKUP(Demographics_Q1_CT,All_Questions,All_Questions_Data_Names,"respondent_id_data")),L$17)</f>
        <v>0</v>
      </c>
      <c r="M20">
        <f>(Demographics_Q1_CT&lt;&gt;"(None)")*COUNTIFS(Q1_data,"India",passes_workbook_filters_data,1,passes_workbook_custom_filters_data,1,Demographics_passes_local_filters_data,1,Demographics_Q1_F_passes_per_q_filter_data,1,INDIRECT(XLOOKUP(Demographics_Q1_CT,All_Questions,All_Questions_Data_Names,"respondent_id_data")),M$17)</f>
        <v>0</v>
      </c>
      <c r="N20">
        <f>(Demographics_Q1_CT&lt;&gt;"(None)")*COUNTIFS(Q1_data,"India",passes_workbook_filters_data,1,passes_workbook_custom_filters_data,1,Demographics_passes_local_filters_data,1,Demographics_Q1_F_passes_per_q_filter_data,1,INDIRECT(XLOOKUP(Demographics_Q1_CT,All_Questions,All_Questions_Data_Names,"respondent_id_data")),N$17)</f>
        <v>0</v>
      </c>
      <c r="O20">
        <f>SUM(G20:N20)</f>
        <v>0</v>
      </c>
    </row>
    <row r="21">
      <c r="A21" s="15" t="inlineStr">
        <is>
          <t>Total respondents</t>
        </is>
      </c>
      <c r="B21" s="15" t="n">
        <v>4</v>
      </c>
      <c r="C21" s="15" t="n"/>
      <c r="D21" s="15" t="n"/>
    </row>
  </sheetData>
  <mergeCells count="1">
    <mergeCell ref="A1:J1"/>
  </mergeCells>
  <conditionalFormatting sqref="B18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N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=Q1_local_options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=INDIRECT(XLOOKUP(Demographics_F_Custom1_Q_resolved,All_Questions,All_Questions_Options_Names,"None_options"))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=INDIRECT(XLOOKUP(Demographics_F_Custom2_Q_resolved,All_Questions,All_Questions_Options_Names,"None_options"))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=INDIRECT(XLOOKUP(Demographics_Q1_F_Q,All_Questions,All_Questions_Options_Names,"None_options"))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IF(All_Questions_F_Q1="(Inherit)",F_Q1,All_Questions_F_Q1)</f>
        <v>(All)</v>
      </c>
      <c r="D5" t="str">
        <f>"|" &amp; SUBSTITUTE(All_Questions_F_Q1_resolved, ", ", "|") &amp; "|"</f>
        <v>|(All)|</v>
      </c>
      <c r="E5" t="inlineStr">
        <is>
          <t>United States, Canada, India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XLOOKUP(All_Questions_F_Custom1_Q_resolved,All_Questions,All_Questions_Data_Names,"respondent_id_data")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XLOOKUP(All_Questions_F_Custom2_Q_resolved,All_Questions,All_Questions_Data_Names,"respondent_id_data")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Q2 - Survey Version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XLOOKUP(All_Questions_Q2_F_Q,All_Questions,All_Questions_Data_Names,"respondent_id_data")</f>
        <v>respondent_id_data</v>
      </c>
      <c r="G14" t="str">
        <f>"|" &amp; SUBSTITUTE(All_Questions_Q2_F_V,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5" t="inlineStr">
        <is>
          <t>Option \ Cross-tab</t>
        </is>
      </c>
      <c r="G17" t="str">
        <f>IFERROR(INDEX(INDIRECT(XLOOKUP(All_Questions_Q2_CT,All_Questions,All_Questions_Options_Names,"None_options")),2),"")</f>
        <v/>
      </c>
      <c r="H17" t="str">
        <f>IFERROR(INDEX(INDIRECT(XLOOKUP(All_Questions_Q2_CT,All_Questions,All_Questions_Options_Names,"None_options")),3),"")</f>
        <v/>
      </c>
      <c r="I17" t="str">
        <f>IFERROR(INDEX(INDIRECT(XLOOKUP(All_Questions_Q2_CT,All_Questions,All_Questions_Options_Names,"None_options")),4),"")</f>
        <v/>
      </c>
      <c r="J17" t="str">
        <f>IFERROR(INDEX(INDIRECT(XLOOKUP(All_Questions_Q2_CT,All_Questions,All_Questions_Options_Names,"None_options")),5),"")</f>
        <v/>
      </c>
      <c r="K17" t="str">
        <f>IFERROR(INDEX(INDIRECT(XLOOKUP(All_Questions_Q2_CT,All_Questions,All_Questions_Options_Names,"None_options")),6),"")</f>
        <v/>
      </c>
      <c r="L17" t="str">
        <f>IFERROR(INDEX(INDIRECT(XLOOKUP(All_Questions_Q2_CT,All_Questions,All_Questions_Options_Names,"None_options")),7),"")</f>
        <v/>
      </c>
      <c r="M17" t="str">
        <f>IFERROR(INDEX(INDIRECT(XLOOKUP(All_Questions_Q2_CT,All_Questions,All_Questions_Options_Names,"None_options")),8),"")</f>
        <v/>
      </c>
      <c r="N17" t="str">
        <f>IFERROR(INDEX(INDIRECT(XLOOKUP(All_Questions_Q2_CT,All_Questions,All_Questions_Options_Names,"None_options")),9),"")</f>
        <v/>
      </c>
      <c r="O17" s="5" t="inlineStr">
        <is>
          <t>TOTAL</t>
        </is>
      </c>
    </row>
    <row r="18">
      <c r="A18" t="inlineStr">
        <is>
          <t>Version 2</t>
        </is>
      </c>
      <c r="B18">
        <f>COUNTIFS(Q2_data,"Version 2",passes_workbook_filters_data,1,passes_workbook_custom_filters_data,1,All_Questions_passes_local_filters_data,1,All_Questions_Q2_F_passes_per_q_filter_data,1)</f>
        <v>2</v>
      </c>
      <c r="C18" s="7">
        <f>IFERROR(B18/SUBTOTAL(9,B18:B19),0)</f>
        <v>0.5</v>
      </c>
      <c r="D18" s="14">
        <f>SUBTOTAL(9,B18:B19)</f>
        <v>4</v>
      </c>
      <c r="F18" t="inlineStr">
        <is>
          <t>Version 2</t>
        </is>
      </c>
      <c r="G18">
        <f>(All_Questions_Q2_CT&lt;&gt;"(None)")*COUNTIFS(Q2_data,"Version 2",passes_workbook_filters_data,1,passes_workbook_custom_filters_data,1,All_Questions_passes_local_filters_data,1,All_Questions_Q2_F_passes_per_q_filter_data,1,INDIRECT(XLOOKUP(All_Questions_Q2_CT,All_Questions,All_Questions_Data_Names,"respondent_id_data")),G$17)</f>
        <v>0</v>
      </c>
      <c r="H18">
        <f>(All_Questions_Q2_CT&lt;&gt;"(None)")*COUNTIFS(Q2_data,"Version 2",passes_workbook_filters_data,1,passes_workbook_custom_filters_data,1,All_Questions_passes_local_filters_data,1,All_Questions_Q2_F_passes_per_q_filter_data,1,INDIRECT(XLOOKUP(All_Questions_Q2_CT,All_Questions,All_Questions_Data_Names,"respondent_id_data")),H$17)</f>
        <v>0</v>
      </c>
      <c r="I18">
        <f>(All_Questions_Q2_CT&lt;&gt;"(None)")*COUNTIFS(Q2_data,"Version 2",passes_workbook_filters_data,1,passes_workbook_custom_filters_data,1,All_Questions_passes_local_filters_data,1,All_Questions_Q2_F_passes_per_q_filter_data,1,INDIRECT(XLOOKUP(All_Questions_Q2_CT,All_Questions,All_Questions_Data_Names,"respondent_id_data")),I$17)</f>
        <v>0</v>
      </c>
      <c r="J18">
        <f>(All_Questions_Q2_CT&lt;&gt;"(None)")*COUNTIFS(Q2_data,"Version 2",passes_workbook_filters_data,1,passes_workbook_custom_filters_data,1,All_Questions_passes_local_filters_data,1,All_Questions_Q2_F_passes_per_q_filter_data,1,INDIRECT(XLOOKUP(All_Questions_Q2_CT,All_Questions,All_Questions_Data_Names,"respondent_id_data")),J$17)</f>
        <v>0</v>
      </c>
      <c r="K18">
        <f>(All_Questions_Q2_CT&lt;&gt;"(None)")*COUNTIFS(Q2_data,"Version 2",passes_workbook_filters_data,1,passes_workbook_custom_filters_data,1,All_Questions_passes_local_filters_data,1,All_Questions_Q2_F_passes_per_q_filter_data,1,INDIRECT(XLOOKUP(All_Questions_Q2_CT,All_Questions,All_Questions_Data_Names,"respondent_id_data")),K$17)</f>
        <v>0</v>
      </c>
      <c r="L18">
        <f>(All_Questions_Q2_CT&lt;&gt;"(None)")*COUNTIFS(Q2_data,"Version 2",passes_workbook_filters_data,1,passes_workbook_custom_filters_data,1,All_Questions_passes_local_filters_data,1,All_Questions_Q2_F_passes_per_q_filter_data,1,INDIRECT(XLOOKUP(All_Questions_Q2_CT,All_Questions,All_Questions_Data_Names,"respondent_id_data")),L$17)</f>
        <v>0</v>
      </c>
      <c r="M18">
        <f>(All_Questions_Q2_CT&lt;&gt;"(None)")*COUNTIFS(Q2_data,"Version 2",passes_workbook_filters_data,1,passes_workbook_custom_filters_data,1,All_Questions_passes_local_filters_data,1,All_Questions_Q2_F_passes_per_q_filter_data,1,INDIRECT(XLOOKUP(All_Questions_Q2_CT,All_Questions,All_Questions_Data_Names,"respondent_id_data")),M$17)</f>
        <v>0</v>
      </c>
      <c r="N18">
        <f>(All_Questions_Q2_CT&lt;&gt;"(None)")*COUNTIFS(Q2_data,"Version 2",passes_workbook_filters_data,1,passes_workbook_custom_filters_data,1,All_Questions_passes_local_filters_data,1,All_Questions_Q2_F_passes_per_q_filter_data,1,INDIRECT(XLOOKUP(All_Questions_Q2_CT,All_Questions,All_Questions_Data_Names,"respondent_id_data")),N$17)</f>
        <v>0</v>
      </c>
      <c r="O18">
        <f>SUM(G18:N18)</f>
        <v>0</v>
      </c>
    </row>
    <row r="19">
      <c r="A19" t="inlineStr">
        <is>
          <t>Version 3</t>
        </is>
      </c>
      <c r="B19">
        <f>COUNTIFS(Q2_data,"Version 3",passes_workbook_filters_data,1,passes_workbook_custom_filters_data,1,All_Questions_passes_local_filters_data,1,All_Questions_Q2_F_passes_per_q_filter_data,1)</f>
        <v>2</v>
      </c>
      <c r="C19" s="7">
        <f>IFERROR(B19/SUBTOTAL(9,B18:B19),0)</f>
        <v>0.5</v>
      </c>
      <c r="D19" s="14">
        <f>SUBTOTAL(9,B18:B19)</f>
        <v>4</v>
      </c>
      <c r="F19" t="inlineStr">
        <is>
          <t>Version 3</t>
        </is>
      </c>
      <c r="G19">
        <f>(All_Questions_Q2_CT&lt;&gt;"(None)")*COUNTIFS(Q2_data,"Version 3",passes_workbook_filters_data,1,passes_workbook_custom_filters_data,1,All_Questions_passes_local_filters_data,1,All_Questions_Q2_F_passes_per_q_filter_data,1,INDIRECT(XLOOKUP(All_Questions_Q2_CT,All_Questions,All_Questions_Data_Names,"respondent_id_data")),G$17)</f>
        <v>0</v>
      </c>
      <c r="H19">
        <f>(All_Questions_Q2_CT&lt;&gt;"(None)")*COUNTIFS(Q2_data,"Version 3",passes_workbook_filters_data,1,passes_workbook_custom_filters_data,1,All_Questions_passes_local_filters_data,1,All_Questions_Q2_F_passes_per_q_filter_data,1,INDIRECT(XLOOKUP(All_Questions_Q2_CT,All_Questions,All_Questions_Data_Names,"respondent_id_data")),H$17)</f>
        <v>0</v>
      </c>
      <c r="I19">
        <f>(All_Questions_Q2_CT&lt;&gt;"(None)")*COUNTIFS(Q2_data,"Version 3",passes_workbook_filters_data,1,passes_workbook_custom_filters_data,1,All_Questions_passes_local_filters_data,1,All_Questions_Q2_F_passes_per_q_filter_data,1,INDIRECT(XLOOKUP(All_Questions_Q2_CT,All_Questions,All_Questions_Data_Names,"respondent_id_data")),I$17)</f>
        <v>0</v>
      </c>
      <c r="J19">
        <f>(All_Questions_Q2_CT&lt;&gt;"(None)")*COUNTIFS(Q2_data,"Version 3",passes_workbook_filters_data,1,passes_workbook_custom_filters_data,1,All_Questions_passes_local_filters_data,1,All_Questions_Q2_F_passes_per_q_filter_data,1,INDIRECT(XLOOKUP(All_Questions_Q2_CT,All_Questions,All_Questions_Data_Names,"respondent_id_data")),J$17)</f>
        <v>0</v>
      </c>
      <c r="K19">
        <f>(All_Questions_Q2_CT&lt;&gt;"(None)")*COUNTIFS(Q2_data,"Version 3",passes_workbook_filters_data,1,passes_workbook_custom_filters_data,1,All_Questions_passes_local_filters_data,1,All_Questions_Q2_F_passes_per_q_filter_data,1,INDIRECT(XLOOKUP(All_Questions_Q2_CT,All_Questions,All_Questions_Data_Names,"respondent_id_data")),K$17)</f>
        <v>0</v>
      </c>
      <c r="L19">
        <f>(All_Questions_Q2_CT&lt;&gt;"(None)")*COUNTIFS(Q2_data,"Version 3",passes_workbook_filters_data,1,passes_workbook_custom_filters_data,1,All_Questions_passes_local_filters_data,1,All_Questions_Q2_F_passes_per_q_filter_data,1,INDIRECT(XLOOKUP(All_Questions_Q2_CT,All_Questions,All_Questions_Data_Names,"respondent_id_data")),L$17)</f>
        <v>0</v>
      </c>
      <c r="M19">
        <f>(All_Questions_Q2_CT&lt;&gt;"(None)")*COUNTIFS(Q2_data,"Version 3",passes_workbook_filters_data,1,passes_workbook_custom_filters_data,1,All_Questions_passes_local_filters_data,1,All_Questions_Q2_F_passes_per_q_filter_data,1,INDIRECT(XLOOKUP(All_Questions_Q2_CT,All_Questions,All_Questions_Data_Names,"respondent_id_data")),M$17)</f>
        <v>0</v>
      </c>
      <c r="N19">
        <f>(All_Questions_Q2_CT&lt;&gt;"(None)")*COUNTIFS(Q2_data,"Version 3",passes_workbook_filters_data,1,passes_workbook_custom_filters_data,1,All_Questions_passes_local_filters_data,1,All_Questions_Q2_F_passes_per_q_filter_data,1,INDIRECT(XLOOKUP(All_Questions_Q2_CT,All_Questions,All_Questions_Data_Names,"respondent_id_data")),N$17)</f>
        <v>0</v>
      </c>
      <c r="O19">
        <f>SUM(G19:N19)</f>
        <v>0</v>
      </c>
    </row>
    <row r="20">
      <c r="A20" s="15" t="inlineStr">
        <is>
          <t>Total respondents</t>
        </is>
      </c>
      <c r="B20" s="15" t="n">
        <v>4</v>
      </c>
      <c r="C20" s="15" t="n"/>
      <c r="D20" s="15" t="n"/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N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=Q1_local_options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=INDIRECT(XLOOKUP(All_Questions_F_Custom1_Q_resolved,All_Questions,All_Questions_Options_Names,"None_options"))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=INDIRECT(XLOOKUP(All_Questions_F_Custom2_Q_resolved,All_Questions,All_Questions_Options_Names,"None_options"))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=INDIRECT(XLOOKUP(All_Questions_Q2_F_Q,All_Questions,All_Questions_Options_Names,"None_options"))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1">
    <tablePart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2026-05-15T22:01:28Z</dcterms:created>
  <dcterms:modified xmlns:dcterms="http://purl.org/dc/terms/" xmlns:xsi="http://www.w3.org/2001/XMLSchema-instance" xsi:type="dcterms:W3CDTF">2026-05-15T22:01:28Z</dcterms:modified>
</cp:coreProperties>
</file>