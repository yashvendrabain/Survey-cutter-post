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1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tables/table5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All_Questions">'_Options'!$A$2:$A$9</definedName>
    <definedName name="All_Questions_Local">'_Options'!$B$2:$B$10</definedName>
    <definedName name="All_Questions_Data_Names">'_Options'!$C$2:$C$9</definedName>
    <definedName name="All_Questions_Options_Names">'_Options'!$D$2:$D$9</definedName>
    <definedName name="None_options">'_Options'!$E$2:$E$2</definedName>
    <definedName name="Q_SS_EXPORT_options">'_Options'!$F$2:$F$4</definedName>
    <definedName name="Q_SS_EXPORT_local_options">'_Options'!$M$2:$M$5</definedName>
    <definedName name="Q_MS_EXPORTr1_options">'_Options'!$G$2:$G$3</definedName>
    <definedName name="Q_MS_EXPORTr1_local_options">'_Options'!$N$2:$N$4</definedName>
    <definedName name="Q_MS_EXPORTr2_options">'_Options'!$H$2:$H$3</definedName>
    <definedName name="Q_MS_EXPORTr2_local_options">'_Options'!$O$2:$O$4</definedName>
    <definedName name="Q_NUM_EXPORT_options">'_Options'!$I$2:$I$3</definedName>
    <definedName name="Q_NUM_EXPORT_local_options">'_Options'!$P$2:$P$4</definedName>
    <definedName name="Q_GRID_EXPORTr1_options">'_Options'!$J$2:$J$3</definedName>
    <definedName name="Q_GRID_EXPORTr1_local_options">'_Options'!$Q$2:$Q$4</definedName>
    <definedName name="Q_GRID_EXPORTr2_options">'_Options'!$K$2:$K$3</definedName>
    <definedName name="Q_GRID_EXPORTr2_local_options">'_Options'!$R$2:$R$4</definedName>
    <definedName name="Q_VERY_LONG_SINGLE_SELECT_EXPOR_options">'_Options'!$L$2:$L$4</definedName>
    <definedName name="Q_VERY_LONG_SINGLE_SELECT_EXPOR_local_options">'_Options'!$S$2:$S$5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'_RawData'!$I$2:$I$11</definedName>
    <definedName name="F_Custom1_match_data">'_RawData'!$J$2:$J$11</definedName>
    <definedName name="F_Custom2_match_data">'_RawData'!$K$2:$K$11</definedName>
    <definedName name="passes_workbook_custom_filters_data">'_RawData'!$L$2:$L$11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'_RawData'!$M$2:$M$11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passes_per_q_filter_data">'_RawData'!$N$2:$N$11</definedName>
    <definedName name="All_Questions_Q_SS_EXPORT_CT">'All Questions'!$C$14</definedName>
    <definedName name="All_Questions_Q_MS_EXPORT_F_Q">'All Questions'!$C$23</definedName>
    <definedName name="All_Questions_Q_MS_EXPORT_F_V">'All Questions'!$E$23</definedName>
    <definedName name="All_Questions_Q_MS_EXPORT_F_resolved_column">'All Questions'!$F$23</definedName>
    <definedName name="All_Questions_Q_MS_EXPORT_F_wrapped">'All Questions'!$G$23</definedName>
    <definedName name="All_Questions_Q_MS_EXPORT_F_passes_per_q_filter_data">'_RawData'!$O$2:$O$11</definedName>
    <definedName name="All_Questions_Q_MS_EXPORT_CT">'All Questions'!$C$24</definedName>
    <definedName name="All_Questions_Q_NUM_EXPORT_F_Q">'All Questions'!$C$33</definedName>
    <definedName name="All_Questions_Q_NUM_EXPORT_F_V">'All Questions'!$E$33</definedName>
    <definedName name="All_Questions_Q_NUM_EXPORT_F_resolved_column">'All Questions'!$F$33</definedName>
    <definedName name="All_Questions_Q_NUM_EXPORT_F_wrapped">'All Questions'!$G$33</definedName>
    <definedName name="All_Questions_Q_NUM_EXPORT_F_passes_per_q_filter_data">'_RawData'!$P$2:$P$11</definedName>
    <definedName name="All_Questions_Q_NUM_EXPORT_CT">'All Questions'!$C$34</definedName>
    <definedName name="All_Questions_Q_GRID_EXPORT_F_Q">'All Questions'!$C$45</definedName>
    <definedName name="All_Questions_Q_GRID_EXPORT_F_V">'All Questions'!$E$45</definedName>
    <definedName name="All_Questions_Q_GRID_EXPORT_F_resolved_column">'All Questions'!$F$45</definedName>
    <definedName name="All_Questions_Q_GRID_EXPORT_F_wrapped">'All Questions'!$G$45</definedName>
    <definedName name="All_Questions_Q_GRID_EXPORT_F_passes_per_q_filter_data">'_RawData'!$Q$2:$Q$11</definedName>
    <definedName name="All_Questions_Q_GRID_EXPORT_CT">'All Questions'!$C$46</definedName>
    <definedName name="All_Questions_Q_VERY_LONG_SINGLE_SELECT_EXPORT_NAME_F_Q">'All Questions'!$C$55</definedName>
    <definedName name="All_Questions_Q_VERY_LONG_SINGLE_SELECT_EXPORT_NAME_F_V">'All Questions'!$E$55</definedName>
    <definedName name="All_Questions_Q_VERY_LONG_SINGLE_SELECT_EXPORT_NAME_F_resolved_column">'All Questions'!$F$55</definedName>
    <definedName name="All_Questions_Q_VERY_LONG_SINGLE_SELECT_EXPORT_NAME_F_wrapped">'All Questions'!$G$55</definedName>
    <definedName name="All_Questions_Q_VERY_LONG_SINGLE_SELECT_EXPORT_NAME_F_passes_per_q_filter_data">'_RawData'!$R$2:$R$11</definedName>
    <definedName name="All_Questions_Q_VERY_LONG_SINGLE_SELECT_EXPORT_NAME_CT">'All Questions'!$C$56</definedName>
  </definedNames>
  <calcPr calcId="124519" fullCalcOnLoad="1"/>
</workbook>
</file>

<file path=xl/calcChain.xml><?xml version="1.0" encoding="utf-8"?>
<calcChain xmlns="http://schemas.openxmlformats.org/spreadsheetml/2006/main">
  <c r="I2" i="1"/>
  <c r="J2" i="1"/>
  <c r="K2" i="1"/>
  <c r="L2" i="1"/>
  <c r="M2" i="1"/>
  <c r="N2" i="1"/>
  <c r="O2" i="1"/>
  <c r="P2" i="1"/>
  <c r="Q2" i="1"/>
  <c r="R2" i="1"/>
  <c r="I3" i="1"/>
  <c r="J3" i="1"/>
  <c r="K3" i="1"/>
  <c r="L3" i="1"/>
  <c r="M3" i="1"/>
  <c r="N3" i="1"/>
  <c r="O3" i="1"/>
  <c r="P3" i="1"/>
  <c r="Q3" i="1"/>
  <c r="R3" i="1"/>
  <c r="I4" i="1"/>
  <c r="J4" i="1"/>
  <c r="K4" i="1"/>
  <c r="L4" i="1"/>
  <c r="M4" i="1"/>
  <c r="N4" i="1"/>
  <c r="O4" i="1"/>
  <c r="P4" i="1"/>
  <c r="Q4" i="1"/>
  <c r="R4" i="1"/>
  <c r="I5" i="1"/>
  <c r="J5" i="1"/>
  <c r="K5" i="1"/>
  <c r="L5" i="1"/>
  <c r="M5" i="1"/>
  <c r="N5" i="1"/>
  <c r="O5" i="1"/>
  <c r="P5" i="1"/>
  <c r="Q5" i="1"/>
  <c r="R5" i="1"/>
  <c r="I6" i="1"/>
  <c r="J6" i="1"/>
  <c r="K6" i="1"/>
  <c r="L6" i="1"/>
  <c r="M6" i="1"/>
  <c r="N6" i="1"/>
  <c r="O6" i="1"/>
  <c r="P6" i="1"/>
  <c r="Q6" i="1"/>
  <c r="R6" i="1"/>
  <c r="I7" i="1"/>
  <c r="J7" i="1"/>
  <c r="K7" i="1"/>
  <c r="L7" i="1"/>
  <c r="M7" i="1"/>
  <c r="N7" i="1"/>
  <c r="O7" i="1"/>
  <c r="P7" i="1"/>
  <c r="Q7" i="1"/>
  <c r="R7" i="1"/>
  <c r="I8" i="1"/>
  <c r="J8" i="1"/>
  <c r="K8" i="1"/>
  <c r="L8" i="1"/>
  <c r="M8" i="1"/>
  <c r="N8" i="1"/>
  <c r="O8" i="1"/>
  <c r="P8" i="1"/>
  <c r="Q8" i="1"/>
  <c r="R8" i="1"/>
  <c r="I9" i="1"/>
  <c r="J9" i="1"/>
  <c r="K9" i="1"/>
  <c r="L9" i="1"/>
  <c r="M9" i="1"/>
  <c r="N9" i="1"/>
  <c r="O9" i="1"/>
  <c r="P9" i="1"/>
  <c r="Q9" i="1"/>
  <c r="R9" i="1"/>
  <c r="I10" i="1"/>
  <c r="J10" i="1"/>
  <c r="K10" i="1"/>
  <c r="L10" i="1"/>
  <c r="M10" i="1"/>
  <c r="N10" i="1"/>
  <c r="O10" i="1"/>
  <c r="P10" i="1"/>
  <c r="Q10" i="1"/>
  <c r="R10" i="1"/>
  <c r="I11" i="1"/>
  <c r="J11" i="1"/>
  <c r="K11" i="1"/>
  <c r="L11" i="1"/>
  <c r="M11" i="1"/>
  <c r="N11" i="1"/>
  <c r="O11" i="1"/>
  <c r="P11" i="1"/>
  <c r="Q11" i="1"/>
  <c r="R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G16" i="7"/>
  <c r="H16" i="7"/>
  <c r="I16" i="7"/>
  <c r="J16" i="7"/>
  <c r="K16" i="7"/>
  <c r="L16" i="7"/>
  <c r="M16" i="7"/>
  <c r="N16" i="7"/>
  <c r="B17" i="7"/>
  <c r="C17" i="7"/>
  <c r="D17" i="7"/>
  <c r="G17" i="7"/>
  <c r="H17" i="7"/>
  <c r="I17" i="7"/>
  <c r="J17" i="7"/>
  <c r="K17" i="7"/>
  <c r="L17" i="7"/>
  <c r="M17" i="7"/>
  <c r="N17" i="7"/>
  <c r="O17" i="7"/>
  <c r="B18" i="7"/>
  <c r="C18" i="7"/>
  <c r="D18" i="7"/>
  <c r="G18" i="7"/>
  <c r="H18" i="7"/>
  <c r="I18" i="7"/>
  <c r="J18" i="7"/>
  <c r="K18" i="7"/>
  <c r="L18" i="7"/>
  <c r="M18" i="7"/>
  <c r="N18" i="7"/>
  <c r="O18" i="7"/>
  <c r="F23" i="7"/>
  <c r="G23" i="7"/>
  <c r="G26" i="7"/>
  <c r="H26" i="7"/>
  <c r="I26" i="7"/>
  <c r="J26" i="7"/>
  <c r="K26" i="7"/>
  <c r="L26" i="7"/>
  <c r="M26" i="7"/>
  <c r="N26" i="7"/>
  <c r="B27" i="7"/>
  <c r="C27" i="7"/>
  <c r="D27" i="7"/>
  <c r="G27" i="7"/>
  <c r="H27" i="7"/>
  <c r="I27" i="7"/>
  <c r="J27" i="7"/>
  <c r="K27" i="7"/>
  <c r="L27" i="7"/>
  <c r="M27" i="7"/>
  <c r="N27" i="7"/>
  <c r="O27" i="7"/>
  <c r="B28" i="7"/>
  <c r="C28" i="7"/>
  <c r="D28" i="7"/>
  <c r="G28" i="7"/>
  <c r="H28" i="7"/>
  <c r="I28" i="7"/>
  <c r="J28" i="7"/>
  <c r="K28" i="7"/>
  <c r="L28" i="7"/>
  <c r="M28" i="7"/>
  <c r="N28" i="7"/>
  <c r="O28" i="7"/>
  <c r="F33" i="7"/>
  <c r="G33" i="7"/>
  <c r="B37" i="7"/>
  <c r="D37" i="7"/>
  <c r="B38" i="7"/>
  <c r="D38" i="7"/>
  <c r="B39" i="7"/>
  <c r="D39" i="7"/>
  <c r="D40" i="7"/>
  <c r="F45" i="7"/>
  <c r="G45" i="7"/>
  <c r="G48" i="7"/>
  <c r="H48" i="7"/>
  <c r="I48" i="7"/>
  <c r="J48" i="7"/>
  <c r="K48" i="7"/>
  <c r="L48" i="7"/>
  <c r="M48" i="7"/>
  <c r="N48" i="7"/>
  <c r="B49" i="7"/>
  <c r="C49" i="7"/>
  <c r="D49" i="7"/>
  <c r="G49" i="7"/>
  <c r="H49" i="7"/>
  <c r="I49" i="7"/>
  <c r="J49" i="7"/>
  <c r="K49" i="7"/>
  <c r="L49" i="7"/>
  <c r="M49" i="7"/>
  <c r="N49" i="7"/>
  <c r="O49" i="7"/>
  <c r="B50" i="7"/>
  <c r="C50" i="7"/>
  <c r="D50" i="7"/>
  <c r="G50" i="7"/>
  <c r="H50" i="7"/>
  <c r="I50" i="7"/>
  <c r="J50" i="7"/>
  <c r="K50" i="7"/>
  <c r="L50" i="7"/>
  <c r="M50" i="7"/>
  <c r="N50" i="7"/>
  <c r="O50" i="7"/>
  <c r="F55" i="7"/>
  <c r="G55" i="7"/>
  <c r="G58" i="7"/>
  <c r="H58" i="7"/>
  <c r="I58" i="7"/>
  <c r="J58" i="7"/>
  <c r="K58" i="7"/>
  <c r="L58" i="7"/>
  <c r="M58" i="7"/>
  <c r="N58" i="7"/>
  <c r="B59" i="7"/>
  <c r="C59" i="7"/>
  <c r="D59" i="7"/>
  <c r="G59" i="7"/>
  <c r="H59" i="7"/>
  <c r="I59" i="7"/>
  <c r="J59" i="7"/>
  <c r="K59" i="7"/>
  <c r="L59" i="7"/>
  <c r="M59" i="7"/>
  <c r="N59" i="7"/>
  <c r="O59" i="7"/>
  <c r="B60" i="7"/>
  <c r="C60" i="7"/>
  <c r="D60" i="7"/>
  <c r="G60" i="7"/>
  <c r="H60" i="7"/>
  <c r="I60" i="7"/>
  <c r="J60" i="7"/>
  <c r="K60" i="7"/>
  <c r="L60" i="7"/>
  <c r="M60" i="7"/>
  <c r="N60" i="7"/>
  <c r="O6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sz val="11"/>
    </font>
    <font>
      <name val="Arial"/>
      <b val="1"/>
      <sz val="9"/>
    </font>
  </fonts>
  <fills count="4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0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12" authorId="0" shapeId="0">
      <text>
        <t>Single select export question</t>
      </text>
    </comment>
    <comment ref="A22" authorId="0" shapeId="0">
      <text>
        <t>Multi select export question</t>
      </text>
    </comment>
    <comment ref="A32" authorId="0" shapeId="0">
      <text>
        <t>Numeric export question</t>
      </text>
    </comment>
    <comment ref="A44" authorId="0" shapeId="0">
      <text>
        <t>Grid export question</t>
      </text>
    </comment>
    <comment ref="A54" authorId="0" shapeId="0">
      <text>
        <t>Long sheet name export question</t>
      </text>
    </comment>
  </commentList>
</comment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6_1" displayName="T_All_Questions_26_1" ref="A26:D29" headerRowCount="1">
  <autoFilter ref="A26:D2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6_1" displayName="T_All_Questions_36_1" ref="A36:D40" headerRowCount="1">
  <autoFilter ref="A36:D40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48_1" displayName="T_All_Questions_48_1" ref="A48:D51" headerRowCount="1">
  <autoFilter ref="A48:D5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5.xml><?xml version="1.0" encoding="utf-8"?>
<table xmlns="http://schemas.openxmlformats.org/spreadsheetml/2006/main" id="5" name="T_All_Questions_58_1" displayName="T_All_Questions_58_1" ref="A58:D61" headerRowCount="1">
  <autoFilter ref="A58:D6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Relationship Type="http://schemas.openxmlformats.org/officeDocument/2006/relationships/table" Target="/xl/tables/table5.xml" Id="rId5"/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passes_workbook_filters</t>
        </is>
      </c>
      <c r="J1" t="inlineStr">
        <is>
          <t>F_Custom1_match</t>
        </is>
      </c>
      <c r="K1" t="inlineStr">
        <is>
          <t>F_Custom2_match</t>
        </is>
      </c>
      <c r="L1" t="inlineStr">
        <is>
          <t>passes_workbook_custom_filters</t>
        </is>
      </c>
      <c r="M1" t="inlineStr">
        <is>
          <t>All_Questions_passes_local_filters</t>
        </is>
      </c>
      <c r="N1" t="inlineStr">
        <is>
          <t>All_Questions_Q_SS_EXPORT_F_passes_per_q_filter</t>
        </is>
      </c>
      <c r="O1" t="inlineStr">
        <is>
          <t>All_Questions_Q_MS_EXPORT_F_passes_per_q_filter</t>
        </is>
      </c>
      <c r="P1" t="inlineStr">
        <is>
          <t>All_Questions_Q_NUM_EXPORT_F_passes_per_q_filter</t>
        </is>
      </c>
      <c r="Q1" t="inlineStr">
        <is>
          <t>All_Questions_Q_GRID_EXPORT_F_passes_per_q_filter</t>
        </is>
      </c>
      <c r="R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Selected</t>
        </is>
      </c>
      <c r="G2" t="inlineStr">
        <is>
          <t>Selected</t>
        </is>
      </c>
      <c r="H2" t="inlineStr">
        <is>
          <t>A</t>
        </is>
      </c>
      <c r="I2">
        <f>1</f>
        <v>1</v>
      </c>
      <c r="J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K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L2">
        <f>J2*K2*1</f>
        <v>1</v>
      </c>
      <c r="M2">
        <f>1</f>
        <v>1</v>
      </c>
      <c r="N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All_Questions_Q_SS_EXPORT_F_wrapped)),1,0),0))</f>
        <v>1</v>
      </c>
      <c r="O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All_Questions_Q_MS_EXPORT_F_wrapped)),1,0),0))</f>
        <v>1</v>
      </c>
      <c r="P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All_Questions_Q_NUM_EXPORT_F_wrapped)),1,0),0))</f>
        <v>1</v>
      </c>
      <c r="Q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All_Questions_Q_GRID_EXPORT_F_wrapped)),1,0),0))</f>
        <v>1</v>
      </c>
      <c r="R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All_Questions_Q_VERY_LONG_SINGLE_SELECT_EXPORT_NAME_F_wrapped)),1,0),0))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Selected</t>
        </is>
      </c>
      <c r="G3" t="inlineStr">
        <is>
          <t>Selected</t>
        </is>
      </c>
      <c r="H3" t="inlineStr">
        <is>
          <t>A</t>
        </is>
      </c>
      <c r="I3">
        <f>1</f>
        <v>1</v>
      </c>
      <c r="J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K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L3">
        <f>J3*K3*1</f>
        <v>1</v>
      </c>
      <c r="M3">
        <f>1</f>
        <v>1</v>
      </c>
      <c r="N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All_Questions_Q_SS_EXPORT_F_wrapped)),1,0),0))</f>
        <v>1</v>
      </c>
      <c r="O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All_Questions_Q_MS_EXPORT_F_wrapped)),1,0),0))</f>
        <v>1</v>
      </c>
      <c r="P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All_Questions_Q_NUM_EXPORT_F_wrapped)),1,0),0))</f>
        <v>1</v>
      </c>
      <c r="Q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All_Questions_Q_GRID_EXPORT_F_wrapped)),1,0),0))</f>
        <v>1</v>
      </c>
      <c r="R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All_Questions_Q_VERY_LONG_SINGLE_SELECT_EXPORT_NAME_F_wrapped)),1,0),0))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Selected</t>
        </is>
      </c>
      <c r="G4" t="inlineStr">
        <is>
          <t>Selected</t>
        </is>
      </c>
      <c r="H4" t="inlineStr">
        <is>
          <t>A</t>
        </is>
      </c>
      <c r="I4">
        <f>1</f>
        <v>1</v>
      </c>
      <c r="J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K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L4">
        <f>J4*K4*1</f>
        <v>1</v>
      </c>
      <c r="M4">
        <f>1</f>
        <v>1</v>
      </c>
      <c r="N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All_Questions_Q_SS_EXPORT_F_wrapped)),1,0),0))</f>
        <v>1</v>
      </c>
      <c r="O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All_Questions_Q_MS_EXPORT_F_wrapped)),1,0),0))</f>
        <v>1</v>
      </c>
      <c r="P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All_Questions_Q_NUM_EXPORT_F_wrapped)),1,0),0))</f>
        <v>1</v>
      </c>
      <c r="Q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All_Questions_Q_GRID_EXPORT_F_wrapped)),1,0),0))</f>
        <v>1</v>
      </c>
      <c r="R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All_Questions_Q_VERY_LONG_SINGLE_SELECT_EXPORT_NAME_F_wrapped)),1,0),0))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Selected</t>
        </is>
      </c>
      <c r="G5" t="inlineStr">
        <is>
          <t>Selected</t>
        </is>
      </c>
      <c r="H5" t="inlineStr">
        <is>
          <t>A</t>
        </is>
      </c>
      <c r="I5">
        <f>1</f>
        <v>1</v>
      </c>
      <c r="J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K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L5">
        <f>J5*K5*1</f>
        <v>1</v>
      </c>
      <c r="M5">
        <f>1</f>
        <v>1</v>
      </c>
      <c r="N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All_Questions_Q_SS_EXPORT_F_wrapped)),1,0),0))</f>
        <v>1</v>
      </c>
      <c r="O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All_Questions_Q_MS_EXPORT_F_wrapped)),1,0),0))</f>
        <v>1</v>
      </c>
      <c r="P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All_Questions_Q_NUM_EXPORT_F_wrapped)),1,0),0))</f>
        <v>1</v>
      </c>
      <c r="Q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All_Questions_Q_GRID_EXPORT_F_wrapped)),1,0),0))</f>
        <v>1</v>
      </c>
      <c r="R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All_Questions_Q_VERY_LONG_SINGLE_SELECT_EXPORT_NAME_F_wrapped)),1,0),0))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Selected</t>
        </is>
      </c>
      <c r="G6" t="inlineStr">
        <is>
          <t>Selected</t>
        </is>
      </c>
      <c r="H6" t="inlineStr">
        <is>
          <t>A</t>
        </is>
      </c>
      <c r="I6">
        <f>1</f>
        <v>1</v>
      </c>
      <c r="J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K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L6">
        <f>J6*K6*1</f>
        <v>1</v>
      </c>
      <c r="M6">
        <f>1</f>
        <v>1</v>
      </c>
      <c r="N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All_Questions_Q_SS_EXPORT_F_wrapped)),1,0),0))</f>
        <v>1</v>
      </c>
      <c r="O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All_Questions_Q_MS_EXPORT_F_wrapped)),1,0),0))</f>
        <v>1</v>
      </c>
      <c r="P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All_Questions_Q_NUM_EXPORT_F_wrapped)),1,0),0))</f>
        <v>1</v>
      </c>
      <c r="Q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All_Questions_Q_GRID_EXPORT_F_wrapped)),1,0),0))</f>
        <v>1</v>
      </c>
      <c r="R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All_Questions_Q_VERY_LONG_SINGLE_SELECT_EXPORT_NAME_F_wrapped)),1,0),0))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Selected</t>
        </is>
      </c>
      <c r="G7" t="inlineStr">
        <is>
          <t>Selected</t>
        </is>
      </c>
      <c r="H7" t="inlineStr">
        <is>
          <t>A</t>
        </is>
      </c>
      <c r="I7">
        <f>1</f>
        <v>1</v>
      </c>
      <c r="J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K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L7">
        <f>J7*K7*1</f>
        <v>1</v>
      </c>
      <c r="M7">
        <f>1</f>
        <v>1</v>
      </c>
      <c r="N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All_Questions_Q_SS_EXPORT_F_wrapped)),1,0),0))</f>
        <v>1</v>
      </c>
      <c r="O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All_Questions_Q_MS_EXPORT_F_wrapped)),1,0),0))</f>
        <v>1</v>
      </c>
      <c r="P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All_Questions_Q_NUM_EXPORT_F_wrapped)),1,0),0))</f>
        <v>1</v>
      </c>
      <c r="Q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All_Questions_Q_GRID_EXPORT_F_wrapped)),1,0),0))</f>
        <v>1</v>
      </c>
      <c r="R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All_Questions_Q_VERY_LONG_SINGLE_SELECT_EXPORT_NAME_F_wrapped)),1,0),0))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Selected</t>
        </is>
      </c>
      <c r="G8" t="inlineStr">
        <is>
          <t>Selected</t>
        </is>
      </c>
      <c r="H8" t="inlineStr">
        <is>
          <t>A</t>
        </is>
      </c>
      <c r="I8">
        <f>1</f>
        <v>1</v>
      </c>
      <c r="J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K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L8">
        <f>J8*K8*1</f>
        <v>1</v>
      </c>
      <c r="M8">
        <f>1</f>
        <v>1</v>
      </c>
      <c r="N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All_Questions_Q_SS_EXPORT_F_wrapped)),1,0),0))</f>
        <v>1</v>
      </c>
      <c r="O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All_Questions_Q_MS_EXPORT_F_wrapped)),1,0),0))</f>
        <v>1</v>
      </c>
      <c r="P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All_Questions_Q_NUM_EXPORT_F_wrapped)),1,0),0))</f>
        <v>1</v>
      </c>
      <c r="Q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All_Questions_Q_GRID_EXPORT_F_wrapped)),1,0),0))</f>
        <v>1</v>
      </c>
      <c r="R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All_Questions_Q_VERY_LONG_SINGLE_SELECT_EXPORT_NAME_F_wrapped)),1,0),0))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Selected</t>
        </is>
      </c>
      <c r="G9" t="inlineStr">
        <is>
          <t>Selected</t>
        </is>
      </c>
      <c r="H9" t="inlineStr">
        <is>
          <t>B</t>
        </is>
      </c>
      <c r="I9">
        <f>1</f>
        <v>1</v>
      </c>
      <c r="J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K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L9">
        <f>J9*K9*1</f>
        <v>1</v>
      </c>
      <c r="M9">
        <f>1</f>
        <v>1</v>
      </c>
      <c r="N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All_Questions_Q_SS_EXPORT_F_wrapped)),1,0),0))</f>
        <v>1</v>
      </c>
      <c r="O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All_Questions_Q_MS_EXPORT_F_wrapped)),1,0),0))</f>
        <v>1</v>
      </c>
      <c r="P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All_Questions_Q_NUM_EXPORT_F_wrapped)),1,0),0))</f>
        <v>1</v>
      </c>
      <c r="Q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All_Questions_Q_GRID_EXPORT_F_wrapped)),1,0),0))</f>
        <v>1</v>
      </c>
      <c r="R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All_Questions_Q_VERY_LONG_SINGLE_SELECT_EXPORT_NAME_F_wrapped)),1,0),0))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Selected</t>
        </is>
      </c>
      <c r="G10" t="inlineStr">
        <is>
          <t>Selected</t>
        </is>
      </c>
      <c r="H10" t="inlineStr">
        <is>
          <t>B</t>
        </is>
      </c>
      <c r="I10">
        <f>1</f>
        <v>1</v>
      </c>
      <c r="J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K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L10">
        <f>J10*K10*1</f>
        <v>1</v>
      </c>
      <c r="M10">
        <f>1</f>
        <v>1</v>
      </c>
      <c r="N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All_Questions_Q_SS_EXPORT_F_wrapped)),1,0),0))</f>
        <v>1</v>
      </c>
      <c r="O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All_Questions_Q_MS_EXPORT_F_wrapped)),1,0),0))</f>
        <v>1</v>
      </c>
      <c r="P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All_Questions_Q_NUM_EXPORT_F_wrapped)),1,0),0))</f>
        <v>1</v>
      </c>
      <c r="Q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All_Questions_Q_GRID_EXPORT_F_wrapped)),1,0),0))</f>
        <v>1</v>
      </c>
      <c r="R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All_Questions_Q_VERY_LONG_SINGLE_SELECT_EXPORT_NAME_F_wrapped)),1,0),0))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Selected</t>
        </is>
      </c>
      <c r="G11" t="inlineStr">
        <is>
          <t>Selected</t>
        </is>
      </c>
      <c r="H11" t="inlineStr">
        <is>
          <t>B</t>
        </is>
      </c>
      <c r="I11">
        <f>1</f>
        <v>1</v>
      </c>
      <c r="J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K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L11">
        <f>J11*K11*1</f>
        <v>1</v>
      </c>
      <c r="M11">
        <f>1</f>
        <v>1</v>
      </c>
      <c r="N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All_Questions_Q_SS_EXPORT_F_wrapped)),1,0),0))</f>
        <v>1</v>
      </c>
      <c r="O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All_Questions_Q_MS_EXPORT_F_wrapped)),1,0),0))</f>
        <v>1</v>
      </c>
      <c r="P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All_Questions_Q_NUM_EXPORT_F_wrapped)),1,0),0))</f>
        <v>1</v>
      </c>
      <c r="Q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All_Questions_Q_GRID_EXPORT_F_wrapped)),1,0),0))</f>
        <v>1</v>
      </c>
      <c r="R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All_Questions_Q_VERY_LONG_SINGLE_SELECT_EXPORT_NAME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Q_SS_EXPORT_local_options</t>
        </is>
      </c>
      <c r="N1" t="inlineStr">
        <is>
          <t>Q_MS_EXPORTr1_local_options</t>
        </is>
      </c>
      <c r="O1" t="inlineStr">
        <is>
          <t>Q_MS_EXPORTr2_local_options</t>
        </is>
      </c>
      <c r="P1" t="inlineStr">
        <is>
          <t>Q_NUM_EXPORT_local_options</t>
        </is>
      </c>
      <c r="Q1" t="inlineStr">
        <is>
          <t>Q_GRID_EXPORTr1_local_options</t>
        </is>
      </c>
      <c r="R1" t="inlineStr">
        <is>
          <t>Q_GRID_EXPORTr2_local_options</t>
        </is>
      </c>
      <c r="S1" t="inlineStr">
        <is>
          <t>Q_VERY_LONG_SINGLE_SELECT_EXPOR_local_options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(Inherit)</t>
        </is>
      </c>
      <c r="N2" t="inlineStr">
        <is>
          <t>(Inherit)</t>
        </is>
      </c>
      <c r="O2" t="inlineStr">
        <is>
          <t>(Inherit)</t>
        </is>
      </c>
      <c r="P2" t="inlineStr">
        <is>
          <t>(Inherit)</t>
        </is>
      </c>
      <c r="Q2" t="inlineStr">
        <is>
          <t>(Inherit)</t>
        </is>
      </c>
      <c r="R2" t="inlineStr">
        <is>
          <t>(Inherit)</t>
        </is>
      </c>
      <c r="S2" t="inlineStr">
        <is>
          <t>(Inherit)</t>
        </is>
      </c>
    </row>
    <row r="3">
      <c r="A3" t="inlineStr">
        <is>
          <t>Single Select Export Question</t>
        </is>
      </c>
      <c r="B3" t="inlineStr">
        <is>
          <t>(None)</t>
        </is>
      </c>
      <c r="C3" t="inlineStr">
        <is>
          <t>Q_SS_EXPORT_data</t>
        </is>
      </c>
      <c r="D3" t="inlineStr">
        <is>
          <t>Q_SS_EXPORT_options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Selected</t>
        </is>
      </c>
      <c r="K3" t="inlineStr">
        <is>
          <t>Selected</t>
        </is>
      </c>
      <c r="L3" t="inlineStr">
        <is>
          <t>A</t>
        </is>
      </c>
      <c r="M3" t="inlineStr">
        <is>
          <t>(All)</t>
        </is>
      </c>
      <c r="N3" t="inlineStr">
        <is>
          <t>(All)</t>
        </is>
      </c>
      <c r="O3" t="inlineStr">
        <is>
          <t>(All)</t>
        </is>
      </c>
      <c r="P3" t="inlineStr">
        <is>
          <t>(All)</t>
        </is>
      </c>
      <c r="Q3" t="inlineStr">
        <is>
          <t>(All)</t>
        </is>
      </c>
      <c r="R3" t="inlineStr">
        <is>
          <t>(All)</t>
        </is>
      </c>
      <c r="S3" t="inlineStr">
        <is>
          <t>(All)</t>
        </is>
      </c>
    </row>
    <row r="4">
      <c r="A4" t="inlineStr">
        <is>
          <t>First</t>
        </is>
      </c>
      <c r="B4" t="inlineStr">
        <is>
          <t>Single Select Export Question</t>
        </is>
      </c>
      <c r="C4" t="inlineStr">
        <is>
          <t>Q_MS_EXPORTr1_data</t>
        </is>
      </c>
      <c r="D4" t="inlineStr">
        <is>
          <t>Q_MS_EXPORTr1_options</t>
        </is>
      </c>
      <c r="F4" t="inlineStr">
        <is>
          <t>No</t>
        </is>
      </c>
      <c r="L4" t="inlineStr">
        <is>
          <t>B</t>
        </is>
      </c>
      <c r="M4" t="inlineStr">
        <is>
          <t>Yes</t>
        </is>
      </c>
      <c r="N4" t="inlineStr">
        <is>
          <t>Selected</t>
        </is>
      </c>
      <c r="O4" t="inlineStr">
        <is>
          <t>Selected</t>
        </is>
      </c>
      <c r="P4" t="inlineStr">
        <is>
          <t>5.5</t>
        </is>
      </c>
      <c r="Q4" t="inlineStr">
        <is>
          <t>Selected</t>
        </is>
      </c>
      <c r="R4" t="inlineStr">
        <is>
          <t>Selected</t>
        </is>
      </c>
      <c r="S4" t="inlineStr">
        <is>
          <t>A</t>
        </is>
      </c>
    </row>
    <row r="5">
      <c r="A5" t="inlineStr">
        <is>
          <t>Second</t>
        </is>
      </c>
      <c r="B5" t="inlineStr">
        <is>
          <t>First</t>
        </is>
      </c>
      <c r="C5" t="inlineStr">
        <is>
          <t>Q_MS_EXPORTr2_data</t>
        </is>
      </c>
      <c r="D5" t="inlineStr">
        <is>
          <t>Q_MS_EXPORTr2_options</t>
        </is>
      </c>
      <c r="M5" t="inlineStr">
        <is>
          <t>No</t>
        </is>
      </c>
      <c r="S5" t="inlineStr">
        <is>
          <t>B</t>
        </is>
      </c>
    </row>
    <row r="6">
      <c r="A6" t="inlineStr">
        <is>
          <t>Numeric Export Question</t>
        </is>
      </c>
      <c r="B6" t="inlineStr">
        <is>
          <t>Second</t>
        </is>
      </c>
      <c r="C6" t="inlineStr">
        <is>
          <t>Q_NUM_EXPORT_data</t>
        </is>
      </c>
      <c r="D6" t="inlineStr">
        <is>
          <t>Q_NUM_EXPORT_options</t>
        </is>
      </c>
    </row>
    <row r="7">
      <c r="A7" t="inlineStr">
        <is>
          <t>Grid first row</t>
        </is>
      </c>
      <c r="B7" t="inlineStr">
        <is>
          <t>Numeric Export Question</t>
        </is>
      </c>
      <c r="C7" t="inlineStr">
        <is>
          <t>Q_GRID_EXPORTr1_data</t>
        </is>
      </c>
      <c r="D7" t="inlineStr">
        <is>
          <t>Q_GRID_EXPORTr1_options</t>
        </is>
      </c>
    </row>
    <row r="8">
      <c r="A8" t="inlineStr">
        <is>
          <t>Grid second row</t>
        </is>
      </c>
      <c r="B8" t="inlineStr">
        <is>
          <t>Grid first row</t>
        </is>
      </c>
      <c r="C8" t="inlineStr">
        <is>
          <t>Q_GRID_EXPORTr2_data</t>
        </is>
      </c>
      <c r="D8" t="inlineStr">
        <is>
          <t>Q_GRID_EXPORTr2_options</t>
        </is>
      </c>
    </row>
    <row r="9">
      <c r="A9" t="inlineStr">
        <is>
          <t>Long Sheet Name Export Question</t>
        </is>
      </c>
      <c r="B9" t="inlineStr">
        <is>
          <t>Grid second row</t>
        </is>
      </c>
      <c r="C9" t="inlineStr">
        <is>
          <t>Q_VERY_LONG_SINGLE_SELECT_EXPOR_data</t>
        </is>
      </c>
      <c r="D9" t="inlineStr">
        <is>
          <t>Q_VERY_LONG_SINGLE_SELECT_EXPOR_options</t>
        </is>
      </c>
    </row>
    <row r="10">
      <c r="B10" t="inlineStr">
        <is>
          <t>Long Sheet Name Export Question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XLOOKUP(F_Custom1_Q,All_Questions,All_Questions_Data_Names,"respondent_id_data")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XLOOKUP(F_Custom2_Q,All_Questions,All_Questions_Data_Names,"respondent_id_data")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=INDIRECT(XLOOKUP(F_Custom1_Q,All_Questions,All_Questions_Options_Names,"None_options"))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6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7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ref="E2" r:id="rId1"/>
    <hyperlink ref="E3" r:id="rId2"/>
    <hyperlink ref="E4" r:id="rId3"/>
    <hyperlink ref="E5" r:id="rId4"/>
    <hyperlink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6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XLOOKUP(All_Questions_F_Custom1_Q_resolved,All_Questions,All_Questions_Data_Names,"respondent_id_data")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XLOOKUP(All_Questions_F_Custom2_Q_resolved,All_Questions,All_Questions_Data_Names,"respondent_id_data")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Single select export question</t>
        </is>
      </c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XLOOKUP(All_Questions_Q_SS_EXPORT_F_Q,All_Questions,All_Questions_Data_Names,"respondent_id_data")</f>
        <v>respondent_id_data</v>
      </c>
      <c r="G13" t="str">
        <f>"|" &amp; SUBSTITUTE(All_Questions_Q_SS_EXPORT_F_V,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5" t="inlineStr">
        <is>
          <t>Option \ Cross-tab</t>
        </is>
      </c>
      <c r="G16" t="str">
        <f>IFERROR(INDEX(INDIRECT(XLOOKUP(All_Questions_Q_SS_EXPORT_CT,All_Questions,All_Questions_Options_Names,"None_options")),2),"")</f>
        <v/>
      </c>
      <c r="H16" t="str">
        <f>IFERROR(INDEX(INDIRECT(XLOOKUP(All_Questions_Q_SS_EXPORT_CT,All_Questions,All_Questions_Options_Names,"None_options")),3),"")</f>
        <v/>
      </c>
      <c r="I16" t="str">
        <f>IFERROR(INDEX(INDIRECT(XLOOKUP(All_Questions_Q_SS_EXPORT_CT,All_Questions,All_Questions_Options_Names,"None_options")),4),"")</f>
        <v/>
      </c>
      <c r="J16" t="str">
        <f>IFERROR(INDEX(INDIRECT(XLOOKUP(All_Questions_Q_SS_EXPORT_CT,All_Questions,All_Questions_Options_Names,"None_options")),5),"")</f>
        <v/>
      </c>
      <c r="K16" t="str">
        <f>IFERROR(INDEX(INDIRECT(XLOOKUP(All_Questions_Q_SS_EXPORT_CT,All_Questions,All_Questions_Options_Names,"None_options")),6),"")</f>
        <v/>
      </c>
      <c r="L16" t="str">
        <f>IFERROR(INDEX(INDIRECT(XLOOKUP(All_Questions_Q_SS_EXPORT_CT,All_Questions,All_Questions_Options_Names,"None_options")),7),"")</f>
        <v/>
      </c>
      <c r="M16" t="str">
        <f>IFERROR(INDEX(INDIRECT(XLOOKUP(All_Questions_Q_SS_EXPORT_CT,All_Questions,All_Questions_Options_Names,"None_options")),8),"")</f>
        <v/>
      </c>
      <c r="N16" t="str">
        <f>IFERROR(INDEX(INDIRECT(XLOOKUP(All_Questions_Q_SS_EXPORT_CT,All_Questions,All_Questions_Options_Names,"None_options")),9),"")</f>
        <v/>
      </c>
      <c r="O16" s="5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t="inlineStr">
        <is>
          <t>Yes</t>
        </is>
      </c>
      <c r="G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7">
        <f>(All_Questions_Q_SS_EXPORT_CT&lt;&gt;"(None)")*COUNTIFS(Q_SS_EXPORT_data,"Yes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7">
        <f>SUM(G17:N17)</f>
        <v>0</v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No</t>
        </is>
      </c>
      <c r="G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G$16)</f>
        <v>0</v>
      </c>
      <c r="H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H$16)</f>
        <v>0</v>
      </c>
      <c r="I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I$16)</f>
        <v>0</v>
      </c>
      <c r="J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J$16)</f>
        <v>0</v>
      </c>
      <c r="K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K$16)</f>
        <v>0</v>
      </c>
      <c r="L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L$16)</f>
        <v>0</v>
      </c>
      <c r="M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M$16)</f>
        <v>0</v>
      </c>
      <c r="N18">
        <f>(All_Questions_Q_SS_EXPORT_CT&lt;&gt;"(None)")*COUNTIFS(Q_SS_EXPORT_data,"No",passes_workbook_filters_data,1,passes_workbook_custom_filters_data,1,All_Questions_passes_local_filters_data,1,All_Questions_Q_SS_EXPORT_F_passes_per_q_filter_data,1,INDIRECT(XLOOKUP(All_Questions_Q_SS_EXPORT_CT,All_Questions,All_Questions_Data_Names,"respondent_id_data")),N$16)</f>
        <v>0</v>
      </c>
      <c r="O18">
        <f>SUM(G18:N18)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</row>
    <row r="21">
      <c r="A21" s="11" t="n"/>
      <c r="B21" s="11" t="n"/>
      <c r="C21" s="11" t="n"/>
      <c r="D21" s="11" t="n"/>
      <c r="E21" s="11" t="n"/>
      <c r="F21" s="11" t="n"/>
      <c r="G21" s="11" t="n"/>
      <c r="H21" s="11" t="n"/>
      <c r="I21" s="11" t="n"/>
      <c r="J21" s="11" t="n"/>
    </row>
    <row r="22">
      <c r="A22" s="12" t="inlineStr">
        <is>
          <t>Multi select export question</t>
        </is>
      </c>
    </row>
    <row r="23">
      <c r="A23" s="13" t="inlineStr">
        <is>
          <t>Per-question filter</t>
        </is>
      </c>
      <c r="B23" t="inlineStr">
        <is>
          <t>Filter Q</t>
        </is>
      </c>
      <c r="C23" t="inlineStr">
        <is>
          <t>(None)</t>
        </is>
      </c>
      <c r="D23" t="inlineStr">
        <is>
          <t>Value</t>
        </is>
      </c>
      <c r="E23" t="inlineStr">
        <is>
          <t>(All)</t>
        </is>
      </c>
      <c r="F23" t="str">
        <f>XLOOKUP(All_Questions_Q_MS_EXPORT_F_Q,All_Questions,All_Questions_Data_Names,"respondent_id_data")</f>
        <v>respondent_id_data</v>
      </c>
      <c r="G23" t="str">
        <f>"|" &amp; SUBSTITUTE(All_Questions_Q_MS_EXPORT_F_V, ", ", "|") &amp; "|"</f>
        <v>|(All)|</v>
      </c>
    </row>
    <row r="24">
      <c r="A24" s="13" t="inlineStr">
        <is>
          <t>Cross-tab by</t>
        </is>
      </c>
      <c r="C24" t="inlineStr">
        <is>
          <t>(None)</t>
        </is>
      </c>
    </row>
    <row r="26">
      <c r="A26" s="4" t="inlineStr">
        <is>
          <t>Option</t>
        </is>
      </c>
      <c r="B26" s="4" t="inlineStr">
        <is>
          <t>Count</t>
        </is>
      </c>
      <c r="C26" s="4" t="inlineStr">
        <is>
          <t>%</t>
        </is>
      </c>
      <c r="D26" s="4" t="inlineStr">
        <is>
          <t>Denominator</t>
        </is>
      </c>
      <c r="F26" s="5" t="inlineStr">
        <is>
          <t>Option \ Cross-tab</t>
        </is>
      </c>
      <c r="G26" t="str">
        <f>IFERROR(INDEX(INDIRECT(XLOOKUP(All_Questions_Q_MS_EXPORT_CT,All_Questions,All_Questions_Options_Names,"None_options")),2),"")</f>
        <v/>
      </c>
      <c r="H26" t="str">
        <f>IFERROR(INDEX(INDIRECT(XLOOKUP(All_Questions_Q_MS_EXPORT_CT,All_Questions,All_Questions_Options_Names,"None_options")),3),"")</f>
        <v/>
      </c>
      <c r="I26" t="str">
        <f>IFERROR(INDEX(INDIRECT(XLOOKUP(All_Questions_Q_MS_EXPORT_CT,All_Questions,All_Questions_Options_Names,"None_options")),4),"")</f>
        <v/>
      </c>
      <c r="J26" t="str">
        <f>IFERROR(INDEX(INDIRECT(XLOOKUP(All_Questions_Q_MS_EXPORT_CT,All_Questions,All_Questions_Options_Names,"None_options")),5),"")</f>
        <v/>
      </c>
      <c r="K26" t="str">
        <f>IFERROR(INDEX(INDIRECT(XLOOKUP(All_Questions_Q_MS_EXPORT_CT,All_Questions,All_Questions_Options_Names,"None_options")),6),"")</f>
        <v/>
      </c>
      <c r="L26" t="str">
        <f>IFERROR(INDEX(INDIRECT(XLOOKUP(All_Questions_Q_MS_EXPORT_CT,All_Questions,All_Questions_Options_Names,"None_options")),7),"")</f>
        <v/>
      </c>
      <c r="M26" t="str">
        <f>IFERROR(INDEX(INDIRECT(XLOOKUP(All_Questions_Q_MS_EXPORT_CT,All_Questions,All_Questions_Options_Names,"None_options")),8),"")</f>
        <v/>
      </c>
      <c r="N26" t="str">
        <f>IFERROR(INDEX(INDIRECT(XLOOKUP(All_Questions_Q_MS_EXPORT_CT,All_Questions,All_Questions_Options_Names,"None_options")),9),"")</f>
        <v/>
      </c>
      <c r="O26" s="5" t="inlineStr">
        <is>
          <t>TOTAL</t>
        </is>
      </c>
    </row>
    <row r="27">
      <c r="A27" t="inlineStr">
        <is>
          <t>First</t>
        </is>
      </c>
      <c r="B27">
        <f>COUNTIFS(Q_MS_EXPORTr1_data,"Selected",passes_workbook_filters_data,1,passes_workbook_custom_filters_data,1,All_Questions_passes_local_filters_data,1,All_Questions_Q_MS_EXPORT_F_passes_per_q_filter_data,1)</f>
        <v>5</v>
      </c>
      <c r="C27" s="7">
        <f>IFERROR(B27/SUBTOTAL(9,B27:B28),0)</f>
        <v>0.7142857142857143</v>
      </c>
      <c r="D27" s="14">
        <f>SUBTOTAL(9,B27:B28)</f>
        <v>7</v>
      </c>
      <c r="F27" t="inlineStr">
        <is>
          <t>First</t>
        </is>
      </c>
      <c r="G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7">
        <f>(All_Questions_Q_MS_EXPORT_CT&lt;&gt;"(None)")*COUNTIFS(Q_MS_EXPORTr1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7">
        <f>SUM(G27:N27)</f>
        <v>0</v>
      </c>
    </row>
    <row r="28">
      <c r="A28" t="inlineStr">
        <is>
          <t>Second</t>
        </is>
      </c>
      <c r="B28">
        <f>COUNTIFS(Q_MS_EXPORTr2_data,"Selected",passes_workbook_filters_data,1,passes_workbook_custom_filters_data,1,All_Questions_passes_local_filters_data,1,All_Questions_Q_MS_EXPORT_F_passes_per_q_filter_data,1)</f>
        <v>2</v>
      </c>
      <c r="C28" s="7">
        <f>IFERROR(B28/SUBTOTAL(9,B27:B28),0)</f>
        <v>0.2857142857142857</v>
      </c>
      <c r="D28" s="14">
        <f>SUBTOTAL(9,B27:B28)</f>
        <v>7</v>
      </c>
      <c r="F28" t="inlineStr">
        <is>
          <t>Second</t>
        </is>
      </c>
      <c r="G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G$26)</f>
        <v>0</v>
      </c>
      <c r="H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H$26)</f>
        <v>0</v>
      </c>
      <c r="I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I$26)</f>
        <v>0</v>
      </c>
      <c r="J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J$26)</f>
        <v>0</v>
      </c>
      <c r="K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K$26)</f>
        <v>0</v>
      </c>
      <c r="L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L$26)</f>
        <v>0</v>
      </c>
      <c r="M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M$26)</f>
        <v>0</v>
      </c>
      <c r="N28">
        <f>(All_Questions_Q_MS_EXPORT_CT&lt;&gt;"(None)")*COUNTIFS(Q_MS_EXPORTr2_data,"Selected",passes_workbook_filters_data,1,passes_workbook_custom_filters_data,1,All_Questions_passes_local_filters_data,1,All_Questions_Q_MS_EXPORT_F_passes_per_q_filter_data,1,INDIRECT(XLOOKUP(All_Questions_Q_MS_EXPORT_CT,All_Questions,All_Questions_Data_Names,"respondent_id_data")),N$26)</f>
        <v>0</v>
      </c>
      <c r="O28">
        <f>SUM(G28:N28)</f>
        <v>0</v>
      </c>
    </row>
    <row r="29">
      <c r="A29" s="15" t="inlineStr">
        <is>
          <t>Total respondents</t>
        </is>
      </c>
      <c r="B29" s="15" t="n">
        <v>7</v>
      </c>
      <c r="C29" s="15" t="n"/>
      <c r="D29" s="15" t="n"/>
    </row>
    <row r="31">
      <c r="A31" s="11" t="n"/>
      <c r="B31" s="11" t="n"/>
      <c r="C31" s="11" t="n"/>
      <c r="D31" s="11" t="n"/>
      <c r="E31" s="11" t="n"/>
      <c r="F31" s="11" t="n"/>
      <c r="G31" s="11" t="n"/>
      <c r="H31" s="11" t="n"/>
      <c r="I31" s="11" t="n"/>
      <c r="J31" s="11" t="n"/>
    </row>
    <row r="32">
      <c r="A32" s="12" t="inlineStr">
        <is>
          <t>Numeric export question</t>
        </is>
      </c>
    </row>
    <row r="33">
      <c r="A33" s="13" t="inlineStr">
        <is>
          <t>Per-question filter</t>
        </is>
      </c>
      <c r="B33" t="inlineStr">
        <is>
          <t>Filter Q</t>
        </is>
      </c>
      <c r="C33" t="inlineStr">
        <is>
          <t>(None)</t>
        </is>
      </c>
      <c r="D33" t="inlineStr">
        <is>
          <t>Value</t>
        </is>
      </c>
      <c r="E33" t="inlineStr">
        <is>
          <t>(All)</t>
        </is>
      </c>
      <c r="F33" t="str">
        <f>XLOOKUP(All_Questions_Q_NUM_EXPORT_F_Q,All_Questions,All_Questions_Data_Names,"respondent_id_data")</f>
        <v>respondent_id_data</v>
      </c>
      <c r="G33" t="str">
        <f>"|" &amp; SUBSTITUTE(All_Questions_Q_NUM_EXPORT_F_V, ", ", "|") &amp; "|"</f>
        <v>|(All)|</v>
      </c>
    </row>
    <row r="34">
      <c r="A34" s="13" t="inlineStr">
        <is>
          <t>Cross-tab by</t>
        </is>
      </c>
      <c r="C34" t="inlineStr">
        <is>
          <t>(None)</t>
        </is>
      </c>
    </row>
    <row r="36">
      <c r="A36" s="4" t="inlineStr">
        <is>
          <t>Metric</t>
        </is>
      </c>
      <c r="B36" s="4" t="inlineStr">
        <is>
          <t>Value</t>
        </is>
      </c>
      <c r="C36" s="4" t="inlineStr">
        <is>
          <t>Note</t>
        </is>
      </c>
      <c r="D36" s="4" t="inlineStr">
        <is>
          <t>Denominator</t>
        </is>
      </c>
    </row>
    <row r="37">
      <c r="A37" t="inlineStr">
        <is>
          <t>Mean</t>
        </is>
      </c>
      <c r="B37">
        <f>IFERROR(AVERAGEIFS(Q_NUM_EXPORT_data,passes_workbook_filters_data,1,passes_workbook_custom_filters_data,1,All_Questions_passes_local_filters_data,1,All_Questions_Q_NUM_EXPORT_F_passes_per_q_filter_data,1),0)</f>
        <v>5.5</v>
      </c>
      <c r="D37">
        <f>COUNTIFS(Q_NUM_EXPORT_data,"&lt;&gt;",passes_workbook_filters_data,1,passes_workbook_custom_filters_data,1,All_Questions_passes_local_filters_data,1,All_Questions_Q_NUM_EXPORT_F_passes_per_q_filter_data,1)</f>
        <v>10</v>
      </c>
    </row>
    <row r="38">
      <c r="A38" t="inlineStr">
        <is>
          <t>Min</t>
        </is>
      </c>
      <c r="B38">
        <f>IFERROR(MINIFS(Q_NUM_EXPORT_data,passes_workbook_filters_data,1,passes_workbook_custom_filters_data,1,All_Questions_passes_local_filters_data,1,All_Questions_Q_NUM_EXPORT_F_passes_per_q_filter_data,1),0)</f>
        <v>1.0</v>
      </c>
      <c r="D38">
        <f>COUNTIFS(Q_NUM_EXPORT_data,"&lt;&gt;",passes_workbook_filters_data,1,passes_workbook_custom_filters_data,1,All_Questions_passes_local_filters_data,1,All_Questions_Q_NUM_EXPORT_F_passes_per_q_filter_data,1)</f>
        <v>10</v>
      </c>
    </row>
    <row r="39">
      <c r="A39" t="inlineStr">
        <is>
          <t>Max</t>
        </is>
      </c>
      <c r="B39">
        <f>IFERROR(MAXIFS(Q_NUM_EXPORT_data,passes_workbook_filters_data,1,passes_workbook_custom_filters_data,1,All_Questions_passes_local_filters_data,1,All_Questions_Q_NUM_EXPORT_F_passes_per_q_filter_data,1),0)</f>
        <v>10.0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Std</t>
        </is>
      </c>
      <c r="B40" t="n">
        <v>2.9</v>
      </c>
      <c r="C40" t="inlineStr">
        <is>
          <t>static baseline</t>
        </is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s="10" t="inlineStr">
        <is>
          <t>Median not available in filtered view - see static baseline in audit log.</t>
        </is>
      </c>
    </row>
    <row r="43">
      <c r="A43" s="11" t="n"/>
      <c r="B43" s="11" t="n"/>
      <c r="C43" s="11" t="n"/>
      <c r="D43" s="11" t="n"/>
      <c r="E43" s="11" t="n"/>
      <c r="F43" s="11" t="n"/>
      <c r="G43" s="11" t="n"/>
      <c r="H43" s="11" t="n"/>
      <c r="I43" s="11" t="n"/>
      <c r="J43" s="11" t="n"/>
    </row>
    <row r="44">
      <c r="A44" s="12" t="inlineStr">
        <is>
          <t>Grid export question</t>
        </is>
      </c>
    </row>
    <row r="45">
      <c r="A45" s="13" t="inlineStr">
        <is>
          <t>Per-question filter</t>
        </is>
      </c>
      <c r="B45" t="inlineStr">
        <is>
          <t>Filter Q</t>
        </is>
      </c>
      <c r="C45" t="inlineStr">
        <is>
          <t>(None)</t>
        </is>
      </c>
      <c r="D45" t="inlineStr">
        <is>
          <t>Value</t>
        </is>
      </c>
      <c r="E45" t="inlineStr">
        <is>
          <t>(All)</t>
        </is>
      </c>
      <c r="F45" t="str">
        <f>XLOOKUP(All_Questions_Q_GRID_EXPORT_F_Q,All_Questions,All_Questions_Data_Names,"respondent_id_data")</f>
        <v>respondent_id_data</v>
      </c>
      <c r="G45" t="str">
        <f>"|" &amp; SUBSTITUTE(All_Questions_Q_GRID_EXPORT_F_V, ", ", "|") &amp; "|"</f>
        <v>|(All)|</v>
      </c>
    </row>
    <row r="46">
      <c r="A46" s="13" t="inlineStr">
        <is>
          <t>Cross-tab by</t>
        </is>
      </c>
      <c r="C46" t="inlineStr">
        <is>
          <t>(None)</t>
        </is>
      </c>
    </row>
    <row r="48">
      <c r="A48" s="4" t="inlineStr">
        <is>
          <t>Option</t>
        </is>
      </c>
      <c r="B48" s="4" t="inlineStr">
        <is>
          <t>Count</t>
        </is>
      </c>
      <c r="C48" s="4" t="inlineStr">
        <is>
          <t>%</t>
        </is>
      </c>
      <c r="D48" s="4" t="inlineStr">
        <is>
          <t>Denominator</t>
        </is>
      </c>
      <c r="F48" s="5" t="inlineStr">
        <is>
          <t>Option \ Cross-tab</t>
        </is>
      </c>
      <c r="G48" t="str">
        <f>IFERROR(INDEX(INDIRECT(XLOOKUP(All_Questions_Q_GRID_EXPORT_CT,All_Questions,All_Questions_Options_Names,"None_options")),2),"")</f>
        <v/>
      </c>
      <c r="H48" t="str">
        <f>IFERROR(INDEX(INDIRECT(XLOOKUP(All_Questions_Q_GRID_EXPORT_CT,All_Questions,All_Questions_Options_Names,"None_options")),3),"")</f>
        <v/>
      </c>
      <c r="I48" t="str">
        <f>IFERROR(INDEX(INDIRECT(XLOOKUP(All_Questions_Q_GRID_EXPORT_CT,All_Questions,All_Questions_Options_Names,"None_options")),4),"")</f>
        <v/>
      </c>
      <c r="J48" t="str">
        <f>IFERROR(INDEX(INDIRECT(XLOOKUP(All_Questions_Q_GRID_EXPORT_CT,All_Questions,All_Questions_Options_Names,"None_options")),5),"")</f>
        <v/>
      </c>
      <c r="K48" t="str">
        <f>IFERROR(INDEX(INDIRECT(XLOOKUP(All_Questions_Q_GRID_EXPORT_CT,All_Questions,All_Questions_Options_Names,"None_options")),6),"")</f>
        <v/>
      </c>
      <c r="L48" t="str">
        <f>IFERROR(INDEX(INDIRECT(XLOOKUP(All_Questions_Q_GRID_EXPORT_CT,All_Questions,All_Questions_Options_Names,"None_options")),7),"")</f>
        <v/>
      </c>
      <c r="M48" t="str">
        <f>IFERROR(INDEX(INDIRECT(XLOOKUP(All_Questions_Q_GRID_EXPORT_CT,All_Questions,All_Questions_Options_Names,"None_options")),8),"")</f>
        <v/>
      </c>
      <c r="N48" t="str">
        <f>IFERROR(INDEX(INDIRECT(XLOOKUP(All_Questions_Q_GRID_EXPORT_CT,All_Questions,All_Questions_Options_Names,"None_options")),9),"")</f>
        <v/>
      </c>
      <c r="O48" s="5" t="inlineStr">
        <is>
          <t>TOTAL</t>
        </is>
      </c>
    </row>
    <row r="49">
      <c r="A49" t="inlineStr">
        <is>
          <t>Grid first row</t>
        </is>
      </c>
      <c r="B49">
        <f>COUNTIFS(Q_GRID_EXPORTr1_data,"Selected",passes_workbook_filters_data,1,passes_workbook_custom_filters_data,1,All_Questions_passes_local_filters_data,1,All_Questions_Q_GRID_EXPORT_F_passes_per_q_filter_data,1)</f>
        <v>10</v>
      </c>
      <c r="C49" s="7">
        <f>IFERROR(B49/SUBTOTAL(9,B49:B50),0)</f>
        <v>0.5</v>
      </c>
      <c r="D49" s="14">
        <f>SUBTOTAL(9,B49:B50)</f>
        <v>20</v>
      </c>
      <c r="F49" t="inlineStr">
        <is>
          <t>Grid first row</t>
        </is>
      </c>
      <c r="G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49">
        <f>(All_Questions_Q_GRID_EXPORT_CT&lt;&gt;"(None)")*COUNTIFS(Q_GRID_EXPORTr1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49">
        <f>SUM(G49:N49)</f>
        <v>0</v>
      </c>
    </row>
    <row r="50">
      <c r="A50" t="inlineStr">
        <is>
          <t>Grid second row</t>
        </is>
      </c>
      <c r="B50">
        <f>COUNTIFS(Q_GRID_EXPORTr2_data,"Selected",passes_workbook_filters_data,1,passes_workbook_custom_filters_data,1,All_Questions_passes_local_filters_data,1,All_Questions_Q_GRID_EXPORT_F_passes_per_q_filter_data,1)</f>
        <v>10</v>
      </c>
      <c r="C50" s="7">
        <f>IFERROR(B50/SUBTOTAL(9,B49:B50),0)</f>
        <v>0.5</v>
      </c>
      <c r="D50" s="14">
        <f>SUBTOTAL(9,B49:B50)</f>
        <v>20</v>
      </c>
      <c r="F50" t="inlineStr">
        <is>
          <t>Grid second row</t>
        </is>
      </c>
      <c r="G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G$48)</f>
        <v>0</v>
      </c>
      <c r="H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H$48)</f>
        <v>0</v>
      </c>
      <c r="I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I$48)</f>
        <v>0</v>
      </c>
      <c r="J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J$48)</f>
        <v>0</v>
      </c>
      <c r="K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K$48)</f>
        <v>0</v>
      </c>
      <c r="L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L$48)</f>
        <v>0</v>
      </c>
      <c r="M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M$48)</f>
        <v>0</v>
      </c>
      <c r="N50">
        <f>(All_Questions_Q_GRID_EXPORT_CT&lt;&gt;"(None)")*COUNTIFS(Q_GRID_EXPORTr2_data,"Selected",passes_workbook_filters_data,1,passes_workbook_custom_filters_data,1,All_Questions_passes_local_filters_data,1,All_Questions_Q_GRID_EXPORT_F_passes_per_q_filter_data,1,INDIRECT(XLOOKUP(All_Questions_Q_GRID_EXPORT_CT,All_Questions,All_Questions_Data_Names,"respondent_id_data")),N$48)</f>
        <v>0</v>
      </c>
      <c r="O50">
        <f>SUM(G50:N50)</f>
        <v>0</v>
      </c>
    </row>
    <row r="51">
      <c r="A51" s="15" t="inlineStr">
        <is>
          <t>Total respondents</t>
        </is>
      </c>
      <c r="B51" s="15" t="n">
        <v>20</v>
      </c>
      <c r="C51" s="15" t="n"/>
      <c r="D51" s="15" t="n"/>
    </row>
    <row r="53">
      <c r="A53" s="11" t="n"/>
      <c r="B53" s="11" t="n"/>
      <c r="C53" s="11" t="n"/>
      <c r="D53" s="11" t="n"/>
      <c r="E53" s="11" t="n"/>
      <c r="F53" s="11" t="n"/>
      <c r="G53" s="11" t="n"/>
      <c r="H53" s="11" t="n"/>
      <c r="I53" s="11" t="n"/>
      <c r="J53" s="11" t="n"/>
    </row>
    <row r="54">
      <c r="A54" s="12" t="inlineStr">
        <is>
          <t>Long sheet name export question</t>
        </is>
      </c>
    </row>
    <row r="55">
      <c r="A55" s="13" t="inlineStr">
        <is>
          <t>Per-question filter</t>
        </is>
      </c>
      <c r="B55" t="inlineStr">
        <is>
          <t>Filter Q</t>
        </is>
      </c>
      <c r="C55" t="inlineStr">
        <is>
          <t>(None)</t>
        </is>
      </c>
      <c r="D55" t="inlineStr">
        <is>
          <t>Value</t>
        </is>
      </c>
      <c r="E55" t="inlineStr">
        <is>
          <t>(All)</t>
        </is>
      </c>
      <c r="F55" t="str">
        <f>XLOOKUP(All_Questions_Q_VERY_LONG_SINGLE_SELECT_EXPORT_NAME_F_Q,All_Questions,All_Questions_Data_Names,"respondent_id_data")</f>
        <v>respondent_id_data</v>
      </c>
      <c r="G55" t="str">
        <f>"|" &amp; SUBSTITUTE(All_Questions_Q_VERY_LONG_SINGLE_SELECT_EXPORT_NAME_F_V, ", ", "|") &amp; "|"</f>
        <v>|(All)|</v>
      </c>
    </row>
    <row r="56">
      <c r="A56" s="13" t="inlineStr">
        <is>
          <t>Cross-tab by</t>
        </is>
      </c>
      <c r="C56" t="inlineStr">
        <is>
          <t>(None)</t>
        </is>
      </c>
    </row>
    <row r="58">
      <c r="A58" s="4" t="inlineStr">
        <is>
          <t>Option</t>
        </is>
      </c>
      <c r="B58" s="4" t="inlineStr">
        <is>
          <t>Count</t>
        </is>
      </c>
      <c r="C58" s="4" t="inlineStr">
        <is>
          <t>%</t>
        </is>
      </c>
      <c r="D58" s="4" t="inlineStr">
        <is>
          <t>Denominator</t>
        </is>
      </c>
      <c r="F58" s="5" t="inlineStr">
        <is>
          <t>Option \ Cross-tab</t>
        </is>
      </c>
      <c r="G58" t="str">
        <f>IFERROR(INDEX(INDIRECT(XLOOKUP(All_Questions_Q_VERY_LONG_SINGLE_SELECT_EXPORT_NAME_CT,All_Questions,All_Questions_Options_Names,"None_options")),2),"")</f>
        <v/>
      </c>
      <c r="H58" t="str">
        <f>IFERROR(INDEX(INDIRECT(XLOOKUP(All_Questions_Q_VERY_LONG_SINGLE_SELECT_EXPORT_NAME_CT,All_Questions,All_Questions_Options_Names,"None_options")),3),"")</f>
        <v/>
      </c>
      <c r="I58" t="str">
        <f>IFERROR(INDEX(INDIRECT(XLOOKUP(All_Questions_Q_VERY_LONG_SINGLE_SELECT_EXPORT_NAME_CT,All_Questions,All_Questions_Options_Names,"None_options")),4),"")</f>
        <v/>
      </c>
      <c r="J58" t="str">
        <f>IFERROR(INDEX(INDIRECT(XLOOKUP(All_Questions_Q_VERY_LONG_SINGLE_SELECT_EXPORT_NAME_CT,All_Questions,All_Questions_Options_Names,"None_options")),5),"")</f>
        <v/>
      </c>
      <c r="K58" t="str">
        <f>IFERROR(INDEX(INDIRECT(XLOOKUP(All_Questions_Q_VERY_LONG_SINGLE_SELECT_EXPORT_NAME_CT,All_Questions,All_Questions_Options_Names,"None_options")),6),"")</f>
        <v/>
      </c>
      <c r="L58" t="str">
        <f>IFERROR(INDEX(INDIRECT(XLOOKUP(All_Questions_Q_VERY_LONG_SINGLE_SELECT_EXPORT_NAME_CT,All_Questions,All_Questions_Options_Names,"None_options")),7),"")</f>
        <v/>
      </c>
      <c r="M58" t="str">
        <f>IFERROR(INDEX(INDIRECT(XLOOKUP(All_Questions_Q_VERY_LONG_SINGLE_SELECT_EXPORT_NAME_CT,All_Questions,All_Questions_Options_Names,"None_options")),8),"")</f>
        <v/>
      </c>
      <c r="N58" t="str">
        <f>IFERROR(INDEX(INDIRECT(XLOOKUP(All_Questions_Q_VERY_LONG_SINGLE_SELECT_EXPORT_NAME_CT,All_Questions,All_Questions_Options_Names,"None_options")),9),"")</f>
        <v/>
      </c>
      <c r="O58" s="5" t="inlineStr">
        <is>
          <t>TOTAL</t>
        </is>
      </c>
    </row>
    <row r="59">
      <c r="A59" t="inlineStr">
        <is>
          <t>A</t>
        </is>
      </c>
      <c r="B59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59" s="7">
        <f>IFERROR(B59/SUBTOTAL(9,B59:B60),0)</f>
        <v>0.7</v>
      </c>
      <c r="D59" s="14">
        <f>SUBTOTAL(9,B59:B60)</f>
        <v>10</v>
      </c>
      <c r="F59" t="inlineStr">
        <is>
          <t>A</t>
        </is>
      </c>
      <c r="G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59">
        <f>(All_Questions_Q_VERY_LONG_SINGLE_SELECT_EXPORT_NAME_CT&lt;&gt;"(None)")*COUNTIFS(Q_VERY_LONG_SINGLE_SELECT_EXPOR_data,"A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59">
        <f>SUM(G59:N59)</f>
        <v>0</v>
      </c>
    </row>
    <row r="60">
      <c r="A60" t="inlineStr">
        <is>
          <t>B</t>
        </is>
      </c>
      <c r="B60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60" s="7">
        <f>IFERROR(B60/SUBTOTAL(9,B59:B60),0)</f>
        <v>0.3</v>
      </c>
      <c r="D60" s="14">
        <f>SUBTOTAL(9,B59:B60)</f>
        <v>10</v>
      </c>
      <c r="F60" t="inlineStr">
        <is>
          <t>B</t>
        </is>
      </c>
      <c r="G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G$58)</f>
        <v>0</v>
      </c>
      <c r="H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H$58)</f>
        <v>0</v>
      </c>
      <c r="I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I$58)</f>
        <v>0</v>
      </c>
      <c r="J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J$58)</f>
        <v>0</v>
      </c>
      <c r="K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K$58)</f>
        <v>0</v>
      </c>
      <c r="L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L$58)</f>
        <v>0</v>
      </c>
      <c r="M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M$58)</f>
        <v>0</v>
      </c>
      <c r="N60">
        <f>(All_Questions_Q_VERY_LONG_SINGLE_SELECT_EXPORT_NAME_CT&lt;&gt;"(None)")*COUNTIFS(Q_VERY_LONG_SINGLE_SELECT_EXPOR_data,"B",passes_workbook_filters_data,1,passes_workbook_custom_filters_data,1,All_Questions_passes_local_filters_data,1,All_Questions_Q_VERY_LONG_SINGLE_SELECT_EXPORT_NAME_F_passes_per_q_filter_data,1,INDIRECT(XLOOKUP(All_Questions_Q_VERY_LONG_SINGLE_SELECT_EXPORT_NAME_CT,All_Questions,All_Questions_Data_Names,"respondent_id_data")),N$58)</f>
        <v>0</v>
      </c>
      <c r="O60">
        <f>SUM(G60:N60)</f>
        <v>0</v>
      </c>
    </row>
    <row r="61">
      <c r="A61" s="15" t="inlineStr">
        <is>
          <t>Total respondents</t>
        </is>
      </c>
      <c r="B61" s="15" t="n">
        <v>10</v>
      </c>
      <c r="C61" s="15" t="n"/>
      <c r="D61" s="15" t="n"/>
    </row>
  </sheetData>
  <mergeCells count="6">
    <mergeCell ref="A44:J44"/>
    <mergeCell ref="A1:J1"/>
    <mergeCell ref="A32:J32"/>
    <mergeCell ref="A22:J22"/>
    <mergeCell ref="A12:J12"/>
    <mergeCell ref="A54:J54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7:N18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7:O18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7:B28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7:C28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7:N28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7:O28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49:B50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49:C50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9:N50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9:O50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59:B60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59:C60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59:N60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59:O60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=INDIRECT(XLOOKUP(All_Questions_F_Custom1_Q_resolved,All_Questions,All_Questions_Options_Names,"None_options"))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=INDIRECT(XLOOKUP(All_Questions_F_Custom2_Q_resolved,All_Questions,All_Questions_Options_Names,"None_options"))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=INDIRECT(XLOOKUP(All_Questions_Q_SS_EXPORT_F_Q,All_Questions,All_Questions_Options_Names,"None_options"))</formula1>
    </dataValidation>
    <dataValidation sqref="C14" showDropDown="0" showInputMessage="0" showErrorMessage="0" allowBlank="1" type="list">
      <formula1>=All_Questions</formula1>
    </dataValidation>
    <dataValidation sqref="C23" showDropDown="0" showInputMessage="0" showErrorMessage="0" allowBlank="1" type="list">
      <formula1>=All_Questions</formula1>
    </dataValidation>
    <dataValidation sqref="E23" showDropDown="0" showInputMessage="0" showErrorMessage="0" allowBlank="1" type="list">
      <formula1>=INDIRECT(XLOOKUP(All_Questions_Q_MS_EXPORT_F_Q,All_Questions,All_Questions_Options_Names,"None_options"))</formula1>
    </dataValidation>
    <dataValidation sqref="C24" showDropDown="0" showInputMessage="0" showErrorMessage="0" allowBlank="1" type="list">
      <formula1>=All_Questions</formula1>
    </dataValidation>
    <dataValidation sqref="C33" showDropDown="0" showInputMessage="0" showErrorMessage="0" allowBlank="1" type="list">
      <formula1>=All_Questions</formula1>
    </dataValidation>
    <dataValidation sqref="E33" showDropDown="0" showInputMessage="0" showErrorMessage="0" allowBlank="1" type="list">
      <formula1>=INDIRECT(XLOOKUP(All_Questions_Q_NUM_EXPORT_F_Q,All_Questions,All_Questions_Options_Names,"None_options"))</formula1>
    </dataValidation>
    <dataValidation sqref="C34" showDropDown="0" showInputMessage="0" showErrorMessage="0" allowBlank="1" type="list">
      <formula1>=All_Questions</formula1>
    </dataValidation>
    <dataValidation sqref="C45" showDropDown="0" showInputMessage="0" showErrorMessage="0" allowBlank="1" type="list">
      <formula1>=All_Questions</formula1>
    </dataValidation>
    <dataValidation sqref="E45" showDropDown="0" showInputMessage="0" showErrorMessage="0" allowBlank="1" type="list">
      <formula1>=INDIRECT(XLOOKUP(All_Questions_Q_GRID_EXPORT_F_Q,All_Questions,All_Questions_Options_Names,"None_options"))</formula1>
    </dataValidation>
    <dataValidation sqref="C46" showDropDown="0" showInputMessage="0" showErrorMessage="0" allowBlank="1" type="list">
      <formula1>=All_Questions</formula1>
    </dataValidation>
    <dataValidation sqref="C55" showDropDown="0" showInputMessage="0" showErrorMessage="0" allowBlank="1" type="list">
      <formula1>=All_Questions</formula1>
    </dataValidation>
    <dataValidation sqref="E55" showDropDown="0" showInputMessage="0" showErrorMessage="0" allowBlank="1" type="list">
      <formula1>=INDIRECT(XLOOKUP(All_Questions_Q_VERY_LONG_SINGLE_SELECT_EXPORT_NAME_F_Q,All_Questions,All_Questions_Options_Names,"None_options"))</formula1>
    </dataValidation>
    <dataValidation sqref="C5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5">
    <tablePart r:id="rId1"/>
    <tablePart r:id="rId2"/>
    <tablePart r:id="rId3"/>
    <tablePart r:id="rId4"/>
    <tablePart r:id="rId5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7" customWidth="1" min="2" max="2"/>
    <col width="39" customWidth="1" min="3" max="3"/>
    <col width="39" customWidth="1" min="4" max="4"/>
    <col width="8" customWidth="1" min="5" max="5"/>
    <col width="11" customWidth="1" min="6" max="6"/>
    <col width="13" customWidth="1" min="7" max="7"/>
    <col width="2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2026-05-15T09:57:38Z</dcterms:created>
  <dcterms:modified xmlns:dcterms="http://purl.org/dc/terms/" xmlns:xsi="http://www.w3.org/2001/XMLSchema-instance" xsi:type="dcterms:W3CDTF">2026-05-15T09:57:38Z</dcterms:modified>
</cp:coreProperties>
</file>