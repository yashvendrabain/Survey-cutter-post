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Questions'!$C$25</definedName>
    <definedName name="All_Questions_Q9_F_V">'All Questions'!$E$25</definedName>
    <definedName name="All_Questions_Q9_F_resolved_column">'All Questions'!$F$25</definedName>
    <definedName name="All_Questions_Q9_F_wrapped">'All Questions'!$G$25</definedName>
    <definedName name="All_Questions_Q9_F_passes_per_q_filter_data">'_RawData'!$J$2:$J$207</definedName>
    <definedName name="All_Questions_Q9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F25" i="7"/>
  <c r="G25" i="7"/>
  <c r="B29" i="7"/>
  <c r="D29" i="7"/>
  <c r="B30" i="7"/>
  <c r="D30" i="7"/>
  <c r="B31" i="7"/>
  <c r="D31" i="7"/>
  <c r="D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Q9 - Planned spend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IFERROR(INDEX(All_Questions_Data_Names,MATCH(All_Questions_Q9_F_Q,All_Questions,0)),"'_RawData'!$A:$A")</f>
        <v>respondent_id_data</v>
      </c>
      <c r="G25" t="str">
        <f>"|" &amp; SUBSTITUTE(All_Questions_Q9_F_V,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4">
        <f>IFERROR(AVERAGEIFS(Q9_data,passes_workbook_filters_data,1,passes_workbook_custom_filters_data,1,All_Questions_passes_local_filters_data,1,All_Questions_Q9_F_passes_per_q_filter_data,1),0)</f>
        <v>27.1</v>
      </c>
      <c r="D29">
        <f>COUNTIFS(Q9_data,"&lt;&gt;",passes_workbook_filters_data,1,passes_workbook_custom_filters_data,1,All_Questions_passes_local_filters_data,1,All_Questions_Q9_F_passes_per_q_filter_data,1)</f>
        <v>206</v>
      </c>
    </row>
    <row r="30">
      <c r="A30" t="inlineStr">
        <is>
          <t>Min</t>
        </is>
      </c>
      <c r="B30" s="14">
        <f>IFERROR(MINIFS(Q9_data,passes_workbook_filters_data,1,passes_workbook_custom_filters_data,1,All_Questions_passes_local_filters_data,1,All_Questions_Q9_F_passes_per_q_filter_data,1),0)</f>
        <v>0.0</v>
      </c>
      <c r="D30">
        <f>COUNTIFS(Q9_data,"&lt;&gt;",passes_workbook_filters_data,1,passes_workbook_custom_filters_data,1,All_Questions_passes_local_filters_data,1,All_Questions_Q9_F_passes_per_q_filter_data,1)</f>
        <v>206</v>
      </c>
    </row>
    <row r="31">
      <c r="A31" t="inlineStr">
        <is>
          <t>Max</t>
        </is>
      </c>
      <c r="B31" s="14">
        <f>IFERROR(MAXIFS(Q9_data,passes_workbook_filters_data,1,passes_workbook_custom_filters_data,1,All_Questions_passes_local_filters_data,1,All_Questions_Q9_F_passes_per_q_filter_data,1),0)</f>
        <v>50.0</v>
      </c>
      <c r="D31">
        <f>COUNTIFS(Q9_data,"&lt;&gt;",passes_workbook_filters_data,1,passes_workbook_custom_filters_data,1,All_Questions_passes_local_filters_data,1,All_Questions_Q9_F_passes_per_q_filter_data,1)</f>
        <v>206</v>
      </c>
    </row>
    <row r="32">
      <c r="A32" t="inlineStr">
        <is>
          <t>Std</t>
        </is>
      </c>
      <c r="B32" s="14" t="n">
        <v>7.4</v>
      </c>
      <c r="C32" t="inlineStr">
        <is>
          <t>static baseline</t>
        </is>
      </c>
      <c r="D32">
        <f>COUNTIFS(Q9_data,"&lt;&gt;",passes_workbook_filters_data,1,passes_workbook_custom_filters_data,1,All_Questions_passes_local_filters_data,1,All_Questions_Q9_F_passes_per_q_filter_data,1)</f>
        <v>206</v>
      </c>
    </row>
    <row r="33">
      <c r="A33" t="inlineStr">
        <is>
          <t>Median</t>
        </is>
      </c>
      <c r="B33" s="14" t="n">
        <v>26.55</v>
      </c>
      <c r="C33" t="inlineStr">
        <is>
          <t>static baseline</t>
        </is>
      </c>
      <c r="D33" s="15" t="n">
        <v>206</v>
      </c>
    </row>
  </sheetData>
  <mergeCells count="1">
    <mergeCell ref="A1:J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2026-06-05T06:14:53Z</dcterms:created>
  <dcterms:modified xmlns:dcterms="http://purl.org/dc/terms/" xmlns:xsi="http://www.w3.org/2001/XMLSchema-instance" xsi:type="dcterms:W3CDTF">2026-06-05T06:14:54Z</dcterms:modified>
</cp:coreProperties>
</file>