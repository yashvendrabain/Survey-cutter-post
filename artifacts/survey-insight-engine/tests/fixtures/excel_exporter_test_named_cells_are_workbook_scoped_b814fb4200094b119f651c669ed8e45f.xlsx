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Questions'!$C$42</definedName>
    <definedName name="All_Questions_Q_GRID_EXPORT_F_V">'All Questions'!$E$42</definedName>
    <definedName name="All_Questions_Q_GRID_EXPORT_F_resolved_column">'All Questions'!$F$42</definedName>
    <definedName name="All_Questions_Q_GRID_EXPORT_F_wrapped">'All Questions'!$G$42</definedName>
    <definedName name="All_Questions_Q_GRID_EXPORT_F_passes_per_q_filter_data">'_RawData'!$U$2:$U$11</definedName>
    <definedName name="All_Questions_Q_GRID_EXPORT_CT">'All Questions'!$C$43</definedName>
    <definedName name="All_Questions_Q_VERY_LONG_SINGLE_SELECT_EXPORT_NAME_F_Q">'All Questions'!$C$60</definedName>
    <definedName name="All_Questions_Q_VERY_LONG_SINGLE_SELECT_EXPORT_NAME_F_V">'All Questions'!$E$60</definedName>
    <definedName name="All_Questions_Q_VERY_LONG_SINGLE_SELECT_EXPORT_NAME_F_resolved_column">'All Questions'!$F$60</definedName>
    <definedName name="All_Questions_Q_VERY_LONG_SINGLE_SELECT_EXPORT_NAME_F_wrapped">'All Questions'!$G$60</definedName>
    <definedName name="All_Questions_Q_VERY_LONG_SINGLE_SELECT_EXPORT_NAME_F_passes_per_q_filter_data">'_RawData'!$V$2:$V$11</definedName>
    <definedName name="All_Questions_Q_VERY_LONG_SINGLE_SELECT_EXPORT_NAME_CT">'All Questions'!$C$61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G35" i="8"/>
  <c r="H35" i="8"/>
  <c r="I35" i="8"/>
  <c r="J35" i="8"/>
  <c r="K35" i="8"/>
  <c r="L35" i="8"/>
  <c r="M35" i="8"/>
  <c r="N35" i="8"/>
  <c r="O35" i="8"/>
  <c r="P35" i="8"/>
  <c r="Q35" i="8"/>
  <c r="R35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S38" i="8"/>
  <c r="F42" i="8"/>
  <c r="G42" i="8"/>
  <c r="C47" i="8"/>
  <c r="D47" i="8"/>
  <c r="E47" i="8"/>
  <c r="F47" i="8"/>
  <c r="C48" i="8"/>
  <c r="D48" i="8"/>
  <c r="E48" i="8"/>
  <c r="F48" i="8"/>
  <c r="G52" i="8"/>
  <c r="H52" i="8"/>
  <c r="I52" i="8"/>
  <c r="J52" i="8"/>
  <c r="K52" i="8"/>
  <c r="L52" i="8"/>
  <c r="M52" i="8"/>
  <c r="N52" i="8"/>
  <c r="O52" i="8"/>
  <c r="P52" i="8"/>
  <c r="Q52" i="8"/>
  <c r="R52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  <c r="F60" i="8"/>
  <c r="G60" i="8"/>
  <c r="G63" i="8"/>
  <c r="H63" i="8"/>
  <c r="I63" i="8"/>
  <c r="J63" i="8"/>
  <c r="K63" i="8"/>
  <c r="L63" i="8"/>
  <c r="M63" i="8"/>
  <c r="N63" i="8"/>
  <c r="O63" i="8"/>
  <c r="P63" i="8"/>
  <c r="Q63" i="8"/>
  <c r="R63" i="8"/>
  <c r="B64" i="8"/>
  <c r="C64" i="8"/>
  <c r="D64" i="8"/>
  <c r="B65" i="8"/>
  <c r="C65" i="8"/>
  <c r="D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S67" i="8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3_1" displayName="T_All_Questions_63_1" ref="A63:D66" headerRowCount="1">
  <autoFilter ref="A63:D6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 s="14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 s="14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 s="14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 s="14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 s="14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 s="14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 s="14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 s="14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 s="14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 s="14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 s="14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 s="14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 s="14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 s="14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 s="14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 s="14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 s="14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 s="14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 s="14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 s="14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 s="14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 s="14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 s="14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 s="14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 s="14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 s="14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% selected</t>
        </is>
      </c>
      <c r="H18" s="4" t="inlineStr">
        <is>
          <t>% selected</t>
        </is>
      </c>
      <c r="I18" s="4" t="inlineStr">
        <is>
          <t>% selected</t>
        </is>
      </c>
      <c r="J18" s="4" t="inlineStr">
        <is>
          <t>% selected</t>
        </is>
      </c>
      <c r="K18" s="4" t="inlineStr">
        <is>
          <t>% selected</t>
        </is>
      </c>
      <c r="L18" s="4" t="inlineStr">
        <is>
          <t>% selected</t>
        </is>
      </c>
      <c r="M18" s="4" t="inlineStr">
        <is>
          <t>% selected</t>
        </is>
      </c>
      <c r="N18" s="4" t="inlineStr">
        <is>
          <t>% selected</t>
        </is>
      </c>
      <c r="O18" s="4" t="inlineStr">
        <is>
          <t>% selected</t>
        </is>
      </c>
      <c r="P18" s="4" t="inlineStr">
        <is>
          <t>% selected</t>
        </is>
      </c>
      <c r="Q18" s="4" t="inlineStr">
        <is>
          <t>% selected</t>
        </is>
      </c>
      <c r="R18" s="4" t="inlineStr">
        <is>
          <t>% selected</t>
        </is>
      </c>
      <c r="S18" s="4" t="inlineStr">
        <is>
          <t>% selected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 s="7">
        <f>IF(OR(All_Questions_Q_MS_EXPORT_CT="(None)",G$17=""),"",IF(G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$17)),"")))</f>
        <v>0.5</v>
      </c>
      <c r="H19" s="7">
        <f>IF(OR(All_Questions_Q_MS_EXPORT_CT="(None)",H$17=""),"",IF(H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$17)),"")))</f>
        <v>0.5</v>
      </c>
      <c r="I19" s="7">
        <f>IF(OR(All_Questions_Q_MS_EXPORT_CT="(None)",I$17=""),"",IF(I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$17)),"")))</f>
        <v>0.5</v>
      </c>
      <c r="J19" s="7">
        <f>IF(OR(All_Questions_Q_MS_EXPORT_CT="(None)",J$17=""),"",IF(J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$17)),"")))</f>
        <v>0.5</v>
      </c>
      <c r="K19" s="7">
        <f>IF(OR(All_Questions_Q_MS_EXPORT_CT="(None)",K$17=""),"",IF(K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$17)),"")))</f>
        <v>0.5</v>
      </c>
      <c r="L19" s="7">
        <f>IF(OR(All_Questions_Q_MS_EXPORT_CT="(None)",L$17=""),"",IF(L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$17)),"")))</f>
        <v>0.5</v>
      </c>
      <c r="M19" s="7">
        <f>IF(OR(All_Questions_Q_MS_EXPORT_CT="(None)",M$17=""),"",IF(M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$17)),"")))</f>
        <v>0.5</v>
      </c>
      <c r="N19" s="7">
        <f>IF(OR(All_Questions_Q_MS_EXPORT_CT="(None)",N$17=""),"",IF(N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$17)),"")))</f>
        <v>0.5</v>
      </c>
      <c r="O19" s="7">
        <f>IF(OR(All_Questions_Q_MS_EXPORT_CT="(None)",O$17=""),"",IF(O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$17)),"")))</f>
        <v>0.5</v>
      </c>
      <c r="P19" s="7">
        <f>IF(OR(All_Questions_Q_MS_EXPORT_CT="(None)",P$17=""),"",IF(P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$17)),"")))</f>
        <v>0.5</v>
      </c>
      <c r="Q19" s="7">
        <f>IF(OR(All_Questions_Q_MS_EXPORT_CT="(None)",Q$17=""),"",IF(Q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$17)),"")))</f>
        <v>0.5</v>
      </c>
      <c r="R19" s="7">
        <f>IF(OR(All_Questions_Q_MS_EXPORT_CT="(None)",R$17=""),"",IF(R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$17)),"")))</f>
        <v>0.5</v>
      </c>
      <c r="S1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 s="7">
        <f>IF(OR(All_Questions_Q_MS_EXPORT_CT="(None)",G$17=""),"",IF(G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$17)),"")))</f>
        <v>0.2</v>
      </c>
      <c r="H20" s="7">
        <f>IF(OR(All_Questions_Q_MS_EXPORT_CT="(None)",H$17=""),"",IF(H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$17)),"")))</f>
        <v>0.2</v>
      </c>
      <c r="I20" s="7">
        <f>IF(OR(All_Questions_Q_MS_EXPORT_CT="(None)",I$17=""),"",IF(I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$17)),"")))</f>
        <v>0.2</v>
      </c>
      <c r="J20" s="7">
        <f>IF(OR(All_Questions_Q_MS_EXPORT_CT="(None)",J$17=""),"",IF(J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$17)),"")))</f>
        <v>0.2</v>
      </c>
      <c r="K20" s="7">
        <f>IF(OR(All_Questions_Q_MS_EXPORT_CT="(None)",K$17=""),"",IF(K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$17)),"")))</f>
        <v>0.2</v>
      </c>
      <c r="L20" s="7">
        <f>IF(OR(All_Questions_Q_MS_EXPORT_CT="(None)",L$17=""),"",IF(L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$17)),"")))</f>
        <v>0.2</v>
      </c>
      <c r="M20" s="7">
        <f>IF(OR(All_Questions_Q_MS_EXPORT_CT="(None)",M$17=""),"",IF(M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$17)),"")))</f>
        <v>0.2</v>
      </c>
      <c r="N20" s="7">
        <f>IF(OR(All_Questions_Q_MS_EXPORT_CT="(None)",N$17=""),"",IF(N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$17)),"")))</f>
        <v>0.2</v>
      </c>
      <c r="O20" s="7">
        <f>IF(OR(All_Questions_Q_MS_EXPORT_CT="(None)",O$17=""),"",IF(O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$17)),"")))</f>
        <v>0.2</v>
      </c>
      <c r="P20" s="7">
        <f>IF(OR(All_Questions_Q_MS_EXPORT_CT="(None)",P$17=""),"",IF(P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$17)),"")))</f>
        <v>0.2</v>
      </c>
      <c r="Q20" s="7">
        <f>IF(OR(All_Questions_Q_MS_EXPORT_CT="(None)",Q$17=""),"",IF(Q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$17)),"")))</f>
        <v>0.2</v>
      </c>
      <c r="R20" s="7">
        <f>IF(OR(All_Questions_Q_MS_EXPORT_CT="(None)",R$17=""),"",IF(R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$17)),"")))</f>
        <v>0.2</v>
      </c>
      <c r="S2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F35" s="4" t="inlineStr">
        <is>
          <t>Option</t>
        </is>
      </c>
      <c r="G35" s="2" t="str">
        <f>IF(All_Questions_Q_NUM_EXPORT_CT="(None)","",IFERROR(INDEX(INDIRECT(IFERROR(INDEX(All_Questions_Options_Names,MATCH(All_Questions_Q_NUM_EXPORT_CT,All_Questions,0)),"'_Options'!$E$2:$E$2")),2),""))</f>
        <v/>
      </c>
      <c r="H35" s="2" t="str">
        <f>IF(All_Questions_Q_NUM_EXPORT_CT="(None)","",IFERROR(INDEX(INDIRECT(IFERROR(INDEX(All_Questions_Options_Names,MATCH(All_Questions_Q_NUM_EXPORT_CT,All_Questions,0)),"'_Options'!$E$2:$E$2")),3),""))</f>
        <v/>
      </c>
      <c r="I35" s="2" t="str">
        <f>IF(All_Questions_Q_NUM_EXPORT_CT="(None)","",IFERROR(INDEX(INDIRECT(IFERROR(INDEX(All_Questions_Options_Names,MATCH(All_Questions_Q_NUM_EXPORT_CT,All_Questions,0)),"'_Options'!$E$2:$E$2")),4),""))</f>
        <v/>
      </c>
      <c r="J35" s="2" t="str">
        <f>IF(All_Questions_Q_NUM_EXPORT_CT="(None)","",IFERROR(INDEX(INDIRECT(IFERROR(INDEX(All_Questions_Options_Names,MATCH(All_Questions_Q_NUM_EXPORT_CT,All_Questions,0)),"'_Options'!$E$2:$E$2")),5),""))</f>
        <v/>
      </c>
      <c r="K35" s="2" t="str">
        <f>IF(All_Questions_Q_NUM_EXPORT_CT="(None)","",IFERROR(INDEX(INDIRECT(IFERROR(INDEX(All_Questions_Options_Names,MATCH(All_Questions_Q_NUM_EXPORT_CT,All_Questions,0)),"'_Options'!$E$2:$E$2")),6),""))</f>
        <v/>
      </c>
      <c r="L35" s="2" t="str">
        <f>IF(All_Questions_Q_NUM_EXPORT_CT="(None)","",IFERROR(INDEX(INDIRECT(IFERROR(INDEX(All_Questions_Options_Names,MATCH(All_Questions_Q_NUM_EXPORT_CT,All_Questions,0)),"'_Options'!$E$2:$E$2")),7),""))</f>
        <v/>
      </c>
      <c r="M35" s="2" t="str">
        <f>IF(All_Questions_Q_NUM_EXPORT_CT="(None)","",IFERROR(INDEX(INDIRECT(IFERROR(INDEX(All_Questions_Options_Names,MATCH(All_Questions_Q_NUM_EXPORT_CT,All_Questions,0)),"'_Options'!$E$2:$E$2")),8),""))</f>
        <v/>
      </c>
      <c r="N35" s="2" t="str">
        <f>IF(All_Questions_Q_NUM_EXPORT_CT="(None)","",IFERROR(INDEX(INDIRECT(IFERROR(INDEX(All_Questions_Options_Names,MATCH(All_Questions_Q_NUM_EXPORT_CT,All_Questions,0)),"'_Options'!$E$2:$E$2")),9),""))</f>
        <v/>
      </c>
      <c r="O35" s="2" t="str">
        <f>IF(All_Questions_Q_NUM_EXPORT_CT="(None)","",IFERROR(INDEX(INDIRECT(IFERROR(INDEX(All_Questions_Options_Names,MATCH(All_Questions_Q_NUM_EXPORT_CT,All_Questions,0)),"'_Options'!$E$2:$E$2")),10),""))</f>
        <v/>
      </c>
      <c r="P35" s="2" t="str">
        <f>IF(All_Questions_Q_NUM_EXPORT_CT="(None)","",IFERROR(INDEX(INDIRECT(IFERROR(INDEX(All_Questions_Options_Names,MATCH(All_Questions_Q_NUM_EXPORT_CT,All_Questions,0)),"'_Options'!$E$2:$E$2")),11),""))</f>
        <v/>
      </c>
      <c r="Q35" s="2" t="str">
        <f>IF(All_Questions_Q_NUM_EXPORT_CT="(None)","",IFERROR(INDEX(INDIRECT(IFERROR(INDEX(All_Questions_Options_Names,MATCH(All_Questions_Q_NUM_EXPORT_CT,All_Questions,0)),"'_Options'!$E$2:$E$2")),12),""))</f>
        <v/>
      </c>
      <c r="R3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35" s="4" t="inlineStr">
        <is>
          <t>Total</t>
        </is>
      </c>
    </row>
    <row r="36">
      <c r="F36" s="4" t="inlineStr"/>
      <c r="G36" s="4" t="inlineStr">
        <is>
          <t>Mean</t>
        </is>
      </c>
      <c r="H36" s="4" t="inlineStr">
        <is>
          <t>Mean</t>
        </is>
      </c>
      <c r="I36" s="4" t="inlineStr">
        <is>
          <t>Mean</t>
        </is>
      </c>
      <c r="J36" s="4" t="inlineStr">
        <is>
          <t>Mean</t>
        </is>
      </c>
      <c r="K36" s="4" t="inlineStr">
        <is>
          <t>Mean</t>
        </is>
      </c>
      <c r="L36" s="4" t="inlineStr">
        <is>
          <t>Mean</t>
        </is>
      </c>
      <c r="M36" s="4" t="inlineStr">
        <is>
          <t>Mean</t>
        </is>
      </c>
      <c r="N36" s="4" t="inlineStr">
        <is>
          <t>Mean</t>
        </is>
      </c>
      <c r="O36" s="4" t="inlineStr">
        <is>
          <t>Mean</t>
        </is>
      </c>
      <c r="P36" s="4" t="inlineStr">
        <is>
          <t>Mean</t>
        </is>
      </c>
      <c r="Q36" s="4" t="inlineStr">
        <is>
          <t>Mean</t>
        </is>
      </c>
      <c r="R36" s="4" t="inlineStr">
        <is>
          <t>Mean</t>
        </is>
      </c>
      <c r="S36" s="4" t="inlineStr">
        <is>
          <t>Mean</t>
        </is>
      </c>
    </row>
    <row r="37">
      <c r="F37" t="inlineStr">
        <is>
          <t>Numeric export question</t>
        </is>
      </c>
      <c r="G37" s="16">
        <f>IF(OR(All_Questions_Q_NUM_EXPORT_CT="(None)",G$35=""),"",IF(G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$35),"")))</f>
        <v>5.5</v>
      </c>
      <c r="H37" s="16">
        <f>IF(OR(All_Questions_Q_NUM_EXPORT_CT="(None)",H$35=""),"",IF(H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$35),"")))</f>
        <v>5.5</v>
      </c>
      <c r="I37" s="16">
        <f>IF(OR(All_Questions_Q_NUM_EXPORT_CT="(None)",I$35=""),"",IF(I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$35),"")))</f>
        <v>5.5</v>
      </c>
      <c r="J37" s="16">
        <f>IF(OR(All_Questions_Q_NUM_EXPORT_CT="(None)",J$35=""),"",IF(J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$35),"")))</f>
        <v>5.5</v>
      </c>
      <c r="K37" s="16">
        <f>IF(OR(All_Questions_Q_NUM_EXPORT_CT="(None)",K$35=""),"",IF(K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$35),"")))</f>
        <v>5.5</v>
      </c>
      <c r="L37" s="16">
        <f>IF(OR(All_Questions_Q_NUM_EXPORT_CT="(None)",L$35=""),"",IF(L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$35),"")))</f>
        <v>5.5</v>
      </c>
      <c r="M37" s="16">
        <f>IF(OR(All_Questions_Q_NUM_EXPORT_CT="(None)",M$35=""),"",IF(M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$35),"")))</f>
        <v>5.5</v>
      </c>
      <c r="N37" s="16">
        <f>IF(OR(All_Questions_Q_NUM_EXPORT_CT="(None)",N$35=""),"",IF(N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$35),"")))</f>
        <v>5.5</v>
      </c>
      <c r="O37" s="16">
        <f>IF(OR(All_Questions_Q_NUM_EXPORT_CT="(None)",O$35=""),"",IF(O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$35),"")))</f>
        <v>5.5</v>
      </c>
      <c r="P37" s="16">
        <f>IF(OR(All_Questions_Q_NUM_EXPORT_CT="(None)",P$35=""),"",IF(P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$35),"")))</f>
        <v>5.5</v>
      </c>
      <c r="Q37" s="16">
        <f>IF(OR(All_Questions_Q_NUM_EXPORT_CT="(None)",Q$35=""),"",IF(Q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$35),"")))</f>
        <v>5.5</v>
      </c>
      <c r="R37" s="16">
        <f>IF(OR(All_Questions_Q_NUM_EXPORT_CT="(None)",R$35=""),"",IF(R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$35),"")))</f>
        <v>5.5</v>
      </c>
      <c r="S3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38">
      <c r="F38" s="4" t="inlineStr">
        <is>
          <t>Total respondents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39"/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</row>
    <row r="41">
      <c r="A41" s="12" t="inlineStr">
        <is>
          <t>Q_GRID_EXPORT - Grid export question</t>
        </is>
      </c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</row>
    <row r="42">
      <c r="A42" s="13" t="inlineStr">
        <is>
          <t>Per-question filter</t>
        </is>
      </c>
      <c r="B42" t="inlineStr">
        <is>
          <t>Filter Q</t>
        </is>
      </c>
      <c r="C42" t="inlineStr">
        <is>
          <t>(None)</t>
        </is>
      </c>
      <c r="D42" t="inlineStr">
        <is>
          <t>Value</t>
        </is>
      </c>
      <c r="E42" t="inlineStr">
        <is>
          <t>(All)</t>
        </is>
      </c>
      <c r="F42" t="str">
        <f>IFERROR(INDEX(All_Questions_Data_Names,MATCH(All_Questions_Q_GRID_EXPORT_F_Q,All_Questions,0)),"'_RawData'!$A:$A")</f>
        <v>respondent_id_data</v>
      </c>
      <c r="G42" t="str">
        <f>"|" &amp; SUBSTITUTE(All_Questions_Q_GRID_EXPORT_F_V, ", ", "|") &amp; "|"</f>
        <v>|(All)|</v>
      </c>
    </row>
    <row r="43">
      <c r="A43" s="13" t="inlineStr">
        <is>
          <t>Cross-tab by</t>
        </is>
      </c>
      <c r="C43" t="inlineStr">
        <is>
          <t>(None)</t>
        </is>
      </c>
    </row>
    <row r="44"/>
    <row r="45">
      <c r="A45" s="4" t="inlineStr">
        <is>
          <t>Sub-question ID</t>
        </is>
      </c>
      <c r="B45" s="4" t="inlineStr">
        <is>
          <t>Sub-question</t>
        </is>
      </c>
      <c r="C45" s="4" t="inlineStr">
        <is>
          <t>High</t>
        </is>
      </c>
      <c r="D45" s="2" t="n"/>
      <c r="E45" s="4" t="inlineStr">
        <is>
          <t>Low</t>
        </is>
      </c>
      <c r="F45" s="2" t="n"/>
    </row>
    <row r="46">
      <c r="A46" s="2" t="inlineStr"/>
      <c r="B46" s="2" t="inlineStr"/>
      <c r="C46" s="4" t="inlineStr">
        <is>
          <t>Count</t>
        </is>
      </c>
      <c r="D46" s="4" t="inlineStr">
        <is>
          <t>%</t>
        </is>
      </c>
      <c r="E46" s="4" t="inlineStr">
        <is>
          <t>Count</t>
        </is>
      </c>
      <c r="F46" s="4" t="inlineStr">
        <is>
          <t>%</t>
        </is>
      </c>
    </row>
    <row r="47">
      <c r="A47" s="17" t="inlineStr">
        <is>
          <t>Q_GRID_EXPORTr1</t>
        </is>
      </c>
      <c r="B47" t="inlineStr">
        <is>
          <t>Grid first row</t>
        </is>
      </c>
      <c r="C47">
        <f>COUNTIFS(Q_GRID_EXPORTr1_data,"High",passes_workbook_filters_data,1,passes_workbook_custom_filters_data,1,All_Questions_passes_local_filters_data,1,All_Questions_Q_GRID_EXPORT_F_passes_per_q_filter_data,1)</f>
        <v>6</v>
      </c>
      <c r="D47" s="7">
        <f>IFERROR(C47/10,0)</f>
        <v>0.6</v>
      </c>
      <c r="E47">
        <f>COUNTIFS(Q_GRID_EXPORTr1_data,"Low",passes_workbook_filters_data,1,passes_workbook_custom_filters_data,1,All_Questions_passes_local_filters_data,1,All_Questions_Q_GRID_EXPORT_F_passes_per_q_filter_data,1)</f>
        <v>4</v>
      </c>
      <c r="F47" s="7">
        <f>IFERROR(E47/10,0)</f>
        <v>0.4</v>
      </c>
    </row>
    <row r="48">
      <c r="A48" s="17" t="inlineStr">
        <is>
          <t>Q_GRID_EXPORTr2</t>
        </is>
      </c>
      <c r="B48" t="inlineStr">
        <is>
          <t>Grid second row</t>
        </is>
      </c>
      <c r="C48">
        <f>COUNTIFS(Q_GRID_EXPORTr2_data,"High",passes_workbook_filters_data,1,passes_workbook_custom_filters_data,1,All_Questions_passes_local_filters_data,1,All_Questions_Q_GRID_EXPORT_F_passes_per_q_filter_data,1)</f>
        <v>5</v>
      </c>
      <c r="D48" s="7">
        <f>IFERROR(C48/10,0)</f>
        <v>0.5</v>
      </c>
      <c r="E48">
        <f>COUNTIFS(Q_GRID_EXPORTr2_data,"Low",passes_workbook_filters_data,1,passes_workbook_custom_filters_data,1,All_Questions_passes_local_filters_data,1,All_Questions_Q_GRID_EXPORT_F_passes_per_q_filter_data,1)</f>
        <v>5</v>
      </c>
      <c r="F48" s="7">
        <f>IFERROR(E48/10,0)</f>
        <v>0.5</v>
      </c>
    </row>
    <row r="49">
      <c r="A49" s="15" t="inlineStr">
        <is>
          <t>Total respondents</t>
        </is>
      </c>
      <c r="B49" s="15" t="n">
        <v>10</v>
      </c>
      <c r="C49" s="15" t="n"/>
      <c r="D49" s="15" t="n"/>
      <c r="E49" s="15" t="n"/>
      <c r="F49" s="15" t="n"/>
    </row>
    <row r="50">
      <c r="A50" s="4" t="inlineStr">
        <is>
          <t>Total responses</t>
        </is>
      </c>
      <c r="B50" s="4" t="n">
        <v>20</v>
      </c>
      <c r="C50" s="4" t="n"/>
      <c r="D50" s="4" t="n"/>
      <c r="E50" s="4" t="n"/>
      <c r="F50" s="4" t="n"/>
    </row>
    <row r="51"/>
    <row r="52">
      <c r="F52" s="4" t="inlineStr">
        <is>
          <t>Option</t>
        </is>
      </c>
      <c r="G52" s="2" t="str">
        <f>IF(All_Questions_Q_GRID_EXPORT_CT="(None)","",IFERROR(INDEX(INDIRECT(IFERROR(INDEX(All_Questions_Options_Names,MATCH(All_Questions_Q_GRID_EXPORT_CT,All_Questions,0)),"'_Options'!$E$2:$E$2")),2),""))</f>
        <v/>
      </c>
      <c r="H52" s="2" t="str">
        <f>IF(All_Questions_Q_GRID_EXPORT_CT="(None)","",IFERROR(INDEX(INDIRECT(IFERROR(INDEX(All_Questions_Options_Names,MATCH(All_Questions_Q_GRID_EXPORT_CT,All_Questions,0)),"'_Options'!$E$2:$E$2")),3),""))</f>
        <v/>
      </c>
      <c r="I52" s="2" t="str">
        <f>IF(All_Questions_Q_GRID_EXPORT_CT="(None)","",IFERROR(INDEX(INDIRECT(IFERROR(INDEX(All_Questions_Options_Names,MATCH(All_Questions_Q_GRID_EXPORT_CT,All_Questions,0)),"'_Options'!$E$2:$E$2")),4),""))</f>
        <v/>
      </c>
      <c r="J52" s="2" t="str">
        <f>IF(All_Questions_Q_GRID_EXPORT_CT="(None)","",IFERROR(INDEX(INDIRECT(IFERROR(INDEX(All_Questions_Options_Names,MATCH(All_Questions_Q_GRID_EXPORT_CT,All_Questions,0)),"'_Options'!$E$2:$E$2")),5),""))</f>
        <v/>
      </c>
      <c r="K52" s="2" t="str">
        <f>IF(All_Questions_Q_GRID_EXPORT_CT="(None)","",IFERROR(INDEX(INDIRECT(IFERROR(INDEX(All_Questions_Options_Names,MATCH(All_Questions_Q_GRID_EXPORT_CT,All_Questions,0)),"'_Options'!$E$2:$E$2")),6),""))</f>
        <v/>
      </c>
      <c r="L52" s="2" t="str">
        <f>IF(All_Questions_Q_GRID_EXPORT_CT="(None)","",IFERROR(INDEX(INDIRECT(IFERROR(INDEX(All_Questions_Options_Names,MATCH(All_Questions_Q_GRID_EXPORT_CT,All_Questions,0)),"'_Options'!$E$2:$E$2")),7),""))</f>
        <v/>
      </c>
      <c r="M52" s="2" t="str">
        <f>IF(All_Questions_Q_GRID_EXPORT_CT="(None)","",IFERROR(INDEX(INDIRECT(IFERROR(INDEX(All_Questions_Options_Names,MATCH(All_Questions_Q_GRID_EXPORT_CT,All_Questions,0)),"'_Options'!$E$2:$E$2")),8),""))</f>
        <v/>
      </c>
      <c r="N52" s="2" t="str">
        <f>IF(All_Questions_Q_GRID_EXPORT_CT="(None)","",IFERROR(INDEX(INDIRECT(IFERROR(INDEX(All_Questions_Options_Names,MATCH(All_Questions_Q_GRID_EXPORT_CT,All_Questions,0)),"'_Options'!$E$2:$E$2")),9),""))</f>
        <v/>
      </c>
      <c r="O52" s="2" t="str">
        <f>IF(All_Questions_Q_GRID_EXPORT_CT="(None)","",IFERROR(INDEX(INDIRECT(IFERROR(INDEX(All_Questions_Options_Names,MATCH(All_Questions_Q_GRID_EXPORT_CT,All_Questions,0)),"'_Options'!$E$2:$E$2")),10),""))</f>
        <v/>
      </c>
      <c r="P52" s="2" t="str">
        <f>IF(All_Questions_Q_GRID_EXPORT_CT="(None)","",IFERROR(INDEX(INDIRECT(IFERROR(INDEX(All_Questions_Options_Names,MATCH(All_Questions_Q_GRID_EXPORT_CT,All_Questions,0)),"'_Options'!$E$2:$E$2")),11),""))</f>
        <v/>
      </c>
      <c r="Q52" s="2" t="str">
        <f>IF(All_Questions_Q_GRID_EXPORT_CT="(None)","",IFERROR(INDEX(INDIRECT(IFERROR(INDEX(All_Questions_Options_Names,MATCH(All_Questions_Q_GRID_EXPORT_CT,All_Questions,0)),"'_Options'!$E$2:$E$2")),12),""))</f>
        <v/>
      </c>
      <c r="R5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2" s="4" t="inlineStr">
        <is>
          <t>Total</t>
        </is>
      </c>
    </row>
    <row r="53"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F54" t="inlineStr">
        <is>
          <t>Grid first row</t>
        </is>
      </c>
      <c r="G54" s="14">
        <f>IF(OR(All_Questions_Q_GRID_EXPORT_CT="(None)",G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$52))</f>
        <v>0</v>
      </c>
      <c r="H54" s="14">
        <f>IF(OR(All_Questions_Q_GRID_EXPORT_CT="(None)",H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$52))</f>
        <v>0</v>
      </c>
      <c r="I54" s="14">
        <f>IF(OR(All_Questions_Q_GRID_EXPORT_CT="(None)",I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$52))</f>
        <v>0</v>
      </c>
      <c r="J54" s="14">
        <f>IF(OR(All_Questions_Q_GRID_EXPORT_CT="(None)",J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$52))</f>
        <v>0</v>
      </c>
      <c r="K54" s="14">
        <f>IF(OR(All_Questions_Q_GRID_EXPORT_CT="(None)",K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$52))</f>
        <v>0</v>
      </c>
      <c r="L54" s="14">
        <f>IF(OR(All_Questions_Q_GRID_EXPORT_CT="(None)",L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$52))</f>
        <v>0</v>
      </c>
      <c r="M54" s="14">
        <f>IF(OR(All_Questions_Q_GRID_EXPORT_CT="(None)",M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$52))</f>
        <v>0</v>
      </c>
      <c r="N54" s="14">
        <f>IF(OR(All_Questions_Q_GRID_EXPORT_CT="(None)",N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$52))</f>
        <v>0</v>
      </c>
      <c r="O54" s="14">
        <f>IF(OR(All_Questions_Q_GRID_EXPORT_CT="(None)",O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$52))</f>
        <v>0</v>
      </c>
      <c r="P54" s="14">
        <f>IF(OR(All_Questions_Q_GRID_EXPORT_CT="(None)",P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$52))</f>
        <v>0</v>
      </c>
      <c r="Q54" s="14">
        <f>IF(OR(All_Questions_Q_GRID_EXPORT_CT="(None)",Q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$52))</f>
        <v>0</v>
      </c>
      <c r="R54" s="14">
        <f>IF(OR(All_Questions_Q_GRID_EXPORT_CT="(None)",R$52=""),"",IF(R$52="Other",COUNTIFS(Q_GRID_EXPORTr1_data,"Selected",passes_workbook_filters_data,1,passes_workbook_custom_filters_data,1,All_Questions_passes_local_filters_data,1,All_Questions_Q_GRID_EXPORT_F_passes_per_q_filter_data,1)-SUM(G54,H54,I54,J54,K54,L54,M54,N54,O54,P54,Q54)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$52)))</f>
        <v>0</v>
      </c>
      <c r="S5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5">
      <c r="F55" t="inlineStr">
        <is>
          <t>Grid second row</t>
        </is>
      </c>
      <c r="G55" s="14">
        <f>IF(OR(All_Questions_Q_GRID_EXPORT_CT="(None)",G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$52))</f>
        <v>0</v>
      </c>
      <c r="H55" s="14">
        <f>IF(OR(All_Questions_Q_GRID_EXPORT_CT="(None)",H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$52))</f>
        <v>0</v>
      </c>
      <c r="I55" s="14">
        <f>IF(OR(All_Questions_Q_GRID_EXPORT_CT="(None)",I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$52))</f>
        <v>0</v>
      </c>
      <c r="J55" s="14">
        <f>IF(OR(All_Questions_Q_GRID_EXPORT_CT="(None)",J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$52))</f>
        <v>0</v>
      </c>
      <c r="K55" s="14">
        <f>IF(OR(All_Questions_Q_GRID_EXPORT_CT="(None)",K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$52))</f>
        <v>0</v>
      </c>
      <c r="L55" s="14">
        <f>IF(OR(All_Questions_Q_GRID_EXPORT_CT="(None)",L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$52))</f>
        <v>0</v>
      </c>
      <c r="M55" s="14">
        <f>IF(OR(All_Questions_Q_GRID_EXPORT_CT="(None)",M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$52))</f>
        <v>0</v>
      </c>
      <c r="N55" s="14">
        <f>IF(OR(All_Questions_Q_GRID_EXPORT_CT="(None)",N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$52))</f>
        <v>0</v>
      </c>
      <c r="O55" s="14">
        <f>IF(OR(All_Questions_Q_GRID_EXPORT_CT="(None)",O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$52))</f>
        <v>0</v>
      </c>
      <c r="P55" s="14">
        <f>IF(OR(All_Questions_Q_GRID_EXPORT_CT="(None)",P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$52))</f>
        <v>0</v>
      </c>
      <c r="Q55" s="14">
        <f>IF(OR(All_Questions_Q_GRID_EXPORT_CT="(None)",Q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$52))</f>
        <v>0</v>
      </c>
      <c r="R55" s="14">
        <f>IF(OR(All_Questions_Q_GRID_EXPORT_CT="(None)",R$52=""),"",IF(R$52="Other",COUNTIFS(Q_GRID_EXPORTr2_data,"Selected",passes_workbook_filters_data,1,passes_workbook_custom_filters_data,1,All_Questions_passes_local_filters_data,1,All_Questions_Q_GRID_EXPORT_F_passes_per_q_filter_data,1)-SUM(G55,H55,I55,J55,K55,L55,M55,N55,O55,P55,Q55)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$52)))</f>
        <v>0</v>
      </c>
      <c r="S5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7"/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</row>
    <row r="59">
      <c r="A59" s="12" t="inlineStr">
        <is>
          <t>Q_VERY_LONG_SINGLE_SELECT_EXPORT_NAME - Long sheet name export question</t>
        </is>
      </c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</row>
    <row r="60">
      <c r="A60" s="13" t="inlineStr">
        <is>
          <t>Per-question filter</t>
        </is>
      </c>
      <c r="B60" t="inlineStr">
        <is>
          <t>Filter Q</t>
        </is>
      </c>
      <c r="C60" t="inlineStr">
        <is>
          <t>(None)</t>
        </is>
      </c>
      <c r="D60" t="inlineStr">
        <is>
          <t>Value</t>
        </is>
      </c>
      <c r="E60" t="inlineStr">
        <is>
          <t>(All)</t>
        </is>
      </c>
      <c r="F60" t="str">
        <f>IFERROR(INDEX(All_Questions_Data_Names,MATCH(All_Questions_Q_VERY_LONG_SINGLE_SELECT_EXPORT_NAME_F_Q,All_Questions,0)),"'_RawData'!$A:$A")</f>
        <v>respondent_id_data</v>
      </c>
      <c r="G60" t="str">
        <f>"|" &amp; SUBSTITUTE(All_Questions_Q_VERY_LONG_SINGLE_SELECT_EXPORT_NAME_F_V, ", ", "|") &amp; "|"</f>
        <v>|(All)|</v>
      </c>
    </row>
    <row r="61">
      <c r="A61" s="13" t="inlineStr">
        <is>
          <t>Cross-tab by</t>
        </is>
      </c>
      <c r="C61" t="inlineStr">
        <is>
          <t>(None)</t>
        </is>
      </c>
    </row>
    <row r="62"/>
    <row r="63">
      <c r="A63" s="4" t="inlineStr">
        <is>
          <t>Option</t>
        </is>
      </c>
      <c r="B63" s="4" t="inlineStr">
        <is>
          <t>Count</t>
        </is>
      </c>
      <c r="C63" s="4" t="inlineStr">
        <is>
          <t>%</t>
        </is>
      </c>
      <c r="D63" s="4" t="inlineStr">
        <is>
          <t>Denominator</t>
        </is>
      </c>
      <c r="F63" s="4" t="inlineStr">
        <is>
          <t>Option</t>
        </is>
      </c>
      <c r="G6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3" s="4" t="inlineStr">
        <is>
          <t>Total</t>
        </is>
      </c>
    </row>
    <row r="64">
      <c r="A64" t="inlineStr">
        <is>
          <t>A</t>
        </is>
      </c>
      <c r="B6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4" s="7">
        <f>IFERROR(B64/SUBTOTAL(9,B64:B65),0)</f>
        <v>0.7</v>
      </c>
      <c r="D64" s="14">
        <f>SUBTOTAL(9,B64:B65)</f>
        <v>10</v>
      </c>
      <c r="F64" s="4" t="inlineStr"/>
      <c r="G64" s="4" t="inlineStr">
        <is>
          <t># of resp</t>
        </is>
      </c>
      <c r="H64" s="4" t="inlineStr">
        <is>
          <t># of resp</t>
        </is>
      </c>
      <c r="I64" s="4" t="inlineStr">
        <is>
          <t># of resp</t>
        </is>
      </c>
      <c r="J64" s="4" t="inlineStr">
        <is>
          <t># of resp</t>
        </is>
      </c>
      <c r="K64" s="4" t="inlineStr">
        <is>
          <t># of resp</t>
        </is>
      </c>
      <c r="L64" s="4" t="inlineStr">
        <is>
          <t># of resp</t>
        </is>
      </c>
      <c r="M64" s="4" t="inlineStr">
        <is>
          <t># of resp</t>
        </is>
      </c>
      <c r="N64" s="4" t="inlineStr">
        <is>
          <t># of resp</t>
        </is>
      </c>
      <c r="O64" s="4" t="inlineStr">
        <is>
          <t># of resp</t>
        </is>
      </c>
      <c r="P64" s="4" t="inlineStr">
        <is>
          <t># of resp</t>
        </is>
      </c>
      <c r="Q64" s="4" t="inlineStr">
        <is>
          <t># of resp</t>
        </is>
      </c>
      <c r="R64" s="4" t="inlineStr">
        <is>
          <t># of resp</t>
        </is>
      </c>
      <c r="S64" s="4" t="inlineStr">
        <is>
          <t># of resp</t>
        </is>
      </c>
    </row>
    <row r="65">
      <c r="A65" t="inlineStr">
        <is>
          <t>B</t>
        </is>
      </c>
      <c r="B6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5" s="7">
        <f>IFERROR(B65/SUBTOTAL(9,B64:B65),0)</f>
        <v>0.3</v>
      </c>
      <c r="D65" s="14">
        <f>SUBTOTAL(9,B64:B65)</f>
        <v>10</v>
      </c>
      <c r="F65" t="inlineStr">
        <is>
          <t>A</t>
        </is>
      </c>
      <c r="G65" s="14">
        <f>IF(OR(All_Questions_Q_VERY_LONG_SINGLE_SELECT_EXPORT_NAME_CT="(None)",G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$63))</f>
        <v>0</v>
      </c>
      <c r="H65" s="14">
        <f>IF(OR(All_Questions_Q_VERY_LONG_SINGLE_SELECT_EXPORT_NAME_CT="(None)",H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$63))</f>
        <v>0</v>
      </c>
      <c r="I65" s="14">
        <f>IF(OR(All_Questions_Q_VERY_LONG_SINGLE_SELECT_EXPORT_NAME_CT="(None)",I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$63))</f>
        <v>0</v>
      </c>
      <c r="J65" s="14">
        <f>IF(OR(All_Questions_Q_VERY_LONG_SINGLE_SELECT_EXPORT_NAME_CT="(None)",J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$63))</f>
        <v>0</v>
      </c>
      <c r="K65" s="14">
        <f>IF(OR(All_Questions_Q_VERY_LONG_SINGLE_SELECT_EXPORT_NAME_CT="(None)",K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$63))</f>
        <v>0</v>
      </c>
      <c r="L65" s="14">
        <f>IF(OR(All_Questions_Q_VERY_LONG_SINGLE_SELECT_EXPORT_NAME_CT="(None)",L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$63))</f>
        <v>0</v>
      </c>
      <c r="M65" s="14">
        <f>IF(OR(All_Questions_Q_VERY_LONG_SINGLE_SELECT_EXPORT_NAME_CT="(None)",M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$63))</f>
        <v>0</v>
      </c>
      <c r="N65" s="14">
        <f>IF(OR(All_Questions_Q_VERY_LONG_SINGLE_SELECT_EXPORT_NAME_CT="(None)",N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$63))</f>
        <v>0</v>
      </c>
      <c r="O65" s="14">
        <f>IF(OR(All_Questions_Q_VERY_LONG_SINGLE_SELECT_EXPORT_NAME_CT="(None)",O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$63))</f>
        <v>0</v>
      </c>
      <c r="P65" s="14">
        <f>IF(OR(All_Questions_Q_VERY_LONG_SINGLE_SELECT_EXPORT_NAME_CT="(None)",P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$63))</f>
        <v>0</v>
      </c>
      <c r="Q65" s="14">
        <f>IF(OR(All_Questions_Q_VERY_LONG_SINGLE_SELECT_EXPORT_NAME_CT="(None)",Q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$63))</f>
        <v>0</v>
      </c>
      <c r="R65" s="14">
        <f>IF(OR(All_Questions_Q_VERY_LONG_SINGLE_SELECT_EXPORT_NAME_CT="(None)",R$63=""),"",IF(R$63="Other",COUNTIFS(Q_VERY_LONG_SINGLE_SELECT_EXPOR_data,"A",passes_workbook_filters_data,1,passes_workbook_custom_filters_data,1,All_Questions_passes_local_filters_data,1,All_Questions_Q_VERY_LONG_SINGLE_SELECT_EXPORT_NAME_F_passes_per_q_filter_data,1)-SUM(G65,H65,I65,J65,K65,L65,M65,N65,O65,P65,Q65)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$63)))</f>
        <v>0</v>
      </c>
      <c r="S6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6">
      <c r="A66" s="15" t="inlineStr">
        <is>
          <t>Total respondents</t>
        </is>
      </c>
      <c r="B66" s="15" t="n">
        <v>10</v>
      </c>
      <c r="C66" s="15" t="n"/>
      <c r="D66" s="15" t="n"/>
      <c r="F66" t="inlineStr">
        <is>
          <t>B</t>
        </is>
      </c>
      <c r="G66" s="14">
        <f>IF(OR(All_Questions_Q_VERY_LONG_SINGLE_SELECT_EXPORT_NAME_CT="(None)",G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$63))</f>
        <v>0</v>
      </c>
      <c r="H66" s="14">
        <f>IF(OR(All_Questions_Q_VERY_LONG_SINGLE_SELECT_EXPORT_NAME_CT="(None)",H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$63))</f>
        <v>0</v>
      </c>
      <c r="I66" s="14">
        <f>IF(OR(All_Questions_Q_VERY_LONG_SINGLE_SELECT_EXPORT_NAME_CT="(None)",I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$63))</f>
        <v>0</v>
      </c>
      <c r="J66" s="14">
        <f>IF(OR(All_Questions_Q_VERY_LONG_SINGLE_SELECT_EXPORT_NAME_CT="(None)",J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$63))</f>
        <v>0</v>
      </c>
      <c r="K66" s="14">
        <f>IF(OR(All_Questions_Q_VERY_LONG_SINGLE_SELECT_EXPORT_NAME_CT="(None)",K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$63))</f>
        <v>0</v>
      </c>
      <c r="L66" s="14">
        <f>IF(OR(All_Questions_Q_VERY_LONG_SINGLE_SELECT_EXPORT_NAME_CT="(None)",L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$63))</f>
        <v>0</v>
      </c>
      <c r="M66" s="14">
        <f>IF(OR(All_Questions_Q_VERY_LONG_SINGLE_SELECT_EXPORT_NAME_CT="(None)",M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$63))</f>
        <v>0</v>
      </c>
      <c r="N66" s="14">
        <f>IF(OR(All_Questions_Q_VERY_LONG_SINGLE_SELECT_EXPORT_NAME_CT="(None)",N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$63))</f>
        <v>0</v>
      </c>
      <c r="O66" s="14">
        <f>IF(OR(All_Questions_Q_VERY_LONG_SINGLE_SELECT_EXPORT_NAME_CT="(None)",O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$63))</f>
        <v>0</v>
      </c>
      <c r="P66" s="14">
        <f>IF(OR(All_Questions_Q_VERY_LONG_SINGLE_SELECT_EXPORT_NAME_CT="(None)",P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$63))</f>
        <v>0</v>
      </c>
      <c r="Q66" s="14">
        <f>IF(OR(All_Questions_Q_VERY_LONG_SINGLE_SELECT_EXPORT_NAME_CT="(None)",Q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$63))</f>
        <v>0</v>
      </c>
      <c r="R66" s="14">
        <f>IF(OR(All_Questions_Q_VERY_LONG_SINGLE_SELECT_EXPORT_NAME_CT="(None)",R$63=""),"",IF(R$63="Other",COUNTIFS(Q_VERY_LONG_SINGLE_SELECT_EXPOR_data,"B",passes_workbook_filters_data,1,passes_workbook_custom_filters_data,1,All_Questions_passes_local_filters_data,1,All_Questions_Q_VERY_LONG_SINGLE_SELECT_EXPORT_NAME_F_passes_per_q_filter_data,1)-SUM(G66,H66,I66,J66,K66,L66,M66,N66,O66,P66,Q66)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$63)))</f>
        <v>0</v>
      </c>
      <c r="S6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7">
      <c r="F67" s="4" t="inlineStr">
        <is>
          <t>Total respondents</t>
        </is>
      </c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5:F45"/>
    <mergeCell ref="A1:J1"/>
    <mergeCell ref="C45:D45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7:D48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7:F48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4:B65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4:C65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5:G66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5:H66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5:I66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5:J66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5:K66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5:L66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5:M66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5:N66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5:O66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5:P66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5:Q66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5:R66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42" showDropDown="0" showInputMessage="0" showErrorMessage="0" allowBlank="1" type="list">
      <formula1>=All_Questions</formula1>
    </dataValidation>
    <dataValidation sqref="E4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3" showDropDown="0" showInputMessage="0" showErrorMessage="0" allowBlank="1" type="list">
      <formula1>=All_Questions</formula1>
    </dataValidation>
    <dataValidation sqref="C60" showDropDown="0" showInputMessage="0" showErrorMessage="0" allowBlank="1" type="list">
      <formula1>=All_Questions</formula1>
    </dataValidation>
    <dataValidation sqref="E6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61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G$17</t>
        </is>
      </c>
      <c r="H9">
        <f>IF(OR(All_Questions_Q_MS_EXPORT_CT="(None)",G$17=""),"",IF(G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$17)),"")))</f>
        <v>0</v>
      </c>
      <c r="I9" t="n">
        <v>0.5</v>
      </c>
      <c r="J9" t="n">
        <v>0</v>
      </c>
      <c r="K9" t="n">
        <v>0</v>
      </c>
      <c r="L9" t="inlineStr">
        <is>
          <t>2026-06-08T08:49:39.443149+00:00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H$17</t>
        </is>
      </c>
      <c r="H10">
        <f>IF(OR(All_Questions_Q_MS_EXPORT_CT="(None)",H$17=""),"",IF(H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$17)),"")))</f>
        <v>0</v>
      </c>
      <c r="I10" t="n">
        <v>0.5</v>
      </c>
      <c r="J10" t="n">
        <v>0</v>
      </c>
      <c r="K10" t="n">
        <v>0</v>
      </c>
      <c r="L10" t="inlineStr">
        <is>
          <t>2026-06-08T08:49:39.443390+00:00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I$17</t>
        </is>
      </c>
      <c r="H11">
        <f>IF(OR(All_Questions_Q_MS_EXPORT_CT="(None)",I$17=""),"",IF(I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$17)),"")))</f>
        <v>0</v>
      </c>
      <c r="I11" t="n">
        <v>0.5</v>
      </c>
      <c r="J11" t="n">
        <v>0</v>
      </c>
      <c r="K11" t="n">
        <v>0</v>
      </c>
      <c r="L11" t="inlineStr">
        <is>
          <t>2026-06-08T08:49:39.443590+00:00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J$17</t>
        </is>
      </c>
      <c r="H12">
        <f>IF(OR(All_Questions_Q_MS_EXPORT_CT="(None)",J$17=""),"",IF(J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$17)),"")))</f>
        <v>0</v>
      </c>
      <c r="I12" t="n">
        <v>0.5</v>
      </c>
      <c r="J12" t="n">
        <v>0</v>
      </c>
      <c r="K12" t="n">
        <v>0</v>
      </c>
      <c r="L12" t="inlineStr">
        <is>
          <t>2026-06-08T08:49:39.443782+00:00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K$17</t>
        </is>
      </c>
      <c r="H13">
        <f>IF(OR(All_Questions_Q_MS_EXPORT_CT="(None)",K$17=""),"",IF(K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$17)),"")))</f>
        <v>0</v>
      </c>
      <c r="I13" t="n">
        <v>0.5</v>
      </c>
      <c r="J13" t="n">
        <v>0</v>
      </c>
      <c r="K13" t="n">
        <v>0</v>
      </c>
      <c r="L13" t="inlineStr">
        <is>
          <t>2026-06-08T08:49:39.443998+00:00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L$17</t>
        </is>
      </c>
      <c r="H14">
        <f>IF(OR(All_Questions_Q_MS_EXPORT_CT="(None)",L$17=""),"",IF(L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$17)),"")))</f>
        <v>0</v>
      </c>
      <c r="I14" t="n">
        <v>0.5</v>
      </c>
      <c r="J14" t="n">
        <v>0</v>
      </c>
      <c r="K14" t="n">
        <v>0</v>
      </c>
      <c r="L14" t="inlineStr">
        <is>
          <t>2026-06-08T08:49:39.444228+00:00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M$17</t>
        </is>
      </c>
      <c r="H15">
        <f>IF(OR(All_Questions_Q_MS_EXPORT_CT="(None)",M$17=""),"",IF(M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$17)),"")))</f>
        <v>0</v>
      </c>
      <c r="I15" t="n">
        <v>0.5</v>
      </c>
      <c r="J15" t="n">
        <v>0</v>
      </c>
      <c r="K15" t="n">
        <v>0</v>
      </c>
      <c r="L15" t="inlineStr">
        <is>
          <t>2026-06-08T08:49:39.444425+00:00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N$17</t>
        </is>
      </c>
      <c r="H16">
        <f>IF(OR(All_Questions_Q_MS_EXPORT_CT="(None)",N$17=""),"",IF(N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$17)),"")))</f>
        <v>0</v>
      </c>
      <c r="I16" t="n">
        <v>0.5</v>
      </c>
      <c r="J16" t="n">
        <v>0</v>
      </c>
      <c r="K16" t="n">
        <v>0</v>
      </c>
      <c r="L16" t="inlineStr">
        <is>
          <t>2026-06-08T08:49:39.444616+00:00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O$17</t>
        </is>
      </c>
      <c r="H17">
        <f>IF(OR(All_Questions_Q_MS_EXPORT_CT="(None)",O$17=""),"",IF(O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$17)),"")))</f>
        <v>0</v>
      </c>
      <c r="I17" t="n">
        <v>0.5</v>
      </c>
      <c r="J17" t="n">
        <v>0</v>
      </c>
      <c r="K17" t="n">
        <v>0</v>
      </c>
      <c r="L17" t="inlineStr">
        <is>
          <t>2026-06-08T08:49:39.444806+00:00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P$17</t>
        </is>
      </c>
      <c r="H18">
        <f>IF(OR(All_Questions_Q_MS_EXPORT_CT="(None)",P$17=""),"",IF(P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$17)),"")))</f>
        <v>0</v>
      </c>
      <c r="I18" t="n">
        <v>0.5</v>
      </c>
      <c r="J18" t="n">
        <v>0</v>
      </c>
      <c r="K18" t="n">
        <v>0</v>
      </c>
      <c r="L18" t="inlineStr">
        <is>
          <t>2026-06-08T08:49:39.445025+00:00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Q$17</t>
        </is>
      </c>
      <c r="H19">
        <f>IF(OR(All_Questions_Q_MS_EXPORT_CT="(None)",Q$17=""),"",IF(Q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$17)),"")))</f>
        <v>0</v>
      </c>
      <c r="I19" t="n">
        <v>0.5</v>
      </c>
      <c r="J19" t="n">
        <v>0</v>
      </c>
      <c r="K19" t="n">
        <v>0</v>
      </c>
      <c r="L19" t="inlineStr">
        <is>
          <t>2026-06-08T08:49:39.445253+00:00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R$17</t>
        </is>
      </c>
      <c r="H20">
        <f>IF(OR(All_Questions_Q_MS_EXPORT_CT="(None)",R$17=""),"",IF(R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$17)),"")))</f>
        <v>0</v>
      </c>
      <c r="I20" t="n">
        <v>0.5</v>
      </c>
      <c r="J20" t="n">
        <v>0</v>
      </c>
      <c r="K20" t="n">
        <v>0</v>
      </c>
      <c r="L20" t="inlineStr">
        <is>
          <t>2026-06-08T08:49:39.445503+00:00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G$17</t>
        </is>
      </c>
      <c r="H21">
        <f>IF(OR(All_Questions_Q_MS_EXPORT_CT="(None)",G$17=""),"",IF(G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$17)),"")))</f>
        <v>0</v>
      </c>
      <c r="I21" t="n">
        <v>0.2</v>
      </c>
      <c r="J21" t="n">
        <v>0</v>
      </c>
      <c r="K21" t="n">
        <v>0</v>
      </c>
      <c r="L21" t="inlineStr">
        <is>
          <t>2026-06-08T08:49:39.445845+00:00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H$17</t>
        </is>
      </c>
      <c r="H22">
        <f>IF(OR(All_Questions_Q_MS_EXPORT_CT="(None)",H$17=""),"",IF(H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$17)),"")))</f>
        <v>0</v>
      </c>
      <c r="I22" t="n">
        <v>0.2</v>
      </c>
      <c r="J22" t="n">
        <v>0</v>
      </c>
      <c r="K22" t="n">
        <v>0</v>
      </c>
      <c r="L22" t="inlineStr">
        <is>
          <t>2026-06-08T08:49:39.446061+00:00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I$17</t>
        </is>
      </c>
      <c r="H23">
        <f>IF(OR(All_Questions_Q_MS_EXPORT_CT="(None)",I$17=""),"",IF(I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$17)),"")))</f>
        <v>0</v>
      </c>
      <c r="I23" t="n">
        <v>0.2</v>
      </c>
      <c r="J23" t="n">
        <v>0</v>
      </c>
      <c r="K23" t="n">
        <v>0</v>
      </c>
      <c r="L23" t="inlineStr">
        <is>
          <t>2026-06-08T08:49:39.446287+00:00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J$17</t>
        </is>
      </c>
      <c r="H24">
        <f>IF(OR(All_Questions_Q_MS_EXPORT_CT="(None)",J$17=""),"",IF(J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$17)),"")))</f>
        <v>0</v>
      </c>
      <c r="I24" t="n">
        <v>0.2</v>
      </c>
      <c r="J24" t="n">
        <v>0</v>
      </c>
      <c r="K24" t="n">
        <v>0</v>
      </c>
      <c r="L24" t="inlineStr">
        <is>
          <t>2026-06-08T08:49:39.446520+00:00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K$17</t>
        </is>
      </c>
      <c r="H25">
        <f>IF(OR(All_Questions_Q_MS_EXPORT_CT="(None)",K$17=""),"",IF(K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$17)),"")))</f>
        <v>0</v>
      </c>
      <c r="I25" t="n">
        <v>0.2</v>
      </c>
      <c r="J25" t="n">
        <v>0</v>
      </c>
      <c r="K25" t="n">
        <v>0</v>
      </c>
      <c r="L25" t="inlineStr">
        <is>
          <t>2026-06-08T08:49:39.446715+00:00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L$17</t>
        </is>
      </c>
      <c r="H26">
        <f>IF(OR(All_Questions_Q_MS_EXPORT_CT="(None)",L$17=""),"",IF(L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$17)),"")))</f>
        <v>0</v>
      </c>
      <c r="I26" t="n">
        <v>0.2</v>
      </c>
      <c r="J26" t="n">
        <v>0</v>
      </c>
      <c r="K26" t="n">
        <v>0</v>
      </c>
      <c r="L26" t="inlineStr">
        <is>
          <t>2026-06-08T08:49:39.446903+00:00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M$17</t>
        </is>
      </c>
      <c r="H27">
        <f>IF(OR(All_Questions_Q_MS_EXPORT_CT="(None)",M$17=""),"",IF(M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$17)),"")))</f>
        <v>0</v>
      </c>
      <c r="I27" t="n">
        <v>0.2</v>
      </c>
      <c r="J27" t="n">
        <v>0</v>
      </c>
      <c r="K27" t="n">
        <v>0</v>
      </c>
      <c r="L27" t="inlineStr">
        <is>
          <t>2026-06-08T08:49:39.447143+00:00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N$17</t>
        </is>
      </c>
      <c r="H28">
        <f>IF(OR(All_Questions_Q_MS_EXPORT_CT="(None)",N$17=""),"",IF(N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$17)),"")))</f>
        <v>0</v>
      </c>
      <c r="I28" t="n">
        <v>0.2</v>
      </c>
      <c r="J28" t="n">
        <v>0</v>
      </c>
      <c r="K28" t="n">
        <v>0</v>
      </c>
      <c r="L28" t="inlineStr">
        <is>
          <t>2026-06-08T08:49:39.447351+00:00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O$17</t>
        </is>
      </c>
      <c r="H29">
        <f>IF(OR(All_Questions_Q_MS_EXPORT_CT="(None)",O$17=""),"",IF(O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$17)),"")))</f>
        <v>0</v>
      </c>
      <c r="I29" t="n">
        <v>0.2</v>
      </c>
      <c r="J29" t="n">
        <v>0</v>
      </c>
      <c r="K29" t="n">
        <v>0</v>
      </c>
      <c r="L29" t="inlineStr">
        <is>
          <t>2026-06-08T08:49:39.447545+00:00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P$17</t>
        </is>
      </c>
      <c r="H30">
        <f>IF(OR(All_Questions_Q_MS_EXPORT_CT="(None)",P$17=""),"",IF(P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$17)),"")))</f>
        <v>0</v>
      </c>
      <c r="I30" t="n">
        <v>0.2</v>
      </c>
      <c r="J30" t="n">
        <v>0</v>
      </c>
      <c r="K30" t="n">
        <v>0</v>
      </c>
      <c r="L30" t="inlineStr">
        <is>
          <t>2026-06-08T08:49:39.447738+00:00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Q$17</t>
        </is>
      </c>
      <c r="H31">
        <f>IF(OR(All_Questions_Q_MS_EXPORT_CT="(None)",Q$17=""),"",IF(Q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$17)),"")))</f>
        <v>0</v>
      </c>
      <c r="I31" t="n">
        <v>0.2</v>
      </c>
      <c r="J31" t="n">
        <v>0</v>
      </c>
      <c r="K31" t="n">
        <v>0</v>
      </c>
      <c r="L31" t="inlineStr">
        <is>
          <t>2026-06-08T08:49:39.447948+00:00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R$17</t>
        </is>
      </c>
      <c r="H32">
        <f>IF(OR(All_Questions_Q_MS_EXPORT_CT="(None)",R$17=""),"",IF(R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$17)),"")))</f>
        <v>0</v>
      </c>
      <c r="I32" t="n">
        <v>0.2</v>
      </c>
      <c r="J32" t="n">
        <v>0</v>
      </c>
      <c r="K32" t="n">
        <v>0</v>
      </c>
      <c r="L32" t="inlineStr">
        <is>
          <t>2026-06-08T08:49:39.448229+00:00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G$35</t>
        </is>
      </c>
      <c r="H33">
        <f>IF(OR(All_Questions_Q_NUM_EXPORT_CT="(None)",G$35=""),"",IF(G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$35),"")))</f>
        <v>0</v>
      </c>
      <c r="I33" t="n">
        <v>5.5</v>
      </c>
      <c r="J33" t="n">
        <v>0</v>
      </c>
      <c r="K33" t="n">
        <v>0</v>
      </c>
      <c r="L33" t="inlineStr">
        <is>
          <t>2026-06-08T08:49:39.467227+00:00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H$35</t>
        </is>
      </c>
      <c r="H34">
        <f>IF(OR(All_Questions_Q_NUM_EXPORT_CT="(None)",H$35=""),"",IF(H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$35),"")))</f>
        <v>0</v>
      </c>
      <c r="I34" t="n">
        <v>5.5</v>
      </c>
      <c r="J34" t="n">
        <v>0</v>
      </c>
      <c r="K34" t="n">
        <v>0</v>
      </c>
      <c r="L34" t="inlineStr">
        <is>
          <t>2026-06-08T08:49:39.467387+00:00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I$35</t>
        </is>
      </c>
      <c r="H35">
        <f>IF(OR(All_Questions_Q_NUM_EXPORT_CT="(None)",I$35=""),"",IF(I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$35),"")))</f>
        <v>0</v>
      </c>
      <c r="I35" t="n">
        <v>5.5</v>
      </c>
      <c r="J35" t="n">
        <v>0</v>
      </c>
      <c r="K35" t="n">
        <v>0</v>
      </c>
      <c r="L35" t="inlineStr">
        <is>
          <t>2026-06-08T08:49:39.467529+00:00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J$35</t>
        </is>
      </c>
      <c r="H36">
        <f>IF(OR(All_Questions_Q_NUM_EXPORT_CT="(None)",J$35=""),"",IF(J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$35),"")))</f>
        <v>0</v>
      </c>
      <c r="I36" t="n">
        <v>5.5</v>
      </c>
      <c r="J36" t="n">
        <v>0</v>
      </c>
      <c r="K36" t="n">
        <v>0</v>
      </c>
      <c r="L36" t="inlineStr">
        <is>
          <t>2026-06-08T08:49:39.467665+00:00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K$35</t>
        </is>
      </c>
      <c r="H37">
        <f>IF(OR(All_Questions_Q_NUM_EXPORT_CT="(None)",K$35=""),"",IF(K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$35),"")))</f>
        <v>0</v>
      </c>
      <c r="I37" t="n">
        <v>5.5</v>
      </c>
      <c r="J37" t="n">
        <v>0</v>
      </c>
      <c r="K37" t="n">
        <v>0</v>
      </c>
      <c r="L37" t="inlineStr">
        <is>
          <t>2026-06-08T08:49:39.467801+00:00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L$35</t>
        </is>
      </c>
      <c r="H38">
        <f>IF(OR(All_Questions_Q_NUM_EXPORT_CT="(None)",L$35=""),"",IF(L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$35),"")))</f>
        <v>0</v>
      </c>
      <c r="I38" t="n">
        <v>5.5</v>
      </c>
      <c r="J38" t="n">
        <v>0</v>
      </c>
      <c r="K38" t="n">
        <v>0</v>
      </c>
      <c r="L38" t="inlineStr">
        <is>
          <t>2026-06-08T08:49:39.467953+00:00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M$35</t>
        </is>
      </c>
      <c r="H39">
        <f>IF(OR(All_Questions_Q_NUM_EXPORT_CT="(None)",M$35=""),"",IF(M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$35),"")))</f>
        <v>0</v>
      </c>
      <c r="I39" t="n">
        <v>5.5</v>
      </c>
      <c r="J39" t="n">
        <v>0</v>
      </c>
      <c r="K39" t="n">
        <v>0</v>
      </c>
      <c r="L39" t="inlineStr">
        <is>
          <t>2026-06-08T08:49:39.468095+00:00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N$35</t>
        </is>
      </c>
      <c r="H40">
        <f>IF(OR(All_Questions_Q_NUM_EXPORT_CT="(None)",N$35=""),"",IF(N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$35),"")))</f>
        <v>0</v>
      </c>
      <c r="I40" t="n">
        <v>5.5</v>
      </c>
      <c r="J40" t="n">
        <v>0</v>
      </c>
      <c r="K40" t="n">
        <v>0</v>
      </c>
      <c r="L40" t="inlineStr">
        <is>
          <t>2026-06-08T08:49:39.468264+00:00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O$35</t>
        </is>
      </c>
      <c r="H41">
        <f>IF(OR(All_Questions_Q_NUM_EXPORT_CT="(None)",O$35=""),"",IF(O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$35),"")))</f>
        <v>0</v>
      </c>
      <c r="I41" t="n">
        <v>5.5</v>
      </c>
      <c r="J41" t="n">
        <v>0</v>
      </c>
      <c r="K41" t="n">
        <v>0</v>
      </c>
      <c r="L41" t="inlineStr">
        <is>
          <t>2026-06-08T08:49:39.468398+00:00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P$35</t>
        </is>
      </c>
      <c r="H42">
        <f>IF(OR(All_Questions_Q_NUM_EXPORT_CT="(None)",P$35=""),"",IF(P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$35),"")))</f>
        <v>0</v>
      </c>
      <c r="I42" t="n">
        <v>5.5</v>
      </c>
      <c r="J42" t="n">
        <v>0</v>
      </c>
      <c r="K42" t="n">
        <v>0</v>
      </c>
      <c r="L42" t="inlineStr">
        <is>
          <t>2026-06-08T08:49:39.468528+00:00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Q$35</t>
        </is>
      </c>
      <c r="H43">
        <f>IF(OR(All_Questions_Q_NUM_EXPORT_CT="(None)",Q$35=""),"",IF(Q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$35),"")))</f>
        <v>0</v>
      </c>
      <c r="I43" t="n">
        <v>5.5</v>
      </c>
      <c r="J43" t="n">
        <v>0</v>
      </c>
      <c r="K43" t="n">
        <v>0</v>
      </c>
      <c r="L43" t="inlineStr">
        <is>
          <t>2026-06-08T08:49:39.468658+00:00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R$35</t>
        </is>
      </c>
      <c r="H44">
        <f>IF(OR(All_Questions_Q_NUM_EXPORT_CT="(None)",R$35=""),"",IF(R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$35),"")))</f>
        <v>0</v>
      </c>
      <c r="I44" t="n">
        <v>5.5</v>
      </c>
      <c r="J44" t="n">
        <v>0</v>
      </c>
      <c r="K44" t="n">
        <v>0</v>
      </c>
      <c r="L44" t="inlineStr">
        <is>
          <t>2026-06-08T08:49:39.468845+00:00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2026-06-08T08:49:39Z</dcterms:created>
  <dcterms:modified xmlns:dcterms="http://purl.org/dc/terms/" xmlns:xsi="http://www.w3.org/2001/XMLSchema-instance" xsi:type="dcterms:W3CDTF">2026-06-08T08:49:39Z</dcterms:modified>
</cp:coreProperties>
</file>