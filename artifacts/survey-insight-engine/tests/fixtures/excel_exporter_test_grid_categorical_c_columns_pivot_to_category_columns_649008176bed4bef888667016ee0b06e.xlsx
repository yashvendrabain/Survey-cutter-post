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'_RawData'!$A$2:$A$7</definedName>
    <definedName name="Q26r1c1_data">'_RawData'!$B$2:$B$7</definedName>
    <definedName name="Q26r1c2_data">'_RawData'!$C$2:$C$7</definedName>
    <definedName name="Q26r1c3_data">'_RawData'!$D$2:$D$7</definedName>
    <definedName name="Q26r2c1_data">'_RawData'!$E$2:$E$7</definedName>
    <definedName name="Q26r2c2_data">'_RawData'!$F$2:$F$7</definedName>
    <definedName name="Q26r2c3_data">'_RawData'!$G$2:$G$7</definedName>
    <definedName name="All_Questions">'_Options'!$A$2:$A$8</definedName>
    <definedName name="All_Questions_Local">'_Options'!$B$2:$B$9</definedName>
    <definedName name="None_options">'_Options'!$E$2:$E$2</definedName>
    <definedName name="Q26r1c1_options">'_Options'!$F$2:$F$3</definedName>
    <definedName name="Q26r1c1_local_options">'_Options'!$L$2:$L$4</definedName>
    <definedName name="Q26r1c2_options">'_Options'!$G$2:$G$3</definedName>
    <definedName name="Q26r1c2_local_options">'_Options'!$M$2:$M$4</definedName>
    <definedName name="Q26r1c3_options">'_Options'!$H$2:$H$3</definedName>
    <definedName name="Q26r1c3_local_options">'_Options'!$N$2:$N$4</definedName>
    <definedName name="Q26r2c1_options">'_Options'!$I$2:$I$3</definedName>
    <definedName name="Q26r2c1_local_options">'_Options'!$O$2:$O$4</definedName>
    <definedName name="Q26r2c2_options">'_Options'!$J$2:$J$3</definedName>
    <definedName name="Q26r2c2_local_options">'_Options'!$P$2:$P$4</definedName>
    <definedName name="Q26r2c3_options">'_Options'!$K$2:$K$3</definedName>
    <definedName name="Q26r2c3_local_options">'_Options'!$Q$2:$Q$4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'_RawData'!$H$2:$H$7</definedName>
    <definedName name="F_Custom1_match_data">'_RawData'!$I$2:$I$7</definedName>
    <definedName name="F_Custom2_match_data">'_RawData'!$J$2:$J$7</definedName>
    <definedName name="passes_workbook_custom_filters_data">'_RawData'!$K$2:$K$7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'_RawData'!$L$2:$L$7</definedName>
    <definedName name="All_Questions_Q26_F_Q">'All Questions'!$C$13</definedName>
    <definedName name="All_Questions_Q26_F_V">'All Questions'!$E$13</definedName>
    <definedName name="All_Questions_Q26_F_resolved_column">'All Questions'!$F$13</definedName>
    <definedName name="All_Questions_Q26_F_wrapped">'All Questions'!$G$13</definedName>
    <definedName name="All_Questions_Q26_F_passes_per_q_filter_data">'_RawData'!$M$2:$M$7</definedName>
    <definedName name="All_Questions_Q26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H6" i="1"/>
  <c r="I6" i="1"/>
  <c r="J6" i="1"/>
  <c r="K6" i="1"/>
  <c r="L6" i="1"/>
  <c r="M6" i="1"/>
  <c r="H7" i="1"/>
  <c r="I7" i="1"/>
  <c r="J7" i="1"/>
  <c r="K7" i="1"/>
  <c r="L7" i="1"/>
  <c r="M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Q26r1c1</t>
        </is>
      </c>
      <c r="C1" t="inlineStr">
        <is>
          <t>Q26r1c2</t>
        </is>
      </c>
      <c r="D1" t="inlineStr">
        <is>
          <t>Q26r1c3</t>
        </is>
      </c>
      <c r="E1" t="inlineStr">
        <is>
          <t>Q26r2c1</t>
        </is>
      </c>
      <c r="F1" t="inlineStr">
        <is>
          <t>Q26r2c2</t>
        </is>
      </c>
      <c r="G1" t="inlineStr">
        <is>
          <t>Q26r2c3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All_Questions_Q26_F_passes_per_q_filter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D2" t="inlineStr">
        <is>
          <t>Selected</t>
        </is>
      </c>
      <c r="E2" t="inlineStr">
        <is>
          <t>Selected</t>
        </is>
      </c>
      <c r="F2" t="inlineStr">
        <is>
          <t>Selected</t>
        </is>
      </c>
      <c r="G2" t="inlineStr">
        <is>
          <t>Selected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1)&amp;"|",All_Questions_Q26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D3" t="inlineStr">
        <is>
          <t>Selected</t>
        </is>
      </c>
      <c r="F3" t="inlineStr">
        <is>
          <t>Selected</t>
        </is>
      </c>
      <c r="G3" t="inlineStr">
        <is>
          <t>Selected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2)&amp;"|",All_Questions_Q26_F_wrapped)),1,0),0))*1</f>
        <v>1</v>
      </c>
    </row>
    <row r="4">
      <c r="A4" t="n">
        <v>3</v>
      </c>
      <c r="C4" t="inlineStr">
        <is>
          <t>Selected</t>
        </is>
      </c>
      <c r="D4" t="inlineStr">
        <is>
          <t>Selected</t>
        </is>
      </c>
      <c r="F4" t="inlineStr">
        <is>
          <t>Selected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3)&amp;"|",All_Questions_Q26_F_wrapped)),1,0),0))*1</f>
        <v>1</v>
      </c>
    </row>
    <row r="5">
      <c r="A5" t="n">
        <v>4</v>
      </c>
      <c r="C5" t="inlineStr">
        <is>
          <t>Selected</t>
        </is>
      </c>
      <c r="F5" t="inlineStr">
        <is>
          <t>Selected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4)&amp;"|",All_Questions_Q26_F_wrapped)),1,0),0))*1</f>
        <v>1</v>
      </c>
    </row>
    <row r="6">
      <c r="A6" t="n">
        <v>5</v>
      </c>
      <c r="F6" t="inlineStr">
        <is>
          <t>Selected</t>
        </is>
      </c>
      <c r="H6">
        <f>1</f>
        <v>1</v>
      </c>
      <c r="I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J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K6">
        <f>I6*J6*1</f>
        <v>1</v>
      </c>
      <c r="L6">
        <f>1</f>
        <v>1</v>
      </c>
      <c r="M6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5)&amp;"|",All_Questions_Q26_F_wrapped)),1,0),0))*1</f>
        <v>1</v>
      </c>
    </row>
    <row r="7">
      <c r="A7" t="n">
        <v>6</v>
      </c>
      <c r="H7">
        <f>1</f>
        <v>1</v>
      </c>
      <c r="I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J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K7">
        <f>I7*J7*1</f>
        <v>1</v>
      </c>
      <c r="L7">
        <f>1</f>
        <v>1</v>
      </c>
      <c r="M7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6)&amp;"|",All_Questions_Q26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Q26r1c1_options</t>
        </is>
      </c>
      <c r="G1" t="inlineStr">
        <is>
          <t>Q26r1c2_options</t>
        </is>
      </c>
      <c r="H1" t="inlineStr">
        <is>
          <t>Q26r1c3_options</t>
        </is>
      </c>
      <c r="I1" t="inlineStr">
        <is>
          <t>Q26r2c1_options</t>
        </is>
      </c>
      <c r="J1" t="inlineStr">
        <is>
          <t>Q26r2c2_options</t>
        </is>
      </c>
      <c r="K1" t="inlineStr">
        <is>
          <t>Q26r2c3_options</t>
        </is>
      </c>
      <c r="L1" t="inlineStr">
        <is>
          <t>Q26r1c1_local_options</t>
        </is>
      </c>
      <c r="M1" t="inlineStr">
        <is>
          <t>Q26r1c2_local_options</t>
        </is>
      </c>
      <c r="N1" t="inlineStr">
        <is>
          <t>Q26r1c3_local_options</t>
        </is>
      </c>
      <c r="O1" t="inlineStr">
        <is>
          <t>Q26r2c1_local_options</t>
        </is>
      </c>
      <c r="P1" t="inlineStr">
        <is>
          <t>Q26r2c2_local_options</t>
        </is>
      </c>
      <c r="Q1" t="inlineStr">
        <is>
          <t>Q26r2c3_local_options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Q26 - What Role Did Each Stakeholder Play - IT / Technical</t>
        </is>
      </c>
      <c r="B3" t="inlineStr">
        <is>
          <t>(None)</t>
        </is>
      </c>
      <c r="C3" t="inlineStr">
        <is>
          <t>'_RawData'!$B$2:$B$7</t>
        </is>
      </c>
      <c r="D3" t="inlineStr">
        <is>
          <t>'_Options'!$F$2:$F$3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Q26 - What Role Did Each Stakeholder Play - IT / Technical 2</t>
        </is>
      </c>
      <c r="B4" t="inlineStr">
        <is>
          <t>Q26 - What Role Did Each Stakeholder Play - IT / Technical</t>
        </is>
      </c>
      <c r="C4" t="inlineStr">
        <is>
          <t>'_RawData'!$C$2:$C$7</t>
        </is>
      </c>
      <c r="D4" t="inlineStr">
        <is>
          <t>'_Options'!$G$2:$G$3</t>
        </is>
      </c>
      <c r="L4" t="inlineStr">
        <is>
          <t>Selected</t>
        </is>
      </c>
      <c r="M4" t="inlineStr">
        <is>
          <t>Selected</t>
        </is>
      </c>
      <c r="N4" t="inlineStr">
        <is>
          <t>Selected</t>
        </is>
      </c>
      <c r="O4" t="inlineStr">
        <is>
          <t>Selected</t>
        </is>
      </c>
      <c r="P4" t="inlineStr">
        <is>
          <t>Selected</t>
        </is>
      </c>
      <c r="Q4" t="inlineStr">
        <is>
          <t>Selected</t>
        </is>
      </c>
    </row>
    <row r="5">
      <c r="A5" t="inlineStr">
        <is>
          <t>Q26 - What Role Did Each Stakeholder Play - IT / Technical 3</t>
        </is>
      </c>
      <c r="B5" t="inlineStr">
        <is>
          <t>Q26 - What Role Did Each Stakeholder Play - IT / Technical 2</t>
        </is>
      </c>
      <c r="C5" t="inlineStr">
        <is>
          <t>'_RawData'!$D$2:$D$7</t>
        </is>
      </c>
      <c r="D5" t="inlineStr">
        <is>
          <t>'_Options'!$H$2:$H$3</t>
        </is>
      </c>
    </row>
    <row r="6">
      <c r="A6" t="inlineStr">
        <is>
          <t>Q26 - What Role Did Each Stakeholder Play - Finance</t>
        </is>
      </c>
      <c r="B6" t="inlineStr">
        <is>
          <t>Q26 - What Role Did Each Stakeholder Play - IT / Technical 3</t>
        </is>
      </c>
      <c r="C6" t="inlineStr">
        <is>
          <t>'_RawData'!$E$2:$E$7</t>
        </is>
      </c>
      <c r="D6" t="inlineStr">
        <is>
          <t>'_Options'!$I$2:$I$3</t>
        </is>
      </c>
    </row>
    <row r="7">
      <c r="A7" t="inlineStr">
        <is>
          <t>Q26 - What Role Did Each Stakeholder Play - Finance 2</t>
        </is>
      </c>
      <c r="B7" t="inlineStr">
        <is>
          <t>Q26 - What Role Did Each Stakeholder Play - Finance</t>
        </is>
      </c>
      <c r="C7" t="inlineStr">
        <is>
          <t>'_RawData'!$F$2:$F$7</t>
        </is>
      </c>
      <c r="D7" t="inlineStr">
        <is>
          <t>'_Options'!$J$2:$J$3</t>
        </is>
      </c>
    </row>
    <row r="8">
      <c r="A8" t="inlineStr">
        <is>
          <t>Q26 - What Role Did Each Stakeholder Play - Finance 3</t>
        </is>
      </c>
      <c r="B8" t="inlineStr">
        <is>
          <t>Q26 - What Role Did Each Stakeholder Play - Finance 2</t>
        </is>
      </c>
      <c r="C8" t="inlineStr">
        <is>
          <t>'_RawData'!$G$2:$G$7</t>
        </is>
      </c>
      <c r="D8" t="inlineStr">
        <is>
          <t>'_Options'!$K$2:$K$3</t>
        </is>
      </c>
    </row>
    <row r="9">
      <c r="B9" t="inlineStr">
        <is>
          <t>Q26 - What Role Did Each Stakeholder Play - Finance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6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3" customWidth="1" min="3" max="3"/>
    <col width="20" customWidth="1" min="4" max="4"/>
    <col width="5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[Q26]</t>
        </is>
      </c>
      <c r="B2" t="inlineStr">
        <is>
          <t>Q26</t>
        </is>
      </c>
      <c r="C2" t="inlineStr">
        <is>
          <t>Q26 - What role did each stakeholder play</t>
        </is>
      </c>
      <c r="D2" t="inlineStr">
        <is>
          <t>GRID_SINGLE_SELECT</t>
        </is>
      </c>
      <c r="E2" t="inlineStr">
        <is>
          <t>Q26r1c1, Q26r1c2, Q26r1c3, Q26r2c1, Q26r2c2, Q26r2c3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Q26</t>
        </is>
      </c>
      <c r="B2" t="inlineStr">
        <is>
          <t>Q26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6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Q26 - What role did each stakeholder play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IFERROR(INDEX(All_Questions_Data_Names,MATCH(All_Questions_Q26_F_Q,All_Questions,0)),"'_RawData'!$A:$A")</f>
        <v>respondent_id_data</v>
      </c>
      <c r="G13" t="str">
        <f>"|" &amp; SUBSTITUTE(All_Questions_Q26_F_V,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Blocked Vendors</t>
        </is>
      </c>
      <c r="D16" s="2" t="n"/>
      <c r="E16" s="4" t="inlineStr">
        <is>
          <t>Scored Vendors</t>
        </is>
      </c>
      <c r="F16" s="2" t="n"/>
      <c r="G16" s="4" t="inlineStr">
        <is>
          <t>Recommended for or against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Q26r1</t>
        </is>
      </c>
      <c r="B18" t="inlineStr">
        <is>
          <t>IT / Technical</t>
        </is>
      </c>
      <c r="C18">
        <f>COUNTIFS(Q26r1c1_data,"Selected",passes_workbook_filters_data,1,passes_workbook_custom_filters_data,1,All_Questions_passes_local_filters_data,1,All_Questions_Q26_F_passes_per_q_filter_data,1)</f>
        <v>2</v>
      </c>
      <c r="D18" s="7">
        <f>IFERROR(C18/6,0)</f>
        <v>0.3333333333333333</v>
      </c>
      <c r="E18">
        <f>COUNTIFS(Q26r1c2_data,"Selected",passes_workbook_filters_data,1,passes_workbook_custom_filters_data,1,All_Questions_passes_local_filters_data,1,All_Questions_Q26_F_passes_per_q_filter_data,1)</f>
        <v>4</v>
      </c>
      <c r="F18" s="7">
        <f>IFERROR(E18/6,0)</f>
        <v>0.6666666666666666</v>
      </c>
      <c r="G18">
        <f>COUNTIFS(Q26r1c3_data,"Selected",passes_workbook_filters_data,1,passes_workbook_custom_filters_data,1,All_Questions_passes_local_filters_data,1,All_Questions_Q26_F_passes_per_q_filter_data,1)</f>
        <v>3</v>
      </c>
      <c r="H18" s="7">
        <f>IFERROR(G18/6,0)</f>
        <v>0.5</v>
      </c>
    </row>
    <row r="19">
      <c r="A19" s="14" t="inlineStr">
        <is>
          <t>Q26r2</t>
        </is>
      </c>
      <c r="B19" t="inlineStr">
        <is>
          <t>Finance</t>
        </is>
      </c>
      <c r="C19">
        <f>COUNTIFS(Q26r2c1_data,"Selected",passes_workbook_filters_data,1,passes_workbook_custom_filters_data,1,All_Questions_passes_local_filters_data,1,All_Questions_Q26_F_passes_per_q_filter_data,1)</f>
        <v>1</v>
      </c>
      <c r="D19" s="7">
        <f>IFERROR(C19/6,0)</f>
        <v>0.16666666666666666</v>
      </c>
      <c r="E19">
        <f>COUNTIFS(Q26r2c2_data,"Selected",passes_workbook_filters_data,1,passes_workbook_custom_filters_data,1,All_Questions_passes_local_filters_data,1,All_Questions_Q26_F_passes_per_q_filter_data,1)</f>
        <v>5</v>
      </c>
      <c r="F19" s="7">
        <f>IFERROR(E19/6,0)</f>
        <v>0.8333333333333334</v>
      </c>
      <c r="G19">
        <f>COUNTIFS(Q26r2c3_data,"Selected",passes_workbook_filters_data,1,passes_workbook_custom_filters_data,1,All_Questions_passes_local_filters_data,1,All_Questions_Q26_F_passes_per_q_filter_data,1)</f>
        <v>2</v>
      </c>
      <c r="H19" s="7">
        <f>IFERROR(G19/6,0)</f>
        <v>0.3333333333333333</v>
      </c>
    </row>
    <row r="20">
      <c r="A20" s="15" t="inlineStr">
        <is>
          <t>Total respondents</t>
        </is>
      </c>
      <c r="B20" s="15" t="n">
        <v>6</v>
      </c>
      <c r="C20" s="15" t="n"/>
      <c r="D20" s="15" t="n"/>
      <c r="E20" s="15" t="n"/>
      <c r="F20" s="15" t="n"/>
      <c r="G20" s="15" t="n"/>
      <c r="H20" s="15" t="n"/>
    </row>
    <row r="21">
      <c r="A21" s="4" t="inlineStr">
        <is>
          <t>Total responses</t>
        </is>
      </c>
      <c r="B21" s="4" t="n">
        <v>17</v>
      </c>
      <c r="C21" s="4" t="n"/>
      <c r="D21" s="4" t="n"/>
      <c r="E21" s="4" t="n"/>
      <c r="F21" s="4" t="n"/>
      <c r="G21" s="4" t="n"/>
      <c r="H21" s="4" t="n"/>
    </row>
  </sheetData>
  <mergeCells count="4">
    <mergeCell ref="G16:H16"/>
    <mergeCell ref="A1:J1"/>
    <mergeCell ref="E16:F16"/>
    <mergeCell ref="C16:D16"/>
  </mergeCells>
  <conditionalFormatting sqref="C18:C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8:D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18:E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=INDIRECT(IFERROR(INDEX(All_Questions_Options_Names,MATCH(All_Questions_Q26_F_Q,All_Questions,0)),"'_Options'!$E$2:$E$2"))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2026-06-08T08:34:42Z</dcterms:created>
  <dcterms:modified xmlns:dcterms="http://purl.org/dc/terms/" xmlns:xsi="http://www.w3.org/2001/XMLSchema-instance" xsi:type="dcterms:W3CDTF">2026-06-08T08:34:42Z</dcterms:modified>
</cp:coreProperties>
</file>