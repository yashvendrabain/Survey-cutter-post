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</definedName>
    <definedName name="Q4_data">'_RawData'!$B$2:$B$3</definedName>
    <definedName name="Q14_data">'_RawData'!$C$2:$C$3</definedName>
    <definedName name="All_Questions">'_Options'!$A$2:$A$4</definedName>
    <definedName name="All_Questions_Local">'_Options'!$B$2:$B$5</definedName>
    <definedName name="None_options">'_Options'!$E$2:$E$2</definedName>
    <definedName name="Q4_options">'_Options'!$F$2:$F$4</definedName>
    <definedName name="Q4_local_options">'_Options'!$H$2:$H$5</definedName>
    <definedName name="Q14_options">'_Options'!$G$2:$G$4</definedName>
    <definedName name="Q14_local_options">'_Options'!$I$2:$I$5</definedName>
    <definedName name="All_Questions_Data_Names">'_Options'!$C$2:$C$4</definedName>
    <definedName name="All_Questions_Options_Names">'_Options'!$D$2:$D$4</definedName>
    <definedName name="F_Company_Size">'Filters'!$B$4</definedName>
    <definedName name="F_Company_Size_wrapped">'Filters'!$C$4</definedName>
    <definedName name="F_Age">'Filters'!$B$5</definedName>
    <definedName name="F_Age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mpany_Size_match_data">'_RawData'!$D$2:$D$3</definedName>
    <definedName name="F_Age_match_data">'_RawData'!$E$2:$E$3</definedName>
    <definedName name="passes_workbook_filters_data">'_RawData'!$F$2:$F$3</definedName>
    <definedName name="F_Custom1_match_data">'_RawData'!$G$2:$G$3</definedName>
    <definedName name="F_Custom2_match_data">'_RawData'!$H$2:$H$3</definedName>
    <definedName name="passes_workbook_custom_filters_data">'_RawData'!$I$2:$I$3</definedName>
    <definedName name="Demographics_F_Company_Size">'Demographics'!$B$5</definedName>
    <definedName name="Demographics_F_Company_Size_resolved">'Demographics'!$C$5</definedName>
    <definedName name="Demographics_F_Company_Size_wrapped">'Demographics'!$D$5</definedName>
    <definedName name="Demographics_F_Age">'Demographics'!$B$6</definedName>
    <definedName name="Demographics_F_Age_resolved">'Demographics'!$C$6</definedName>
    <definedName name="Demographics_F_Age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mpany_Size_local_match_data">'_RawData'!$J$2:$J$3</definedName>
    <definedName name="Demographics_F_Age_local_match_data">'_RawData'!$K$2:$K$3</definedName>
    <definedName name="Demographics_passes_local_filters_data">'_RawData'!$L$2:$L$3</definedName>
    <definedName name="Demographics_Q4_F_Q">'Demographics'!$C$15</definedName>
    <definedName name="Demographics_Q4_F_V">'Demographics'!$E$15</definedName>
    <definedName name="Demographics_Q4_F_resolved_column">'Demographics'!$F$15</definedName>
    <definedName name="Demographics_Q4_F_wrapped">'Demographics'!$G$15</definedName>
    <definedName name="Demographics_Q4_F_passes_per_q_filter_data">'_RawData'!$M$2:$M$3</definedName>
    <definedName name="Demographics_Q4_CT">'Demographics'!$C$16</definedName>
    <definedName name="Demographics_Q14_F_Q">'Demographics'!$C$25</definedName>
    <definedName name="Demographics_Q14_F_V">'Demographics'!$E$25</definedName>
    <definedName name="Demographics_Q14_F_resolved_column">'Demographics'!$F$25</definedName>
    <definedName name="Demographics_Q14_F_wrapped">'Demographics'!$G$25</definedName>
    <definedName name="Demographics_Q14_F_passes_per_q_filter_data">'_RawData'!$N$2:$N$3</definedName>
    <definedName name="Demographics_Q14_CT">'Demographics'!$C$26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J2" i="1"/>
  <c r="K2" i="1"/>
  <c r="L2" i="1"/>
  <c r="M2" i="1"/>
  <c r="N2" i="1"/>
  <c r="D3" i="1"/>
  <c r="E3" i="1"/>
  <c r="F3" i="1"/>
  <c r="G3" i="1"/>
  <c r="H3" i="1"/>
  <c r="I3" i="1"/>
  <c r="J3" i="1"/>
  <c r="K3" i="1"/>
  <c r="L3" i="1"/>
  <c r="M3" i="1"/>
  <c r="N3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Which of the following best describes the size of your organization</t>
      </text>
    </comment>
    <comment ref="A5" authorId="0" shapeId="0">
      <text>
        <t>Approximately how old is the organization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Which of the following best describes the size of your organization</t>
      </text>
    </comment>
    <comment ref="A6" authorId="0" shapeId="0">
      <text>
        <t>Approximately how old is the organization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1" headerRowCount="1">
  <autoFilter ref="A28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Q4</t>
        </is>
      </c>
      <c r="C1" t="inlineStr">
        <is>
          <t>Q14</t>
        </is>
      </c>
      <c r="D1" t="inlineStr">
        <is>
          <t>F_Company_Size_match</t>
        </is>
      </c>
      <c r="E1" t="inlineStr">
        <is>
          <t>F_Age_match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Demographics_F_Company_Size_local_match</t>
        </is>
      </c>
      <c r="K1" t="inlineStr">
        <is>
          <t>Demographics_F_Age_local_match</t>
        </is>
      </c>
      <c r="L1" t="inlineStr">
        <is>
          <t>Demographics_passes_local_filters</t>
        </is>
      </c>
      <c r="M1" t="inlineStr">
        <is>
          <t>Demographics_Q4_F_passes_per_q_filter</t>
        </is>
      </c>
      <c r="N1" t="inlineStr">
        <is>
          <t>Demographics_Q14_F_passes_per_q_filter</t>
        </is>
      </c>
    </row>
    <row r="2">
      <c r="A2" t="n">
        <v>1</v>
      </c>
      <c r="B2" t="inlineStr">
        <is>
          <t>Small</t>
        </is>
      </c>
      <c r="C2" t="inlineStr">
        <is>
          <t>New</t>
        </is>
      </c>
      <c r="D2">
        <f>(((F_Company_Size="(All)")+(F_Company_Size="")+ISBLANK(F_Company_Size)+ISNUMBER(SEARCH("|"&amp;B2&amp;"|",F_Company_Size_wrapped)))&gt;0)*1</f>
        <v>1</v>
      </c>
      <c r="E2">
        <f>(((F_Age="(All)")+(F_Age="")+ISBLANK(F_Age)+ISNUMBER(SEARCH("|"&amp;C2&amp;"|",F_Age_wrapped)))&gt;0)*1</f>
        <v>1</v>
      </c>
      <c r="F2">
        <f>D2*E2*1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(((Demographics_F_Company_Size_resolved="(All)")+(Demographics_F_Company_Size_resolved="")+ISBLANK(Demographics_F_Company_Size_resolved)+ISNUMBER(SEARCH("|"&amp;B2&amp;"|",Demographics_F_Company_Size_wrapped)))&gt;0)*1</f>
        <v>1</v>
      </c>
      <c r="K2">
        <f>(((Demographics_F_Age_resolved="(All)")+(Demographics_F_Age_resolved="")+ISBLANK(Demographics_F_Age_resolved)+ISNUMBER(SEARCH("|"&amp;C2&amp;"|",Demographics_F_Age_wrapped)))&gt;0)*1</f>
        <v>1</v>
      </c>
      <c r="L2">
        <f>J2*K2*1</f>
        <v>1</v>
      </c>
      <c r="M2">
        <f>IF(OR(Demographics_Q4_F_Q="(None)",Demographics_Q4_F_Q="",ISBLANK(Demographics_Q4_F_Q),Demographics_Q4_F_V="(All)",Demographics_Q4_F_V="",ISBLANK(Demographics_Q4_F_V)),1,IFERROR(IF(ISNUMBER(SEARCH("|"&amp;INDEX(INDIRECT(Demographics_Q4_F_resolved_column),1)&amp;"|",Demographics_Q4_F_wrapped)),1,0),0))*1</f>
        <v>1</v>
      </c>
      <c r="N2">
        <f>IF(OR(Demographics_Q14_F_Q="(None)",Demographics_Q14_F_Q="",ISBLANK(Demographics_Q14_F_Q),Demographics_Q14_F_V="(All)",Demographics_Q14_F_V="",ISBLANK(Demographics_Q14_F_V)),1,IFERROR(IF(ISNUMBER(SEARCH("|"&amp;INDEX(INDIRECT(Demographics_Q14_F_resolved_column),1)&amp;"|",Demographics_Q14_F_wrapped)),1,0),0))*1</f>
        <v>1</v>
      </c>
    </row>
    <row r="3">
      <c r="A3" t="n">
        <v>2</v>
      </c>
      <c r="B3" t="inlineStr">
        <is>
          <t>Large</t>
        </is>
      </c>
      <c r="C3" t="inlineStr">
        <is>
          <t>Established</t>
        </is>
      </c>
      <c r="D3">
        <f>(((F_Company_Size="(All)")+(F_Company_Size="")+ISBLANK(F_Company_Size)+ISNUMBER(SEARCH("|"&amp;B3&amp;"|",F_Company_Size_wrapped)))&gt;0)*1</f>
        <v>1</v>
      </c>
      <c r="E3">
        <f>(((F_Age="(All)")+(F_Age="")+ISBLANK(F_Age)+ISNUMBER(SEARCH("|"&amp;C3&amp;"|",F_Age_wrapped)))&gt;0)*1</f>
        <v>1</v>
      </c>
      <c r="F3">
        <f>D3*E3*1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(((Demographics_F_Company_Size_resolved="(All)")+(Demographics_F_Company_Size_resolved="")+ISBLANK(Demographics_F_Company_Size_resolved)+ISNUMBER(SEARCH("|"&amp;B3&amp;"|",Demographics_F_Company_Size_wrapped)))&gt;0)*1</f>
        <v>1</v>
      </c>
      <c r="K3">
        <f>(((Demographics_F_Age_resolved="(All)")+(Demographics_F_Age_resolved="")+ISBLANK(Demographics_F_Age_resolved)+ISNUMBER(SEARCH("|"&amp;C3&amp;"|",Demographics_F_Age_wrapped)))&gt;0)*1</f>
        <v>1</v>
      </c>
      <c r="L3">
        <f>J3*K3*1</f>
        <v>1</v>
      </c>
      <c r="M3">
        <f>IF(OR(Demographics_Q4_F_Q="(None)",Demographics_Q4_F_Q="",ISBLANK(Demographics_Q4_F_Q),Demographics_Q4_F_V="(All)",Demographics_Q4_F_V="",ISBLANK(Demographics_Q4_F_V)),1,IFERROR(IF(ISNUMBER(SEARCH("|"&amp;INDEX(INDIRECT(Demographics_Q4_F_resolved_column),2)&amp;"|",Demographics_Q4_F_wrapped)),1,0),0))*1</f>
        <v>1</v>
      </c>
      <c r="N3">
        <f>IF(OR(Demographics_Q14_F_Q="(None)",Demographics_Q14_F_Q="",ISBLANK(Demographics_Q14_F_Q),Demographics_Q14_F_V="(All)",Demographics_Q14_F_V="",ISBLANK(Demographics_Q14_F_V)),1,IFERROR(IF(ISNUMBER(SEARCH("|"&amp;INDEX(INDIRECT(Demographics_Q14_F_resolved_column),2)&amp;"|",Demographics_Q14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Q4_options</t>
        </is>
      </c>
      <c r="G1" t="inlineStr">
        <is>
          <t>Q14_options</t>
        </is>
      </c>
      <c r="H1" t="inlineStr">
        <is>
          <t>Q4_local_options</t>
        </is>
      </c>
      <c r="I1" t="inlineStr">
        <is>
          <t>Q14_local_options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A3" t="inlineStr">
        <is>
          <t>Q4 - Which Of The Following Best Describes The Size Of Your Organization</t>
        </is>
      </c>
      <c r="B3" t="inlineStr">
        <is>
          <t>(None)</t>
        </is>
      </c>
      <c r="C3" t="inlineStr">
        <is>
          <t>'_RawData'!$B$2:$B$3</t>
        </is>
      </c>
      <c r="D3" t="inlineStr">
        <is>
          <t>'_Options'!$F$2:$F$4</t>
        </is>
      </c>
      <c r="F3" t="inlineStr">
        <is>
          <t>Small</t>
        </is>
      </c>
      <c r="G3" t="inlineStr">
        <is>
          <t>New</t>
        </is>
      </c>
      <c r="H3" t="inlineStr">
        <is>
          <t>(All)</t>
        </is>
      </c>
      <c r="I3" t="inlineStr">
        <is>
          <t>(All)</t>
        </is>
      </c>
    </row>
    <row r="4">
      <c r="A4" t="inlineStr">
        <is>
          <t>Q14 - Approximately How Old Is The Organization</t>
        </is>
      </c>
      <c r="B4" t="inlineStr">
        <is>
          <t>Q4 - Which Of The Following Best Describes The Size Of Your Organization</t>
        </is>
      </c>
      <c r="C4" t="inlineStr">
        <is>
          <t>'_RawData'!$C$2:$C$3</t>
        </is>
      </c>
      <c r="D4" t="inlineStr">
        <is>
          <t>'_Options'!$G$2:$G$4</t>
        </is>
      </c>
      <c r="F4" t="inlineStr">
        <is>
          <t>Large</t>
        </is>
      </c>
      <c r="G4" t="inlineStr">
        <is>
          <t>Established</t>
        </is>
      </c>
      <c r="H4" t="inlineStr">
        <is>
          <t>Small</t>
        </is>
      </c>
      <c r="I4" t="inlineStr">
        <is>
          <t>New</t>
        </is>
      </c>
    </row>
    <row r="5">
      <c r="B5" t="inlineStr">
        <is>
          <t>Q14 - Approximately How Old Is The Organization</t>
        </is>
      </c>
      <c r="H5" t="inlineStr">
        <is>
          <t>Large</t>
        </is>
      </c>
      <c r="I5" t="inlineStr">
        <is>
          <t>Established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Org Size</t>
        </is>
      </c>
      <c r="B4" t="inlineStr">
        <is>
          <t>(All)</t>
        </is>
      </c>
      <c r="C4" t="str">
        <f>"|" &amp; SUBSTITUTE(F_Company_Size, ", ", "|") &amp; "|"</f>
        <v>|(All)|</v>
      </c>
      <c r="D4" t="inlineStr">
        <is>
          <t>Small, Large</t>
        </is>
      </c>
    </row>
    <row r="5">
      <c r="A5" t="inlineStr">
        <is>
          <t>Org Age</t>
        </is>
      </c>
      <c r="B5" t="inlineStr">
        <is>
          <t>(All)</t>
        </is>
      </c>
      <c r="C5" t="str">
        <f>"|" &amp; SUBSTITUTE(F_Age, ", ", "|") &amp; "|"</f>
        <v>|(All)|</v>
      </c>
      <c r="D5" t="inlineStr">
        <is>
          <t>New, Established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=Q4_options</formula1>
    </dataValidation>
    <dataValidation sqref="B5" showDropDown="0" showInputMessage="0" showErrorMessage="0" allowBlank="1" type="list">
      <formula1>=Q14_options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2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[Q4]</t>
        </is>
      </c>
      <c r="B2" t="inlineStr">
        <is>
          <t>Q4</t>
        </is>
      </c>
      <c r="C2" t="inlineStr">
        <is>
          <t>Which of the following best describes the size of your organization</t>
        </is>
      </c>
      <c r="D2" t="inlineStr">
        <is>
          <t>SINGLE_SELECT</t>
        </is>
      </c>
      <c r="E2" t="inlineStr">
        <is>
          <t>Q4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[Q14]</t>
        </is>
      </c>
      <c r="B3" t="inlineStr">
        <is>
          <t>Q14</t>
        </is>
      </c>
      <c r="C3" t="inlineStr">
        <is>
          <t>Approximately how old is the organization</t>
        </is>
      </c>
      <c r="D3" t="inlineStr">
        <is>
          <t>SINGLE_SELECT</t>
        </is>
      </c>
      <c r="E3" t="inlineStr">
        <is>
          <t>Q14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4" customWidth="1" min="4" max="4"/>
    <col width="14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Q4</t>
        </is>
      </c>
      <c r="B2" t="inlineStr">
        <is>
          <t>Q4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2</v>
      </c>
      <c r="G2" t="n">
        <v>0</v>
      </c>
      <c r="H2" s="7" t="n">
        <v>0</v>
      </c>
      <c r="I2" t="inlineStr"/>
    </row>
    <row r="3">
      <c r="A3" t="inlineStr">
        <is>
          <t>Q14</t>
        </is>
      </c>
      <c r="B3" t="inlineStr">
        <is>
          <t>Q14</t>
        </is>
      </c>
      <c r="C3" t="inlineStr">
        <is>
          <t>SINGLE_SELECT</t>
        </is>
      </c>
      <c r="D3" t="inlineStr">
        <is>
          <t>Demographics</t>
        </is>
      </c>
      <c r="E3" s="6" t="inlineStr">
        <is>
          <t>Demographics</t>
        </is>
      </c>
      <c r="F3" t="n">
        <v>2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Org Size</t>
        </is>
      </c>
      <c r="B5" t="inlineStr">
        <is>
          <t>(Inherit)</t>
        </is>
      </c>
      <c r="C5" t="str">
        <f>IF(Demographics_F_Company_Size="(Inherit)",F_Company_Size,Demographics_F_Company_Size)</f>
        <v>(All)</v>
      </c>
      <c r="D5" t="str">
        <f>"|" &amp; SUBSTITUTE(Demographics_F_Company_Size_resolved, ", ", "|") &amp; "|"</f>
        <v>|(All)|</v>
      </c>
      <c r="E5" t="inlineStr">
        <is>
          <t>Small, Large</t>
        </is>
      </c>
    </row>
    <row r="6">
      <c r="A6" t="inlineStr">
        <is>
          <t>Org Age</t>
        </is>
      </c>
      <c r="B6" t="inlineStr">
        <is>
          <t>(Inherit)</t>
        </is>
      </c>
      <c r="C6" t="str">
        <f>IF(Demographics_F_Age="(Inherit)",F_Age,Demographics_F_Age)</f>
        <v>(All)</v>
      </c>
      <c r="D6" t="str">
        <f>"|" &amp; SUBSTITUTE(Demographics_F_Age_resolved, ", ", "|") &amp; "|"</f>
        <v>|(All)|</v>
      </c>
      <c r="E6" t="inlineStr">
        <is>
          <t>New, Established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Q4 - Which of the following best describes the size of your organization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IFERROR(INDEX(All_Questions_Data_Names,MATCH(Demographics_Q4_F_Q,All_Questions,0)),"'_RawData'!$A:$A")</f>
        <v>respondent_id_data</v>
      </c>
      <c r="G15" t="str">
        <f>"|" &amp; SUBSTITUTE(Demographics_Q4_F_V,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IF(Demographics_Q4_CT="(None)","",IFERROR(INDEX(INDIRECT(IFERROR(INDEX(All_Questions_Options_Names,MATCH(Demographics_Q4_CT,All_Questions,0)),"'_Options'!$E$2:$E$2")),2),""))</f>
        <v/>
      </c>
      <c r="H18" s="2" t="str">
        <f>IF(Demographics_Q4_CT="(None)","",IFERROR(INDEX(INDIRECT(IFERROR(INDEX(All_Questions_Options_Names,MATCH(Demographics_Q4_CT,All_Questions,0)),"'_Options'!$E$2:$E$2")),3),""))</f>
        <v/>
      </c>
      <c r="I18" s="2" t="str">
        <f>IF(Demographics_Q4_CT="(None)","",IFERROR(INDEX(INDIRECT(IFERROR(INDEX(All_Questions_Options_Names,MATCH(Demographics_Q4_CT,All_Questions,0)),"'_Options'!$E$2:$E$2")),4),""))</f>
        <v/>
      </c>
      <c r="J18" s="2" t="str">
        <f>IF(Demographics_Q4_CT="(None)","",IFERROR(INDEX(INDIRECT(IFERROR(INDEX(All_Questions_Options_Names,MATCH(Demographics_Q4_CT,All_Questions,0)),"'_Options'!$E$2:$E$2")),5),""))</f>
        <v/>
      </c>
      <c r="K18" s="2" t="str">
        <f>IF(Demographics_Q4_CT="(None)","",IFERROR(INDEX(INDIRECT(IFERROR(INDEX(All_Questions_Options_Names,MATCH(Demographics_Q4_CT,All_Questions,0)),"'_Options'!$E$2:$E$2")),6),""))</f>
        <v/>
      </c>
      <c r="L18" s="2" t="str">
        <f>IF(Demographics_Q4_CT="(None)","",IFERROR(INDEX(INDIRECT(IFERROR(INDEX(All_Questions_Options_Names,MATCH(Demographics_Q4_CT,All_Questions,0)),"'_Options'!$E$2:$E$2")),7),""))</f>
        <v/>
      </c>
      <c r="M18" s="2" t="str">
        <f>IF(Demographics_Q4_CT="(None)","",IFERROR(INDEX(INDIRECT(IFERROR(INDEX(All_Questions_Options_Names,MATCH(Demographics_Q4_CT,All_Questions,0)),"'_Options'!$E$2:$E$2")),8),""))</f>
        <v/>
      </c>
      <c r="N18" s="2" t="str">
        <f>IF(Demographics_Q4_CT="(None)","",IFERROR(INDEX(INDIRECT(IFERROR(INDEX(All_Questions_Options_Names,MATCH(Demographics_Q4_CT,All_Questions,0)),"'_Options'!$E$2:$E$2")),9),""))</f>
        <v/>
      </c>
      <c r="O18" s="2" t="str">
        <f>IF(Demographics_Q4_CT="(None)","",IFERROR(INDEX(INDIRECT(IFERROR(INDEX(All_Questions_Options_Names,MATCH(Demographics_Q4_CT,All_Questions,0)),"'_Options'!$E$2:$E$2")),10),""))</f>
        <v/>
      </c>
      <c r="P18" s="2" t="str">
        <f>IF(Demographics_Q4_CT="(None)","",IFERROR(INDEX(INDIRECT(IFERROR(INDEX(All_Questions_Options_Names,MATCH(Demographics_Q4_CT,All_Questions,0)),"'_Options'!$E$2:$E$2")),11),""))</f>
        <v/>
      </c>
      <c r="Q18" s="2" t="str">
        <f>IF(Demographics_Q4_CT="(None)","",IFERROR(INDEX(INDIRECT(IFERROR(INDEX(All_Questions_Options_Names,MATCH(Demographics_Q4_CT,All_Questions,0)),"'_Options'!$E$2:$E$2")),12),""))</f>
        <v/>
      </c>
      <c r="R18" s="2" t="str">
        <f>IF(Demographics_Q4_CT="(None)","",IF(COUNTA(INDIRECT(IFERROR(INDEX(All_Questions_Options_Names,MATCH(Demographics_Q4_CT,All_Questions,0)),"'_Options'!$E$2:$E$2")))-1&gt;11,"Other",IFERROR(INDEX(INDIRECT(IFERROR(INDEX(All_Questions_Options_Names,MATCH(Demographics_Q4_CT,All_Questions,0)),"'_Options'!$E$2:$E$2")),13),"")))</f>
        <v/>
      </c>
      <c r="S18" s="4" t="inlineStr">
        <is>
          <t>Total</t>
        </is>
      </c>
    </row>
    <row r="19">
      <c r="A19" t="inlineStr">
        <is>
          <t>Small</t>
        </is>
      </c>
      <c r="B19">
        <f>COUNTIFS(Q4_data,"Small",passes_workbook_filters_data,1,passes_workbook_custom_filters_data,1,Demographics_passes_local_filters_data,1,Demographics_Q4_F_passes_per_q_filter_data,1)</f>
        <v>1</v>
      </c>
      <c r="C19" s="7">
        <f>IFERROR(B19/SUBTOTAL(9,B19:B20),0)</f>
        <v>0.5</v>
      </c>
      <c r="D19" s="14">
        <f>SUBTOTAL(9,B19:B20)</f>
        <v>2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Large</t>
        </is>
      </c>
      <c r="B20">
        <f>COUNTIFS(Q4_data,"Large",passes_workbook_filters_data,1,passes_workbook_custom_filters_data,1,Demographics_passes_local_filters_data,1,Demographics_Q4_F_passes_per_q_filter_data,1)</f>
        <v>1</v>
      </c>
      <c r="C20" s="7">
        <f>IFERROR(B20/SUBTOTAL(9,B19:B20),0)</f>
        <v>0.5</v>
      </c>
      <c r="D20" s="14">
        <f>SUBTOTAL(9,B19:B20)</f>
        <v>2</v>
      </c>
      <c r="F20" t="inlineStr">
        <is>
          <t>Small</t>
        </is>
      </c>
      <c r="G20">
        <f>IF(OR(Demographics_Q4_CT="(None)",G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G$18))</f>
        <v>0</v>
      </c>
      <c r="H20">
        <f>IF(OR(Demographics_Q4_CT="(None)",H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H$18))</f>
        <v>0</v>
      </c>
      <c r="I20">
        <f>IF(OR(Demographics_Q4_CT="(None)",I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I$18))</f>
        <v>0</v>
      </c>
      <c r="J20">
        <f>IF(OR(Demographics_Q4_CT="(None)",J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J$18))</f>
        <v>0</v>
      </c>
      <c r="K20">
        <f>IF(OR(Demographics_Q4_CT="(None)",K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K$18))</f>
        <v>0</v>
      </c>
      <c r="L20">
        <f>IF(OR(Demographics_Q4_CT="(None)",L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L$18))</f>
        <v>0</v>
      </c>
      <c r="M20">
        <f>IF(OR(Demographics_Q4_CT="(None)",M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M$18))</f>
        <v>0</v>
      </c>
      <c r="N20">
        <f>IF(OR(Demographics_Q4_CT="(None)",N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N$18))</f>
        <v>0</v>
      </c>
      <c r="O20">
        <f>IF(OR(Demographics_Q4_CT="(None)",O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O$18))</f>
        <v>0</v>
      </c>
      <c r="P20">
        <f>IF(OR(Demographics_Q4_CT="(None)",P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P$18))</f>
        <v>0</v>
      </c>
      <c r="Q20">
        <f>IF(OR(Demographics_Q4_CT="(None)",Q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Q$18))</f>
        <v>0</v>
      </c>
      <c r="R20">
        <f>IF(OR(Demographics_Q4_CT="(None)",R$18=""),"",IF(R$18="Other",COUNTIFS(Q4_data,"Small",passes_workbook_filters_data,1,passes_workbook_custom_filters_data,1,Demographics_passes_local_filters_data,1,Demographics_Q4_F_passes_per_q_filter_data,1)-SUM(G20,H20,I20,J20,K20,L20,M20,N20,O20,P20,Q20)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R$18)))</f>
        <v>0</v>
      </c>
      <c r="S20">
        <f>IF(Demographics_Q4_CT="(None)","",COUNTIFS(Q4_data,"Small",passes_workbook_filters_data,1,passes_workbook_custom_filters_data,1,Demographics_passes_local_filters_data,1,Demographics_Q4_F_passes_per_q_filter_data,1))</f>
        <v>0</v>
      </c>
    </row>
    <row r="21">
      <c r="A21" s="15" t="inlineStr">
        <is>
          <t>Total respondents</t>
        </is>
      </c>
      <c r="B21" s="15" t="n">
        <v>2</v>
      </c>
      <c r="C21" s="15" t="n"/>
      <c r="D21" s="15" t="n"/>
      <c r="F21" t="inlineStr">
        <is>
          <t>Large</t>
        </is>
      </c>
      <c r="G21">
        <f>IF(OR(Demographics_Q4_CT="(None)",G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G$18))</f>
        <v>0</v>
      </c>
      <c r="H21">
        <f>IF(OR(Demographics_Q4_CT="(None)",H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H$18))</f>
        <v>0</v>
      </c>
      <c r="I21">
        <f>IF(OR(Demographics_Q4_CT="(None)",I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I$18))</f>
        <v>0</v>
      </c>
      <c r="J21">
        <f>IF(OR(Demographics_Q4_CT="(None)",J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J$18))</f>
        <v>0</v>
      </c>
      <c r="K21">
        <f>IF(OR(Demographics_Q4_CT="(None)",K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K$18))</f>
        <v>0</v>
      </c>
      <c r="L21">
        <f>IF(OR(Demographics_Q4_CT="(None)",L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L$18))</f>
        <v>0</v>
      </c>
      <c r="M21">
        <f>IF(OR(Demographics_Q4_CT="(None)",M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M$18))</f>
        <v>0</v>
      </c>
      <c r="N21">
        <f>IF(OR(Demographics_Q4_CT="(None)",N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N$18))</f>
        <v>0</v>
      </c>
      <c r="O21">
        <f>IF(OR(Demographics_Q4_CT="(None)",O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O$18))</f>
        <v>0</v>
      </c>
      <c r="P21">
        <f>IF(OR(Demographics_Q4_CT="(None)",P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P$18))</f>
        <v>0</v>
      </c>
      <c r="Q21">
        <f>IF(OR(Demographics_Q4_CT="(None)",Q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Q$18))</f>
        <v>0</v>
      </c>
      <c r="R21">
        <f>IF(OR(Demographics_Q4_CT="(None)",R$18=""),"",IF(R$18="Other",COUNTIFS(Q4_data,"Large",passes_workbook_filters_data,1,passes_workbook_custom_filters_data,1,Demographics_passes_local_filters_data,1,Demographics_Q4_F_passes_per_q_filter_data,1)-SUM(G21,H21,I21,J21,K21,L21,M21,N21,O21,P21,Q21)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R$18)))</f>
        <v>0</v>
      </c>
      <c r="S21">
        <f>IF(Demographics_Q4_CT="(None)","",COUNTIFS(Q4_data,"Large",passes_workbook_filters_data,1,passes_workbook_custom_filters_data,1,Demographics_passes_local_filters_data,1,Demographics_Q4_F_passes_per_q_filter_data,1))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IF(Demographics_Q4_CT="(None)","",COUNTIFS(respondent_id_data,"&lt;&gt;",passes_workbook_filters_data,1,passes_workbook_custom_filters_data,1,Demographics_passes_local_filters_data,1,Demographics_Q4_F_passes_per_q_filter_data,1))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Q14 - Approximately how old is the organization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IFERROR(INDEX(All_Questions_Data_Names,MATCH(Demographics_Q14_F_Q,All_Questions,0)),"'_RawData'!$A:$A")</f>
        <v>respondent_id_data</v>
      </c>
      <c r="G25" t="str">
        <f>"|" &amp; SUBSTITUTE(Demographics_Q14_F_V,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IF(Demographics_Q14_CT="(None)","",IFERROR(INDEX(INDIRECT(IFERROR(INDEX(All_Questions_Options_Names,MATCH(Demographics_Q14_CT,All_Questions,0)),"'_Options'!$E$2:$E$2")),2),""))</f>
        <v/>
      </c>
      <c r="H28" s="2" t="str">
        <f>IF(Demographics_Q14_CT="(None)","",IFERROR(INDEX(INDIRECT(IFERROR(INDEX(All_Questions_Options_Names,MATCH(Demographics_Q14_CT,All_Questions,0)),"'_Options'!$E$2:$E$2")),3),""))</f>
        <v/>
      </c>
      <c r="I28" s="2" t="str">
        <f>IF(Demographics_Q14_CT="(None)","",IFERROR(INDEX(INDIRECT(IFERROR(INDEX(All_Questions_Options_Names,MATCH(Demographics_Q14_CT,All_Questions,0)),"'_Options'!$E$2:$E$2")),4),""))</f>
        <v/>
      </c>
      <c r="J28" s="2" t="str">
        <f>IF(Demographics_Q14_CT="(None)","",IFERROR(INDEX(INDIRECT(IFERROR(INDEX(All_Questions_Options_Names,MATCH(Demographics_Q14_CT,All_Questions,0)),"'_Options'!$E$2:$E$2")),5),""))</f>
        <v/>
      </c>
      <c r="K28" s="2" t="str">
        <f>IF(Demographics_Q14_CT="(None)","",IFERROR(INDEX(INDIRECT(IFERROR(INDEX(All_Questions_Options_Names,MATCH(Demographics_Q14_CT,All_Questions,0)),"'_Options'!$E$2:$E$2")),6),""))</f>
        <v/>
      </c>
      <c r="L28" s="2" t="str">
        <f>IF(Demographics_Q14_CT="(None)","",IFERROR(INDEX(INDIRECT(IFERROR(INDEX(All_Questions_Options_Names,MATCH(Demographics_Q14_CT,All_Questions,0)),"'_Options'!$E$2:$E$2")),7),""))</f>
        <v/>
      </c>
      <c r="M28" s="2" t="str">
        <f>IF(Demographics_Q14_CT="(None)","",IFERROR(INDEX(INDIRECT(IFERROR(INDEX(All_Questions_Options_Names,MATCH(Demographics_Q14_CT,All_Questions,0)),"'_Options'!$E$2:$E$2")),8),""))</f>
        <v/>
      </c>
      <c r="N28" s="2" t="str">
        <f>IF(Demographics_Q14_CT="(None)","",IFERROR(INDEX(INDIRECT(IFERROR(INDEX(All_Questions_Options_Names,MATCH(Demographics_Q14_CT,All_Questions,0)),"'_Options'!$E$2:$E$2")),9),""))</f>
        <v/>
      </c>
      <c r="O28" s="2" t="str">
        <f>IF(Demographics_Q14_CT="(None)","",IFERROR(INDEX(INDIRECT(IFERROR(INDEX(All_Questions_Options_Names,MATCH(Demographics_Q14_CT,All_Questions,0)),"'_Options'!$E$2:$E$2")),10),""))</f>
        <v/>
      </c>
      <c r="P28" s="2" t="str">
        <f>IF(Demographics_Q14_CT="(None)","",IFERROR(INDEX(INDIRECT(IFERROR(INDEX(All_Questions_Options_Names,MATCH(Demographics_Q14_CT,All_Questions,0)),"'_Options'!$E$2:$E$2")),11),""))</f>
        <v/>
      </c>
      <c r="Q28" s="2" t="str">
        <f>IF(Demographics_Q14_CT="(None)","",IFERROR(INDEX(INDIRECT(IFERROR(INDEX(All_Questions_Options_Names,MATCH(Demographics_Q14_CT,All_Questions,0)),"'_Options'!$E$2:$E$2")),12),""))</f>
        <v/>
      </c>
      <c r="R28" s="2" t="str">
        <f>IF(Demographics_Q14_CT="(None)","",IF(COUNTA(INDIRECT(IFERROR(INDEX(All_Questions_Options_Names,MATCH(Demographics_Q14_CT,All_Questions,0)),"'_Options'!$E$2:$E$2")))-1&gt;11,"Other",IFERROR(INDEX(INDIRECT(IFERROR(INDEX(All_Questions_Options_Names,MATCH(Demographics_Q14_CT,All_Questions,0)),"'_Options'!$E$2:$E$2")),13),"")))</f>
        <v/>
      </c>
      <c r="S28" s="4" t="inlineStr">
        <is>
          <t>Total</t>
        </is>
      </c>
    </row>
    <row r="29">
      <c r="A29" t="inlineStr">
        <is>
          <t>New</t>
        </is>
      </c>
      <c r="B29">
        <f>COUNTIFS(Q14_data,"New",passes_workbook_filters_data,1,passes_workbook_custom_filters_data,1,Demographics_passes_local_filters_data,1,Demographics_Q14_F_passes_per_q_filter_data,1)</f>
        <v>1</v>
      </c>
      <c r="C29" s="7">
        <f>IFERROR(B29/SUBTOTAL(9,B29:B30),0)</f>
        <v>0.5</v>
      </c>
      <c r="D29" s="14">
        <f>SUBTOTAL(9,B29:B30)</f>
        <v>2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Established</t>
        </is>
      </c>
      <c r="B30">
        <f>COUNTIFS(Q14_data,"Established",passes_workbook_filters_data,1,passes_workbook_custom_filters_data,1,Demographics_passes_local_filters_data,1,Demographics_Q14_F_passes_per_q_filter_data,1)</f>
        <v>1</v>
      </c>
      <c r="C30" s="7">
        <f>IFERROR(B30/SUBTOTAL(9,B29:B30),0)</f>
        <v>0.5</v>
      </c>
      <c r="D30" s="14">
        <f>SUBTOTAL(9,B29:B30)</f>
        <v>2</v>
      </c>
      <c r="F30" t="inlineStr">
        <is>
          <t>New</t>
        </is>
      </c>
      <c r="G30">
        <f>IF(OR(Demographics_Q14_CT="(None)",G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G$28))</f>
        <v>0</v>
      </c>
      <c r="H30">
        <f>IF(OR(Demographics_Q14_CT="(None)",H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H$28))</f>
        <v>0</v>
      </c>
      <c r="I30">
        <f>IF(OR(Demographics_Q14_CT="(None)",I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I$28))</f>
        <v>0</v>
      </c>
      <c r="J30">
        <f>IF(OR(Demographics_Q14_CT="(None)",J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J$28))</f>
        <v>0</v>
      </c>
      <c r="K30">
        <f>IF(OR(Demographics_Q14_CT="(None)",K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K$28))</f>
        <v>0</v>
      </c>
      <c r="L30">
        <f>IF(OR(Demographics_Q14_CT="(None)",L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L$28))</f>
        <v>0</v>
      </c>
      <c r="M30">
        <f>IF(OR(Demographics_Q14_CT="(None)",M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M$28))</f>
        <v>0</v>
      </c>
      <c r="N30">
        <f>IF(OR(Demographics_Q14_CT="(None)",N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N$28))</f>
        <v>0</v>
      </c>
      <c r="O30">
        <f>IF(OR(Demographics_Q14_CT="(None)",O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O$28))</f>
        <v>0</v>
      </c>
      <c r="P30">
        <f>IF(OR(Demographics_Q14_CT="(None)",P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P$28))</f>
        <v>0</v>
      </c>
      <c r="Q30">
        <f>IF(OR(Demographics_Q14_CT="(None)",Q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Q$28))</f>
        <v>0</v>
      </c>
      <c r="R30">
        <f>IF(OR(Demographics_Q14_CT="(None)",R$28=""),"",IF(R$28="Other",COUNTIFS(Q14_data,"New",passes_workbook_filters_data,1,passes_workbook_custom_filters_data,1,Demographics_passes_local_filters_data,1,Demographics_Q14_F_passes_per_q_filter_data,1)-SUM(G30,H30,I30,J30,K30,L30,M30,N30,O30,P30,Q30)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R$28)))</f>
        <v>0</v>
      </c>
      <c r="S30">
        <f>IF(Demographics_Q14_CT="(None)","",COUNTIFS(Q14_data,"New",passes_workbook_filters_data,1,passes_workbook_custom_filters_data,1,Demographics_passes_local_filters_data,1,Demographics_Q14_F_passes_per_q_filter_data,1))</f>
        <v>0</v>
      </c>
    </row>
    <row r="31">
      <c r="A31" s="15" t="inlineStr">
        <is>
          <t>Total respondents</t>
        </is>
      </c>
      <c r="B31" s="15" t="n">
        <v>2</v>
      </c>
      <c r="C31" s="15" t="n"/>
      <c r="D31" s="15" t="n"/>
      <c r="F31" t="inlineStr">
        <is>
          <t>Established</t>
        </is>
      </c>
      <c r="G31">
        <f>IF(OR(Demographics_Q14_CT="(None)",G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G$28))</f>
        <v>0</v>
      </c>
      <c r="H31">
        <f>IF(OR(Demographics_Q14_CT="(None)",H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H$28))</f>
        <v>0</v>
      </c>
      <c r="I31">
        <f>IF(OR(Demographics_Q14_CT="(None)",I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I$28))</f>
        <v>0</v>
      </c>
      <c r="J31">
        <f>IF(OR(Demographics_Q14_CT="(None)",J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J$28))</f>
        <v>0</v>
      </c>
      <c r="K31">
        <f>IF(OR(Demographics_Q14_CT="(None)",K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K$28))</f>
        <v>0</v>
      </c>
      <c r="L31">
        <f>IF(OR(Demographics_Q14_CT="(None)",L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L$28))</f>
        <v>0</v>
      </c>
      <c r="M31">
        <f>IF(OR(Demographics_Q14_CT="(None)",M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M$28))</f>
        <v>0</v>
      </c>
      <c r="N31">
        <f>IF(OR(Demographics_Q14_CT="(None)",N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N$28))</f>
        <v>0</v>
      </c>
      <c r="O31">
        <f>IF(OR(Demographics_Q14_CT="(None)",O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O$28))</f>
        <v>0</v>
      </c>
      <c r="P31">
        <f>IF(OR(Demographics_Q14_CT="(None)",P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P$28))</f>
        <v>0</v>
      </c>
      <c r="Q31">
        <f>IF(OR(Demographics_Q14_CT="(None)",Q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Q$28))</f>
        <v>0</v>
      </c>
      <c r="R31">
        <f>IF(OR(Demographics_Q14_CT="(None)",R$28=""),"",IF(R$28="Other",COUNTIFS(Q14_data,"Established",passes_workbook_filters_data,1,passes_workbook_custom_filters_data,1,Demographics_passes_local_filters_data,1,Demographics_Q14_F_passes_per_q_filter_data,1)-SUM(G31,H31,I31,J31,K31,L31,M31,N31,O31,P31,Q31)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R$28)))</f>
        <v>0</v>
      </c>
      <c r="S31">
        <f>IF(Demographics_Q14_CT="(None)","",COUNTIFS(Q14_data,"Established",passes_workbook_filters_data,1,passes_workbook_custom_filters_data,1,Demographics_passes_local_filters_data,1,Demographics_Q14_F_passes_per_q_filter_data,1))</f>
        <v>0</v>
      </c>
    </row>
    <row r="32"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IF(Demographics_Q14_CT="(None)","",COUNTIFS(respondent_id_data,"&lt;&gt;",passes_workbook_filters_data,1,passes_workbook_custom_filters_data,1,Demographics_passes_local_filters_data,1,Demographics_Q14_F_passes_per_q_filter_data,1))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=Q4_local_options</formula1>
    </dataValidation>
    <dataValidation sqref="B6" showDropDown="0" showInputMessage="0" showErrorMessage="0" allowBlank="1" type="list">
      <formula1>=Q14_local_options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=INDIRECT(IFERROR(INDEX(All_Questions_Options_Names,MATCH(Demographics_Q4_F_Q,All_Questions,0)),"'_Options'!$E$2:$E$2"))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=INDIRECT(IFERROR(INDEX(All_Questions_Options_Names,MATCH(Demographics_Q14_F_Q,All_Questions,0)),"'_Options'!$E$2:$E$2"))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2026-06-02T06:33:12Z</dcterms:created>
  <dcterms:modified xmlns:dcterms="http://purl.org/dc/terms/" xmlns:xsi="http://www.w3.org/2001/XMLSchema-instance" xsi:type="dcterms:W3CDTF">2026-06-02T06:33:12Z</dcterms:modified>
</cp:coreProperties>
</file>