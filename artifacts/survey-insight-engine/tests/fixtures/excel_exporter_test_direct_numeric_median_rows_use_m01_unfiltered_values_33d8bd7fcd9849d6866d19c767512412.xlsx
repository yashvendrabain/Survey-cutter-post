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Questions'!$C$30</definedName>
    <definedName name="All_Questions_Q9_F_V">'All Questions'!$E$30</definedName>
    <definedName name="All_Questions_Q9_F_resolved_column">'All Questions'!$F$30</definedName>
    <definedName name="All_Questions_Q9_F_wrapped">'All Questions'!$G$30</definedName>
    <definedName name="All_Questions_Q9_F_passes_per_q_filter_data">'_RawData'!$J$2:$J$207</definedName>
    <definedName name="All_Questions_Q9_CT">'All Questions'!$C$31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F30" i="7"/>
  <c r="G30" i="7"/>
  <c r="B34" i="7"/>
  <c r="D34" i="7"/>
  <c r="B35" i="7"/>
  <c r="D35" i="7"/>
  <c r="B36" i="7"/>
  <c r="D36" i="7"/>
  <c r="D37" i="7"/>
  <c r="G40" i="7"/>
  <c r="H40" i="7"/>
  <c r="I40" i="7"/>
  <c r="J40" i="7"/>
  <c r="K40" i="7"/>
  <c r="L40" i="7"/>
  <c r="M40" i="7"/>
  <c r="N40" i="7"/>
  <c r="O40" i="7"/>
  <c r="P40" i="7"/>
  <c r="Q40" i="7"/>
  <c r="R40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S4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8" headerRowCount="1">
  <autoFilter ref="A33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F23" s="4" t="inlineStr">
        <is>
          <t>Option</t>
        </is>
      </c>
      <c r="G23" s="2" t="str">
        <f>IF(All_Questions_Q8_CT="(None)","",IFERROR(INDEX(INDIRECT(IFERROR(INDEX(All_Questions_Options_Names,MATCH(All_Questions_Q8_CT,All_Questions,0)),"'_Options'!$E$2:$E$2")),2),""))</f>
        <v/>
      </c>
      <c r="H23" s="2" t="str">
        <f>IF(All_Questions_Q8_CT="(None)","",IFERROR(INDEX(INDIRECT(IFERROR(INDEX(All_Questions_Options_Names,MATCH(All_Questions_Q8_CT,All_Questions,0)),"'_Options'!$E$2:$E$2")),3),""))</f>
        <v/>
      </c>
      <c r="I23" s="2" t="str">
        <f>IF(All_Questions_Q8_CT="(None)","",IFERROR(INDEX(INDIRECT(IFERROR(INDEX(All_Questions_Options_Names,MATCH(All_Questions_Q8_CT,All_Questions,0)),"'_Options'!$E$2:$E$2")),4),""))</f>
        <v/>
      </c>
      <c r="J23" s="2" t="str">
        <f>IF(All_Questions_Q8_CT="(None)","",IFERROR(INDEX(INDIRECT(IFERROR(INDEX(All_Questions_Options_Names,MATCH(All_Questions_Q8_CT,All_Questions,0)),"'_Options'!$E$2:$E$2")),5),""))</f>
        <v/>
      </c>
      <c r="K23" s="2" t="str">
        <f>IF(All_Questions_Q8_CT="(None)","",IFERROR(INDEX(INDIRECT(IFERROR(INDEX(All_Questions_Options_Names,MATCH(All_Questions_Q8_CT,All_Questions,0)),"'_Options'!$E$2:$E$2")),6),""))</f>
        <v/>
      </c>
      <c r="L23" s="2" t="str">
        <f>IF(All_Questions_Q8_CT="(None)","",IFERROR(INDEX(INDIRECT(IFERROR(INDEX(All_Questions_Options_Names,MATCH(All_Questions_Q8_CT,All_Questions,0)),"'_Options'!$E$2:$E$2")),7),""))</f>
        <v/>
      </c>
      <c r="M23" s="2" t="str">
        <f>IF(All_Questions_Q8_CT="(None)","",IFERROR(INDEX(INDIRECT(IFERROR(INDEX(All_Questions_Options_Names,MATCH(All_Questions_Q8_CT,All_Questions,0)),"'_Options'!$E$2:$E$2")),8),""))</f>
        <v/>
      </c>
      <c r="N23" s="2" t="str">
        <f>IF(All_Questions_Q8_CT="(None)","",IFERROR(INDEX(INDIRECT(IFERROR(INDEX(All_Questions_Options_Names,MATCH(All_Questions_Q8_CT,All_Questions,0)),"'_Options'!$E$2:$E$2")),9),""))</f>
        <v/>
      </c>
      <c r="O23" s="2" t="str">
        <f>IF(All_Questions_Q8_CT="(None)","",IFERROR(INDEX(INDIRECT(IFERROR(INDEX(All_Questions_Options_Names,MATCH(All_Questions_Q8_CT,All_Questions,0)),"'_Options'!$E$2:$E$2")),10),""))</f>
        <v/>
      </c>
      <c r="P23" s="2" t="str">
        <f>IF(All_Questions_Q8_CT="(None)","",IFERROR(INDEX(INDIRECT(IFERROR(INDEX(All_Questions_Options_Names,MATCH(All_Questions_Q8_CT,All_Questions,0)),"'_Options'!$E$2:$E$2")),11),""))</f>
        <v/>
      </c>
      <c r="Q23" s="2" t="str">
        <f>IF(All_Questions_Q8_CT="(None)","",IFERROR(INDEX(INDIRECT(IFERROR(INDEX(All_Questions_Options_Names,MATCH(All_Questions_Q8_CT,All_Questions,0)),"'_Options'!$E$2:$E$2")),12),""))</f>
        <v/>
      </c>
      <c r="R23" s="2" t="str">
        <f>IF(All_Questions_Q8_CT="(None)","",IF(COUNTA(INDIRECT(IFERROR(INDEX(All_Questions_Options_Names,MATCH(All_Questions_Q8_CT,All_Questions,0)),"'_Options'!$E$2:$E$2")))-1&gt;11,"Other",IFERROR(INDEX(INDIRECT(IFERROR(INDEX(All_Questions_Options_Names,MATCH(All_Questions_Q8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Likely to recommend</t>
        </is>
      </c>
      <c r="G25" s="14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G$23),"")))</f>
        <v>5.25</v>
      </c>
      <c r="H25" s="14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H$23),"")))</f>
        <v>5.25</v>
      </c>
      <c r="I25" s="1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I$23),"")))</f>
        <v>5.25</v>
      </c>
      <c r="J25" s="14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J$23),"")))</f>
        <v>5.25</v>
      </c>
      <c r="K25" s="14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K$23),"")))</f>
        <v>5.25</v>
      </c>
      <c r="L25" s="14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L$23),"")))</f>
        <v>5.25</v>
      </c>
      <c r="M25" s="14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M$23),"")))</f>
        <v>5.25</v>
      </c>
      <c r="N25" s="14">
        <f>IF(OR(All_Questions_Q8_CT="(None)",N$23=""),"",IF(N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N$23),"")))</f>
        <v>5.25</v>
      </c>
      <c r="O25" s="14">
        <f>IF(OR(All_Questions_Q8_CT="(None)",O$23=""),"",IF(O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O$23),"")))</f>
        <v>5.25</v>
      </c>
      <c r="P25" s="14">
        <f>IF(OR(All_Questions_Q8_CT="(None)",P$23=""),"",IF(P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P$23),"")))</f>
        <v>5.25</v>
      </c>
      <c r="Q25" s="14">
        <f>IF(OR(All_Questions_Q8_CT="(None)",Q$23=""),"",IF(Q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Q$23),"")))</f>
        <v>5.25</v>
      </c>
      <c r="R25" s="14">
        <f>IF(OR(All_Questions_Q8_CT="(None)",R$23=""),"",IF(R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R$23),"")))</f>
        <v>5.25</v>
      </c>
      <c r="S25" s="14">
        <f>IF(All_Questions_Q8_CT="(None)","",IFERROR(AVERAGEIFS(Q8_data,Q8_data,"&lt;&gt;",passes_workbook_filters_data,1,passes_workbook_custom_filters_data,1,All_Questions_passes_local_filters_data,1,All_Questions_Q8_F_passes_per_q_filter_data,1),""))</f>
        <v>5.25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IF(All_Questions_Q8_CT="(None)","",COUNTIFS(respondent_id_data,"&lt;&gt;",passes_workbook_filters_data,1,passes_workbook_custom_filters_data,1,All_Questions_passes_local_filters_data,1,All_Questions_Q8_F_passes_per_q_filter_data,1))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Q9 - Planned spend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IFERROR(INDEX(All_Questions_Data_Names,MATCH(All_Questions_Q9_F_Q,All_Questions,0)),"'_RawData'!$A:$A")</f>
        <v>respondent_id_data</v>
      </c>
      <c r="G30" t="str">
        <f>"|" &amp; SUBSTITUTE(All_Questions_Q9_F_V, ", ", "|") &amp; "|"</f>
        <v>|(All)|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Metric</t>
        </is>
      </c>
      <c r="B33" s="4" t="inlineStr">
        <is>
          <t>Value</t>
        </is>
      </c>
      <c r="C33" s="4" t="inlineStr">
        <is>
          <t>Note</t>
        </is>
      </c>
      <c r="D33" s="4" t="inlineStr">
        <is>
          <t>Denominator</t>
        </is>
      </c>
    </row>
    <row r="34">
      <c r="A34" t="inlineStr">
        <is>
          <t>Mean</t>
        </is>
      </c>
      <c r="B34" s="14">
        <f>IFERROR(AVERAGEIFS(Q9_data,passes_workbook_filters_data,1,passes_workbook_custom_filters_data,1,All_Questions_passes_local_filters_data,1,All_Questions_Q9_F_passes_per_q_filter_data,1),0)</f>
        <v>27.1</v>
      </c>
      <c r="D34">
        <f>COUNTIFS(Q9_data,"&lt;&gt;",passes_workbook_filters_data,1,passes_workbook_custom_filters_data,1,All_Questions_passes_local_filters_data,1,All_Questions_Q9_F_passes_per_q_filter_data,1)</f>
        <v>206</v>
      </c>
    </row>
    <row r="35">
      <c r="A35" t="inlineStr">
        <is>
          <t>Min</t>
        </is>
      </c>
      <c r="B35" s="14">
        <f>IFERROR(MINIFS(Q9_data,passes_workbook_filters_data,1,passes_workbook_custom_filters_data,1,All_Questions_passes_local_filters_data,1,All_Questions_Q9_F_passes_per_q_filter_data,1),0)</f>
        <v>0.0</v>
      </c>
      <c r="D35">
        <f>COUNTIFS(Q9_data,"&lt;&gt;",passes_workbook_filters_data,1,passes_workbook_custom_filters_data,1,All_Questions_passes_local_filters_data,1,All_Questions_Q9_F_passes_per_q_filter_data,1)</f>
        <v>206</v>
      </c>
    </row>
    <row r="36">
      <c r="A36" t="inlineStr">
        <is>
          <t>Max</t>
        </is>
      </c>
      <c r="B36" s="14">
        <f>IFERROR(MAXIFS(Q9_data,passes_workbook_filters_data,1,passes_workbook_custom_filters_data,1,All_Questions_passes_local_filters_data,1,All_Questions_Q9_F_passes_per_q_filter_data,1),0)</f>
        <v>50.0</v>
      </c>
      <c r="D36">
        <f>COUNTIFS(Q9_data,"&lt;&gt;",passes_workbook_filters_data,1,passes_workbook_custom_filters_data,1,All_Questions_passes_local_filters_data,1,All_Questions_Q9_F_passes_per_q_filter_data,1)</f>
        <v>206</v>
      </c>
    </row>
    <row r="37">
      <c r="A37" t="inlineStr">
        <is>
          <t>Std</t>
        </is>
      </c>
      <c r="B37" s="14" t="n">
        <v>7.4</v>
      </c>
      <c r="C37" t="inlineStr">
        <is>
          <t>static baseline</t>
        </is>
      </c>
      <c r="D37">
        <f>COUNTIFS(Q9_data,"&lt;&gt;",passes_workbook_filters_data,1,passes_workbook_custom_filters_data,1,All_Questions_passes_local_filters_data,1,All_Questions_Q9_F_passes_per_q_filter_data,1)</f>
        <v>206</v>
      </c>
    </row>
    <row r="38">
      <c r="A38" t="inlineStr">
        <is>
          <t>Median</t>
        </is>
      </c>
      <c r="B38" s="14" t="n">
        <v>26.55</v>
      </c>
      <c r="C38" t="inlineStr">
        <is>
          <t>static baseline</t>
        </is>
      </c>
      <c r="D38" s="15" t="n">
        <v>206</v>
      </c>
    </row>
    <row r="39"/>
    <row r="40">
      <c r="F40" s="4" t="inlineStr">
        <is>
          <t>Option</t>
        </is>
      </c>
      <c r="G40" s="2" t="str">
        <f>IF(All_Questions_Q9_CT="(None)","",IFERROR(INDEX(INDIRECT(IFERROR(INDEX(All_Questions_Options_Names,MATCH(All_Questions_Q9_CT,All_Questions,0)),"'_Options'!$E$2:$E$2")),2),""))</f>
        <v/>
      </c>
      <c r="H40" s="2" t="str">
        <f>IF(All_Questions_Q9_CT="(None)","",IFERROR(INDEX(INDIRECT(IFERROR(INDEX(All_Questions_Options_Names,MATCH(All_Questions_Q9_CT,All_Questions,0)),"'_Options'!$E$2:$E$2")),3),""))</f>
        <v/>
      </c>
      <c r="I40" s="2" t="str">
        <f>IF(All_Questions_Q9_CT="(None)","",IFERROR(INDEX(INDIRECT(IFERROR(INDEX(All_Questions_Options_Names,MATCH(All_Questions_Q9_CT,All_Questions,0)),"'_Options'!$E$2:$E$2")),4),""))</f>
        <v/>
      </c>
      <c r="J40" s="2" t="str">
        <f>IF(All_Questions_Q9_CT="(None)","",IFERROR(INDEX(INDIRECT(IFERROR(INDEX(All_Questions_Options_Names,MATCH(All_Questions_Q9_CT,All_Questions,0)),"'_Options'!$E$2:$E$2")),5),""))</f>
        <v/>
      </c>
      <c r="K40" s="2" t="str">
        <f>IF(All_Questions_Q9_CT="(None)","",IFERROR(INDEX(INDIRECT(IFERROR(INDEX(All_Questions_Options_Names,MATCH(All_Questions_Q9_CT,All_Questions,0)),"'_Options'!$E$2:$E$2")),6),""))</f>
        <v/>
      </c>
      <c r="L40" s="2" t="str">
        <f>IF(All_Questions_Q9_CT="(None)","",IFERROR(INDEX(INDIRECT(IFERROR(INDEX(All_Questions_Options_Names,MATCH(All_Questions_Q9_CT,All_Questions,0)),"'_Options'!$E$2:$E$2")),7),""))</f>
        <v/>
      </c>
      <c r="M40" s="2" t="str">
        <f>IF(All_Questions_Q9_CT="(None)","",IFERROR(INDEX(INDIRECT(IFERROR(INDEX(All_Questions_Options_Names,MATCH(All_Questions_Q9_CT,All_Questions,0)),"'_Options'!$E$2:$E$2")),8),""))</f>
        <v/>
      </c>
      <c r="N40" s="2" t="str">
        <f>IF(All_Questions_Q9_CT="(None)","",IFERROR(INDEX(INDIRECT(IFERROR(INDEX(All_Questions_Options_Names,MATCH(All_Questions_Q9_CT,All_Questions,0)),"'_Options'!$E$2:$E$2")),9),""))</f>
        <v/>
      </c>
      <c r="O40" s="2" t="str">
        <f>IF(All_Questions_Q9_CT="(None)","",IFERROR(INDEX(INDIRECT(IFERROR(INDEX(All_Questions_Options_Names,MATCH(All_Questions_Q9_CT,All_Questions,0)),"'_Options'!$E$2:$E$2")),10),""))</f>
        <v/>
      </c>
      <c r="P40" s="2" t="str">
        <f>IF(All_Questions_Q9_CT="(None)","",IFERROR(INDEX(INDIRECT(IFERROR(INDEX(All_Questions_Options_Names,MATCH(All_Questions_Q9_CT,All_Questions,0)),"'_Options'!$E$2:$E$2")),11),""))</f>
        <v/>
      </c>
      <c r="Q40" s="2" t="str">
        <f>IF(All_Questions_Q9_CT="(None)","",IFERROR(INDEX(INDIRECT(IFERROR(INDEX(All_Questions_Options_Names,MATCH(All_Questions_Q9_CT,All_Questions,0)),"'_Options'!$E$2:$E$2")),12),""))</f>
        <v/>
      </c>
      <c r="R40" s="2" t="str">
        <f>IF(All_Questions_Q9_CT="(None)","",IF(COUNTA(INDIRECT(IFERROR(INDEX(All_Questions_Options_Names,MATCH(All_Questions_Q9_CT,All_Questions,0)),"'_Options'!$E$2:$E$2")))-1&gt;11,"Other",IFERROR(INDEX(INDIRECT(IFERROR(INDEX(All_Questions_Options_Names,MATCH(All_Questions_Q9_CT,All_Questions,0)),"'_Options'!$E$2:$E$2")),13),"")))</f>
        <v/>
      </c>
      <c r="S40" s="4" t="inlineStr">
        <is>
          <t>Total</t>
        </is>
      </c>
    </row>
    <row r="41">
      <c r="F41" s="4" t="inlineStr"/>
      <c r="G41" s="4" t="inlineStr">
        <is>
          <t>Mean</t>
        </is>
      </c>
      <c r="H41" s="4" t="inlineStr">
        <is>
          <t>Mean</t>
        </is>
      </c>
      <c r="I41" s="4" t="inlineStr">
        <is>
          <t>Mean</t>
        </is>
      </c>
      <c r="J41" s="4" t="inlineStr">
        <is>
          <t>Mean</t>
        </is>
      </c>
      <c r="K41" s="4" t="inlineStr">
        <is>
          <t>Mean</t>
        </is>
      </c>
      <c r="L41" s="4" t="inlineStr">
        <is>
          <t>Mean</t>
        </is>
      </c>
      <c r="M41" s="4" t="inlineStr">
        <is>
          <t>Mean</t>
        </is>
      </c>
      <c r="N41" s="4" t="inlineStr">
        <is>
          <t>Mean</t>
        </is>
      </c>
      <c r="O41" s="4" t="inlineStr">
        <is>
          <t>Mean</t>
        </is>
      </c>
      <c r="P41" s="4" t="inlineStr">
        <is>
          <t>Mean</t>
        </is>
      </c>
      <c r="Q41" s="4" t="inlineStr">
        <is>
          <t>Mean</t>
        </is>
      </c>
      <c r="R41" s="4" t="inlineStr">
        <is>
          <t>Mean</t>
        </is>
      </c>
      <c r="S41" s="4" t="inlineStr">
        <is>
          <t>Mean</t>
        </is>
      </c>
    </row>
    <row r="42">
      <c r="F42" t="inlineStr">
        <is>
          <t>Planned spend</t>
        </is>
      </c>
      <c r="G42" s="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G$40),"")))</f>
        <v>27.1</v>
      </c>
      <c r="H42" s="14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H$40),"")))</f>
        <v>27.1</v>
      </c>
      <c r="I42" s="14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I$40),"")))</f>
        <v>27.1</v>
      </c>
      <c r="J42" s="14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J$40),"")))</f>
        <v>27.1</v>
      </c>
      <c r="K42" s="14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K$40),"")))</f>
        <v>27.1</v>
      </c>
      <c r="L42" s="14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L$40),"")))</f>
        <v>27.1</v>
      </c>
      <c r="M42" s="14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M$40),"")))</f>
        <v>27.1</v>
      </c>
      <c r="N42" s="14">
        <f>IF(OR(All_Questions_Q9_CT="(None)",N$40=""),"",IF(N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N$40),"")))</f>
        <v>27.1</v>
      </c>
      <c r="O42" s="14">
        <f>IF(OR(All_Questions_Q9_CT="(None)",O$40=""),"",IF(O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O$40),"")))</f>
        <v>27.1</v>
      </c>
      <c r="P42" s="14">
        <f>IF(OR(All_Questions_Q9_CT="(None)",P$40=""),"",IF(P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P$40),"")))</f>
        <v>27.1</v>
      </c>
      <c r="Q42" s="14">
        <f>IF(OR(All_Questions_Q9_CT="(None)",Q$40=""),"",IF(Q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Q$40),"")))</f>
        <v>27.1</v>
      </c>
      <c r="R42" s="14">
        <f>IF(OR(All_Questions_Q9_CT="(None)",R$40=""),"",IF(R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R$40),"")))</f>
        <v>27.1</v>
      </c>
      <c r="S42" s="14">
        <f>IF(All_Questions_Q9_CT="(None)","",IFERROR(AVERAGEIFS(Q9_data,Q9_data,"&lt;&gt;",passes_workbook_filters_data,1,passes_workbook_custom_filters_data,1,All_Questions_passes_local_filters_data,1,All_Questions_Q9_F_passes_per_q_filter_data,1),""))</f>
        <v>27.1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IF(All_Questions_Q9_CT="(None)","",COUNTIFS(respondent_id_data,"&lt;&gt;",passes_workbook_filters_data,1,passes_workbook_custom_filters_data,1,All_Questions_passes_local_filters_data,1,All_Questions_Q9_F_passes_per_q_filter_data,1))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3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Q8</t>
        </is>
      </c>
      <c r="D2" t="inlineStr">
        <is>
          <t>Q8</t>
        </is>
      </c>
      <c r="E2" t="inlineStr">
        <is>
          <t>All_Questions_Q8_CT = G$23</t>
        </is>
      </c>
      <c r="H2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G$23),"")))</f>
        <v>0</v>
      </c>
      <c r="I2" t="n">
        <v>5.25</v>
      </c>
      <c r="J2" t="n">
        <v>0</v>
      </c>
      <c r="K2" t="n">
        <v>0</v>
      </c>
      <c r="L2" t="inlineStr">
        <is>
          <t>2026-06-08T09:15:43.952354+00:00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Q8</t>
        </is>
      </c>
      <c r="D3" t="inlineStr">
        <is>
          <t>Q8</t>
        </is>
      </c>
      <c r="E3" t="inlineStr">
        <is>
          <t>All_Questions_Q8_CT = H$23</t>
        </is>
      </c>
      <c r="H3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H$23),"")))</f>
        <v>0</v>
      </c>
      <c r="I3" t="n">
        <v>5.25</v>
      </c>
      <c r="J3" t="n">
        <v>0</v>
      </c>
      <c r="K3" t="n">
        <v>0</v>
      </c>
      <c r="L3" t="inlineStr">
        <is>
          <t>2026-06-08T09:15:43.952399+00:00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Q8</t>
        </is>
      </c>
      <c r="D4" t="inlineStr">
        <is>
          <t>Q8</t>
        </is>
      </c>
      <c r="E4" t="inlineStr">
        <is>
          <t>All_Questions_Q8_CT = I$23</t>
        </is>
      </c>
      <c r="H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I$23),"")))</f>
        <v>0</v>
      </c>
      <c r="I4" t="n">
        <v>5.25</v>
      </c>
      <c r="J4" t="n">
        <v>0</v>
      </c>
      <c r="K4" t="n">
        <v>0</v>
      </c>
      <c r="L4" t="inlineStr">
        <is>
          <t>2026-06-08T09:15:43.952419+00:00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Q8</t>
        </is>
      </c>
      <c r="D5" t="inlineStr">
        <is>
          <t>Q8</t>
        </is>
      </c>
      <c r="E5" t="inlineStr">
        <is>
          <t>All_Questions_Q8_CT = J$23</t>
        </is>
      </c>
      <c r="H5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J$23),"")))</f>
        <v>0</v>
      </c>
      <c r="I5" t="n">
        <v>5.25</v>
      </c>
      <c r="J5" t="n">
        <v>0</v>
      </c>
      <c r="K5" t="n">
        <v>0</v>
      </c>
      <c r="L5" t="inlineStr">
        <is>
          <t>2026-06-08T09:15:43.952437+00:00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Q8</t>
        </is>
      </c>
      <c r="D6" t="inlineStr">
        <is>
          <t>Q8</t>
        </is>
      </c>
      <c r="E6" t="inlineStr">
        <is>
          <t>All_Questions_Q8_CT = K$23</t>
        </is>
      </c>
      <c r="H6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K$23),"")))</f>
        <v>0</v>
      </c>
      <c r="I6" t="n">
        <v>5.25</v>
      </c>
      <c r="J6" t="n">
        <v>0</v>
      </c>
      <c r="K6" t="n">
        <v>0</v>
      </c>
      <c r="L6" t="inlineStr">
        <is>
          <t>2026-06-08T09:15:43.952455+00:00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Q8</t>
        </is>
      </c>
      <c r="D7" t="inlineStr">
        <is>
          <t>Q8</t>
        </is>
      </c>
      <c r="E7" t="inlineStr">
        <is>
          <t>All_Questions_Q8_CT = L$23</t>
        </is>
      </c>
      <c r="H7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L$23),"")))</f>
        <v>0</v>
      </c>
      <c r="I7" t="n">
        <v>5.25</v>
      </c>
      <c r="J7" t="n">
        <v>0</v>
      </c>
      <c r="K7" t="n">
        <v>0</v>
      </c>
      <c r="L7" t="inlineStr">
        <is>
          <t>2026-06-08T09:15:43.952473+00:00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Q8</t>
        </is>
      </c>
      <c r="D8" t="inlineStr">
        <is>
          <t>Q8</t>
        </is>
      </c>
      <c r="E8" t="inlineStr">
        <is>
          <t>All_Questions_Q8_CT = M$23</t>
        </is>
      </c>
      <c r="H8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M$23),"")))</f>
        <v>0</v>
      </c>
      <c r="I8" t="n">
        <v>5.25</v>
      </c>
      <c r="J8" t="n">
        <v>0</v>
      </c>
      <c r="K8" t="n">
        <v>0</v>
      </c>
      <c r="L8" t="inlineStr">
        <is>
          <t>2026-06-08T09:15:43.952490+00:00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Q8</t>
        </is>
      </c>
      <c r="D9" t="inlineStr">
        <is>
          <t>Q8</t>
        </is>
      </c>
      <c r="E9" t="inlineStr">
        <is>
          <t>All_Questions_Q8_CT = N$23</t>
        </is>
      </c>
      <c r="H9">
        <f>IF(OR(All_Questions_Q8_CT="(None)",N$23=""),"",IF(N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N$23),"")))</f>
        <v>0</v>
      </c>
      <c r="I9" t="n">
        <v>5.25</v>
      </c>
      <c r="J9" t="n">
        <v>0</v>
      </c>
      <c r="K9" t="n">
        <v>0</v>
      </c>
      <c r="L9" t="inlineStr">
        <is>
          <t>2026-06-08T09:15:43.952507+00:00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Q8</t>
        </is>
      </c>
      <c r="D10" t="inlineStr">
        <is>
          <t>Q8</t>
        </is>
      </c>
      <c r="E10" t="inlineStr">
        <is>
          <t>All_Questions_Q8_CT = O$23</t>
        </is>
      </c>
      <c r="H10">
        <f>IF(OR(All_Questions_Q8_CT="(None)",O$23=""),"",IF(O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O$23),"")))</f>
        <v>0</v>
      </c>
      <c r="I10" t="n">
        <v>5.25</v>
      </c>
      <c r="J10" t="n">
        <v>0</v>
      </c>
      <c r="K10" t="n">
        <v>0</v>
      </c>
      <c r="L10" t="inlineStr">
        <is>
          <t>2026-06-08T09:15:43.952525+00:00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Q8</t>
        </is>
      </c>
      <c r="D11" t="inlineStr">
        <is>
          <t>Q8</t>
        </is>
      </c>
      <c r="E11" t="inlineStr">
        <is>
          <t>All_Questions_Q8_CT = P$23</t>
        </is>
      </c>
      <c r="H11">
        <f>IF(OR(All_Questions_Q8_CT="(None)",P$23=""),"",IF(P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P$23),"")))</f>
        <v>0</v>
      </c>
      <c r="I11" t="n">
        <v>5.25</v>
      </c>
      <c r="J11" t="n">
        <v>0</v>
      </c>
      <c r="K11" t="n">
        <v>0</v>
      </c>
      <c r="L11" t="inlineStr">
        <is>
          <t>2026-06-08T09:15:43.952542+00:00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Q8</t>
        </is>
      </c>
      <c r="D12" t="inlineStr">
        <is>
          <t>Q8</t>
        </is>
      </c>
      <c r="E12" t="inlineStr">
        <is>
          <t>All_Questions_Q8_CT = Q$23</t>
        </is>
      </c>
      <c r="H12">
        <f>IF(OR(All_Questions_Q8_CT="(None)",Q$23=""),"",IF(Q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Q$23),"")))</f>
        <v>0</v>
      </c>
      <c r="I12" t="n">
        <v>5.25</v>
      </c>
      <c r="J12" t="n">
        <v>0</v>
      </c>
      <c r="K12" t="n">
        <v>0</v>
      </c>
      <c r="L12" t="inlineStr">
        <is>
          <t>2026-06-08T09:15:43.952559+00:00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Q8</t>
        </is>
      </c>
      <c r="D13" t="inlineStr">
        <is>
          <t>Q8</t>
        </is>
      </c>
      <c r="E13" t="inlineStr">
        <is>
          <t>All_Questions_Q8_CT = R$23</t>
        </is>
      </c>
      <c r="H13">
        <f>IF(OR(All_Questions_Q8_CT="(None)",R$23=""),"",IF(R$23="Other","",IFERROR(AVERAGEIFS(Q8_data,Q8_data,"&lt;&gt;",passes_workbook_filters_data,1,passes_workbook_custom_filters_data,1,All_Questions_passes_local_filters_data,1,All_Questions_Q8_F_passes_per_q_filter_data,1,INDIRECT(IFERROR(INDEX(All_Questions_Data_Names,MATCH(All_Questions_Q8_CT,All_Questions,0)),"'_RawData'!$A:$A")),R$23),"")))</f>
        <v>0</v>
      </c>
      <c r="I13" t="n">
        <v>5.25</v>
      </c>
      <c r="J13" t="n">
        <v>0</v>
      </c>
      <c r="K13" t="n">
        <v>0</v>
      </c>
      <c r="L13" t="inlineStr">
        <is>
          <t>2026-06-08T09:15:43.952584+00:00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Q9</t>
        </is>
      </c>
      <c r="D14" t="inlineStr">
        <is>
          <t>Q9</t>
        </is>
      </c>
      <c r="E14" t="inlineStr">
        <is>
          <t>All_Questions_Q9_CT = G$40</t>
        </is>
      </c>
      <c r="H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G$40),"")))</f>
        <v>0</v>
      </c>
      <c r="I14" t="n">
        <v>27.1</v>
      </c>
      <c r="J14" t="n">
        <v>0</v>
      </c>
      <c r="K14" t="n">
        <v>0</v>
      </c>
      <c r="L14" t="inlineStr">
        <is>
          <t>2026-06-08T09:15:43.957305+00:00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Q9</t>
        </is>
      </c>
      <c r="D15" t="inlineStr">
        <is>
          <t>Q9</t>
        </is>
      </c>
      <c r="E15" t="inlineStr">
        <is>
          <t>All_Questions_Q9_CT = H$40</t>
        </is>
      </c>
      <c r="H15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H$40),"")))</f>
        <v>0</v>
      </c>
      <c r="I15" t="n">
        <v>27.1</v>
      </c>
      <c r="J15" t="n">
        <v>0</v>
      </c>
      <c r="K15" t="n">
        <v>0</v>
      </c>
      <c r="L15" t="inlineStr">
        <is>
          <t>2026-06-08T09:15:43.957337+00:00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Q9</t>
        </is>
      </c>
      <c r="D16" t="inlineStr">
        <is>
          <t>Q9</t>
        </is>
      </c>
      <c r="E16" t="inlineStr">
        <is>
          <t>All_Questions_Q9_CT = I$40</t>
        </is>
      </c>
      <c r="H16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I$40),"")))</f>
        <v>0</v>
      </c>
      <c r="I16" t="n">
        <v>27.1</v>
      </c>
      <c r="J16" t="n">
        <v>0</v>
      </c>
      <c r="K16" t="n">
        <v>0</v>
      </c>
      <c r="L16" t="inlineStr">
        <is>
          <t>2026-06-08T09:15:43.957357+00:00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Q9</t>
        </is>
      </c>
      <c r="D17" t="inlineStr">
        <is>
          <t>Q9</t>
        </is>
      </c>
      <c r="E17" t="inlineStr">
        <is>
          <t>All_Questions_Q9_CT = J$40</t>
        </is>
      </c>
      <c r="H17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J$40),"")))</f>
        <v>0</v>
      </c>
      <c r="I17" t="n">
        <v>27.1</v>
      </c>
      <c r="J17" t="n">
        <v>0</v>
      </c>
      <c r="K17" t="n">
        <v>0</v>
      </c>
      <c r="L17" t="inlineStr">
        <is>
          <t>2026-06-08T09:15:43.957378+00:00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Q9</t>
        </is>
      </c>
      <c r="D18" t="inlineStr">
        <is>
          <t>Q9</t>
        </is>
      </c>
      <c r="E18" t="inlineStr">
        <is>
          <t>All_Questions_Q9_CT = K$40</t>
        </is>
      </c>
      <c r="H18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K$40),"")))</f>
        <v>0</v>
      </c>
      <c r="I18" t="n">
        <v>27.1</v>
      </c>
      <c r="J18" t="n">
        <v>0</v>
      </c>
      <c r="K18" t="n">
        <v>0</v>
      </c>
      <c r="L18" t="inlineStr">
        <is>
          <t>2026-06-08T09:15:43.957396+00:00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Q9</t>
        </is>
      </c>
      <c r="D19" t="inlineStr">
        <is>
          <t>Q9</t>
        </is>
      </c>
      <c r="E19" t="inlineStr">
        <is>
          <t>All_Questions_Q9_CT = L$40</t>
        </is>
      </c>
      <c r="H19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L$40),"")))</f>
        <v>0</v>
      </c>
      <c r="I19" t="n">
        <v>27.1</v>
      </c>
      <c r="J19" t="n">
        <v>0</v>
      </c>
      <c r="K19" t="n">
        <v>0</v>
      </c>
      <c r="L19" t="inlineStr">
        <is>
          <t>2026-06-08T09:15:43.957415+00:00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Q9</t>
        </is>
      </c>
      <c r="D20" t="inlineStr">
        <is>
          <t>Q9</t>
        </is>
      </c>
      <c r="E20" t="inlineStr">
        <is>
          <t>All_Questions_Q9_CT = M$40</t>
        </is>
      </c>
      <c r="H20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M$40),"")))</f>
        <v>0</v>
      </c>
      <c r="I20" t="n">
        <v>27.1</v>
      </c>
      <c r="J20" t="n">
        <v>0</v>
      </c>
      <c r="K20" t="n">
        <v>0</v>
      </c>
      <c r="L20" t="inlineStr">
        <is>
          <t>2026-06-08T09:15:43.957433+00:00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Q9</t>
        </is>
      </c>
      <c r="D21" t="inlineStr">
        <is>
          <t>Q9</t>
        </is>
      </c>
      <c r="E21" t="inlineStr">
        <is>
          <t>All_Questions_Q9_CT = N$40</t>
        </is>
      </c>
      <c r="H21">
        <f>IF(OR(All_Questions_Q9_CT="(None)",N$40=""),"",IF(N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N$40),"")))</f>
        <v>0</v>
      </c>
      <c r="I21" t="n">
        <v>27.1</v>
      </c>
      <c r="J21" t="n">
        <v>0</v>
      </c>
      <c r="K21" t="n">
        <v>0</v>
      </c>
      <c r="L21" t="inlineStr">
        <is>
          <t>2026-06-08T09:15:43.957451+00:00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Q9</t>
        </is>
      </c>
      <c r="D22" t="inlineStr">
        <is>
          <t>Q9</t>
        </is>
      </c>
      <c r="E22" t="inlineStr">
        <is>
          <t>All_Questions_Q9_CT = O$40</t>
        </is>
      </c>
      <c r="H22">
        <f>IF(OR(All_Questions_Q9_CT="(None)",O$40=""),"",IF(O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O$40),"")))</f>
        <v>0</v>
      </c>
      <c r="I22" t="n">
        <v>27.1</v>
      </c>
      <c r="J22" t="n">
        <v>0</v>
      </c>
      <c r="K22" t="n">
        <v>0</v>
      </c>
      <c r="L22" t="inlineStr">
        <is>
          <t>2026-06-08T09:15:43.957469+00:00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Q9</t>
        </is>
      </c>
      <c r="D23" t="inlineStr">
        <is>
          <t>Q9</t>
        </is>
      </c>
      <c r="E23" t="inlineStr">
        <is>
          <t>All_Questions_Q9_CT = P$40</t>
        </is>
      </c>
      <c r="H23">
        <f>IF(OR(All_Questions_Q9_CT="(None)",P$40=""),"",IF(P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P$40),"")))</f>
        <v>0</v>
      </c>
      <c r="I23" t="n">
        <v>27.1</v>
      </c>
      <c r="J23" t="n">
        <v>0</v>
      </c>
      <c r="K23" t="n">
        <v>0</v>
      </c>
      <c r="L23" t="inlineStr">
        <is>
          <t>2026-06-08T09:15:43.957487+00:00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Q9</t>
        </is>
      </c>
      <c r="D24" t="inlineStr">
        <is>
          <t>Q9</t>
        </is>
      </c>
      <c r="E24" t="inlineStr">
        <is>
          <t>All_Questions_Q9_CT = Q$40</t>
        </is>
      </c>
      <c r="H24">
        <f>IF(OR(All_Questions_Q9_CT="(None)",Q$40=""),"",IF(Q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Q$40),"")))</f>
        <v>0</v>
      </c>
      <c r="I24" t="n">
        <v>27.1</v>
      </c>
      <c r="J24" t="n">
        <v>0</v>
      </c>
      <c r="K24" t="n">
        <v>0</v>
      </c>
      <c r="L24" t="inlineStr">
        <is>
          <t>2026-06-08T09:15:43.957504+00:00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Q9</t>
        </is>
      </c>
      <c r="D25" t="inlineStr">
        <is>
          <t>Q9</t>
        </is>
      </c>
      <c r="E25" t="inlineStr">
        <is>
          <t>All_Questions_Q9_CT = R$40</t>
        </is>
      </c>
      <c r="H25">
        <f>IF(OR(All_Questions_Q9_CT="(None)",R$40=""),"",IF(R$40="Other","",IFERROR(AVERAGEIFS(Q9_data,Q9_data,"&lt;&gt;",passes_workbook_filters_data,1,passes_workbook_custom_filters_data,1,All_Questions_passes_local_filters_data,1,All_Questions_Q9_F_passes_per_q_filter_data,1,INDIRECT(IFERROR(INDEX(All_Questions_Data_Names,MATCH(All_Questions_Q9_CT,All_Questions,0)),"'_RawData'!$A:$A")),R$40),"")))</f>
        <v>0</v>
      </c>
      <c r="I25" t="n">
        <v>27.1</v>
      </c>
      <c r="J25" t="n">
        <v>0</v>
      </c>
      <c r="K25" t="n">
        <v>0</v>
      </c>
      <c r="L25" t="inlineStr">
        <is>
          <t>2026-06-08T09:15:43.957529+00:00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2026-06-08T09:15:42Z</dcterms:created>
  <dcterms:modified xmlns:dcterms="http://purl.org/dc/terms/" xmlns:xsi="http://www.w3.org/2001/XMLSchema-instance" xsi:type="dcterms:W3CDTF">2026-06-08T09:15:43Z</dcterms:modified>
</cp:coreProperties>
</file>