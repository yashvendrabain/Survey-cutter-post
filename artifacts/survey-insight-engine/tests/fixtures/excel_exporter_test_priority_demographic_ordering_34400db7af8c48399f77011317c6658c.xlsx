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Questions'!$C$38</definedName>
    <definedName name="All_Questions_Q_VERY_LONG_SINGLE_SELECT_EXPORT_NAME_F_V">'All Questions'!$E$38</definedName>
    <definedName name="All_Questions_Q_VERY_LONG_SINGLE_SELECT_EXPORT_NAME_F_resolved_column">'All Questions'!$F$38</definedName>
    <definedName name="All_Questions_Q_VERY_LONG_SINGLE_SELECT_EXPORT_NAME_F_wrapped">'All Questions'!$G$38</definedName>
    <definedName name="All_Questions_Q_VERY_LONG_SINGLE_SELECT_EXPORT_NAME_F_passes_per_q_filter_data">'_RawData'!$Y$2:$Y$11</definedName>
    <definedName name="All_Questions_Q_VERY_LONG_SINGLE_SELECT_EXPORT_NAME_CT">'All Questions'!$C$39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O18" i="7"/>
  <c r="P18" i="7"/>
  <c r="Q18" i="7"/>
  <c r="R18" i="7"/>
  <c r="B19" i="7"/>
  <c r="C19" i="7"/>
  <c r="D19" i="7"/>
  <c r="B20" i="7"/>
  <c r="C20" i="7"/>
  <c r="D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S22" i="7"/>
  <c r="F25" i="7"/>
  <c r="G25" i="7"/>
  <c r="G28" i="7"/>
  <c r="H28" i="7"/>
  <c r="I28" i="7"/>
  <c r="J28" i="7"/>
  <c r="K28" i="7"/>
  <c r="L28" i="7"/>
  <c r="M28" i="7"/>
  <c r="N28" i="7"/>
  <c r="O28" i="7"/>
  <c r="P28" i="7"/>
  <c r="Q28" i="7"/>
  <c r="R28" i="7"/>
  <c r="B29" i="7"/>
  <c r="C29" i="7"/>
  <c r="D29" i="7"/>
  <c r="B30" i="7"/>
  <c r="C30" i="7"/>
  <c r="D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S32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O30" i="8"/>
  <c r="P30" i="8"/>
  <c r="Q30" i="8"/>
  <c r="R30" i="8"/>
  <c r="B31" i="8"/>
  <c r="C31" i="8"/>
  <c r="D31" i="8"/>
  <c r="B32" i="8"/>
  <c r="C32" i="8"/>
  <c r="D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S34" i="8"/>
  <c r="F38" i="8"/>
  <c r="G38" i="8"/>
  <c r="G41" i="8"/>
  <c r="H41" i="8"/>
  <c r="I41" i="8"/>
  <c r="J41" i="8"/>
  <c r="K41" i="8"/>
  <c r="L41" i="8"/>
  <c r="M41" i="8"/>
  <c r="N41" i="8"/>
  <c r="O41" i="8"/>
  <c r="P41" i="8"/>
  <c r="Q41" i="8"/>
  <c r="R41" i="8"/>
  <c r="B42" i="8"/>
  <c r="C42" i="8"/>
  <c r="D42" i="8"/>
  <c r="B43" i="8"/>
  <c r="C43" i="8"/>
  <c r="D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S4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2" headerRowCount="1">
  <autoFilter ref="A28:D3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4" headerRowCount="1">
  <autoFilter ref="A30:D3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1_1" displayName="T_All_Questions_41_1" ref="A41:D44" headerRowCount="1">
  <autoFilter ref="A41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IFERROR(INDEX(All_Questions_Data_Names,MATCH(F_Custom1_Q,All_Questions,0)),"'_RawData'!$A:$A")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IFERROR(INDEX(All_Questions_Data_Names,MATCH(F_Custom2_Q,All_Questions,0)),"'_RawData'!$A:$A")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=INDIRECT(IFERROR(INDEX(All_Questions_Options_Names,MATCH(F_Custom1_Q,All_Questions,0)),"'_Options'!$E$2:$E$2"))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IFERROR(INDEX(All_Questions_Data_Names,MATCH(Demographics_F_Custom1_Q_resolved,All_Questions,0)),"'_RawData'!$A:$A")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IFERROR(INDEX(All_Questions_Data_Names,MATCH(Demographics_F_Custom2_Q_resolved,All_Questions,0)),"'_RawData'!$A:$A")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IFERROR(INDEX(All_Questions_Data_Names,MATCH(Demographics_Q_SS_EXPORT_F_Q,All_Questions,0)),"'_RawData'!$A:$A")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4" t="inlineStr">
        <is>
          <t>Option</t>
        </is>
      </c>
      <c r="G18" s="2" t="str">
        <f>IF(Demographics_Q_SS_EXPORT_CT="(None)","",IFERROR(INDEX(INDIRECT(IFERROR(INDEX(All_Questions_Options_Names,MATCH(Demographics_Q_SS_EXPORT_CT,All_Questions,0)),"'_Options'!$E$2:$E$2")),2),""))</f>
        <v/>
      </c>
      <c r="H18" s="2" t="str">
        <f>IF(Demographics_Q_SS_EXPORT_CT="(None)","",IFERROR(INDEX(INDIRECT(IFERROR(INDEX(All_Questions_Options_Names,MATCH(Demographics_Q_SS_EXPORT_CT,All_Questions,0)),"'_Options'!$E$2:$E$2")),3),""))</f>
        <v/>
      </c>
      <c r="I18" s="2" t="str">
        <f>IF(Demographics_Q_SS_EXPORT_CT="(None)","",IFERROR(INDEX(INDIRECT(IFERROR(INDEX(All_Questions_Options_Names,MATCH(Demographics_Q_SS_EXPORT_CT,All_Questions,0)),"'_Options'!$E$2:$E$2")),4),""))</f>
        <v/>
      </c>
      <c r="J18" s="2" t="str">
        <f>IF(Demographics_Q_SS_EXPORT_CT="(None)","",IFERROR(INDEX(INDIRECT(IFERROR(INDEX(All_Questions_Options_Names,MATCH(Demographics_Q_SS_EXPORT_CT,All_Questions,0)),"'_Options'!$E$2:$E$2")),5),""))</f>
        <v/>
      </c>
      <c r="K18" s="2" t="str">
        <f>IF(Demographics_Q_SS_EXPORT_CT="(None)","",IFERROR(INDEX(INDIRECT(IFERROR(INDEX(All_Questions_Options_Names,MATCH(Demographics_Q_SS_EXPORT_CT,All_Questions,0)),"'_Options'!$E$2:$E$2")),6),""))</f>
        <v/>
      </c>
      <c r="L18" s="2" t="str">
        <f>IF(Demographics_Q_SS_EXPORT_CT="(None)","",IFERROR(INDEX(INDIRECT(IFERROR(INDEX(All_Questions_Options_Names,MATCH(Demographics_Q_SS_EXPORT_CT,All_Questions,0)),"'_Options'!$E$2:$E$2")),7),""))</f>
        <v/>
      </c>
      <c r="M18" s="2" t="str">
        <f>IF(Demographics_Q_SS_EXPORT_CT="(None)","",IFERROR(INDEX(INDIRECT(IFERROR(INDEX(All_Questions_Options_Names,MATCH(Demographics_Q_SS_EXPORT_CT,All_Questions,0)),"'_Options'!$E$2:$E$2")),8),""))</f>
        <v/>
      </c>
      <c r="N18" s="2" t="str">
        <f>IF(Demographics_Q_SS_EXPORT_CT="(None)","",IFERROR(INDEX(INDIRECT(IFERROR(INDEX(All_Questions_Options_Names,MATCH(Demographics_Q_SS_EXPORT_CT,All_Questions,0)),"'_Options'!$E$2:$E$2")),9),""))</f>
        <v/>
      </c>
      <c r="O18" s="2" t="str">
        <f>IF(Demographics_Q_SS_EXPORT_CT="(None)","",IFERROR(INDEX(INDIRECT(IFERROR(INDEX(All_Questions_Options_Names,MATCH(Demographics_Q_SS_EXPORT_CT,All_Questions,0)),"'_Options'!$E$2:$E$2")),10),""))</f>
        <v/>
      </c>
      <c r="P18" s="2" t="str">
        <f>IF(Demographics_Q_SS_EXPORT_CT="(None)","",IFERROR(INDEX(INDIRECT(IFERROR(INDEX(All_Questions_Options_Names,MATCH(Demographics_Q_SS_EXPORT_CT,All_Questions,0)),"'_Options'!$E$2:$E$2")),11),""))</f>
        <v/>
      </c>
      <c r="Q18" s="2" t="str">
        <f>IF(Demographics_Q_SS_EXPORT_CT="(None)","",IFERROR(INDEX(INDIRECT(IFERROR(INDEX(All_Questions_Options_Names,MATCH(Demographics_Q_SS_EXPORT_CT,All_Questions,0)),"'_Options'!$E$2:$E$2")),12),""))</f>
        <v/>
      </c>
      <c r="R18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8" s="4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s="4" t="inlineStr"/>
      <c r="G19" s="4" t="inlineStr">
        <is>
          <t># of resp</t>
        </is>
      </c>
      <c r="H19" s="4" t="inlineStr">
        <is>
          <t># of resp</t>
        </is>
      </c>
      <c r="I19" s="4" t="inlineStr">
        <is>
          <t># of resp</t>
        </is>
      </c>
      <c r="J19" s="4" t="inlineStr">
        <is>
          <t># of resp</t>
        </is>
      </c>
      <c r="K19" s="4" t="inlineStr">
        <is>
          <t># of resp</t>
        </is>
      </c>
      <c r="L19" s="4" t="inlineStr">
        <is>
          <t># of resp</t>
        </is>
      </c>
      <c r="M19" s="4" t="inlineStr">
        <is>
          <t># of resp</t>
        </is>
      </c>
      <c r="N19" s="4" t="inlineStr">
        <is>
          <t># of resp</t>
        </is>
      </c>
      <c r="O19" s="4" t="inlineStr">
        <is>
          <t># of resp</t>
        </is>
      </c>
      <c r="P19" s="4" t="inlineStr">
        <is>
          <t># of resp</t>
        </is>
      </c>
      <c r="Q19" s="4" t="inlineStr">
        <is>
          <t># of resp</t>
        </is>
      </c>
      <c r="R19" s="4" t="inlineStr">
        <is>
          <t># of resp</t>
        </is>
      </c>
      <c r="S19" s="4" t="inlineStr">
        <is>
          <t># of resp</t>
        </is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Yes</t>
        </is>
      </c>
      <c r="G20">
        <f>IF(OR(Demographics_Q_SS_EXPORT_CT="(None)",G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0">
        <f>IF(OR(Demographics_Q_SS_EXPORT_CT="(None)",H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0">
        <f>IF(OR(Demographics_Q_SS_EXPORT_CT="(None)",I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0">
        <f>IF(OR(Demographics_Q_SS_EXPORT_CT="(None)",J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0">
        <f>IF(OR(Demographics_Q_SS_EXPORT_CT="(None)",K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0">
        <f>IF(OR(Demographics_Q_SS_EXPORT_CT="(None)",L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0">
        <f>IF(OR(Demographics_Q_SS_EXPORT_CT="(None)",M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0">
        <f>IF(OR(Demographics_Q_SS_EXPORT_CT="(None)",N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0">
        <f>IF(OR(Demographics_Q_SS_EXPORT_CT="(None)",O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0">
        <f>IF(OR(Demographics_Q_SS_EXPORT_CT="(None)",P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0">
        <f>IF(OR(Demographics_Q_SS_EXPORT_CT="(None)",Q$18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0">
        <f>IF(OR(Demographics_Q_SS_EXPORT_CT="(None)",R$18=""),"",IF(R$18="Other",COUNTIFS(Q_SS_EXPORT_data,"Yes",passes_workbook_filters_data,1,passes_workbook_custom_filters_data,1,Demographics_passes_local_filters_data,1,Demographics_Q_SS_EXPORT_F_passes_per_q_filter_data,1)-SUM(G20,H20,I20,J20,K20,L20,M20,N20,O20,P20,Q20)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0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F21" t="inlineStr">
        <is>
          <t>No</t>
        </is>
      </c>
      <c r="G21">
        <f>IF(OR(Demographics_Q_SS_EXPORT_CT="(None)",G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$18))</f>
        <v>0</v>
      </c>
      <c r="H21">
        <f>IF(OR(Demographics_Q_SS_EXPORT_CT="(None)",H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$18))</f>
        <v>0</v>
      </c>
      <c r="I21">
        <f>IF(OR(Demographics_Q_SS_EXPORT_CT="(None)",I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$18))</f>
        <v>0</v>
      </c>
      <c r="J21">
        <f>IF(OR(Demographics_Q_SS_EXPORT_CT="(None)",J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$18))</f>
        <v>0</v>
      </c>
      <c r="K21">
        <f>IF(OR(Demographics_Q_SS_EXPORT_CT="(None)",K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$18))</f>
        <v>0</v>
      </c>
      <c r="L21">
        <f>IF(OR(Demographics_Q_SS_EXPORT_CT="(None)",L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$18))</f>
        <v>0</v>
      </c>
      <c r="M21">
        <f>IF(OR(Demographics_Q_SS_EXPORT_CT="(None)",M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$18))</f>
        <v>0</v>
      </c>
      <c r="N21">
        <f>IF(OR(Demographics_Q_SS_EXPORT_CT="(None)",N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$18))</f>
        <v>0</v>
      </c>
      <c r="O21">
        <f>IF(OR(Demographics_Q_SS_EXPORT_CT="(None)",O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$18))</f>
        <v>0</v>
      </c>
      <c r="P21">
        <f>IF(OR(Demographics_Q_SS_EXPORT_CT="(None)",P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$18))</f>
        <v>0</v>
      </c>
      <c r="Q21">
        <f>IF(OR(Demographics_Q_SS_EXPORT_CT="(None)",Q$18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$18))</f>
        <v>0</v>
      </c>
      <c r="R21">
        <f>IF(OR(Demographics_Q_SS_EXPORT_CT="(None)",R$18=""),"",IF(R$18="Other",COUNTIFS(Q_SS_EXPORT_data,"No",passes_workbook_filters_data,1,passes_workbook_custom_filters_data,1,Demographics_passes_local_filters_data,1,Demographics_Q_SS_EXPORT_F_passes_per_q_filter_data,1)-SUM(G21,H21,I21,J21,K21,L21,M21,N21,O21,P21,Q21)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$18)))</f>
        <v>0</v>
      </c>
      <c r="S21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2">
      <c r="F22" s="4" t="inlineStr">
        <is>
          <t>Total respondents</t>
        </is>
      </c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IFERROR(INDEX(All_Questions_Data_Names,MATCH(Demographics_Q_MS_EXPORT_F_Q,All_Questions,0)),"'_RawData'!$A:$A")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IF(Demographics_Q_MS_EXPORT_CT="(None)","",IFERROR(INDEX(INDIRECT(IFERROR(INDEX(All_Questions_Options_Names,MATCH(Demographics_Q_MS_EXPORT_CT,All_Questions,0)),"'_Options'!$E$2:$E$2")),2),""))</f>
        <v/>
      </c>
      <c r="H28" s="2" t="str">
        <f>IF(Demographics_Q_MS_EXPORT_CT="(None)","",IFERROR(INDEX(INDIRECT(IFERROR(INDEX(All_Questions_Options_Names,MATCH(Demographics_Q_MS_EXPORT_CT,All_Questions,0)),"'_Options'!$E$2:$E$2")),3),""))</f>
        <v/>
      </c>
      <c r="I28" s="2" t="str">
        <f>IF(Demographics_Q_MS_EXPORT_CT="(None)","",IFERROR(INDEX(INDIRECT(IFERROR(INDEX(All_Questions_Options_Names,MATCH(Demographics_Q_MS_EXPORT_CT,All_Questions,0)),"'_Options'!$E$2:$E$2")),4),""))</f>
        <v/>
      </c>
      <c r="J28" s="2" t="str">
        <f>IF(Demographics_Q_MS_EXPORT_CT="(None)","",IFERROR(INDEX(INDIRECT(IFERROR(INDEX(All_Questions_Options_Names,MATCH(Demographics_Q_MS_EXPORT_CT,All_Questions,0)),"'_Options'!$E$2:$E$2")),5),""))</f>
        <v/>
      </c>
      <c r="K28" s="2" t="str">
        <f>IF(Demographics_Q_MS_EXPORT_CT="(None)","",IFERROR(INDEX(INDIRECT(IFERROR(INDEX(All_Questions_Options_Names,MATCH(Demographics_Q_MS_EXPORT_CT,All_Questions,0)),"'_Options'!$E$2:$E$2")),6),""))</f>
        <v/>
      </c>
      <c r="L28" s="2" t="str">
        <f>IF(Demographics_Q_MS_EXPORT_CT="(None)","",IFERROR(INDEX(INDIRECT(IFERROR(INDEX(All_Questions_Options_Names,MATCH(Demographics_Q_MS_EXPORT_CT,All_Questions,0)),"'_Options'!$E$2:$E$2")),7),""))</f>
        <v/>
      </c>
      <c r="M28" s="2" t="str">
        <f>IF(Demographics_Q_MS_EXPORT_CT="(None)","",IFERROR(INDEX(INDIRECT(IFERROR(INDEX(All_Questions_Options_Names,MATCH(Demographics_Q_MS_EXPORT_CT,All_Questions,0)),"'_Options'!$E$2:$E$2")),8),""))</f>
        <v/>
      </c>
      <c r="N28" s="2" t="str">
        <f>IF(Demographics_Q_MS_EXPORT_CT="(None)","",IFERROR(INDEX(INDIRECT(IFERROR(INDEX(All_Questions_Options_Names,MATCH(Demographics_Q_MS_EXPORT_CT,All_Questions,0)),"'_Options'!$E$2:$E$2")),9),""))</f>
        <v/>
      </c>
      <c r="O28" s="2" t="str">
        <f>IF(Demographics_Q_MS_EXPORT_CT="(None)","",IFERROR(INDEX(INDIRECT(IFERROR(INDEX(All_Questions_Options_Names,MATCH(Demographics_Q_MS_EXPORT_CT,All_Questions,0)),"'_Options'!$E$2:$E$2")),10),""))</f>
        <v/>
      </c>
      <c r="P28" s="2" t="str">
        <f>IF(Demographics_Q_MS_EXPORT_CT="(None)","",IFERROR(INDEX(INDIRECT(IFERROR(INDEX(All_Questions_Options_Names,MATCH(Demographics_Q_MS_EXPORT_CT,All_Questions,0)),"'_Options'!$E$2:$E$2")),11),""))</f>
        <v/>
      </c>
      <c r="Q28" s="2" t="str">
        <f>IF(Demographics_Q_MS_EXPORT_CT="(None)","",IFERROR(INDEX(INDIRECT(IFERROR(INDEX(All_Questions_Options_Names,MATCH(Demographics_Q_MS_EXPORT_CT,All_Questions,0)),"'_Options'!$E$2:$E$2")),12),""))</f>
        <v/>
      </c>
      <c r="R28" s="2" t="str">
        <f>IF(Demographics_Q_MS_EXPORT_CT="(None)","",IF(COUNTA(INDIRECT(IFERROR(INDEX(All_Questions_Options_Names,MATCH(Demographics_Q_MS_EXPORT_CT,All_Questions,0)),"'_Options'!$E$2:$E$2")))-1&gt;11,"Other",IFERROR(INDEX(INDIRECT(IFERROR(INDEX(All_Questions_Options_Names,MATCH(Demographics_Q_MS_EXPORT_CT,All_Questions,0)),"'_Options'!$E$2:$E$2")),13),"")))</f>
        <v/>
      </c>
      <c r="S28" s="4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First</t>
        </is>
      </c>
      <c r="G30">
        <f>IF(OR(Demographics_Q_MS_EXPORT_CT="(None)",G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0">
        <f>IF(OR(Demographics_Q_MS_EXPORT_CT="(None)",H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0">
        <f>IF(OR(Demographics_Q_MS_EXPORT_CT="(None)",I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0">
        <f>IF(OR(Demographics_Q_MS_EXPORT_CT="(None)",J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0">
        <f>IF(OR(Demographics_Q_MS_EXPORT_CT="(None)",K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0">
        <f>IF(OR(Demographics_Q_MS_EXPORT_CT="(None)",L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0">
        <f>IF(OR(Demographics_Q_MS_EXPORT_CT="(None)",M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0">
        <f>IF(OR(Demographics_Q_MS_EXPORT_CT="(None)",N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0">
        <f>IF(OR(Demographics_Q_MS_EXPORT_CT="(None)",O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0">
        <f>IF(OR(Demographics_Q_MS_EXPORT_CT="(None)",P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0">
        <f>IF(OR(Demographics_Q_MS_EXPORT_CT="(None)",Q$28=""),""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0">
        <f>IF(OR(Demographics_Q_MS_EXPORT_CT="(None)",R$28=""),"",IF(R$28="Other",COUNTIFS(Q_MS_EXPORTr1_data,"Selected",passes_workbook_filters_data,1,passes_workbook_custom_filters_data,1,Demographics_passes_local_filters_data,1,Demographics_Q_MS_EXPORT_F_passes_per_q_filter_data,1)-SUM(G30,H30,I30,J30,K30,L30,M30,N30,O30,P30,Q30),COUNTIFS(Q_MS_EXPORTr1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0">
        <f>IF(Demographics_Q_MS_EXPORT_CT="(None)","",COUNTIFS(Q_MS_EXPORTr1_data,"Selected",passes_workbook_filters_data,1,passes_workbook_custom_filters_data,1,Demographics_passes_local_filters_data,1,Demographics_Q_MS_EXPORT_F_passes_per_q_filter_data,1))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Second</t>
        </is>
      </c>
      <c r="G31">
        <f>IF(OR(Demographics_Q_MS_EXPORT_CT="(None)",G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G$28))</f>
        <v>0</v>
      </c>
      <c r="H31">
        <f>IF(OR(Demographics_Q_MS_EXPORT_CT="(None)",H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H$28))</f>
        <v>0</v>
      </c>
      <c r="I31">
        <f>IF(OR(Demographics_Q_MS_EXPORT_CT="(None)",I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I$28))</f>
        <v>0</v>
      </c>
      <c r="J31">
        <f>IF(OR(Demographics_Q_MS_EXPORT_CT="(None)",J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J$28))</f>
        <v>0</v>
      </c>
      <c r="K31">
        <f>IF(OR(Demographics_Q_MS_EXPORT_CT="(None)",K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K$28))</f>
        <v>0</v>
      </c>
      <c r="L31">
        <f>IF(OR(Demographics_Q_MS_EXPORT_CT="(None)",L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L$28))</f>
        <v>0</v>
      </c>
      <c r="M31">
        <f>IF(OR(Demographics_Q_MS_EXPORT_CT="(None)",M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M$28))</f>
        <v>0</v>
      </c>
      <c r="N31">
        <f>IF(OR(Demographics_Q_MS_EXPORT_CT="(None)",N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N$28))</f>
        <v>0</v>
      </c>
      <c r="O31">
        <f>IF(OR(Demographics_Q_MS_EXPORT_CT="(None)",O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O$28))</f>
        <v>0</v>
      </c>
      <c r="P31">
        <f>IF(OR(Demographics_Q_MS_EXPORT_CT="(None)",P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P$28))</f>
        <v>0</v>
      </c>
      <c r="Q31">
        <f>IF(OR(Demographics_Q_MS_EXPORT_CT="(None)",Q$28=""),""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Q$28))</f>
        <v>0</v>
      </c>
      <c r="R31">
        <f>IF(OR(Demographics_Q_MS_EXPORT_CT="(None)",R$28=""),"",IF(R$28="Other",COUNTIFS(Q_MS_EXPORTr2_data,"Selected",passes_workbook_filters_data,1,passes_workbook_custom_filters_data,1,Demographics_passes_local_filters_data,1,Demographics_Q_MS_EXPORT_F_passes_per_q_filter_data,1)-SUM(G31,H31,I31,J31,K31,L31,M31,N31,O31,P31,Q31),COUNTIFS(Q_MS_EXPORTr2_data,"Selected",passes_workbook_filters_data,1,passes_workbook_custom_filters_data,1,Demographics_passes_local_filters_data,1,Demographics_Q_MS_EXPORT_F_passes_per_q_filter_data,1,INDIRECT(IFERROR(INDEX(All_Questions_Data_Names,MATCH(Demographics_Q_MS_EXPORT_CT,All_Questions,0)),"'_RawData'!$A:$A")),R$28)))</f>
        <v>0</v>
      </c>
      <c r="S31">
        <f>IF(Demographics_Q_MS_EXPORT_CT="(None)","",COUNTIFS(Q_MS_EXPORTr2_data,"Selected",passes_workbook_filters_data,1,passes_workbook_custom_filters_data,1,Demographics_passes_local_filters_data,1,Demographics_Q_MS_EXPORT_F_passes_per_q_filter_data,1))</f>
        <v>0</v>
      </c>
    </row>
    <row r="32">
      <c r="A32" s="4" t="inlineStr">
        <is>
          <t>Total responses</t>
        </is>
      </c>
      <c r="B32" s="4" t="n">
        <v>7</v>
      </c>
      <c r="C32" s="4" t="n"/>
      <c r="D32" s="4" t="n"/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IF(Demographics_Q_MS_EXPORT_CT="(None)","",COUNTIFS(respondent_id_data,"&lt;&gt;",passes_workbook_filters_data,1,passes_workbook_custom_filters_data,1,Demographics_passes_local_filters_data,1,Demographics_Q_MS_EXPORT_F_passes_per_q_filter_data,1))</f>
        <v>0</v>
      </c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0:G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0:H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0:I2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0:J2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0:K2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0:L2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0:M2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0:N2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0:O2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0:P2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0:Q2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0:R2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=INDIRECT(IFERROR(INDEX(All_Questions_Options_Names,MATCH(Demographics_Q_MS_EXPORT_F_Q,All_Questions,0)),"'_Options'!$E$2:$E$2"))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4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IFERROR(INDEX(All_Questions_Data_Names,MATCH(All_Questions_F_Custom1_Q_resolved,All_Questions,0)),"'_RawData'!$A:$A")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IFERROR(INDEX(All_Questions_Data_Names,MATCH(All_Questions_F_Custom2_Q_resolved,All_Questions,0)),"'_RawData'!$A:$A")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 question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IFERROR(INDEX(All_Questions_Data_Names,MATCH(All_Questions_Q_NUM_EXPORT_F_Q,All_Questions,0)),"'_RawData'!$A:$A")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 question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IFERROR(INDEX(All_Questions_Data_Names,MATCH(All_Questions_Q_GRID_EXPORT_F_Q,All_Questions,0)),"'_RawData'!$A:$A")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4" t="inlineStr">
        <is>
          <t>Option</t>
        </is>
      </c>
      <c r="G30" s="2" t="str">
        <f>IF(All_Questions_Q_GRID_EXPORT_CT="(None)","",IFERROR(INDEX(INDIRECT(IFERROR(INDEX(All_Questions_Options_Names,MATCH(All_Questions_Q_GRID_EXPORT_CT,All_Questions,0)),"'_Options'!$E$2:$E$2")),2),""))</f>
        <v/>
      </c>
      <c r="H30" s="2" t="str">
        <f>IF(All_Questions_Q_GRID_EXPORT_CT="(None)","",IFERROR(INDEX(INDIRECT(IFERROR(INDEX(All_Questions_Options_Names,MATCH(All_Questions_Q_GRID_EXPORT_CT,All_Questions,0)),"'_Options'!$E$2:$E$2")),3),""))</f>
        <v/>
      </c>
      <c r="I30" s="2" t="str">
        <f>IF(All_Questions_Q_GRID_EXPORT_CT="(None)","",IFERROR(INDEX(INDIRECT(IFERROR(INDEX(All_Questions_Options_Names,MATCH(All_Questions_Q_GRID_EXPORT_CT,All_Questions,0)),"'_Options'!$E$2:$E$2")),4),""))</f>
        <v/>
      </c>
      <c r="J30" s="2" t="str">
        <f>IF(All_Questions_Q_GRID_EXPORT_CT="(None)","",IFERROR(INDEX(INDIRECT(IFERROR(INDEX(All_Questions_Options_Names,MATCH(All_Questions_Q_GRID_EXPORT_CT,All_Questions,0)),"'_Options'!$E$2:$E$2")),5),""))</f>
        <v/>
      </c>
      <c r="K30" s="2" t="str">
        <f>IF(All_Questions_Q_GRID_EXPORT_CT="(None)","",IFERROR(INDEX(INDIRECT(IFERROR(INDEX(All_Questions_Options_Names,MATCH(All_Questions_Q_GRID_EXPORT_CT,All_Questions,0)),"'_Options'!$E$2:$E$2")),6),""))</f>
        <v/>
      </c>
      <c r="L30" s="2" t="str">
        <f>IF(All_Questions_Q_GRID_EXPORT_CT="(None)","",IFERROR(INDEX(INDIRECT(IFERROR(INDEX(All_Questions_Options_Names,MATCH(All_Questions_Q_GRID_EXPORT_CT,All_Questions,0)),"'_Options'!$E$2:$E$2")),7),""))</f>
        <v/>
      </c>
      <c r="M30" s="2" t="str">
        <f>IF(All_Questions_Q_GRID_EXPORT_CT="(None)","",IFERROR(INDEX(INDIRECT(IFERROR(INDEX(All_Questions_Options_Names,MATCH(All_Questions_Q_GRID_EXPORT_CT,All_Questions,0)),"'_Options'!$E$2:$E$2")),8),""))</f>
        <v/>
      </c>
      <c r="N30" s="2" t="str">
        <f>IF(All_Questions_Q_GRID_EXPORT_CT="(None)","",IFERROR(INDEX(INDIRECT(IFERROR(INDEX(All_Questions_Options_Names,MATCH(All_Questions_Q_GRID_EXPORT_CT,All_Questions,0)),"'_Options'!$E$2:$E$2")),9),""))</f>
        <v/>
      </c>
      <c r="O30" s="2" t="str">
        <f>IF(All_Questions_Q_GRID_EXPORT_CT="(None)","",IFERROR(INDEX(INDIRECT(IFERROR(INDEX(All_Questions_Options_Names,MATCH(All_Questions_Q_GRID_EXPORT_CT,All_Questions,0)),"'_Options'!$E$2:$E$2")),10),""))</f>
        <v/>
      </c>
      <c r="P30" s="2" t="str">
        <f>IF(All_Questions_Q_GRID_EXPORT_CT="(None)","",IFERROR(INDEX(INDIRECT(IFERROR(INDEX(All_Questions_Options_Names,MATCH(All_Questions_Q_GRID_EXPORT_CT,All_Questions,0)),"'_Options'!$E$2:$E$2")),11),""))</f>
        <v/>
      </c>
      <c r="Q30" s="2" t="str">
        <f>IF(All_Questions_Q_GRID_EXPORT_CT="(None)","",IFERROR(INDEX(INDIRECT(IFERROR(INDEX(All_Questions_Options_Names,MATCH(All_Questions_Q_GRID_EXPORT_CT,All_Questions,0)),"'_Options'!$E$2:$E$2")),12),""))</f>
        <v/>
      </c>
      <c r="R3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30" s="4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s="4" t="inlineStr"/>
      <c r="G31" s="4" t="inlineStr">
        <is>
          <t># of resp</t>
        </is>
      </c>
      <c r="H31" s="4" t="inlineStr">
        <is>
          <t># of resp</t>
        </is>
      </c>
      <c r="I31" s="4" t="inlineStr">
        <is>
          <t># of resp</t>
        </is>
      </c>
      <c r="J31" s="4" t="inlineStr">
        <is>
          <t># of resp</t>
        </is>
      </c>
      <c r="K31" s="4" t="inlineStr">
        <is>
          <t># of resp</t>
        </is>
      </c>
      <c r="L31" s="4" t="inlineStr">
        <is>
          <t># of resp</t>
        </is>
      </c>
      <c r="M31" s="4" t="inlineStr">
        <is>
          <t># of resp</t>
        </is>
      </c>
      <c r="N31" s="4" t="inlineStr">
        <is>
          <t># of resp</t>
        </is>
      </c>
      <c r="O31" s="4" t="inlineStr">
        <is>
          <t># of resp</t>
        </is>
      </c>
      <c r="P31" s="4" t="inlineStr">
        <is>
          <t># of resp</t>
        </is>
      </c>
      <c r="Q31" s="4" t="inlineStr">
        <is>
          <t># of resp</t>
        </is>
      </c>
      <c r="R31" s="4" t="inlineStr">
        <is>
          <t># of resp</t>
        </is>
      </c>
      <c r="S31" s="4" t="inlineStr">
        <is>
          <t># of resp</t>
        </is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first row</t>
        </is>
      </c>
      <c r="G32">
        <f>IF(OR(All_Questions_Q_GRID_EXPORT_CT="(None)",G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2">
        <f>IF(OR(All_Questions_Q_GRID_EXPORT_CT="(None)",H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2">
        <f>IF(OR(All_Questions_Q_GRID_EXPORT_CT="(None)",I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2">
        <f>IF(OR(All_Questions_Q_GRID_EXPORT_CT="(None)",J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2">
        <f>IF(OR(All_Questions_Q_GRID_EXPORT_CT="(None)",K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2">
        <f>IF(OR(All_Questions_Q_GRID_EXPORT_CT="(None)",L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2">
        <f>IF(OR(All_Questions_Q_GRID_EXPORT_CT="(None)",M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2">
        <f>IF(OR(All_Questions_Q_GRID_EXPORT_CT="(None)",N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2">
        <f>IF(OR(All_Questions_Q_GRID_EXPORT_CT="(None)",O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2">
        <f>IF(OR(All_Questions_Q_GRID_EXPORT_CT="(None)",P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2">
        <f>IF(OR(All_Questions_Q_GRID_EXPORT_CT="(None)",Q$30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2">
        <f>IF(OR(All_Questions_Q_GRID_EXPORT_CT="(None)",R$30=""),"",IF(R$30="Other",COUNTIFS(Q_GRID_EXPORTr1_data,"Selected",passes_workbook_filters_data,1,passes_workbook_custom_filters_data,1,All_Questions_passes_local_filters_data,1,All_Questions_Q_GRID_EXPORT_F_passes_per_q_filter_data,1)-SUM(G32,H32,I32,J32,K32,L32,M32,N32,O32,P32,Q32)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3">
      <c r="A33" s="15" t="inlineStr">
        <is>
          <t>Total respondents</t>
        </is>
      </c>
      <c r="B33" s="15" t="n">
        <v>10</v>
      </c>
      <c r="C33" s="15" t="n"/>
      <c r="D33" s="15" t="n"/>
      <c r="F33" t="inlineStr">
        <is>
          <t>Grid second row</t>
        </is>
      </c>
      <c r="G33">
        <f>IF(OR(All_Questions_Q_GRID_EXPORT_CT="(None)",G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$30))</f>
        <v>0</v>
      </c>
      <c r="H33">
        <f>IF(OR(All_Questions_Q_GRID_EXPORT_CT="(None)",H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$30))</f>
        <v>0</v>
      </c>
      <c r="I33">
        <f>IF(OR(All_Questions_Q_GRID_EXPORT_CT="(None)",I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$30))</f>
        <v>0</v>
      </c>
      <c r="J33">
        <f>IF(OR(All_Questions_Q_GRID_EXPORT_CT="(None)",J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$30))</f>
        <v>0</v>
      </c>
      <c r="K33">
        <f>IF(OR(All_Questions_Q_GRID_EXPORT_CT="(None)",K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$30))</f>
        <v>0</v>
      </c>
      <c r="L33">
        <f>IF(OR(All_Questions_Q_GRID_EXPORT_CT="(None)",L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$30))</f>
        <v>0</v>
      </c>
      <c r="M33">
        <f>IF(OR(All_Questions_Q_GRID_EXPORT_CT="(None)",M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$30))</f>
        <v>0</v>
      </c>
      <c r="N33">
        <f>IF(OR(All_Questions_Q_GRID_EXPORT_CT="(None)",N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$30))</f>
        <v>0</v>
      </c>
      <c r="O33">
        <f>IF(OR(All_Questions_Q_GRID_EXPORT_CT="(None)",O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$30))</f>
        <v>0</v>
      </c>
      <c r="P33">
        <f>IF(OR(All_Questions_Q_GRID_EXPORT_CT="(None)",P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$30))</f>
        <v>0</v>
      </c>
      <c r="Q33">
        <f>IF(OR(All_Questions_Q_GRID_EXPORT_CT="(None)",Q$30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$30))</f>
        <v>0</v>
      </c>
      <c r="R33">
        <f>IF(OR(All_Questions_Q_GRID_EXPORT_CT="(None)",R$30=""),"",IF(R$30="Other",COUNTIFS(Q_GRID_EXPORTr2_data,"Selected",passes_workbook_filters_data,1,passes_workbook_custom_filters_data,1,All_Questions_passes_local_filters_data,1,All_Questions_Q_GRID_EXPORT_F_passes_per_q_filter_data,1)-SUM(G33,H33,I33,J33,K33,L33,M33,N33,O33,P33,Q33)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$30)))</f>
        <v>0</v>
      </c>
      <c r="S3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4">
      <c r="A34" s="4" t="inlineStr">
        <is>
          <t>Total responses</t>
        </is>
      </c>
      <c r="B34" s="4" t="n">
        <v>20</v>
      </c>
      <c r="C34" s="4" t="n"/>
      <c r="D34" s="4" t="n"/>
      <c r="F34" s="4" t="inlineStr">
        <is>
          <t>Total respondents</t>
        </is>
      </c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6">
      <c r="A36" s="11" t="n"/>
      <c r="B36" s="11" t="n"/>
      <c r="C36" s="11" t="n"/>
      <c r="D36" s="11" t="n"/>
      <c r="E36" s="11" t="n"/>
      <c r="F36" s="11" t="n"/>
      <c r="G36" s="11" t="n"/>
      <c r="H36" s="11" t="n"/>
      <c r="I36" s="11" t="n"/>
      <c r="J36" s="11" t="n"/>
    </row>
    <row r="37">
      <c r="A37" s="12" t="inlineStr">
        <is>
          <t>Q_VERY_LONG_SINGLE_SELECT_EXPORT_NAME - Long sheet name export question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</row>
    <row r="38">
      <c r="A38" s="13" t="inlineStr">
        <is>
          <t>Per-question filter</t>
        </is>
      </c>
      <c r="B38" t="inlineStr">
        <is>
          <t>Filter Q</t>
        </is>
      </c>
      <c r="C38" t="inlineStr">
        <is>
          <t>(None)</t>
        </is>
      </c>
      <c r="D38" t="inlineStr">
        <is>
          <t>Value</t>
        </is>
      </c>
      <c r="E38" t="inlineStr">
        <is>
          <t>(All)</t>
        </is>
      </c>
      <c r="F38" t="str">
        <f>IFERROR(INDEX(All_Questions_Data_Names,MATCH(All_Questions_Q_VERY_LONG_SINGLE_SELECT_EXPORT_NAME_F_Q,All_Questions,0)),"'_RawData'!$A:$A")</f>
        <v>respondent_id_data</v>
      </c>
      <c r="G38" t="str">
        <f>"|" &amp; SUBSTITUTE(All_Questions_Q_VERY_LONG_SINGLE_SELECT_EXPORT_NAME_F_V, ", ", "|") &amp; "|"</f>
        <v>|(All)|</v>
      </c>
    </row>
    <row r="39">
      <c r="A39" s="13" t="inlineStr">
        <is>
          <t>Cross-tab by</t>
        </is>
      </c>
      <c r="C39" t="inlineStr">
        <is>
          <t>(None)</t>
        </is>
      </c>
    </row>
    <row r="41">
      <c r="A41" s="4" t="inlineStr">
        <is>
          <t>Option</t>
        </is>
      </c>
      <c r="B41" s="4" t="inlineStr">
        <is>
          <t>Count</t>
        </is>
      </c>
      <c r="C41" s="4" t="inlineStr">
        <is>
          <t>%</t>
        </is>
      </c>
      <c r="D41" s="4" t="inlineStr">
        <is>
          <t>Denominator</t>
        </is>
      </c>
      <c r="F41" s="4" t="inlineStr">
        <is>
          <t>Option</t>
        </is>
      </c>
      <c r="G4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4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4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4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4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4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4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4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4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4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4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4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41" s="4" t="inlineStr">
        <is>
          <t>Total</t>
        </is>
      </c>
    </row>
    <row r="42">
      <c r="A42" t="inlineStr">
        <is>
          <t>A</t>
        </is>
      </c>
      <c r="B4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2" s="7">
        <f>IFERROR(B42/SUBTOTAL(9,B42:B43),0)</f>
        <v>0.7</v>
      </c>
      <c r="D42" s="14">
        <f>SUBTOTAL(9,B42:B43)</f>
        <v>10</v>
      </c>
      <c r="F42" s="4" t="inlineStr"/>
      <c r="G42" s="4" t="inlineStr">
        <is>
          <t># of resp</t>
        </is>
      </c>
      <c r="H42" s="4" t="inlineStr">
        <is>
          <t># of resp</t>
        </is>
      </c>
      <c r="I42" s="4" t="inlineStr">
        <is>
          <t># of resp</t>
        </is>
      </c>
      <c r="J42" s="4" t="inlineStr">
        <is>
          <t># of resp</t>
        </is>
      </c>
      <c r="K42" s="4" t="inlineStr">
        <is>
          <t># of resp</t>
        </is>
      </c>
      <c r="L42" s="4" t="inlineStr">
        <is>
          <t># of resp</t>
        </is>
      </c>
      <c r="M42" s="4" t="inlineStr">
        <is>
          <t># of resp</t>
        </is>
      </c>
      <c r="N42" s="4" t="inlineStr">
        <is>
          <t># of resp</t>
        </is>
      </c>
      <c r="O42" s="4" t="inlineStr">
        <is>
          <t># of resp</t>
        </is>
      </c>
      <c r="P42" s="4" t="inlineStr">
        <is>
          <t># of resp</t>
        </is>
      </c>
      <c r="Q42" s="4" t="inlineStr">
        <is>
          <t># of resp</t>
        </is>
      </c>
      <c r="R42" s="4" t="inlineStr">
        <is>
          <t># of resp</t>
        </is>
      </c>
      <c r="S42" s="4" t="inlineStr">
        <is>
          <t># of resp</t>
        </is>
      </c>
    </row>
    <row r="43">
      <c r="A43" t="inlineStr">
        <is>
          <t>B</t>
        </is>
      </c>
      <c r="B4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3" s="7">
        <f>IFERROR(B43/SUBTOTAL(9,B42:B43),0)</f>
        <v>0.3</v>
      </c>
      <c r="D43" s="14">
        <f>SUBTOTAL(9,B42:B43)</f>
        <v>10</v>
      </c>
      <c r="F43" t="inlineStr">
        <is>
          <t>A</t>
        </is>
      </c>
      <c r="G43">
        <f>IF(OR(All_Questions_Q_VERY_LONG_SINGLE_SELECT_EXPORT_NAME_CT="(None)",G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3">
        <f>IF(OR(All_Questions_Q_VERY_LONG_SINGLE_SELECT_EXPORT_NAME_CT="(None)",H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3">
        <f>IF(OR(All_Questions_Q_VERY_LONG_SINGLE_SELECT_EXPORT_NAME_CT="(None)",I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3">
        <f>IF(OR(All_Questions_Q_VERY_LONG_SINGLE_SELECT_EXPORT_NAME_CT="(None)",J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3">
        <f>IF(OR(All_Questions_Q_VERY_LONG_SINGLE_SELECT_EXPORT_NAME_CT="(None)",K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3">
        <f>IF(OR(All_Questions_Q_VERY_LONG_SINGLE_SELECT_EXPORT_NAME_CT="(None)",L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3">
        <f>IF(OR(All_Questions_Q_VERY_LONG_SINGLE_SELECT_EXPORT_NAME_CT="(None)",M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3">
        <f>IF(OR(All_Questions_Q_VERY_LONG_SINGLE_SELECT_EXPORT_NAME_CT="(None)",N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3">
        <f>IF(OR(All_Questions_Q_VERY_LONG_SINGLE_SELECT_EXPORT_NAME_CT="(None)",O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3">
        <f>IF(OR(All_Questions_Q_VERY_LONG_SINGLE_SELECT_EXPORT_NAME_CT="(None)",P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3">
        <f>IF(OR(All_Questions_Q_VERY_LONG_SINGLE_SELECT_EXPORT_NAME_CT="(None)",Q$41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3">
        <f>IF(OR(All_Questions_Q_VERY_LONG_SINGLE_SELECT_EXPORT_NAME_CT="(None)",R$41=""),"",IF(R$41="Other",COUNTIFS(Q_VERY_LONG_SINGLE_SELECT_EXPOR_data,"A",passes_workbook_filters_data,1,passes_workbook_custom_filters_data,1,All_Questions_passes_local_filters_data,1,All_Questions_Q_VERY_LONG_SINGLE_SELECT_EXPORT_NAME_F_passes_per_q_filter_data,1)-SUM(G43,H43,I43,J43,K43,L43,M43,N43,O43,P43,Q43)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4">
      <c r="A44" s="15" t="inlineStr">
        <is>
          <t>Total respondents</t>
        </is>
      </c>
      <c r="B44" s="15" t="n">
        <v>10</v>
      </c>
      <c r="C44" s="15" t="n"/>
      <c r="D44" s="15" t="n"/>
      <c r="F44" t="inlineStr">
        <is>
          <t>B</t>
        </is>
      </c>
      <c r="G44">
        <f>IF(OR(All_Questions_Q_VERY_LONG_SINGLE_SELECT_EXPORT_NAME_CT="(None)",G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$41))</f>
        <v>0</v>
      </c>
      <c r="H44">
        <f>IF(OR(All_Questions_Q_VERY_LONG_SINGLE_SELECT_EXPORT_NAME_CT="(None)",H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$41))</f>
        <v>0</v>
      </c>
      <c r="I44">
        <f>IF(OR(All_Questions_Q_VERY_LONG_SINGLE_SELECT_EXPORT_NAME_CT="(None)",I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$41))</f>
        <v>0</v>
      </c>
      <c r="J44">
        <f>IF(OR(All_Questions_Q_VERY_LONG_SINGLE_SELECT_EXPORT_NAME_CT="(None)",J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$41))</f>
        <v>0</v>
      </c>
      <c r="K44">
        <f>IF(OR(All_Questions_Q_VERY_LONG_SINGLE_SELECT_EXPORT_NAME_CT="(None)",K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$41))</f>
        <v>0</v>
      </c>
      <c r="L44">
        <f>IF(OR(All_Questions_Q_VERY_LONG_SINGLE_SELECT_EXPORT_NAME_CT="(None)",L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$41))</f>
        <v>0</v>
      </c>
      <c r="M44">
        <f>IF(OR(All_Questions_Q_VERY_LONG_SINGLE_SELECT_EXPORT_NAME_CT="(None)",M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$41))</f>
        <v>0</v>
      </c>
      <c r="N44">
        <f>IF(OR(All_Questions_Q_VERY_LONG_SINGLE_SELECT_EXPORT_NAME_CT="(None)",N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$41))</f>
        <v>0</v>
      </c>
      <c r="O44">
        <f>IF(OR(All_Questions_Q_VERY_LONG_SINGLE_SELECT_EXPORT_NAME_CT="(None)",O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$41))</f>
        <v>0</v>
      </c>
      <c r="P44">
        <f>IF(OR(All_Questions_Q_VERY_LONG_SINGLE_SELECT_EXPORT_NAME_CT="(None)",P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$41))</f>
        <v>0</v>
      </c>
      <c r="Q44">
        <f>IF(OR(All_Questions_Q_VERY_LONG_SINGLE_SELECT_EXPORT_NAME_CT="(None)",Q$41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$41))</f>
        <v>0</v>
      </c>
      <c r="R44">
        <f>IF(OR(All_Questions_Q_VERY_LONG_SINGLE_SELECT_EXPORT_NAME_CT="(None)",R$41=""),"",IF(R$41="Other",COUNTIFS(Q_VERY_LONG_SINGLE_SELECT_EXPOR_data,"B",passes_workbook_filters_data,1,passes_workbook_custom_filters_data,1,All_Questions_passes_local_filters_data,1,All_Questions_Q_VERY_LONG_SINGLE_SELECT_EXPORT_NAME_F_passes_per_q_filter_data,1)-SUM(G44,H44,I44,J44,K44,L44,M44,N44,O44,P44,Q44)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$41)))</f>
        <v>0</v>
      </c>
      <c r="S4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5">
      <c r="F45" s="4" t="inlineStr">
        <is>
          <t>Total respondents</t>
        </is>
      </c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2:G3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2:H33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2:I33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2:J33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2:K33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2:L33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2:M33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2:N33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2:O33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2:P33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2:Q33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2:R33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2:B43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2:C43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3:G44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3:H44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3:I44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3:J44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3:K44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3:L44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3:M44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3:N44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3:O44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3:P44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3:Q44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3:R44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8" showDropDown="0" showInputMessage="0" showErrorMessage="0" allowBlank="1" type="list">
      <formula1>=All_Questions</formula1>
    </dataValidation>
    <dataValidation sqref="C38" showDropDown="0" showInputMessage="0" showErrorMessage="0" allowBlank="1" type="list">
      <formula1>=All_Questions</formula1>
    </dataValidation>
    <dataValidation sqref="E3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2026-05-19T06:18:47Z</dcterms:created>
  <dcterms:modified xmlns:dcterms="http://purl.org/dc/terms/" xmlns:xsi="http://www.w3.org/2001/XMLSchema-instance" xsi:type="dcterms:W3CDTF">2026-05-19T06:18:47Z</dcterms:modified>
</cp:coreProperties>
</file>