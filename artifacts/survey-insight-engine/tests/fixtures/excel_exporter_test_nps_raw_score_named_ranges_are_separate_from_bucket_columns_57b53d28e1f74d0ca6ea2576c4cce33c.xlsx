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SC_Q_NP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'_RawData'!$A$2:$A$6</definedName>
    <definedName name="Q_NPS_NPS_Bucket_data">'_RawData'!$B$2:$B$6</definedName>
    <definedName name="Q_NPS_A_data">'_RawData'!$C$2:$C$6</definedName>
    <definedName name="Q_NPS_B_data">'_RawData'!$D$2:$D$6</definedName>
    <definedName name="All_Questions">'_Options'!$A$2:$A$3</definedName>
    <definedName name="All_Questions_Local">'_Options'!$B$2:$B$4</definedName>
    <definedName name="None_options">'_Options'!$E$2:$E$2</definedName>
    <definedName name="Q_NPS_NPS_Bucket_options">'_Options'!$F$2:$F$5</definedName>
    <definedName name="Q_NPS_NPS_Bucket_local_options">'_Options'!$I$2:$I$6</definedName>
    <definedName name="Q_NPS_A_options">'_Options'!$G$2:$G$6</definedName>
    <definedName name="Q_NPS_A_local_options">'_Options'!$J$2:$J$7</definedName>
    <definedName name="Q_NPS_B_options">'_Options'!$H$2:$H$6</definedName>
    <definedName name="Q_NPS_B_local_options">'_Options'!$K$2:$K$7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'_RawData'!$E$2:$E$6</definedName>
    <definedName name="F_Custom1_match_data">'_RawData'!$F$2:$F$6</definedName>
    <definedName name="F_Custom2_match_data">'_RawData'!$G$2:$G$6</definedName>
    <definedName name="passes_workbook_custom_filters_data">'_RawData'!$H$2:$H$6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'_RawData'!$I$2:$I$6</definedName>
    <definedName name="All_Questions_Q_NPS_F_Q">'All Questions'!$C$13</definedName>
    <definedName name="All_Questions_Q_NPS_F_V">'All Questions'!$E$13</definedName>
    <definedName name="All_Questions_Q_NPS_F_resolved_column">'All Questions'!$F$13</definedName>
    <definedName name="All_Questions_Q_NPS_F_wrapped">'All Questions'!$G$13</definedName>
    <definedName name="All_Questions_Q_NPS_F_passes_per_q_filter_data">'_RawData'!$J$2:$J$6</definedName>
    <definedName name="All_Questions_Q_NPS_CT">'All Questions'!$C$14</definedName>
    <definedName name="SC_Q_NPS_Q_NPS_CT">'SC_Q_NPS'!$C$3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21" i="7"/>
  <c r="H21" i="7"/>
  <c r="I21" i="7"/>
  <c r="J21" i="7"/>
  <c r="K21" i="7"/>
  <c r="L21" i="7"/>
  <c r="M21" i="7"/>
  <c r="N21" i="7"/>
  <c r="O21" i="7"/>
  <c r="P21" i="7"/>
  <c r="Q21" i="7"/>
  <c r="R21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S25" i="7"/>
  <c r="G8" i="8"/>
  <c r="H8" i="8"/>
  <c r="I8" i="8"/>
  <c r="J8" i="8"/>
  <c r="K8" i="8"/>
  <c r="L8" i="8"/>
  <c r="M8" i="8"/>
  <c r="N8" i="8"/>
  <c r="O8" i="8"/>
  <c r="P8" i="8"/>
  <c r="Q8" i="8"/>
  <c r="R8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S12" i="8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0" fontId="1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I19" headerRowCount="1">
  <autoFilter ref="A17:I19"/>
  <tableColumns count="9">
    <tableColumn id="1" name="Entity"/>
    <tableColumn id="2" name="Promoters (n)"/>
    <tableColumn id="3" name="Promoters %"/>
    <tableColumn id="4" name="Passives (n)"/>
    <tableColumn id="5" name="Passives %"/>
    <tableColumn id="6" name="Detractors (n)"/>
    <tableColumn id="7" name="Detractors %"/>
    <tableColumn id="8" name="Valid N"/>
    <tableColumn id="9" name="NP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SC_Q_NPS_4_1" displayName="T_SC_Q_NPS_4_1" ref="A4:I6" headerRowCount="1">
  <autoFilter ref="A4:I6"/>
  <tableColumns count="9">
    <tableColumn id="1" name="Entity"/>
    <tableColumn id="2" name="Promoters (n)"/>
    <tableColumn id="3" name="Promoters %"/>
    <tableColumn id="4" name="Passives (n)"/>
    <tableColumn id="5" name="Passives %"/>
    <tableColumn id="6" name="Detractors (n)"/>
    <tableColumn id="7" name="Detractors %"/>
    <tableColumn id="8" name="Valid N"/>
    <tableColumn id="9" name="NP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SC_Q_NP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Q_NPS_NPS_Bucket</t>
        </is>
      </c>
      <c r="C1" t="inlineStr">
        <is>
          <t>Q_NPS_A</t>
        </is>
      </c>
      <c r="D1" t="inlineStr">
        <is>
          <t>Q_NPS_B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All_Questions_Q_NPS_F_passes_per_q_filter</t>
        </is>
      </c>
    </row>
    <row r="2">
      <c r="A2" t="n">
        <v>1</v>
      </c>
      <c r="B2" t="inlineStr">
        <is>
          <t>Promoter</t>
        </is>
      </c>
      <c r="C2" t="n">
        <v>10</v>
      </c>
      <c r="D2" t="n">
        <v>6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1)&amp;"|",All_Questions_Q_NPS_F_wrapped)),1,0),0))*1</f>
        <v>1</v>
      </c>
    </row>
    <row r="3">
      <c r="A3" t="n">
        <v>2</v>
      </c>
      <c r="B3" t="inlineStr">
        <is>
          <t>Promoter</t>
        </is>
      </c>
      <c r="C3" t="n">
        <v>9</v>
      </c>
      <c r="D3" t="n">
        <v>7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2)&amp;"|",All_Questions_Q_NPS_F_wrapped)),1,0),0))*1</f>
        <v>1</v>
      </c>
    </row>
    <row r="4">
      <c r="A4" t="n">
        <v>3</v>
      </c>
      <c r="B4" t="inlineStr">
        <is>
          <t>Passive</t>
        </is>
      </c>
      <c r="C4" t="n">
        <v>8</v>
      </c>
      <c r="D4" t="n">
        <v>10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3)&amp;"|",All_Questions_Q_NPS_F_wrapped)),1,0),0))*1</f>
        <v>1</v>
      </c>
    </row>
    <row r="5">
      <c r="A5" t="n">
        <v>4</v>
      </c>
      <c r="B5" t="inlineStr">
        <is>
          <t>Detractor</t>
        </is>
      </c>
      <c r="C5" t="inlineStr">
        <is>
          <t>not answered</t>
        </is>
      </c>
      <c r="D5" t="n">
        <v>0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4)&amp;"|",All_Questions_Q_NPS_F_wrapped)),1,0),0))*1</f>
        <v>1</v>
      </c>
    </row>
    <row r="6">
      <c r="A6" t="n">
        <v>5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5)&amp;"|",All_Questions_Q_NPS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Q_NPS_NPS_Bucket_options</t>
        </is>
      </c>
      <c r="G1" t="inlineStr">
        <is>
          <t>Q_NPS_A_options</t>
        </is>
      </c>
      <c r="H1" t="inlineStr">
        <is>
          <t>Q_NPS_B_options</t>
        </is>
      </c>
      <c r="I1" t="inlineStr">
        <is>
          <t>Q_NPS_NPS_Bucket_local_options</t>
        </is>
      </c>
      <c r="J1" t="inlineStr">
        <is>
          <t>Q_NPS_A_local_options</t>
        </is>
      </c>
      <c r="K1" t="inlineStr">
        <is>
          <t>Q_NPS_B_local_options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'_RawData'!$A$2:$A$6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Q_NPS - Recommend Vendors</t>
        </is>
      </c>
      <c r="B3" t="inlineStr">
        <is>
          <t>(None)</t>
        </is>
      </c>
      <c r="C3" t="inlineStr">
        <is>
          <t>'_RawData'!$B$2:$B$6</t>
        </is>
      </c>
      <c r="D3" t="inlineStr">
        <is>
          <t>'_Options'!$F$2:$F$5</t>
        </is>
      </c>
      <c r="F3" t="inlineStr">
        <is>
          <t>Promoter</t>
        </is>
      </c>
      <c r="G3" t="inlineStr">
        <is>
          <t>10</t>
        </is>
      </c>
      <c r="H3" t="inlineStr">
        <is>
          <t>6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Q_NPS - Recommend Vendors</t>
        </is>
      </c>
      <c r="F4" t="inlineStr">
        <is>
          <t>Passive</t>
        </is>
      </c>
      <c r="G4" t="inlineStr">
        <is>
          <t>9</t>
        </is>
      </c>
      <c r="H4" t="inlineStr">
        <is>
          <t>7</t>
        </is>
      </c>
      <c r="I4" t="inlineStr">
        <is>
          <t>Promoter</t>
        </is>
      </c>
      <c r="J4" t="inlineStr">
        <is>
          <t>10</t>
        </is>
      </c>
      <c r="K4" t="inlineStr">
        <is>
          <t>6</t>
        </is>
      </c>
    </row>
    <row r="5">
      <c r="F5" t="inlineStr">
        <is>
          <t>Detractor</t>
        </is>
      </c>
      <c r="G5" t="inlineStr">
        <is>
          <t>8</t>
        </is>
      </c>
      <c r="H5" t="inlineStr">
        <is>
          <t>10</t>
        </is>
      </c>
      <c r="I5" t="inlineStr">
        <is>
          <t>Passive</t>
        </is>
      </c>
      <c r="J5" t="inlineStr">
        <is>
          <t>9</t>
        </is>
      </c>
      <c r="K5" t="inlineStr">
        <is>
          <t>7</t>
        </is>
      </c>
    </row>
    <row r="6">
      <c r="G6" t="inlineStr">
        <is>
          <t>not answered</t>
        </is>
      </c>
      <c r="H6" t="inlineStr">
        <is>
          <t>0</t>
        </is>
      </c>
      <c r="I6" t="inlineStr">
        <is>
          <t>Detractor</t>
        </is>
      </c>
      <c r="J6" t="inlineStr">
        <is>
          <t>8</t>
        </is>
      </c>
      <c r="K6" t="inlineStr">
        <is>
          <t>10</t>
        </is>
      </c>
    </row>
    <row r="7">
      <c r="J7" t="inlineStr">
        <is>
          <t>not answered</t>
        </is>
      </c>
      <c r="K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5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6" customWidth="1" min="4" max="4"/>
    <col width="1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[Q_NPS]</t>
        </is>
      </c>
      <c r="B2" t="inlineStr">
        <is>
          <t>Q_NPS</t>
        </is>
      </c>
      <c r="C2" t="inlineStr">
        <is>
          <t>Recommend vendors</t>
        </is>
      </c>
      <c r="D2" t="inlineStr">
        <is>
          <t>NPS</t>
        </is>
      </c>
      <c r="E2" t="inlineStr">
        <is>
          <t>Q_NPS_A, Q_NPS_B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" customWidth="1" min="3" max="3"/>
    <col width="15" customWidth="1" min="4" max="4"/>
    <col width="12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Q_NPS</t>
        </is>
      </c>
      <c r="B2" t="inlineStr">
        <is>
          <t>Q_NPS</t>
        </is>
      </c>
      <c r="C2" t="inlineStr">
        <is>
          <t>NPS</t>
        </is>
      </c>
      <c r="D2" t="inlineStr">
        <is>
          <t>All Questions</t>
        </is>
      </c>
      <c r="E2" s="6" t="inlineStr">
        <is>
          <t>SC_Q_NPS</t>
        </is>
      </c>
      <c r="F2" t="n">
        <v>4</v>
      </c>
      <c r="G2" t="n">
        <v>1</v>
      </c>
      <c r="H2" s="7" t="n">
        <v>0.2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Q_NPS - Recommend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IFERROR(INDEX(All_Questions_Data_Names,MATCH(All_Questions_Q_NPS_F_Q,All_Questions,0)),"'_RawData'!$A:$A")</f>
        <v>respondent_id_data</v>
      </c>
      <c r="G13" t="str">
        <f>"|" &amp; SUBSTITUTE(All_Questions_Q_NPS_F_V,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4.</t>
        </is>
      </c>
    </row>
    <row r="16"/>
    <row r="17">
      <c r="A17" s="4" t="inlineStr">
        <is>
          <t>Entity</t>
        </is>
      </c>
      <c r="B17" s="4" t="inlineStr">
        <is>
          <t>Promoters (n)</t>
        </is>
      </c>
      <c r="C17" s="4" t="inlineStr">
        <is>
          <t>Promoters %</t>
        </is>
      </c>
      <c r="D17" s="4" t="inlineStr">
        <is>
          <t>Passives (n)</t>
        </is>
      </c>
      <c r="E17" s="4" t="inlineStr">
        <is>
          <t>Passives %</t>
        </is>
      </c>
      <c r="F17" s="4" t="inlineStr">
        <is>
          <t>Detractors (n)</t>
        </is>
      </c>
      <c r="G17" s="4" t="inlineStr">
        <is>
          <t>Detractors %</t>
        </is>
      </c>
      <c r="H17" s="4" t="inlineStr">
        <is>
          <t>Valid N</t>
        </is>
      </c>
      <c r="I17" s="4" t="inlineStr">
        <is>
          <t>NPS</t>
        </is>
      </c>
    </row>
    <row r="18">
      <c r="A18" t="inlineStr">
        <is>
          <t>Vendor A</t>
        </is>
      </c>
      <c r="B18" s="15" t="n">
        <v>2</v>
      </c>
      <c r="C18" s="7" t="n">
        <v>0.6666666666666666</v>
      </c>
      <c r="D18" s="15" t="n">
        <v>1</v>
      </c>
      <c r="E18" s="7" t="n">
        <v>0.3333333333333333</v>
      </c>
      <c r="F18" s="15" t="n">
        <v>0</v>
      </c>
      <c r="G18" s="7" t="n">
        <v>0</v>
      </c>
      <c r="H18" s="15" t="n">
        <v>3</v>
      </c>
      <c r="I18" s="16" t="n">
        <v>67</v>
      </c>
    </row>
    <row r="19">
      <c r="A19" t="inlineStr">
        <is>
          <t>Vendor B</t>
        </is>
      </c>
      <c r="B19" s="15" t="n">
        <v>1</v>
      </c>
      <c r="C19" s="7" t="n">
        <v>0.25</v>
      </c>
      <c r="D19" s="15" t="n">
        <v>1</v>
      </c>
      <c r="E19" s="7" t="n">
        <v>0.25</v>
      </c>
      <c r="F19" s="15" t="n">
        <v>2</v>
      </c>
      <c r="G19" s="7" t="n">
        <v>0.5</v>
      </c>
      <c r="H19" s="15" t="n">
        <v>4</v>
      </c>
      <c r="I19" s="16" t="n">
        <v>-25</v>
      </c>
    </row>
    <row r="20"/>
    <row r="21">
      <c r="F21" s="4" t="inlineStr">
        <is>
          <t>Option</t>
        </is>
      </c>
      <c r="G21" s="2" t="str">
        <f>IF(All_Questions_Q_NPS_CT="(None)","",IFERROR(INDEX(INDIRECT(IFERROR(INDEX(All_Questions_Options_Names,MATCH(All_Questions_Q_NPS_CT,All_Questions,0)),"'_Options'!$E$2:$E$2")),2),""))</f>
        <v/>
      </c>
      <c r="H21" s="2" t="str">
        <f>IF(All_Questions_Q_NPS_CT="(None)","",IFERROR(INDEX(INDIRECT(IFERROR(INDEX(All_Questions_Options_Names,MATCH(All_Questions_Q_NPS_CT,All_Questions,0)),"'_Options'!$E$2:$E$2")),3),""))</f>
        <v/>
      </c>
      <c r="I21" s="2" t="str">
        <f>IF(All_Questions_Q_NPS_CT="(None)","",IFERROR(INDEX(INDIRECT(IFERROR(INDEX(All_Questions_Options_Names,MATCH(All_Questions_Q_NPS_CT,All_Questions,0)),"'_Options'!$E$2:$E$2")),4),""))</f>
        <v/>
      </c>
      <c r="J21" s="2" t="str">
        <f>IF(All_Questions_Q_NPS_CT="(None)","",IFERROR(INDEX(INDIRECT(IFERROR(INDEX(All_Questions_Options_Names,MATCH(All_Questions_Q_NPS_CT,All_Questions,0)),"'_Options'!$E$2:$E$2")),5),""))</f>
        <v/>
      </c>
      <c r="K21" s="2" t="str">
        <f>IF(All_Questions_Q_NPS_CT="(None)","",IFERROR(INDEX(INDIRECT(IFERROR(INDEX(All_Questions_Options_Names,MATCH(All_Questions_Q_NPS_CT,All_Questions,0)),"'_Options'!$E$2:$E$2")),6),""))</f>
        <v/>
      </c>
      <c r="L21" s="2" t="str">
        <f>IF(All_Questions_Q_NPS_CT="(None)","",IFERROR(INDEX(INDIRECT(IFERROR(INDEX(All_Questions_Options_Names,MATCH(All_Questions_Q_NPS_CT,All_Questions,0)),"'_Options'!$E$2:$E$2")),7),""))</f>
        <v/>
      </c>
      <c r="M21" s="2" t="str">
        <f>IF(All_Questions_Q_NPS_CT="(None)","",IFERROR(INDEX(INDIRECT(IFERROR(INDEX(All_Questions_Options_Names,MATCH(All_Questions_Q_NPS_CT,All_Questions,0)),"'_Options'!$E$2:$E$2")),8),""))</f>
        <v/>
      </c>
      <c r="N21" s="2" t="str">
        <f>IF(All_Questions_Q_NPS_CT="(None)","",IFERROR(INDEX(INDIRECT(IFERROR(INDEX(All_Questions_Options_Names,MATCH(All_Questions_Q_NPS_CT,All_Questions,0)),"'_Options'!$E$2:$E$2")),9),""))</f>
        <v/>
      </c>
      <c r="O21" s="2" t="str">
        <f>IF(All_Questions_Q_NPS_CT="(None)","",IFERROR(INDEX(INDIRECT(IFERROR(INDEX(All_Questions_Options_Names,MATCH(All_Questions_Q_NPS_CT,All_Questions,0)),"'_Options'!$E$2:$E$2")),10),""))</f>
        <v/>
      </c>
      <c r="P21" s="2" t="str">
        <f>IF(All_Questions_Q_NPS_CT="(None)","",IFERROR(INDEX(INDIRECT(IFERROR(INDEX(All_Questions_Options_Names,MATCH(All_Questions_Q_NPS_CT,All_Questions,0)),"'_Options'!$E$2:$E$2")),11),""))</f>
        <v/>
      </c>
      <c r="Q21" s="2" t="str">
        <f>IF(All_Questions_Q_NPS_CT="(None)","",IFERROR(INDEX(INDIRECT(IFERROR(INDEX(All_Questions_Options_Names,MATCH(All_Questions_Q_NPS_CT,All_Questions,0)),"'_Options'!$E$2:$E$2")),12),""))</f>
        <v/>
      </c>
      <c r="R21" s="2" t="str">
        <f>IF(All_Questions_Q_NPS_CT="(None)","",IF(COUNTA(INDIRECT(IFERROR(INDEX(All_Questions_Options_Names,MATCH(All_Questions_Q_NPS_CT,All_Questions,0)),"'_Options'!$E$2:$E$2")))-1&gt;11,"Other",IFERROR(INDEX(INDIRECT(IFERROR(INDEX(All_Questions_Options_Names,MATCH(All_Questions_Q_NPS_CT,All_Questions,0)),"'_Options'!$E$2:$E$2")),13),"")))</f>
        <v/>
      </c>
      <c r="S21" s="4" t="inlineStr">
        <is>
          <t>Total</t>
        </is>
      </c>
    </row>
    <row r="22">
      <c r="F22" s="4" t="inlineStr"/>
      <c r="G22" s="4" t="inlineStr">
        <is>
          <t>NPS</t>
        </is>
      </c>
      <c r="H22" s="4" t="inlineStr">
        <is>
          <t>NPS</t>
        </is>
      </c>
      <c r="I22" s="4" t="inlineStr">
        <is>
          <t>NPS</t>
        </is>
      </c>
      <c r="J22" s="4" t="inlineStr">
        <is>
          <t>NPS</t>
        </is>
      </c>
      <c r="K22" s="4" t="inlineStr">
        <is>
          <t>NPS</t>
        </is>
      </c>
      <c r="L22" s="4" t="inlineStr">
        <is>
          <t>NPS</t>
        </is>
      </c>
      <c r="M22" s="4" t="inlineStr">
        <is>
          <t>NPS</t>
        </is>
      </c>
      <c r="N22" s="4" t="inlineStr">
        <is>
          <t>NPS</t>
        </is>
      </c>
      <c r="O22" s="4" t="inlineStr">
        <is>
          <t>NPS</t>
        </is>
      </c>
      <c r="P22" s="4" t="inlineStr">
        <is>
          <t>NPS</t>
        </is>
      </c>
      <c r="Q22" s="4" t="inlineStr">
        <is>
          <t>NPS</t>
        </is>
      </c>
      <c r="R22" s="4" t="inlineStr">
        <is>
          <t>NPS</t>
        </is>
      </c>
      <c r="S22" s="4" t="inlineStr">
        <is>
          <t>NPS</t>
        </is>
      </c>
    </row>
    <row r="23">
      <c r="F23" t="inlineStr">
        <is>
          <t>Vendor B</t>
        </is>
      </c>
      <c r="G23" s="16">
        <f>IF(OR(All_Questions_Q_NPS_CT="(None)",G$21=""),"",IF(G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)*100,"")))</f>
        <v>-25</v>
      </c>
      <c r="H23" s="16">
        <f>IF(OR(All_Questions_Q_NPS_CT="(None)",H$21=""),"",IF(H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)*100,"")))</f>
        <v>-25</v>
      </c>
      <c r="I23" s="16">
        <f>IF(OR(All_Questions_Q_NPS_CT="(None)",I$21=""),"",IF(I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)*100,"")))</f>
        <v>-25</v>
      </c>
      <c r="J23" s="16">
        <f>IF(OR(All_Questions_Q_NPS_CT="(None)",J$21=""),"",IF(J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)*100,"")))</f>
        <v>-25</v>
      </c>
      <c r="K23" s="16">
        <f>IF(OR(All_Questions_Q_NPS_CT="(None)",K$21=""),"",IF(K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)*100,"")))</f>
        <v>-25</v>
      </c>
      <c r="L23" s="16">
        <f>IF(OR(All_Questions_Q_NPS_CT="(None)",L$21=""),"",IF(L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)*100,"")))</f>
        <v>-25</v>
      </c>
      <c r="M23" s="16">
        <f>IF(OR(All_Questions_Q_NPS_CT="(None)",M$21=""),"",IF(M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)*100,"")))</f>
        <v>-25</v>
      </c>
      <c r="N23" s="16">
        <f>IF(OR(All_Questions_Q_NPS_CT="(None)",N$21=""),"",IF(N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)*100,"")))</f>
        <v>-25</v>
      </c>
      <c r="O23" s="16">
        <f>IF(OR(All_Questions_Q_NPS_CT="(None)",O$21=""),"",IF(O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)*100,"")))</f>
        <v>-25</v>
      </c>
      <c r="P23" s="16">
        <f>IF(OR(All_Questions_Q_NPS_CT="(None)",P$21=""),"",IF(P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)*100,"")))</f>
        <v>-25</v>
      </c>
      <c r="Q23" s="16">
        <f>IF(OR(All_Questions_Q_NPS_CT="(None)",Q$21=""),"",IF(Q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)*100,"")))</f>
        <v>-25</v>
      </c>
      <c r="R23" s="16">
        <f>IF(OR(All_Questions_Q_NPS_CT="(None)",R$21=""),"",IF(R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)*100,"")))</f>
        <v>-25</v>
      </c>
      <c r="S23" s="16">
        <f>IF(All_Questions_Q_NPS_CT="(None)","",IFERROR(((COUNTIFS(Q_NPS_B_data,"&gt;=9",Q_NPS_B_data,"&lt;=10",passes_workbook_filters_data,1,passes_workbook_custom_filters_data,1,All_Questions_passes_local_filters_data,1,All_Questions_Q_NPS_F_passes_per_q_filter_data,1)/COUNTIFS(Q_NPS_B_data,"&gt;=0",Q_NPS_B_data,"&lt;=10",passes_workbook_filters_data,1,passes_workbook_custom_filters_data,1,All_Questions_passes_local_filters_data,1,All_Questions_Q_NPS_F_passes_per_q_filter_data,1))-(COUNTIFS(Q_NPS_B_data,"&gt;=0",Q_NPS_B_data,"&lt;=6",passes_workbook_filters_data,1,passes_workbook_custom_filters_data,1,All_Questions_passes_local_filters_data,1,All_Questions_Q_NPS_F_passes_per_q_filter_data,1)/COUNTIFS(Q_NPS_B_data,"&gt;=0",Q_NPS_B_data,"&lt;=10",passes_workbook_filters_data,1,passes_workbook_custom_filters_data,1,All_Questions_passes_local_filters_data,1,All_Questions_Q_NPS_F_passes_per_q_filter_data,1)))*100,""))</f>
        <v>-25</v>
      </c>
    </row>
    <row r="24">
      <c r="F24" t="inlineStr">
        <is>
          <t>Vendor A</t>
        </is>
      </c>
      <c r="G24" s="16">
        <f>IF(OR(All_Questions_Q_NPS_CT="(None)",G$21=""),"",IF(G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)*100,"")))</f>
        <v>67</v>
      </c>
      <c r="H24" s="16">
        <f>IF(OR(All_Questions_Q_NPS_CT="(None)",H$21=""),"",IF(H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)*100,"")))</f>
        <v>67</v>
      </c>
      <c r="I24" s="16">
        <f>IF(OR(All_Questions_Q_NPS_CT="(None)",I$21=""),"",IF(I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)*100,"")))</f>
        <v>67</v>
      </c>
      <c r="J24" s="16">
        <f>IF(OR(All_Questions_Q_NPS_CT="(None)",J$21=""),"",IF(J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)*100,"")))</f>
        <v>67</v>
      </c>
      <c r="K24" s="16">
        <f>IF(OR(All_Questions_Q_NPS_CT="(None)",K$21=""),"",IF(K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)*100,"")))</f>
        <v>67</v>
      </c>
      <c r="L24" s="16">
        <f>IF(OR(All_Questions_Q_NPS_CT="(None)",L$21=""),"",IF(L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)*100,"")))</f>
        <v>67</v>
      </c>
      <c r="M24" s="16">
        <f>IF(OR(All_Questions_Q_NPS_CT="(None)",M$21=""),"",IF(M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)*100,"")))</f>
        <v>67</v>
      </c>
      <c r="N24" s="16">
        <f>IF(OR(All_Questions_Q_NPS_CT="(None)",N$21=""),"",IF(N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)*100,"")))</f>
        <v>67</v>
      </c>
      <c r="O24" s="16">
        <f>IF(OR(All_Questions_Q_NPS_CT="(None)",O$21=""),"",IF(O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)*100,"")))</f>
        <v>67</v>
      </c>
      <c r="P24" s="16">
        <f>IF(OR(All_Questions_Q_NPS_CT="(None)",P$21=""),"",IF(P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)*100,"")))</f>
        <v>67</v>
      </c>
      <c r="Q24" s="16">
        <f>IF(OR(All_Questions_Q_NPS_CT="(None)",Q$21=""),"",IF(Q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)*100,"")))</f>
        <v>67</v>
      </c>
      <c r="R24" s="16">
        <f>IF(OR(All_Questions_Q_NPS_CT="(None)",R$21=""),"",IF(R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)*100,"")))</f>
        <v>67</v>
      </c>
      <c r="S24" s="16">
        <f>IF(All_Questions_Q_NPS_CT="(None)","",IFERROR(((COUNTIFS(Q_NPS_A_data,"&gt;=9",Q_NPS_A_data,"&lt;=10",passes_workbook_filters_data,1,passes_workbook_custom_filters_data,1,All_Questions_passes_local_filters_data,1,All_Questions_Q_NPS_F_passes_per_q_filter_data,1)/COUNTIFS(Q_NPS_A_data,"&gt;=0",Q_NPS_A_data,"&lt;=10",passes_workbook_filters_data,1,passes_workbook_custom_filters_data,1,All_Questions_passes_local_filters_data,1,All_Questions_Q_NPS_F_passes_per_q_filter_data,1))-(COUNTIFS(Q_NPS_A_data,"&gt;=0",Q_NPS_A_data,"&lt;=6",passes_workbook_filters_data,1,passes_workbook_custom_filters_data,1,All_Questions_passes_local_filters_data,1,All_Questions_Q_NPS_F_passes_per_q_filter_data,1)/COUNTIFS(Q_NPS_A_data,"&gt;=0",Q_NPS_A_data,"&lt;=10",passes_workbook_filters_data,1,passes_workbook_custom_filters_data,1,All_Questions_passes_local_filters_data,1,All_Questions_Q_NPS_F_passes_per_q_filter_data,1)))*100,""))</f>
        <v>67</v>
      </c>
    </row>
    <row r="25">
      <c r="F25" s="4" t="inlineStr">
        <is>
          <t>Total respondents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>
        <f>IF(All_Questions_Q_NPS_CT="(None)","",COUNTIFS(respondent_id_data,"&lt;&gt;",passes_workbook_filters_data,1,passes_workbook_custom_filters_data,1,All_Questions_passes_local_filters_data,1,All_Questions_Q_NPS_F_passes_per_q_filter_data,1))</f>
        <v>0</v>
      </c>
    </row>
  </sheetData>
  <mergeCells count="1">
    <mergeCell ref="A1:J1"/>
  </mergeCells>
  <conditionalFormatting sqref="I18:I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3:N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3:O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3:P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3:Q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3:R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=INDIRECT(IFERROR(INDEX(All_Questions_Options_Names,MATCH(All_Questions_Q_NPS_F_Q,All_Questions,0)),"'_Options'!$E$2:$E$2"))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4" customWidth="1" min="4" max="4"/>
    <col width="20" customWidth="1" min="5" max="5"/>
    <col width="19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</cols>
  <sheetData>
    <row r="1">
      <c r="A1" s="17" t="inlineStr">
        <is>
          <t>Q_NPS - Recommend vendors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</row>
    <row r="2">
      <c r="A2" s="10" t="inlineStr">
        <is>
          <t>Net Promoter Score by entity</t>
        </is>
      </c>
    </row>
    <row r="3">
      <c r="A3" s="13" t="inlineStr">
        <is>
          <t>Cross-tab by</t>
        </is>
      </c>
      <c r="C3" t="inlineStr">
        <is>
          <t>(None)</t>
        </is>
      </c>
    </row>
    <row r="4">
      <c r="A4" s="4" t="inlineStr">
        <is>
          <t>Entity</t>
        </is>
      </c>
      <c r="B4" s="4" t="inlineStr">
        <is>
          <t>Promoters (n)</t>
        </is>
      </c>
      <c r="C4" s="4" t="inlineStr">
        <is>
          <t>Promoters %</t>
        </is>
      </c>
      <c r="D4" s="4" t="inlineStr">
        <is>
          <t>Passives (n)</t>
        </is>
      </c>
      <c r="E4" s="4" t="inlineStr">
        <is>
          <t>Passives %</t>
        </is>
      </c>
      <c r="F4" s="4" t="inlineStr">
        <is>
          <t>Detractors (n)</t>
        </is>
      </c>
      <c r="G4" s="4" t="inlineStr">
        <is>
          <t>Detractors %</t>
        </is>
      </c>
      <c r="H4" s="4" t="inlineStr">
        <is>
          <t>Valid N</t>
        </is>
      </c>
      <c r="I4" s="4" t="inlineStr">
        <is>
          <t>NPS</t>
        </is>
      </c>
    </row>
    <row r="5">
      <c r="A5" t="inlineStr">
        <is>
          <t>Vendor A</t>
        </is>
      </c>
      <c r="B5" s="15" t="n">
        <v>2</v>
      </c>
      <c r="C5" s="7" t="n">
        <v>0.6666666666666666</v>
      </c>
      <c r="D5" s="15" t="n">
        <v>1</v>
      </c>
      <c r="E5" s="7" t="n">
        <v>0.3333333333333333</v>
      </c>
      <c r="F5" s="15" t="n">
        <v>0</v>
      </c>
      <c r="G5" s="7" t="n">
        <v>0</v>
      </c>
      <c r="H5" s="15" t="n">
        <v>3</v>
      </c>
      <c r="I5" s="16" t="n">
        <v>67</v>
      </c>
    </row>
    <row r="6">
      <c r="A6" t="inlineStr">
        <is>
          <t>Vendor B</t>
        </is>
      </c>
      <c r="B6" s="15" t="n">
        <v>1</v>
      </c>
      <c r="C6" s="7" t="n">
        <v>0.25</v>
      </c>
      <c r="D6" s="15" t="n">
        <v>1</v>
      </c>
      <c r="E6" s="7" t="n">
        <v>0.25</v>
      </c>
      <c r="F6" s="15" t="n">
        <v>2</v>
      </c>
      <c r="G6" s="7" t="n">
        <v>0.5</v>
      </c>
      <c r="H6" s="15" t="n">
        <v>4</v>
      </c>
      <c r="I6" s="16" t="n">
        <v>-25</v>
      </c>
    </row>
    <row r="7"/>
    <row r="8">
      <c r="F8" s="4" t="inlineStr">
        <is>
          <t>Option</t>
        </is>
      </c>
      <c r="G8" s="2" t="str">
        <f>IF(SC_Q_NPS_Q_NPS_CT="(None)","",IFERROR(INDEX(INDIRECT(IFERROR(INDEX(All_Questions_Options_Names,MATCH(SC_Q_NPS_Q_NPS_CT,All_Questions,0)),"'_Options'!$E$2:$E$2")),2),""))</f>
        <v/>
      </c>
      <c r="H8" s="2" t="str">
        <f>IF(SC_Q_NPS_Q_NPS_CT="(None)","",IFERROR(INDEX(INDIRECT(IFERROR(INDEX(All_Questions_Options_Names,MATCH(SC_Q_NPS_Q_NPS_CT,All_Questions,0)),"'_Options'!$E$2:$E$2")),3),""))</f>
        <v/>
      </c>
      <c r="I8" s="2" t="str">
        <f>IF(SC_Q_NPS_Q_NPS_CT="(None)","",IFERROR(INDEX(INDIRECT(IFERROR(INDEX(All_Questions_Options_Names,MATCH(SC_Q_NPS_Q_NPS_CT,All_Questions,0)),"'_Options'!$E$2:$E$2")),4),""))</f>
        <v/>
      </c>
      <c r="J8" s="2" t="str">
        <f>IF(SC_Q_NPS_Q_NPS_CT="(None)","",IFERROR(INDEX(INDIRECT(IFERROR(INDEX(All_Questions_Options_Names,MATCH(SC_Q_NPS_Q_NPS_CT,All_Questions,0)),"'_Options'!$E$2:$E$2")),5),""))</f>
        <v/>
      </c>
      <c r="K8" s="2" t="str">
        <f>IF(SC_Q_NPS_Q_NPS_CT="(None)","",IFERROR(INDEX(INDIRECT(IFERROR(INDEX(All_Questions_Options_Names,MATCH(SC_Q_NPS_Q_NPS_CT,All_Questions,0)),"'_Options'!$E$2:$E$2")),6),""))</f>
        <v/>
      </c>
      <c r="L8" s="2" t="str">
        <f>IF(SC_Q_NPS_Q_NPS_CT="(None)","",IFERROR(INDEX(INDIRECT(IFERROR(INDEX(All_Questions_Options_Names,MATCH(SC_Q_NPS_Q_NPS_CT,All_Questions,0)),"'_Options'!$E$2:$E$2")),7),""))</f>
        <v/>
      </c>
      <c r="M8" s="2" t="str">
        <f>IF(SC_Q_NPS_Q_NPS_CT="(None)","",IFERROR(INDEX(INDIRECT(IFERROR(INDEX(All_Questions_Options_Names,MATCH(SC_Q_NPS_Q_NPS_CT,All_Questions,0)),"'_Options'!$E$2:$E$2")),8),""))</f>
        <v/>
      </c>
      <c r="N8" s="2" t="str">
        <f>IF(SC_Q_NPS_Q_NPS_CT="(None)","",IFERROR(INDEX(INDIRECT(IFERROR(INDEX(All_Questions_Options_Names,MATCH(SC_Q_NPS_Q_NPS_CT,All_Questions,0)),"'_Options'!$E$2:$E$2")),9),""))</f>
        <v/>
      </c>
      <c r="O8" s="2" t="str">
        <f>IF(SC_Q_NPS_Q_NPS_CT="(None)","",IFERROR(INDEX(INDIRECT(IFERROR(INDEX(All_Questions_Options_Names,MATCH(SC_Q_NPS_Q_NPS_CT,All_Questions,0)),"'_Options'!$E$2:$E$2")),10),""))</f>
        <v/>
      </c>
      <c r="P8" s="2" t="str">
        <f>IF(SC_Q_NPS_Q_NPS_CT="(None)","",IFERROR(INDEX(INDIRECT(IFERROR(INDEX(All_Questions_Options_Names,MATCH(SC_Q_NPS_Q_NPS_CT,All_Questions,0)),"'_Options'!$E$2:$E$2")),11),""))</f>
        <v/>
      </c>
      <c r="Q8" s="2" t="str">
        <f>IF(SC_Q_NPS_Q_NPS_CT="(None)","",IFERROR(INDEX(INDIRECT(IFERROR(INDEX(All_Questions_Options_Names,MATCH(SC_Q_NPS_Q_NPS_CT,All_Questions,0)),"'_Options'!$E$2:$E$2")),12),""))</f>
        <v/>
      </c>
      <c r="R8" s="2" t="str">
        <f>IF(SC_Q_NPS_Q_NPS_CT="(None)","",IF(COUNTA(INDIRECT(IFERROR(INDEX(All_Questions_Options_Names,MATCH(SC_Q_NPS_Q_NPS_CT,All_Questions,0)),"'_Options'!$E$2:$E$2")))-1&gt;11,"Other",IFERROR(INDEX(INDIRECT(IFERROR(INDEX(All_Questions_Options_Names,MATCH(SC_Q_NPS_Q_NPS_CT,All_Questions,0)),"'_Options'!$E$2:$E$2")),13),"")))</f>
        <v/>
      </c>
      <c r="S8" s="4" t="inlineStr">
        <is>
          <t>Total</t>
        </is>
      </c>
    </row>
    <row r="9">
      <c r="F9" s="4" t="inlineStr"/>
      <c r="G9" s="4" t="inlineStr">
        <is>
          <t>NPS</t>
        </is>
      </c>
      <c r="H9" s="4" t="inlineStr">
        <is>
          <t>NPS</t>
        </is>
      </c>
      <c r="I9" s="4" t="inlineStr">
        <is>
          <t>NPS</t>
        </is>
      </c>
      <c r="J9" s="4" t="inlineStr">
        <is>
          <t>NPS</t>
        </is>
      </c>
      <c r="K9" s="4" t="inlineStr">
        <is>
          <t>NPS</t>
        </is>
      </c>
      <c r="L9" s="4" t="inlineStr">
        <is>
          <t>NPS</t>
        </is>
      </c>
      <c r="M9" s="4" t="inlineStr">
        <is>
          <t>NPS</t>
        </is>
      </c>
      <c r="N9" s="4" t="inlineStr">
        <is>
          <t>NPS</t>
        </is>
      </c>
      <c r="O9" s="4" t="inlineStr">
        <is>
          <t>NPS</t>
        </is>
      </c>
      <c r="P9" s="4" t="inlineStr">
        <is>
          <t>NPS</t>
        </is>
      </c>
      <c r="Q9" s="4" t="inlineStr">
        <is>
          <t>NPS</t>
        </is>
      </c>
      <c r="R9" s="4" t="inlineStr">
        <is>
          <t>NPS</t>
        </is>
      </c>
      <c r="S9" s="4" t="inlineStr">
        <is>
          <t>NPS</t>
        </is>
      </c>
    </row>
    <row r="10">
      <c r="F10" t="inlineStr">
        <is>
          <t>Vendor B</t>
        </is>
      </c>
      <c r="G10" s="16">
        <f>IF(OR(SC_Q_NPS_Q_NPS_CT="(None)",G$8=""),"",IF(G$8="Other","",IFERROR(((COUNTIFS(Q_NPS_B_data,"&gt;=9",Q_NPS_B_data,"&lt;=10",passes_workbook_filters_data,1,passes_workbook_custom_filters_data,1,INDIRECT(IFERROR(INDEX(All_Questions_Data_Names,MATCH(SC_Q_NPS_Q_NPS_CT,All_Questions,0)),"'_RawData'!$A:$A")),G$8)/COUNTIFS(Q_NPS_B_data,"&gt;=0",Q_NPS_B_data,"&lt;=10",passes_workbook_filters_data,1,passes_workbook_custom_filters_data,1,INDIRECT(IFERROR(INDEX(All_Questions_Data_Names,MATCH(SC_Q_NPS_Q_NPS_CT,All_Questions,0)),"'_RawData'!$A:$A")),G$8))-(COUNTIFS(Q_NPS_B_data,"&gt;=0",Q_NPS_B_data,"&lt;=6",passes_workbook_filters_data,1,passes_workbook_custom_filters_data,1,INDIRECT(IFERROR(INDEX(All_Questions_Data_Names,MATCH(SC_Q_NPS_Q_NPS_CT,All_Questions,0)),"'_RawData'!$A:$A")),G$8)/COUNTIFS(Q_NPS_B_data,"&gt;=0",Q_NPS_B_data,"&lt;=10",passes_workbook_filters_data,1,passes_workbook_custom_filters_data,1,INDIRECT(IFERROR(INDEX(All_Questions_Data_Names,MATCH(SC_Q_NPS_Q_NPS_CT,All_Questions,0)),"'_RawData'!$A:$A")),G$8)))*100,"")))</f>
        <v>-25</v>
      </c>
      <c r="H10" s="16">
        <f>IF(OR(SC_Q_NPS_Q_NPS_CT="(None)",H$8=""),"",IF(H$8="Other","",IFERROR(((COUNTIFS(Q_NPS_B_data,"&gt;=9",Q_NPS_B_data,"&lt;=10",passes_workbook_filters_data,1,passes_workbook_custom_filters_data,1,INDIRECT(IFERROR(INDEX(All_Questions_Data_Names,MATCH(SC_Q_NPS_Q_NPS_CT,All_Questions,0)),"'_RawData'!$A:$A")),H$8)/COUNTIFS(Q_NPS_B_data,"&gt;=0",Q_NPS_B_data,"&lt;=10",passes_workbook_filters_data,1,passes_workbook_custom_filters_data,1,INDIRECT(IFERROR(INDEX(All_Questions_Data_Names,MATCH(SC_Q_NPS_Q_NPS_CT,All_Questions,0)),"'_RawData'!$A:$A")),H$8))-(COUNTIFS(Q_NPS_B_data,"&gt;=0",Q_NPS_B_data,"&lt;=6",passes_workbook_filters_data,1,passes_workbook_custom_filters_data,1,INDIRECT(IFERROR(INDEX(All_Questions_Data_Names,MATCH(SC_Q_NPS_Q_NPS_CT,All_Questions,0)),"'_RawData'!$A:$A")),H$8)/COUNTIFS(Q_NPS_B_data,"&gt;=0",Q_NPS_B_data,"&lt;=10",passes_workbook_filters_data,1,passes_workbook_custom_filters_data,1,INDIRECT(IFERROR(INDEX(All_Questions_Data_Names,MATCH(SC_Q_NPS_Q_NPS_CT,All_Questions,0)),"'_RawData'!$A:$A")),H$8)))*100,"")))</f>
        <v>-25</v>
      </c>
      <c r="I10" s="16">
        <f>IF(OR(SC_Q_NPS_Q_NPS_CT="(None)",I$8=""),"",IF(I$8="Other","",IFERROR(((COUNTIFS(Q_NPS_B_data,"&gt;=9",Q_NPS_B_data,"&lt;=10",passes_workbook_filters_data,1,passes_workbook_custom_filters_data,1,INDIRECT(IFERROR(INDEX(All_Questions_Data_Names,MATCH(SC_Q_NPS_Q_NPS_CT,All_Questions,0)),"'_RawData'!$A:$A")),I$8)/COUNTIFS(Q_NPS_B_data,"&gt;=0",Q_NPS_B_data,"&lt;=10",passes_workbook_filters_data,1,passes_workbook_custom_filters_data,1,INDIRECT(IFERROR(INDEX(All_Questions_Data_Names,MATCH(SC_Q_NPS_Q_NPS_CT,All_Questions,0)),"'_RawData'!$A:$A")),I$8))-(COUNTIFS(Q_NPS_B_data,"&gt;=0",Q_NPS_B_data,"&lt;=6",passes_workbook_filters_data,1,passes_workbook_custom_filters_data,1,INDIRECT(IFERROR(INDEX(All_Questions_Data_Names,MATCH(SC_Q_NPS_Q_NPS_CT,All_Questions,0)),"'_RawData'!$A:$A")),I$8)/COUNTIFS(Q_NPS_B_data,"&gt;=0",Q_NPS_B_data,"&lt;=10",passes_workbook_filters_data,1,passes_workbook_custom_filters_data,1,INDIRECT(IFERROR(INDEX(All_Questions_Data_Names,MATCH(SC_Q_NPS_Q_NPS_CT,All_Questions,0)),"'_RawData'!$A:$A")),I$8)))*100,"")))</f>
        <v>-25</v>
      </c>
      <c r="J10" s="16">
        <f>IF(OR(SC_Q_NPS_Q_NPS_CT="(None)",J$8=""),"",IF(J$8="Other","",IFERROR(((COUNTIFS(Q_NPS_B_data,"&gt;=9",Q_NPS_B_data,"&lt;=10",passes_workbook_filters_data,1,passes_workbook_custom_filters_data,1,INDIRECT(IFERROR(INDEX(All_Questions_Data_Names,MATCH(SC_Q_NPS_Q_NPS_CT,All_Questions,0)),"'_RawData'!$A:$A")),J$8)/COUNTIFS(Q_NPS_B_data,"&gt;=0",Q_NPS_B_data,"&lt;=10",passes_workbook_filters_data,1,passes_workbook_custom_filters_data,1,INDIRECT(IFERROR(INDEX(All_Questions_Data_Names,MATCH(SC_Q_NPS_Q_NPS_CT,All_Questions,0)),"'_RawData'!$A:$A")),J$8))-(COUNTIFS(Q_NPS_B_data,"&gt;=0",Q_NPS_B_data,"&lt;=6",passes_workbook_filters_data,1,passes_workbook_custom_filters_data,1,INDIRECT(IFERROR(INDEX(All_Questions_Data_Names,MATCH(SC_Q_NPS_Q_NPS_CT,All_Questions,0)),"'_RawData'!$A:$A")),J$8)/COUNTIFS(Q_NPS_B_data,"&gt;=0",Q_NPS_B_data,"&lt;=10",passes_workbook_filters_data,1,passes_workbook_custom_filters_data,1,INDIRECT(IFERROR(INDEX(All_Questions_Data_Names,MATCH(SC_Q_NPS_Q_NPS_CT,All_Questions,0)),"'_RawData'!$A:$A")),J$8)))*100,"")))</f>
        <v>-25</v>
      </c>
      <c r="K10" s="16">
        <f>IF(OR(SC_Q_NPS_Q_NPS_CT="(None)",K$8=""),"",IF(K$8="Other","",IFERROR(((COUNTIFS(Q_NPS_B_data,"&gt;=9",Q_NPS_B_data,"&lt;=10",passes_workbook_filters_data,1,passes_workbook_custom_filters_data,1,INDIRECT(IFERROR(INDEX(All_Questions_Data_Names,MATCH(SC_Q_NPS_Q_NPS_CT,All_Questions,0)),"'_RawData'!$A:$A")),K$8)/COUNTIFS(Q_NPS_B_data,"&gt;=0",Q_NPS_B_data,"&lt;=10",passes_workbook_filters_data,1,passes_workbook_custom_filters_data,1,INDIRECT(IFERROR(INDEX(All_Questions_Data_Names,MATCH(SC_Q_NPS_Q_NPS_CT,All_Questions,0)),"'_RawData'!$A:$A")),K$8))-(COUNTIFS(Q_NPS_B_data,"&gt;=0",Q_NPS_B_data,"&lt;=6",passes_workbook_filters_data,1,passes_workbook_custom_filters_data,1,INDIRECT(IFERROR(INDEX(All_Questions_Data_Names,MATCH(SC_Q_NPS_Q_NPS_CT,All_Questions,0)),"'_RawData'!$A:$A")),K$8)/COUNTIFS(Q_NPS_B_data,"&gt;=0",Q_NPS_B_data,"&lt;=10",passes_workbook_filters_data,1,passes_workbook_custom_filters_data,1,INDIRECT(IFERROR(INDEX(All_Questions_Data_Names,MATCH(SC_Q_NPS_Q_NPS_CT,All_Questions,0)),"'_RawData'!$A:$A")),K$8)))*100,"")))</f>
        <v>-25</v>
      </c>
      <c r="L10" s="16">
        <f>IF(OR(SC_Q_NPS_Q_NPS_CT="(None)",L$8=""),"",IF(L$8="Other","",IFERROR(((COUNTIFS(Q_NPS_B_data,"&gt;=9",Q_NPS_B_data,"&lt;=10",passes_workbook_filters_data,1,passes_workbook_custom_filters_data,1,INDIRECT(IFERROR(INDEX(All_Questions_Data_Names,MATCH(SC_Q_NPS_Q_NPS_CT,All_Questions,0)),"'_RawData'!$A:$A")),L$8)/COUNTIFS(Q_NPS_B_data,"&gt;=0",Q_NPS_B_data,"&lt;=10",passes_workbook_filters_data,1,passes_workbook_custom_filters_data,1,INDIRECT(IFERROR(INDEX(All_Questions_Data_Names,MATCH(SC_Q_NPS_Q_NPS_CT,All_Questions,0)),"'_RawData'!$A:$A")),L$8))-(COUNTIFS(Q_NPS_B_data,"&gt;=0",Q_NPS_B_data,"&lt;=6",passes_workbook_filters_data,1,passes_workbook_custom_filters_data,1,INDIRECT(IFERROR(INDEX(All_Questions_Data_Names,MATCH(SC_Q_NPS_Q_NPS_CT,All_Questions,0)),"'_RawData'!$A:$A")),L$8)/COUNTIFS(Q_NPS_B_data,"&gt;=0",Q_NPS_B_data,"&lt;=10",passes_workbook_filters_data,1,passes_workbook_custom_filters_data,1,INDIRECT(IFERROR(INDEX(All_Questions_Data_Names,MATCH(SC_Q_NPS_Q_NPS_CT,All_Questions,0)),"'_RawData'!$A:$A")),L$8)))*100,"")))</f>
        <v>-25</v>
      </c>
      <c r="M10" s="16">
        <f>IF(OR(SC_Q_NPS_Q_NPS_CT="(None)",M$8=""),"",IF(M$8="Other","",IFERROR(((COUNTIFS(Q_NPS_B_data,"&gt;=9",Q_NPS_B_data,"&lt;=10",passes_workbook_filters_data,1,passes_workbook_custom_filters_data,1,INDIRECT(IFERROR(INDEX(All_Questions_Data_Names,MATCH(SC_Q_NPS_Q_NPS_CT,All_Questions,0)),"'_RawData'!$A:$A")),M$8)/COUNTIFS(Q_NPS_B_data,"&gt;=0",Q_NPS_B_data,"&lt;=10",passes_workbook_filters_data,1,passes_workbook_custom_filters_data,1,INDIRECT(IFERROR(INDEX(All_Questions_Data_Names,MATCH(SC_Q_NPS_Q_NPS_CT,All_Questions,0)),"'_RawData'!$A:$A")),M$8))-(COUNTIFS(Q_NPS_B_data,"&gt;=0",Q_NPS_B_data,"&lt;=6",passes_workbook_filters_data,1,passes_workbook_custom_filters_data,1,INDIRECT(IFERROR(INDEX(All_Questions_Data_Names,MATCH(SC_Q_NPS_Q_NPS_CT,All_Questions,0)),"'_RawData'!$A:$A")),M$8)/COUNTIFS(Q_NPS_B_data,"&gt;=0",Q_NPS_B_data,"&lt;=10",passes_workbook_filters_data,1,passes_workbook_custom_filters_data,1,INDIRECT(IFERROR(INDEX(All_Questions_Data_Names,MATCH(SC_Q_NPS_Q_NPS_CT,All_Questions,0)),"'_RawData'!$A:$A")),M$8)))*100,"")))</f>
        <v>-25</v>
      </c>
      <c r="N10" s="16">
        <f>IF(OR(SC_Q_NPS_Q_NPS_CT="(None)",N$8=""),"",IF(N$8="Other","",IFERROR(((COUNTIFS(Q_NPS_B_data,"&gt;=9",Q_NPS_B_data,"&lt;=10",passes_workbook_filters_data,1,passes_workbook_custom_filters_data,1,INDIRECT(IFERROR(INDEX(All_Questions_Data_Names,MATCH(SC_Q_NPS_Q_NPS_CT,All_Questions,0)),"'_RawData'!$A:$A")),N$8)/COUNTIFS(Q_NPS_B_data,"&gt;=0",Q_NPS_B_data,"&lt;=10",passes_workbook_filters_data,1,passes_workbook_custom_filters_data,1,INDIRECT(IFERROR(INDEX(All_Questions_Data_Names,MATCH(SC_Q_NPS_Q_NPS_CT,All_Questions,0)),"'_RawData'!$A:$A")),N$8))-(COUNTIFS(Q_NPS_B_data,"&gt;=0",Q_NPS_B_data,"&lt;=6",passes_workbook_filters_data,1,passes_workbook_custom_filters_data,1,INDIRECT(IFERROR(INDEX(All_Questions_Data_Names,MATCH(SC_Q_NPS_Q_NPS_CT,All_Questions,0)),"'_RawData'!$A:$A")),N$8)/COUNTIFS(Q_NPS_B_data,"&gt;=0",Q_NPS_B_data,"&lt;=10",passes_workbook_filters_data,1,passes_workbook_custom_filters_data,1,INDIRECT(IFERROR(INDEX(All_Questions_Data_Names,MATCH(SC_Q_NPS_Q_NPS_CT,All_Questions,0)),"'_RawData'!$A:$A")),N$8)))*100,"")))</f>
        <v>-25</v>
      </c>
      <c r="O10" s="16">
        <f>IF(OR(SC_Q_NPS_Q_NPS_CT="(None)",O$8=""),"",IF(O$8="Other","",IFERROR(((COUNTIFS(Q_NPS_B_data,"&gt;=9",Q_NPS_B_data,"&lt;=10",passes_workbook_filters_data,1,passes_workbook_custom_filters_data,1,INDIRECT(IFERROR(INDEX(All_Questions_Data_Names,MATCH(SC_Q_NPS_Q_NPS_CT,All_Questions,0)),"'_RawData'!$A:$A")),O$8)/COUNTIFS(Q_NPS_B_data,"&gt;=0",Q_NPS_B_data,"&lt;=10",passes_workbook_filters_data,1,passes_workbook_custom_filters_data,1,INDIRECT(IFERROR(INDEX(All_Questions_Data_Names,MATCH(SC_Q_NPS_Q_NPS_CT,All_Questions,0)),"'_RawData'!$A:$A")),O$8))-(COUNTIFS(Q_NPS_B_data,"&gt;=0",Q_NPS_B_data,"&lt;=6",passes_workbook_filters_data,1,passes_workbook_custom_filters_data,1,INDIRECT(IFERROR(INDEX(All_Questions_Data_Names,MATCH(SC_Q_NPS_Q_NPS_CT,All_Questions,0)),"'_RawData'!$A:$A")),O$8)/COUNTIFS(Q_NPS_B_data,"&gt;=0",Q_NPS_B_data,"&lt;=10",passes_workbook_filters_data,1,passes_workbook_custom_filters_data,1,INDIRECT(IFERROR(INDEX(All_Questions_Data_Names,MATCH(SC_Q_NPS_Q_NPS_CT,All_Questions,0)),"'_RawData'!$A:$A")),O$8)))*100,"")))</f>
        <v>-25</v>
      </c>
      <c r="P10" s="16">
        <f>IF(OR(SC_Q_NPS_Q_NPS_CT="(None)",P$8=""),"",IF(P$8="Other","",IFERROR(((COUNTIFS(Q_NPS_B_data,"&gt;=9",Q_NPS_B_data,"&lt;=10",passes_workbook_filters_data,1,passes_workbook_custom_filters_data,1,INDIRECT(IFERROR(INDEX(All_Questions_Data_Names,MATCH(SC_Q_NPS_Q_NPS_CT,All_Questions,0)),"'_RawData'!$A:$A")),P$8)/COUNTIFS(Q_NPS_B_data,"&gt;=0",Q_NPS_B_data,"&lt;=10",passes_workbook_filters_data,1,passes_workbook_custom_filters_data,1,INDIRECT(IFERROR(INDEX(All_Questions_Data_Names,MATCH(SC_Q_NPS_Q_NPS_CT,All_Questions,0)),"'_RawData'!$A:$A")),P$8))-(COUNTIFS(Q_NPS_B_data,"&gt;=0",Q_NPS_B_data,"&lt;=6",passes_workbook_filters_data,1,passes_workbook_custom_filters_data,1,INDIRECT(IFERROR(INDEX(All_Questions_Data_Names,MATCH(SC_Q_NPS_Q_NPS_CT,All_Questions,0)),"'_RawData'!$A:$A")),P$8)/COUNTIFS(Q_NPS_B_data,"&gt;=0",Q_NPS_B_data,"&lt;=10",passes_workbook_filters_data,1,passes_workbook_custom_filters_data,1,INDIRECT(IFERROR(INDEX(All_Questions_Data_Names,MATCH(SC_Q_NPS_Q_NPS_CT,All_Questions,0)),"'_RawData'!$A:$A")),P$8)))*100,"")))</f>
        <v>-25</v>
      </c>
      <c r="Q10" s="16">
        <f>IF(OR(SC_Q_NPS_Q_NPS_CT="(None)",Q$8=""),"",IF(Q$8="Other","",IFERROR(((COUNTIFS(Q_NPS_B_data,"&gt;=9",Q_NPS_B_data,"&lt;=10",passes_workbook_filters_data,1,passes_workbook_custom_filters_data,1,INDIRECT(IFERROR(INDEX(All_Questions_Data_Names,MATCH(SC_Q_NPS_Q_NPS_CT,All_Questions,0)),"'_RawData'!$A:$A")),Q$8)/COUNTIFS(Q_NPS_B_data,"&gt;=0",Q_NPS_B_data,"&lt;=10",passes_workbook_filters_data,1,passes_workbook_custom_filters_data,1,INDIRECT(IFERROR(INDEX(All_Questions_Data_Names,MATCH(SC_Q_NPS_Q_NPS_CT,All_Questions,0)),"'_RawData'!$A:$A")),Q$8))-(COUNTIFS(Q_NPS_B_data,"&gt;=0",Q_NPS_B_data,"&lt;=6",passes_workbook_filters_data,1,passes_workbook_custom_filters_data,1,INDIRECT(IFERROR(INDEX(All_Questions_Data_Names,MATCH(SC_Q_NPS_Q_NPS_CT,All_Questions,0)),"'_RawData'!$A:$A")),Q$8)/COUNTIFS(Q_NPS_B_data,"&gt;=0",Q_NPS_B_data,"&lt;=10",passes_workbook_filters_data,1,passes_workbook_custom_filters_data,1,INDIRECT(IFERROR(INDEX(All_Questions_Data_Names,MATCH(SC_Q_NPS_Q_NPS_CT,All_Questions,0)),"'_RawData'!$A:$A")),Q$8)))*100,"")))</f>
        <v>-25</v>
      </c>
      <c r="R10" s="16">
        <f>IF(OR(SC_Q_NPS_Q_NPS_CT="(None)",R$8=""),"",IF(R$8="Other","",IFERROR(((COUNTIFS(Q_NPS_B_data,"&gt;=9",Q_NPS_B_data,"&lt;=10",passes_workbook_filters_data,1,passes_workbook_custom_filters_data,1,INDIRECT(IFERROR(INDEX(All_Questions_Data_Names,MATCH(SC_Q_NPS_Q_NPS_CT,All_Questions,0)),"'_RawData'!$A:$A")),R$8)/COUNTIFS(Q_NPS_B_data,"&gt;=0",Q_NPS_B_data,"&lt;=10",passes_workbook_filters_data,1,passes_workbook_custom_filters_data,1,INDIRECT(IFERROR(INDEX(All_Questions_Data_Names,MATCH(SC_Q_NPS_Q_NPS_CT,All_Questions,0)),"'_RawData'!$A:$A")),R$8))-(COUNTIFS(Q_NPS_B_data,"&gt;=0",Q_NPS_B_data,"&lt;=6",passes_workbook_filters_data,1,passes_workbook_custom_filters_data,1,INDIRECT(IFERROR(INDEX(All_Questions_Data_Names,MATCH(SC_Q_NPS_Q_NPS_CT,All_Questions,0)),"'_RawData'!$A:$A")),R$8)/COUNTIFS(Q_NPS_B_data,"&gt;=0",Q_NPS_B_data,"&lt;=10",passes_workbook_filters_data,1,passes_workbook_custom_filters_data,1,INDIRECT(IFERROR(INDEX(All_Questions_Data_Names,MATCH(SC_Q_NPS_Q_NPS_CT,All_Questions,0)),"'_RawData'!$A:$A")),R$8)))*100,"")))</f>
        <v>-25</v>
      </c>
      <c r="S10" s="16">
        <f>IF(SC_Q_NPS_Q_NPS_CT="(None)","",IFERROR(((COUNTIFS(Q_NPS_B_data,"&gt;=9",Q_NPS_B_data,"&lt;=10",passes_workbook_filters_data,1,passes_workbook_custom_filters_data,1)/COUNTIFS(Q_NPS_B_data,"&gt;=0",Q_NPS_B_data,"&lt;=10",passes_workbook_filters_data,1,passes_workbook_custom_filters_data,1))-(COUNTIFS(Q_NPS_B_data,"&gt;=0",Q_NPS_B_data,"&lt;=6",passes_workbook_filters_data,1,passes_workbook_custom_filters_data,1)/COUNTIFS(Q_NPS_B_data,"&gt;=0",Q_NPS_B_data,"&lt;=10",passes_workbook_filters_data,1,passes_workbook_custom_filters_data,1)))*100,""))</f>
        <v>-25</v>
      </c>
    </row>
    <row r="11">
      <c r="F11" t="inlineStr">
        <is>
          <t>Vendor A</t>
        </is>
      </c>
      <c r="G11" s="16">
        <f>IF(OR(SC_Q_NPS_Q_NPS_CT="(None)",G$8=""),"",IF(G$8="Other","",IFERROR(((COUNTIFS(Q_NPS_A_data,"&gt;=9",Q_NPS_A_data,"&lt;=10",passes_workbook_filters_data,1,passes_workbook_custom_filters_data,1,INDIRECT(IFERROR(INDEX(All_Questions_Data_Names,MATCH(SC_Q_NPS_Q_NPS_CT,All_Questions,0)),"'_RawData'!$A:$A")),G$8)/COUNTIFS(Q_NPS_A_data,"&gt;=0",Q_NPS_A_data,"&lt;=10",passes_workbook_filters_data,1,passes_workbook_custom_filters_data,1,INDIRECT(IFERROR(INDEX(All_Questions_Data_Names,MATCH(SC_Q_NPS_Q_NPS_CT,All_Questions,0)),"'_RawData'!$A:$A")),G$8))-(COUNTIFS(Q_NPS_A_data,"&gt;=0",Q_NPS_A_data,"&lt;=6",passes_workbook_filters_data,1,passes_workbook_custom_filters_data,1,INDIRECT(IFERROR(INDEX(All_Questions_Data_Names,MATCH(SC_Q_NPS_Q_NPS_CT,All_Questions,0)),"'_RawData'!$A:$A")),G$8)/COUNTIFS(Q_NPS_A_data,"&gt;=0",Q_NPS_A_data,"&lt;=10",passes_workbook_filters_data,1,passes_workbook_custom_filters_data,1,INDIRECT(IFERROR(INDEX(All_Questions_Data_Names,MATCH(SC_Q_NPS_Q_NPS_CT,All_Questions,0)),"'_RawData'!$A:$A")),G$8)))*100,"")))</f>
        <v>67</v>
      </c>
      <c r="H11" s="16">
        <f>IF(OR(SC_Q_NPS_Q_NPS_CT="(None)",H$8=""),"",IF(H$8="Other","",IFERROR(((COUNTIFS(Q_NPS_A_data,"&gt;=9",Q_NPS_A_data,"&lt;=10",passes_workbook_filters_data,1,passes_workbook_custom_filters_data,1,INDIRECT(IFERROR(INDEX(All_Questions_Data_Names,MATCH(SC_Q_NPS_Q_NPS_CT,All_Questions,0)),"'_RawData'!$A:$A")),H$8)/COUNTIFS(Q_NPS_A_data,"&gt;=0",Q_NPS_A_data,"&lt;=10",passes_workbook_filters_data,1,passes_workbook_custom_filters_data,1,INDIRECT(IFERROR(INDEX(All_Questions_Data_Names,MATCH(SC_Q_NPS_Q_NPS_CT,All_Questions,0)),"'_RawData'!$A:$A")),H$8))-(COUNTIFS(Q_NPS_A_data,"&gt;=0",Q_NPS_A_data,"&lt;=6",passes_workbook_filters_data,1,passes_workbook_custom_filters_data,1,INDIRECT(IFERROR(INDEX(All_Questions_Data_Names,MATCH(SC_Q_NPS_Q_NPS_CT,All_Questions,0)),"'_RawData'!$A:$A")),H$8)/COUNTIFS(Q_NPS_A_data,"&gt;=0",Q_NPS_A_data,"&lt;=10",passes_workbook_filters_data,1,passes_workbook_custom_filters_data,1,INDIRECT(IFERROR(INDEX(All_Questions_Data_Names,MATCH(SC_Q_NPS_Q_NPS_CT,All_Questions,0)),"'_RawData'!$A:$A")),H$8)))*100,"")))</f>
        <v>67</v>
      </c>
      <c r="I11" s="16">
        <f>IF(OR(SC_Q_NPS_Q_NPS_CT="(None)",I$8=""),"",IF(I$8="Other","",IFERROR(((COUNTIFS(Q_NPS_A_data,"&gt;=9",Q_NPS_A_data,"&lt;=10",passes_workbook_filters_data,1,passes_workbook_custom_filters_data,1,INDIRECT(IFERROR(INDEX(All_Questions_Data_Names,MATCH(SC_Q_NPS_Q_NPS_CT,All_Questions,0)),"'_RawData'!$A:$A")),I$8)/COUNTIFS(Q_NPS_A_data,"&gt;=0",Q_NPS_A_data,"&lt;=10",passes_workbook_filters_data,1,passes_workbook_custom_filters_data,1,INDIRECT(IFERROR(INDEX(All_Questions_Data_Names,MATCH(SC_Q_NPS_Q_NPS_CT,All_Questions,0)),"'_RawData'!$A:$A")),I$8))-(COUNTIFS(Q_NPS_A_data,"&gt;=0",Q_NPS_A_data,"&lt;=6",passes_workbook_filters_data,1,passes_workbook_custom_filters_data,1,INDIRECT(IFERROR(INDEX(All_Questions_Data_Names,MATCH(SC_Q_NPS_Q_NPS_CT,All_Questions,0)),"'_RawData'!$A:$A")),I$8)/COUNTIFS(Q_NPS_A_data,"&gt;=0",Q_NPS_A_data,"&lt;=10",passes_workbook_filters_data,1,passes_workbook_custom_filters_data,1,INDIRECT(IFERROR(INDEX(All_Questions_Data_Names,MATCH(SC_Q_NPS_Q_NPS_CT,All_Questions,0)),"'_RawData'!$A:$A")),I$8)))*100,"")))</f>
        <v>67</v>
      </c>
      <c r="J11" s="16">
        <f>IF(OR(SC_Q_NPS_Q_NPS_CT="(None)",J$8=""),"",IF(J$8="Other","",IFERROR(((COUNTIFS(Q_NPS_A_data,"&gt;=9",Q_NPS_A_data,"&lt;=10",passes_workbook_filters_data,1,passes_workbook_custom_filters_data,1,INDIRECT(IFERROR(INDEX(All_Questions_Data_Names,MATCH(SC_Q_NPS_Q_NPS_CT,All_Questions,0)),"'_RawData'!$A:$A")),J$8)/COUNTIFS(Q_NPS_A_data,"&gt;=0",Q_NPS_A_data,"&lt;=10",passes_workbook_filters_data,1,passes_workbook_custom_filters_data,1,INDIRECT(IFERROR(INDEX(All_Questions_Data_Names,MATCH(SC_Q_NPS_Q_NPS_CT,All_Questions,0)),"'_RawData'!$A:$A")),J$8))-(COUNTIFS(Q_NPS_A_data,"&gt;=0",Q_NPS_A_data,"&lt;=6",passes_workbook_filters_data,1,passes_workbook_custom_filters_data,1,INDIRECT(IFERROR(INDEX(All_Questions_Data_Names,MATCH(SC_Q_NPS_Q_NPS_CT,All_Questions,0)),"'_RawData'!$A:$A")),J$8)/COUNTIFS(Q_NPS_A_data,"&gt;=0",Q_NPS_A_data,"&lt;=10",passes_workbook_filters_data,1,passes_workbook_custom_filters_data,1,INDIRECT(IFERROR(INDEX(All_Questions_Data_Names,MATCH(SC_Q_NPS_Q_NPS_CT,All_Questions,0)),"'_RawData'!$A:$A")),J$8)))*100,"")))</f>
        <v>67</v>
      </c>
      <c r="K11" s="16">
        <f>IF(OR(SC_Q_NPS_Q_NPS_CT="(None)",K$8=""),"",IF(K$8="Other","",IFERROR(((COUNTIFS(Q_NPS_A_data,"&gt;=9",Q_NPS_A_data,"&lt;=10",passes_workbook_filters_data,1,passes_workbook_custom_filters_data,1,INDIRECT(IFERROR(INDEX(All_Questions_Data_Names,MATCH(SC_Q_NPS_Q_NPS_CT,All_Questions,0)),"'_RawData'!$A:$A")),K$8)/COUNTIFS(Q_NPS_A_data,"&gt;=0",Q_NPS_A_data,"&lt;=10",passes_workbook_filters_data,1,passes_workbook_custom_filters_data,1,INDIRECT(IFERROR(INDEX(All_Questions_Data_Names,MATCH(SC_Q_NPS_Q_NPS_CT,All_Questions,0)),"'_RawData'!$A:$A")),K$8))-(COUNTIFS(Q_NPS_A_data,"&gt;=0",Q_NPS_A_data,"&lt;=6",passes_workbook_filters_data,1,passes_workbook_custom_filters_data,1,INDIRECT(IFERROR(INDEX(All_Questions_Data_Names,MATCH(SC_Q_NPS_Q_NPS_CT,All_Questions,0)),"'_RawData'!$A:$A")),K$8)/COUNTIFS(Q_NPS_A_data,"&gt;=0",Q_NPS_A_data,"&lt;=10",passes_workbook_filters_data,1,passes_workbook_custom_filters_data,1,INDIRECT(IFERROR(INDEX(All_Questions_Data_Names,MATCH(SC_Q_NPS_Q_NPS_CT,All_Questions,0)),"'_RawData'!$A:$A")),K$8)))*100,"")))</f>
        <v>67</v>
      </c>
      <c r="L11" s="16">
        <f>IF(OR(SC_Q_NPS_Q_NPS_CT="(None)",L$8=""),"",IF(L$8="Other","",IFERROR(((COUNTIFS(Q_NPS_A_data,"&gt;=9",Q_NPS_A_data,"&lt;=10",passes_workbook_filters_data,1,passes_workbook_custom_filters_data,1,INDIRECT(IFERROR(INDEX(All_Questions_Data_Names,MATCH(SC_Q_NPS_Q_NPS_CT,All_Questions,0)),"'_RawData'!$A:$A")),L$8)/COUNTIFS(Q_NPS_A_data,"&gt;=0",Q_NPS_A_data,"&lt;=10",passes_workbook_filters_data,1,passes_workbook_custom_filters_data,1,INDIRECT(IFERROR(INDEX(All_Questions_Data_Names,MATCH(SC_Q_NPS_Q_NPS_CT,All_Questions,0)),"'_RawData'!$A:$A")),L$8))-(COUNTIFS(Q_NPS_A_data,"&gt;=0",Q_NPS_A_data,"&lt;=6",passes_workbook_filters_data,1,passes_workbook_custom_filters_data,1,INDIRECT(IFERROR(INDEX(All_Questions_Data_Names,MATCH(SC_Q_NPS_Q_NPS_CT,All_Questions,0)),"'_RawData'!$A:$A")),L$8)/COUNTIFS(Q_NPS_A_data,"&gt;=0",Q_NPS_A_data,"&lt;=10",passes_workbook_filters_data,1,passes_workbook_custom_filters_data,1,INDIRECT(IFERROR(INDEX(All_Questions_Data_Names,MATCH(SC_Q_NPS_Q_NPS_CT,All_Questions,0)),"'_RawData'!$A:$A")),L$8)))*100,"")))</f>
        <v>67</v>
      </c>
      <c r="M11" s="16">
        <f>IF(OR(SC_Q_NPS_Q_NPS_CT="(None)",M$8=""),"",IF(M$8="Other","",IFERROR(((COUNTIFS(Q_NPS_A_data,"&gt;=9",Q_NPS_A_data,"&lt;=10",passes_workbook_filters_data,1,passes_workbook_custom_filters_data,1,INDIRECT(IFERROR(INDEX(All_Questions_Data_Names,MATCH(SC_Q_NPS_Q_NPS_CT,All_Questions,0)),"'_RawData'!$A:$A")),M$8)/COUNTIFS(Q_NPS_A_data,"&gt;=0",Q_NPS_A_data,"&lt;=10",passes_workbook_filters_data,1,passes_workbook_custom_filters_data,1,INDIRECT(IFERROR(INDEX(All_Questions_Data_Names,MATCH(SC_Q_NPS_Q_NPS_CT,All_Questions,0)),"'_RawData'!$A:$A")),M$8))-(COUNTIFS(Q_NPS_A_data,"&gt;=0",Q_NPS_A_data,"&lt;=6",passes_workbook_filters_data,1,passes_workbook_custom_filters_data,1,INDIRECT(IFERROR(INDEX(All_Questions_Data_Names,MATCH(SC_Q_NPS_Q_NPS_CT,All_Questions,0)),"'_RawData'!$A:$A")),M$8)/COUNTIFS(Q_NPS_A_data,"&gt;=0",Q_NPS_A_data,"&lt;=10",passes_workbook_filters_data,1,passes_workbook_custom_filters_data,1,INDIRECT(IFERROR(INDEX(All_Questions_Data_Names,MATCH(SC_Q_NPS_Q_NPS_CT,All_Questions,0)),"'_RawData'!$A:$A")),M$8)))*100,"")))</f>
        <v>67</v>
      </c>
      <c r="N11" s="16">
        <f>IF(OR(SC_Q_NPS_Q_NPS_CT="(None)",N$8=""),"",IF(N$8="Other","",IFERROR(((COUNTIFS(Q_NPS_A_data,"&gt;=9",Q_NPS_A_data,"&lt;=10",passes_workbook_filters_data,1,passes_workbook_custom_filters_data,1,INDIRECT(IFERROR(INDEX(All_Questions_Data_Names,MATCH(SC_Q_NPS_Q_NPS_CT,All_Questions,0)),"'_RawData'!$A:$A")),N$8)/COUNTIFS(Q_NPS_A_data,"&gt;=0",Q_NPS_A_data,"&lt;=10",passes_workbook_filters_data,1,passes_workbook_custom_filters_data,1,INDIRECT(IFERROR(INDEX(All_Questions_Data_Names,MATCH(SC_Q_NPS_Q_NPS_CT,All_Questions,0)),"'_RawData'!$A:$A")),N$8))-(COUNTIFS(Q_NPS_A_data,"&gt;=0",Q_NPS_A_data,"&lt;=6",passes_workbook_filters_data,1,passes_workbook_custom_filters_data,1,INDIRECT(IFERROR(INDEX(All_Questions_Data_Names,MATCH(SC_Q_NPS_Q_NPS_CT,All_Questions,0)),"'_RawData'!$A:$A")),N$8)/COUNTIFS(Q_NPS_A_data,"&gt;=0",Q_NPS_A_data,"&lt;=10",passes_workbook_filters_data,1,passes_workbook_custom_filters_data,1,INDIRECT(IFERROR(INDEX(All_Questions_Data_Names,MATCH(SC_Q_NPS_Q_NPS_CT,All_Questions,0)),"'_RawData'!$A:$A")),N$8)))*100,"")))</f>
        <v>67</v>
      </c>
      <c r="O11" s="16">
        <f>IF(OR(SC_Q_NPS_Q_NPS_CT="(None)",O$8=""),"",IF(O$8="Other","",IFERROR(((COUNTIFS(Q_NPS_A_data,"&gt;=9",Q_NPS_A_data,"&lt;=10",passes_workbook_filters_data,1,passes_workbook_custom_filters_data,1,INDIRECT(IFERROR(INDEX(All_Questions_Data_Names,MATCH(SC_Q_NPS_Q_NPS_CT,All_Questions,0)),"'_RawData'!$A:$A")),O$8)/COUNTIFS(Q_NPS_A_data,"&gt;=0",Q_NPS_A_data,"&lt;=10",passes_workbook_filters_data,1,passes_workbook_custom_filters_data,1,INDIRECT(IFERROR(INDEX(All_Questions_Data_Names,MATCH(SC_Q_NPS_Q_NPS_CT,All_Questions,0)),"'_RawData'!$A:$A")),O$8))-(COUNTIFS(Q_NPS_A_data,"&gt;=0",Q_NPS_A_data,"&lt;=6",passes_workbook_filters_data,1,passes_workbook_custom_filters_data,1,INDIRECT(IFERROR(INDEX(All_Questions_Data_Names,MATCH(SC_Q_NPS_Q_NPS_CT,All_Questions,0)),"'_RawData'!$A:$A")),O$8)/COUNTIFS(Q_NPS_A_data,"&gt;=0",Q_NPS_A_data,"&lt;=10",passes_workbook_filters_data,1,passes_workbook_custom_filters_data,1,INDIRECT(IFERROR(INDEX(All_Questions_Data_Names,MATCH(SC_Q_NPS_Q_NPS_CT,All_Questions,0)),"'_RawData'!$A:$A")),O$8)))*100,"")))</f>
        <v>67</v>
      </c>
      <c r="P11" s="16">
        <f>IF(OR(SC_Q_NPS_Q_NPS_CT="(None)",P$8=""),"",IF(P$8="Other","",IFERROR(((COUNTIFS(Q_NPS_A_data,"&gt;=9",Q_NPS_A_data,"&lt;=10",passes_workbook_filters_data,1,passes_workbook_custom_filters_data,1,INDIRECT(IFERROR(INDEX(All_Questions_Data_Names,MATCH(SC_Q_NPS_Q_NPS_CT,All_Questions,0)),"'_RawData'!$A:$A")),P$8)/COUNTIFS(Q_NPS_A_data,"&gt;=0",Q_NPS_A_data,"&lt;=10",passes_workbook_filters_data,1,passes_workbook_custom_filters_data,1,INDIRECT(IFERROR(INDEX(All_Questions_Data_Names,MATCH(SC_Q_NPS_Q_NPS_CT,All_Questions,0)),"'_RawData'!$A:$A")),P$8))-(COUNTIFS(Q_NPS_A_data,"&gt;=0",Q_NPS_A_data,"&lt;=6",passes_workbook_filters_data,1,passes_workbook_custom_filters_data,1,INDIRECT(IFERROR(INDEX(All_Questions_Data_Names,MATCH(SC_Q_NPS_Q_NPS_CT,All_Questions,0)),"'_RawData'!$A:$A")),P$8)/COUNTIFS(Q_NPS_A_data,"&gt;=0",Q_NPS_A_data,"&lt;=10",passes_workbook_filters_data,1,passes_workbook_custom_filters_data,1,INDIRECT(IFERROR(INDEX(All_Questions_Data_Names,MATCH(SC_Q_NPS_Q_NPS_CT,All_Questions,0)),"'_RawData'!$A:$A")),P$8)))*100,"")))</f>
        <v>67</v>
      </c>
      <c r="Q11" s="16">
        <f>IF(OR(SC_Q_NPS_Q_NPS_CT="(None)",Q$8=""),"",IF(Q$8="Other","",IFERROR(((COUNTIFS(Q_NPS_A_data,"&gt;=9",Q_NPS_A_data,"&lt;=10",passes_workbook_filters_data,1,passes_workbook_custom_filters_data,1,INDIRECT(IFERROR(INDEX(All_Questions_Data_Names,MATCH(SC_Q_NPS_Q_NPS_CT,All_Questions,0)),"'_RawData'!$A:$A")),Q$8)/COUNTIFS(Q_NPS_A_data,"&gt;=0",Q_NPS_A_data,"&lt;=10",passes_workbook_filters_data,1,passes_workbook_custom_filters_data,1,INDIRECT(IFERROR(INDEX(All_Questions_Data_Names,MATCH(SC_Q_NPS_Q_NPS_CT,All_Questions,0)),"'_RawData'!$A:$A")),Q$8))-(COUNTIFS(Q_NPS_A_data,"&gt;=0",Q_NPS_A_data,"&lt;=6",passes_workbook_filters_data,1,passes_workbook_custom_filters_data,1,INDIRECT(IFERROR(INDEX(All_Questions_Data_Names,MATCH(SC_Q_NPS_Q_NPS_CT,All_Questions,0)),"'_RawData'!$A:$A")),Q$8)/COUNTIFS(Q_NPS_A_data,"&gt;=0",Q_NPS_A_data,"&lt;=10",passes_workbook_filters_data,1,passes_workbook_custom_filters_data,1,INDIRECT(IFERROR(INDEX(All_Questions_Data_Names,MATCH(SC_Q_NPS_Q_NPS_CT,All_Questions,0)),"'_RawData'!$A:$A")),Q$8)))*100,"")))</f>
        <v>67</v>
      </c>
      <c r="R11" s="16">
        <f>IF(OR(SC_Q_NPS_Q_NPS_CT="(None)",R$8=""),"",IF(R$8="Other","",IFERROR(((COUNTIFS(Q_NPS_A_data,"&gt;=9",Q_NPS_A_data,"&lt;=10",passes_workbook_filters_data,1,passes_workbook_custom_filters_data,1,INDIRECT(IFERROR(INDEX(All_Questions_Data_Names,MATCH(SC_Q_NPS_Q_NPS_CT,All_Questions,0)),"'_RawData'!$A:$A")),R$8)/COUNTIFS(Q_NPS_A_data,"&gt;=0",Q_NPS_A_data,"&lt;=10",passes_workbook_filters_data,1,passes_workbook_custom_filters_data,1,INDIRECT(IFERROR(INDEX(All_Questions_Data_Names,MATCH(SC_Q_NPS_Q_NPS_CT,All_Questions,0)),"'_RawData'!$A:$A")),R$8))-(COUNTIFS(Q_NPS_A_data,"&gt;=0",Q_NPS_A_data,"&lt;=6",passes_workbook_filters_data,1,passes_workbook_custom_filters_data,1,INDIRECT(IFERROR(INDEX(All_Questions_Data_Names,MATCH(SC_Q_NPS_Q_NPS_CT,All_Questions,0)),"'_RawData'!$A:$A")),R$8)/COUNTIFS(Q_NPS_A_data,"&gt;=0",Q_NPS_A_data,"&lt;=10",passes_workbook_filters_data,1,passes_workbook_custom_filters_data,1,INDIRECT(IFERROR(INDEX(All_Questions_Data_Names,MATCH(SC_Q_NPS_Q_NPS_CT,All_Questions,0)),"'_RawData'!$A:$A")),R$8)))*100,"")))</f>
        <v>67</v>
      </c>
      <c r="S11" s="16">
        <f>IF(SC_Q_NPS_Q_NPS_CT="(None)","",IFERROR(((COUNTIFS(Q_NPS_A_data,"&gt;=9",Q_NPS_A_data,"&lt;=10",passes_workbook_filters_data,1,passes_workbook_custom_filters_data,1)/COUNTIFS(Q_NPS_A_data,"&gt;=0",Q_NPS_A_data,"&lt;=10",passes_workbook_filters_data,1,passes_workbook_custom_filters_data,1))-(COUNTIFS(Q_NPS_A_data,"&gt;=0",Q_NPS_A_data,"&lt;=6",passes_workbook_filters_data,1,passes_workbook_custom_filters_data,1)/COUNTIFS(Q_NPS_A_data,"&gt;=0",Q_NPS_A_data,"&lt;=10",passes_workbook_filters_data,1,passes_workbook_custom_filters_data,1)))*100,""))</f>
        <v>67</v>
      </c>
    </row>
    <row r="12">
      <c r="F12" s="4" t="inlineStr">
        <is>
          <t>Total respondents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>
        <f>IF(SC_Q_NPS_Q_NPS_CT="(None)","",COUNTIFS(respondent_id_data,"&lt;&gt;",passes_workbook_filters_data,1,passes_workbook_custom_filters_data,1))</f>
        <v>0</v>
      </c>
    </row>
  </sheetData>
  <conditionalFormatting sqref="I5:I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:G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:H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:I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:J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K1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:L1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:M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0:N1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0:O1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0:P1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0:Q1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0:R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C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3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SC_Q_NPS</t>
        </is>
      </c>
      <c r="B2" t="inlineStr">
        <is>
          <t>vendor_a_promoters_count</t>
        </is>
      </c>
      <c r="C2" t="inlineStr">
        <is>
          <t>Q_NPS</t>
        </is>
      </c>
      <c r="D2" t="inlineStr">
        <is>
          <t>Q_NPS_A</t>
        </is>
      </c>
      <c r="E2" t="inlineStr"/>
      <c r="F2" t="n">
        <v>2</v>
      </c>
      <c r="G2" t="n">
        <v>3</v>
      </c>
      <c r="H2" t="inlineStr">
        <is>
          <t>count(scores in 9-10)</t>
        </is>
      </c>
      <c r="I2" t="n">
        <v>2</v>
      </c>
      <c r="J2" t="n">
        <v>3</v>
      </c>
      <c r="K2" t="n">
        <v>2</v>
      </c>
      <c r="L2" t="inlineStr">
        <is>
          <t>2026-06-08T09:16:00.613308+00:00</t>
        </is>
      </c>
    </row>
    <row r="3">
      <c r="A3" t="inlineStr">
        <is>
          <t>SC_Q_NPS</t>
        </is>
      </c>
      <c r="B3" t="inlineStr">
        <is>
          <t>vendor_a_passives_count</t>
        </is>
      </c>
      <c r="C3" t="inlineStr">
        <is>
          <t>Q_NPS</t>
        </is>
      </c>
      <c r="D3" t="inlineStr">
        <is>
          <t>Q_NPS_A</t>
        </is>
      </c>
      <c r="E3" t="inlineStr"/>
      <c r="F3" t="n">
        <v>1</v>
      </c>
      <c r="G3" t="n">
        <v>3</v>
      </c>
      <c r="H3" t="inlineStr">
        <is>
          <t>count(scores in 7-8)</t>
        </is>
      </c>
      <c r="I3" t="n">
        <v>1</v>
      </c>
      <c r="J3" t="n">
        <v>3</v>
      </c>
      <c r="K3" t="n">
        <v>2</v>
      </c>
      <c r="L3" t="inlineStr">
        <is>
          <t>2026-06-08T09:16:00.613343+00:00</t>
        </is>
      </c>
    </row>
    <row r="4">
      <c r="A4" t="inlineStr">
        <is>
          <t>SC_Q_NPS</t>
        </is>
      </c>
      <c r="B4" t="inlineStr">
        <is>
          <t>vendor_a_detractors_count</t>
        </is>
      </c>
      <c r="C4" t="inlineStr">
        <is>
          <t>Q_NPS</t>
        </is>
      </c>
      <c r="D4" t="inlineStr">
        <is>
          <t>Q_NPS_A</t>
        </is>
      </c>
      <c r="E4" t="inlineStr"/>
      <c r="F4" t="n">
        <v>0</v>
      </c>
      <c r="G4" t="n">
        <v>3</v>
      </c>
      <c r="H4" t="inlineStr">
        <is>
          <t>count(scores in 0-6)</t>
        </is>
      </c>
      <c r="I4" t="n">
        <v>0</v>
      </c>
      <c r="J4" t="n">
        <v>3</v>
      </c>
      <c r="K4" t="n">
        <v>2</v>
      </c>
      <c r="L4" t="inlineStr">
        <is>
          <t>2026-06-08T09:16:00.613369+00:00</t>
        </is>
      </c>
    </row>
    <row r="5">
      <c r="A5" t="inlineStr">
        <is>
          <t>SC_Q_NPS</t>
        </is>
      </c>
      <c r="B5" t="inlineStr">
        <is>
          <t>vendor_a_valid_n</t>
        </is>
      </c>
      <c r="C5" t="inlineStr">
        <is>
          <t>Q_NPS</t>
        </is>
      </c>
      <c r="D5" t="inlineStr">
        <is>
          <t>Q_NPS_A</t>
        </is>
      </c>
      <c r="E5" t="inlineStr"/>
      <c r="F5" t="n">
        <v>3</v>
      </c>
      <c r="G5" t="n">
        <v>3</v>
      </c>
      <c r="H5" t="inlineStr">
        <is>
          <t>count(integer scores in 0-10)</t>
        </is>
      </c>
      <c r="I5" t="n">
        <v>3</v>
      </c>
      <c r="J5" t="n">
        <v>3</v>
      </c>
      <c r="K5" t="n">
        <v>2</v>
      </c>
      <c r="L5" t="inlineStr">
        <is>
          <t>2026-06-08T09:16:00.613397+00:00</t>
        </is>
      </c>
    </row>
    <row r="6">
      <c r="A6" t="inlineStr">
        <is>
          <t>SC_Q_NPS</t>
        </is>
      </c>
      <c r="B6" t="inlineStr">
        <is>
          <t>vendor_a_pct_promoters</t>
        </is>
      </c>
      <c r="C6" t="inlineStr">
        <is>
          <t>Q_NPS</t>
        </is>
      </c>
      <c r="D6" t="inlineStr">
        <is>
          <t>Q_NPS_A</t>
        </is>
      </c>
      <c r="E6" t="inlineStr"/>
      <c r="F6" t="n">
        <v>2</v>
      </c>
      <c r="G6" t="n">
        <v>3</v>
      </c>
      <c r="H6" t="inlineStr">
        <is>
          <t>promoters / valid_n</t>
        </is>
      </c>
      <c r="I6" t="n">
        <v>0.6666666666666666</v>
      </c>
      <c r="J6" t="n">
        <v>3</v>
      </c>
      <c r="K6" t="n">
        <v>2</v>
      </c>
      <c r="L6" t="inlineStr">
        <is>
          <t>2026-06-08T09:16:00.613429+00:00</t>
        </is>
      </c>
    </row>
    <row r="7">
      <c r="A7" t="inlineStr">
        <is>
          <t>SC_Q_NPS</t>
        </is>
      </c>
      <c r="B7" t="inlineStr">
        <is>
          <t>vendor_a_pct_passives</t>
        </is>
      </c>
      <c r="C7" t="inlineStr">
        <is>
          <t>Q_NPS</t>
        </is>
      </c>
      <c r="D7" t="inlineStr">
        <is>
          <t>Q_NPS_A</t>
        </is>
      </c>
      <c r="E7" t="inlineStr"/>
      <c r="F7" t="n">
        <v>1</v>
      </c>
      <c r="G7" t="n">
        <v>3</v>
      </c>
      <c r="H7" t="inlineStr">
        <is>
          <t>passives / valid_n</t>
        </is>
      </c>
      <c r="I7" t="n">
        <v>0.3333333333333333</v>
      </c>
      <c r="J7" t="n">
        <v>3</v>
      </c>
      <c r="K7" t="n">
        <v>2</v>
      </c>
      <c r="L7" t="inlineStr">
        <is>
          <t>2026-06-08T09:16:00.613455+00:00</t>
        </is>
      </c>
    </row>
    <row r="8">
      <c r="A8" t="inlineStr">
        <is>
          <t>SC_Q_NPS</t>
        </is>
      </c>
      <c r="B8" t="inlineStr">
        <is>
          <t>vendor_a_pct_detractors</t>
        </is>
      </c>
      <c r="C8" t="inlineStr">
        <is>
          <t>Q_NPS</t>
        </is>
      </c>
      <c r="D8" t="inlineStr">
        <is>
          <t>Q_NPS_A</t>
        </is>
      </c>
      <c r="E8" t="inlineStr"/>
      <c r="F8" t="n">
        <v>0</v>
      </c>
      <c r="G8" t="n">
        <v>3</v>
      </c>
      <c r="H8" t="inlineStr">
        <is>
          <t>detractors / valid_n</t>
        </is>
      </c>
      <c r="I8" t="n">
        <v>0</v>
      </c>
      <c r="J8" t="n">
        <v>3</v>
      </c>
      <c r="K8" t="n">
        <v>2</v>
      </c>
      <c r="L8" t="inlineStr">
        <is>
          <t>2026-06-08T09:16:00.613481+00:00</t>
        </is>
      </c>
    </row>
    <row r="9">
      <c r="A9" t="inlineStr">
        <is>
          <t>SC_Q_NPS</t>
        </is>
      </c>
      <c r="B9" t="inlineStr">
        <is>
          <t>vendor_a_nps_score</t>
        </is>
      </c>
      <c r="C9" t="inlineStr">
        <is>
          <t>Q_NPS</t>
        </is>
      </c>
      <c r="D9" t="inlineStr">
        <is>
          <t>Q_NPS_A</t>
        </is>
      </c>
      <c r="E9" t="inlineStr"/>
      <c r="F9" t="n">
        <v>2</v>
      </c>
      <c r="G9" t="n">
        <v>3</v>
      </c>
      <c r="H9" t="inlineStr">
        <is>
          <t>(promoters / valid_n - detractors / valid_n) * 100</t>
        </is>
      </c>
      <c r="I9" t="n">
        <v>66.66666666666666</v>
      </c>
      <c r="J9" t="n">
        <v>3</v>
      </c>
      <c r="K9" t="n">
        <v>2</v>
      </c>
      <c r="L9" t="inlineStr">
        <is>
          <t>2026-06-08T09:16:00.613506+00:00</t>
        </is>
      </c>
    </row>
    <row r="10">
      <c r="A10" t="inlineStr">
        <is>
          <t>SC_Q_NPS</t>
        </is>
      </c>
      <c r="B10" t="inlineStr">
        <is>
          <t>vendor_b_promoters_count</t>
        </is>
      </c>
      <c r="C10" t="inlineStr">
        <is>
          <t>Q_NPS</t>
        </is>
      </c>
      <c r="D10" t="inlineStr">
        <is>
          <t>Q_NPS_B</t>
        </is>
      </c>
      <c r="E10" t="inlineStr"/>
      <c r="F10" t="n">
        <v>1</v>
      </c>
      <c r="G10" t="n">
        <v>4</v>
      </c>
      <c r="H10" t="inlineStr">
        <is>
          <t>count(scores in 9-10)</t>
        </is>
      </c>
      <c r="I10" t="n">
        <v>1</v>
      </c>
      <c r="J10" t="n">
        <v>4</v>
      </c>
      <c r="K10" t="n">
        <v>1</v>
      </c>
      <c r="L10" t="inlineStr">
        <is>
          <t>2026-06-08T09:16:00.615356+00:00</t>
        </is>
      </c>
    </row>
    <row r="11">
      <c r="A11" t="inlineStr">
        <is>
          <t>SC_Q_NPS</t>
        </is>
      </c>
      <c r="B11" t="inlineStr">
        <is>
          <t>vendor_b_passives_count</t>
        </is>
      </c>
      <c r="C11" t="inlineStr">
        <is>
          <t>Q_NPS</t>
        </is>
      </c>
      <c r="D11" t="inlineStr">
        <is>
          <t>Q_NPS_B</t>
        </is>
      </c>
      <c r="E11" t="inlineStr"/>
      <c r="F11" t="n">
        <v>1</v>
      </c>
      <c r="G11" t="n">
        <v>4</v>
      </c>
      <c r="H11" t="inlineStr">
        <is>
          <t>count(scores in 7-8)</t>
        </is>
      </c>
      <c r="I11" t="n">
        <v>1</v>
      </c>
      <c r="J11" t="n">
        <v>4</v>
      </c>
      <c r="K11" t="n">
        <v>1</v>
      </c>
      <c r="L11" t="inlineStr">
        <is>
          <t>2026-06-08T09:16:00.615388+00:00</t>
        </is>
      </c>
    </row>
    <row r="12">
      <c r="A12" t="inlineStr">
        <is>
          <t>SC_Q_NPS</t>
        </is>
      </c>
      <c r="B12" t="inlineStr">
        <is>
          <t>vendor_b_detractors_count</t>
        </is>
      </c>
      <c r="C12" t="inlineStr">
        <is>
          <t>Q_NPS</t>
        </is>
      </c>
      <c r="D12" t="inlineStr">
        <is>
          <t>Q_NPS_B</t>
        </is>
      </c>
      <c r="E12" t="inlineStr"/>
      <c r="F12" t="n">
        <v>2</v>
      </c>
      <c r="G12" t="n">
        <v>4</v>
      </c>
      <c r="H12" t="inlineStr">
        <is>
          <t>count(scores in 0-6)</t>
        </is>
      </c>
      <c r="I12" t="n">
        <v>2</v>
      </c>
      <c r="J12" t="n">
        <v>4</v>
      </c>
      <c r="K12" t="n">
        <v>1</v>
      </c>
      <c r="L12" t="inlineStr">
        <is>
          <t>2026-06-08T09:16:00.615415+00:00</t>
        </is>
      </c>
    </row>
    <row r="13">
      <c r="A13" t="inlineStr">
        <is>
          <t>SC_Q_NPS</t>
        </is>
      </c>
      <c r="B13" t="inlineStr">
        <is>
          <t>vendor_b_valid_n</t>
        </is>
      </c>
      <c r="C13" t="inlineStr">
        <is>
          <t>Q_NPS</t>
        </is>
      </c>
      <c r="D13" t="inlineStr">
        <is>
          <t>Q_NPS_B</t>
        </is>
      </c>
      <c r="E13" t="inlineStr"/>
      <c r="F13" t="n">
        <v>4</v>
      </c>
      <c r="G13" t="n">
        <v>4</v>
      </c>
      <c r="H13" t="inlineStr">
        <is>
          <t>count(integer scores in 0-10)</t>
        </is>
      </c>
      <c r="I13" t="n">
        <v>4</v>
      </c>
      <c r="J13" t="n">
        <v>4</v>
      </c>
      <c r="K13" t="n">
        <v>1</v>
      </c>
      <c r="L13" t="inlineStr">
        <is>
          <t>2026-06-08T09:16:00.615440+00:00</t>
        </is>
      </c>
    </row>
    <row r="14">
      <c r="A14" t="inlineStr">
        <is>
          <t>SC_Q_NPS</t>
        </is>
      </c>
      <c r="B14" t="inlineStr">
        <is>
          <t>vendor_b_pct_promoters</t>
        </is>
      </c>
      <c r="C14" t="inlineStr">
        <is>
          <t>Q_NPS</t>
        </is>
      </c>
      <c r="D14" t="inlineStr">
        <is>
          <t>Q_NPS_B</t>
        </is>
      </c>
      <c r="E14" t="inlineStr"/>
      <c r="F14" t="n">
        <v>1</v>
      </c>
      <c r="G14" t="n">
        <v>4</v>
      </c>
      <c r="H14" t="inlineStr">
        <is>
          <t>promoters / valid_n</t>
        </is>
      </c>
      <c r="I14" t="n">
        <v>0.25</v>
      </c>
      <c r="J14" t="n">
        <v>4</v>
      </c>
      <c r="K14" t="n">
        <v>1</v>
      </c>
      <c r="L14" t="inlineStr">
        <is>
          <t>2026-06-08T09:16:00.615472+00:00</t>
        </is>
      </c>
    </row>
    <row r="15">
      <c r="A15" t="inlineStr">
        <is>
          <t>SC_Q_NPS</t>
        </is>
      </c>
      <c r="B15" t="inlineStr">
        <is>
          <t>vendor_b_pct_passives</t>
        </is>
      </c>
      <c r="C15" t="inlineStr">
        <is>
          <t>Q_NPS</t>
        </is>
      </c>
      <c r="D15" t="inlineStr">
        <is>
          <t>Q_NPS_B</t>
        </is>
      </c>
      <c r="E15" t="inlineStr"/>
      <c r="F15" t="n">
        <v>1</v>
      </c>
      <c r="G15" t="n">
        <v>4</v>
      </c>
      <c r="H15" t="inlineStr">
        <is>
          <t>passives / valid_n</t>
        </is>
      </c>
      <c r="I15" t="n">
        <v>0.25</v>
      </c>
      <c r="J15" t="n">
        <v>4</v>
      </c>
      <c r="K15" t="n">
        <v>1</v>
      </c>
      <c r="L15" t="inlineStr">
        <is>
          <t>2026-06-08T09:16:00.615498+00:00</t>
        </is>
      </c>
    </row>
    <row r="16">
      <c r="A16" t="inlineStr">
        <is>
          <t>SC_Q_NPS</t>
        </is>
      </c>
      <c r="B16" t="inlineStr">
        <is>
          <t>vendor_b_pct_detractors</t>
        </is>
      </c>
      <c r="C16" t="inlineStr">
        <is>
          <t>Q_NPS</t>
        </is>
      </c>
      <c r="D16" t="inlineStr">
        <is>
          <t>Q_NPS_B</t>
        </is>
      </c>
      <c r="E16" t="inlineStr"/>
      <c r="F16" t="n">
        <v>2</v>
      </c>
      <c r="G16" t="n">
        <v>4</v>
      </c>
      <c r="H16" t="inlineStr">
        <is>
          <t>detractors / valid_n</t>
        </is>
      </c>
      <c r="I16" t="n">
        <v>0.5</v>
      </c>
      <c r="J16" t="n">
        <v>4</v>
      </c>
      <c r="K16" t="n">
        <v>1</v>
      </c>
      <c r="L16" t="inlineStr">
        <is>
          <t>2026-06-08T09:16:00.615525+00:00</t>
        </is>
      </c>
    </row>
    <row r="17">
      <c r="A17" t="inlineStr">
        <is>
          <t>SC_Q_NPS</t>
        </is>
      </c>
      <c r="B17" t="inlineStr">
        <is>
          <t>vendor_b_nps_score</t>
        </is>
      </c>
      <c r="C17" t="inlineStr">
        <is>
          <t>Q_NPS</t>
        </is>
      </c>
      <c r="D17" t="inlineStr">
        <is>
          <t>Q_NPS_B</t>
        </is>
      </c>
      <c r="E17" t="inlineStr"/>
      <c r="F17" t="n">
        <v>-1</v>
      </c>
      <c r="G17" t="n">
        <v>4</v>
      </c>
      <c r="H17" t="inlineStr">
        <is>
          <t>(promoters / valid_n - detractors / valid_n) * 100</t>
        </is>
      </c>
      <c r="I17" t="n">
        <v>-25</v>
      </c>
      <c r="J17" t="n">
        <v>4</v>
      </c>
      <c r="K17" t="n">
        <v>1</v>
      </c>
      <c r="L17" t="inlineStr">
        <is>
          <t>2026-06-08T09:16:00.615552+00:00</t>
        </is>
      </c>
    </row>
    <row r="18">
      <c r="A18" t="inlineStr">
        <is>
          <t>All Questions</t>
        </is>
      </c>
      <c r="B18" t="inlineStr">
        <is>
          <t>cross_tab_by_nps</t>
        </is>
      </c>
      <c r="C18" t="inlineStr">
        <is>
          <t>Q_NPS</t>
        </is>
      </c>
      <c r="D18" t="inlineStr">
        <is>
          <t>Q_NPS_B</t>
        </is>
      </c>
      <c r="E18" t="inlineStr">
        <is>
          <t>All_Questions_Q_NPS_CT = G$21</t>
        </is>
      </c>
      <c r="H18">
        <f>IF(OR(All_Questions_Q_NPS_CT="(None)",G$21=""),"",IF(G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)*100,"")))</f>
        <v>0</v>
      </c>
      <c r="I18" t="n">
        <v>-25</v>
      </c>
      <c r="J18" t="n">
        <v>0</v>
      </c>
      <c r="K18" t="n">
        <v>0</v>
      </c>
      <c r="L18" t="inlineStr">
        <is>
          <t>2026-06-08T09:16:01.702705+00:00</t>
        </is>
      </c>
    </row>
    <row r="19">
      <c r="A19" t="inlineStr">
        <is>
          <t>All Questions</t>
        </is>
      </c>
      <c r="B19" t="inlineStr">
        <is>
          <t>cross_tab_by_nps</t>
        </is>
      </c>
      <c r="C19" t="inlineStr">
        <is>
          <t>Q_NPS</t>
        </is>
      </c>
      <c r="D19" t="inlineStr">
        <is>
          <t>Q_NPS_B</t>
        </is>
      </c>
      <c r="E19" t="inlineStr">
        <is>
          <t>All_Questions_Q_NPS_CT = H$21</t>
        </is>
      </c>
      <c r="H19">
        <f>IF(OR(All_Questions_Q_NPS_CT="(None)",H$21=""),"",IF(H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)*100,"")))</f>
        <v>0</v>
      </c>
      <c r="I19" t="n">
        <v>-25</v>
      </c>
      <c r="J19" t="n">
        <v>0</v>
      </c>
      <c r="K19" t="n">
        <v>0</v>
      </c>
      <c r="L19" t="inlineStr">
        <is>
          <t>2026-06-08T09:16:01.702944+00:00</t>
        </is>
      </c>
    </row>
    <row r="20">
      <c r="A20" t="inlineStr">
        <is>
          <t>All Questions</t>
        </is>
      </c>
      <c r="B20" t="inlineStr">
        <is>
          <t>cross_tab_by_nps</t>
        </is>
      </c>
      <c r="C20" t="inlineStr">
        <is>
          <t>Q_NPS</t>
        </is>
      </c>
      <c r="D20" t="inlineStr">
        <is>
          <t>Q_NPS_B</t>
        </is>
      </c>
      <c r="E20" t="inlineStr">
        <is>
          <t>All_Questions_Q_NPS_CT = I$21</t>
        </is>
      </c>
      <c r="H20">
        <f>IF(OR(All_Questions_Q_NPS_CT="(None)",I$21=""),"",IF(I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)*100,"")))</f>
        <v>0</v>
      </c>
      <c r="I20" t="n">
        <v>-25</v>
      </c>
      <c r="J20" t="n">
        <v>0</v>
      </c>
      <c r="K20" t="n">
        <v>0</v>
      </c>
      <c r="L20" t="inlineStr">
        <is>
          <t>2026-06-08T09:16:01.703184+00:00</t>
        </is>
      </c>
    </row>
    <row r="21">
      <c r="A21" t="inlineStr">
        <is>
          <t>All Questions</t>
        </is>
      </c>
      <c r="B21" t="inlineStr">
        <is>
          <t>cross_tab_by_nps</t>
        </is>
      </c>
      <c r="C21" t="inlineStr">
        <is>
          <t>Q_NPS</t>
        </is>
      </c>
      <c r="D21" t="inlineStr">
        <is>
          <t>Q_NPS_B</t>
        </is>
      </c>
      <c r="E21" t="inlineStr">
        <is>
          <t>All_Questions_Q_NPS_CT = J$21</t>
        </is>
      </c>
      <c r="H21">
        <f>IF(OR(All_Questions_Q_NPS_CT="(None)",J$21=""),"",IF(J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)*100,"")))</f>
        <v>0</v>
      </c>
      <c r="I21" t="n">
        <v>-25</v>
      </c>
      <c r="J21" t="n">
        <v>0</v>
      </c>
      <c r="K21" t="n">
        <v>0</v>
      </c>
      <c r="L21" t="inlineStr">
        <is>
          <t>2026-06-08T09:16:01.703380+00:00</t>
        </is>
      </c>
    </row>
    <row r="22">
      <c r="A22" t="inlineStr">
        <is>
          <t>All Questions</t>
        </is>
      </c>
      <c r="B22" t="inlineStr">
        <is>
          <t>cross_tab_by_nps</t>
        </is>
      </c>
      <c r="C22" t="inlineStr">
        <is>
          <t>Q_NPS</t>
        </is>
      </c>
      <c r="D22" t="inlineStr">
        <is>
          <t>Q_NPS_B</t>
        </is>
      </c>
      <c r="E22" t="inlineStr">
        <is>
          <t>All_Questions_Q_NPS_CT = K$21</t>
        </is>
      </c>
      <c r="H22">
        <f>IF(OR(All_Questions_Q_NPS_CT="(None)",K$21=""),"",IF(K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)*100,"")))</f>
        <v>0</v>
      </c>
      <c r="I22" t="n">
        <v>-25</v>
      </c>
      <c r="J22" t="n">
        <v>0</v>
      </c>
      <c r="K22" t="n">
        <v>0</v>
      </c>
      <c r="L22" t="inlineStr">
        <is>
          <t>2026-06-08T09:16:01.703568+00:00</t>
        </is>
      </c>
    </row>
    <row r="23">
      <c r="A23" t="inlineStr">
        <is>
          <t>All Questions</t>
        </is>
      </c>
      <c r="B23" t="inlineStr">
        <is>
          <t>cross_tab_by_nps</t>
        </is>
      </c>
      <c r="C23" t="inlineStr">
        <is>
          <t>Q_NPS</t>
        </is>
      </c>
      <c r="D23" t="inlineStr">
        <is>
          <t>Q_NPS_B</t>
        </is>
      </c>
      <c r="E23" t="inlineStr">
        <is>
          <t>All_Questions_Q_NPS_CT = L$21</t>
        </is>
      </c>
      <c r="H23">
        <f>IF(OR(All_Questions_Q_NPS_CT="(None)",L$21=""),"",IF(L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)*100,"")))</f>
        <v>0</v>
      </c>
      <c r="I23" t="n">
        <v>-25</v>
      </c>
      <c r="J23" t="n">
        <v>0</v>
      </c>
      <c r="K23" t="n">
        <v>0</v>
      </c>
      <c r="L23" t="inlineStr">
        <is>
          <t>2026-06-08T09:16:01.703755+00:00</t>
        </is>
      </c>
    </row>
    <row r="24">
      <c r="A24" t="inlineStr">
        <is>
          <t>All Questions</t>
        </is>
      </c>
      <c r="B24" t="inlineStr">
        <is>
          <t>cross_tab_by_nps</t>
        </is>
      </c>
      <c r="C24" t="inlineStr">
        <is>
          <t>Q_NPS</t>
        </is>
      </c>
      <c r="D24" t="inlineStr">
        <is>
          <t>Q_NPS_B</t>
        </is>
      </c>
      <c r="E24" t="inlineStr">
        <is>
          <t>All_Questions_Q_NPS_CT = M$21</t>
        </is>
      </c>
      <c r="H24">
        <f>IF(OR(All_Questions_Q_NPS_CT="(None)",M$21=""),"",IF(M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)*100,"")))</f>
        <v>0</v>
      </c>
      <c r="I24" t="n">
        <v>-25</v>
      </c>
      <c r="J24" t="n">
        <v>0</v>
      </c>
      <c r="K24" t="n">
        <v>0</v>
      </c>
      <c r="L24" t="inlineStr">
        <is>
          <t>2026-06-08T09:16:01.703942+00:00</t>
        </is>
      </c>
    </row>
    <row r="25">
      <c r="A25" t="inlineStr">
        <is>
          <t>All Questions</t>
        </is>
      </c>
      <c r="B25" t="inlineStr">
        <is>
          <t>cross_tab_by_nps</t>
        </is>
      </c>
      <c r="C25" t="inlineStr">
        <is>
          <t>Q_NPS</t>
        </is>
      </c>
      <c r="D25" t="inlineStr">
        <is>
          <t>Q_NPS_B</t>
        </is>
      </c>
      <c r="E25" t="inlineStr">
        <is>
          <t>All_Questions_Q_NPS_CT = N$21</t>
        </is>
      </c>
      <c r="H25">
        <f>IF(OR(All_Questions_Q_NPS_CT="(None)",N$21=""),"",IF(N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)*100,"")))</f>
        <v>0</v>
      </c>
      <c r="I25" t="n">
        <v>-25</v>
      </c>
      <c r="J25" t="n">
        <v>0</v>
      </c>
      <c r="K25" t="n">
        <v>0</v>
      </c>
      <c r="L25" t="inlineStr">
        <is>
          <t>2026-06-08T09:16:01.704172+00:00</t>
        </is>
      </c>
    </row>
    <row r="26">
      <c r="A26" t="inlineStr">
        <is>
          <t>All Questions</t>
        </is>
      </c>
      <c r="B26" t="inlineStr">
        <is>
          <t>cross_tab_by_nps</t>
        </is>
      </c>
      <c r="C26" t="inlineStr">
        <is>
          <t>Q_NPS</t>
        </is>
      </c>
      <c r="D26" t="inlineStr">
        <is>
          <t>Q_NPS_B</t>
        </is>
      </c>
      <c r="E26" t="inlineStr">
        <is>
          <t>All_Questions_Q_NPS_CT = O$21</t>
        </is>
      </c>
      <c r="H26">
        <f>IF(OR(All_Questions_Q_NPS_CT="(None)",O$21=""),"",IF(O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)*100,"")))</f>
        <v>0</v>
      </c>
      <c r="I26" t="n">
        <v>-25</v>
      </c>
      <c r="J26" t="n">
        <v>0</v>
      </c>
      <c r="K26" t="n">
        <v>0</v>
      </c>
      <c r="L26" t="inlineStr">
        <is>
          <t>2026-06-08T09:16:01.704365+00:00</t>
        </is>
      </c>
    </row>
    <row r="27">
      <c r="A27" t="inlineStr">
        <is>
          <t>All Questions</t>
        </is>
      </c>
      <c r="B27" t="inlineStr">
        <is>
          <t>cross_tab_by_nps</t>
        </is>
      </c>
      <c r="C27" t="inlineStr">
        <is>
          <t>Q_NPS</t>
        </is>
      </c>
      <c r="D27" t="inlineStr">
        <is>
          <t>Q_NPS_B</t>
        </is>
      </c>
      <c r="E27" t="inlineStr">
        <is>
          <t>All_Questions_Q_NPS_CT = P$21</t>
        </is>
      </c>
      <c r="H27">
        <f>IF(OR(All_Questions_Q_NPS_CT="(None)",P$21=""),"",IF(P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)*100,"")))</f>
        <v>0</v>
      </c>
      <c r="I27" t="n">
        <v>-25</v>
      </c>
      <c r="J27" t="n">
        <v>0</v>
      </c>
      <c r="K27" t="n">
        <v>0</v>
      </c>
      <c r="L27" t="inlineStr">
        <is>
          <t>2026-06-08T09:16:01.704581+00:00</t>
        </is>
      </c>
    </row>
    <row r="28">
      <c r="A28" t="inlineStr">
        <is>
          <t>All Questions</t>
        </is>
      </c>
      <c r="B28" t="inlineStr">
        <is>
          <t>cross_tab_by_nps</t>
        </is>
      </c>
      <c r="C28" t="inlineStr">
        <is>
          <t>Q_NPS</t>
        </is>
      </c>
      <c r="D28" t="inlineStr">
        <is>
          <t>Q_NPS_B</t>
        </is>
      </c>
      <c r="E28" t="inlineStr">
        <is>
          <t>All_Questions_Q_NPS_CT = Q$21</t>
        </is>
      </c>
      <c r="H28">
        <f>IF(OR(All_Questions_Q_NPS_CT="(None)",Q$21=""),"",IF(Q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)*100,"")))</f>
        <v>0</v>
      </c>
      <c r="I28" t="n">
        <v>-25</v>
      </c>
      <c r="J28" t="n">
        <v>0</v>
      </c>
      <c r="K28" t="n">
        <v>0</v>
      </c>
      <c r="L28" t="inlineStr">
        <is>
          <t>2026-06-08T09:16:01.704772+00:00</t>
        </is>
      </c>
    </row>
    <row r="29">
      <c r="A29" t="inlineStr">
        <is>
          <t>All Questions</t>
        </is>
      </c>
      <c r="B29" t="inlineStr">
        <is>
          <t>cross_tab_by_nps</t>
        </is>
      </c>
      <c r="C29" t="inlineStr">
        <is>
          <t>Q_NPS</t>
        </is>
      </c>
      <c r="D29" t="inlineStr">
        <is>
          <t>Q_NPS_B</t>
        </is>
      </c>
      <c r="E29" t="inlineStr">
        <is>
          <t>All_Questions_Q_NPS_CT = R$21</t>
        </is>
      </c>
      <c r="H29">
        <f>IF(OR(All_Questions_Q_NPS_CT="(None)",R$21=""),"",IF(R$21="Other","",IFERROR(((COUNTIFS(Q_NPS_B_data,"&gt;=9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-(COUNTIFS(Q_NPS_B_data,"&gt;=0",Q_NPS_B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B_data,"&gt;=0",Q_NPS_B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)*100,"")))</f>
        <v>0</v>
      </c>
      <c r="I29" t="n">
        <v>-25</v>
      </c>
      <c r="J29" t="n">
        <v>0</v>
      </c>
      <c r="K29" t="n">
        <v>0</v>
      </c>
      <c r="L29" t="inlineStr">
        <is>
          <t>2026-06-08T09:16:01.705022+00:00</t>
        </is>
      </c>
    </row>
    <row r="30">
      <c r="A30" t="inlineStr">
        <is>
          <t>All Questions</t>
        </is>
      </c>
      <c r="B30" t="inlineStr">
        <is>
          <t>cross_tab_by_nps</t>
        </is>
      </c>
      <c r="C30" t="inlineStr">
        <is>
          <t>Q_NPS</t>
        </is>
      </c>
      <c r="D30" t="inlineStr">
        <is>
          <t>Q_NPS_A</t>
        </is>
      </c>
      <c r="E30" t="inlineStr">
        <is>
          <t>All_Questions_Q_NPS_CT = G$21</t>
        </is>
      </c>
      <c r="H30">
        <f>IF(OR(All_Questions_Q_NPS_CT="(None)",G$21=""),"",IF(G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G$21)))*100,"")))</f>
        <v>0</v>
      </c>
      <c r="I30" t="n">
        <v>67</v>
      </c>
      <c r="J30" t="n">
        <v>0</v>
      </c>
      <c r="K30" t="n">
        <v>0</v>
      </c>
      <c r="L30" t="inlineStr">
        <is>
          <t>2026-06-08T09:16:01.705411+00:00</t>
        </is>
      </c>
    </row>
    <row r="31">
      <c r="A31" t="inlineStr">
        <is>
          <t>All Questions</t>
        </is>
      </c>
      <c r="B31" t="inlineStr">
        <is>
          <t>cross_tab_by_nps</t>
        </is>
      </c>
      <c r="C31" t="inlineStr">
        <is>
          <t>Q_NPS</t>
        </is>
      </c>
      <c r="D31" t="inlineStr">
        <is>
          <t>Q_NPS_A</t>
        </is>
      </c>
      <c r="E31" t="inlineStr">
        <is>
          <t>All_Questions_Q_NPS_CT = H$21</t>
        </is>
      </c>
      <c r="H31">
        <f>IF(OR(All_Questions_Q_NPS_CT="(None)",H$21=""),"",IF(H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H$21)))*100,"")))</f>
        <v>0</v>
      </c>
      <c r="I31" t="n">
        <v>67</v>
      </c>
      <c r="J31" t="n">
        <v>0</v>
      </c>
      <c r="K31" t="n">
        <v>0</v>
      </c>
      <c r="L31" t="inlineStr">
        <is>
          <t>2026-06-08T09:16:01.705599+00:00</t>
        </is>
      </c>
    </row>
    <row r="32">
      <c r="A32" t="inlineStr">
        <is>
          <t>All Questions</t>
        </is>
      </c>
      <c r="B32" t="inlineStr">
        <is>
          <t>cross_tab_by_nps</t>
        </is>
      </c>
      <c r="C32" t="inlineStr">
        <is>
          <t>Q_NPS</t>
        </is>
      </c>
      <c r="D32" t="inlineStr">
        <is>
          <t>Q_NPS_A</t>
        </is>
      </c>
      <c r="E32" t="inlineStr">
        <is>
          <t>All_Questions_Q_NPS_CT = I$21</t>
        </is>
      </c>
      <c r="H32">
        <f>IF(OR(All_Questions_Q_NPS_CT="(None)",I$21=""),"",IF(I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I$21)))*100,"")))</f>
        <v>0</v>
      </c>
      <c r="I32" t="n">
        <v>67</v>
      </c>
      <c r="J32" t="n">
        <v>0</v>
      </c>
      <c r="K32" t="n">
        <v>0</v>
      </c>
      <c r="L32" t="inlineStr">
        <is>
          <t>2026-06-08T09:16:01.705788+00:00</t>
        </is>
      </c>
    </row>
    <row r="33">
      <c r="A33" t="inlineStr">
        <is>
          <t>All Questions</t>
        </is>
      </c>
      <c r="B33" t="inlineStr">
        <is>
          <t>cross_tab_by_nps</t>
        </is>
      </c>
      <c r="C33" t="inlineStr">
        <is>
          <t>Q_NPS</t>
        </is>
      </c>
      <c r="D33" t="inlineStr">
        <is>
          <t>Q_NPS_A</t>
        </is>
      </c>
      <c r="E33" t="inlineStr">
        <is>
          <t>All_Questions_Q_NPS_CT = J$21</t>
        </is>
      </c>
      <c r="H33">
        <f>IF(OR(All_Questions_Q_NPS_CT="(None)",J$21=""),"",IF(J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J$21)))*100,"")))</f>
        <v>0</v>
      </c>
      <c r="I33" t="n">
        <v>67</v>
      </c>
      <c r="J33" t="n">
        <v>0</v>
      </c>
      <c r="K33" t="n">
        <v>0</v>
      </c>
      <c r="L33" t="inlineStr">
        <is>
          <t>2026-06-08T09:16:01.705975+00:00</t>
        </is>
      </c>
    </row>
    <row r="34">
      <c r="A34" t="inlineStr">
        <is>
          <t>All Questions</t>
        </is>
      </c>
      <c r="B34" t="inlineStr">
        <is>
          <t>cross_tab_by_nps</t>
        </is>
      </c>
      <c r="C34" t="inlineStr">
        <is>
          <t>Q_NPS</t>
        </is>
      </c>
      <c r="D34" t="inlineStr">
        <is>
          <t>Q_NPS_A</t>
        </is>
      </c>
      <c r="E34" t="inlineStr">
        <is>
          <t>All_Questions_Q_NPS_CT = K$21</t>
        </is>
      </c>
      <c r="H34">
        <f>IF(OR(All_Questions_Q_NPS_CT="(None)",K$21=""),"",IF(K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K$21)))*100,"")))</f>
        <v>0</v>
      </c>
      <c r="I34" t="n">
        <v>67</v>
      </c>
      <c r="J34" t="n">
        <v>0</v>
      </c>
      <c r="K34" t="n">
        <v>0</v>
      </c>
      <c r="L34" t="inlineStr">
        <is>
          <t>2026-06-08T09:16:01.706234+00:00</t>
        </is>
      </c>
    </row>
    <row r="35">
      <c r="A35" t="inlineStr">
        <is>
          <t>All Questions</t>
        </is>
      </c>
      <c r="B35" t="inlineStr">
        <is>
          <t>cross_tab_by_nps</t>
        </is>
      </c>
      <c r="C35" t="inlineStr">
        <is>
          <t>Q_NPS</t>
        </is>
      </c>
      <c r="D35" t="inlineStr">
        <is>
          <t>Q_NPS_A</t>
        </is>
      </c>
      <c r="E35" t="inlineStr">
        <is>
          <t>All_Questions_Q_NPS_CT = L$21</t>
        </is>
      </c>
      <c r="H35">
        <f>IF(OR(All_Questions_Q_NPS_CT="(None)",L$21=""),"",IF(L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L$21)))*100,"")))</f>
        <v>0</v>
      </c>
      <c r="I35" t="n">
        <v>67</v>
      </c>
      <c r="J35" t="n">
        <v>0</v>
      </c>
      <c r="K35" t="n">
        <v>0</v>
      </c>
      <c r="L35" t="inlineStr">
        <is>
          <t>2026-06-08T09:16:01.706431+00:00</t>
        </is>
      </c>
    </row>
    <row r="36">
      <c r="A36" t="inlineStr">
        <is>
          <t>All Questions</t>
        </is>
      </c>
      <c r="B36" t="inlineStr">
        <is>
          <t>cross_tab_by_nps</t>
        </is>
      </c>
      <c r="C36" t="inlineStr">
        <is>
          <t>Q_NPS</t>
        </is>
      </c>
      <c r="D36" t="inlineStr">
        <is>
          <t>Q_NPS_A</t>
        </is>
      </c>
      <c r="E36" t="inlineStr">
        <is>
          <t>All_Questions_Q_NPS_CT = M$21</t>
        </is>
      </c>
      <c r="H36">
        <f>IF(OR(All_Questions_Q_NPS_CT="(None)",M$21=""),"",IF(M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M$21)))*100,"")))</f>
        <v>0</v>
      </c>
      <c r="I36" t="n">
        <v>67</v>
      </c>
      <c r="J36" t="n">
        <v>0</v>
      </c>
      <c r="K36" t="n">
        <v>0</v>
      </c>
      <c r="L36" t="inlineStr">
        <is>
          <t>2026-06-08T09:16:01.706618+00:00</t>
        </is>
      </c>
    </row>
    <row r="37">
      <c r="A37" t="inlineStr">
        <is>
          <t>All Questions</t>
        </is>
      </c>
      <c r="B37" t="inlineStr">
        <is>
          <t>cross_tab_by_nps</t>
        </is>
      </c>
      <c r="C37" t="inlineStr">
        <is>
          <t>Q_NPS</t>
        </is>
      </c>
      <c r="D37" t="inlineStr">
        <is>
          <t>Q_NPS_A</t>
        </is>
      </c>
      <c r="E37" t="inlineStr">
        <is>
          <t>All_Questions_Q_NPS_CT = N$21</t>
        </is>
      </c>
      <c r="H37">
        <f>IF(OR(All_Questions_Q_NPS_CT="(None)",N$21=""),"",IF(N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N$21)))*100,"")))</f>
        <v>0</v>
      </c>
      <c r="I37" t="n">
        <v>67</v>
      </c>
      <c r="J37" t="n">
        <v>0</v>
      </c>
      <c r="K37" t="n">
        <v>0</v>
      </c>
      <c r="L37" t="inlineStr">
        <is>
          <t>2026-06-08T09:16:01.706806+00:00</t>
        </is>
      </c>
    </row>
    <row r="38">
      <c r="A38" t="inlineStr">
        <is>
          <t>All Questions</t>
        </is>
      </c>
      <c r="B38" t="inlineStr">
        <is>
          <t>cross_tab_by_nps</t>
        </is>
      </c>
      <c r="C38" t="inlineStr">
        <is>
          <t>Q_NPS</t>
        </is>
      </c>
      <c r="D38" t="inlineStr">
        <is>
          <t>Q_NPS_A</t>
        </is>
      </c>
      <c r="E38" t="inlineStr">
        <is>
          <t>All_Questions_Q_NPS_CT = O$21</t>
        </is>
      </c>
      <c r="H38">
        <f>IF(OR(All_Questions_Q_NPS_CT="(None)",O$21=""),"",IF(O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O$21)))*100,"")))</f>
        <v>0</v>
      </c>
      <c r="I38" t="n">
        <v>67</v>
      </c>
      <c r="J38" t="n">
        <v>0</v>
      </c>
      <c r="K38" t="n">
        <v>0</v>
      </c>
      <c r="L38" t="inlineStr">
        <is>
          <t>2026-06-08T09:16:01.706991+00:00</t>
        </is>
      </c>
    </row>
    <row r="39">
      <c r="A39" t="inlineStr">
        <is>
          <t>All Questions</t>
        </is>
      </c>
      <c r="B39" t="inlineStr">
        <is>
          <t>cross_tab_by_nps</t>
        </is>
      </c>
      <c r="C39" t="inlineStr">
        <is>
          <t>Q_NPS</t>
        </is>
      </c>
      <c r="D39" t="inlineStr">
        <is>
          <t>Q_NPS_A</t>
        </is>
      </c>
      <c r="E39" t="inlineStr">
        <is>
          <t>All_Questions_Q_NPS_CT = P$21</t>
        </is>
      </c>
      <c r="H39">
        <f>IF(OR(All_Questions_Q_NPS_CT="(None)",P$21=""),"",IF(P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P$21)))*100,"")))</f>
        <v>0</v>
      </c>
      <c r="I39" t="n">
        <v>67</v>
      </c>
      <c r="J39" t="n">
        <v>0</v>
      </c>
      <c r="K39" t="n">
        <v>0</v>
      </c>
      <c r="L39" t="inlineStr">
        <is>
          <t>2026-06-08T09:16:01.707229+00:00</t>
        </is>
      </c>
    </row>
    <row r="40">
      <c r="A40" t="inlineStr">
        <is>
          <t>All Questions</t>
        </is>
      </c>
      <c r="B40" t="inlineStr">
        <is>
          <t>cross_tab_by_nps</t>
        </is>
      </c>
      <c r="C40" t="inlineStr">
        <is>
          <t>Q_NPS</t>
        </is>
      </c>
      <c r="D40" t="inlineStr">
        <is>
          <t>Q_NPS_A</t>
        </is>
      </c>
      <c r="E40" t="inlineStr">
        <is>
          <t>All_Questions_Q_NPS_CT = Q$21</t>
        </is>
      </c>
      <c r="H40">
        <f>IF(OR(All_Questions_Q_NPS_CT="(None)",Q$21=""),"",IF(Q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Q$21)))*100,"")))</f>
        <v>0</v>
      </c>
      <c r="I40" t="n">
        <v>67</v>
      </c>
      <c r="J40" t="n">
        <v>0</v>
      </c>
      <c r="K40" t="n">
        <v>0</v>
      </c>
      <c r="L40" t="inlineStr">
        <is>
          <t>2026-06-08T09:16:01.707420+00:00</t>
        </is>
      </c>
    </row>
    <row r="41">
      <c r="A41" t="inlineStr">
        <is>
          <t>All Questions</t>
        </is>
      </c>
      <c r="B41" t="inlineStr">
        <is>
          <t>cross_tab_by_nps</t>
        </is>
      </c>
      <c r="C41" t="inlineStr">
        <is>
          <t>Q_NPS</t>
        </is>
      </c>
      <c r="D41" t="inlineStr">
        <is>
          <t>Q_NPS_A</t>
        </is>
      </c>
      <c r="E41" t="inlineStr">
        <is>
          <t>All_Questions_Q_NPS_CT = R$21</t>
        </is>
      </c>
      <c r="H41">
        <f>IF(OR(All_Questions_Q_NPS_CT="(None)",R$21=""),"",IF(R$21="Other","",IFERROR(((COUNTIFS(Q_NPS_A_data,"&gt;=9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-(COUNTIFS(Q_NPS_A_data,"&gt;=0",Q_NPS_A_data,"&lt;=6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/COUNTIFS(Q_NPS_A_data,"&gt;=0",Q_NPS_A_data,"&lt;=10",passes_workbook_filters_data,1,passes_workbook_custom_filters_data,1,All_Questions_passes_local_filters_data,1,All_Questions_Q_NPS_F_passes_per_q_filter_data,1,INDIRECT(IFERROR(INDEX(All_Questions_Data_Names,MATCH(All_Questions_Q_NPS_CT,All_Questions,0)),"'_RawData'!$A:$A")),R$21)))*100,"")))</f>
        <v>0</v>
      </c>
      <c r="I41" t="n">
        <v>67</v>
      </c>
      <c r="J41" t="n">
        <v>0</v>
      </c>
      <c r="K41" t="n">
        <v>0</v>
      </c>
      <c r="L41" t="inlineStr">
        <is>
          <t>2026-06-08T09:16:01.707667+00:00</t>
        </is>
      </c>
    </row>
    <row r="42">
      <c r="A42" t="inlineStr">
        <is>
          <t>SC_Q_NPS</t>
        </is>
      </c>
      <c r="B42" t="inlineStr">
        <is>
          <t>cross_tab_by_nps</t>
        </is>
      </c>
      <c r="C42" t="inlineStr">
        <is>
          <t>Q_NPS</t>
        </is>
      </c>
      <c r="D42" t="inlineStr">
        <is>
          <t>Q_NPS_B</t>
        </is>
      </c>
      <c r="E42" t="inlineStr">
        <is>
          <t>SC_Q_NPS_Q_NPS_CT = G$8</t>
        </is>
      </c>
      <c r="H42">
        <f>IF(OR(SC_Q_NPS_Q_NPS_CT="(None)",G$8=""),"",IF(G$8="Other","",IFERROR(((COUNTIFS(Q_NPS_B_data,"&gt;=9",Q_NPS_B_data,"&lt;=10",passes_workbook_filters_data,1,passes_workbook_custom_filters_data,1,INDIRECT(IFERROR(INDEX(All_Questions_Data_Names,MATCH(SC_Q_NPS_Q_NPS_CT,All_Questions,0)),"'_RawData'!$A:$A")),G$8)/COUNTIFS(Q_NPS_B_data,"&gt;=0",Q_NPS_B_data,"&lt;=10",passes_workbook_filters_data,1,passes_workbook_custom_filters_data,1,INDIRECT(IFERROR(INDEX(All_Questions_Data_Names,MATCH(SC_Q_NPS_Q_NPS_CT,All_Questions,0)),"'_RawData'!$A:$A")),G$8))-(COUNTIFS(Q_NPS_B_data,"&gt;=0",Q_NPS_B_data,"&lt;=6",passes_workbook_filters_data,1,passes_workbook_custom_filters_data,1,INDIRECT(IFERROR(INDEX(All_Questions_Data_Names,MATCH(SC_Q_NPS_Q_NPS_CT,All_Questions,0)),"'_RawData'!$A:$A")),G$8)/COUNTIFS(Q_NPS_B_data,"&gt;=0",Q_NPS_B_data,"&lt;=10",passes_workbook_filters_data,1,passes_workbook_custom_filters_data,1,INDIRECT(IFERROR(INDEX(All_Questions_Data_Names,MATCH(SC_Q_NPS_Q_NPS_CT,All_Questions,0)),"'_RawData'!$A:$A")),G$8)))*100,"")))</f>
        <v>0</v>
      </c>
      <c r="I42" t="n">
        <v>-25</v>
      </c>
      <c r="J42" t="n">
        <v>0</v>
      </c>
      <c r="K42" t="n">
        <v>0</v>
      </c>
      <c r="L42" t="inlineStr">
        <is>
          <t>2026-06-08T09:16:01.726700+00:00</t>
        </is>
      </c>
    </row>
    <row r="43">
      <c r="A43" t="inlineStr">
        <is>
          <t>SC_Q_NPS</t>
        </is>
      </c>
      <c r="B43" t="inlineStr">
        <is>
          <t>cross_tab_by_nps</t>
        </is>
      </c>
      <c r="C43" t="inlineStr">
        <is>
          <t>Q_NPS</t>
        </is>
      </c>
      <c r="D43" t="inlineStr">
        <is>
          <t>Q_NPS_B</t>
        </is>
      </c>
      <c r="E43" t="inlineStr">
        <is>
          <t>SC_Q_NPS_Q_NPS_CT = H$8</t>
        </is>
      </c>
      <c r="H43">
        <f>IF(OR(SC_Q_NPS_Q_NPS_CT="(None)",H$8=""),"",IF(H$8="Other","",IFERROR(((COUNTIFS(Q_NPS_B_data,"&gt;=9",Q_NPS_B_data,"&lt;=10",passes_workbook_filters_data,1,passes_workbook_custom_filters_data,1,INDIRECT(IFERROR(INDEX(All_Questions_Data_Names,MATCH(SC_Q_NPS_Q_NPS_CT,All_Questions,0)),"'_RawData'!$A:$A")),H$8)/COUNTIFS(Q_NPS_B_data,"&gt;=0",Q_NPS_B_data,"&lt;=10",passes_workbook_filters_data,1,passes_workbook_custom_filters_data,1,INDIRECT(IFERROR(INDEX(All_Questions_Data_Names,MATCH(SC_Q_NPS_Q_NPS_CT,All_Questions,0)),"'_RawData'!$A:$A")),H$8))-(COUNTIFS(Q_NPS_B_data,"&gt;=0",Q_NPS_B_data,"&lt;=6",passes_workbook_filters_data,1,passes_workbook_custom_filters_data,1,INDIRECT(IFERROR(INDEX(All_Questions_Data_Names,MATCH(SC_Q_NPS_Q_NPS_CT,All_Questions,0)),"'_RawData'!$A:$A")),H$8)/COUNTIFS(Q_NPS_B_data,"&gt;=0",Q_NPS_B_data,"&lt;=10",passes_workbook_filters_data,1,passes_workbook_custom_filters_data,1,INDIRECT(IFERROR(INDEX(All_Questions_Data_Names,MATCH(SC_Q_NPS_Q_NPS_CT,All_Questions,0)),"'_RawData'!$A:$A")),H$8)))*100,"")))</f>
        <v>0</v>
      </c>
      <c r="I43" t="n">
        <v>-25</v>
      </c>
      <c r="J43" t="n">
        <v>0</v>
      </c>
      <c r="K43" t="n">
        <v>0</v>
      </c>
      <c r="L43" t="inlineStr">
        <is>
          <t>2026-06-08T09:16:01.726875+00:00</t>
        </is>
      </c>
    </row>
    <row r="44">
      <c r="A44" t="inlineStr">
        <is>
          <t>SC_Q_NPS</t>
        </is>
      </c>
      <c r="B44" t="inlineStr">
        <is>
          <t>cross_tab_by_nps</t>
        </is>
      </c>
      <c r="C44" t="inlineStr">
        <is>
          <t>Q_NPS</t>
        </is>
      </c>
      <c r="D44" t="inlineStr">
        <is>
          <t>Q_NPS_B</t>
        </is>
      </c>
      <c r="E44" t="inlineStr">
        <is>
          <t>SC_Q_NPS_Q_NPS_CT = I$8</t>
        </is>
      </c>
      <c r="H44">
        <f>IF(OR(SC_Q_NPS_Q_NPS_CT="(None)",I$8=""),"",IF(I$8="Other","",IFERROR(((COUNTIFS(Q_NPS_B_data,"&gt;=9",Q_NPS_B_data,"&lt;=10",passes_workbook_filters_data,1,passes_workbook_custom_filters_data,1,INDIRECT(IFERROR(INDEX(All_Questions_Data_Names,MATCH(SC_Q_NPS_Q_NPS_CT,All_Questions,0)),"'_RawData'!$A:$A")),I$8)/COUNTIFS(Q_NPS_B_data,"&gt;=0",Q_NPS_B_data,"&lt;=10",passes_workbook_filters_data,1,passes_workbook_custom_filters_data,1,INDIRECT(IFERROR(INDEX(All_Questions_Data_Names,MATCH(SC_Q_NPS_Q_NPS_CT,All_Questions,0)),"'_RawData'!$A:$A")),I$8))-(COUNTIFS(Q_NPS_B_data,"&gt;=0",Q_NPS_B_data,"&lt;=6",passes_workbook_filters_data,1,passes_workbook_custom_filters_data,1,INDIRECT(IFERROR(INDEX(All_Questions_Data_Names,MATCH(SC_Q_NPS_Q_NPS_CT,All_Questions,0)),"'_RawData'!$A:$A")),I$8)/COUNTIFS(Q_NPS_B_data,"&gt;=0",Q_NPS_B_data,"&lt;=10",passes_workbook_filters_data,1,passes_workbook_custom_filters_data,1,INDIRECT(IFERROR(INDEX(All_Questions_Data_Names,MATCH(SC_Q_NPS_Q_NPS_CT,All_Questions,0)),"'_RawData'!$A:$A")),I$8)))*100,"")))</f>
        <v>0</v>
      </c>
      <c r="I44" t="n">
        <v>-25</v>
      </c>
      <c r="J44" t="n">
        <v>0</v>
      </c>
      <c r="K44" t="n">
        <v>0</v>
      </c>
      <c r="L44" t="inlineStr">
        <is>
          <t>2026-06-08T09:16:01.727020+00:00</t>
        </is>
      </c>
    </row>
    <row r="45">
      <c r="A45" t="inlineStr">
        <is>
          <t>SC_Q_NPS</t>
        </is>
      </c>
      <c r="B45" t="inlineStr">
        <is>
          <t>cross_tab_by_nps</t>
        </is>
      </c>
      <c r="C45" t="inlineStr">
        <is>
          <t>Q_NPS</t>
        </is>
      </c>
      <c r="D45" t="inlineStr">
        <is>
          <t>Q_NPS_B</t>
        </is>
      </c>
      <c r="E45" t="inlineStr">
        <is>
          <t>SC_Q_NPS_Q_NPS_CT = J$8</t>
        </is>
      </c>
      <c r="H45">
        <f>IF(OR(SC_Q_NPS_Q_NPS_CT="(None)",J$8=""),"",IF(J$8="Other","",IFERROR(((COUNTIFS(Q_NPS_B_data,"&gt;=9",Q_NPS_B_data,"&lt;=10",passes_workbook_filters_data,1,passes_workbook_custom_filters_data,1,INDIRECT(IFERROR(INDEX(All_Questions_Data_Names,MATCH(SC_Q_NPS_Q_NPS_CT,All_Questions,0)),"'_RawData'!$A:$A")),J$8)/COUNTIFS(Q_NPS_B_data,"&gt;=0",Q_NPS_B_data,"&lt;=10",passes_workbook_filters_data,1,passes_workbook_custom_filters_data,1,INDIRECT(IFERROR(INDEX(All_Questions_Data_Names,MATCH(SC_Q_NPS_Q_NPS_CT,All_Questions,0)),"'_RawData'!$A:$A")),J$8))-(COUNTIFS(Q_NPS_B_data,"&gt;=0",Q_NPS_B_data,"&lt;=6",passes_workbook_filters_data,1,passes_workbook_custom_filters_data,1,INDIRECT(IFERROR(INDEX(All_Questions_Data_Names,MATCH(SC_Q_NPS_Q_NPS_CT,All_Questions,0)),"'_RawData'!$A:$A")),J$8)/COUNTIFS(Q_NPS_B_data,"&gt;=0",Q_NPS_B_data,"&lt;=10",passes_workbook_filters_data,1,passes_workbook_custom_filters_data,1,INDIRECT(IFERROR(INDEX(All_Questions_Data_Names,MATCH(SC_Q_NPS_Q_NPS_CT,All_Questions,0)),"'_RawData'!$A:$A")),J$8)))*100,"")))</f>
        <v>0</v>
      </c>
      <c r="I45" t="n">
        <v>-25</v>
      </c>
      <c r="J45" t="n">
        <v>0</v>
      </c>
      <c r="K45" t="n">
        <v>0</v>
      </c>
      <c r="L45" t="inlineStr">
        <is>
          <t>2026-06-08T09:16:01.727214+00:00</t>
        </is>
      </c>
    </row>
    <row r="46">
      <c r="A46" t="inlineStr">
        <is>
          <t>SC_Q_NPS</t>
        </is>
      </c>
      <c r="B46" t="inlineStr">
        <is>
          <t>cross_tab_by_nps</t>
        </is>
      </c>
      <c r="C46" t="inlineStr">
        <is>
          <t>Q_NPS</t>
        </is>
      </c>
      <c r="D46" t="inlineStr">
        <is>
          <t>Q_NPS_B</t>
        </is>
      </c>
      <c r="E46" t="inlineStr">
        <is>
          <t>SC_Q_NPS_Q_NPS_CT = K$8</t>
        </is>
      </c>
      <c r="H46">
        <f>IF(OR(SC_Q_NPS_Q_NPS_CT="(None)",K$8=""),"",IF(K$8="Other","",IFERROR(((COUNTIFS(Q_NPS_B_data,"&gt;=9",Q_NPS_B_data,"&lt;=10",passes_workbook_filters_data,1,passes_workbook_custom_filters_data,1,INDIRECT(IFERROR(INDEX(All_Questions_Data_Names,MATCH(SC_Q_NPS_Q_NPS_CT,All_Questions,0)),"'_RawData'!$A:$A")),K$8)/COUNTIFS(Q_NPS_B_data,"&gt;=0",Q_NPS_B_data,"&lt;=10",passes_workbook_filters_data,1,passes_workbook_custom_filters_data,1,INDIRECT(IFERROR(INDEX(All_Questions_Data_Names,MATCH(SC_Q_NPS_Q_NPS_CT,All_Questions,0)),"'_RawData'!$A:$A")),K$8))-(COUNTIFS(Q_NPS_B_data,"&gt;=0",Q_NPS_B_data,"&lt;=6",passes_workbook_filters_data,1,passes_workbook_custom_filters_data,1,INDIRECT(IFERROR(INDEX(All_Questions_Data_Names,MATCH(SC_Q_NPS_Q_NPS_CT,All_Questions,0)),"'_RawData'!$A:$A")),K$8)/COUNTIFS(Q_NPS_B_data,"&gt;=0",Q_NPS_B_data,"&lt;=10",passes_workbook_filters_data,1,passes_workbook_custom_filters_data,1,INDIRECT(IFERROR(INDEX(All_Questions_Data_Names,MATCH(SC_Q_NPS_Q_NPS_CT,All_Questions,0)),"'_RawData'!$A:$A")),K$8)))*100,"")))</f>
        <v>0</v>
      </c>
      <c r="I46" t="n">
        <v>-25</v>
      </c>
      <c r="J46" t="n">
        <v>0</v>
      </c>
      <c r="K46" t="n">
        <v>0</v>
      </c>
      <c r="L46" t="inlineStr">
        <is>
          <t>2026-06-08T09:16:01.727396+00:00</t>
        </is>
      </c>
    </row>
    <row r="47">
      <c r="A47" t="inlineStr">
        <is>
          <t>SC_Q_NPS</t>
        </is>
      </c>
      <c r="B47" t="inlineStr">
        <is>
          <t>cross_tab_by_nps</t>
        </is>
      </c>
      <c r="C47" t="inlineStr">
        <is>
          <t>Q_NPS</t>
        </is>
      </c>
      <c r="D47" t="inlineStr">
        <is>
          <t>Q_NPS_B</t>
        </is>
      </c>
      <c r="E47" t="inlineStr">
        <is>
          <t>SC_Q_NPS_Q_NPS_CT = L$8</t>
        </is>
      </c>
      <c r="H47">
        <f>IF(OR(SC_Q_NPS_Q_NPS_CT="(None)",L$8=""),"",IF(L$8="Other","",IFERROR(((COUNTIFS(Q_NPS_B_data,"&gt;=9",Q_NPS_B_data,"&lt;=10",passes_workbook_filters_data,1,passes_workbook_custom_filters_data,1,INDIRECT(IFERROR(INDEX(All_Questions_Data_Names,MATCH(SC_Q_NPS_Q_NPS_CT,All_Questions,0)),"'_RawData'!$A:$A")),L$8)/COUNTIFS(Q_NPS_B_data,"&gt;=0",Q_NPS_B_data,"&lt;=10",passes_workbook_filters_data,1,passes_workbook_custom_filters_data,1,INDIRECT(IFERROR(INDEX(All_Questions_Data_Names,MATCH(SC_Q_NPS_Q_NPS_CT,All_Questions,0)),"'_RawData'!$A:$A")),L$8))-(COUNTIFS(Q_NPS_B_data,"&gt;=0",Q_NPS_B_data,"&lt;=6",passes_workbook_filters_data,1,passes_workbook_custom_filters_data,1,INDIRECT(IFERROR(INDEX(All_Questions_Data_Names,MATCH(SC_Q_NPS_Q_NPS_CT,All_Questions,0)),"'_RawData'!$A:$A")),L$8)/COUNTIFS(Q_NPS_B_data,"&gt;=0",Q_NPS_B_data,"&lt;=10",passes_workbook_filters_data,1,passes_workbook_custom_filters_data,1,INDIRECT(IFERROR(INDEX(All_Questions_Data_Names,MATCH(SC_Q_NPS_Q_NPS_CT,All_Questions,0)),"'_RawData'!$A:$A")),L$8)))*100,"")))</f>
        <v>0</v>
      </c>
      <c r="I47" t="n">
        <v>-25</v>
      </c>
      <c r="J47" t="n">
        <v>0</v>
      </c>
      <c r="K47" t="n">
        <v>0</v>
      </c>
      <c r="L47" t="inlineStr">
        <is>
          <t>2026-06-08T09:16:01.727548+00:00</t>
        </is>
      </c>
    </row>
    <row r="48">
      <c r="A48" t="inlineStr">
        <is>
          <t>SC_Q_NPS</t>
        </is>
      </c>
      <c r="B48" t="inlineStr">
        <is>
          <t>cross_tab_by_nps</t>
        </is>
      </c>
      <c r="C48" t="inlineStr">
        <is>
          <t>Q_NPS</t>
        </is>
      </c>
      <c r="D48" t="inlineStr">
        <is>
          <t>Q_NPS_B</t>
        </is>
      </c>
      <c r="E48" t="inlineStr">
        <is>
          <t>SC_Q_NPS_Q_NPS_CT = M$8</t>
        </is>
      </c>
      <c r="H48">
        <f>IF(OR(SC_Q_NPS_Q_NPS_CT="(None)",M$8=""),"",IF(M$8="Other","",IFERROR(((COUNTIFS(Q_NPS_B_data,"&gt;=9",Q_NPS_B_data,"&lt;=10",passes_workbook_filters_data,1,passes_workbook_custom_filters_data,1,INDIRECT(IFERROR(INDEX(All_Questions_Data_Names,MATCH(SC_Q_NPS_Q_NPS_CT,All_Questions,0)),"'_RawData'!$A:$A")),M$8)/COUNTIFS(Q_NPS_B_data,"&gt;=0",Q_NPS_B_data,"&lt;=10",passes_workbook_filters_data,1,passes_workbook_custom_filters_data,1,INDIRECT(IFERROR(INDEX(All_Questions_Data_Names,MATCH(SC_Q_NPS_Q_NPS_CT,All_Questions,0)),"'_RawData'!$A:$A")),M$8))-(COUNTIFS(Q_NPS_B_data,"&gt;=0",Q_NPS_B_data,"&lt;=6",passes_workbook_filters_data,1,passes_workbook_custom_filters_data,1,INDIRECT(IFERROR(INDEX(All_Questions_Data_Names,MATCH(SC_Q_NPS_Q_NPS_CT,All_Questions,0)),"'_RawData'!$A:$A")),M$8)/COUNTIFS(Q_NPS_B_data,"&gt;=0",Q_NPS_B_data,"&lt;=10",passes_workbook_filters_data,1,passes_workbook_custom_filters_data,1,INDIRECT(IFERROR(INDEX(All_Questions_Data_Names,MATCH(SC_Q_NPS_Q_NPS_CT,All_Questions,0)),"'_RawData'!$A:$A")),M$8)))*100,"")))</f>
        <v>0</v>
      </c>
      <c r="I48" t="n">
        <v>-25</v>
      </c>
      <c r="J48" t="n">
        <v>0</v>
      </c>
      <c r="K48" t="n">
        <v>0</v>
      </c>
      <c r="L48" t="inlineStr">
        <is>
          <t>2026-06-08T09:16:01.727692+00:00</t>
        </is>
      </c>
    </row>
    <row r="49">
      <c r="A49" t="inlineStr">
        <is>
          <t>SC_Q_NPS</t>
        </is>
      </c>
      <c r="B49" t="inlineStr">
        <is>
          <t>cross_tab_by_nps</t>
        </is>
      </c>
      <c r="C49" t="inlineStr">
        <is>
          <t>Q_NPS</t>
        </is>
      </c>
      <c r="D49" t="inlineStr">
        <is>
          <t>Q_NPS_B</t>
        </is>
      </c>
      <c r="E49" t="inlineStr">
        <is>
          <t>SC_Q_NPS_Q_NPS_CT = N$8</t>
        </is>
      </c>
      <c r="H49">
        <f>IF(OR(SC_Q_NPS_Q_NPS_CT="(None)",N$8=""),"",IF(N$8="Other","",IFERROR(((COUNTIFS(Q_NPS_B_data,"&gt;=9",Q_NPS_B_data,"&lt;=10",passes_workbook_filters_data,1,passes_workbook_custom_filters_data,1,INDIRECT(IFERROR(INDEX(All_Questions_Data_Names,MATCH(SC_Q_NPS_Q_NPS_CT,All_Questions,0)),"'_RawData'!$A:$A")),N$8)/COUNTIFS(Q_NPS_B_data,"&gt;=0",Q_NPS_B_data,"&lt;=10",passes_workbook_filters_data,1,passes_workbook_custom_filters_data,1,INDIRECT(IFERROR(INDEX(All_Questions_Data_Names,MATCH(SC_Q_NPS_Q_NPS_CT,All_Questions,0)),"'_RawData'!$A:$A")),N$8))-(COUNTIFS(Q_NPS_B_data,"&gt;=0",Q_NPS_B_data,"&lt;=6",passes_workbook_filters_data,1,passes_workbook_custom_filters_data,1,INDIRECT(IFERROR(INDEX(All_Questions_Data_Names,MATCH(SC_Q_NPS_Q_NPS_CT,All_Questions,0)),"'_RawData'!$A:$A")),N$8)/COUNTIFS(Q_NPS_B_data,"&gt;=0",Q_NPS_B_data,"&lt;=10",passes_workbook_filters_data,1,passes_workbook_custom_filters_data,1,INDIRECT(IFERROR(INDEX(All_Questions_Data_Names,MATCH(SC_Q_NPS_Q_NPS_CT,All_Questions,0)),"'_RawData'!$A:$A")),N$8)))*100,"")))</f>
        <v>0</v>
      </c>
      <c r="I49" t="n">
        <v>-25</v>
      </c>
      <c r="J49" t="n">
        <v>0</v>
      </c>
      <c r="K49" t="n">
        <v>0</v>
      </c>
      <c r="L49" t="inlineStr">
        <is>
          <t>2026-06-08T09:16:01.727835+00:00</t>
        </is>
      </c>
    </row>
    <row r="50">
      <c r="A50" t="inlineStr">
        <is>
          <t>SC_Q_NPS</t>
        </is>
      </c>
      <c r="B50" t="inlineStr">
        <is>
          <t>cross_tab_by_nps</t>
        </is>
      </c>
      <c r="C50" t="inlineStr">
        <is>
          <t>Q_NPS</t>
        </is>
      </c>
      <c r="D50" t="inlineStr">
        <is>
          <t>Q_NPS_B</t>
        </is>
      </c>
      <c r="E50" t="inlineStr">
        <is>
          <t>SC_Q_NPS_Q_NPS_CT = O$8</t>
        </is>
      </c>
      <c r="H50">
        <f>IF(OR(SC_Q_NPS_Q_NPS_CT="(None)",O$8=""),"",IF(O$8="Other","",IFERROR(((COUNTIFS(Q_NPS_B_data,"&gt;=9",Q_NPS_B_data,"&lt;=10",passes_workbook_filters_data,1,passes_workbook_custom_filters_data,1,INDIRECT(IFERROR(INDEX(All_Questions_Data_Names,MATCH(SC_Q_NPS_Q_NPS_CT,All_Questions,0)),"'_RawData'!$A:$A")),O$8)/COUNTIFS(Q_NPS_B_data,"&gt;=0",Q_NPS_B_data,"&lt;=10",passes_workbook_filters_data,1,passes_workbook_custom_filters_data,1,INDIRECT(IFERROR(INDEX(All_Questions_Data_Names,MATCH(SC_Q_NPS_Q_NPS_CT,All_Questions,0)),"'_RawData'!$A:$A")),O$8))-(COUNTIFS(Q_NPS_B_data,"&gt;=0",Q_NPS_B_data,"&lt;=6",passes_workbook_filters_data,1,passes_workbook_custom_filters_data,1,INDIRECT(IFERROR(INDEX(All_Questions_Data_Names,MATCH(SC_Q_NPS_Q_NPS_CT,All_Questions,0)),"'_RawData'!$A:$A")),O$8)/COUNTIFS(Q_NPS_B_data,"&gt;=0",Q_NPS_B_data,"&lt;=10",passes_workbook_filters_data,1,passes_workbook_custom_filters_data,1,INDIRECT(IFERROR(INDEX(All_Questions_Data_Names,MATCH(SC_Q_NPS_Q_NPS_CT,All_Questions,0)),"'_RawData'!$A:$A")),O$8)))*100,"")))</f>
        <v>0</v>
      </c>
      <c r="I50" t="n">
        <v>-25</v>
      </c>
      <c r="J50" t="n">
        <v>0</v>
      </c>
      <c r="K50" t="n">
        <v>0</v>
      </c>
      <c r="L50" t="inlineStr">
        <is>
          <t>2026-06-08T09:16:01.727977+00:00</t>
        </is>
      </c>
    </row>
    <row r="51">
      <c r="A51" t="inlineStr">
        <is>
          <t>SC_Q_NPS</t>
        </is>
      </c>
      <c r="B51" t="inlineStr">
        <is>
          <t>cross_tab_by_nps</t>
        </is>
      </c>
      <c r="C51" t="inlineStr">
        <is>
          <t>Q_NPS</t>
        </is>
      </c>
      <c r="D51" t="inlineStr">
        <is>
          <t>Q_NPS_B</t>
        </is>
      </c>
      <c r="E51" t="inlineStr">
        <is>
          <t>SC_Q_NPS_Q_NPS_CT = P$8</t>
        </is>
      </c>
      <c r="H51">
        <f>IF(OR(SC_Q_NPS_Q_NPS_CT="(None)",P$8=""),"",IF(P$8="Other","",IFERROR(((COUNTIFS(Q_NPS_B_data,"&gt;=9",Q_NPS_B_data,"&lt;=10",passes_workbook_filters_data,1,passes_workbook_custom_filters_data,1,INDIRECT(IFERROR(INDEX(All_Questions_Data_Names,MATCH(SC_Q_NPS_Q_NPS_CT,All_Questions,0)),"'_RawData'!$A:$A")),P$8)/COUNTIFS(Q_NPS_B_data,"&gt;=0",Q_NPS_B_data,"&lt;=10",passes_workbook_filters_data,1,passes_workbook_custom_filters_data,1,INDIRECT(IFERROR(INDEX(All_Questions_Data_Names,MATCH(SC_Q_NPS_Q_NPS_CT,All_Questions,0)),"'_RawData'!$A:$A")),P$8))-(COUNTIFS(Q_NPS_B_data,"&gt;=0",Q_NPS_B_data,"&lt;=6",passes_workbook_filters_data,1,passes_workbook_custom_filters_data,1,INDIRECT(IFERROR(INDEX(All_Questions_Data_Names,MATCH(SC_Q_NPS_Q_NPS_CT,All_Questions,0)),"'_RawData'!$A:$A")),P$8)/COUNTIFS(Q_NPS_B_data,"&gt;=0",Q_NPS_B_data,"&lt;=10",passes_workbook_filters_data,1,passes_workbook_custom_filters_data,1,INDIRECT(IFERROR(INDEX(All_Questions_Data_Names,MATCH(SC_Q_NPS_Q_NPS_CT,All_Questions,0)),"'_RawData'!$A:$A")),P$8)))*100,"")))</f>
        <v>0</v>
      </c>
      <c r="I51" t="n">
        <v>-25</v>
      </c>
      <c r="J51" t="n">
        <v>0</v>
      </c>
      <c r="K51" t="n">
        <v>0</v>
      </c>
      <c r="L51" t="inlineStr">
        <is>
          <t>2026-06-08T09:16:01.728169+00:00</t>
        </is>
      </c>
    </row>
    <row r="52">
      <c r="A52" t="inlineStr">
        <is>
          <t>SC_Q_NPS</t>
        </is>
      </c>
      <c r="B52" t="inlineStr">
        <is>
          <t>cross_tab_by_nps</t>
        </is>
      </c>
      <c r="C52" t="inlineStr">
        <is>
          <t>Q_NPS</t>
        </is>
      </c>
      <c r="D52" t="inlineStr">
        <is>
          <t>Q_NPS_B</t>
        </is>
      </c>
      <c r="E52" t="inlineStr">
        <is>
          <t>SC_Q_NPS_Q_NPS_CT = Q$8</t>
        </is>
      </c>
      <c r="H52">
        <f>IF(OR(SC_Q_NPS_Q_NPS_CT="(None)",Q$8=""),"",IF(Q$8="Other","",IFERROR(((COUNTIFS(Q_NPS_B_data,"&gt;=9",Q_NPS_B_data,"&lt;=10",passes_workbook_filters_data,1,passes_workbook_custom_filters_data,1,INDIRECT(IFERROR(INDEX(All_Questions_Data_Names,MATCH(SC_Q_NPS_Q_NPS_CT,All_Questions,0)),"'_RawData'!$A:$A")),Q$8)/COUNTIFS(Q_NPS_B_data,"&gt;=0",Q_NPS_B_data,"&lt;=10",passes_workbook_filters_data,1,passes_workbook_custom_filters_data,1,INDIRECT(IFERROR(INDEX(All_Questions_Data_Names,MATCH(SC_Q_NPS_Q_NPS_CT,All_Questions,0)),"'_RawData'!$A:$A")),Q$8))-(COUNTIFS(Q_NPS_B_data,"&gt;=0",Q_NPS_B_data,"&lt;=6",passes_workbook_filters_data,1,passes_workbook_custom_filters_data,1,INDIRECT(IFERROR(INDEX(All_Questions_Data_Names,MATCH(SC_Q_NPS_Q_NPS_CT,All_Questions,0)),"'_RawData'!$A:$A")),Q$8)/COUNTIFS(Q_NPS_B_data,"&gt;=0",Q_NPS_B_data,"&lt;=10",passes_workbook_filters_data,1,passes_workbook_custom_filters_data,1,INDIRECT(IFERROR(INDEX(All_Questions_Data_Names,MATCH(SC_Q_NPS_Q_NPS_CT,All_Questions,0)),"'_RawData'!$A:$A")),Q$8)))*100,"")))</f>
        <v>0</v>
      </c>
      <c r="I52" t="n">
        <v>-25</v>
      </c>
      <c r="J52" t="n">
        <v>0</v>
      </c>
      <c r="K52" t="n">
        <v>0</v>
      </c>
      <c r="L52" t="inlineStr">
        <is>
          <t>2026-06-08T09:16:01.728321+00:00</t>
        </is>
      </c>
    </row>
    <row r="53">
      <c r="A53" t="inlineStr">
        <is>
          <t>SC_Q_NPS</t>
        </is>
      </c>
      <c r="B53" t="inlineStr">
        <is>
          <t>cross_tab_by_nps</t>
        </is>
      </c>
      <c r="C53" t="inlineStr">
        <is>
          <t>Q_NPS</t>
        </is>
      </c>
      <c r="D53" t="inlineStr">
        <is>
          <t>Q_NPS_B</t>
        </is>
      </c>
      <c r="E53" t="inlineStr">
        <is>
          <t>SC_Q_NPS_Q_NPS_CT = R$8</t>
        </is>
      </c>
      <c r="H53">
        <f>IF(OR(SC_Q_NPS_Q_NPS_CT="(None)",R$8=""),"",IF(R$8="Other","",IFERROR(((COUNTIFS(Q_NPS_B_data,"&gt;=9",Q_NPS_B_data,"&lt;=10",passes_workbook_filters_data,1,passes_workbook_custom_filters_data,1,INDIRECT(IFERROR(INDEX(All_Questions_Data_Names,MATCH(SC_Q_NPS_Q_NPS_CT,All_Questions,0)),"'_RawData'!$A:$A")),R$8)/COUNTIFS(Q_NPS_B_data,"&gt;=0",Q_NPS_B_data,"&lt;=10",passes_workbook_filters_data,1,passes_workbook_custom_filters_data,1,INDIRECT(IFERROR(INDEX(All_Questions_Data_Names,MATCH(SC_Q_NPS_Q_NPS_CT,All_Questions,0)),"'_RawData'!$A:$A")),R$8))-(COUNTIFS(Q_NPS_B_data,"&gt;=0",Q_NPS_B_data,"&lt;=6",passes_workbook_filters_data,1,passes_workbook_custom_filters_data,1,INDIRECT(IFERROR(INDEX(All_Questions_Data_Names,MATCH(SC_Q_NPS_Q_NPS_CT,All_Questions,0)),"'_RawData'!$A:$A")),R$8)/COUNTIFS(Q_NPS_B_data,"&gt;=0",Q_NPS_B_data,"&lt;=10",passes_workbook_filters_data,1,passes_workbook_custom_filters_data,1,INDIRECT(IFERROR(INDEX(All_Questions_Data_Names,MATCH(SC_Q_NPS_Q_NPS_CT,All_Questions,0)),"'_RawData'!$A:$A")),R$8)))*100,"")))</f>
        <v>0</v>
      </c>
      <c r="I53" t="n">
        <v>-25</v>
      </c>
      <c r="J53" t="n">
        <v>0</v>
      </c>
      <c r="K53" t="n">
        <v>0</v>
      </c>
      <c r="L53" t="inlineStr">
        <is>
          <t>2026-06-08T09:16:01.728527+00:00</t>
        </is>
      </c>
    </row>
    <row r="54">
      <c r="A54" t="inlineStr">
        <is>
          <t>SC_Q_NPS</t>
        </is>
      </c>
      <c r="B54" t="inlineStr">
        <is>
          <t>cross_tab_by_nps</t>
        </is>
      </c>
      <c r="C54" t="inlineStr">
        <is>
          <t>Q_NPS</t>
        </is>
      </c>
      <c r="D54" t="inlineStr">
        <is>
          <t>Q_NPS_A</t>
        </is>
      </c>
      <c r="E54" t="inlineStr">
        <is>
          <t>SC_Q_NPS_Q_NPS_CT = G$8</t>
        </is>
      </c>
      <c r="H54">
        <f>IF(OR(SC_Q_NPS_Q_NPS_CT="(None)",G$8=""),"",IF(G$8="Other","",IFERROR(((COUNTIFS(Q_NPS_A_data,"&gt;=9",Q_NPS_A_data,"&lt;=10",passes_workbook_filters_data,1,passes_workbook_custom_filters_data,1,INDIRECT(IFERROR(INDEX(All_Questions_Data_Names,MATCH(SC_Q_NPS_Q_NPS_CT,All_Questions,0)),"'_RawData'!$A:$A")),G$8)/COUNTIFS(Q_NPS_A_data,"&gt;=0",Q_NPS_A_data,"&lt;=10",passes_workbook_filters_data,1,passes_workbook_custom_filters_data,1,INDIRECT(IFERROR(INDEX(All_Questions_Data_Names,MATCH(SC_Q_NPS_Q_NPS_CT,All_Questions,0)),"'_RawData'!$A:$A")),G$8))-(COUNTIFS(Q_NPS_A_data,"&gt;=0",Q_NPS_A_data,"&lt;=6",passes_workbook_filters_data,1,passes_workbook_custom_filters_data,1,INDIRECT(IFERROR(INDEX(All_Questions_Data_Names,MATCH(SC_Q_NPS_Q_NPS_CT,All_Questions,0)),"'_RawData'!$A:$A")),G$8)/COUNTIFS(Q_NPS_A_data,"&gt;=0",Q_NPS_A_data,"&lt;=10",passes_workbook_filters_data,1,passes_workbook_custom_filters_data,1,INDIRECT(IFERROR(INDEX(All_Questions_Data_Names,MATCH(SC_Q_NPS_Q_NPS_CT,All_Questions,0)),"'_RawData'!$A:$A")),G$8)))*100,"")))</f>
        <v>0</v>
      </c>
      <c r="I54" t="n">
        <v>67</v>
      </c>
      <c r="J54" t="n">
        <v>0</v>
      </c>
      <c r="K54" t="n">
        <v>0</v>
      </c>
      <c r="L54" t="inlineStr">
        <is>
          <t>2026-06-08T09:16:01.728769+00:00</t>
        </is>
      </c>
    </row>
    <row r="55">
      <c r="A55" t="inlineStr">
        <is>
          <t>SC_Q_NPS</t>
        </is>
      </c>
      <c r="B55" t="inlineStr">
        <is>
          <t>cross_tab_by_nps</t>
        </is>
      </c>
      <c r="C55" t="inlineStr">
        <is>
          <t>Q_NPS</t>
        </is>
      </c>
      <c r="D55" t="inlineStr">
        <is>
          <t>Q_NPS_A</t>
        </is>
      </c>
      <c r="E55" t="inlineStr">
        <is>
          <t>SC_Q_NPS_Q_NPS_CT = H$8</t>
        </is>
      </c>
      <c r="H55">
        <f>IF(OR(SC_Q_NPS_Q_NPS_CT="(None)",H$8=""),"",IF(H$8="Other","",IFERROR(((COUNTIFS(Q_NPS_A_data,"&gt;=9",Q_NPS_A_data,"&lt;=10",passes_workbook_filters_data,1,passes_workbook_custom_filters_data,1,INDIRECT(IFERROR(INDEX(All_Questions_Data_Names,MATCH(SC_Q_NPS_Q_NPS_CT,All_Questions,0)),"'_RawData'!$A:$A")),H$8)/COUNTIFS(Q_NPS_A_data,"&gt;=0",Q_NPS_A_data,"&lt;=10",passes_workbook_filters_data,1,passes_workbook_custom_filters_data,1,INDIRECT(IFERROR(INDEX(All_Questions_Data_Names,MATCH(SC_Q_NPS_Q_NPS_CT,All_Questions,0)),"'_RawData'!$A:$A")),H$8))-(COUNTIFS(Q_NPS_A_data,"&gt;=0",Q_NPS_A_data,"&lt;=6",passes_workbook_filters_data,1,passes_workbook_custom_filters_data,1,INDIRECT(IFERROR(INDEX(All_Questions_Data_Names,MATCH(SC_Q_NPS_Q_NPS_CT,All_Questions,0)),"'_RawData'!$A:$A")),H$8)/COUNTIFS(Q_NPS_A_data,"&gt;=0",Q_NPS_A_data,"&lt;=10",passes_workbook_filters_data,1,passes_workbook_custom_filters_data,1,INDIRECT(IFERROR(INDEX(All_Questions_Data_Names,MATCH(SC_Q_NPS_Q_NPS_CT,All_Questions,0)),"'_RawData'!$A:$A")),H$8)))*100,"")))</f>
        <v>0</v>
      </c>
      <c r="I55" t="n">
        <v>67</v>
      </c>
      <c r="J55" t="n">
        <v>0</v>
      </c>
      <c r="K55" t="n">
        <v>0</v>
      </c>
      <c r="L55" t="inlineStr">
        <is>
          <t>2026-06-08T09:16:01.728914+00:00</t>
        </is>
      </c>
    </row>
    <row r="56">
      <c r="A56" t="inlineStr">
        <is>
          <t>SC_Q_NPS</t>
        </is>
      </c>
      <c r="B56" t="inlineStr">
        <is>
          <t>cross_tab_by_nps</t>
        </is>
      </c>
      <c r="C56" t="inlineStr">
        <is>
          <t>Q_NPS</t>
        </is>
      </c>
      <c r="D56" t="inlineStr">
        <is>
          <t>Q_NPS_A</t>
        </is>
      </c>
      <c r="E56" t="inlineStr">
        <is>
          <t>SC_Q_NPS_Q_NPS_CT = I$8</t>
        </is>
      </c>
      <c r="H56">
        <f>IF(OR(SC_Q_NPS_Q_NPS_CT="(None)",I$8=""),"",IF(I$8="Other","",IFERROR(((COUNTIFS(Q_NPS_A_data,"&gt;=9",Q_NPS_A_data,"&lt;=10",passes_workbook_filters_data,1,passes_workbook_custom_filters_data,1,INDIRECT(IFERROR(INDEX(All_Questions_Data_Names,MATCH(SC_Q_NPS_Q_NPS_CT,All_Questions,0)),"'_RawData'!$A:$A")),I$8)/COUNTIFS(Q_NPS_A_data,"&gt;=0",Q_NPS_A_data,"&lt;=10",passes_workbook_filters_data,1,passes_workbook_custom_filters_data,1,INDIRECT(IFERROR(INDEX(All_Questions_Data_Names,MATCH(SC_Q_NPS_Q_NPS_CT,All_Questions,0)),"'_RawData'!$A:$A")),I$8))-(COUNTIFS(Q_NPS_A_data,"&gt;=0",Q_NPS_A_data,"&lt;=6",passes_workbook_filters_data,1,passes_workbook_custom_filters_data,1,INDIRECT(IFERROR(INDEX(All_Questions_Data_Names,MATCH(SC_Q_NPS_Q_NPS_CT,All_Questions,0)),"'_RawData'!$A:$A")),I$8)/COUNTIFS(Q_NPS_A_data,"&gt;=0",Q_NPS_A_data,"&lt;=10",passes_workbook_filters_data,1,passes_workbook_custom_filters_data,1,INDIRECT(IFERROR(INDEX(All_Questions_Data_Names,MATCH(SC_Q_NPS_Q_NPS_CT,All_Questions,0)),"'_RawData'!$A:$A")),I$8)))*100,"")))</f>
        <v>0</v>
      </c>
      <c r="I56" t="n">
        <v>67</v>
      </c>
      <c r="J56" t="n">
        <v>0</v>
      </c>
      <c r="K56" t="n">
        <v>0</v>
      </c>
      <c r="L56" t="inlineStr">
        <is>
          <t>2026-06-08T09:16:01.729057+00:00</t>
        </is>
      </c>
    </row>
    <row r="57">
      <c r="A57" t="inlineStr">
        <is>
          <t>SC_Q_NPS</t>
        </is>
      </c>
      <c r="B57" t="inlineStr">
        <is>
          <t>cross_tab_by_nps</t>
        </is>
      </c>
      <c r="C57" t="inlineStr">
        <is>
          <t>Q_NPS</t>
        </is>
      </c>
      <c r="D57" t="inlineStr">
        <is>
          <t>Q_NPS_A</t>
        </is>
      </c>
      <c r="E57" t="inlineStr">
        <is>
          <t>SC_Q_NPS_Q_NPS_CT = J$8</t>
        </is>
      </c>
      <c r="H57">
        <f>IF(OR(SC_Q_NPS_Q_NPS_CT="(None)",J$8=""),"",IF(J$8="Other","",IFERROR(((COUNTIFS(Q_NPS_A_data,"&gt;=9",Q_NPS_A_data,"&lt;=10",passes_workbook_filters_data,1,passes_workbook_custom_filters_data,1,INDIRECT(IFERROR(INDEX(All_Questions_Data_Names,MATCH(SC_Q_NPS_Q_NPS_CT,All_Questions,0)),"'_RawData'!$A:$A")),J$8)/COUNTIFS(Q_NPS_A_data,"&gt;=0",Q_NPS_A_data,"&lt;=10",passes_workbook_filters_data,1,passes_workbook_custom_filters_data,1,INDIRECT(IFERROR(INDEX(All_Questions_Data_Names,MATCH(SC_Q_NPS_Q_NPS_CT,All_Questions,0)),"'_RawData'!$A:$A")),J$8))-(COUNTIFS(Q_NPS_A_data,"&gt;=0",Q_NPS_A_data,"&lt;=6",passes_workbook_filters_data,1,passes_workbook_custom_filters_data,1,INDIRECT(IFERROR(INDEX(All_Questions_Data_Names,MATCH(SC_Q_NPS_Q_NPS_CT,All_Questions,0)),"'_RawData'!$A:$A")),J$8)/COUNTIFS(Q_NPS_A_data,"&gt;=0",Q_NPS_A_data,"&lt;=10",passes_workbook_filters_data,1,passes_workbook_custom_filters_data,1,INDIRECT(IFERROR(INDEX(All_Questions_Data_Names,MATCH(SC_Q_NPS_Q_NPS_CT,All_Questions,0)),"'_RawData'!$A:$A")),J$8)))*100,"")))</f>
        <v>0</v>
      </c>
      <c r="I57" t="n">
        <v>67</v>
      </c>
      <c r="J57" t="n">
        <v>0</v>
      </c>
      <c r="K57" t="n">
        <v>0</v>
      </c>
      <c r="L57" t="inlineStr">
        <is>
          <t>2026-06-08T09:16:01.729247+00:00</t>
        </is>
      </c>
    </row>
    <row r="58">
      <c r="A58" t="inlineStr">
        <is>
          <t>SC_Q_NPS</t>
        </is>
      </c>
      <c r="B58" t="inlineStr">
        <is>
          <t>cross_tab_by_nps</t>
        </is>
      </c>
      <c r="C58" t="inlineStr">
        <is>
          <t>Q_NPS</t>
        </is>
      </c>
      <c r="D58" t="inlineStr">
        <is>
          <t>Q_NPS_A</t>
        </is>
      </c>
      <c r="E58" t="inlineStr">
        <is>
          <t>SC_Q_NPS_Q_NPS_CT = K$8</t>
        </is>
      </c>
      <c r="H58">
        <f>IF(OR(SC_Q_NPS_Q_NPS_CT="(None)",K$8=""),"",IF(K$8="Other","",IFERROR(((COUNTIFS(Q_NPS_A_data,"&gt;=9",Q_NPS_A_data,"&lt;=10",passes_workbook_filters_data,1,passes_workbook_custom_filters_data,1,INDIRECT(IFERROR(INDEX(All_Questions_Data_Names,MATCH(SC_Q_NPS_Q_NPS_CT,All_Questions,0)),"'_RawData'!$A:$A")),K$8)/COUNTIFS(Q_NPS_A_data,"&gt;=0",Q_NPS_A_data,"&lt;=10",passes_workbook_filters_data,1,passes_workbook_custom_filters_data,1,INDIRECT(IFERROR(INDEX(All_Questions_Data_Names,MATCH(SC_Q_NPS_Q_NPS_CT,All_Questions,0)),"'_RawData'!$A:$A")),K$8))-(COUNTIFS(Q_NPS_A_data,"&gt;=0",Q_NPS_A_data,"&lt;=6",passes_workbook_filters_data,1,passes_workbook_custom_filters_data,1,INDIRECT(IFERROR(INDEX(All_Questions_Data_Names,MATCH(SC_Q_NPS_Q_NPS_CT,All_Questions,0)),"'_RawData'!$A:$A")),K$8)/COUNTIFS(Q_NPS_A_data,"&gt;=0",Q_NPS_A_data,"&lt;=10",passes_workbook_filters_data,1,passes_workbook_custom_filters_data,1,INDIRECT(IFERROR(INDEX(All_Questions_Data_Names,MATCH(SC_Q_NPS_Q_NPS_CT,All_Questions,0)),"'_RawData'!$A:$A")),K$8)))*100,"")))</f>
        <v>0</v>
      </c>
      <c r="I58" t="n">
        <v>67</v>
      </c>
      <c r="J58" t="n">
        <v>0</v>
      </c>
      <c r="K58" t="n">
        <v>0</v>
      </c>
      <c r="L58" t="inlineStr">
        <is>
          <t>2026-06-08T09:16:01.729394+00:00</t>
        </is>
      </c>
    </row>
    <row r="59">
      <c r="A59" t="inlineStr">
        <is>
          <t>SC_Q_NPS</t>
        </is>
      </c>
      <c r="B59" t="inlineStr">
        <is>
          <t>cross_tab_by_nps</t>
        </is>
      </c>
      <c r="C59" t="inlineStr">
        <is>
          <t>Q_NPS</t>
        </is>
      </c>
      <c r="D59" t="inlineStr">
        <is>
          <t>Q_NPS_A</t>
        </is>
      </c>
      <c r="E59" t="inlineStr">
        <is>
          <t>SC_Q_NPS_Q_NPS_CT = L$8</t>
        </is>
      </c>
      <c r="H59">
        <f>IF(OR(SC_Q_NPS_Q_NPS_CT="(None)",L$8=""),"",IF(L$8="Other","",IFERROR(((COUNTIFS(Q_NPS_A_data,"&gt;=9",Q_NPS_A_data,"&lt;=10",passes_workbook_filters_data,1,passes_workbook_custom_filters_data,1,INDIRECT(IFERROR(INDEX(All_Questions_Data_Names,MATCH(SC_Q_NPS_Q_NPS_CT,All_Questions,0)),"'_RawData'!$A:$A")),L$8)/COUNTIFS(Q_NPS_A_data,"&gt;=0",Q_NPS_A_data,"&lt;=10",passes_workbook_filters_data,1,passes_workbook_custom_filters_data,1,INDIRECT(IFERROR(INDEX(All_Questions_Data_Names,MATCH(SC_Q_NPS_Q_NPS_CT,All_Questions,0)),"'_RawData'!$A:$A")),L$8))-(COUNTIFS(Q_NPS_A_data,"&gt;=0",Q_NPS_A_data,"&lt;=6",passes_workbook_filters_data,1,passes_workbook_custom_filters_data,1,INDIRECT(IFERROR(INDEX(All_Questions_Data_Names,MATCH(SC_Q_NPS_Q_NPS_CT,All_Questions,0)),"'_RawData'!$A:$A")),L$8)/COUNTIFS(Q_NPS_A_data,"&gt;=0",Q_NPS_A_data,"&lt;=10",passes_workbook_filters_data,1,passes_workbook_custom_filters_data,1,INDIRECT(IFERROR(INDEX(All_Questions_Data_Names,MATCH(SC_Q_NPS_Q_NPS_CT,All_Questions,0)),"'_RawData'!$A:$A")),L$8)))*100,"")))</f>
        <v>0</v>
      </c>
      <c r="I59" t="n">
        <v>67</v>
      </c>
      <c r="J59" t="n">
        <v>0</v>
      </c>
      <c r="K59" t="n">
        <v>0</v>
      </c>
      <c r="L59" t="inlineStr">
        <is>
          <t>2026-06-08T09:16:01.729536+00:00</t>
        </is>
      </c>
    </row>
    <row r="60">
      <c r="A60" t="inlineStr">
        <is>
          <t>SC_Q_NPS</t>
        </is>
      </c>
      <c r="B60" t="inlineStr">
        <is>
          <t>cross_tab_by_nps</t>
        </is>
      </c>
      <c r="C60" t="inlineStr">
        <is>
          <t>Q_NPS</t>
        </is>
      </c>
      <c r="D60" t="inlineStr">
        <is>
          <t>Q_NPS_A</t>
        </is>
      </c>
      <c r="E60" t="inlineStr">
        <is>
          <t>SC_Q_NPS_Q_NPS_CT = M$8</t>
        </is>
      </c>
      <c r="H60">
        <f>IF(OR(SC_Q_NPS_Q_NPS_CT="(None)",M$8=""),"",IF(M$8="Other","",IFERROR(((COUNTIFS(Q_NPS_A_data,"&gt;=9",Q_NPS_A_data,"&lt;=10",passes_workbook_filters_data,1,passes_workbook_custom_filters_data,1,INDIRECT(IFERROR(INDEX(All_Questions_Data_Names,MATCH(SC_Q_NPS_Q_NPS_CT,All_Questions,0)),"'_RawData'!$A:$A")),M$8)/COUNTIFS(Q_NPS_A_data,"&gt;=0",Q_NPS_A_data,"&lt;=10",passes_workbook_filters_data,1,passes_workbook_custom_filters_data,1,INDIRECT(IFERROR(INDEX(All_Questions_Data_Names,MATCH(SC_Q_NPS_Q_NPS_CT,All_Questions,0)),"'_RawData'!$A:$A")),M$8))-(COUNTIFS(Q_NPS_A_data,"&gt;=0",Q_NPS_A_data,"&lt;=6",passes_workbook_filters_data,1,passes_workbook_custom_filters_data,1,INDIRECT(IFERROR(INDEX(All_Questions_Data_Names,MATCH(SC_Q_NPS_Q_NPS_CT,All_Questions,0)),"'_RawData'!$A:$A")),M$8)/COUNTIFS(Q_NPS_A_data,"&gt;=0",Q_NPS_A_data,"&lt;=10",passes_workbook_filters_data,1,passes_workbook_custom_filters_data,1,INDIRECT(IFERROR(INDEX(All_Questions_Data_Names,MATCH(SC_Q_NPS_Q_NPS_CT,All_Questions,0)),"'_RawData'!$A:$A")),M$8)))*100,"")))</f>
        <v>0</v>
      </c>
      <c r="I60" t="n">
        <v>67</v>
      </c>
      <c r="J60" t="n">
        <v>0</v>
      </c>
      <c r="K60" t="n">
        <v>0</v>
      </c>
      <c r="L60" t="inlineStr">
        <is>
          <t>2026-06-08T09:16:01.729676+00:00</t>
        </is>
      </c>
    </row>
    <row r="61">
      <c r="A61" t="inlineStr">
        <is>
          <t>SC_Q_NPS</t>
        </is>
      </c>
      <c r="B61" t="inlineStr">
        <is>
          <t>cross_tab_by_nps</t>
        </is>
      </c>
      <c r="C61" t="inlineStr">
        <is>
          <t>Q_NPS</t>
        </is>
      </c>
      <c r="D61" t="inlineStr">
        <is>
          <t>Q_NPS_A</t>
        </is>
      </c>
      <c r="E61" t="inlineStr">
        <is>
          <t>SC_Q_NPS_Q_NPS_CT = N$8</t>
        </is>
      </c>
      <c r="H61">
        <f>IF(OR(SC_Q_NPS_Q_NPS_CT="(None)",N$8=""),"",IF(N$8="Other","",IFERROR(((COUNTIFS(Q_NPS_A_data,"&gt;=9",Q_NPS_A_data,"&lt;=10",passes_workbook_filters_data,1,passes_workbook_custom_filters_data,1,INDIRECT(IFERROR(INDEX(All_Questions_Data_Names,MATCH(SC_Q_NPS_Q_NPS_CT,All_Questions,0)),"'_RawData'!$A:$A")),N$8)/COUNTIFS(Q_NPS_A_data,"&gt;=0",Q_NPS_A_data,"&lt;=10",passes_workbook_filters_data,1,passes_workbook_custom_filters_data,1,INDIRECT(IFERROR(INDEX(All_Questions_Data_Names,MATCH(SC_Q_NPS_Q_NPS_CT,All_Questions,0)),"'_RawData'!$A:$A")),N$8))-(COUNTIFS(Q_NPS_A_data,"&gt;=0",Q_NPS_A_data,"&lt;=6",passes_workbook_filters_data,1,passes_workbook_custom_filters_data,1,INDIRECT(IFERROR(INDEX(All_Questions_Data_Names,MATCH(SC_Q_NPS_Q_NPS_CT,All_Questions,0)),"'_RawData'!$A:$A")),N$8)/COUNTIFS(Q_NPS_A_data,"&gt;=0",Q_NPS_A_data,"&lt;=10",passes_workbook_filters_data,1,passes_workbook_custom_filters_data,1,INDIRECT(IFERROR(INDEX(All_Questions_Data_Names,MATCH(SC_Q_NPS_Q_NPS_CT,All_Questions,0)),"'_RawData'!$A:$A")),N$8)))*100,"")))</f>
        <v>0</v>
      </c>
      <c r="I61" t="n">
        <v>67</v>
      </c>
      <c r="J61" t="n">
        <v>0</v>
      </c>
      <c r="K61" t="n">
        <v>0</v>
      </c>
      <c r="L61" t="inlineStr">
        <is>
          <t>2026-06-08T09:16:01.729817+00:00</t>
        </is>
      </c>
    </row>
    <row r="62">
      <c r="A62" t="inlineStr">
        <is>
          <t>SC_Q_NPS</t>
        </is>
      </c>
      <c r="B62" t="inlineStr">
        <is>
          <t>cross_tab_by_nps</t>
        </is>
      </c>
      <c r="C62" t="inlineStr">
        <is>
          <t>Q_NPS</t>
        </is>
      </c>
      <c r="D62" t="inlineStr">
        <is>
          <t>Q_NPS_A</t>
        </is>
      </c>
      <c r="E62" t="inlineStr">
        <is>
          <t>SC_Q_NPS_Q_NPS_CT = O$8</t>
        </is>
      </c>
      <c r="H62">
        <f>IF(OR(SC_Q_NPS_Q_NPS_CT="(None)",O$8=""),"",IF(O$8="Other","",IFERROR(((COUNTIFS(Q_NPS_A_data,"&gt;=9",Q_NPS_A_data,"&lt;=10",passes_workbook_filters_data,1,passes_workbook_custom_filters_data,1,INDIRECT(IFERROR(INDEX(All_Questions_Data_Names,MATCH(SC_Q_NPS_Q_NPS_CT,All_Questions,0)),"'_RawData'!$A:$A")),O$8)/COUNTIFS(Q_NPS_A_data,"&gt;=0",Q_NPS_A_data,"&lt;=10",passes_workbook_filters_data,1,passes_workbook_custom_filters_data,1,INDIRECT(IFERROR(INDEX(All_Questions_Data_Names,MATCH(SC_Q_NPS_Q_NPS_CT,All_Questions,0)),"'_RawData'!$A:$A")),O$8))-(COUNTIFS(Q_NPS_A_data,"&gt;=0",Q_NPS_A_data,"&lt;=6",passes_workbook_filters_data,1,passes_workbook_custom_filters_data,1,INDIRECT(IFERROR(INDEX(All_Questions_Data_Names,MATCH(SC_Q_NPS_Q_NPS_CT,All_Questions,0)),"'_RawData'!$A:$A")),O$8)/COUNTIFS(Q_NPS_A_data,"&gt;=0",Q_NPS_A_data,"&lt;=10",passes_workbook_filters_data,1,passes_workbook_custom_filters_data,1,INDIRECT(IFERROR(INDEX(All_Questions_Data_Names,MATCH(SC_Q_NPS_Q_NPS_CT,All_Questions,0)),"'_RawData'!$A:$A")),O$8)))*100,"")))</f>
        <v>0</v>
      </c>
      <c r="I62" t="n">
        <v>67</v>
      </c>
      <c r="J62" t="n">
        <v>0</v>
      </c>
      <c r="K62" t="n">
        <v>0</v>
      </c>
      <c r="L62" t="inlineStr">
        <is>
          <t>2026-06-08T09:16:01.729958+00:00</t>
        </is>
      </c>
    </row>
    <row r="63">
      <c r="A63" t="inlineStr">
        <is>
          <t>SC_Q_NPS</t>
        </is>
      </c>
      <c r="B63" t="inlineStr">
        <is>
          <t>cross_tab_by_nps</t>
        </is>
      </c>
      <c r="C63" t="inlineStr">
        <is>
          <t>Q_NPS</t>
        </is>
      </c>
      <c r="D63" t="inlineStr">
        <is>
          <t>Q_NPS_A</t>
        </is>
      </c>
      <c r="E63" t="inlineStr">
        <is>
          <t>SC_Q_NPS_Q_NPS_CT = P$8</t>
        </is>
      </c>
      <c r="H63">
        <f>IF(OR(SC_Q_NPS_Q_NPS_CT="(None)",P$8=""),"",IF(P$8="Other","",IFERROR(((COUNTIFS(Q_NPS_A_data,"&gt;=9",Q_NPS_A_data,"&lt;=10",passes_workbook_filters_data,1,passes_workbook_custom_filters_data,1,INDIRECT(IFERROR(INDEX(All_Questions_Data_Names,MATCH(SC_Q_NPS_Q_NPS_CT,All_Questions,0)),"'_RawData'!$A:$A")),P$8)/COUNTIFS(Q_NPS_A_data,"&gt;=0",Q_NPS_A_data,"&lt;=10",passes_workbook_filters_data,1,passes_workbook_custom_filters_data,1,INDIRECT(IFERROR(INDEX(All_Questions_Data_Names,MATCH(SC_Q_NPS_Q_NPS_CT,All_Questions,0)),"'_RawData'!$A:$A")),P$8))-(COUNTIFS(Q_NPS_A_data,"&gt;=0",Q_NPS_A_data,"&lt;=6",passes_workbook_filters_data,1,passes_workbook_custom_filters_data,1,INDIRECT(IFERROR(INDEX(All_Questions_Data_Names,MATCH(SC_Q_NPS_Q_NPS_CT,All_Questions,0)),"'_RawData'!$A:$A")),P$8)/COUNTIFS(Q_NPS_A_data,"&gt;=0",Q_NPS_A_data,"&lt;=10",passes_workbook_filters_data,1,passes_workbook_custom_filters_data,1,INDIRECT(IFERROR(INDEX(All_Questions_Data_Names,MATCH(SC_Q_NPS_Q_NPS_CT,All_Questions,0)),"'_RawData'!$A:$A")),P$8)))*100,"")))</f>
        <v>0</v>
      </c>
      <c r="I63" t="n">
        <v>67</v>
      </c>
      <c r="J63" t="n">
        <v>0</v>
      </c>
      <c r="K63" t="n">
        <v>0</v>
      </c>
      <c r="L63" t="inlineStr">
        <is>
          <t>2026-06-08T09:16:01.730138+00:00</t>
        </is>
      </c>
    </row>
    <row r="64">
      <c r="A64" t="inlineStr">
        <is>
          <t>SC_Q_NPS</t>
        </is>
      </c>
      <c r="B64" t="inlineStr">
        <is>
          <t>cross_tab_by_nps</t>
        </is>
      </c>
      <c r="C64" t="inlineStr">
        <is>
          <t>Q_NPS</t>
        </is>
      </c>
      <c r="D64" t="inlineStr">
        <is>
          <t>Q_NPS_A</t>
        </is>
      </c>
      <c r="E64" t="inlineStr">
        <is>
          <t>SC_Q_NPS_Q_NPS_CT = Q$8</t>
        </is>
      </c>
      <c r="H64">
        <f>IF(OR(SC_Q_NPS_Q_NPS_CT="(None)",Q$8=""),"",IF(Q$8="Other","",IFERROR(((COUNTIFS(Q_NPS_A_data,"&gt;=9",Q_NPS_A_data,"&lt;=10",passes_workbook_filters_data,1,passes_workbook_custom_filters_data,1,INDIRECT(IFERROR(INDEX(All_Questions_Data_Names,MATCH(SC_Q_NPS_Q_NPS_CT,All_Questions,0)),"'_RawData'!$A:$A")),Q$8)/COUNTIFS(Q_NPS_A_data,"&gt;=0",Q_NPS_A_data,"&lt;=10",passes_workbook_filters_data,1,passes_workbook_custom_filters_data,1,INDIRECT(IFERROR(INDEX(All_Questions_Data_Names,MATCH(SC_Q_NPS_Q_NPS_CT,All_Questions,0)),"'_RawData'!$A:$A")),Q$8))-(COUNTIFS(Q_NPS_A_data,"&gt;=0",Q_NPS_A_data,"&lt;=6",passes_workbook_filters_data,1,passes_workbook_custom_filters_data,1,INDIRECT(IFERROR(INDEX(All_Questions_Data_Names,MATCH(SC_Q_NPS_Q_NPS_CT,All_Questions,0)),"'_RawData'!$A:$A")),Q$8)/COUNTIFS(Q_NPS_A_data,"&gt;=0",Q_NPS_A_data,"&lt;=10",passes_workbook_filters_data,1,passes_workbook_custom_filters_data,1,INDIRECT(IFERROR(INDEX(All_Questions_Data_Names,MATCH(SC_Q_NPS_Q_NPS_CT,All_Questions,0)),"'_RawData'!$A:$A")),Q$8)))*100,"")))</f>
        <v>0</v>
      </c>
      <c r="I64" t="n">
        <v>67</v>
      </c>
      <c r="J64" t="n">
        <v>0</v>
      </c>
      <c r="K64" t="n">
        <v>0</v>
      </c>
      <c r="L64" t="inlineStr">
        <is>
          <t>2026-06-08T09:16:01.730292+00:00</t>
        </is>
      </c>
    </row>
    <row r="65">
      <c r="A65" t="inlineStr">
        <is>
          <t>SC_Q_NPS</t>
        </is>
      </c>
      <c r="B65" t="inlineStr">
        <is>
          <t>cross_tab_by_nps</t>
        </is>
      </c>
      <c r="C65" t="inlineStr">
        <is>
          <t>Q_NPS</t>
        </is>
      </c>
      <c r="D65" t="inlineStr">
        <is>
          <t>Q_NPS_A</t>
        </is>
      </c>
      <c r="E65" t="inlineStr">
        <is>
          <t>SC_Q_NPS_Q_NPS_CT = R$8</t>
        </is>
      </c>
      <c r="H65">
        <f>IF(OR(SC_Q_NPS_Q_NPS_CT="(None)",R$8=""),"",IF(R$8="Other","",IFERROR(((COUNTIFS(Q_NPS_A_data,"&gt;=9",Q_NPS_A_data,"&lt;=10",passes_workbook_filters_data,1,passes_workbook_custom_filters_data,1,INDIRECT(IFERROR(INDEX(All_Questions_Data_Names,MATCH(SC_Q_NPS_Q_NPS_CT,All_Questions,0)),"'_RawData'!$A:$A")),R$8)/COUNTIFS(Q_NPS_A_data,"&gt;=0",Q_NPS_A_data,"&lt;=10",passes_workbook_filters_data,1,passes_workbook_custom_filters_data,1,INDIRECT(IFERROR(INDEX(All_Questions_Data_Names,MATCH(SC_Q_NPS_Q_NPS_CT,All_Questions,0)),"'_RawData'!$A:$A")),R$8))-(COUNTIFS(Q_NPS_A_data,"&gt;=0",Q_NPS_A_data,"&lt;=6",passes_workbook_filters_data,1,passes_workbook_custom_filters_data,1,INDIRECT(IFERROR(INDEX(All_Questions_Data_Names,MATCH(SC_Q_NPS_Q_NPS_CT,All_Questions,0)),"'_RawData'!$A:$A")),R$8)/COUNTIFS(Q_NPS_A_data,"&gt;=0",Q_NPS_A_data,"&lt;=10",passes_workbook_filters_data,1,passes_workbook_custom_filters_data,1,INDIRECT(IFERROR(INDEX(All_Questions_Data_Names,MATCH(SC_Q_NPS_Q_NPS_CT,All_Questions,0)),"'_RawData'!$A:$A")),R$8)))*100,"")))</f>
        <v>0</v>
      </c>
      <c r="I65" t="n">
        <v>67</v>
      </c>
      <c r="J65" t="n">
        <v>0</v>
      </c>
      <c r="K65" t="n">
        <v>0</v>
      </c>
      <c r="L65" t="inlineStr">
        <is>
          <t>2026-06-08T09:16:01.730494+00:00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2026-06-08T09:16:00Z</dcterms:created>
  <dcterms:modified xmlns:dcterms="http://purl.org/dc/terms/" xmlns:xsi="http://www.w3.org/2001/XMLSchema-instance" xsi:type="dcterms:W3CDTF">2026-06-08T09:16:01Z</dcterms:modified>
</cp:coreProperties>
</file>