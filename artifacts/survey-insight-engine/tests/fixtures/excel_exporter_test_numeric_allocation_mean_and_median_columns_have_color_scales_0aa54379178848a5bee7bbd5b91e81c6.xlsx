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IF(All_Questions_Q20_CT="(None)","",IFERROR(INDEX(INDIRECT(IFERROR(INDEX(All_Questions_Options_Names,MATCH(All_Questions_Q20_CT,All_Questions,0)),"'_Options'!$E$2:$E$2")),2),""))</f>
        <v/>
      </c>
      <c r="H22" s="2" t="str">
        <f>IF(All_Questions_Q20_CT="(None)","",IFERROR(INDEX(INDIRECT(IFERROR(INDEX(All_Questions_Options_Names,MATCH(All_Questions_Q20_CT,All_Questions,0)),"'_Options'!$E$2:$E$2")),3),""))</f>
        <v/>
      </c>
      <c r="I22" s="2" t="str">
        <f>IF(All_Questions_Q20_CT="(None)","",IFERROR(INDEX(INDIRECT(IFERROR(INDEX(All_Questions_Options_Names,MATCH(All_Questions_Q20_CT,All_Questions,0)),"'_Options'!$E$2:$E$2")),4),""))</f>
        <v/>
      </c>
      <c r="J22" s="2" t="str">
        <f>IF(All_Questions_Q20_CT="(None)","",IFERROR(INDEX(INDIRECT(IFERROR(INDEX(All_Questions_Options_Names,MATCH(All_Questions_Q20_CT,All_Questions,0)),"'_Options'!$E$2:$E$2")),5),""))</f>
        <v/>
      </c>
      <c r="K22" s="2" t="str">
        <f>IF(All_Questions_Q20_CT="(None)","",IFERROR(INDEX(INDIRECT(IFERROR(INDEX(All_Questions_Options_Names,MATCH(All_Questions_Q20_CT,All_Questions,0)),"'_Options'!$E$2:$E$2")),6),""))</f>
        <v/>
      </c>
      <c r="L22" s="2" t="str">
        <f>IF(All_Questions_Q20_CT="(None)","",IFERROR(INDEX(INDIRECT(IFERROR(INDEX(All_Questions_Options_Names,MATCH(All_Questions_Q20_CT,All_Questions,0)),"'_Options'!$E$2:$E$2")),7),""))</f>
        <v/>
      </c>
      <c r="M22" s="2" t="str">
        <f>IF(All_Questions_Q20_CT="(None)","",IFERROR(INDEX(INDIRECT(IFERROR(INDEX(All_Questions_Options_Names,MATCH(All_Questions_Q20_CT,All_Questions,0)),"'_Options'!$E$2:$E$2")),8),""))</f>
        <v/>
      </c>
      <c r="N22" s="2" t="str">
        <f>IF(All_Questions_Q20_CT="(None)","",IFERROR(INDEX(INDIRECT(IFERROR(INDEX(All_Questions_Options_Names,MATCH(All_Questions_Q20_CT,All_Questions,0)),"'_Options'!$E$2:$E$2")),9),""))</f>
        <v/>
      </c>
      <c r="O22" s="2" t="str">
        <f>IF(All_Questions_Q20_CT="(None)","",IFERROR(INDEX(INDIRECT(IFERROR(INDEX(All_Questions_Options_Names,MATCH(All_Questions_Q20_CT,All_Questions,0)),"'_Options'!$E$2:$E$2")),10),""))</f>
        <v/>
      </c>
      <c r="P22" s="2" t="str">
        <f>IF(All_Questions_Q20_CT="(None)","",IFERROR(INDEX(INDIRECT(IFERROR(INDEX(All_Questions_Options_Names,MATCH(All_Questions_Q20_CT,All_Questions,0)),"'_Options'!$E$2:$E$2")),11),""))</f>
        <v/>
      </c>
      <c r="Q22" s="2" t="str">
        <f>IF(All_Questions_Q20_CT="(None)","",IFERROR(INDEX(INDIRECT(IFERROR(INDEX(All_Questions_Options_Names,MATCH(All_Questions_Q20_CT,All_Questions,0)),"'_Options'!$E$2:$E$2")),12),""))</f>
        <v/>
      </c>
      <c r="R22" s="2" t="str">
        <f>IF(All_Questions_Q20_CT="(None)","",IF(COUNTA(INDIRECT(IFERROR(INDEX(All_Questions_Options_Names,MATCH(All_Questions_Q20_CT,All_Questions,0)),"'_Options'!$E$2:$E$2")))-1&gt;11,"Other",IFERROR(INDEX(INDIRECT(IFERROR(INDEX(All_Questions_Options_Names,MATCH(All_Questions_Q20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2026-06-08T13:15:12.685218+00:00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2026-06-08T13:15:12.685457+00:00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2026-06-08T13:15:12.685632+00:00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2026-06-08T13:15:12.685802+00:00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2026-06-08T13:15:12.685986+00:00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2026-06-08T13:15:12.686159+00:00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2026-06-08T13:15:12.686348+00:00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2026-06-08T13:15:12.686514+00:00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2026-06-08T13:15:12.686670+00:00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2026-06-08T13:15:12.686829+00:00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2026-06-08T13:15:12.687062+00:00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2026-06-08T13:15:12.687339+00:00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2026-06-08T13:15:12.687621+00:00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2026-06-08T13:15:12.687783+00:00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2026-06-08T13:15:12.687968+00:00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2026-06-08T13:15:12.688139+00:00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2026-06-08T13:15:12.688325+00:00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2026-06-08T13:15:12.688490+00:00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2026-06-08T13:15:12.688649+00:00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2026-06-08T13:15:12.688806+00:00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2026-06-08T13:15:12.688982+00:00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2026-06-08T13:15:12.689148+00:00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2026-06-08T13:15:12.689333+00:00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2026-06-08T13:15:12.689566+00:00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2026-06-08T13:15:12.689833+00:00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2026-06-08T13:15:12.690012+00:00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2026-06-08T13:15:12.690176+00:00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2026-06-08T13:15:12.690374+00:00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2026-06-08T13:15:12.690535+00:00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2026-06-08T13:15:12.690693+00:00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2026-06-08T13:15:12.690849+00:00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2026-06-08T13:15:12.691033+00:00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2026-06-08T13:15:12.691194+00:00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2026-06-08T13:15:12.691383+00:00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2026-06-08T13:15:12.691544+00:00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2026-06-08T13:15:12.691770+00:00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2026-06-08T13:15:12Z</dcterms:created>
  <dcterms:modified xmlns:dcterms="http://purl.org/dc/terms/" xmlns:xsi="http://www.w3.org/2001/XMLSchema-instance" xsi:type="dcterms:W3CDTF">2026-06-08T13:15:12Z</dcterms:modified>
</cp:coreProperties>
</file>