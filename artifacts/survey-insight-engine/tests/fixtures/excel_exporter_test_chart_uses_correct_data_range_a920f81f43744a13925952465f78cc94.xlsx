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'_Options'!$J$2:$J$3</definedName>
    <definedName name="Q_GRID_EXPORTr1_local_options">'_Options'!$V$2:$V$4</definedName>
    <definedName name="Q_GRID_EXPORTr2_options">'_Options'!$K$2:$K$3</definedName>
    <definedName name="Q_GRID_EXPORTr2_local_options">'_Options'!$W$2:$W$4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All_Questions_Data_Names">'_Options'!$C$2:$C$6</definedName>
    <definedName name="All_Questions_Options_Names">'_Options'!$D$2:$D$6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'_RawData'!$T$2:$T$11</definedName>
    <definedName name="All_Questions_Q_MS_EXPORT_CT">'All Questions'!$C$24</definedName>
    <definedName name="All_Questions_Q_NUM_EXPORT_F_Q">'All Questions'!$C$34</definedName>
    <definedName name="All_Questions_Q_NUM_EXPORT_F_V">'All Questions'!$E$34</definedName>
    <definedName name="All_Questions_Q_NUM_EXPORT_F_resolved_column">'All Questions'!$F$34</definedName>
    <definedName name="All_Questions_Q_NUM_EXPORT_F_wrapped">'All Questions'!$G$34</definedName>
    <definedName name="All_Questions_Q_NUM_EXPORT_F_passes_per_q_filter_data">'_RawData'!$U$2:$U$11</definedName>
    <definedName name="All_Questions_Q_NUM_EXPORT_CT">'All Questions'!$C$35</definedName>
    <definedName name="All_Questions_Q_GRID_EXPORT_F_Q">'All Questions'!$C$46</definedName>
    <definedName name="All_Questions_Q_GRID_EXPORT_F_V">'All Questions'!$E$46</definedName>
    <definedName name="All_Questions_Q_GRID_EXPORT_F_resolved_column">'All Questions'!$F$46</definedName>
    <definedName name="All_Questions_Q_GRID_EXPORT_F_wrapped">'All Questions'!$G$46</definedName>
    <definedName name="All_Questions_Q_GRID_EXPORT_F_passes_per_q_filter_data">'_RawData'!$V$2:$V$11</definedName>
    <definedName name="All_Questions_Q_GRID_EXPORT_CT">'All Questions'!$C$47</definedName>
    <definedName name="All_Questions_Q_VERY_LONG_SINGLE_SELECT_EXPORT_NAME_F_Q">'All Questions'!$C$57</definedName>
    <definedName name="All_Questions_Q_VERY_LONG_SINGLE_SELECT_EXPORT_NAME_F_V">'All Questions'!$E$57</definedName>
    <definedName name="All_Questions_Q_VERY_LONG_SINGLE_SELECT_EXPORT_NAME_F_resolved_column">'All Questions'!$F$57</definedName>
    <definedName name="All_Questions_Q_VERY_LONG_SINGLE_SELECT_EXPORT_NAME_F_wrapped">'All Questions'!$G$57</definedName>
    <definedName name="All_Questions_Q_VERY_LONG_SINGLE_SELECT_EXPORT_NAME_F_passes_per_q_filter_data">'_RawData'!$W$2:$W$11</definedName>
    <definedName name="All_Questions_Q_VERY_LONG_SINGLE_SELECT_EXPORT_NAME_CT">'All Questions'!$C$58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3" i="7"/>
  <c r="G23" i="7"/>
  <c r="G26" i="7"/>
  <c r="H26" i="7"/>
  <c r="I26" i="7"/>
  <c r="J26" i="7"/>
  <c r="K26" i="7"/>
  <c r="L26" i="7"/>
  <c r="M26" i="7"/>
  <c r="N26" i="7"/>
  <c r="O26" i="7"/>
  <c r="P26" i="7"/>
  <c r="Q26" i="7"/>
  <c r="R26" i="7"/>
  <c r="B27" i="7"/>
  <c r="C27" i="7"/>
  <c r="D27" i="7"/>
  <c r="B28" i="7"/>
  <c r="C28" i="7"/>
  <c r="D28" i="7"/>
  <c r="G28" i="7"/>
  <c r="H28" i="7"/>
  <c r="I28" i="7"/>
  <c r="J28" i="7"/>
  <c r="K28" i="7"/>
  <c r="L28" i="7"/>
  <c r="M28" i="7"/>
  <c r="N28" i="7"/>
  <c r="O28" i="7"/>
  <c r="P28" i="7"/>
  <c r="Q28" i="7"/>
  <c r="R28" i="7"/>
  <c r="S28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S30" i="7"/>
  <c r="F34" i="7"/>
  <c r="G34" i="7"/>
  <c r="B38" i="7"/>
  <c r="D38" i="7"/>
  <c r="B39" i="7"/>
  <c r="D39" i="7"/>
  <c r="B40" i="7"/>
  <c r="D40" i="7"/>
  <c r="D41" i="7"/>
  <c r="F46" i="7"/>
  <c r="G46" i="7"/>
  <c r="G49" i="7"/>
  <c r="H49" i="7"/>
  <c r="I49" i="7"/>
  <c r="J49" i="7"/>
  <c r="K49" i="7"/>
  <c r="L49" i="7"/>
  <c r="M49" i="7"/>
  <c r="N49" i="7"/>
  <c r="O49" i="7"/>
  <c r="P49" i="7"/>
  <c r="Q49" i="7"/>
  <c r="R49" i="7"/>
  <c r="B50" i="7"/>
  <c r="C50" i="7"/>
  <c r="D50" i="7"/>
  <c r="B51" i="7"/>
  <c r="C51" i="7"/>
  <c r="D51" i="7"/>
  <c r="G51" i="7"/>
  <c r="H51" i="7"/>
  <c r="I51" i="7"/>
  <c r="J51" i="7"/>
  <c r="K51" i="7"/>
  <c r="L51" i="7"/>
  <c r="M51" i="7"/>
  <c r="N51" i="7"/>
  <c r="O51" i="7"/>
  <c r="P51" i="7"/>
  <c r="Q51" i="7"/>
  <c r="R51" i="7"/>
  <c r="S51" i="7"/>
  <c r="G52" i="7"/>
  <c r="H52" i="7"/>
  <c r="I52" i="7"/>
  <c r="J52" i="7"/>
  <c r="K52" i="7"/>
  <c r="L52" i="7"/>
  <c r="M52" i="7"/>
  <c r="N52" i="7"/>
  <c r="O52" i="7"/>
  <c r="P52" i="7"/>
  <c r="Q52" i="7"/>
  <c r="R52" i="7"/>
  <c r="S52" i="7"/>
  <c r="S53" i="7"/>
  <c r="F57" i="7"/>
  <c r="G57" i="7"/>
  <c r="G60" i="7"/>
  <c r="H60" i="7"/>
  <c r="I60" i="7"/>
  <c r="J60" i="7"/>
  <c r="K60" i="7"/>
  <c r="L60" i="7"/>
  <c r="M60" i="7"/>
  <c r="N60" i="7"/>
  <c r="O60" i="7"/>
  <c r="P60" i="7"/>
  <c r="Q60" i="7"/>
  <c r="R60" i="7"/>
  <c r="B61" i="7"/>
  <c r="C61" i="7"/>
  <c r="D61" i="7"/>
  <c r="B62" i="7"/>
  <c r="C62" i="7"/>
  <c r="D62" i="7"/>
  <c r="G62" i="7"/>
  <c r="H62" i="7"/>
  <c r="I62" i="7"/>
  <c r="J62" i="7"/>
  <c r="K62" i="7"/>
  <c r="L62" i="7"/>
  <c r="M62" i="7"/>
  <c r="N62" i="7"/>
  <c r="O62" i="7"/>
  <c r="P62" i="7"/>
  <c r="Q62" i="7"/>
  <c r="R62" i="7"/>
  <c r="S62" i="7"/>
  <c r="G63" i="7"/>
  <c r="H63" i="7"/>
  <c r="I63" i="7"/>
  <c r="J63" i="7"/>
  <c r="K63" i="7"/>
  <c r="L63" i="7"/>
  <c r="M63" i="7"/>
  <c r="N63" i="7"/>
  <c r="O63" i="7"/>
  <c r="P63" i="7"/>
  <c r="Q63" i="7"/>
  <c r="R63" i="7"/>
  <c r="S63" i="7"/>
  <c r="S64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30" headerRowCount="1">
  <autoFilter ref="A26:D30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7_1" displayName="T_All_Questions_37_1" ref="A37:D41" headerRowCount="1">
  <autoFilter ref="A37:D41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9_1" displayName="T_All_Questions_49_1" ref="A49:D53" headerRowCount="1">
  <autoFilter ref="A49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60_1" displayName="T_All_Questions_60_1" ref="A60:D63" headerRowCount="1">
  <autoFilter ref="A60:D6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</row>
    <row r="4">
      <c r="A4" t="inlineStr">
        <is>
          <t>Q_VERY_LONG_SINGLE_SELECT_EXPORT_NAME - Long Sheet Name Export Question</t>
        </is>
      </c>
      <c r="B4" t="inlineStr">
        <is>
          <t>Q_SS_EXPORT - Single Select Export Question</t>
        </is>
      </c>
      <c r="C4" t="inlineStr">
        <is>
          <t>'_RawData'!$H$2:$H$11</t>
        </is>
      </c>
      <c r="D4" t="inlineStr">
        <is>
          <t>'_Options'!$L$2:$L$4</t>
        </is>
      </c>
      <c r="F4" t="inlineStr">
        <is>
          <t>No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Selected</t>
        </is>
      </c>
      <c r="W4" t="inlineStr">
        <is>
          <t>Selected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</row>
    <row r="5">
      <c r="A5" t="inlineStr">
        <is>
          <t>Q_SEG_1 - Segment</t>
        </is>
      </c>
      <c r="B5" t="inlineStr">
        <is>
          <t>Q_VERY_LONG_SINGLE_SELECT_EXPORT_NAME - Long Sheet Name Export Question</t>
        </is>
      </c>
      <c r="C5" t="inlineStr">
        <is>
          <t>'_RawData'!$I$2:$I$11</t>
        </is>
      </c>
      <c r="D5" t="inlineStr">
        <is>
          <t>'_Options'!$M$2:$M$5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</row>
    <row r="6">
      <c r="A6" t="inlineStr">
        <is>
          <t>Q_TGT_1 - Target Categorical</t>
        </is>
      </c>
      <c r="B6" t="inlineStr">
        <is>
          <t>Q_SEG_1 - Segment</t>
        </is>
      </c>
      <c r="C6" t="inlineStr">
        <is>
          <t>'_RawData'!$J$2:$J$11</t>
        </is>
      </c>
      <c r="D6" t="inlineStr">
        <is>
          <t>'_Options'!$N$2:$N$6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</row>
    <row r="7">
      <c r="B7" t="inlineStr">
        <is>
          <t>Q_TGT_1 - Target Categorical</t>
        </is>
      </c>
      <c r="Z7" t="inlineStr">
        <is>
          <t>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6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IFERROR(INDEX(All_Questions_Data_Names,MATCH(All_Questions_Q_SS_EXPORT_F_Q,All_Questions,0)),"'_RawData'!$A:$A")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IF(All_Questions_Q_SS_EXPORT_CT="(None)","",IFERROR(INDEX(INDIRECT(IFERROR(INDEX(All_Questions_Options_Names,MATCH(All_Questions_Q_SS_EXPORT_CT,All_Questions,0)),"'_Options'!$E$2:$E$2")),2),""))</f>
        <v/>
      </c>
      <c r="H16" s="2" t="str">
        <f>IF(All_Questions_Q_SS_EXPORT_CT="(None)","",IFERROR(INDEX(INDIRECT(IFERROR(INDEX(All_Questions_Options_Names,MATCH(All_Questions_Q_SS_EXPORT_CT,All_Questions,0)),"'_Options'!$E$2:$E$2")),3),""))</f>
        <v/>
      </c>
      <c r="I16" s="2" t="str">
        <f>IF(All_Questions_Q_SS_EXPORT_CT="(None)","",IFERROR(INDEX(INDIRECT(IFERROR(INDEX(All_Questions_Options_Names,MATCH(All_Questions_Q_SS_EXPORT_CT,All_Questions,0)),"'_Options'!$E$2:$E$2")),4),""))</f>
        <v/>
      </c>
      <c r="J16" s="2" t="str">
        <f>IF(All_Questions_Q_SS_EXPORT_CT="(None)","",IFERROR(INDEX(INDIRECT(IFERROR(INDEX(All_Questions_Options_Names,MATCH(All_Questions_Q_SS_EXPORT_CT,All_Questions,0)),"'_Options'!$E$2:$E$2")),5),""))</f>
        <v/>
      </c>
      <c r="K16" s="2" t="str">
        <f>IF(All_Questions_Q_SS_EXPORT_CT="(None)","",IFERROR(INDEX(INDIRECT(IFERROR(INDEX(All_Questions_Options_Names,MATCH(All_Questions_Q_SS_EXPORT_CT,All_Questions,0)),"'_Options'!$E$2:$E$2")),6),""))</f>
        <v/>
      </c>
      <c r="L16" s="2" t="str">
        <f>IF(All_Questions_Q_SS_EXPORT_CT="(None)","",IFERROR(INDEX(INDIRECT(IFERROR(INDEX(All_Questions_Options_Names,MATCH(All_Questions_Q_SS_EXPORT_CT,All_Questions,0)),"'_Options'!$E$2:$E$2")),7),""))</f>
        <v/>
      </c>
      <c r="M16" s="2" t="str">
        <f>IF(All_Questions_Q_SS_EXPORT_CT="(None)","",IFERROR(INDEX(INDIRECT(IFERROR(INDEX(All_Questions_Options_Names,MATCH(All_Questions_Q_SS_EXPORT_CT,All_Questions,0)),"'_Options'!$E$2:$E$2")),8),""))</f>
        <v/>
      </c>
      <c r="N16" s="2" t="str">
        <f>IF(All_Questions_Q_SS_EXPORT_CT="(None)","",IFERROR(INDEX(INDIRECT(IFERROR(INDEX(All_Questions_Options_Names,MATCH(All_Questions_Q_SS_EXPORT_CT,All_Questions,0)),"'_Options'!$E$2:$E$2")),9),""))</f>
        <v/>
      </c>
      <c r="O16" s="2" t="str">
        <f>IF(All_Questions_Q_SS_EXPORT_CT="(None)","",IFERROR(INDEX(INDIRECT(IFERROR(INDEX(All_Questions_Options_Names,MATCH(All_Questions_Q_SS_EXPORT_CT,All_Questions,0)),"'_Options'!$E$2:$E$2")),10),""))</f>
        <v/>
      </c>
      <c r="P16" s="2" t="str">
        <f>IF(All_Questions_Q_SS_EXPORT_CT="(None)","",IFERROR(INDEX(INDIRECT(IFERROR(INDEX(All_Questions_Options_Names,MATCH(All_Questions_Q_SS_EXPORT_CT,All_Questions,0)),"'_Options'!$E$2:$E$2")),11),""))</f>
        <v/>
      </c>
      <c r="Q16" s="2" t="str">
        <f>IF(All_Questions_Q_SS_EXPORT_CT="(None)","",IFERROR(INDEX(INDIRECT(IFERROR(INDEX(All_Questions_Options_Names,MATCH(All_Questions_Q_SS_EXPORT_CT,All_Questions,0)),"'_Options'!$E$2:$E$2")),12),""))</f>
        <v/>
      </c>
      <c r="R16" s="2" t="str">
        <f>IF(All_Questions_Q_SS_EXPORT_CT="(None)","",IF(COUNTA(INDIRECT(IFERROR(INDEX(All_Questions_Options_Names,MATCH(All_Questions_Q_SS_EXPORT_CT,All_Questions,0)),"'_Options'!$E$2:$E$2")))-1&gt;11,"Other",IFERROR(INDEX(INDIRECT(IFERROR(INDEX(All_Questions_Options_Names,MATCH(All_Questions_Q_SS_EXPORT_CT,All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8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8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8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8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8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8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8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8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8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8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8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8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G$16))</f>
        <v>0</v>
      </c>
      <c r="H19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H$16))</f>
        <v>0</v>
      </c>
      <c r="I19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I$16))</f>
        <v>0</v>
      </c>
      <c r="J19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J$16))</f>
        <v>0</v>
      </c>
      <c r="K19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K$16))</f>
        <v>0</v>
      </c>
      <c r="L19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L$16))</f>
        <v>0</v>
      </c>
      <c r="M19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M$16))</f>
        <v>0</v>
      </c>
      <c r="N19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N$16))</f>
        <v>0</v>
      </c>
      <c r="O19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O$16))</f>
        <v>0</v>
      </c>
      <c r="P19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P$16))</f>
        <v>0</v>
      </c>
      <c r="Q19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Q$16))</f>
        <v>0</v>
      </c>
      <c r="R19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All_Questions_Data_Names,MATCH(All_Questions_Q_SS_EXPORT_CT,All_Questions,0)),"'_RawData'!$A:$A")),R$16)))</f>
        <v>0</v>
      </c>
      <c r="S19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Q_MS_EXPORT - Multi select export question</t>
        </is>
      </c>
      <c r="B22" s="12" t="n"/>
      <c r="C22" s="12" t="n"/>
      <c r="D22" s="12" t="n"/>
      <c r="E22" s="12" t="n"/>
      <c r="F22" s="12" t="n"/>
      <c r="G22" s="12" t="n"/>
      <c r="H22" s="12" t="n"/>
      <c r="I22" s="12" t="n"/>
      <c r="J22" s="12" t="n"/>
      <c r="K22" s="12" t="n"/>
      <c r="L22" s="12" t="n"/>
      <c r="M22" s="12" t="n"/>
      <c r="N22" s="12" t="n"/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IFERROR(INDEX(All_Questions_Data_Names,MATCH(All_Questions_Q_MS_EXPORT_F_Q,All_Questions,0)),"'_RawData'!$A:$A")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4" t="inlineStr">
        <is>
          <t>Option</t>
        </is>
      </c>
      <c r="G26" s="2" t="str">
        <f>IF(All_Questions_Q_MS_EXPORT_CT="(None)","",IFERROR(INDEX(INDIRECT(IFERROR(INDEX(All_Questions_Options_Names,MATCH(All_Questions_Q_MS_EXPORT_CT,All_Questions,0)),"'_Options'!$E$2:$E$2")),2),""))</f>
        <v/>
      </c>
      <c r="H26" s="2" t="str">
        <f>IF(All_Questions_Q_MS_EXPORT_CT="(None)","",IFERROR(INDEX(INDIRECT(IFERROR(INDEX(All_Questions_Options_Names,MATCH(All_Questions_Q_MS_EXPORT_CT,All_Questions,0)),"'_Options'!$E$2:$E$2")),3),""))</f>
        <v/>
      </c>
      <c r="I26" s="2" t="str">
        <f>IF(All_Questions_Q_MS_EXPORT_CT="(None)","",IFERROR(INDEX(INDIRECT(IFERROR(INDEX(All_Questions_Options_Names,MATCH(All_Questions_Q_MS_EXPORT_CT,All_Questions,0)),"'_Options'!$E$2:$E$2")),4),""))</f>
        <v/>
      </c>
      <c r="J26" s="2" t="str">
        <f>IF(All_Questions_Q_MS_EXPORT_CT="(None)","",IFERROR(INDEX(INDIRECT(IFERROR(INDEX(All_Questions_Options_Names,MATCH(All_Questions_Q_MS_EXPORT_CT,All_Questions,0)),"'_Options'!$E$2:$E$2")),5),""))</f>
        <v/>
      </c>
      <c r="K26" s="2" t="str">
        <f>IF(All_Questions_Q_MS_EXPORT_CT="(None)","",IFERROR(INDEX(INDIRECT(IFERROR(INDEX(All_Questions_Options_Names,MATCH(All_Questions_Q_MS_EXPORT_CT,All_Questions,0)),"'_Options'!$E$2:$E$2")),6),""))</f>
        <v/>
      </c>
      <c r="L26" s="2" t="str">
        <f>IF(All_Questions_Q_MS_EXPORT_CT="(None)","",IFERROR(INDEX(INDIRECT(IFERROR(INDEX(All_Questions_Options_Names,MATCH(All_Questions_Q_MS_EXPORT_CT,All_Questions,0)),"'_Options'!$E$2:$E$2")),7),""))</f>
        <v/>
      </c>
      <c r="M26" s="2" t="str">
        <f>IF(All_Questions_Q_MS_EXPORT_CT="(None)","",IFERROR(INDEX(INDIRECT(IFERROR(INDEX(All_Questions_Options_Names,MATCH(All_Questions_Q_MS_EXPORT_CT,All_Questions,0)),"'_Options'!$E$2:$E$2")),8),""))</f>
        <v/>
      </c>
      <c r="N26" s="2" t="str">
        <f>IF(All_Questions_Q_MS_EXPORT_CT="(None)","",IFERROR(INDEX(INDIRECT(IFERROR(INDEX(All_Questions_Options_Names,MATCH(All_Questions_Q_MS_EXPORT_CT,All_Questions,0)),"'_Options'!$E$2:$E$2")),9),""))</f>
        <v/>
      </c>
      <c r="O26" s="2" t="str">
        <f>IF(All_Questions_Q_MS_EXPORT_CT="(None)","",IFERROR(INDEX(INDIRECT(IFERROR(INDEX(All_Questions_Options_Names,MATCH(All_Questions_Q_MS_EXPORT_CT,All_Questions,0)),"'_Options'!$E$2:$E$2")),10),""))</f>
        <v/>
      </c>
      <c r="P26" s="2" t="str">
        <f>IF(All_Questions_Q_MS_EXPORT_CT="(None)","",IFERROR(INDEX(INDIRECT(IFERROR(INDEX(All_Questions_Options_Names,MATCH(All_Questions_Q_MS_EXPORT_CT,All_Questions,0)),"'_Options'!$E$2:$E$2")),11),""))</f>
        <v/>
      </c>
      <c r="Q26" s="2" t="str">
        <f>IF(All_Questions_Q_MS_EXPORT_CT="(None)","",IFERROR(INDEX(INDIRECT(IFERROR(INDEX(All_Questions_Options_Names,MATCH(All_Questions_Q_MS_EXPORT_CT,All_Questions,0)),"'_Options'!$E$2:$E$2")),12),""))</f>
        <v/>
      </c>
      <c r="R26" s="2" t="str">
        <f>IF(All_Questions_Q_MS_EXPORT_CT="(None)","",IF(COUNTA(INDIRECT(IFERROR(INDEX(All_Questions_Options_Names,MATCH(All_Questions_Q_MS_EXPORT_CT,All_Questions,0)),"'_Options'!$E$2:$E$2")))-1&gt;11,"Other",IFERROR(INDEX(INDIRECT(IFERROR(INDEX(All_Questions_Options_Names,MATCH(All_Questions_Q_MS_EXPORT_CT,All_Questions,0)),"'_Options'!$E$2:$E$2")),13),"")))</f>
        <v/>
      </c>
      <c r="S26" s="4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s="4" t="inlineStr"/>
      <c r="G27" s="4" t="inlineStr">
        <is>
          <t># of resp</t>
        </is>
      </c>
      <c r="H27" s="4" t="inlineStr">
        <is>
          <t># of resp</t>
        </is>
      </c>
      <c r="I27" s="4" t="inlineStr">
        <is>
          <t># of resp</t>
        </is>
      </c>
      <c r="J27" s="4" t="inlineStr">
        <is>
          <t># of resp</t>
        </is>
      </c>
      <c r="K27" s="4" t="inlineStr">
        <is>
          <t># of resp</t>
        </is>
      </c>
      <c r="L27" s="4" t="inlineStr">
        <is>
          <t># of resp</t>
        </is>
      </c>
      <c r="M27" s="4" t="inlineStr">
        <is>
          <t># of resp</t>
        </is>
      </c>
      <c r="N27" s="4" t="inlineStr">
        <is>
          <t># of resp</t>
        </is>
      </c>
      <c r="O27" s="4" t="inlineStr">
        <is>
          <t># of resp</t>
        </is>
      </c>
      <c r="P27" s="4" t="inlineStr">
        <is>
          <t># of resp</t>
        </is>
      </c>
      <c r="Q27" s="4" t="inlineStr">
        <is>
          <t># of resp</t>
        </is>
      </c>
      <c r="R27" s="4" t="inlineStr">
        <is>
          <t># of resp</t>
        </is>
      </c>
      <c r="S27" s="4" t="inlineStr">
        <is>
          <t># of resp</t>
        </is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First</t>
        </is>
      </c>
      <c r="G28">
        <f>IF(OR(All_Questions_Q_MS_EXPORT_CT="(None)",G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8">
        <f>IF(OR(All_Questions_Q_MS_EXPORT_CT="(None)",H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8">
        <f>IF(OR(All_Questions_Q_MS_EXPORT_CT="(None)",I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8">
        <f>IF(OR(All_Questions_Q_MS_EXPORT_CT="(None)",J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8">
        <f>IF(OR(All_Questions_Q_MS_EXPORT_CT="(None)",K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8">
        <f>IF(OR(All_Questions_Q_MS_EXPORT_CT="(None)",L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8">
        <f>IF(OR(All_Questions_Q_MS_EXPORT_CT="(None)",M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8">
        <f>IF(OR(All_Questions_Q_MS_EXPORT_CT="(None)",N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8">
        <f>IF(OR(All_Questions_Q_MS_EXPORT_CT="(None)",O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8">
        <f>IF(OR(All_Questions_Q_MS_EXPORT_CT="(None)",P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8">
        <f>IF(OR(All_Questions_Q_MS_EXPORT_CT="(None)",Q$26=""),""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8">
        <f>IF(OR(All_Questions_Q_MS_EXPORT_CT="(None)",R$26=""),"",IF(R$26="Other",COUNTIFS(Q_MS_EXPORTr1_data,"Selected",passes_workbook_filters_data,1,passes_workbook_custom_filters_data,1,All_Questions_passes_local_filters_data,1,All_Questions_Q_MS_EXPORT_F_passes_per_q_filter_data,1)-SUM(G28,H28,I28,J28,K28,L28,M28,N28,O28,P28,Q28),COUNTIFS(Q_MS_EXPORTr1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8">
        <f>IF(All_Questions_Q_MS_EXPORT_CT="(None)","",COUNTIFS(Q_MS_EXPORTr1_data,"Selected",passes_workbook_filters_data,1,passes_workbook_custom_filters_data,1,All_Questions_passes_local_filters_data,1,All_Questions_Q_MS_EXPORT_F_passes_per_q_filter_data,1))</f>
        <v>0</v>
      </c>
    </row>
    <row r="29">
      <c r="A29" s="15" t="inlineStr">
        <is>
          <t>Total respondents</t>
        </is>
      </c>
      <c r="B29" s="15" t="n">
        <v>10</v>
      </c>
      <c r="C29" s="15" t="n"/>
      <c r="D29" s="15" t="n"/>
      <c r="F29" t="inlineStr">
        <is>
          <t>Second</t>
        </is>
      </c>
      <c r="G29">
        <f>IF(OR(All_Questions_Q_MS_EXPORT_CT="(None)",G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G$26))</f>
        <v>0</v>
      </c>
      <c r="H29">
        <f>IF(OR(All_Questions_Q_MS_EXPORT_CT="(None)",H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H$26))</f>
        <v>0</v>
      </c>
      <c r="I29">
        <f>IF(OR(All_Questions_Q_MS_EXPORT_CT="(None)",I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I$26))</f>
        <v>0</v>
      </c>
      <c r="J29">
        <f>IF(OR(All_Questions_Q_MS_EXPORT_CT="(None)",J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J$26))</f>
        <v>0</v>
      </c>
      <c r="K29">
        <f>IF(OR(All_Questions_Q_MS_EXPORT_CT="(None)",K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K$26))</f>
        <v>0</v>
      </c>
      <c r="L29">
        <f>IF(OR(All_Questions_Q_MS_EXPORT_CT="(None)",L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L$26))</f>
        <v>0</v>
      </c>
      <c r="M29">
        <f>IF(OR(All_Questions_Q_MS_EXPORT_CT="(None)",M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M$26))</f>
        <v>0</v>
      </c>
      <c r="N29">
        <f>IF(OR(All_Questions_Q_MS_EXPORT_CT="(None)",N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N$26))</f>
        <v>0</v>
      </c>
      <c r="O29">
        <f>IF(OR(All_Questions_Q_MS_EXPORT_CT="(None)",O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O$26))</f>
        <v>0</v>
      </c>
      <c r="P29">
        <f>IF(OR(All_Questions_Q_MS_EXPORT_CT="(None)",P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P$26))</f>
        <v>0</v>
      </c>
      <c r="Q29">
        <f>IF(OR(All_Questions_Q_MS_EXPORT_CT="(None)",Q$26=""),""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Q$26))</f>
        <v>0</v>
      </c>
      <c r="R29">
        <f>IF(OR(All_Questions_Q_MS_EXPORT_CT="(None)",R$26=""),"",IF(R$26="Other",COUNTIFS(Q_MS_EXPORTr2_data,"Selected",passes_workbook_filters_data,1,passes_workbook_custom_filters_data,1,All_Questions_passes_local_filters_data,1,All_Questions_Q_MS_EXPORT_F_passes_per_q_filter_data,1)-SUM(G29,H29,I29,J29,K29,L29,M29,N29,O29,P29,Q29),COUNTIFS(Q_MS_EXPORTr2_data,"Selected",passes_workbook_filters_data,1,passes_workbook_custom_filters_data,1,All_Questions_passes_local_filters_data,1,All_Questions_Q_MS_EXPORT_F_passes_per_q_filter_data,1,INDIRECT(IFERROR(INDEX(All_Questions_Data_Names,MATCH(All_Questions_Q_MS_EXPORT_CT,All_Questions,0)),"'_RawData'!$A:$A")),R$26)))</f>
        <v>0</v>
      </c>
      <c r="S29">
        <f>IF(All_Questions_Q_MS_EXPORT_CT="(None)","",COUNTIFS(Q_MS_EXPORTr2_data,"Selected",passes_workbook_filters_data,1,passes_workbook_custom_filters_data,1,All_Questions_passes_local_filters_data,1,All_Questions_Q_MS_EXPORT_F_passes_per_q_filter_data,1))</f>
        <v>0</v>
      </c>
    </row>
    <row r="30">
      <c r="A30" s="4" t="inlineStr">
        <is>
          <t>Total responses</t>
        </is>
      </c>
      <c r="B30" s="4" t="n">
        <v>7</v>
      </c>
      <c r="C30" s="4" t="n"/>
      <c r="D30" s="4" t="n"/>
      <c r="F30" s="4" t="inlineStr">
        <is>
          <t>Total respondents</t>
        </is>
      </c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  <c r="Q30" s="2" t="n"/>
      <c r="R30" s="2" t="n"/>
      <c r="S30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>
      <c r="A32" s="11" t="n"/>
      <c r="B32" s="11" t="n"/>
      <c r="C32" s="11" t="n"/>
      <c r="D32" s="11" t="n"/>
      <c r="E32" s="11" t="n"/>
      <c r="F32" s="11" t="n"/>
      <c r="G32" s="11" t="n"/>
      <c r="H32" s="11" t="n"/>
      <c r="I32" s="11" t="n"/>
      <c r="J32" s="11" t="n"/>
    </row>
    <row r="33">
      <c r="A33" s="12" t="inlineStr">
        <is>
          <t>Q_NUM_EXPORT - Numeric export question</t>
        </is>
      </c>
      <c r="B33" s="12" t="n"/>
      <c r="C33" s="12" t="n"/>
      <c r="D33" s="12" t="n"/>
      <c r="E33" s="12" t="n"/>
      <c r="F33" s="12" t="n"/>
      <c r="G33" s="12" t="n"/>
      <c r="H33" s="12" t="n"/>
      <c r="I33" s="12" t="n"/>
      <c r="J33" s="12" t="n"/>
      <c r="K33" s="12" t="n"/>
      <c r="L33" s="12" t="n"/>
      <c r="M33" s="12" t="n"/>
      <c r="N33" s="12" t="n"/>
    </row>
    <row r="34">
      <c r="A34" s="13" t="inlineStr">
        <is>
          <t>Per-question filter</t>
        </is>
      </c>
      <c r="B34" t="inlineStr">
        <is>
          <t>Filter Q</t>
        </is>
      </c>
      <c r="C34" t="inlineStr">
        <is>
          <t>(None)</t>
        </is>
      </c>
      <c r="D34" t="inlineStr">
        <is>
          <t>Value</t>
        </is>
      </c>
      <c r="E34" t="inlineStr">
        <is>
          <t>(All)</t>
        </is>
      </c>
      <c r="F34" t="str">
        <f>IFERROR(INDEX(All_Questions_Data_Names,MATCH(All_Questions_Q_NUM_EXPORT_F_Q,All_Questions,0)),"'_RawData'!$A:$A")</f>
        <v>respondent_id_data</v>
      </c>
      <c r="G34" t="str">
        <f>"|" &amp; SUBSTITUTE(All_Questions_Q_NUM_EXPORT_F_V, ", ", "|") &amp; "|"</f>
        <v>|(All)|</v>
      </c>
    </row>
    <row r="35">
      <c r="A35" s="13" t="inlineStr">
        <is>
          <t>Cross-tab by</t>
        </is>
      </c>
      <c r="C35" t="inlineStr">
        <is>
          <t>(None)</t>
        </is>
      </c>
    </row>
    <row r="37">
      <c r="A37" s="4" t="inlineStr">
        <is>
          <t>Metric</t>
        </is>
      </c>
      <c r="B37" s="4" t="inlineStr">
        <is>
          <t>Value</t>
        </is>
      </c>
      <c r="C37" s="4" t="inlineStr">
        <is>
          <t>Note</t>
        </is>
      </c>
      <c r="D37" s="4" t="inlineStr">
        <is>
          <t>Denominator</t>
        </is>
      </c>
    </row>
    <row r="38">
      <c r="A38" t="inlineStr">
        <is>
          <t>Mean</t>
        </is>
      </c>
      <c r="B38">
        <f>IFERROR(AVERAGEIFS(Q_NUM_EXPORT_data,passes_workbook_filters_data,1,passes_workbook_custom_filters_data,1,All_Questions_passes_local_filters_data,1,All_Questions_Q_NUM_EXPORT_F_passes_per_q_filter_data,1),0)</f>
        <v>5.5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Min</t>
        </is>
      </c>
      <c r="B39">
        <f>IFERROR(MINIFS(Q_NUM_EXPORT_data,passes_workbook_filters_data,1,passes_workbook_custom_filters_data,1,All_Questions_passes_local_filters_data,1,All_Questions_Q_NUM_EXPORT_F_passes_per_q_filter_data,1),0)</f>
        <v>1.0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Max</t>
        </is>
      </c>
      <c r="B40">
        <f>IFERROR(MAXIFS(Q_NUM_EXPORT_data,passes_workbook_filters_data,1,passes_workbook_custom_filters_data,1,All_Questions_passes_local_filters_data,1,All_Questions_Q_NUM_EXPORT_F_passes_per_q_filter_data,1),0)</f>
        <v>10.0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Std</t>
        </is>
      </c>
      <c r="B41" t="n">
        <v>2.9</v>
      </c>
      <c r="C41" t="inlineStr">
        <is>
          <t>static baseline</t>
        </is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s="10" t="inlineStr">
        <is>
          <t>Median not available in filtered view - see static baseline in audit log.</t>
        </is>
      </c>
    </row>
    <row r="44">
      <c r="A44" s="11" t="n"/>
      <c r="B44" s="11" t="n"/>
      <c r="C44" s="11" t="n"/>
      <c r="D44" s="11" t="n"/>
      <c r="E44" s="11" t="n"/>
      <c r="F44" s="11" t="n"/>
      <c r="G44" s="11" t="n"/>
      <c r="H44" s="11" t="n"/>
      <c r="I44" s="11" t="n"/>
      <c r="J44" s="11" t="n"/>
    </row>
    <row r="45">
      <c r="A45" s="12" t="inlineStr">
        <is>
          <t>Q_GRID_EXPORT - Grid export question</t>
        </is>
      </c>
      <c r="B45" s="12" t="n"/>
      <c r="C45" s="12" t="n"/>
      <c r="D45" s="12" t="n"/>
      <c r="E45" s="12" t="n"/>
      <c r="F45" s="12" t="n"/>
      <c r="G45" s="12" t="n"/>
      <c r="H45" s="12" t="n"/>
      <c r="I45" s="12" t="n"/>
      <c r="J45" s="12" t="n"/>
      <c r="K45" s="12" t="n"/>
      <c r="L45" s="12" t="n"/>
      <c r="M45" s="12" t="n"/>
      <c r="N45" s="12" t="n"/>
    </row>
    <row r="46">
      <c r="A46" s="13" t="inlineStr">
        <is>
          <t>Per-question filter</t>
        </is>
      </c>
      <c r="B46" t="inlineStr">
        <is>
          <t>Filter Q</t>
        </is>
      </c>
      <c r="C46" t="inlineStr">
        <is>
          <t>(None)</t>
        </is>
      </c>
      <c r="D46" t="inlineStr">
        <is>
          <t>Value</t>
        </is>
      </c>
      <c r="E46" t="inlineStr">
        <is>
          <t>(All)</t>
        </is>
      </c>
      <c r="F46" t="str">
        <f>IFERROR(INDEX(All_Questions_Data_Names,MATCH(All_Questions_Q_GRID_EXPORT_F_Q,All_Questions,0)),"'_RawData'!$A:$A")</f>
        <v>respondent_id_data</v>
      </c>
      <c r="G46" t="str">
        <f>"|" &amp; SUBSTITUTE(All_Questions_Q_GRID_EXPORT_F_V, ", ", "|") &amp; "|"</f>
        <v>|(All)|</v>
      </c>
    </row>
    <row r="47">
      <c r="A47" s="13" t="inlineStr">
        <is>
          <t>Cross-tab by</t>
        </is>
      </c>
      <c r="C47" t="inlineStr">
        <is>
          <t>(None)</t>
        </is>
      </c>
    </row>
    <row r="49">
      <c r="A49" s="4" t="inlineStr">
        <is>
          <t>Option</t>
        </is>
      </c>
      <c r="B49" s="4" t="inlineStr">
        <is>
          <t>Count</t>
        </is>
      </c>
      <c r="C49" s="4" t="inlineStr">
        <is>
          <t>%</t>
        </is>
      </c>
      <c r="D49" s="4" t="inlineStr">
        <is>
          <t>Denominator</t>
        </is>
      </c>
      <c r="F49" s="4" t="inlineStr">
        <is>
          <t>Option</t>
        </is>
      </c>
      <c r="G49" s="2" t="str">
        <f>IF(All_Questions_Q_GRID_EXPORT_CT="(None)","",IFERROR(INDEX(INDIRECT(IFERROR(INDEX(All_Questions_Options_Names,MATCH(All_Questions_Q_GRID_EXPORT_CT,All_Questions,0)),"'_Options'!$E$2:$E$2")),2),""))</f>
        <v/>
      </c>
      <c r="H49" s="2" t="str">
        <f>IF(All_Questions_Q_GRID_EXPORT_CT="(None)","",IFERROR(INDEX(INDIRECT(IFERROR(INDEX(All_Questions_Options_Names,MATCH(All_Questions_Q_GRID_EXPORT_CT,All_Questions,0)),"'_Options'!$E$2:$E$2")),3),""))</f>
        <v/>
      </c>
      <c r="I49" s="2" t="str">
        <f>IF(All_Questions_Q_GRID_EXPORT_CT="(None)","",IFERROR(INDEX(INDIRECT(IFERROR(INDEX(All_Questions_Options_Names,MATCH(All_Questions_Q_GRID_EXPORT_CT,All_Questions,0)),"'_Options'!$E$2:$E$2")),4),""))</f>
        <v/>
      </c>
      <c r="J49" s="2" t="str">
        <f>IF(All_Questions_Q_GRID_EXPORT_CT="(None)","",IFERROR(INDEX(INDIRECT(IFERROR(INDEX(All_Questions_Options_Names,MATCH(All_Questions_Q_GRID_EXPORT_CT,All_Questions,0)),"'_Options'!$E$2:$E$2")),5),""))</f>
        <v/>
      </c>
      <c r="K49" s="2" t="str">
        <f>IF(All_Questions_Q_GRID_EXPORT_CT="(None)","",IFERROR(INDEX(INDIRECT(IFERROR(INDEX(All_Questions_Options_Names,MATCH(All_Questions_Q_GRID_EXPORT_CT,All_Questions,0)),"'_Options'!$E$2:$E$2")),6),""))</f>
        <v/>
      </c>
      <c r="L49" s="2" t="str">
        <f>IF(All_Questions_Q_GRID_EXPORT_CT="(None)","",IFERROR(INDEX(INDIRECT(IFERROR(INDEX(All_Questions_Options_Names,MATCH(All_Questions_Q_GRID_EXPORT_CT,All_Questions,0)),"'_Options'!$E$2:$E$2")),7),""))</f>
        <v/>
      </c>
      <c r="M49" s="2" t="str">
        <f>IF(All_Questions_Q_GRID_EXPORT_CT="(None)","",IFERROR(INDEX(INDIRECT(IFERROR(INDEX(All_Questions_Options_Names,MATCH(All_Questions_Q_GRID_EXPORT_CT,All_Questions,0)),"'_Options'!$E$2:$E$2")),8),""))</f>
        <v/>
      </c>
      <c r="N49" s="2" t="str">
        <f>IF(All_Questions_Q_GRID_EXPORT_CT="(None)","",IFERROR(INDEX(INDIRECT(IFERROR(INDEX(All_Questions_Options_Names,MATCH(All_Questions_Q_GRID_EXPORT_CT,All_Questions,0)),"'_Options'!$E$2:$E$2")),9),""))</f>
        <v/>
      </c>
      <c r="O49" s="2" t="str">
        <f>IF(All_Questions_Q_GRID_EXPORT_CT="(None)","",IFERROR(INDEX(INDIRECT(IFERROR(INDEX(All_Questions_Options_Names,MATCH(All_Questions_Q_GRID_EXPORT_CT,All_Questions,0)),"'_Options'!$E$2:$E$2")),10),""))</f>
        <v/>
      </c>
      <c r="P49" s="2" t="str">
        <f>IF(All_Questions_Q_GRID_EXPORT_CT="(None)","",IFERROR(INDEX(INDIRECT(IFERROR(INDEX(All_Questions_Options_Names,MATCH(All_Questions_Q_GRID_EXPORT_CT,All_Questions,0)),"'_Options'!$E$2:$E$2")),11),""))</f>
        <v/>
      </c>
      <c r="Q49" s="2" t="str">
        <f>IF(All_Questions_Q_GRID_EXPORT_CT="(None)","",IFERROR(INDEX(INDIRECT(IFERROR(INDEX(All_Questions_Options_Names,MATCH(All_Questions_Q_GRID_EXPORT_CT,All_Questions,0)),"'_Options'!$E$2:$E$2")),12),""))</f>
        <v/>
      </c>
      <c r="R49" s="2" t="str">
        <f>IF(All_Questions_Q_GRID_EXPORT_CT="(None)","",IF(COUNTA(INDIRECT(IFERROR(INDEX(All_Questions_Options_Names,MATCH(All_Questions_Q_GRID_EXPORT_CT,All_Questions,0)),"'_Options'!$E$2:$E$2")))-1&gt;11,"Other",IFERROR(INDEX(INDIRECT(IFERROR(INDEX(All_Questions_Options_Names,MATCH(All_Questions_Q_GRID_EXPORT_CT,All_Questions,0)),"'_Options'!$E$2:$E$2")),13),"")))</f>
        <v/>
      </c>
      <c r="S49" s="4" t="inlineStr">
        <is>
          <t>Total</t>
        </is>
      </c>
    </row>
    <row r="50">
      <c r="A50" t="inlineStr">
        <is>
          <t>Grid first row</t>
        </is>
      </c>
      <c r="B50">
        <f>COUNTIFS(Q_GRID_EXPORTr1_data,"Selected",passes_workbook_filters_data,1,passes_workbook_custom_filters_data,1,All_Questions_passes_local_filters_data,1,All_Questions_Q_GRID_EXPORT_F_passes_per_q_filter_data,1)</f>
        <v>10</v>
      </c>
      <c r="C50" s="7">
        <f>IFERROR(B50/SUBTOTAL(9,B50:B51),0)</f>
        <v>0.5</v>
      </c>
      <c r="D50" s="14">
        <f>SUBTOTAL(9,B50:B51)</f>
        <v>20</v>
      </c>
      <c r="F50" s="4" t="inlineStr"/>
      <c r="G50" s="4" t="inlineStr">
        <is>
          <t># of resp</t>
        </is>
      </c>
      <c r="H50" s="4" t="inlineStr">
        <is>
          <t># of resp</t>
        </is>
      </c>
      <c r="I50" s="4" t="inlineStr">
        <is>
          <t># of resp</t>
        </is>
      </c>
      <c r="J50" s="4" t="inlineStr">
        <is>
          <t># of resp</t>
        </is>
      </c>
      <c r="K50" s="4" t="inlineStr">
        <is>
          <t># of resp</t>
        </is>
      </c>
      <c r="L50" s="4" t="inlineStr">
        <is>
          <t># of resp</t>
        </is>
      </c>
      <c r="M50" s="4" t="inlineStr">
        <is>
          <t># of resp</t>
        </is>
      </c>
      <c r="N50" s="4" t="inlineStr">
        <is>
          <t># of resp</t>
        </is>
      </c>
      <c r="O50" s="4" t="inlineStr">
        <is>
          <t># of resp</t>
        </is>
      </c>
      <c r="P50" s="4" t="inlineStr">
        <is>
          <t># of resp</t>
        </is>
      </c>
      <c r="Q50" s="4" t="inlineStr">
        <is>
          <t># of resp</t>
        </is>
      </c>
      <c r="R50" s="4" t="inlineStr">
        <is>
          <t># of resp</t>
        </is>
      </c>
      <c r="S50" s="4" t="inlineStr">
        <is>
          <t># of resp</t>
        </is>
      </c>
    </row>
    <row r="51">
      <c r="A51" t="inlineStr">
        <is>
          <t>Grid second row</t>
        </is>
      </c>
      <c r="B51">
        <f>COUNTIFS(Q_GRID_EXPORTr2_data,"Selected",passes_workbook_filters_data,1,passes_workbook_custom_filters_data,1,All_Questions_passes_local_filters_data,1,All_Questions_Q_GRID_EXPORT_F_passes_per_q_filter_data,1)</f>
        <v>10</v>
      </c>
      <c r="C51" s="7">
        <f>IFERROR(B51/SUBTOTAL(9,B50:B51),0)</f>
        <v>0.5</v>
      </c>
      <c r="D51" s="14">
        <f>SUBTOTAL(9,B50:B51)</f>
        <v>20</v>
      </c>
      <c r="F51" t="inlineStr">
        <is>
          <t>Grid first row</t>
        </is>
      </c>
      <c r="G51">
        <f>IF(OR(All_Questions_Q_GRID_EXPORT_CT="(None)",G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1">
        <f>IF(OR(All_Questions_Q_GRID_EXPORT_CT="(None)",H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1">
        <f>IF(OR(All_Questions_Q_GRID_EXPORT_CT="(None)",I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1">
        <f>IF(OR(All_Questions_Q_GRID_EXPORT_CT="(None)",J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1">
        <f>IF(OR(All_Questions_Q_GRID_EXPORT_CT="(None)",K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1">
        <f>IF(OR(All_Questions_Q_GRID_EXPORT_CT="(None)",L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1">
        <f>IF(OR(All_Questions_Q_GRID_EXPORT_CT="(None)",M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1">
        <f>IF(OR(All_Questions_Q_GRID_EXPORT_CT="(None)",N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1">
        <f>IF(OR(All_Questions_Q_GRID_EXPORT_CT="(None)",O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1">
        <f>IF(OR(All_Questions_Q_GRID_EXPORT_CT="(None)",P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1">
        <f>IF(OR(All_Questions_Q_GRID_EXPORT_CT="(None)",Q$49=""),""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1">
        <f>IF(OR(All_Questions_Q_GRID_EXPORT_CT="(None)",R$49=""),"",IF(R$49="Other",COUNTIFS(Q_GRID_EXPORTr1_data,"Selected",passes_workbook_filters_data,1,passes_workbook_custom_filters_data,1,All_Questions_passes_local_filters_data,1,All_Questions_Q_GRID_EXPORT_F_passes_per_q_filter_data,1)-SUM(G51,H51,I51,J51,K51,L51,M51,N51,O51,P51,Q51),COUNTIFS(Q_GRID_EXPORTr1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1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52">
      <c r="A52" s="15" t="inlineStr">
        <is>
          <t>Total respondents</t>
        </is>
      </c>
      <c r="B52" s="15" t="n">
        <v>10</v>
      </c>
      <c r="C52" s="15" t="n"/>
      <c r="D52" s="15" t="n"/>
      <c r="F52" t="inlineStr">
        <is>
          <t>Grid second row</t>
        </is>
      </c>
      <c r="G52">
        <f>IF(OR(All_Questions_Q_GRID_EXPORT_CT="(None)",G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G$49))</f>
        <v>0</v>
      </c>
      <c r="H52">
        <f>IF(OR(All_Questions_Q_GRID_EXPORT_CT="(None)",H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H$49))</f>
        <v>0</v>
      </c>
      <c r="I52">
        <f>IF(OR(All_Questions_Q_GRID_EXPORT_CT="(None)",I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I$49))</f>
        <v>0</v>
      </c>
      <c r="J52">
        <f>IF(OR(All_Questions_Q_GRID_EXPORT_CT="(None)",J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J$49))</f>
        <v>0</v>
      </c>
      <c r="K52">
        <f>IF(OR(All_Questions_Q_GRID_EXPORT_CT="(None)",K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K$49))</f>
        <v>0</v>
      </c>
      <c r="L52">
        <f>IF(OR(All_Questions_Q_GRID_EXPORT_CT="(None)",L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L$49))</f>
        <v>0</v>
      </c>
      <c r="M52">
        <f>IF(OR(All_Questions_Q_GRID_EXPORT_CT="(None)",M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M$49))</f>
        <v>0</v>
      </c>
      <c r="N52">
        <f>IF(OR(All_Questions_Q_GRID_EXPORT_CT="(None)",N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N$49))</f>
        <v>0</v>
      </c>
      <c r="O52">
        <f>IF(OR(All_Questions_Q_GRID_EXPORT_CT="(None)",O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O$49))</f>
        <v>0</v>
      </c>
      <c r="P52">
        <f>IF(OR(All_Questions_Q_GRID_EXPORT_CT="(None)",P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P$49))</f>
        <v>0</v>
      </c>
      <c r="Q52">
        <f>IF(OR(All_Questions_Q_GRID_EXPORT_CT="(None)",Q$49=""),""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Q$49))</f>
        <v>0</v>
      </c>
      <c r="R52">
        <f>IF(OR(All_Questions_Q_GRID_EXPORT_CT="(None)",R$49=""),"",IF(R$49="Other",COUNTIFS(Q_GRID_EXPORTr2_data,"Selected",passes_workbook_filters_data,1,passes_workbook_custom_filters_data,1,All_Questions_passes_local_filters_data,1,All_Questions_Q_GRID_EXPORT_F_passes_per_q_filter_data,1)-SUM(G52,H52,I52,J52,K52,L52,M52,N52,O52,P52,Q52),COUNTIFS(Q_GRID_EXPORTr2_data,"Selected",passes_workbook_filters_data,1,passes_workbook_custom_filters_data,1,All_Questions_passes_local_filters_data,1,All_Questions_Q_GRID_EXPORT_F_passes_per_q_filter_data,1,INDIRECT(IFERROR(INDEX(All_Questions_Data_Names,MATCH(All_Questions_Q_GRID_EXPORT_CT,All_Questions,0)),"'_RawData'!$A:$A")),R$49)))</f>
        <v>0</v>
      </c>
      <c r="S52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53">
      <c r="A53" s="4" t="inlineStr">
        <is>
          <t>Total responses</t>
        </is>
      </c>
      <c r="B53" s="4" t="n">
        <v>20</v>
      </c>
      <c r="C53" s="4" t="n"/>
      <c r="D53" s="4" t="n"/>
      <c r="F53" s="4" t="inlineStr">
        <is>
          <t>Total respondents</t>
        </is>
      </c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  <c r="Q53" s="2" t="n"/>
      <c r="R53" s="2" t="n"/>
      <c r="S53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55">
      <c r="A55" s="11" t="n"/>
      <c r="B55" s="11" t="n"/>
      <c r="C55" s="11" t="n"/>
      <c r="D55" s="11" t="n"/>
      <c r="E55" s="11" t="n"/>
      <c r="F55" s="11" t="n"/>
      <c r="G55" s="11" t="n"/>
      <c r="H55" s="11" t="n"/>
      <c r="I55" s="11" t="n"/>
      <c r="J55" s="11" t="n"/>
    </row>
    <row r="56">
      <c r="A56" s="12" t="inlineStr">
        <is>
          <t>Q_VERY_LONG_SINGLE_SELECT_EXPORT_NAME - Long sheet name export question</t>
        </is>
      </c>
      <c r="B56" s="12" t="n"/>
      <c r="C56" s="12" t="n"/>
      <c r="D56" s="12" t="n"/>
      <c r="E56" s="12" t="n"/>
      <c r="F56" s="12" t="n"/>
      <c r="G56" s="12" t="n"/>
      <c r="H56" s="12" t="n"/>
      <c r="I56" s="12" t="n"/>
      <c r="J56" s="12" t="n"/>
      <c r="K56" s="12" t="n"/>
      <c r="L56" s="12" t="n"/>
      <c r="M56" s="12" t="n"/>
      <c r="N56" s="12" t="n"/>
    </row>
    <row r="57">
      <c r="A57" s="13" t="inlineStr">
        <is>
          <t>Per-question filter</t>
        </is>
      </c>
      <c r="B57" t="inlineStr">
        <is>
          <t>Filter Q</t>
        </is>
      </c>
      <c r="C57" t="inlineStr">
        <is>
          <t>(None)</t>
        </is>
      </c>
      <c r="D57" t="inlineStr">
        <is>
          <t>Value</t>
        </is>
      </c>
      <c r="E57" t="inlineStr">
        <is>
          <t>(All)</t>
        </is>
      </c>
      <c r="F57" t="str">
        <f>IFERROR(INDEX(All_Questions_Data_Names,MATCH(All_Questions_Q_VERY_LONG_SINGLE_SELECT_EXPORT_NAME_F_Q,All_Questions,0)),"'_RawData'!$A:$A")</f>
        <v>respondent_id_data</v>
      </c>
      <c r="G57" t="str">
        <f>"|" &amp; SUBSTITUTE(All_Questions_Q_VERY_LONG_SINGLE_SELECT_EXPORT_NAME_F_V, ", ", "|") &amp; "|"</f>
        <v>|(All)|</v>
      </c>
    </row>
    <row r="58">
      <c r="A58" s="13" t="inlineStr">
        <is>
          <t>Cross-tab by</t>
        </is>
      </c>
      <c r="C58" t="inlineStr">
        <is>
          <t>(None)</t>
        </is>
      </c>
    </row>
    <row r="60">
      <c r="A60" s="4" t="inlineStr">
        <is>
          <t>Option</t>
        </is>
      </c>
      <c r="B60" s="4" t="inlineStr">
        <is>
          <t>Count</t>
        </is>
      </c>
      <c r="C60" s="4" t="inlineStr">
        <is>
          <t>%</t>
        </is>
      </c>
      <c r="D60" s="4" t="inlineStr">
        <is>
          <t>Denominator</t>
        </is>
      </c>
      <c r="F60" s="4" t="inlineStr">
        <is>
          <t>Option</t>
        </is>
      </c>
      <c r="G60" s="2" t="str">
        <f>IF(All_Questions_Q_VERY_LONG_SINGLE_SELECT_EXPORT_NAME_CT="(None)","",IFERROR(INDEX(INDIRECT(IFERROR(INDEX(All_Questions_Options_Names,MATCH(All_Questions_Q_VERY_LONG_SINGLE_SELECT_EXPORT_NAME_CT,All_Questions,0)),"'_Options'!$E$2:$E$2")),2),""))</f>
        <v/>
      </c>
      <c r="H60" s="2" t="str">
        <f>IF(All_Questions_Q_VERY_LONG_SINGLE_SELECT_EXPORT_NAME_CT="(None)","",IFERROR(INDEX(INDIRECT(IFERROR(INDEX(All_Questions_Options_Names,MATCH(All_Questions_Q_VERY_LONG_SINGLE_SELECT_EXPORT_NAME_CT,All_Questions,0)),"'_Options'!$E$2:$E$2")),3),""))</f>
        <v/>
      </c>
      <c r="I60" s="2" t="str">
        <f>IF(All_Questions_Q_VERY_LONG_SINGLE_SELECT_EXPORT_NAME_CT="(None)","",IFERROR(INDEX(INDIRECT(IFERROR(INDEX(All_Questions_Options_Names,MATCH(All_Questions_Q_VERY_LONG_SINGLE_SELECT_EXPORT_NAME_CT,All_Questions,0)),"'_Options'!$E$2:$E$2")),4),""))</f>
        <v/>
      </c>
      <c r="J60" s="2" t="str">
        <f>IF(All_Questions_Q_VERY_LONG_SINGLE_SELECT_EXPORT_NAME_CT="(None)","",IFERROR(INDEX(INDIRECT(IFERROR(INDEX(All_Questions_Options_Names,MATCH(All_Questions_Q_VERY_LONG_SINGLE_SELECT_EXPORT_NAME_CT,All_Questions,0)),"'_Options'!$E$2:$E$2")),5),""))</f>
        <v/>
      </c>
      <c r="K60" s="2" t="str">
        <f>IF(All_Questions_Q_VERY_LONG_SINGLE_SELECT_EXPORT_NAME_CT="(None)","",IFERROR(INDEX(INDIRECT(IFERROR(INDEX(All_Questions_Options_Names,MATCH(All_Questions_Q_VERY_LONG_SINGLE_SELECT_EXPORT_NAME_CT,All_Questions,0)),"'_Options'!$E$2:$E$2")),6),""))</f>
        <v/>
      </c>
      <c r="L60" s="2" t="str">
        <f>IF(All_Questions_Q_VERY_LONG_SINGLE_SELECT_EXPORT_NAME_CT="(None)","",IFERROR(INDEX(INDIRECT(IFERROR(INDEX(All_Questions_Options_Names,MATCH(All_Questions_Q_VERY_LONG_SINGLE_SELECT_EXPORT_NAME_CT,All_Questions,0)),"'_Options'!$E$2:$E$2")),7),""))</f>
        <v/>
      </c>
      <c r="M60" s="2" t="str">
        <f>IF(All_Questions_Q_VERY_LONG_SINGLE_SELECT_EXPORT_NAME_CT="(None)","",IFERROR(INDEX(INDIRECT(IFERROR(INDEX(All_Questions_Options_Names,MATCH(All_Questions_Q_VERY_LONG_SINGLE_SELECT_EXPORT_NAME_CT,All_Questions,0)),"'_Options'!$E$2:$E$2")),8),""))</f>
        <v/>
      </c>
      <c r="N60" s="2" t="str">
        <f>IF(All_Questions_Q_VERY_LONG_SINGLE_SELECT_EXPORT_NAME_CT="(None)","",IFERROR(INDEX(INDIRECT(IFERROR(INDEX(All_Questions_Options_Names,MATCH(All_Questions_Q_VERY_LONG_SINGLE_SELECT_EXPORT_NAME_CT,All_Questions,0)),"'_Options'!$E$2:$E$2")),9),""))</f>
        <v/>
      </c>
      <c r="O60" s="2" t="str">
        <f>IF(All_Questions_Q_VERY_LONG_SINGLE_SELECT_EXPORT_NAME_CT="(None)","",IFERROR(INDEX(INDIRECT(IFERROR(INDEX(All_Questions_Options_Names,MATCH(All_Questions_Q_VERY_LONG_SINGLE_SELECT_EXPORT_NAME_CT,All_Questions,0)),"'_Options'!$E$2:$E$2")),10),""))</f>
        <v/>
      </c>
      <c r="P60" s="2" t="str">
        <f>IF(All_Questions_Q_VERY_LONG_SINGLE_SELECT_EXPORT_NAME_CT="(None)","",IFERROR(INDEX(INDIRECT(IFERROR(INDEX(All_Questions_Options_Names,MATCH(All_Questions_Q_VERY_LONG_SINGLE_SELECT_EXPORT_NAME_CT,All_Questions,0)),"'_Options'!$E$2:$E$2")),11),""))</f>
        <v/>
      </c>
      <c r="Q60" s="2" t="str">
        <f>IF(All_Questions_Q_VERY_LONG_SINGLE_SELECT_EXPORT_NAME_CT="(None)","",IFERROR(INDEX(INDIRECT(IFERROR(INDEX(All_Questions_Options_Names,MATCH(All_Questions_Q_VERY_LONG_SINGLE_SELECT_EXPORT_NAME_CT,All_Questions,0)),"'_Options'!$E$2:$E$2")),12),""))</f>
        <v/>
      </c>
      <c r="R60" s="2" t="str">
        <f>IF(All_Questions_Q_VERY_LONG_SINGLE_SELECT_EXPORT_NAME_CT="(None)","",IF(COUNTA(INDIRECT(IFERROR(INDEX(All_Questions_Options_Names,MATCH(All_Questions_Q_VERY_LONG_SINGLE_SELECT_EXPORT_NAME_CT,All_Questions,0)),"'_Options'!$E$2:$E$2")))-1&gt;11,"Other",IFERROR(INDEX(INDIRECT(IFERROR(INDEX(All_Questions_Options_Names,MATCH(All_Questions_Q_VERY_LONG_SINGLE_SELECT_EXPORT_NAME_CT,All_Questions,0)),"'_Options'!$E$2:$E$2")),13),"")))</f>
        <v/>
      </c>
      <c r="S60" s="4" t="inlineStr">
        <is>
          <t>Total</t>
        </is>
      </c>
    </row>
    <row r="61">
      <c r="A61" t="inlineStr">
        <is>
          <t>A</t>
        </is>
      </c>
      <c r="B61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61" s="7">
        <f>IFERROR(B61/SUBTOTAL(9,B61:B62),0)</f>
        <v>0.7</v>
      </c>
      <c r="D61" s="14">
        <f>SUBTOTAL(9,B61:B62)</f>
        <v>10</v>
      </c>
      <c r="F61" s="4" t="inlineStr"/>
      <c r="G61" s="4" t="inlineStr">
        <is>
          <t># of resp</t>
        </is>
      </c>
      <c r="H61" s="4" t="inlineStr">
        <is>
          <t># of resp</t>
        </is>
      </c>
      <c r="I61" s="4" t="inlineStr">
        <is>
          <t># of resp</t>
        </is>
      </c>
      <c r="J61" s="4" t="inlineStr">
        <is>
          <t># of resp</t>
        </is>
      </c>
      <c r="K61" s="4" t="inlineStr">
        <is>
          <t># of resp</t>
        </is>
      </c>
      <c r="L61" s="4" t="inlineStr">
        <is>
          <t># of resp</t>
        </is>
      </c>
      <c r="M61" s="4" t="inlineStr">
        <is>
          <t># of resp</t>
        </is>
      </c>
      <c r="N61" s="4" t="inlineStr">
        <is>
          <t># of resp</t>
        </is>
      </c>
      <c r="O61" s="4" t="inlineStr">
        <is>
          <t># of resp</t>
        </is>
      </c>
      <c r="P61" s="4" t="inlineStr">
        <is>
          <t># of resp</t>
        </is>
      </c>
      <c r="Q61" s="4" t="inlineStr">
        <is>
          <t># of resp</t>
        </is>
      </c>
      <c r="R61" s="4" t="inlineStr">
        <is>
          <t># of resp</t>
        </is>
      </c>
      <c r="S61" s="4" t="inlineStr">
        <is>
          <t># of resp</t>
        </is>
      </c>
    </row>
    <row r="62">
      <c r="A62" t="inlineStr">
        <is>
          <t>B</t>
        </is>
      </c>
      <c r="B62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2" s="7">
        <f>IFERROR(B62/SUBTOTAL(9,B61:B62),0)</f>
        <v>0.3</v>
      </c>
      <c r="D62" s="14">
        <f>SUBTOTAL(9,B61:B62)</f>
        <v>10</v>
      </c>
      <c r="F62" t="inlineStr">
        <is>
          <t>A</t>
        </is>
      </c>
      <c r="G62">
        <f>IF(OR(All_Questions_Q_VERY_LONG_SINGLE_SELECT_EXPORT_NAME_CT="(None)",G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2">
        <f>IF(OR(All_Questions_Q_VERY_LONG_SINGLE_SELECT_EXPORT_NAME_CT="(None)",H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2">
        <f>IF(OR(All_Questions_Q_VERY_LONG_SINGLE_SELECT_EXPORT_NAME_CT="(None)",I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2">
        <f>IF(OR(All_Questions_Q_VERY_LONG_SINGLE_SELECT_EXPORT_NAME_CT="(None)",J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2">
        <f>IF(OR(All_Questions_Q_VERY_LONG_SINGLE_SELECT_EXPORT_NAME_CT="(None)",K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2">
        <f>IF(OR(All_Questions_Q_VERY_LONG_SINGLE_SELECT_EXPORT_NAME_CT="(None)",L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2">
        <f>IF(OR(All_Questions_Q_VERY_LONG_SINGLE_SELECT_EXPORT_NAME_CT="(None)",M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2">
        <f>IF(OR(All_Questions_Q_VERY_LONG_SINGLE_SELECT_EXPORT_NAME_CT="(None)",N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2">
        <f>IF(OR(All_Questions_Q_VERY_LONG_SINGLE_SELECT_EXPORT_NAME_CT="(None)",O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2">
        <f>IF(OR(All_Questions_Q_VERY_LONG_SINGLE_SELECT_EXPORT_NAME_CT="(None)",P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2">
        <f>IF(OR(All_Questions_Q_VERY_LONG_SINGLE_SELECT_EXPORT_NAME_CT="(None)",Q$60=""),""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2">
        <f>IF(OR(All_Questions_Q_VERY_LONG_SINGLE_SELECT_EXPORT_NAME_CT="(None)",R$60=""),"",IF(R$60="Other",COUNTIFS(Q_VERY_LONG_SINGLE_SELECT_EXPOR_data,"A",passes_workbook_filters_data,1,passes_workbook_custom_filters_data,1,All_Questions_passes_local_filters_data,1,All_Questions_Q_VERY_LONG_SINGLE_SELECT_EXPORT_NAME_F_passes_per_q_filter_data,1)-SUM(G62,H62,I62,J62,K62,L62,M62,N62,O62,P62,Q62),COUNTIFS(Q_VERY_LONG_SINGLE_SELECT_EXPOR_data,"A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2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63">
      <c r="A63" s="15" t="inlineStr">
        <is>
          <t>Total respondents</t>
        </is>
      </c>
      <c r="B63" s="15" t="n">
        <v>10</v>
      </c>
      <c r="C63" s="15" t="n"/>
      <c r="D63" s="15" t="n"/>
      <c r="F63" t="inlineStr">
        <is>
          <t>B</t>
        </is>
      </c>
      <c r="G63">
        <f>IF(OR(All_Questions_Q_VERY_LONG_SINGLE_SELECT_EXPORT_NAME_CT="(None)",G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G$60))</f>
        <v>0</v>
      </c>
      <c r="H63">
        <f>IF(OR(All_Questions_Q_VERY_LONG_SINGLE_SELECT_EXPORT_NAME_CT="(None)",H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H$60))</f>
        <v>0</v>
      </c>
      <c r="I63">
        <f>IF(OR(All_Questions_Q_VERY_LONG_SINGLE_SELECT_EXPORT_NAME_CT="(None)",I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I$60))</f>
        <v>0</v>
      </c>
      <c r="J63">
        <f>IF(OR(All_Questions_Q_VERY_LONG_SINGLE_SELECT_EXPORT_NAME_CT="(None)",J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J$60))</f>
        <v>0</v>
      </c>
      <c r="K63">
        <f>IF(OR(All_Questions_Q_VERY_LONG_SINGLE_SELECT_EXPORT_NAME_CT="(None)",K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K$60))</f>
        <v>0</v>
      </c>
      <c r="L63">
        <f>IF(OR(All_Questions_Q_VERY_LONG_SINGLE_SELECT_EXPORT_NAME_CT="(None)",L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L$60))</f>
        <v>0</v>
      </c>
      <c r="M63">
        <f>IF(OR(All_Questions_Q_VERY_LONG_SINGLE_SELECT_EXPORT_NAME_CT="(None)",M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M$60))</f>
        <v>0</v>
      </c>
      <c r="N63">
        <f>IF(OR(All_Questions_Q_VERY_LONG_SINGLE_SELECT_EXPORT_NAME_CT="(None)",N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N$60))</f>
        <v>0</v>
      </c>
      <c r="O63">
        <f>IF(OR(All_Questions_Q_VERY_LONG_SINGLE_SELECT_EXPORT_NAME_CT="(None)",O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O$60))</f>
        <v>0</v>
      </c>
      <c r="P63">
        <f>IF(OR(All_Questions_Q_VERY_LONG_SINGLE_SELECT_EXPORT_NAME_CT="(None)",P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P$60))</f>
        <v>0</v>
      </c>
      <c r="Q63">
        <f>IF(OR(All_Questions_Q_VERY_LONG_SINGLE_SELECT_EXPORT_NAME_CT="(None)",Q$60=""),""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Q$60))</f>
        <v>0</v>
      </c>
      <c r="R63">
        <f>IF(OR(All_Questions_Q_VERY_LONG_SINGLE_SELECT_EXPORT_NAME_CT="(None)",R$60=""),"",IF(R$60="Other",COUNTIFS(Q_VERY_LONG_SINGLE_SELECT_EXPOR_data,"B",passes_workbook_filters_data,1,passes_workbook_custom_filters_data,1,All_Questions_passes_local_filters_data,1,All_Questions_Q_VERY_LONG_SINGLE_SELECT_EXPORT_NAME_F_passes_per_q_filter_data,1)-SUM(G63,H63,I63,J63,K63,L63,M63,N63,O63,P63,Q63),COUNTIFS(Q_VERY_LONG_SINGLE_SELECT_EXPOR_data,"B",passes_workbook_filters_data,1,passes_workbook_custom_filters_data,1,All_Questions_passes_local_filters_data,1,All_Questions_Q_VERY_LONG_SINGLE_SELECT_EXPORT_NAME_F_passes_per_q_filter_data,1,INDIRECT(IFERROR(INDEX(All_Questions_Data_Names,MATCH(All_Questions_Q_VERY_LONG_SINGLE_SELECT_EXPORT_NAME_CT,All_Questions,0)),"'_RawData'!$A:$A")),R$60)))</f>
        <v>0</v>
      </c>
      <c r="S63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64">
      <c r="F64" s="4" t="inlineStr">
        <is>
          <t>Total respondents</t>
        </is>
      </c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  <c r="Q64" s="2" t="n"/>
      <c r="R64" s="2" t="n"/>
      <c r="S64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1">
    <mergeCell ref="A1:J1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8:G29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8:H29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8:I29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8:J29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8:K29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8:L29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8:M29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8:N29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8:O29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8:P29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8:Q29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8:R29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0:B51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0:C51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1:G52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51:H52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51:I52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51:J52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51:K52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51:L52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51:M52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51:N52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1:O52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51:P52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51:Q52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51:R52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61:B62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61:C62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2:G63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2:H63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2:I63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2:J63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2:K63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2:L63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2:M63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2:N63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2:O63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2:P63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2:Q63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2:R63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4" showDropDown="0" showInputMessage="0" showErrorMessage="0" allowBlank="1" type="list">
      <formula1>=All_Questions</formula1>
    </dataValidation>
    <dataValidation sqref="C34" showDropDown="0" showInputMessage="0" showErrorMessage="0" allowBlank="1" type="list">
      <formula1>=All_Questions</formula1>
    </dataValidation>
    <dataValidation sqref="E34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5" showDropDown="0" showInputMessage="0" showErrorMessage="0" allowBlank="1" type="list">
      <formula1>=All_Questions</formula1>
    </dataValidation>
    <dataValidation sqref="C46" showDropDown="0" showInputMessage="0" showErrorMessage="0" allowBlank="1" type="list">
      <formula1>=All_Questions</formula1>
    </dataValidation>
    <dataValidation sqref="E46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47" showDropDown="0" showInputMessage="0" showErrorMessage="0" allowBlank="1" type="list">
      <formula1>=All_Questions</formula1>
    </dataValidation>
    <dataValidation sqref="C57" showDropDown="0" showInputMessage="0" showErrorMessage="0" allowBlank="1" type="list">
      <formula1>=All_Questions</formula1>
    </dataValidation>
    <dataValidation sqref="E57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58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5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  <tablePart xmlns:r="http://schemas.openxmlformats.org/officeDocument/2006/relationships"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2" customWidth="1" min="2" max="2"/>
    <col width="39" customWidth="1" min="3" max="3"/>
    <col width="39" customWidth="1" min="4" max="4"/>
    <col width="21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2026-05-28T08:51:13.006739+00:00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2026-05-28T08:51:13.007695+00:00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2026-05-28T08:51:13.007775+00:00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2026-05-28T08:51:13.009338+00:00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2026-05-28T08:51:13.010533+00:00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2026-05-28T08:51:13.011611+00:00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2026-05-28T08:51:13.012711+00:00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2026-05-28T08:51:13.012739+00:00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2026-05-28T08:51:13.013851+00:00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2026-05-28T08:51:13.014658+00:00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2026-05-28T08:51:13.015331+00:00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2026-05-28T08:51:13.015426+00:00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2026-05-28T08:51:13Z</dcterms:created>
  <dcterms:modified xmlns:dcterms="http://purl.org/dc/terms/" xmlns:xsi="http://www.w3.org/2001/XMLSchema-instance" xsi:type="dcterms:W3CDTF">2026-05-28T08:51:18Z</dcterms:modified>
</cp:coreProperties>
</file>