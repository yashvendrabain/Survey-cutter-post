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/>
      </c>
      <c r="J2">
        <f>I2*1</f>
        <v/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/>
      </c>
      <c r="J3">
        <f>I3*1</f>
        <v/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/>
      </c>
      <c r="J4">
        <f>I4*1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SUBSTITUTE(F_Q_SS_EXPORT,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"|" &amp; SUBSTITUTE(Demographics_F_Q_SS_EXPORT_resolved,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(Demographics_Q_SS_EXPORT_CT&lt;&gt;"(None)")*COUNTIFS(Q_SS_EXPORT_data,"Yes",passes_workbook_filters_data,1,INDIRECT(Demographics_Q_SS_EXPORT_CT &amp; "_data"),G$17)</f>
        <v/>
      </c>
      <c r="H18">
        <f>(Demographics_Q_SS_EXPORT_CT&lt;&gt;"(None)")*COUNTIFS(Q_SS_EXPORT_data,"Yes",passes_workbook_filters_data,1,INDIRECT(Demographics_Q_SS_EXPORT_CT &amp; "_data"),H$17)</f>
        <v/>
      </c>
      <c r="I18">
        <f>(Demographics_Q_SS_EXPORT_CT&lt;&gt;"(None)")*COUNTIFS(Q_SS_EXPORT_data,"Yes",passes_workbook_filters_data,1,INDIRECT(Demographics_Q_SS_EXPORT_CT &amp; "_data"),I$17)</f>
        <v/>
      </c>
      <c r="J18">
        <f>(Demographics_Q_SS_EXPORT_CT&lt;&gt;"(None)")*COUNTIFS(Q_SS_EXPORT_data,"Yes",passes_workbook_filters_data,1,INDIRECT(Demographics_Q_SS_EXPORT_CT &amp; "_data"),J$17)</f>
        <v/>
      </c>
      <c r="K18">
        <f>(Demographics_Q_SS_EXPORT_CT&lt;&gt;"(None)")*COUNTIFS(Q_SS_EXPORT_data,"Yes",passes_workbook_filters_data,1,INDIRECT(Demographics_Q_SS_EXPORT_CT &amp; "_data"),K$17)</f>
        <v/>
      </c>
      <c r="L18">
        <f>(Demographics_Q_SS_EXPORT_CT&lt;&gt;"(None)")*COUNTIFS(Q_SS_EXPORT_data,"Yes",passes_workbook_filters_data,1,INDIRECT(Demographics_Q_SS_EXPORT_CT &amp; "_data"),L$17)</f>
        <v/>
      </c>
      <c r="M18">
        <f>(Demographics_Q_SS_EXPORT_CT&lt;&gt;"(None)")*COUNTIFS(Q_SS_EXPORT_data,"Yes",passes_workbook_filters_data,1,INDIRECT(Demographics_Q_SS_EXPORT_CT &amp; "_data"),M$17)</f>
        <v/>
      </c>
      <c r="N18">
        <f>(Demographics_Q_SS_EXPORT_CT&lt;&gt;"(None)")*COUNTIFS(Q_SS_EXPORT_data,"Yes",passes_workbook_filters_data,1,INDIRECT(Demographics_Q_SS_EXPORT_CT &amp; "_data"),N$17)</f>
        <v/>
      </c>
      <c r="O18">
        <f>SUM(G18:N18)</f>
        <v/>
      </c>
    </row>
    <row r="19">
      <c r="A19" t="inlineStr">
        <is>
          <t>No</t>
        </is>
      </c>
      <c r="B19">
        <f>COUNTIFS(Q_SS_EXPORT_data,"No",passes_workbook_filters_data,1)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(Demographics_Q_SS_EXPORT_CT&lt;&gt;"(None)")*COUNTIFS(Q_SS_EXPORT_data,"No",passes_workbook_filters_data,1,INDIRECT(Demographics_Q_SS_EXPORT_CT &amp; "_data"),G$17)</f>
        <v/>
      </c>
      <c r="H19">
        <f>(Demographics_Q_SS_EXPORT_CT&lt;&gt;"(None)")*COUNTIFS(Q_SS_EXPORT_data,"No",passes_workbook_filters_data,1,INDIRECT(Demographics_Q_SS_EXPORT_CT &amp; "_data"),H$17)</f>
        <v/>
      </c>
      <c r="I19">
        <f>(Demographics_Q_SS_EXPORT_CT&lt;&gt;"(None)")*COUNTIFS(Q_SS_EXPORT_data,"No",passes_workbook_filters_data,1,INDIRECT(Demographics_Q_SS_EXPORT_CT &amp; "_data"),I$17)</f>
        <v/>
      </c>
      <c r="J19">
        <f>(Demographics_Q_SS_EXPORT_CT&lt;&gt;"(None)")*COUNTIFS(Q_SS_EXPORT_data,"No",passes_workbook_filters_data,1,INDIRECT(Demographics_Q_SS_EXPORT_CT &amp; "_data"),J$17)</f>
        <v/>
      </c>
      <c r="K19">
        <f>(Demographics_Q_SS_EXPORT_CT&lt;&gt;"(None)")*COUNTIFS(Q_SS_EXPORT_data,"No",passes_workbook_filters_data,1,INDIRECT(Demographics_Q_SS_EXPORT_CT &amp; "_data"),K$17)</f>
        <v/>
      </c>
      <c r="L19">
        <f>(Demographics_Q_SS_EXPORT_CT&lt;&gt;"(None)")*COUNTIFS(Q_SS_EXPORT_data,"No",passes_workbook_filters_data,1,INDIRECT(Demographics_Q_SS_EXPORT_CT &amp; "_data"),L$17)</f>
        <v/>
      </c>
      <c r="M19">
        <f>(Demographics_Q_SS_EXPORT_CT&lt;&gt;"(None)")*COUNTIFS(Q_SS_EXPORT_data,"No",passes_workbook_filters_data,1,INDIRECT(Demographics_Q_SS_EXPORT_CT &amp; "_data"),M$17)</f>
        <v/>
      </c>
      <c r="N19">
        <f>(Demographics_Q_SS_EXPORT_CT&lt;&gt;"(None)")*COUNTIFS(Q_SS_EXPORT_data,"No",passes_workbook_filters_data,1,INDIRECT(Demographics_Q_SS_EXPORT_CT &amp; "_data"),N$17)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"|" &amp; SUBSTITUTE(All_Questions_F_Q_SS_EXPORT_resolved,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(All_Questions_Q_MS_EXPORT_CT&lt;&gt;"(None)")*COUNTIFS(Q_MS_EXPORTr1_data,"Selected",passes_workbook_filters_data,1,INDIRECT(All_Questions_Q_MS_EXPORT_CT &amp; "_data"),G$17)</f>
        <v/>
      </c>
      <c r="H18">
        <f>(All_Questions_Q_MS_EXPORT_CT&lt;&gt;"(None)")*COUNTIFS(Q_MS_EXPORTr1_data,"Selected",passes_workbook_filters_data,1,INDIRECT(All_Questions_Q_MS_EXPORT_CT &amp; "_data"),H$17)</f>
        <v/>
      </c>
      <c r="I18">
        <f>(All_Questions_Q_MS_EXPORT_CT&lt;&gt;"(None)")*COUNTIFS(Q_MS_EXPORTr1_data,"Selected",passes_workbook_filters_data,1,INDIRECT(All_Questions_Q_MS_EXPORT_CT &amp; "_data"),I$17)</f>
        <v/>
      </c>
      <c r="J18">
        <f>(All_Questions_Q_MS_EXPORT_CT&lt;&gt;"(None)")*COUNTIFS(Q_MS_EXPORTr1_data,"Selected",passes_workbook_filters_data,1,INDIRECT(All_Questions_Q_MS_EXPORT_CT &amp; "_data"),J$17)</f>
        <v/>
      </c>
      <c r="K18">
        <f>(All_Questions_Q_MS_EXPORT_CT&lt;&gt;"(None)")*COUNTIFS(Q_MS_EXPORTr1_data,"Selected",passes_workbook_filters_data,1,INDIRECT(All_Questions_Q_MS_EXPORT_CT &amp; "_data"),K$17)</f>
        <v/>
      </c>
      <c r="L18">
        <f>(All_Questions_Q_MS_EXPORT_CT&lt;&gt;"(None)")*COUNTIFS(Q_MS_EXPORTr1_data,"Selected",passes_workbook_filters_data,1,INDIRECT(All_Questions_Q_MS_EXPORT_CT &amp; "_data"),L$17)</f>
        <v/>
      </c>
      <c r="M18">
        <f>(All_Questions_Q_MS_EXPORT_CT&lt;&gt;"(None)")*COUNTIFS(Q_MS_EXPORTr1_data,"Selected",passes_workbook_filters_data,1,INDIRECT(All_Questions_Q_MS_EXPORT_CT &amp; "_data"),M$17)</f>
        <v/>
      </c>
      <c r="N18">
        <f>(All_Questions_Q_MS_EXPORT_CT&lt;&gt;"(None)")*COUNTIFS(Q_MS_EXPORTr1_data,"Selected",passes_workbook_filters_data,1,INDIRECT(All_Questions_Q_MS_EXPORT_CT &amp; "_data"),N$17)</f>
        <v/>
      </c>
      <c r="O18">
        <f>SUM(G18:N18)</f>
        <v/>
      </c>
    </row>
    <row r="19">
      <c r="A19" t="inlineStr">
        <is>
          <t>Second</t>
        </is>
      </c>
      <c r="B19">
        <f>COUNTIFS(Q_MS_EXPORTr2_data,"Selected",passes_workbook_filters_data,1)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(All_Questions_Q_MS_EXPORT_CT&lt;&gt;"(None)")*COUNTIFS(Q_MS_EXPORTr2_data,"Selected",passes_workbook_filters_data,1,INDIRECT(All_Questions_Q_MS_EXPORT_CT &amp; "_data"),G$17)</f>
        <v/>
      </c>
      <c r="H19">
        <f>(All_Questions_Q_MS_EXPORT_CT&lt;&gt;"(None)")*COUNTIFS(Q_MS_EXPORTr2_data,"Selected",passes_workbook_filters_data,1,INDIRECT(All_Questions_Q_MS_EXPORT_CT &amp; "_data"),H$17)</f>
        <v/>
      </c>
      <c r="I19">
        <f>(All_Questions_Q_MS_EXPORT_CT&lt;&gt;"(None)")*COUNTIFS(Q_MS_EXPORTr2_data,"Selected",passes_workbook_filters_data,1,INDIRECT(All_Questions_Q_MS_EXPORT_CT &amp; "_data"),I$17)</f>
        <v/>
      </c>
      <c r="J19">
        <f>(All_Questions_Q_MS_EXPORT_CT&lt;&gt;"(None)")*COUNTIFS(Q_MS_EXPORTr2_data,"Selected",passes_workbook_filters_data,1,INDIRECT(All_Questions_Q_MS_EXPORT_CT &amp; "_data"),J$17)</f>
        <v/>
      </c>
      <c r="K19">
        <f>(All_Questions_Q_MS_EXPORT_CT&lt;&gt;"(None)")*COUNTIFS(Q_MS_EXPORTr2_data,"Selected",passes_workbook_filters_data,1,INDIRECT(All_Questions_Q_MS_EXPORT_CT &amp; "_data"),K$17)</f>
        <v/>
      </c>
      <c r="L19">
        <f>(All_Questions_Q_MS_EXPORT_CT&lt;&gt;"(None)")*COUNTIFS(Q_MS_EXPORTr2_data,"Selected",passes_workbook_filters_data,1,INDIRECT(All_Questions_Q_MS_EXPORT_CT &amp; "_data"),L$17)</f>
        <v/>
      </c>
      <c r="M19">
        <f>(All_Questions_Q_MS_EXPORT_CT&lt;&gt;"(None)")*COUNTIFS(Q_MS_EXPORTr2_data,"Selected",passes_workbook_filters_data,1,INDIRECT(All_Questions_Q_MS_EXPORT_CT &amp; "_data"),M$17)</f>
        <v/>
      </c>
      <c r="N19">
        <f>(All_Questions_Q_MS_EXPORT_CT&lt;&gt;"(None)")*COUNTIFS(Q_MS_EXPORTr2_data,"Selected",passes_workbook_filters_data,1,INDIRECT(All_Questions_Q_MS_EXPORT_CT &amp; "_data"),N$17)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IFERROR(AVERAGEIFS(Q_NUM_EXPORT_data,passes_workbook_filters_data,1),0)</f>
        <v/>
      </c>
      <c r="D27">
        <f>COUNTIFS(Q_NUM_EXPORT_data,"&lt;&gt;",passes_workbook_filters_data,1)</f>
        <v/>
      </c>
    </row>
    <row r="28">
      <c r="A28" t="inlineStr">
        <is>
          <t>Min</t>
        </is>
      </c>
      <c r="B28">
        <f>IFERROR(MINIFS(Q_NUM_EXPORT_data,passes_workbook_filters_data,1),0)</f>
        <v/>
      </c>
      <c r="D28">
        <f>COUNTIFS(Q_NUM_EXPORT_data,"&lt;&gt;",passes_workbook_filters_data,1)</f>
        <v/>
      </c>
    </row>
    <row r="29">
      <c r="A29" t="inlineStr">
        <is>
          <t>Max</t>
        </is>
      </c>
      <c r="B29">
        <f>IFERROR(MAXIFS(Q_NUM_EXPORT_data,passes_workbook_filters_data,1),0)</f>
        <v/>
      </c>
      <c r="D29">
        <f>COUNTIFS(Q_NUM_EXPORT_data,"&lt;&gt;",passes_workbook_filters_data,1)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(All_Questions_Q_GRID_EXPORT_CT&lt;&gt;"(None)")*COUNTIFS(Q_GRID_EXPORTr1_data,"Selected",passes_workbook_filters_data,1,INDIRECT(All_Questions_Q_GRID_EXPORT_CT &amp; "_data"),G$38)</f>
        <v/>
      </c>
      <c r="H39">
        <f>(All_Questions_Q_GRID_EXPORT_CT&lt;&gt;"(None)")*COUNTIFS(Q_GRID_EXPORTr1_data,"Selected",passes_workbook_filters_data,1,INDIRECT(All_Questions_Q_GRID_EXPORT_CT &amp; "_data"),H$38)</f>
        <v/>
      </c>
      <c r="I39">
        <f>(All_Questions_Q_GRID_EXPORT_CT&lt;&gt;"(None)")*COUNTIFS(Q_GRID_EXPORTr1_data,"Selected",passes_workbook_filters_data,1,INDIRECT(All_Questions_Q_GRID_EXPORT_CT &amp; "_data"),I$38)</f>
        <v/>
      </c>
      <c r="J39">
        <f>(All_Questions_Q_GRID_EXPORT_CT&lt;&gt;"(None)")*COUNTIFS(Q_GRID_EXPORTr1_data,"Selected",passes_workbook_filters_data,1,INDIRECT(All_Questions_Q_GRID_EXPORT_CT &amp; "_data"),J$38)</f>
        <v/>
      </c>
      <c r="K39">
        <f>(All_Questions_Q_GRID_EXPORT_CT&lt;&gt;"(None)")*COUNTIFS(Q_GRID_EXPORTr1_data,"Selected",passes_workbook_filters_data,1,INDIRECT(All_Questions_Q_GRID_EXPORT_CT &amp; "_data"),K$38)</f>
        <v/>
      </c>
      <c r="L39">
        <f>(All_Questions_Q_GRID_EXPORT_CT&lt;&gt;"(None)")*COUNTIFS(Q_GRID_EXPORTr1_data,"Selected",passes_workbook_filters_data,1,INDIRECT(All_Questions_Q_GRID_EXPORT_CT &amp; "_data"),L$38)</f>
        <v/>
      </c>
      <c r="M39">
        <f>(All_Questions_Q_GRID_EXPORT_CT&lt;&gt;"(None)")*COUNTIFS(Q_GRID_EXPORTr1_data,"Selected",passes_workbook_filters_data,1,INDIRECT(All_Questions_Q_GRID_EXPORT_CT &amp; "_data"),M$38)</f>
        <v/>
      </c>
      <c r="N39">
        <f>(All_Questions_Q_GRID_EXPORT_CT&lt;&gt;"(None)")*COUNTIFS(Q_GRID_EXPORTr1_data,"Selected",passes_workbook_filters_data,1,INDIRECT(All_Questions_Q_GRID_EXPORT_CT &amp; "_data"),N$38)</f>
        <v/>
      </c>
      <c r="O39">
        <f>SUM(G39:N39)</f>
        <v/>
      </c>
    </row>
    <row r="40">
      <c r="A40" t="inlineStr">
        <is>
          <t>Grid second row</t>
        </is>
      </c>
      <c r="B40">
        <f>COUNTIFS(Q_GRID_EXPORTr2_data,"Selected",passes_workbook_filters_data,1)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(All_Questions_Q_GRID_EXPORT_CT&lt;&gt;"(None)")*COUNTIFS(Q_GRID_EXPORTr2_data,"Selected",passes_workbook_filters_data,1,INDIRECT(All_Questions_Q_GRID_EXPORT_CT &amp; "_data"),G$38)</f>
        <v/>
      </c>
      <c r="H40">
        <f>(All_Questions_Q_GRID_EXPORT_CT&lt;&gt;"(None)")*COUNTIFS(Q_GRID_EXPORTr2_data,"Selected",passes_workbook_filters_data,1,INDIRECT(All_Questions_Q_GRID_EXPORT_CT &amp; "_data"),H$38)</f>
        <v/>
      </c>
      <c r="I40">
        <f>(All_Questions_Q_GRID_EXPORT_CT&lt;&gt;"(None)")*COUNTIFS(Q_GRID_EXPORTr2_data,"Selected",passes_workbook_filters_data,1,INDIRECT(All_Questions_Q_GRID_EXPORT_CT &amp; "_data"),I$38)</f>
        <v/>
      </c>
      <c r="J40">
        <f>(All_Questions_Q_GRID_EXPORT_CT&lt;&gt;"(None)")*COUNTIFS(Q_GRID_EXPORTr2_data,"Selected",passes_workbook_filters_data,1,INDIRECT(All_Questions_Q_GRID_EXPORT_CT &amp; "_data"),J$38)</f>
        <v/>
      </c>
      <c r="K40">
        <f>(All_Questions_Q_GRID_EXPORT_CT&lt;&gt;"(None)")*COUNTIFS(Q_GRID_EXPORTr2_data,"Selected",passes_workbook_filters_data,1,INDIRECT(All_Questions_Q_GRID_EXPORT_CT &amp; "_data"),K$38)</f>
        <v/>
      </c>
      <c r="L40">
        <f>(All_Questions_Q_GRID_EXPORT_CT&lt;&gt;"(None)")*COUNTIFS(Q_GRID_EXPORTr2_data,"Selected",passes_workbook_filters_data,1,INDIRECT(All_Questions_Q_GRID_EXPORT_CT &amp; "_data"),L$38)</f>
        <v/>
      </c>
      <c r="M40">
        <f>(All_Questions_Q_GRID_EXPORT_CT&lt;&gt;"(None)")*COUNTIFS(Q_GRID_EXPORTr2_data,"Selected",passes_workbook_filters_data,1,INDIRECT(All_Questions_Q_GRID_EXPORT_CT &amp; "_data"),M$38)</f>
        <v/>
      </c>
      <c r="N40">
        <f>(All_Questions_Q_GRID_EXPORT_CT&lt;&gt;"(None)")*COUNTIFS(Q_GRID_EXPORTr2_data,"Selected",passes_workbook_filters_data,1,INDIRECT(All_Questions_Q_GRID_EXPORT_CT &amp; "_data"),N$38)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(All_Questions_Q_VERY_LONG_SINGLE_SELECT_EXPORT_NAME_CT&lt;&gt;"(None)")*COUNTIFS(Q_VERY_LONG_SINGLE_SELECT_EXPOR_data,"A",passes_workbook_filters_data,1,INDIRECT(All_Questions_Q_VERY_LONG_SINGLE_SELECT_EXPORT_NAME_CT &amp; "_data"),G$47)</f>
        <v/>
      </c>
      <c r="H48">
        <f>(All_Questions_Q_VERY_LONG_SINGLE_SELECT_EXPORT_NAME_CT&lt;&gt;"(None)")*COUNTIFS(Q_VERY_LONG_SINGLE_SELECT_EXPOR_data,"A",passes_workbook_filters_data,1,INDIRECT(All_Questions_Q_VERY_LONG_SINGLE_SELECT_EXPORT_NAME_CT &amp; "_data"),H$47)</f>
        <v/>
      </c>
      <c r="I48">
        <f>(All_Questions_Q_VERY_LONG_SINGLE_SELECT_EXPORT_NAME_CT&lt;&gt;"(None)")*COUNTIFS(Q_VERY_LONG_SINGLE_SELECT_EXPOR_data,"A",passes_workbook_filters_data,1,INDIRECT(All_Questions_Q_VERY_LONG_SINGLE_SELECT_EXPORT_NAME_CT &amp; "_data"),I$47)</f>
        <v/>
      </c>
      <c r="J48">
        <f>(All_Questions_Q_VERY_LONG_SINGLE_SELECT_EXPORT_NAME_CT&lt;&gt;"(None)")*COUNTIFS(Q_VERY_LONG_SINGLE_SELECT_EXPOR_data,"A",passes_workbook_filters_data,1,INDIRECT(All_Questions_Q_VERY_LONG_SINGLE_SELECT_EXPORT_NAME_CT &amp; "_data"),J$47)</f>
        <v/>
      </c>
      <c r="K48">
        <f>(All_Questions_Q_VERY_LONG_SINGLE_SELECT_EXPORT_NAME_CT&lt;&gt;"(None)")*COUNTIFS(Q_VERY_LONG_SINGLE_SELECT_EXPOR_data,"A",passes_workbook_filters_data,1,INDIRECT(All_Questions_Q_VERY_LONG_SINGLE_SELECT_EXPORT_NAME_CT &amp; "_data"),K$47)</f>
        <v/>
      </c>
      <c r="L48">
        <f>(All_Questions_Q_VERY_LONG_SINGLE_SELECT_EXPORT_NAME_CT&lt;&gt;"(None)")*COUNTIFS(Q_VERY_LONG_SINGLE_SELECT_EXPOR_data,"A",passes_workbook_filters_data,1,INDIRECT(All_Questions_Q_VERY_LONG_SINGLE_SELECT_EXPORT_NAME_CT &amp; "_data"),L$47)</f>
        <v/>
      </c>
      <c r="M48">
        <f>(All_Questions_Q_VERY_LONG_SINGLE_SELECT_EXPORT_NAME_CT&lt;&gt;"(None)")*COUNTIFS(Q_VERY_LONG_SINGLE_SELECT_EXPOR_data,"A",passes_workbook_filters_data,1,INDIRECT(All_Questions_Q_VERY_LONG_SINGLE_SELECT_EXPORT_NAME_CT &amp; "_data"),M$47)</f>
        <v/>
      </c>
      <c r="N48">
        <f>(All_Questions_Q_VERY_LONG_SINGLE_SELECT_EXPORT_NAME_CT&lt;&gt;"(None)")*COUNTIFS(Q_VERY_LONG_SINGLE_SELECT_EXPOR_data,"A",passes_workbook_filters_data,1,INDIRECT(All_Questions_Q_VERY_LONG_SINGLE_SELECT_EXPORT_NAME_CT &amp; "_data"),N$47)</f>
        <v/>
      </c>
      <c r="O48">
        <f>SUM(G48:N48)</f>
        <v/>
      </c>
    </row>
    <row r="49">
      <c r="A49" t="inlineStr">
        <is>
          <t>B</t>
        </is>
      </c>
      <c r="B49">
        <f>COUNTIFS(Q_VERY_LONG_SINGLE_SELECT_EXPOR_data,"B",passes_workbook_filters_data,1)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(All_Questions_Q_VERY_LONG_SINGLE_SELECT_EXPORT_NAME_CT&lt;&gt;"(None)")*COUNTIFS(Q_VERY_LONG_SINGLE_SELECT_EXPOR_data,"B",passes_workbook_filters_data,1,INDIRECT(All_Questions_Q_VERY_LONG_SINGLE_SELECT_EXPORT_NAME_CT &amp; "_data"),G$47)</f>
        <v/>
      </c>
      <c r="H49">
        <f>(All_Questions_Q_VERY_LONG_SINGLE_SELECT_EXPORT_NAME_CT&lt;&gt;"(None)")*COUNTIFS(Q_VERY_LONG_SINGLE_SELECT_EXPOR_data,"B",passes_workbook_filters_data,1,INDIRECT(All_Questions_Q_VERY_LONG_SINGLE_SELECT_EXPORT_NAME_CT &amp; "_data"),H$47)</f>
        <v/>
      </c>
      <c r="I49">
        <f>(All_Questions_Q_VERY_LONG_SINGLE_SELECT_EXPORT_NAME_CT&lt;&gt;"(None)")*COUNTIFS(Q_VERY_LONG_SINGLE_SELECT_EXPOR_data,"B",passes_workbook_filters_data,1,INDIRECT(All_Questions_Q_VERY_LONG_SINGLE_SELECT_EXPORT_NAME_CT &amp; "_data"),I$47)</f>
        <v/>
      </c>
      <c r="J49">
        <f>(All_Questions_Q_VERY_LONG_SINGLE_SELECT_EXPORT_NAME_CT&lt;&gt;"(None)")*COUNTIFS(Q_VERY_LONG_SINGLE_SELECT_EXPOR_data,"B",passes_workbook_filters_data,1,INDIRECT(All_Questions_Q_VERY_LONG_SINGLE_SELECT_EXPORT_NAME_CT &amp; "_data"),J$47)</f>
        <v/>
      </c>
      <c r="K49">
        <f>(All_Questions_Q_VERY_LONG_SINGLE_SELECT_EXPORT_NAME_CT&lt;&gt;"(None)")*COUNTIFS(Q_VERY_LONG_SINGLE_SELECT_EXPOR_data,"B",passes_workbook_filters_data,1,INDIRECT(All_Questions_Q_VERY_LONG_SINGLE_SELECT_EXPORT_NAME_CT &amp; "_data"),K$47)</f>
        <v/>
      </c>
      <c r="L49">
        <f>(All_Questions_Q_VERY_LONG_SINGLE_SELECT_EXPORT_NAME_CT&lt;&gt;"(None)")*COUNTIFS(Q_VERY_LONG_SINGLE_SELECT_EXPOR_data,"B",passes_workbook_filters_data,1,INDIRECT(All_Questions_Q_VERY_LONG_SINGLE_SELECT_EXPORT_NAME_CT &amp; "_data"),L$47)</f>
        <v/>
      </c>
      <c r="M49">
        <f>(All_Questions_Q_VERY_LONG_SINGLE_SELECT_EXPORT_NAME_CT&lt;&gt;"(None)")*COUNTIFS(Q_VERY_LONG_SINGLE_SELECT_EXPOR_data,"B",passes_workbook_filters_data,1,INDIRECT(All_Questions_Q_VERY_LONG_SINGLE_SELECT_EXPORT_NAME_CT &amp; "_data"),M$47)</f>
        <v/>
      </c>
      <c r="N49">
        <f>(All_Questions_Q_VERY_LONG_SINGLE_SELECT_EXPORT_NAME_CT&lt;&gt;"(None)")*COUNTIFS(Q_VERY_LONG_SINGLE_SELECT_EXPOR_data,"B",passes_workbook_filters_data,1,INDIRECT(All_Questions_Q_VERY_LONG_SINGLE_SELECT_EXPORT_NAME_CT &amp; "_data"),N$47)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2026-05-14T17:38:07Z</dcterms:created>
  <dcterms:modified xmlns:dcterms="http://purl.org/dc/terms/" xmlns:xsi="http://www.w3.org/2001/XMLSchema-instance" xsi:type="dcterms:W3CDTF">2026-05-14T17:38:07Z</dcterms:modified>
</cp:coreProperties>
</file>