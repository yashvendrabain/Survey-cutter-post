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E18" i="7"/>
  <c r="G18" i="7"/>
  <c r="H18" i="7"/>
  <c r="C19" i="7"/>
  <c r="E19" i="7"/>
  <c r="G19" i="7"/>
  <c r="H19" i="7"/>
  <c r="C20" i="7"/>
  <c r="E20" i="7"/>
  <c r="G20" i="7"/>
  <c r="H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2026-05-18T19:37:11.249777+00:00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 - All</t>
        </is>
      </c>
      <c r="D16" s="2" t="n"/>
      <c r="E16" s="4" t="inlineStr">
        <is>
          <t>Other considered vendor</t>
        </is>
      </c>
      <c r="F16" s="2" t="n"/>
      <c r="G16" s="4" t="inlineStr">
        <is>
          <t>Delta</t>
        </is>
      </c>
      <c r="H16" s="2" t="n"/>
    </row>
    <row r="17">
      <c r="A17" s="2" t="inlineStr"/>
      <c r="B17" s="2" t="inlineStr"/>
      <c r="C17" s="4" t="inlineStr">
        <is>
          <t>Mean</t>
        </is>
      </c>
      <c r="D17" s="4" t="inlineStr">
        <is>
          <t>Median</t>
        </is>
      </c>
      <c r="E17" s="4" t="inlineStr">
        <is>
          <t>Mean</t>
        </is>
      </c>
      <c r="F17" s="4" t="inlineStr">
        <is>
          <t>Median</t>
        </is>
      </c>
      <c r="G17" s="4" t="inlineStr">
        <is>
          <t>Mean</t>
        </is>
      </c>
      <c r="H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 s="15">
        <f>IFERROR(AVERAGEIFS(Q1r1c1_data,passes_workbook_filters_data,1,passes_workbook_custom_filters_data,1,All_Questions_passes_local_filters_data,1,All_Questions_Q1_F_passes_per_q_filter_data,1),0)</f>
        <v>8.2</v>
      </c>
      <c r="D18" s="15" t="n">
        <v>8</v>
      </c>
      <c r="E18" s="15">
        <f>IFERROR(AVERAGEIFS(Q1r1c2_data,passes_workbook_filters_data,1,passes_workbook_custom_filters_data,1,All_Questions_passes_local_filters_data,1,All_Questions_Q1_F_passes_per_q_filter_data,1),0)</f>
        <v>6.5</v>
      </c>
      <c r="F18" s="15" t="n">
        <v>6.5</v>
      </c>
      <c r="G18" s="15">
        <f>ROUND(C18-E18,1)</f>
        <v>1.7</v>
      </c>
      <c r="H18" s="15">
        <f>ROUND(D18-F18,1)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 s="15">
        <f>IFERROR(AVERAGEIFS(Q1r2c1_data,passes_workbook_filters_data,1,passes_workbook_custom_filters_data,1,All_Questions_passes_local_filters_data,1,All_Questions_Q1_F_passes_per_q_filter_data,1),0)</f>
        <v>8.8</v>
      </c>
      <c r="D19" s="15" t="n">
        <v>9</v>
      </c>
      <c r="E19" s="15">
        <f>IFERROR(AVERAGEIFS(Q1r2c2_data,passes_workbook_filters_data,1,passes_workbook_custom_filters_data,1,All_Questions_passes_local_filters_data,1,All_Questions_Q1_F_passes_per_q_filter_data,1),0)</f>
        <v>6.8</v>
      </c>
      <c r="F19" s="15" t="n">
        <v>7</v>
      </c>
      <c r="G19" s="15">
        <f>ROUND(C19-E19,1)</f>
        <v>2.0</v>
      </c>
      <c r="H19" s="15">
        <f>ROUND(D19-F19,1)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 s="15">
        <f>IFERROR(AVERAGEIFS(Q1r3c1_data,passes_workbook_filters_data,1,passes_workbook_custom_filters_data,1,All_Questions_passes_local_filters_data,1,All_Questions_Q1_F_passes_per_q_filter_data,1),0)</f>
        <v>7.8</v>
      </c>
      <c r="D20" s="15" t="n">
        <v>8</v>
      </c>
      <c r="E20" s="15">
        <f>IFERROR(AVERAGEIFS(Q1r3c2_data,passes_workbook_filters_data,1,passes_workbook_custom_filters_data,1,All_Questions_passes_local_filters_data,1,All_Questions_Q1_F_passes_per_q_filter_data,1),0)</f>
        <v>5.8</v>
      </c>
      <c r="F20" s="15" t="n">
        <v>6</v>
      </c>
      <c r="G20" s="15">
        <f>ROUND(C20-E20,1)</f>
        <v>2.0</v>
      </c>
      <c r="H20" s="15">
        <f>ROUND(D20-F20,1)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</row>
  </sheetData>
  <mergeCells count="4">
    <mergeCell ref="G16:H16"/>
    <mergeCell ref="A1:J1"/>
    <mergeCell ref="E16:F16"/>
    <mergeCell ref="C16:D16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2026-05-18T19:37:11Z</dcterms:created>
  <dcterms:modified xmlns:dcterms="http://purl.org/dc/terms/" xmlns:xsi="http://www.w3.org/2001/XMLSchema-instance" xsi:type="dcterms:W3CDTF">2026-05-18T19:37:12Z</dcterms:modified>
</cp:coreProperties>
</file>