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GRID_RATEDr1_data">'_RawData'!$B$2:$B$5</definedName>
    <definedName name="Q_DIRECT_NUM_data">'_RawData'!$C$2:$C$5</definedName>
    <definedName name="Q_CATEGORY_data">'_RawData'!$D$2:$D$5</definedName>
    <definedName name="All_Questions">'_Options'!$A$2:$A$3</definedName>
    <definedName name="All_Questions_Local">'_Options'!$B$2:$B$4</definedName>
    <definedName name="Cross_Tab_Questions">'_Options'!$L$2:$L$3</definedName>
    <definedName name="Cross_Tab_Questions_Data_Names">'_Options'!$M$2:$M$3</definedName>
    <definedName name="None_options">'_Options'!$E$2:$E$2</definedName>
    <definedName name="Q_GRID_RATEDr1_options">'_Options'!$F$2:$F$5</definedName>
    <definedName name="Q_GRID_RATEDr1_local_options">'_Options'!$I$2:$I$6</definedName>
    <definedName name="Q_DIRECT_NUM_options">'_Options'!$G$2:$G$4</definedName>
    <definedName name="Q_DIRECT_NUM_local_options">'_Options'!$J$2:$J$5</definedName>
    <definedName name="Q_CATEGORY_options">'_Options'!$H$2:$H$6</definedName>
    <definedName name="Q_CATEGORY_local_options">'_Options'!$K$2:$K$7</definedName>
    <definedName name="All_Questions_Data_Names">'_Options'!$C$2:$C$3</definedName>
    <definedName name="All_Questions_Options_Names">'_Options'!$D$2:$D$3</definedName>
    <definedName name="Cross_Tab_Questions_Options_Names">'_Options'!$N$2:$N$3</definedName>
    <definedName name="All_Questions_Value_Keys">'_Options'!$R$2:$R$2</definedName>
    <definedName name="All_Questions_Value_Data_Names">'_Options'!$S$2:$S$2</definedName>
    <definedName name="All_Questions_Value_Criteria">'_Options'!$T$2:$T$2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'_RawData'!$E$2:$E$5</definedName>
    <definedName name="F_Custom1_match_data">'_RawData'!$F$2:$F$5</definedName>
    <definedName name="F_Custom2_match_data">'_RawData'!$G$2:$G$5</definedName>
    <definedName name="passes_workbook_custom_filters_data">'_RawData'!$H$2:$H$5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'_RawData'!$I$2:$I$5</definedName>
    <definedName name="All_Questions_Q_GRID_RATED_F_Q">'All Questions'!$C$13</definedName>
    <definedName name="All_Questions_Q_GRID_RATED_F_V">'All Questions'!$E$13</definedName>
    <definedName name="All_Questions_Q_GRID_RATED_F_resolved_column">'All Questions'!$F$13</definedName>
    <definedName name="All_Questions_Q_GRID_RATED_F_wrapped">'All Questions'!$G$13</definedName>
    <definedName name="All_Questions_Q_GRID_RATED_F_resolved_criteria">'All Questions'!$H$13</definedName>
    <definedName name="All_Questions_Q_GRID_RATED_F_passes_per_q_filter_data">'_RawData'!$J$2:$J$5</definedName>
    <definedName name="All_Questions_Q_GRID_RATED_CT">'All Questions'!$C$14</definedName>
    <definedName name="All_Questions_Q_DIRECT_NUM_F_Q">'All Questions'!$C$30</definedName>
    <definedName name="All_Questions_Q_DIRECT_NUM_F_V">'All Questions'!$E$30</definedName>
    <definedName name="All_Questions_Q_DIRECT_NUM_F_resolved_column">'All Questions'!$F$30</definedName>
    <definedName name="All_Questions_Q_DIRECT_NUM_F_wrapped">'All Questions'!$G$30</definedName>
    <definedName name="All_Questions_Q_DIRECT_NUM_F_resolved_criteria">'All Questions'!$H$30</definedName>
    <definedName name="All_Questions_Q_DIRECT_NUM_F_passes_per_q_filter_data">'_RawData'!$K$2:$K$5</definedName>
    <definedName name="All_Questions_Q_DIRECT_NUM_CT">'All Questions'!$C$31</definedName>
    <definedName name="All_Questions_Q_CATEGORY_F_Q">'All Questions'!$C$48</definedName>
    <definedName name="All_Questions_Q_CATEGORY_F_V">'All Questions'!$E$48</definedName>
    <definedName name="All_Questions_Q_CATEGORY_F_resolved_column">'All Questions'!$F$48</definedName>
    <definedName name="All_Questions_Q_CATEGORY_F_wrapped">'All Questions'!$G$48</definedName>
    <definedName name="All_Questions_Q_CATEGORY_F_resolved_criteria">'All Questions'!$H$48</definedName>
    <definedName name="All_Questions_Q_CATEGORY_F_passes_per_q_filter_data">'_RawData'!$L$2:$L$5</definedName>
    <definedName name="All_Questions_Q_CATEGORY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E3" i="1"/>
  <c r="F3" i="1"/>
  <c r="G3" i="1"/>
  <c r="H3" i="1"/>
  <c r="I3" i="1"/>
  <c r="J3" i="1"/>
  <c r="K3" i="1"/>
  <c r="L3" i="1"/>
  <c r="E4" i="1"/>
  <c r="F4" i="1"/>
  <c r="G4" i="1"/>
  <c r="H4" i="1"/>
  <c r="I4" i="1"/>
  <c r="J4" i="1"/>
  <c r="K4" i="1"/>
  <c r="L4" i="1"/>
  <c r="E5" i="1"/>
  <c r="F5" i="1"/>
  <c r="G5" i="1"/>
  <c r="H5" i="1"/>
  <c r="I5" i="1"/>
  <c r="J5" i="1"/>
  <c r="K5" i="1"/>
  <c r="L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8" i="7"/>
  <c r="B19" i="7"/>
  <c r="B20" i="7"/>
  <c r="C21" i="7"/>
  <c r="G23" i="7"/>
  <c r="H23" i="7"/>
  <c r="I23" i="7"/>
  <c r="J23" i="7"/>
  <c r="K23" i="7"/>
  <c r="L23" i="7"/>
  <c r="M23" i="7"/>
  <c r="N23" i="7"/>
  <c r="O23" i="7"/>
  <c r="P23" i="7"/>
  <c r="Q23" i="7"/>
  <c r="R23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S26" i="7"/>
  <c r="F30" i="7"/>
  <c r="G30" i="7"/>
  <c r="H30" i="7"/>
  <c r="B35" i="7"/>
  <c r="D35" i="7"/>
  <c r="B36" i="7"/>
  <c r="D36" i="7"/>
  <c r="B37" i="7"/>
  <c r="D37" i="7"/>
  <c r="D38" i="7"/>
  <c r="G41" i="7"/>
  <c r="H41" i="7"/>
  <c r="I41" i="7"/>
  <c r="J41" i="7"/>
  <c r="K41" i="7"/>
  <c r="L41" i="7"/>
  <c r="M41" i="7"/>
  <c r="N41" i="7"/>
  <c r="O41" i="7"/>
  <c r="P41" i="7"/>
  <c r="Q41" i="7"/>
  <c r="R41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S44" i="7"/>
  <c r="F48" i="7"/>
  <c r="G48" i="7"/>
  <c r="H48" i="7"/>
  <c r="G51" i="7"/>
  <c r="H51" i="7"/>
  <c r="I51" i="7"/>
  <c r="J51" i="7"/>
  <c r="K51" i="7"/>
  <c r="L51" i="7"/>
  <c r="M51" i="7"/>
  <c r="N51" i="7"/>
  <c r="O51" i="7"/>
  <c r="P51" i="7"/>
  <c r="Q51" i="7"/>
  <c r="R51" i="7"/>
  <c r="B52" i="7"/>
  <c r="C52" i="7"/>
  <c r="D52" i="7"/>
  <c r="B53" i="7"/>
  <c r="C53" i="7"/>
  <c r="D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B54" i="7"/>
  <c r="C54" i="7"/>
  <c r="D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B55" i="7"/>
  <c r="C55" i="7"/>
  <c r="D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S57" i="7"/>
  <c r="H2" i="8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</calcChain>
</file>

<file path=xl/styles.xml><?xml version="1.0" encoding="utf-8"?>
<styleSheet xmlns="http://schemas.openxmlformats.org/spreadsheetml/2006/main">
  <numFmts count="1">
    <numFmt numFmtId="164" formatCode="0.0%"/>
  </numFmts>
  <fonts count="11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i val="1"/>
      <color rgb="00808080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21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34_1" displayName="T_All_Questions_34_1" ref="A34:D39" headerRowCount="1">
  <autoFilter ref="A34:D39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51_1" displayName="T_All_Questions_51_1" ref="A51:D56" headerRowCount="1">
  <autoFilter ref="A51:D5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Q_GRID_RATEDr1</t>
        </is>
      </c>
      <c r="C1" t="inlineStr">
        <is>
          <t>Q_DIRECT_NUM</t>
        </is>
      </c>
      <c r="D1" t="inlineStr">
        <is>
          <t>Q_CATEGORY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All_Questions_Q_GRID_RATED_F_passes_per_q_filter</t>
        </is>
      </c>
      <c r="K1" t="inlineStr">
        <is>
          <t>All_Questions_Q_DIRECT_NUM_F_passes_per_q_filter</t>
        </is>
      </c>
      <c r="L1" t="inlineStr">
        <is>
          <t>All_Questions_Q_CATEGORY_F_passes_per_q_filter</t>
        </is>
      </c>
    </row>
    <row r="2">
      <c r="A2" t="n">
        <v>1</v>
      </c>
      <c r="B2" t="n">
        <v>4</v>
      </c>
      <c r="C2" t="n">
        <v>10.5</v>
      </c>
      <c r="D2" t="inlineStr">
        <is>
          <t>4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H2">
        <f>F2*G2*1</f>
        <v>1</v>
      </c>
      <c r="I2">
        <f>1</f>
        <v>1</v>
      </c>
      <c r="J2">
        <f>IF(OR(All_Questions_Q_GRID_RATED_F_Q="(None)",All_Questions_Q_GRID_RATED_F_Q="",ISBLANK(All_Questions_Q_GRID_RATED_F_Q),All_Questions_Q_GRID_RATED_F_V="(All)",All_Questions_Q_GRID_RATED_F_V="",ISBLANK(All_Questions_Q_GRID_RATED_F_V)),1,IFERROR(IF(ISNUMBER(SEARCH("|"&amp;INDEX(INDIRECT(All_Questions_Q_GRID_RATED_F_resolved_column),1)&amp;"|",("|" &amp; SUBSTITUTE(All_Questions_Q_GRID_RATED_F_resolved_criteria, ", ", "|") &amp; "|"))),1,0),0))*1</f>
        <v>1</v>
      </c>
      <c r="K2">
        <f>IF(OR(All_Questions_Q_DIRECT_NUM_F_Q="(None)",All_Questions_Q_DIRECT_NUM_F_Q="",ISBLANK(All_Questions_Q_DIRECT_NUM_F_Q),All_Questions_Q_DIRECT_NUM_F_V="(All)",All_Questions_Q_DIRECT_NUM_F_V="",ISBLANK(All_Questions_Q_DIRECT_NUM_F_V)),1,IFERROR(IF(ISNUMBER(SEARCH("|"&amp;INDEX(INDIRECT(All_Questions_Q_DIRECT_NUM_F_resolved_column),1)&amp;"|",("|" &amp; SUBSTITUTE(All_Questions_Q_DIRECT_NUM_F_resolved_criteria, ", ", "|") &amp; "|"))),1,0),0))*1</f>
        <v>1</v>
      </c>
      <c r="L2">
        <f>IF(OR(All_Questions_Q_CATEGORY_F_Q="(None)",All_Questions_Q_CATEGORY_F_Q="",ISBLANK(All_Questions_Q_CATEGORY_F_Q),All_Questions_Q_CATEGORY_F_V="(All)",All_Questions_Q_CATEGORY_F_V="",ISBLANK(All_Questions_Q_CATEGORY_F_V)),1,IFERROR(IF(ISNUMBER(SEARCH("|"&amp;INDEX(INDIRECT(All_Questions_Q_CATEGORY_F_resolved_column),1)&amp;"|",("|" &amp; SUBSTITUTE(All_Questions_Q_CATEGORY_F_resolved_criteria, ", ", "|") &amp; "|"))),1,0),0))*1</f>
        <v>1</v>
      </c>
    </row>
    <row r="3">
      <c r="A3" t="n">
        <v>2</v>
      </c>
      <c r="B3" t="n">
        <v>5</v>
      </c>
      <c r="D3" t="inlineStr">
        <is>
          <t>5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H3">
        <f>F3*G3*1</f>
        <v>1</v>
      </c>
      <c r="I3">
        <f>1</f>
        <v>1</v>
      </c>
      <c r="J3">
        <f>IF(OR(All_Questions_Q_GRID_RATED_F_Q="(None)",All_Questions_Q_GRID_RATED_F_Q="",ISBLANK(All_Questions_Q_GRID_RATED_F_Q),All_Questions_Q_GRID_RATED_F_V="(All)",All_Questions_Q_GRID_RATED_F_V="",ISBLANK(All_Questions_Q_GRID_RATED_F_V)),1,IFERROR(IF(ISNUMBER(SEARCH("|"&amp;INDEX(INDIRECT(All_Questions_Q_GRID_RATED_F_resolved_column),2)&amp;"|",("|" &amp; SUBSTITUTE(All_Questions_Q_GRID_RATED_F_resolved_criteria, ", ", "|") &amp; "|"))),1,0),0))*1</f>
        <v>1</v>
      </c>
      <c r="K3">
        <f>IF(OR(All_Questions_Q_DIRECT_NUM_F_Q="(None)",All_Questions_Q_DIRECT_NUM_F_Q="",ISBLANK(All_Questions_Q_DIRECT_NUM_F_Q),All_Questions_Q_DIRECT_NUM_F_V="(All)",All_Questions_Q_DIRECT_NUM_F_V="",ISBLANK(All_Questions_Q_DIRECT_NUM_F_V)),1,IFERROR(IF(ISNUMBER(SEARCH("|"&amp;INDEX(INDIRECT(All_Questions_Q_DIRECT_NUM_F_resolved_column),2)&amp;"|",("|" &amp; SUBSTITUTE(All_Questions_Q_DIRECT_NUM_F_resolved_criteria, ", ", "|") &amp; "|"))),1,0),0))*1</f>
        <v>1</v>
      </c>
      <c r="L3">
        <f>IF(OR(All_Questions_Q_CATEGORY_F_Q="(None)",All_Questions_Q_CATEGORY_F_Q="",ISBLANK(All_Questions_Q_CATEGORY_F_Q),All_Questions_Q_CATEGORY_F_V="(All)",All_Questions_Q_CATEGORY_F_V="",ISBLANK(All_Questions_Q_CATEGORY_F_V)),1,IFERROR(IF(ISNUMBER(SEARCH("|"&amp;INDEX(INDIRECT(All_Questions_Q_CATEGORY_F_resolved_column),2)&amp;"|",("|" &amp; SUBSTITUTE(All_Questions_Q_CATEGORY_F_resolved_criteria, ", ", "|") &amp; "|"))),1,0),0))*1</f>
        <v>1</v>
      </c>
    </row>
    <row r="4">
      <c r="A4" t="n">
        <v>3</v>
      </c>
      <c r="D4" t="inlineStr">
        <is>
          <t>N/A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H4">
        <f>F4*G4*1</f>
        <v>1</v>
      </c>
      <c r="I4">
        <f>1</f>
        <v>1</v>
      </c>
      <c r="J4">
        <f>IF(OR(All_Questions_Q_GRID_RATED_F_Q="(None)",All_Questions_Q_GRID_RATED_F_Q="",ISBLANK(All_Questions_Q_GRID_RATED_F_Q),All_Questions_Q_GRID_RATED_F_V="(All)",All_Questions_Q_GRID_RATED_F_V="",ISBLANK(All_Questions_Q_GRID_RATED_F_V)),1,IFERROR(IF(ISNUMBER(SEARCH("|"&amp;INDEX(INDIRECT(All_Questions_Q_GRID_RATED_F_resolved_column),3)&amp;"|",("|" &amp; SUBSTITUTE(All_Questions_Q_GRID_RATED_F_resolved_criteria, ", ", "|") &amp; "|"))),1,0),0))*1</f>
        <v>1</v>
      </c>
      <c r="K4">
        <f>IF(OR(All_Questions_Q_DIRECT_NUM_F_Q="(None)",All_Questions_Q_DIRECT_NUM_F_Q="",ISBLANK(All_Questions_Q_DIRECT_NUM_F_Q),All_Questions_Q_DIRECT_NUM_F_V="(All)",All_Questions_Q_DIRECT_NUM_F_V="",ISBLANK(All_Questions_Q_DIRECT_NUM_F_V)),1,IFERROR(IF(ISNUMBER(SEARCH("|"&amp;INDEX(INDIRECT(All_Questions_Q_DIRECT_NUM_F_resolved_column),3)&amp;"|",("|" &amp; SUBSTITUTE(All_Questions_Q_DIRECT_NUM_F_resolved_criteria, ", ", "|") &amp; "|"))),1,0),0))*1</f>
        <v>1</v>
      </c>
      <c r="L4">
        <f>IF(OR(All_Questions_Q_CATEGORY_F_Q="(None)",All_Questions_Q_CATEGORY_F_Q="",ISBLANK(All_Questions_Q_CATEGORY_F_Q),All_Questions_Q_CATEGORY_F_V="(All)",All_Questions_Q_CATEGORY_F_V="",ISBLANK(All_Questions_Q_CATEGORY_F_V)),1,IFERROR(IF(ISNUMBER(SEARCH("|"&amp;INDEX(INDIRECT(All_Questions_Q_CATEGORY_F_resolved_column),3)&amp;"|",("|" &amp; SUBSTITUTE(All_Questions_Q_CATEGORY_F_resolved_criteria, ", ", "|") &amp; "|"))),1,0),0))*1</f>
        <v>1</v>
      </c>
    </row>
    <row r="5">
      <c r="A5" t="n">
        <v>4</v>
      </c>
      <c r="B5" t="n">
        <v>3</v>
      </c>
      <c r="C5" t="n">
        <v>7</v>
      </c>
      <c r="D5" t="inlineStr">
        <is>
          <t>3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H5">
        <f>F5*G5*1</f>
        <v>1</v>
      </c>
      <c r="I5">
        <f>1</f>
        <v>1</v>
      </c>
      <c r="J5">
        <f>IF(OR(All_Questions_Q_GRID_RATED_F_Q="(None)",All_Questions_Q_GRID_RATED_F_Q="",ISBLANK(All_Questions_Q_GRID_RATED_F_Q),All_Questions_Q_GRID_RATED_F_V="(All)",All_Questions_Q_GRID_RATED_F_V="",ISBLANK(All_Questions_Q_GRID_RATED_F_V)),1,IFERROR(IF(ISNUMBER(SEARCH("|"&amp;INDEX(INDIRECT(All_Questions_Q_GRID_RATED_F_resolved_column),4)&amp;"|",("|" &amp; SUBSTITUTE(All_Questions_Q_GRID_RATED_F_resolved_criteria, ", ", "|") &amp; "|"))),1,0),0))*1</f>
        <v>1</v>
      </c>
      <c r="K5">
        <f>IF(OR(All_Questions_Q_DIRECT_NUM_F_Q="(None)",All_Questions_Q_DIRECT_NUM_F_Q="",ISBLANK(All_Questions_Q_DIRECT_NUM_F_Q),All_Questions_Q_DIRECT_NUM_F_V="(All)",All_Questions_Q_DIRECT_NUM_F_V="",ISBLANK(All_Questions_Q_DIRECT_NUM_F_V)),1,IFERROR(IF(ISNUMBER(SEARCH("|"&amp;INDEX(INDIRECT(All_Questions_Q_DIRECT_NUM_F_resolved_column),4)&amp;"|",("|" &amp; SUBSTITUTE(All_Questions_Q_DIRECT_NUM_F_resolved_criteria, ", ", "|") &amp; "|"))),1,0),0))*1</f>
        <v>1</v>
      </c>
      <c r="L5">
        <f>IF(OR(All_Questions_Q_CATEGORY_F_Q="(None)",All_Questions_Q_CATEGORY_F_Q="",ISBLANK(All_Questions_Q_CATEGORY_F_Q),All_Questions_Q_CATEGORY_F_V="(All)",All_Questions_Q_CATEGORY_F_V="",ISBLANK(All_Questions_Q_CATEGORY_F_V)),1,IFERROR(IF(ISNUMBER(SEARCH("|"&amp;INDEX(INDIRECT(All_Questions_Q_CATEGORY_F_resolved_column),4)&amp;"|",("|" &amp; SUBSTITUTE(All_Questions_Q_CATEGORY_F_resolved_criteria,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Q_GRID_RATEDr1_options</t>
        </is>
      </c>
      <c r="G1" t="inlineStr">
        <is>
          <t>Q_DIRECT_NUM_options</t>
        </is>
      </c>
      <c r="H1" t="inlineStr">
        <is>
          <t>Q_CATEGORY_options</t>
        </is>
      </c>
      <c r="I1" t="inlineStr">
        <is>
          <t>Q_GRID_RATEDr1_local_options</t>
        </is>
      </c>
      <c r="J1" t="inlineStr">
        <is>
          <t>Q_DIRECT_NUM_local_options</t>
        </is>
      </c>
      <c r="K1" t="inlineStr">
        <is>
          <t>Q_CATEGORY_local_options</t>
        </is>
      </c>
      <c r="L1" t="inlineStr">
        <is>
          <t>Cross_Tab_Questions</t>
        </is>
      </c>
      <c r="M1" t="inlineStr">
        <is>
          <t>Cross_Tab_Questions_Data_Names</t>
        </is>
      </c>
      <c r="N1" t="inlineStr">
        <is>
          <t>Cross_Tab_Questions_Options_Names</t>
        </is>
      </c>
      <c r="R1" t="inlineStr">
        <is>
          <t>All_Questions_Value_Keys</t>
        </is>
      </c>
      <c r="S1" t="inlineStr">
        <is>
          <t>All_Questions_Value_Data_Names</t>
        </is>
      </c>
      <c r="T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(None)</t>
        </is>
      </c>
      <c r="M2" t="inlineStr">
        <is>
          <t>'_RawData'!$A$2:$A$5</t>
        </is>
      </c>
      <c r="N2" t="inlineStr">
        <is>
          <t>'_Options'!$E$2:$E$2</t>
        </is>
      </c>
    </row>
    <row r="3">
      <c r="A3" t="inlineStr">
        <is>
          <t>Q_CATEGORY - Categorical Numeric-Looking Values</t>
        </is>
      </c>
      <c r="B3" t="inlineStr">
        <is>
          <t>(None)</t>
        </is>
      </c>
      <c r="C3" t="inlineStr">
        <is>
          <t>'_RawData'!$D$2:$D$5</t>
        </is>
      </c>
      <c r="D3" t="inlineStr">
        <is>
          <t>'_Options'!$H$2:$H$6</t>
        </is>
      </c>
      <c r="F3" t="inlineStr">
        <is>
          <t>4</t>
        </is>
      </c>
      <c r="G3" t="inlineStr">
        <is>
          <t>10.5</t>
        </is>
      </c>
      <c r="H3" t="inlineStr">
        <is>
          <t>4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  <c r="L3" t="inlineStr">
        <is>
          <t>Q_CATEGORY - Categorical Numeric-Looking Values</t>
        </is>
      </c>
      <c r="M3" t="inlineStr">
        <is>
          <t>'_RawData'!$D$2:$D$5</t>
        </is>
      </c>
      <c r="N3" t="inlineStr">
        <is>
          <t>'_Options'!$H$2:$H$6</t>
        </is>
      </c>
    </row>
    <row r="4">
      <c r="B4" t="inlineStr">
        <is>
          <t>Q_CATEGORY - Categorical Numeric-Looking Values</t>
        </is>
      </c>
      <c r="F4" t="inlineStr">
        <is>
          <t>5</t>
        </is>
      </c>
      <c r="G4" t="inlineStr">
        <is>
          <t>7</t>
        </is>
      </c>
      <c r="H4" t="inlineStr">
        <is>
          <t>5</t>
        </is>
      </c>
      <c r="I4" t="inlineStr">
        <is>
          <t>4</t>
        </is>
      </c>
      <c r="J4" t="inlineStr">
        <is>
          <t>10.5</t>
        </is>
      </c>
      <c r="K4" t="inlineStr">
        <is>
          <t>4</t>
        </is>
      </c>
    </row>
    <row r="5">
      <c r="F5" t="inlineStr">
        <is>
          <t>3</t>
        </is>
      </c>
      <c r="H5" t="inlineStr">
        <is>
          <t>N/A</t>
        </is>
      </c>
      <c r="I5" t="inlineStr">
        <is>
          <t>5</t>
        </is>
      </c>
      <c r="J5" t="inlineStr">
        <is>
          <t>7</t>
        </is>
      </c>
      <c r="K5" t="inlineStr">
        <is>
          <t>5</t>
        </is>
      </c>
    </row>
    <row r="6">
      <c r="H6" t="inlineStr">
        <is>
          <t>3</t>
        </is>
      </c>
      <c r="I6" t="inlineStr">
        <is>
          <t>3</t>
        </is>
      </c>
      <c r="K6" t="inlineStr">
        <is>
          <t>N/A</t>
        </is>
      </c>
    </row>
    <row r="7">
      <c r="K7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3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36" customWidth="1" min="3" max="3"/>
    <col width="16" customWidth="1" min="4" max="4"/>
    <col width="1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[Q_GRID_RATED]</t>
        </is>
      </c>
      <c r="B2" t="inlineStr">
        <is>
          <t>Q_GRID_RATED</t>
        </is>
      </c>
      <c r="C2" t="inlineStr">
        <is>
          <t>Rate importance</t>
        </is>
      </c>
      <c r="D2" t="inlineStr">
        <is>
          <t>GRID_RATED</t>
        </is>
      </c>
      <c r="E2" t="inlineStr">
        <is>
          <t>Q_GRID_RATEDr1</t>
        </is>
      </c>
      <c r="F2" t="n">
        <v>5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[Q_DIRECT_NUM]</t>
        </is>
      </c>
      <c r="B3" t="inlineStr">
        <is>
          <t>Q_DIRECT_NUM</t>
        </is>
      </c>
      <c r="C3" t="inlineStr">
        <is>
          <t>Direct numeric</t>
        </is>
      </c>
      <c r="D3" t="inlineStr">
        <is>
          <t>DIRECT_NUMERIC</t>
        </is>
      </c>
      <c r="E3" t="inlineStr">
        <is>
          <t>Q_DIRECT_NUM</t>
        </is>
      </c>
      <c r="F3" t="n">
        <v>0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[Q_CATEGORY]</t>
        </is>
      </c>
      <c r="B4" t="inlineStr">
        <is>
          <t>Q_CATEGORY</t>
        </is>
      </c>
      <c r="C4" t="inlineStr">
        <is>
          <t>Categorical numeric-looking values</t>
        </is>
      </c>
      <c r="D4" t="inlineStr">
        <is>
          <t>SINGLE_SELECT</t>
        </is>
      </c>
      <c r="E4" t="inlineStr">
        <is>
          <t>Q_CATEGORY</t>
        </is>
      </c>
      <c r="F4" t="n">
        <v>4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Q_GRID_RATED</t>
        </is>
      </c>
      <c r="B2" t="inlineStr">
        <is>
          <t>Q_GRID_RATED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3</v>
      </c>
      <c r="G2" t="n">
        <v>1</v>
      </c>
      <c r="H2" s="7" t="n">
        <v>0.25</v>
      </c>
      <c r="I2" t="inlineStr"/>
    </row>
    <row r="3">
      <c r="A3" t="inlineStr">
        <is>
          <t>Q_DIRECT_NUM</t>
        </is>
      </c>
      <c r="B3" t="inlineStr">
        <is>
          <t>Q_DIRECT_NUM</t>
        </is>
      </c>
      <c r="C3" t="inlineStr">
        <is>
          <t>DIRECT_NUMERIC</t>
        </is>
      </c>
      <c r="D3" t="inlineStr">
        <is>
          <t>All Questions</t>
        </is>
      </c>
      <c r="E3" s="6" t="inlineStr">
        <is>
          <t>All Questions</t>
        </is>
      </c>
      <c r="F3" t="n">
        <v>2</v>
      </c>
      <c r="G3" t="n">
        <v>2</v>
      </c>
      <c r="H3" s="7" t="n">
        <v>0.5</v>
      </c>
      <c r="I3" t="inlineStr"/>
    </row>
    <row r="4">
      <c r="A4" t="inlineStr">
        <is>
          <t>Q_CATEGORY</t>
        </is>
      </c>
      <c r="B4" t="inlineStr">
        <is>
          <t>Q_CATEGORY</t>
        </is>
      </c>
      <c r="C4" t="inlineStr">
        <is>
          <t>SINGLE_SELECT</t>
        </is>
      </c>
      <c r="D4" t="inlineStr">
        <is>
          <t>All Questions</t>
        </is>
      </c>
      <c r="E4" s="6" t="inlineStr">
        <is>
          <t>All Questions</t>
        </is>
      </c>
      <c r="F4" t="n">
        <v>4</v>
      </c>
      <c r="G4" t="n">
        <v>0</v>
      </c>
      <c r="H4" s="7" t="n">
        <v>0</v>
      </c>
      <c r="I4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Q_GRID_RATED - Rate importance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IFERROR(INDEX(All_Questions_Value_Data_Names,MATCH(All_Questions_Q_GRID_RATED_F_Q&amp;"|"&amp;All_Questions_Q_GRID_RATED_F_V,All_Questions_Value_Keys,0)),IFERROR(INDEX(All_Questions_Data_Names,MATCH(All_Questions_Q_GRID_RATED_F_Q,All_Questions,0)),"'_RawData'!$A:$A"))</f>
        <v>respondent_id_data</v>
      </c>
      <c r="G13" t="str">
        <f>"|" &amp; SUBSTITUTE(All_Questions_Q_GRID_RATED_F_V, ", ", "|") &amp; "|"</f>
        <v>|(All)|</v>
      </c>
      <c r="H13" t="str">
        <f>IFERROR(INDEX(All_Questions_Value_Criteria,MATCH(All_Questions_Q_GRID_RATED_F_Q&amp;"|"&amp;All_Questions_Q_GRID_RATED_F_V,All_Questions_Value_Keys,0)),All_Questions_Q_GRID_RATED_F_V)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>
      <c r="A15" s="14" t="inlineStr">
        <is>
          <t>Note: This question was shown to a subset. Total respondents shown: 3.</t>
        </is>
      </c>
    </row>
    <row r="16"/>
    <row r="17">
      <c r="A17" s="4" t="inlineStr">
        <is>
          <t>Sub-question ID</t>
        </is>
      </c>
      <c r="B17" s="4" t="inlineStr">
        <is>
          <t>Sub-question</t>
        </is>
      </c>
      <c r="C17" s="4" t="inlineStr">
        <is>
          <t>All</t>
        </is>
      </c>
    </row>
    <row r="18">
      <c r="A18" s="15" t="inlineStr">
        <is>
          <t>Q_GRID_RATEDr1</t>
        </is>
      </c>
      <c r="B18" t="inlineStr">
        <is>
          <t>Reduces time spent on key workflows</t>
        </is>
      </c>
      <c r="C18" s="16">
        <f>IFERROR(AVERAGEIFS(Q_GRID_RATEDr1_data,Q_GRID_RATEDr1_data,"&gt;=0",passes_workbook_filters_data,1,passes_workbook_custom_filters_data,1,All_Questions_passes_local_filters_data,1,All_Questions_Q_GRID_RATED_F_passes_per_q_filter_data,1),"-")</f>
        <v>4.0</v>
      </c>
    </row>
    <row r="19">
      <c r="A19" s="17" t="inlineStr">
        <is>
          <t>Total respondents</t>
        </is>
      </c>
      <c r="B19" s="18">
        <f>COUNTIFS(Q_GRID_RATEDr1_data,"&lt;&gt;",passes_workbook_filters_data,1,passes_workbook_custom_filters_data,1,All_Questions_passes_local_filters_data,1,All_Questions_Q_GRID_RATED_F_passes_per_q_filter_data,1)</f>
        <v>3</v>
      </c>
      <c r="C19" s="17" t="n"/>
    </row>
    <row r="20">
      <c r="A20" s="4" t="inlineStr">
        <is>
          <t>Total responses</t>
        </is>
      </c>
      <c r="B20" s="19">
        <f>SUM(COUNTIFS(Q_GRID_RATEDr1_data,"&lt;&gt;",passes_workbook_filters_data,1,passes_workbook_custom_filters_data,1,All_Questions_passes_local_filters_data,1,All_Questions_Q_GRID_RATED_F_passes_per_q_filter_data,1))</f>
        <v>3</v>
      </c>
      <c r="C20" s="4" t="n"/>
    </row>
    <row r="21">
      <c r="B21" s="5" t="inlineStr">
        <is>
          <t>QC check</t>
        </is>
      </c>
      <c r="C21">
        <f>B20=SUM(COUNTIFS(Q_GRID_RATEDr1_data,"&lt;&gt;",passes_workbook_filters_data,1,passes_workbook_custom_filters_data,1,All_Questions_passes_local_filters_data,1,All_Questions_Q_GRID_RATED_F_passes_per_q_filter_data,1))</f>
        <v>1</v>
      </c>
    </row>
    <row r="22"/>
    <row r="23">
      <c r="F23" s="4" t="inlineStr">
        <is>
          <t>Option</t>
        </is>
      </c>
      <c r="G23" s="2" t="str">
        <f>IF(All_Questions_Q_GRID_RATED_CT="(None)","",IFERROR(INDEX(INDIRECT(IFERROR(INDEX(Cross_Tab_Questions_Options_Names,MATCH(All_Questions_Q_GRID_RATED_CT,Cross_Tab_Questions,0)),"'_Options'!$E$2:$E$2")),2),""))</f>
        <v/>
      </c>
      <c r="H23" s="2" t="str">
        <f>IF(All_Questions_Q_GRID_RATED_CT="(None)","",IFERROR(INDEX(INDIRECT(IFERROR(INDEX(Cross_Tab_Questions_Options_Names,MATCH(All_Questions_Q_GRID_RATED_CT,Cross_Tab_Questions,0)),"'_Options'!$E$2:$E$2")),3),""))</f>
        <v/>
      </c>
      <c r="I23" s="2" t="str">
        <f>IF(All_Questions_Q_GRID_RATED_CT="(None)","",IFERROR(INDEX(INDIRECT(IFERROR(INDEX(Cross_Tab_Questions_Options_Names,MATCH(All_Questions_Q_GRID_RATED_CT,Cross_Tab_Questions,0)),"'_Options'!$E$2:$E$2")),4),""))</f>
        <v/>
      </c>
      <c r="J23" s="2" t="str">
        <f>IF(All_Questions_Q_GRID_RATED_CT="(None)","",IFERROR(INDEX(INDIRECT(IFERROR(INDEX(Cross_Tab_Questions_Options_Names,MATCH(All_Questions_Q_GRID_RATED_CT,Cross_Tab_Questions,0)),"'_Options'!$E$2:$E$2")),5),""))</f>
        <v/>
      </c>
      <c r="K23" s="2" t="str">
        <f>IF(All_Questions_Q_GRID_RATED_CT="(None)","",IFERROR(INDEX(INDIRECT(IFERROR(INDEX(Cross_Tab_Questions_Options_Names,MATCH(All_Questions_Q_GRID_RATED_CT,Cross_Tab_Questions,0)),"'_Options'!$E$2:$E$2")),6),""))</f>
        <v/>
      </c>
      <c r="L23" s="2" t="str">
        <f>IF(All_Questions_Q_GRID_RATED_CT="(None)","",IFERROR(INDEX(INDIRECT(IFERROR(INDEX(Cross_Tab_Questions_Options_Names,MATCH(All_Questions_Q_GRID_RATED_CT,Cross_Tab_Questions,0)),"'_Options'!$E$2:$E$2")),7),""))</f>
        <v/>
      </c>
      <c r="M23" s="2" t="str">
        <f>IF(All_Questions_Q_GRID_RATED_CT="(None)","",IFERROR(INDEX(INDIRECT(IFERROR(INDEX(Cross_Tab_Questions_Options_Names,MATCH(All_Questions_Q_GRID_RATED_CT,Cross_Tab_Questions,0)),"'_Options'!$E$2:$E$2")),8),""))</f>
        <v/>
      </c>
      <c r="N23" s="2" t="str">
        <f>IF(All_Questions_Q_GRID_RATED_CT="(None)","",IFERROR(INDEX(INDIRECT(IFERROR(INDEX(Cross_Tab_Questions_Options_Names,MATCH(All_Questions_Q_GRID_RATED_CT,Cross_Tab_Questions,0)),"'_Options'!$E$2:$E$2")),9),""))</f>
        <v/>
      </c>
      <c r="O23" s="2" t="str">
        <f>IF(All_Questions_Q_GRID_RATED_CT="(None)","",IFERROR(INDEX(INDIRECT(IFERROR(INDEX(Cross_Tab_Questions_Options_Names,MATCH(All_Questions_Q_GRID_RATED_CT,Cross_Tab_Questions,0)),"'_Options'!$E$2:$E$2")),10),""))</f>
        <v/>
      </c>
      <c r="P23" s="2" t="str">
        <f>IF(All_Questions_Q_GRID_RATED_CT="(None)","",IFERROR(INDEX(INDIRECT(IFERROR(INDEX(Cross_Tab_Questions_Options_Names,MATCH(All_Questions_Q_GRID_RATED_CT,Cross_Tab_Questions,0)),"'_Options'!$E$2:$E$2")),11),""))</f>
        <v/>
      </c>
      <c r="Q23" s="2" t="str">
        <f>IF(All_Questions_Q_GRID_RATED_CT="(None)","",IFERROR(INDEX(INDIRECT(IFERROR(INDEX(Cross_Tab_Questions_Options_Names,MATCH(All_Questions_Q_GRID_RATED_CT,Cross_Tab_Questions,0)),"'_Options'!$E$2:$E$2")),12),""))</f>
        <v/>
      </c>
      <c r="R23" s="2" t="str">
        <f>IF(All_Questions_Q_GRID_RATED_CT="(None)","",IF(COUNTA(INDIRECT(IFERROR(INDEX(Cross_Tab_Questions_Options_Names,MATCH(All_Questions_Q_GRID_RATED_CT,Cross_Tab_Questions,0)),"'_Options'!$E$2:$E$2")))-1&gt;11,"Other",IFERROR(INDEX(INDIRECT(IFERROR(INDEX(Cross_Tab_Questions_Options_Names,MATCH(All_Questions_Q_GRID_RATED_CT,Cross_Tab_Questions,0)),"'_Options'!$E$2:$E$2")),13),"")))</f>
        <v/>
      </c>
      <c r="S23" s="4" t="inlineStr">
        <is>
          <t>Total</t>
        </is>
      </c>
    </row>
    <row r="24">
      <c r="F24" s="4" t="inlineStr"/>
      <c r="G24" s="4" t="inlineStr">
        <is>
          <t>Mean</t>
        </is>
      </c>
      <c r="H24" s="4" t="inlineStr">
        <is>
          <t>Mean</t>
        </is>
      </c>
      <c r="I24" s="4" t="inlineStr">
        <is>
          <t>Mean</t>
        </is>
      </c>
      <c r="J24" s="4" t="inlineStr">
        <is>
          <t>Mean</t>
        </is>
      </c>
      <c r="K24" s="4" t="inlineStr">
        <is>
          <t>Mean</t>
        </is>
      </c>
      <c r="L24" s="4" t="inlineStr">
        <is>
          <t>Mean</t>
        </is>
      </c>
      <c r="M24" s="4" t="inlineStr">
        <is>
          <t>Mean</t>
        </is>
      </c>
      <c r="N24" s="4" t="inlineStr">
        <is>
          <t>Mean</t>
        </is>
      </c>
      <c r="O24" s="4" t="inlineStr">
        <is>
          <t>Mean</t>
        </is>
      </c>
      <c r="P24" s="4" t="inlineStr">
        <is>
          <t>Mean</t>
        </is>
      </c>
      <c r="Q24" s="4" t="inlineStr">
        <is>
          <t>Mean</t>
        </is>
      </c>
      <c r="R24" s="4" t="inlineStr">
        <is>
          <t>Mean</t>
        </is>
      </c>
      <c r="S24" s="4" t="inlineStr">
        <is>
          <t>Mean</t>
        </is>
      </c>
    </row>
    <row r="25">
      <c r="F25" t="inlineStr">
        <is>
          <t>Reduces time spent on key workflows</t>
        </is>
      </c>
      <c r="G25" s="16">
        <f>IF(OR(All_Questions_Q_GRID_RATED_CT="(None)",G$23=""),"",IF(G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G$23),"")))</f>
        <v>4.0</v>
      </c>
      <c r="H25" s="16">
        <f>IF(OR(All_Questions_Q_GRID_RATED_CT="(None)",H$23=""),"",IF(H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H$23),"")))</f>
        <v>4.0</v>
      </c>
      <c r="I25" s="16">
        <f>IF(OR(All_Questions_Q_GRID_RATED_CT="(None)",I$23=""),"",IF(I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I$23),"")))</f>
        <v>4.0</v>
      </c>
      <c r="J25" s="16">
        <f>IF(OR(All_Questions_Q_GRID_RATED_CT="(None)",J$23=""),"",IF(J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J$23),"")))</f>
        <v>4.0</v>
      </c>
      <c r="K25" s="16">
        <f>IF(OR(All_Questions_Q_GRID_RATED_CT="(None)",K$23=""),"",IF(K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K$23),"")))</f>
        <v>4.0</v>
      </c>
      <c r="L25" s="16">
        <f>IF(OR(All_Questions_Q_GRID_RATED_CT="(None)",L$23=""),"",IF(L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L$23),"")))</f>
        <v>4.0</v>
      </c>
      <c r="M25" s="16">
        <f>IF(OR(All_Questions_Q_GRID_RATED_CT="(None)",M$23=""),"",IF(M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M$23),"")))</f>
        <v>4.0</v>
      </c>
      <c r="N25" s="16">
        <f>IF(OR(All_Questions_Q_GRID_RATED_CT="(None)",N$23=""),"",IF(N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N$23),"")))</f>
        <v>4.0</v>
      </c>
      <c r="O25" s="16">
        <f>IF(OR(All_Questions_Q_GRID_RATED_CT="(None)",O$23=""),"",IF(O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O$23),"")))</f>
        <v>4.0</v>
      </c>
      <c r="P25" s="16">
        <f>IF(OR(All_Questions_Q_GRID_RATED_CT="(None)",P$23=""),"",IF(P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P$23),"")))</f>
        <v>4.0</v>
      </c>
      <c r="Q25" s="16">
        <f>IF(OR(All_Questions_Q_GRID_RATED_CT="(None)",Q$23=""),"",IF(Q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Q$23),"")))</f>
        <v>4.0</v>
      </c>
      <c r="R25" s="16">
        <f>IF(OR(All_Questions_Q_GRID_RATED_CT="(None)",R$23=""),"",IF(R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R$23),"")))</f>
        <v>4.0</v>
      </c>
      <c r="S25" s="16">
        <f>IF(All_Questions_Q_GRID_RATED_CT="(None)","",IFERROR(AVERAGEIFS(Q_GRID_RATEDr1_data,Q_GRID_RATEDr1_data,"&gt;=0",passes_workbook_filters_data,1,passes_workbook_custom_filters_data,1,All_Questions_passes_local_filters_data,1,All_Questions_Q_GRID_RATED_F_passes_per_q_filter_data,1),""))</f>
        <v>4.0</v>
      </c>
    </row>
    <row r="26">
      <c r="F26" s="4" t="inlineStr">
        <is>
          <t>Total respondents</t>
        </is>
      </c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>
        <f>IF(All_Questions_Q_GRID_RATED_CT="(None)","",COUNTIFS(respondent_id_data,"&lt;&gt;",passes_workbook_filters_data,1,passes_workbook_custom_filters_data,1,All_Questions_passes_local_filters_data,1,All_Questions_Q_GRID_RATED_F_passes_per_q_filter_data,1))</f>
        <v>0</v>
      </c>
    </row>
    <row r="27"/>
    <row r="28">
      <c r="A28" s="11" t="n"/>
      <c r="B28" s="11" t="n"/>
      <c r="C28" s="11" t="n"/>
      <c r="D28" s="11" t="n"/>
      <c r="E28" s="11" t="n"/>
      <c r="F28" s="11" t="n"/>
      <c r="G28" s="11" t="n"/>
      <c r="H28" s="11" t="n"/>
      <c r="I28" s="11" t="n"/>
      <c r="J28" s="11" t="n"/>
    </row>
    <row r="29">
      <c r="A29" s="12" t="inlineStr">
        <is>
          <t>Q_DIRECT_NUM - Direct numeric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</row>
    <row r="30">
      <c r="A30" s="13" t="inlineStr">
        <is>
          <t>Per-question filter</t>
        </is>
      </c>
      <c r="B30" t="inlineStr">
        <is>
          <t>Filter Q</t>
        </is>
      </c>
      <c r="C30" t="inlineStr">
        <is>
          <t>(None)</t>
        </is>
      </c>
      <c r="D30" t="inlineStr">
        <is>
          <t>Value</t>
        </is>
      </c>
      <c r="E30" t="inlineStr">
        <is>
          <t>(All)</t>
        </is>
      </c>
      <c r="F30" t="str">
        <f>IFERROR(INDEX(All_Questions_Value_Data_Names,MATCH(All_Questions_Q_DIRECT_NUM_F_Q&amp;"|"&amp;All_Questions_Q_DIRECT_NUM_F_V,All_Questions_Value_Keys,0)),IFERROR(INDEX(All_Questions_Data_Names,MATCH(All_Questions_Q_DIRECT_NUM_F_Q,All_Questions,0)),"'_RawData'!$A:$A"))</f>
        <v>respondent_id_data</v>
      </c>
      <c r="G30" t="str">
        <f>"|" &amp; SUBSTITUTE(All_Questions_Q_DIRECT_NUM_F_V, ", ", "|") &amp; "|"</f>
        <v>|(All)|</v>
      </c>
      <c r="H30" t="str">
        <f>IFERROR(INDEX(All_Questions_Value_Criteria,MATCH(All_Questions_Q_DIRECT_NUM_F_Q&amp;"|"&amp;All_Questions_Q_DIRECT_NUM_F_V,All_Questions_Value_Keys,0)),All_Questions_Q_DIRECT_NUM_F_V)</f>
        <v>(All)</v>
      </c>
    </row>
    <row r="31">
      <c r="A31" s="13" t="inlineStr">
        <is>
          <t>Cross-tab by</t>
        </is>
      </c>
      <c r="C31" t="inlineStr">
        <is>
          <t>(None)</t>
        </is>
      </c>
    </row>
    <row r="32">
      <c r="A32" s="14" t="inlineStr">
        <is>
          <t>Note: This question was shown to a subset. Total respondents shown: 2.</t>
        </is>
      </c>
    </row>
    <row r="33"/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 s="16">
        <f>IFERROR(AVERAGEIFS(Q_DIRECT_NUM_data,passes_workbook_filters_data,1,passes_workbook_custom_filters_data,1,All_Questions_passes_local_filters_data,1,All_Questions_Q_DIRECT_NUM_F_passes_per_q_filter_data,1),0)</f>
        <v>8.75</v>
      </c>
      <c r="D35">
        <f>COUNTIFS(Q_DIRECT_NUM_data,"&lt;&gt;",passes_workbook_filters_data,1,passes_workbook_custom_filters_data,1,All_Questions_passes_local_filters_data,1,All_Questions_Q_DIRECT_NUM_F_passes_per_q_filter_data,1)</f>
        <v>2</v>
      </c>
    </row>
    <row r="36">
      <c r="A36" t="inlineStr">
        <is>
          <t>Min</t>
        </is>
      </c>
      <c r="B36" s="16">
        <f>IFERROR(MINIFS(Q_DIRECT_NUM_data,passes_workbook_filters_data,1,passes_workbook_custom_filters_data,1,All_Questions_passes_local_filters_data,1,All_Questions_Q_DIRECT_NUM_F_passes_per_q_filter_data,1),0)</f>
        <v>7.0</v>
      </c>
      <c r="D36">
        <f>COUNTIFS(Q_DIRECT_NUM_data,"&lt;&gt;",passes_workbook_filters_data,1,passes_workbook_custom_filters_data,1,All_Questions_passes_local_filters_data,1,All_Questions_Q_DIRECT_NUM_F_passes_per_q_filter_data,1)</f>
        <v>2</v>
      </c>
    </row>
    <row r="37">
      <c r="A37" t="inlineStr">
        <is>
          <t>Max</t>
        </is>
      </c>
      <c r="B37" s="16">
        <f>IFERROR(MAXIFS(Q_DIRECT_NUM_data,passes_workbook_filters_data,1,passes_workbook_custom_filters_data,1,All_Questions_passes_local_filters_data,1,All_Questions_Q_DIRECT_NUM_F_passes_per_q_filter_data,1),0)</f>
        <v>10.5</v>
      </c>
      <c r="D37">
        <f>COUNTIFS(Q_DIRECT_NUM_data,"&lt;&gt;",passes_workbook_filters_data,1,passes_workbook_custom_filters_data,1,All_Questions_passes_local_filters_data,1,All_Questions_Q_DIRECT_NUM_F_passes_per_q_filter_data,1)</f>
        <v>2</v>
      </c>
    </row>
    <row r="38">
      <c r="A38" t="inlineStr">
        <is>
          <t>Std</t>
        </is>
      </c>
      <c r="B38" s="16" t="n">
        <v>2.4749</v>
      </c>
      <c r="C38" t="inlineStr">
        <is>
          <t>static baseline</t>
        </is>
      </c>
      <c r="D38">
        <f>COUNTIFS(Q_DIRECT_NUM_data,"&lt;&gt;",passes_workbook_filters_data,1,passes_workbook_custom_filters_data,1,All_Questions_passes_local_filters_data,1,All_Questions_Q_DIRECT_NUM_F_passes_per_q_filter_data,1)</f>
        <v>2</v>
      </c>
    </row>
    <row r="39">
      <c r="A39" t="inlineStr">
        <is>
          <t>Median</t>
        </is>
      </c>
      <c r="B39" s="16" t="n">
        <v>8.75</v>
      </c>
      <c r="C39" t="inlineStr">
        <is>
          <t>static baseline</t>
        </is>
      </c>
      <c r="D39" s="20" t="n">
        <v>2</v>
      </c>
    </row>
    <row r="40"/>
    <row r="41">
      <c r="F41" s="4" t="inlineStr">
        <is>
          <t>Option</t>
        </is>
      </c>
      <c r="G41" s="2" t="str">
        <f>IF(All_Questions_Q_DIRECT_NUM_CT="(None)","",IFERROR(INDEX(INDIRECT(IFERROR(INDEX(Cross_Tab_Questions_Options_Names,MATCH(All_Questions_Q_DIRECT_NUM_CT,Cross_Tab_Questions,0)),"'_Options'!$E$2:$E$2")),2),""))</f>
        <v/>
      </c>
      <c r="H41" s="2" t="str">
        <f>IF(All_Questions_Q_DIRECT_NUM_CT="(None)","",IFERROR(INDEX(INDIRECT(IFERROR(INDEX(Cross_Tab_Questions_Options_Names,MATCH(All_Questions_Q_DIRECT_NUM_CT,Cross_Tab_Questions,0)),"'_Options'!$E$2:$E$2")),3),""))</f>
        <v/>
      </c>
      <c r="I41" s="2" t="str">
        <f>IF(All_Questions_Q_DIRECT_NUM_CT="(None)","",IFERROR(INDEX(INDIRECT(IFERROR(INDEX(Cross_Tab_Questions_Options_Names,MATCH(All_Questions_Q_DIRECT_NUM_CT,Cross_Tab_Questions,0)),"'_Options'!$E$2:$E$2")),4),""))</f>
        <v/>
      </c>
      <c r="J41" s="2" t="str">
        <f>IF(All_Questions_Q_DIRECT_NUM_CT="(None)","",IFERROR(INDEX(INDIRECT(IFERROR(INDEX(Cross_Tab_Questions_Options_Names,MATCH(All_Questions_Q_DIRECT_NUM_CT,Cross_Tab_Questions,0)),"'_Options'!$E$2:$E$2")),5),""))</f>
        <v/>
      </c>
      <c r="K41" s="2" t="str">
        <f>IF(All_Questions_Q_DIRECT_NUM_CT="(None)","",IFERROR(INDEX(INDIRECT(IFERROR(INDEX(Cross_Tab_Questions_Options_Names,MATCH(All_Questions_Q_DIRECT_NUM_CT,Cross_Tab_Questions,0)),"'_Options'!$E$2:$E$2")),6),""))</f>
        <v/>
      </c>
      <c r="L41" s="2" t="str">
        <f>IF(All_Questions_Q_DIRECT_NUM_CT="(None)","",IFERROR(INDEX(INDIRECT(IFERROR(INDEX(Cross_Tab_Questions_Options_Names,MATCH(All_Questions_Q_DIRECT_NUM_CT,Cross_Tab_Questions,0)),"'_Options'!$E$2:$E$2")),7),""))</f>
        <v/>
      </c>
      <c r="M41" s="2" t="str">
        <f>IF(All_Questions_Q_DIRECT_NUM_CT="(None)","",IFERROR(INDEX(INDIRECT(IFERROR(INDEX(Cross_Tab_Questions_Options_Names,MATCH(All_Questions_Q_DIRECT_NUM_CT,Cross_Tab_Questions,0)),"'_Options'!$E$2:$E$2")),8),""))</f>
        <v/>
      </c>
      <c r="N41" s="2" t="str">
        <f>IF(All_Questions_Q_DIRECT_NUM_CT="(None)","",IFERROR(INDEX(INDIRECT(IFERROR(INDEX(Cross_Tab_Questions_Options_Names,MATCH(All_Questions_Q_DIRECT_NUM_CT,Cross_Tab_Questions,0)),"'_Options'!$E$2:$E$2")),9),""))</f>
        <v/>
      </c>
      <c r="O41" s="2" t="str">
        <f>IF(All_Questions_Q_DIRECT_NUM_CT="(None)","",IFERROR(INDEX(INDIRECT(IFERROR(INDEX(Cross_Tab_Questions_Options_Names,MATCH(All_Questions_Q_DIRECT_NUM_CT,Cross_Tab_Questions,0)),"'_Options'!$E$2:$E$2")),10),""))</f>
        <v/>
      </c>
      <c r="P41" s="2" t="str">
        <f>IF(All_Questions_Q_DIRECT_NUM_CT="(None)","",IFERROR(INDEX(INDIRECT(IFERROR(INDEX(Cross_Tab_Questions_Options_Names,MATCH(All_Questions_Q_DIRECT_NUM_CT,Cross_Tab_Questions,0)),"'_Options'!$E$2:$E$2")),11),""))</f>
        <v/>
      </c>
      <c r="Q41" s="2" t="str">
        <f>IF(All_Questions_Q_DIRECT_NUM_CT="(None)","",IFERROR(INDEX(INDIRECT(IFERROR(INDEX(Cross_Tab_Questions_Options_Names,MATCH(All_Questions_Q_DIRECT_NUM_CT,Cross_Tab_Questions,0)),"'_Options'!$E$2:$E$2")),12),""))</f>
        <v/>
      </c>
      <c r="R41" s="2" t="str">
        <f>IF(All_Questions_Q_DIRECT_NUM_CT="(None)","",IF(COUNTA(INDIRECT(IFERROR(INDEX(Cross_Tab_Questions_Options_Names,MATCH(All_Questions_Q_DIRECT_NUM_CT,Cross_Tab_Questions,0)),"'_Options'!$E$2:$E$2")))-1&gt;11,"Other",IFERROR(INDEX(INDIRECT(IFERROR(INDEX(Cross_Tab_Questions_Options_Names,MATCH(All_Questions_Q_DIRECT_NUM_CT,Cross_Tab_Questions,0)),"'_Options'!$E$2:$E$2")),13),"")))</f>
        <v/>
      </c>
      <c r="S41" s="4" t="inlineStr">
        <is>
          <t>Total</t>
        </is>
      </c>
    </row>
    <row r="42">
      <c r="F42" s="4" t="inlineStr"/>
      <c r="G42" s="4" t="inlineStr">
        <is>
          <t>Mean</t>
        </is>
      </c>
      <c r="H42" s="4" t="inlineStr">
        <is>
          <t>Mean</t>
        </is>
      </c>
      <c r="I42" s="4" t="inlineStr">
        <is>
          <t>Mean</t>
        </is>
      </c>
      <c r="J42" s="4" t="inlineStr">
        <is>
          <t>Mean</t>
        </is>
      </c>
      <c r="K42" s="4" t="inlineStr">
        <is>
          <t>Mean</t>
        </is>
      </c>
      <c r="L42" s="4" t="inlineStr">
        <is>
          <t>Mean</t>
        </is>
      </c>
      <c r="M42" s="4" t="inlineStr">
        <is>
          <t>Mean</t>
        </is>
      </c>
      <c r="N42" s="4" t="inlineStr">
        <is>
          <t>Mean</t>
        </is>
      </c>
      <c r="O42" s="4" t="inlineStr">
        <is>
          <t>Mean</t>
        </is>
      </c>
      <c r="P42" s="4" t="inlineStr">
        <is>
          <t>Mean</t>
        </is>
      </c>
      <c r="Q42" s="4" t="inlineStr">
        <is>
          <t>Mean</t>
        </is>
      </c>
      <c r="R42" s="4" t="inlineStr">
        <is>
          <t>Mean</t>
        </is>
      </c>
      <c r="S42" s="4" t="inlineStr">
        <is>
          <t>Mean</t>
        </is>
      </c>
    </row>
    <row r="43">
      <c r="F43" t="inlineStr">
        <is>
          <t>Direct numeric</t>
        </is>
      </c>
      <c r="G43" s="16">
        <f>IF(OR(All_Questions_Q_DIRECT_NUM_CT="(None)",G$41=""),"",IF(G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G$41),"")))</f>
        <v>8.75</v>
      </c>
      <c r="H43" s="16">
        <f>IF(OR(All_Questions_Q_DIRECT_NUM_CT="(None)",H$41=""),"",IF(H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H$41),"")))</f>
        <v>8.75</v>
      </c>
      <c r="I43" s="16">
        <f>IF(OR(All_Questions_Q_DIRECT_NUM_CT="(None)",I$41=""),"",IF(I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I$41),"")))</f>
        <v>8.75</v>
      </c>
      <c r="J43" s="16">
        <f>IF(OR(All_Questions_Q_DIRECT_NUM_CT="(None)",J$41=""),"",IF(J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J$41),"")))</f>
        <v>8.75</v>
      </c>
      <c r="K43" s="16">
        <f>IF(OR(All_Questions_Q_DIRECT_NUM_CT="(None)",K$41=""),"",IF(K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K$41),"")))</f>
        <v>8.75</v>
      </c>
      <c r="L43" s="16">
        <f>IF(OR(All_Questions_Q_DIRECT_NUM_CT="(None)",L$41=""),"",IF(L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L$41),"")))</f>
        <v>8.75</v>
      </c>
      <c r="M43" s="16">
        <f>IF(OR(All_Questions_Q_DIRECT_NUM_CT="(None)",M$41=""),"",IF(M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M$41),"")))</f>
        <v>8.75</v>
      </c>
      <c r="N43" s="16">
        <f>IF(OR(All_Questions_Q_DIRECT_NUM_CT="(None)",N$41=""),"",IF(N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N$41),"")))</f>
        <v>8.75</v>
      </c>
      <c r="O43" s="16">
        <f>IF(OR(All_Questions_Q_DIRECT_NUM_CT="(None)",O$41=""),"",IF(O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O$41),"")))</f>
        <v>8.75</v>
      </c>
      <c r="P43" s="16">
        <f>IF(OR(All_Questions_Q_DIRECT_NUM_CT="(None)",P$41=""),"",IF(P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P$41),"")))</f>
        <v>8.75</v>
      </c>
      <c r="Q43" s="16">
        <f>IF(OR(All_Questions_Q_DIRECT_NUM_CT="(None)",Q$41=""),"",IF(Q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Q$41),"")))</f>
        <v>8.75</v>
      </c>
      <c r="R43" s="16">
        <f>IF(OR(All_Questions_Q_DIRECT_NUM_CT="(None)",R$41=""),"",IF(R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R$41),"")))</f>
        <v>8.75</v>
      </c>
      <c r="S43" s="16">
        <f>IF(All_Questions_Q_DIRECT_NUM_CT="(None)","",IFERROR(AVERAGEIFS(Q_DIRECT_NUM_data,Q_DIRECT_NUM_data,"&lt;&gt;",passes_workbook_filters_data,1,passes_workbook_custom_filters_data,1,All_Questions_passes_local_filters_data,1,All_Questions_Q_DIRECT_NUM_F_passes_per_q_filter_data,1),""))</f>
        <v>8.75</v>
      </c>
    </row>
    <row r="44"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IF(All_Questions_Q_DIRECT_NUM_CT="(None)","",COUNTIFS(respondent_id_data,"&lt;&gt;",passes_workbook_filters_data,1,passes_workbook_custom_filters_data,1,All_Questions_passes_local_filters_data,1,All_Questions_Q_DIRECT_NUM_F_passes_per_q_filter_data,1))</f>
        <v>0</v>
      </c>
    </row>
    <row r="45"/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Q_CATEGORY - Categorical numeric-looking values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IFERROR(INDEX(All_Questions_Value_Data_Names,MATCH(All_Questions_Q_CATEGORY_F_Q&amp;"|"&amp;All_Questions_Q_CATEGORY_F_V,All_Questions_Value_Keys,0)),IFERROR(INDEX(All_Questions_Data_Names,MATCH(All_Questions_Q_CATEGORY_F_Q,All_Questions,0)),"'_RawData'!$A:$A"))</f>
        <v>respondent_id_data</v>
      </c>
      <c r="G48" t="str">
        <f>"|" &amp; SUBSTITUTE(All_Questions_Q_CATEGORY_F_V, ", ", "|") &amp; "|"</f>
        <v>|(All)|</v>
      </c>
      <c r="H48" t="str">
        <f>IFERROR(INDEX(All_Questions_Value_Criteria,MATCH(All_Questions_Q_CATEGORY_F_Q&amp;"|"&amp;All_Questions_Q_CATEGORY_F_V,All_Questions_Value_Keys,0)),All_Questions_Q_CATEGORY_F_V)</f>
        <v>(All)</v>
      </c>
    </row>
    <row r="49">
      <c r="A49" s="13" t="inlineStr">
        <is>
          <t>Cross-tab by</t>
        </is>
      </c>
      <c r="C49" t="inlineStr">
        <is>
          <t>(None)</t>
        </is>
      </c>
    </row>
    <row r="50"/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IF(All_Questions_Q_CATEGORY_CT="(None)","",IFERROR(INDEX(INDIRECT(IFERROR(INDEX(Cross_Tab_Questions_Options_Names,MATCH(All_Questions_Q_CATEGORY_CT,Cross_Tab_Questions,0)),"'_Options'!$E$2:$E$2")),2),""))</f>
        <v/>
      </c>
      <c r="H51" s="2" t="str">
        <f>IF(All_Questions_Q_CATEGORY_CT="(None)","",IFERROR(INDEX(INDIRECT(IFERROR(INDEX(Cross_Tab_Questions_Options_Names,MATCH(All_Questions_Q_CATEGORY_CT,Cross_Tab_Questions,0)),"'_Options'!$E$2:$E$2")),3),""))</f>
        <v/>
      </c>
      <c r="I51" s="2" t="str">
        <f>IF(All_Questions_Q_CATEGORY_CT="(None)","",IFERROR(INDEX(INDIRECT(IFERROR(INDEX(Cross_Tab_Questions_Options_Names,MATCH(All_Questions_Q_CATEGORY_CT,Cross_Tab_Questions,0)),"'_Options'!$E$2:$E$2")),4),""))</f>
        <v/>
      </c>
      <c r="J51" s="2" t="str">
        <f>IF(All_Questions_Q_CATEGORY_CT="(None)","",IFERROR(INDEX(INDIRECT(IFERROR(INDEX(Cross_Tab_Questions_Options_Names,MATCH(All_Questions_Q_CATEGORY_CT,Cross_Tab_Questions,0)),"'_Options'!$E$2:$E$2")),5),""))</f>
        <v/>
      </c>
      <c r="K51" s="2" t="str">
        <f>IF(All_Questions_Q_CATEGORY_CT="(None)","",IFERROR(INDEX(INDIRECT(IFERROR(INDEX(Cross_Tab_Questions_Options_Names,MATCH(All_Questions_Q_CATEGORY_CT,Cross_Tab_Questions,0)),"'_Options'!$E$2:$E$2")),6),""))</f>
        <v/>
      </c>
      <c r="L51" s="2" t="str">
        <f>IF(All_Questions_Q_CATEGORY_CT="(None)","",IFERROR(INDEX(INDIRECT(IFERROR(INDEX(Cross_Tab_Questions_Options_Names,MATCH(All_Questions_Q_CATEGORY_CT,Cross_Tab_Questions,0)),"'_Options'!$E$2:$E$2")),7),""))</f>
        <v/>
      </c>
      <c r="M51" s="2" t="str">
        <f>IF(All_Questions_Q_CATEGORY_CT="(None)","",IFERROR(INDEX(INDIRECT(IFERROR(INDEX(Cross_Tab_Questions_Options_Names,MATCH(All_Questions_Q_CATEGORY_CT,Cross_Tab_Questions,0)),"'_Options'!$E$2:$E$2")),8),""))</f>
        <v/>
      </c>
      <c r="N51" s="2" t="str">
        <f>IF(All_Questions_Q_CATEGORY_CT="(None)","",IFERROR(INDEX(INDIRECT(IFERROR(INDEX(Cross_Tab_Questions_Options_Names,MATCH(All_Questions_Q_CATEGORY_CT,Cross_Tab_Questions,0)),"'_Options'!$E$2:$E$2")),9),""))</f>
        <v/>
      </c>
      <c r="O51" s="2" t="str">
        <f>IF(All_Questions_Q_CATEGORY_CT="(None)","",IFERROR(INDEX(INDIRECT(IFERROR(INDEX(Cross_Tab_Questions_Options_Names,MATCH(All_Questions_Q_CATEGORY_CT,Cross_Tab_Questions,0)),"'_Options'!$E$2:$E$2")),10),""))</f>
        <v/>
      </c>
      <c r="P51" s="2" t="str">
        <f>IF(All_Questions_Q_CATEGORY_CT="(None)","",IFERROR(INDEX(INDIRECT(IFERROR(INDEX(Cross_Tab_Questions_Options_Names,MATCH(All_Questions_Q_CATEGORY_CT,Cross_Tab_Questions,0)),"'_Options'!$E$2:$E$2")),11),""))</f>
        <v/>
      </c>
      <c r="Q51" s="2" t="str">
        <f>IF(All_Questions_Q_CATEGORY_CT="(None)","",IFERROR(INDEX(INDIRECT(IFERROR(INDEX(Cross_Tab_Questions_Options_Names,MATCH(All_Questions_Q_CATEGORY_CT,Cross_Tab_Questions,0)),"'_Options'!$E$2:$E$2")),12),""))</f>
        <v/>
      </c>
      <c r="R51" s="2" t="str">
        <f>IF(All_Questions_Q_CATEGORY_CT="(None)","",IF(COUNTA(INDIRECT(IFERROR(INDEX(Cross_Tab_Questions_Options_Names,MATCH(All_Questions_Q_CATEGORY_CT,Cross_Tab_Questions,0)),"'_Options'!$E$2:$E$2")))-1&gt;11,"Other",IFERROR(INDEX(INDIRECT(IFERROR(INDEX(Cross_Tab_Questions_Options_Names,MATCH(All_Questions_Q_CATEGORY_CT,Cross_Tab_Questions,0)),"'_Options'!$E$2:$E$2")),13),"")))</f>
        <v/>
      </c>
      <c r="S51" s="4" t="inlineStr">
        <is>
          <t>Total</t>
        </is>
      </c>
    </row>
    <row r="52">
      <c r="A52" t="inlineStr">
        <is>
          <t>4</t>
        </is>
      </c>
      <c r="B52">
        <f>COUNTIFS(Q_CATEGORY_data,"4",passes_workbook_filters_data,1,passes_workbook_custom_filters_data,1,All_Questions_passes_local_filters_data,1,All_Questions_Q_CATEGORY_F_passes_per_q_filter_data,1)</f>
        <v>1</v>
      </c>
      <c r="C52" s="7">
        <f>IFERROR(B52/SUBTOTAL(9,B52:B55),0)</f>
        <v>0.25</v>
      </c>
      <c r="D52" s="20">
        <f>SUBTOTAL(9,B52:B55)</f>
        <v>4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5</t>
        </is>
      </c>
      <c r="B53">
        <f>COUNTIFS(Q_CATEGORY_data,"5",passes_workbook_filters_data,1,passes_workbook_custom_filters_data,1,All_Questions_passes_local_filters_data,1,All_Questions_Q_CATEGORY_F_passes_per_q_filter_data,1)</f>
        <v>1</v>
      </c>
      <c r="C53" s="7">
        <f>IFERROR(B53/SUBTOTAL(9,B52:B55),0)</f>
        <v>0.25</v>
      </c>
      <c r="D53" s="20">
        <f>SUBTOTAL(9,B52:B55)</f>
        <v>4</v>
      </c>
      <c r="F53" t="inlineStr">
        <is>
          <t>4</t>
        </is>
      </c>
      <c r="G53" s="20">
        <f>IF(OR(All_Questions_Q_CATEGORY_CT="(None)",G$51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G$51))</f>
        <v>0</v>
      </c>
      <c r="H53" s="20">
        <f>IF(OR(All_Questions_Q_CATEGORY_CT="(None)",H$51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H$51))</f>
        <v>0</v>
      </c>
      <c r="I53" s="20">
        <f>IF(OR(All_Questions_Q_CATEGORY_CT="(None)",I$51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I$51))</f>
        <v>0</v>
      </c>
      <c r="J53" s="20">
        <f>IF(OR(All_Questions_Q_CATEGORY_CT="(None)",J$51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J$51))</f>
        <v>0</v>
      </c>
      <c r="K53" s="20">
        <f>IF(OR(All_Questions_Q_CATEGORY_CT="(None)",K$51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K$51))</f>
        <v>0</v>
      </c>
      <c r="L53" s="20">
        <f>IF(OR(All_Questions_Q_CATEGORY_CT="(None)",L$51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L$51))</f>
        <v>0</v>
      </c>
      <c r="M53" s="20">
        <f>IF(OR(All_Questions_Q_CATEGORY_CT="(None)",M$51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M$51))</f>
        <v>0</v>
      </c>
      <c r="N53" s="20">
        <f>IF(OR(All_Questions_Q_CATEGORY_CT="(None)",N$51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N$51))</f>
        <v>0</v>
      </c>
      <c r="O53" s="20">
        <f>IF(OR(All_Questions_Q_CATEGORY_CT="(None)",O$51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O$51))</f>
        <v>0</v>
      </c>
      <c r="P53" s="20">
        <f>IF(OR(All_Questions_Q_CATEGORY_CT="(None)",P$51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P$51))</f>
        <v>0</v>
      </c>
      <c r="Q53" s="20">
        <f>IF(OR(All_Questions_Q_CATEGORY_CT="(None)",Q$51=""),""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Q$51))</f>
        <v>0</v>
      </c>
      <c r="R53" s="20">
        <f>IF(OR(All_Questions_Q_CATEGORY_CT="(None)",R$51=""),"",IF(R$51="Other",COUNTIFS(Q_CATEGORY_data,"4",passes_workbook_filters_data,1,passes_workbook_custom_filters_data,1,All_Questions_passes_local_filters_data,1,All_Questions_Q_CATEGORY_F_passes_per_q_filter_data,1)-SUM(G53,H53,I53,J53,K53,L53,M53,N53,O53,P53,Q53),COUNTIFS(Q_CATEGORY_data,"4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R$51)))</f>
        <v>0</v>
      </c>
      <c r="S53" s="20">
        <f>IF(All_Questions_Q_CATEGORY_CT="(None)","",COUNTIFS(Q_CATEGORY_data,"4",passes_workbook_filters_data,1,passes_workbook_custom_filters_data,1,All_Questions_passes_local_filters_data,1,All_Questions_Q_CATEGORY_F_passes_per_q_filter_data,1))</f>
        <v>0</v>
      </c>
    </row>
    <row r="54">
      <c r="A54" t="inlineStr">
        <is>
          <t>N/A</t>
        </is>
      </c>
      <c r="B54">
        <f>COUNTIFS(Q_CATEGORY_data,"N/A",passes_workbook_filters_data,1,passes_workbook_custom_filters_data,1,All_Questions_passes_local_filters_data,1,All_Questions_Q_CATEGORY_F_passes_per_q_filter_data,1)</f>
        <v>1</v>
      </c>
      <c r="C54" s="7">
        <f>IFERROR(B54/SUBTOTAL(9,B52:B55),0)</f>
        <v>0.25</v>
      </c>
      <c r="D54" s="20">
        <f>SUBTOTAL(9,B52:B55)</f>
        <v>4</v>
      </c>
      <c r="F54" t="inlineStr">
        <is>
          <t>5</t>
        </is>
      </c>
      <c r="G54" s="20">
        <f>IF(OR(All_Questions_Q_CATEGORY_CT="(None)",G$51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G$51))</f>
        <v>0</v>
      </c>
      <c r="H54" s="20">
        <f>IF(OR(All_Questions_Q_CATEGORY_CT="(None)",H$51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H$51))</f>
        <v>0</v>
      </c>
      <c r="I54" s="20">
        <f>IF(OR(All_Questions_Q_CATEGORY_CT="(None)",I$51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I$51))</f>
        <v>0</v>
      </c>
      <c r="J54" s="20">
        <f>IF(OR(All_Questions_Q_CATEGORY_CT="(None)",J$51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J$51))</f>
        <v>0</v>
      </c>
      <c r="K54" s="20">
        <f>IF(OR(All_Questions_Q_CATEGORY_CT="(None)",K$51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K$51))</f>
        <v>0</v>
      </c>
      <c r="L54" s="20">
        <f>IF(OR(All_Questions_Q_CATEGORY_CT="(None)",L$51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L$51))</f>
        <v>0</v>
      </c>
      <c r="M54" s="20">
        <f>IF(OR(All_Questions_Q_CATEGORY_CT="(None)",M$51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M$51))</f>
        <v>0</v>
      </c>
      <c r="N54" s="20">
        <f>IF(OR(All_Questions_Q_CATEGORY_CT="(None)",N$51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N$51))</f>
        <v>0</v>
      </c>
      <c r="O54" s="20">
        <f>IF(OR(All_Questions_Q_CATEGORY_CT="(None)",O$51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O$51))</f>
        <v>0</v>
      </c>
      <c r="P54" s="20">
        <f>IF(OR(All_Questions_Q_CATEGORY_CT="(None)",P$51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P$51))</f>
        <v>0</v>
      </c>
      <c r="Q54" s="20">
        <f>IF(OR(All_Questions_Q_CATEGORY_CT="(None)",Q$51=""),""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Q$51))</f>
        <v>0</v>
      </c>
      <c r="R54" s="20">
        <f>IF(OR(All_Questions_Q_CATEGORY_CT="(None)",R$51=""),"",IF(R$51="Other",COUNTIFS(Q_CATEGORY_data,"5",passes_workbook_filters_data,1,passes_workbook_custom_filters_data,1,All_Questions_passes_local_filters_data,1,All_Questions_Q_CATEGORY_F_passes_per_q_filter_data,1)-SUM(G54,H54,I54,J54,K54,L54,M54,N54,O54,P54,Q54),COUNTIFS(Q_CATEGORY_data,"5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R$51)))</f>
        <v>0</v>
      </c>
      <c r="S54" s="20">
        <f>IF(All_Questions_Q_CATEGORY_CT="(None)","",COUNTIFS(Q_CATEGORY_data,"5",passes_workbook_filters_data,1,passes_workbook_custom_filters_data,1,All_Questions_passes_local_filters_data,1,All_Questions_Q_CATEGORY_F_passes_per_q_filter_data,1))</f>
        <v>0</v>
      </c>
    </row>
    <row r="55">
      <c r="A55" t="inlineStr">
        <is>
          <t>3</t>
        </is>
      </c>
      <c r="B55">
        <f>COUNTIFS(Q_CATEGORY_data,"3",passes_workbook_filters_data,1,passes_workbook_custom_filters_data,1,All_Questions_passes_local_filters_data,1,All_Questions_Q_CATEGORY_F_passes_per_q_filter_data,1)</f>
        <v>1</v>
      </c>
      <c r="C55" s="7">
        <f>IFERROR(B55/SUBTOTAL(9,B52:B55),0)</f>
        <v>0.25</v>
      </c>
      <c r="D55" s="20">
        <f>SUBTOTAL(9,B52:B55)</f>
        <v>4</v>
      </c>
      <c r="F55" t="inlineStr">
        <is>
          <t>N/A</t>
        </is>
      </c>
      <c r="G55" s="20">
        <f>IF(OR(All_Questions_Q_CATEGORY_CT="(None)",G$51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G$51))</f>
        <v>0</v>
      </c>
      <c r="H55" s="20">
        <f>IF(OR(All_Questions_Q_CATEGORY_CT="(None)",H$51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H$51))</f>
        <v>0</v>
      </c>
      <c r="I55" s="20">
        <f>IF(OR(All_Questions_Q_CATEGORY_CT="(None)",I$51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I$51))</f>
        <v>0</v>
      </c>
      <c r="J55" s="20">
        <f>IF(OR(All_Questions_Q_CATEGORY_CT="(None)",J$51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J$51))</f>
        <v>0</v>
      </c>
      <c r="K55" s="20">
        <f>IF(OR(All_Questions_Q_CATEGORY_CT="(None)",K$51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K$51))</f>
        <v>0</v>
      </c>
      <c r="L55" s="20">
        <f>IF(OR(All_Questions_Q_CATEGORY_CT="(None)",L$51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L$51))</f>
        <v>0</v>
      </c>
      <c r="M55" s="20">
        <f>IF(OR(All_Questions_Q_CATEGORY_CT="(None)",M$51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M$51))</f>
        <v>0</v>
      </c>
      <c r="N55" s="20">
        <f>IF(OR(All_Questions_Q_CATEGORY_CT="(None)",N$51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N$51))</f>
        <v>0</v>
      </c>
      <c r="O55" s="20">
        <f>IF(OR(All_Questions_Q_CATEGORY_CT="(None)",O$51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O$51))</f>
        <v>0</v>
      </c>
      <c r="P55" s="20">
        <f>IF(OR(All_Questions_Q_CATEGORY_CT="(None)",P$51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P$51))</f>
        <v>0</v>
      </c>
      <c r="Q55" s="20">
        <f>IF(OR(All_Questions_Q_CATEGORY_CT="(None)",Q$51=""),""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Q$51))</f>
        <v>0</v>
      </c>
      <c r="R55" s="20">
        <f>IF(OR(All_Questions_Q_CATEGORY_CT="(None)",R$51=""),"",IF(R$51="Other",COUNTIFS(Q_CATEGORY_data,"N/A",passes_workbook_filters_data,1,passes_workbook_custom_filters_data,1,All_Questions_passes_local_filters_data,1,All_Questions_Q_CATEGORY_F_passes_per_q_filter_data,1)-SUM(G55,H55,I55,J55,K55,L55,M55,N55,O55,P55,Q55),COUNTIFS(Q_CATEGORY_data,"N/A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R$51)))</f>
        <v>0</v>
      </c>
      <c r="S55" s="20">
        <f>IF(All_Questions_Q_CATEGORY_CT="(None)","",COUNTIFS(Q_CATEGORY_data,"N/A",passes_workbook_filters_data,1,passes_workbook_custom_filters_data,1,All_Questions_passes_local_filters_data,1,All_Questions_Q_CATEGORY_F_passes_per_q_filter_data,1))</f>
        <v>0</v>
      </c>
    </row>
    <row r="56">
      <c r="A56" s="17" t="inlineStr">
        <is>
          <t>Total respondents</t>
        </is>
      </c>
      <c r="B56" s="17" t="n">
        <v>4</v>
      </c>
      <c r="C56" s="17" t="n"/>
      <c r="D56" s="17" t="n"/>
      <c r="F56" t="inlineStr">
        <is>
          <t>3</t>
        </is>
      </c>
      <c r="G56" s="20">
        <f>IF(OR(All_Questions_Q_CATEGORY_CT="(None)",G$51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G$51))</f>
        <v>0</v>
      </c>
      <c r="H56" s="20">
        <f>IF(OR(All_Questions_Q_CATEGORY_CT="(None)",H$51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H$51))</f>
        <v>0</v>
      </c>
      <c r="I56" s="20">
        <f>IF(OR(All_Questions_Q_CATEGORY_CT="(None)",I$51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I$51))</f>
        <v>0</v>
      </c>
      <c r="J56" s="20">
        <f>IF(OR(All_Questions_Q_CATEGORY_CT="(None)",J$51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J$51))</f>
        <v>0</v>
      </c>
      <c r="K56" s="20">
        <f>IF(OR(All_Questions_Q_CATEGORY_CT="(None)",K$51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K$51))</f>
        <v>0</v>
      </c>
      <c r="L56" s="20">
        <f>IF(OR(All_Questions_Q_CATEGORY_CT="(None)",L$51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L$51))</f>
        <v>0</v>
      </c>
      <c r="M56" s="20">
        <f>IF(OR(All_Questions_Q_CATEGORY_CT="(None)",M$51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M$51))</f>
        <v>0</v>
      </c>
      <c r="N56" s="20">
        <f>IF(OR(All_Questions_Q_CATEGORY_CT="(None)",N$51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N$51))</f>
        <v>0</v>
      </c>
      <c r="O56" s="20">
        <f>IF(OR(All_Questions_Q_CATEGORY_CT="(None)",O$51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O$51))</f>
        <v>0</v>
      </c>
      <c r="P56" s="20">
        <f>IF(OR(All_Questions_Q_CATEGORY_CT="(None)",P$51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P$51))</f>
        <v>0</v>
      </c>
      <c r="Q56" s="20">
        <f>IF(OR(All_Questions_Q_CATEGORY_CT="(None)",Q$51=""),""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Q$51))</f>
        <v>0</v>
      </c>
      <c r="R56" s="20">
        <f>IF(OR(All_Questions_Q_CATEGORY_CT="(None)",R$51=""),"",IF(R$51="Other",COUNTIFS(Q_CATEGORY_data,"3",passes_workbook_filters_data,1,passes_workbook_custom_filters_data,1,All_Questions_passes_local_filters_data,1,All_Questions_Q_CATEGORY_F_passes_per_q_filter_data,1)-SUM(G56,H56,I56,J56,K56,L56,M56,N56,O56,P56,Q56),COUNTIFS(Q_CATEGORY_data,"3",passes_workbook_filters_data,1,passes_workbook_custom_filters_data,1,All_Questions_passes_local_filters_data,1,All_Questions_Q_CATEGORY_F_passes_per_q_filter_data,1,INDIRECT(IFERROR(INDEX(Cross_Tab_Questions_Data_Names,MATCH(All_Questions_Q_CATEGORY_CT,Cross_Tab_Questions,0)),"'_RawData'!$A:$A")),R$51)))</f>
        <v>0</v>
      </c>
      <c r="S56" s="20">
        <f>IF(All_Questions_Q_CATEGORY_CT="(None)","",COUNTIFS(Q_CATEGORY_data,"3",passes_workbook_filters_data,1,passes_workbook_custom_filters_data,1,All_Questions_passes_local_filters_data,1,All_Questions_Q_CATEGORY_F_passes_per_q_filter_data,1))</f>
        <v>0</v>
      </c>
    </row>
    <row r="57">
      <c r="F57" s="4" t="inlineStr">
        <is>
          <t>Total respondents</t>
        </is>
      </c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>
        <f>IF(All_Questions_Q_CATEGORY_CT="(None)","",COUNTIFS(respondent_id_data,"&lt;&gt;",passes_workbook_filters_data,1,passes_workbook_custom_filters_data,1,All_Questions_passes_local_filters_data,1,All_Questions_Q_CATEGORY_F_passes_per_q_filter_data,1))</f>
        <v>0</v>
      </c>
    </row>
  </sheetData>
  <mergeCells count="1">
    <mergeCell ref="A1:J1"/>
  </mergeCells>
  <conditionalFormatting sqref="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5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5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5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5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5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5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6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6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6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6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6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6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6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6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6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6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6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6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=INDIRECT(IFERROR(INDEX(All_Questions_Options_Names,MATCH(All_Questions_Q_GRID_RATED_F_Q,All_Questions,0)),"'_Options'!$E$2:$E$2"))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30" showDropDown="0" showInputMessage="0" showErrorMessage="0" allowBlank="1" type="list">
      <formula1>=All_Questions</formula1>
    </dataValidation>
    <dataValidation sqref="E30" showDropDown="0" showInputMessage="0" showErrorMessage="0" allowBlank="1" type="list">
      <formula1>=INDIRECT(IFERROR(INDEX(All_Questions_Options_Names,MATCH(All_Questions_Q_DIRECT_NUM_F_Q,All_Questions,0)),"'_Options'!$E$2:$E$2"))</formula1>
    </dataValidation>
    <dataValidation sqref="C31" showDropDown="0" showInputMessage="0" showErrorMessage="0" allowBlank="1" type="list">
      <formula1>=Cross_Tab_Questions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=INDIRECT(IFERROR(INDEX(All_Questions_Options_Names,MATCH(All_Questions_Q_CATEGORY_F_Q,All_Questions,0)),"'_Options'!$E$2:$E$2"))</formula1>
    </dataValidation>
    <dataValidation sqref="C49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17" customWidth="1" min="3" max="3"/>
    <col width="16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All Questions</t>
        </is>
      </c>
      <c r="B2" t="inlineStr">
        <is>
          <t>cross_tab_by_mean</t>
        </is>
      </c>
      <c r="C2" t="inlineStr">
        <is>
          <t>Q_GRID_RATED</t>
        </is>
      </c>
      <c r="D2" t="inlineStr">
        <is>
          <t>Q_GRID_RATEDr1</t>
        </is>
      </c>
      <c r="E2" t="inlineStr">
        <is>
          <t>All_Questions_Q_GRID_RATED_CT = G$23</t>
        </is>
      </c>
      <c r="H2">
        <f>IF(OR(All_Questions_Q_GRID_RATED_CT="(None)",G$23=""),"",IF(G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G$23),"")))</f>
        <v>0</v>
      </c>
      <c r="I2" t="n">
        <v>4</v>
      </c>
      <c r="J2" t="n">
        <v>0</v>
      </c>
      <c r="K2" t="n">
        <v>0</v>
      </c>
      <c r="L2" t="inlineStr">
        <is>
          <t>2026-06-09T06:50:01.104642+00:00</t>
        </is>
      </c>
    </row>
    <row r="3">
      <c r="A3" t="inlineStr">
        <is>
          <t>All Questions</t>
        </is>
      </c>
      <c r="B3" t="inlineStr">
        <is>
          <t>cross_tab_by_mean</t>
        </is>
      </c>
      <c r="C3" t="inlineStr">
        <is>
          <t>Q_GRID_RATED</t>
        </is>
      </c>
      <c r="D3" t="inlineStr">
        <is>
          <t>Q_GRID_RATEDr1</t>
        </is>
      </c>
      <c r="E3" t="inlineStr">
        <is>
          <t>All_Questions_Q_GRID_RATED_CT = H$23</t>
        </is>
      </c>
      <c r="H3">
        <f>IF(OR(All_Questions_Q_GRID_RATED_CT="(None)",H$23=""),"",IF(H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H$23),"")))</f>
        <v>0</v>
      </c>
      <c r="I3" t="n">
        <v>4</v>
      </c>
      <c r="J3" t="n">
        <v>0</v>
      </c>
      <c r="K3" t="n">
        <v>0</v>
      </c>
      <c r="L3" t="inlineStr">
        <is>
          <t>2026-06-09T06:50:01.104698+00:00</t>
        </is>
      </c>
    </row>
    <row r="4">
      <c r="A4" t="inlineStr">
        <is>
          <t>All Questions</t>
        </is>
      </c>
      <c r="B4" t="inlineStr">
        <is>
          <t>cross_tab_by_mean</t>
        </is>
      </c>
      <c r="C4" t="inlineStr">
        <is>
          <t>Q_GRID_RATED</t>
        </is>
      </c>
      <c r="D4" t="inlineStr">
        <is>
          <t>Q_GRID_RATEDr1</t>
        </is>
      </c>
      <c r="E4" t="inlineStr">
        <is>
          <t>All_Questions_Q_GRID_RATED_CT = I$23</t>
        </is>
      </c>
      <c r="H4">
        <f>IF(OR(All_Questions_Q_GRID_RATED_CT="(None)",I$23=""),"",IF(I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I$23),"")))</f>
        <v>0</v>
      </c>
      <c r="I4" t="n">
        <v>4</v>
      </c>
      <c r="J4" t="n">
        <v>0</v>
      </c>
      <c r="K4" t="n">
        <v>0</v>
      </c>
      <c r="L4" t="inlineStr">
        <is>
          <t>2026-06-09T06:50:01.104728+00:00</t>
        </is>
      </c>
    </row>
    <row r="5">
      <c r="A5" t="inlineStr">
        <is>
          <t>All Questions</t>
        </is>
      </c>
      <c r="B5" t="inlineStr">
        <is>
          <t>cross_tab_by_mean</t>
        </is>
      </c>
      <c r="C5" t="inlineStr">
        <is>
          <t>Q_GRID_RATED</t>
        </is>
      </c>
      <c r="D5" t="inlineStr">
        <is>
          <t>Q_GRID_RATEDr1</t>
        </is>
      </c>
      <c r="E5" t="inlineStr">
        <is>
          <t>All_Questions_Q_GRID_RATED_CT = J$23</t>
        </is>
      </c>
      <c r="H5">
        <f>IF(OR(All_Questions_Q_GRID_RATED_CT="(None)",J$23=""),"",IF(J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J$23),"")))</f>
        <v>0</v>
      </c>
      <c r="I5" t="n">
        <v>4</v>
      </c>
      <c r="J5" t="n">
        <v>0</v>
      </c>
      <c r="K5" t="n">
        <v>0</v>
      </c>
      <c r="L5" t="inlineStr">
        <is>
          <t>2026-06-09T06:50:01.104755+00:00</t>
        </is>
      </c>
    </row>
    <row r="6">
      <c r="A6" t="inlineStr">
        <is>
          <t>All Questions</t>
        </is>
      </c>
      <c r="B6" t="inlineStr">
        <is>
          <t>cross_tab_by_mean</t>
        </is>
      </c>
      <c r="C6" t="inlineStr">
        <is>
          <t>Q_GRID_RATED</t>
        </is>
      </c>
      <c r="D6" t="inlineStr">
        <is>
          <t>Q_GRID_RATEDr1</t>
        </is>
      </c>
      <c r="E6" t="inlineStr">
        <is>
          <t>All_Questions_Q_GRID_RATED_CT = K$23</t>
        </is>
      </c>
      <c r="H6">
        <f>IF(OR(All_Questions_Q_GRID_RATED_CT="(None)",K$23=""),"",IF(K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K$23),"")))</f>
        <v>0</v>
      </c>
      <c r="I6" t="n">
        <v>4</v>
      </c>
      <c r="J6" t="n">
        <v>0</v>
      </c>
      <c r="K6" t="n">
        <v>0</v>
      </c>
      <c r="L6" t="inlineStr">
        <is>
          <t>2026-06-09T06:50:01.104780+00:00</t>
        </is>
      </c>
    </row>
    <row r="7">
      <c r="A7" t="inlineStr">
        <is>
          <t>All Questions</t>
        </is>
      </c>
      <c r="B7" t="inlineStr">
        <is>
          <t>cross_tab_by_mean</t>
        </is>
      </c>
      <c r="C7" t="inlineStr">
        <is>
          <t>Q_GRID_RATED</t>
        </is>
      </c>
      <c r="D7" t="inlineStr">
        <is>
          <t>Q_GRID_RATEDr1</t>
        </is>
      </c>
      <c r="E7" t="inlineStr">
        <is>
          <t>All_Questions_Q_GRID_RATED_CT = L$23</t>
        </is>
      </c>
      <c r="H7">
        <f>IF(OR(All_Questions_Q_GRID_RATED_CT="(None)",L$23=""),"",IF(L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L$23),"")))</f>
        <v>0</v>
      </c>
      <c r="I7" t="n">
        <v>4</v>
      </c>
      <c r="J7" t="n">
        <v>0</v>
      </c>
      <c r="K7" t="n">
        <v>0</v>
      </c>
      <c r="L7" t="inlineStr">
        <is>
          <t>2026-06-09T06:50:01.104805+00:00</t>
        </is>
      </c>
    </row>
    <row r="8">
      <c r="A8" t="inlineStr">
        <is>
          <t>All Questions</t>
        </is>
      </c>
      <c r="B8" t="inlineStr">
        <is>
          <t>cross_tab_by_mean</t>
        </is>
      </c>
      <c r="C8" t="inlineStr">
        <is>
          <t>Q_GRID_RATED</t>
        </is>
      </c>
      <c r="D8" t="inlineStr">
        <is>
          <t>Q_GRID_RATEDr1</t>
        </is>
      </c>
      <c r="E8" t="inlineStr">
        <is>
          <t>All_Questions_Q_GRID_RATED_CT = M$23</t>
        </is>
      </c>
      <c r="H8">
        <f>IF(OR(All_Questions_Q_GRID_RATED_CT="(None)",M$23=""),"",IF(M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M$23),"")))</f>
        <v>0</v>
      </c>
      <c r="I8" t="n">
        <v>4</v>
      </c>
      <c r="J8" t="n">
        <v>0</v>
      </c>
      <c r="K8" t="n">
        <v>0</v>
      </c>
      <c r="L8" t="inlineStr">
        <is>
          <t>2026-06-09T06:50:01.104830+00:00</t>
        </is>
      </c>
    </row>
    <row r="9">
      <c r="A9" t="inlineStr">
        <is>
          <t>All Questions</t>
        </is>
      </c>
      <c r="B9" t="inlineStr">
        <is>
          <t>cross_tab_by_mean</t>
        </is>
      </c>
      <c r="C9" t="inlineStr">
        <is>
          <t>Q_GRID_RATED</t>
        </is>
      </c>
      <c r="D9" t="inlineStr">
        <is>
          <t>Q_GRID_RATEDr1</t>
        </is>
      </c>
      <c r="E9" t="inlineStr">
        <is>
          <t>All_Questions_Q_GRID_RATED_CT = N$23</t>
        </is>
      </c>
      <c r="H9">
        <f>IF(OR(All_Questions_Q_GRID_RATED_CT="(None)",N$23=""),"",IF(N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N$23),"")))</f>
        <v>0</v>
      </c>
      <c r="I9" t="n">
        <v>4</v>
      </c>
      <c r="J9" t="n">
        <v>0</v>
      </c>
      <c r="K9" t="n">
        <v>0</v>
      </c>
      <c r="L9" t="inlineStr">
        <is>
          <t>2026-06-09T06:50:01.104853+00:00</t>
        </is>
      </c>
    </row>
    <row r="10">
      <c r="A10" t="inlineStr">
        <is>
          <t>All Questions</t>
        </is>
      </c>
      <c r="B10" t="inlineStr">
        <is>
          <t>cross_tab_by_mean</t>
        </is>
      </c>
      <c r="C10" t="inlineStr">
        <is>
          <t>Q_GRID_RATED</t>
        </is>
      </c>
      <c r="D10" t="inlineStr">
        <is>
          <t>Q_GRID_RATEDr1</t>
        </is>
      </c>
      <c r="E10" t="inlineStr">
        <is>
          <t>All_Questions_Q_GRID_RATED_CT = O$23</t>
        </is>
      </c>
      <c r="H10">
        <f>IF(OR(All_Questions_Q_GRID_RATED_CT="(None)",O$23=""),"",IF(O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O$23),"")))</f>
        <v>0</v>
      </c>
      <c r="I10" t="n">
        <v>4</v>
      </c>
      <c r="J10" t="n">
        <v>0</v>
      </c>
      <c r="K10" t="n">
        <v>0</v>
      </c>
      <c r="L10" t="inlineStr">
        <is>
          <t>2026-06-09T06:50:01.104877+00:00</t>
        </is>
      </c>
    </row>
    <row r="11">
      <c r="A11" t="inlineStr">
        <is>
          <t>All Questions</t>
        </is>
      </c>
      <c r="B11" t="inlineStr">
        <is>
          <t>cross_tab_by_mean</t>
        </is>
      </c>
      <c r="C11" t="inlineStr">
        <is>
          <t>Q_GRID_RATED</t>
        </is>
      </c>
      <c r="D11" t="inlineStr">
        <is>
          <t>Q_GRID_RATEDr1</t>
        </is>
      </c>
      <c r="E11" t="inlineStr">
        <is>
          <t>All_Questions_Q_GRID_RATED_CT = P$23</t>
        </is>
      </c>
      <c r="H11">
        <f>IF(OR(All_Questions_Q_GRID_RATED_CT="(None)",P$23=""),"",IF(P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P$23),"")))</f>
        <v>0</v>
      </c>
      <c r="I11" t="n">
        <v>4</v>
      </c>
      <c r="J11" t="n">
        <v>0</v>
      </c>
      <c r="K11" t="n">
        <v>0</v>
      </c>
      <c r="L11" t="inlineStr">
        <is>
          <t>2026-06-09T06:50:01.104923+00:00</t>
        </is>
      </c>
    </row>
    <row r="12">
      <c r="A12" t="inlineStr">
        <is>
          <t>All Questions</t>
        </is>
      </c>
      <c r="B12" t="inlineStr">
        <is>
          <t>cross_tab_by_mean</t>
        </is>
      </c>
      <c r="C12" t="inlineStr">
        <is>
          <t>Q_GRID_RATED</t>
        </is>
      </c>
      <c r="D12" t="inlineStr">
        <is>
          <t>Q_GRID_RATEDr1</t>
        </is>
      </c>
      <c r="E12" t="inlineStr">
        <is>
          <t>All_Questions_Q_GRID_RATED_CT = Q$23</t>
        </is>
      </c>
      <c r="H12">
        <f>IF(OR(All_Questions_Q_GRID_RATED_CT="(None)",Q$23=""),"",IF(Q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Q$23),"")))</f>
        <v>0</v>
      </c>
      <c r="I12" t="n">
        <v>4</v>
      </c>
      <c r="J12" t="n">
        <v>0</v>
      </c>
      <c r="K12" t="n">
        <v>0</v>
      </c>
      <c r="L12" t="inlineStr">
        <is>
          <t>2026-06-09T06:50:01.104999+00:00</t>
        </is>
      </c>
    </row>
    <row r="13">
      <c r="A13" t="inlineStr">
        <is>
          <t>All Questions</t>
        </is>
      </c>
      <c r="B13" t="inlineStr">
        <is>
          <t>cross_tab_by_mean</t>
        </is>
      </c>
      <c r="C13" t="inlineStr">
        <is>
          <t>Q_GRID_RATED</t>
        </is>
      </c>
      <c r="D13" t="inlineStr">
        <is>
          <t>Q_GRID_RATEDr1</t>
        </is>
      </c>
      <c r="E13" t="inlineStr">
        <is>
          <t>All_Questions_Q_GRID_RATED_CT = R$23</t>
        </is>
      </c>
      <c r="H13">
        <f>IF(OR(All_Questions_Q_GRID_RATED_CT="(None)",R$23=""),"",IF(R$23="Other","",IFERROR(AVERAGEIFS(Q_GRID_RATEDr1_data,Q_GRID_RATEDr1_data,"&gt;=0",passes_workbook_filters_data,1,passes_workbook_custom_filters_data,1,All_Questions_passes_local_filters_data,1,All_Questions_Q_GRID_RATED_F_passes_per_q_filter_data,1,INDIRECT(IFERROR(INDEX(Cross_Tab_Questions_Data_Names,MATCH(All_Questions_Q_GRID_RATED_CT,Cross_Tab_Questions,0)),"'_RawData'!$A:$A")),R$23),"")))</f>
        <v>0</v>
      </c>
      <c r="I13" t="n">
        <v>4</v>
      </c>
      <c r="J13" t="n">
        <v>0</v>
      </c>
      <c r="K13" t="n">
        <v>0</v>
      </c>
      <c r="L13" t="inlineStr">
        <is>
          <t>2026-06-09T06:50:01.105043+00:00</t>
        </is>
      </c>
    </row>
    <row r="14">
      <c r="A14" t="inlineStr">
        <is>
          <t>All Questions</t>
        </is>
      </c>
      <c r="B14" t="inlineStr">
        <is>
          <t>cross_tab_by_mean</t>
        </is>
      </c>
      <c r="C14" t="inlineStr">
        <is>
          <t>Q_DIRECT_NUM</t>
        </is>
      </c>
      <c r="D14" t="inlineStr">
        <is>
          <t>Q_DIRECT_NUM</t>
        </is>
      </c>
      <c r="E14" t="inlineStr">
        <is>
          <t>All_Questions_Q_DIRECT_NUM_CT = G$41</t>
        </is>
      </c>
      <c r="H14">
        <f>IF(OR(All_Questions_Q_DIRECT_NUM_CT="(None)",G$41=""),"",IF(G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G$41),"")))</f>
        <v>0</v>
      </c>
      <c r="I14" t="n">
        <v>8.75</v>
      </c>
      <c r="J14" t="n">
        <v>0</v>
      </c>
      <c r="K14" t="n">
        <v>0</v>
      </c>
      <c r="L14" t="inlineStr">
        <is>
          <t>2026-06-09T06:50:01.110000+00:00</t>
        </is>
      </c>
    </row>
    <row r="15">
      <c r="A15" t="inlineStr">
        <is>
          <t>All Questions</t>
        </is>
      </c>
      <c r="B15" t="inlineStr">
        <is>
          <t>cross_tab_by_mean</t>
        </is>
      </c>
      <c r="C15" t="inlineStr">
        <is>
          <t>Q_DIRECT_NUM</t>
        </is>
      </c>
      <c r="D15" t="inlineStr">
        <is>
          <t>Q_DIRECT_NUM</t>
        </is>
      </c>
      <c r="E15" t="inlineStr">
        <is>
          <t>All_Questions_Q_DIRECT_NUM_CT = H$41</t>
        </is>
      </c>
      <c r="H15">
        <f>IF(OR(All_Questions_Q_DIRECT_NUM_CT="(None)",H$41=""),"",IF(H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H$41),"")))</f>
        <v>0</v>
      </c>
      <c r="I15" t="n">
        <v>8.75</v>
      </c>
      <c r="J15" t="n">
        <v>0</v>
      </c>
      <c r="K15" t="n">
        <v>0</v>
      </c>
      <c r="L15" t="inlineStr">
        <is>
          <t>2026-06-09T06:50:01.110044+00:00</t>
        </is>
      </c>
    </row>
    <row r="16">
      <c r="A16" t="inlineStr">
        <is>
          <t>All Questions</t>
        </is>
      </c>
      <c r="B16" t="inlineStr">
        <is>
          <t>cross_tab_by_mean</t>
        </is>
      </c>
      <c r="C16" t="inlineStr">
        <is>
          <t>Q_DIRECT_NUM</t>
        </is>
      </c>
      <c r="D16" t="inlineStr">
        <is>
          <t>Q_DIRECT_NUM</t>
        </is>
      </c>
      <c r="E16" t="inlineStr">
        <is>
          <t>All_Questions_Q_DIRECT_NUM_CT = I$41</t>
        </is>
      </c>
      <c r="H16">
        <f>IF(OR(All_Questions_Q_DIRECT_NUM_CT="(None)",I$41=""),"",IF(I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I$41),"")))</f>
        <v>0</v>
      </c>
      <c r="I16" t="n">
        <v>8.75</v>
      </c>
      <c r="J16" t="n">
        <v>0</v>
      </c>
      <c r="K16" t="n">
        <v>0</v>
      </c>
      <c r="L16" t="inlineStr">
        <is>
          <t>2026-06-09T06:50:01.110073+00:00</t>
        </is>
      </c>
    </row>
    <row r="17">
      <c r="A17" t="inlineStr">
        <is>
          <t>All Questions</t>
        </is>
      </c>
      <c r="B17" t="inlineStr">
        <is>
          <t>cross_tab_by_mean</t>
        </is>
      </c>
      <c r="C17" t="inlineStr">
        <is>
          <t>Q_DIRECT_NUM</t>
        </is>
      </c>
      <c r="D17" t="inlineStr">
        <is>
          <t>Q_DIRECT_NUM</t>
        </is>
      </c>
      <c r="E17" t="inlineStr">
        <is>
          <t>All_Questions_Q_DIRECT_NUM_CT = J$41</t>
        </is>
      </c>
      <c r="H17">
        <f>IF(OR(All_Questions_Q_DIRECT_NUM_CT="(None)",J$41=""),"",IF(J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J$41),"")))</f>
        <v>0</v>
      </c>
      <c r="I17" t="n">
        <v>8.75</v>
      </c>
      <c r="J17" t="n">
        <v>0</v>
      </c>
      <c r="K17" t="n">
        <v>0</v>
      </c>
      <c r="L17" t="inlineStr">
        <is>
          <t>2026-06-09T06:50:01.110100+00:00</t>
        </is>
      </c>
    </row>
    <row r="18">
      <c r="A18" t="inlineStr">
        <is>
          <t>All Questions</t>
        </is>
      </c>
      <c r="B18" t="inlineStr">
        <is>
          <t>cross_tab_by_mean</t>
        </is>
      </c>
      <c r="C18" t="inlineStr">
        <is>
          <t>Q_DIRECT_NUM</t>
        </is>
      </c>
      <c r="D18" t="inlineStr">
        <is>
          <t>Q_DIRECT_NUM</t>
        </is>
      </c>
      <c r="E18" t="inlineStr">
        <is>
          <t>All_Questions_Q_DIRECT_NUM_CT = K$41</t>
        </is>
      </c>
      <c r="H18">
        <f>IF(OR(All_Questions_Q_DIRECT_NUM_CT="(None)",K$41=""),"",IF(K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K$41),"")))</f>
        <v>0</v>
      </c>
      <c r="I18" t="n">
        <v>8.75</v>
      </c>
      <c r="J18" t="n">
        <v>0</v>
      </c>
      <c r="K18" t="n">
        <v>0</v>
      </c>
      <c r="L18" t="inlineStr">
        <is>
          <t>2026-06-09T06:50:01.110125+00:00</t>
        </is>
      </c>
    </row>
    <row r="19">
      <c r="A19" t="inlineStr">
        <is>
          <t>All Questions</t>
        </is>
      </c>
      <c r="B19" t="inlineStr">
        <is>
          <t>cross_tab_by_mean</t>
        </is>
      </c>
      <c r="C19" t="inlineStr">
        <is>
          <t>Q_DIRECT_NUM</t>
        </is>
      </c>
      <c r="D19" t="inlineStr">
        <is>
          <t>Q_DIRECT_NUM</t>
        </is>
      </c>
      <c r="E19" t="inlineStr">
        <is>
          <t>All_Questions_Q_DIRECT_NUM_CT = L$41</t>
        </is>
      </c>
      <c r="H19">
        <f>IF(OR(All_Questions_Q_DIRECT_NUM_CT="(None)",L$41=""),"",IF(L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L$41),"")))</f>
        <v>0</v>
      </c>
      <c r="I19" t="n">
        <v>8.75</v>
      </c>
      <c r="J19" t="n">
        <v>0</v>
      </c>
      <c r="K19" t="n">
        <v>0</v>
      </c>
      <c r="L19" t="inlineStr">
        <is>
          <t>2026-06-09T06:50:01.110149+00:00</t>
        </is>
      </c>
    </row>
    <row r="20">
      <c r="A20" t="inlineStr">
        <is>
          <t>All Questions</t>
        </is>
      </c>
      <c r="B20" t="inlineStr">
        <is>
          <t>cross_tab_by_mean</t>
        </is>
      </c>
      <c r="C20" t="inlineStr">
        <is>
          <t>Q_DIRECT_NUM</t>
        </is>
      </c>
      <c r="D20" t="inlineStr">
        <is>
          <t>Q_DIRECT_NUM</t>
        </is>
      </c>
      <c r="E20" t="inlineStr">
        <is>
          <t>All_Questions_Q_DIRECT_NUM_CT = M$41</t>
        </is>
      </c>
      <c r="H20">
        <f>IF(OR(All_Questions_Q_DIRECT_NUM_CT="(None)",M$41=""),"",IF(M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M$41),"")))</f>
        <v>0</v>
      </c>
      <c r="I20" t="n">
        <v>8.75</v>
      </c>
      <c r="J20" t="n">
        <v>0</v>
      </c>
      <c r="K20" t="n">
        <v>0</v>
      </c>
      <c r="L20" t="inlineStr">
        <is>
          <t>2026-06-09T06:50:01.110172+00:00</t>
        </is>
      </c>
    </row>
    <row r="21">
      <c r="A21" t="inlineStr">
        <is>
          <t>All Questions</t>
        </is>
      </c>
      <c r="B21" t="inlineStr">
        <is>
          <t>cross_tab_by_mean</t>
        </is>
      </c>
      <c r="C21" t="inlineStr">
        <is>
          <t>Q_DIRECT_NUM</t>
        </is>
      </c>
      <c r="D21" t="inlineStr">
        <is>
          <t>Q_DIRECT_NUM</t>
        </is>
      </c>
      <c r="E21" t="inlineStr">
        <is>
          <t>All_Questions_Q_DIRECT_NUM_CT = N$41</t>
        </is>
      </c>
      <c r="H21">
        <f>IF(OR(All_Questions_Q_DIRECT_NUM_CT="(None)",N$41=""),"",IF(N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N$41),"")))</f>
        <v>0</v>
      </c>
      <c r="I21" t="n">
        <v>8.75</v>
      </c>
      <c r="J21" t="n">
        <v>0</v>
      </c>
      <c r="K21" t="n">
        <v>0</v>
      </c>
      <c r="L21" t="inlineStr">
        <is>
          <t>2026-06-09T06:50:01.110196+00:00</t>
        </is>
      </c>
    </row>
    <row r="22">
      <c r="A22" t="inlineStr">
        <is>
          <t>All Questions</t>
        </is>
      </c>
      <c r="B22" t="inlineStr">
        <is>
          <t>cross_tab_by_mean</t>
        </is>
      </c>
      <c r="C22" t="inlineStr">
        <is>
          <t>Q_DIRECT_NUM</t>
        </is>
      </c>
      <c r="D22" t="inlineStr">
        <is>
          <t>Q_DIRECT_NUM</t>
        </is>
      </c>
      <c r="E22" t="inlineStr">
        <is>
          <t>All_Questions_Q_DIRECT_NUM_CT = O$41</t>
        </is>
      </c>
      <c r="H22">
        <f>IF(OR(All_Questions_Q_DIRECT_NUM_CT="(None)",O$41=""),"",IF(O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O$41),"")))</f>
        <v>0</v>
      </c>
      <c r="I22" t="n">
        <v>8.75</v>
      </c>
      <c r="J22" t="n">
        <v>0</v>
      </c>
      <c r="K22" t="n">
        <v>0</v>
      </c>
      <c r="L22" t="inlineStr">
        <is>
          <t>2026-06-09T06:50:01.110219+00:00</t>
        </is>
      </c>
    </row>
    <row r="23">
      <c r="A23" t="inlineStr">
        <is>
          <t>All Questions</t>
        </is>
      </c>
      <c r="B23" t="inlineStr">
        <is>
          <t>cross_tab_by_mean</t>
        </is>
      </c>
      <c r="C23" t="inlineStr">
        <is>
          <t>Q_DIRECT_NUM</t>
        </is>
      </c>
      <c r="D23" t="inlineStr">
        <is>
          <t>Q_DIRECT_NUM</t>
        </is>
      </c>
      <c r="E23" t="inlineStr">
        <is>
          <t>All_Questions_Q_DIRECT_NUM_CT = P$41</t>
        </is>
      </c>
      <c r="H23">
        <f>IF(OR(All_Questions_Q_DIRECT_NUM_CT="(None)",P$41=""),"",IF(P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P$41),"")))</f>
        <v>0</v>
      </c>
      <c r="I23" t="n">
        <v>8.75</v>
      </c>
      <c r="J23" t="n">
        <v>0</v>
      </c>
      <c r="K23" t="n">
        <v>0</v>
      </c>
      <c r="L23" t="inlineStr">
        <is>
          <t>2026-06-09T06:50:01.110244+00:00</t>
        </is>
      </c>
    </row>
    <row r="24">
      <c r="A24" t="inlineStr">
        <is>
          <t>All Questions</t>
        </is>
      </c>
      <c r="B24" t="inlineStr">
        <is>
          <t>cross_tab_by_mean</t>
        </is>
      </c>
      <c r="C24" t="inlineStr">
        <is>
          <t>Q_DIRECT_NUM</t>
        </is>
      </c>
      <c r="D24" t="inlineStr">
        <is>
          <t>Q_DIRECT_NUM</t>
        </is>
      </c>
      <c r="E24" t="inlineStr">
        <is>
          <t>All_Questions_Q_DIRECT_NUM_CT = Q$41</t>
        </is>
      </c>
      <c r="H24">
        <f>IF(OR(All_Questions_Q_DIRECT_NUM_CT="(None)",Q$41=""),"",IF(Q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Q$41),"")))</f>
        <v>0</v>
      </c>
      <c r="I24" t="n">
        <v>8.75</v>
      </c>
      <c r="J24" t="n">
        <v>0</v>
      </c>
      <c r="K24" t="n">
        <v>0</v>
      </c>
      <c r="L24" t="inlineStr">
        <is>
          <t>2026-06-09T06:50:01.110270+00:00</t>
        </is>
      </c>
    </row>
    <row r="25">
      <c r="A25" t="inlineStr">
        <is>
          <t>All Questions</t>
        </is>
      </c>
      <c r="B25" t="inlineStr">
        <is>
          <t>cross_tab_by_mean</t>
        </is>
      </c>
      <c r="C25" t="inlineStr">
        <is>
          <t>Q_DIRECT_NUM</t>
        </is>
      </c>
      <c r="D25" t="inlineStr">
        <is>
          <t>Q_DIRECT_NUM</t>
        </is>
      </c>
      <c r="E25" t="inlineStr">
        <is>
          <t>All_Questions_Q_DIRECT_NUM_CT = R$41</t>
        </is>
      </c>
      <c r="H25">
        <f>IF(OR(All_Questions_Q_DIRECT_NUM_CT="(None)",R$41=""),"",IF(R$41="Other","",IFERROR(AVERAGEIFS(Q_DIRECT_NUM_data,Q_DIRECT_NUM_data,"&lt;&gt;",passes_workbook_filters_data,1,passes_workbook_custom_filters_data,1,All_Questions_passes_local_filters_data,1,All_Questions_Q_DIRECT_NUM_F_passes_per_q_filter_data,1,INDIRECT(IFERROR(INDEX(Cross_Tab_Questions_Data_Names,MATCH(All_Questions_Q_DIRECT_NUM_CT,Cross_Tab_Questions,0)),"'_RawData'!$A:$A")),R$41),"")))</f>
        <v>0</v>
      </c>
      <c r="I25" t="n">
        <v>8.75</v>
      </c>
      <c r="J25" t="n">
        <v>0</v>
      </c>
      <c r="K25" t="n">
        <v>0</v>
      </c>
      <c r="L25" t="inlineStr">
        <is>
          <t>2026-06-09T06:50:01.110306+00:00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2026-06-09T06:49:59Z</dcterms:created>
  <dcterms:modified xmlns:dcterms="http://purl.org/dc/terms/" xmlns:xsi="http://www.w3.org/2001/XMLSchema-instance" xsi:type="dcterms:W3CDTF">2026-06-09T06:50:01Z</dcterms:modified>
</cp:coreProperties>
</file>