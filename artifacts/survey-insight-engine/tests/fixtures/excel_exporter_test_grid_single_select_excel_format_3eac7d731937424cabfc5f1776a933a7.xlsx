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r1_data">'_RawData'!$B:$B</definedName>
    <definedName name="r2_data">'_RawData'!$C:$C</definedName>
    <definedName name="r3_data">'_RawData'!$D:$D</definedName>
    <definedName name="All_Questions">'_Options'!$A$2:$A$5</definedName>
    <definedName name="None_options">'_Options'!$B$2:$B$2</definedName>
    <definedName name="r1_options">'_Options'!$C$2:$C$3</definedName>
    <definedName name="r2_options">'_Options'!$D$2:$D$3</definedName>
    <definedName name="r3_options">'_Options'!$E$2:$E$3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GRID_FORMAT_F_Q">'Filters'!$B$10</definedName>
    <definedName name="Q_GRID_FORMAT_F_V">'Filters'!$C$10</definedName>
    <definedName name="Q_GRID_FORMAT_CT">'Filters'!$D$10</definedName>
    <definedName name="Q_GRID_FORMAT_F_resolved_column">'Filters'!$E$10</definedName>
    <definedName name="Q_GRID_FORMAT_F_crit">'Filters'!$F$10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r1_options</t>
        </is>
      </c>
      <c r="D1" t="inlineStr">
        <is>
          <t>r2_options</t>
        </is>
      </c>
      <c r="E1" t="inlineStr">
        <is>
          <t>r3_options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</row>
    <row r="3">
      <c r="A3" t="inlineStr">
        <is>
          <t>r1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</row>
    <row r="4">
      <c r="A4" t="inlineStr">
        <is>
          <t>r2</t>
        </is>
      </c>
    </row>
    <row r="5">
      <c r="A5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Q_GRID_FORMAT - Grid format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IF(Q_GRID_FORMAT_F_Q="(None)","respondent_id_data",Q_GRID_FORMAT_F_Q &amp; "_data")</f>
        <v/>
      </c>
      <c r="F10">
        <f>IF(Q_GRID_FORMAT_F_Q="(None)","&lt;&gt;",IF(Q_GRID_FORMAT_F_V="(All)","*",Q_GRID_FORMAT_F_V))</f>
        <v/>
      </c>
    </row>
  </sheetData>
  <dataValidations count="7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=INDIRECT(IF(Q_GRID_FORMAT_F_Q="(None)","None_options",Q_GRID_FORMAT_F_Q &amp; "_options"))</formula1>
    </dataValidation>
    <dataValidation sqref="D10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80</v>
      </c>
    </row>
    <row r="5">
      <c r="A5" s="4" t="inlineStr">
        <is>
          <t>Total questions:</t>
        </is>
      </c>
      <c r="B5" t="n">
        <v>1</v>
      </c>
    </row>
    <row r="6">
      <c r="A6" s="4" t="inlineStr">
        <is>
          <t>Results produced:</t>
        </is>
      </c>
      <c r="B6" t="n">
        <v>1</v>
      </c>
    </row>
    <row r="7">
      <c r="A7" s="4" t="inlineStr">
        <is>
          <t>Questions skipped:</t>
        </is>
      </c>
      <c r="B7" t="n">
        <v>0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0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80</v>
      </c>
      <c r="G2" t="n">
        <v>0</v>
      </c>
      <c r="H2" s="6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Q_GRID_FORMAT - Grid format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IFERROR(INDEX(INDIRECT(Q_GRID_FORMAT_CT &amp; "_options"),2),"")</f>
        <v/>
      </c>
      <c r="H6">
        <f>IFERROR(INDEX(INDIRECT(Q_GRID_FORMAT_CT &amp; "_options"),3),"")</f>
        <v/>
      </c>
      <c r="I6">
        <f>IFERROR(INDEX(INDIRECT(Q_GRID_FORMAT_CT &amp; "_options"),4),"")</f>
        <v/>
      </c>
      <c r="J6">
        <f>IFERROR(INDEX(INDIRECT(Q_GRID_FORMAT_CT &amp; "_options"),5),"")</f>
        <v/>
      </c>
      <c r="K6">
        <f>IFERROR(INDEX(INDIRECT(Q_GRID_FORMAT_CT &amp; "_options"),6),"")</f>
        <v/>
      </c>
      <c r="L6">
        <f>IFERROR(INDEX(INDIRECT(Q_GRID_FORMAT_CT &amp; "_options"),7),"")</f>
        <v/>
      </c>
      <c r="M6">
        <f>IFERROR(INDEX(INDIRECT(Q_GRID_FORMAT_CT &amp; "_options"),8),"")</f>
        <v/>
      </c>
      <c r="N6">
        <f>IFERROR(INDEX(INDIRECT(Q_GRID_FORMAT_CT &amp; "_options"),9),"")</f>
        <v/>
      </c>
      <c r="O6" s="4" t="inlineStr">
        <is>
          <t>TOTAL</t>
        </is>
      </c>
    </row>
    <row r="7">
      <c r="A7" t="inlineStr">
        <is>
          <t>Option A</t>
        </is>
      </c>
      <c r="B7">
        <f>COUNTIFS(INDIRECT(F_Custom1_resolved_column),F_Custom1_crit,INDIRECT(F_Custom2_resolved_column),F_Custom2_crit,INDIRECT(Q_GRID_FORMAT_F_resolved_column),Q_GRID_FORMAT_F_crit,r1_data,"Selected")</f>
        <v/>
      </c>
      <c r="C7" s="6">
        <f>IFERROR(B7/SUBTOTAL(9,B7:B8),0)</f>
        <v/>
      </c>
      <c r="D7" s="11">
        <f>SUBTOTAL(9,B7:B8)</f>
        <v/>
      </c>
      <c r="F7" t="inlineStr">
        <is>
          <t>Option A</t>
        </is>
      </c>
      <c r="G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"_data"),G$6))</f>
        <v/>
      </c>
      <c r="H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"_data"),H$6))</f>
        <v/>
      </c>
      <c r="I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"_data"),I$6))</f>
        <v/>
      </c>
      <c r="J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"_data"),J$6))</f>
        <v/>
      </c>
      <c r="K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"_data"),K$6))</f>
        <v/>
      </c>
      <c r="L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"_data"),L$6))</f>
        <v/>
      </c>
      <c r="M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"_data"),M$6))</f>
        <v/>
      </c>
      <c r="N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"_data"),N$6))</f>
        <v/>
      </c>
      <c r="O7">
        <f>SUM(G7:N7)</f>
        <v/>
      </c>
    </row>
    <row r="8">
      <c r="A8" t="inlineStr">
        <is>
          <t>Option B</t>
        </is>
      </c>
      <c r="B8">
        <f>COUNTIFS(INDIRECT(F_Custom1_resolved_column),F_Custom1_crit,INDIRECT(F_Custom2_resolved_column),F_Custom2_crit,INDIRECT(Q_GRID_FORMAT_F_resolved_column),Q_GRID_FORMAT_F_crit,r2_data,"Selected")</f>
        <v/>
      </c>
      <c r="C8" s="6">
        <f>IFERROR(B8/SUBTOTAL(9,B7:B8),0)</f>
        <v/>
      </c>
      <c r="D8" s="11">
        <f>SUBTOTAL(9,B7:B8)</f>
        <v/>
      </c>
      <c r="F8" t="inlineStr">
        <is>
          <t>Option B</t>
        </is>
      </c>
      <c r="G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"_data"),G$6))</f>
        <v/>
      </c>
      <c r="H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"_data"),H$6))</f>
        <v/>
      </c>
      <c r="I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"_data"),I$6))</f>
        <v/>
      </c>
      <c r="J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"_data"),J$6))</f>
        <v/>
      </c>
      <c r="K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"_data"),K$6))</f>
        <v/>
      </c>
      <c r="L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"_data"),L$6))</f>
        <v/>
      </c>
      <c r="M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"_data"),M$6))</f>
        <v/>
      </c>
      <c r="N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"_data"),N$6))</f>
        <v/>
      </c>
      <c r="O8">
        <f>SUM(G8:N8)</f>
        <v/>
      </c>
    </row>
  </sheetData>
  <mergeCells count="2">
    <mergeCell ref="A1:J1"/>
    <mergeCell ref="A4:J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2026-05-13T19:25:09Z</dcterms:created>
  <dcterms:modified xmlns:dcterms="http://purl.org/dc/terms/" xmlns:xsi="http://www.w3.org/2001/XMLSchema-instance" xsi:type="dcterms:W3CDTF">2026-05-13T19:25:09Z</dcterms:modified>
</cp:coreProperties>
</file>