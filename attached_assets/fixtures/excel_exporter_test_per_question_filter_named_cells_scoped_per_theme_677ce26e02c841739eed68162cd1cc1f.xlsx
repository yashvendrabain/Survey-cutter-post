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Questions'!$C$35</definedName>
    <definedName name="All_Questions_Q_VERY_LONG_SINGLE_SELECT_EXPORT_NAME_F_V">'All Questions'!$E$35</definedName>
    <definedName name="All_Questions_Q_VERY_LONG_SINGLE_SELECT_EXPORT_NAME_F_resolved_column">'All Questions'!$F$35</definedName>
    <definedName name="All_Questions_Q_VERY_LONG_SINGLE_SELECT_EXPORT_NAME_F_wrapped">'All Questions'!$G$35</definedName>
    <definedName name="All_Questions_Q_VERY_LONG_SINGLE_SELECT_EXPORT_NAME_F_passes_per_q_filter_data">'_RawData'!$T$2:$T$11</definedName>
    <definedName name="All_Questions_Q_VERY_LONG_SINGLE_SELECT_EXPORT_NAME_CT">'All Questions'!$C$36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  <c r="F35" i="9"/>
  <c r="G35" i="9"/>
  <c r="G38" i="9"/>
  <c r="H38" i="9"/>
  <c r="I38" i="9"/>
  <c r="J38" i="9"/>
  <c r="K38" i="9"/>
  <c r="L38" i="9"/>
  <c r="M38" i="9"/>
  <c r="N38" i="9"/>
  <c r="O38" i="9"/>
  <c r="P38" i="9"/>
  <c r="Q38" i="9"/>
  <c r="R38" i="9"/>
  <c r="B39" i="9"/>
  <c r="C39" i="9"/>
  <c r="D39" i="9"/>
  <c r="B40" i="9"/>
  <c r="C40" i="9"/>
  <c r="D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S4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8_1" displayName="T_All_Questions_38_1" ref="A38:D41" headerRowCount="1">
  <autoFilter ref="A38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IF(All_Questions_Q_GRID_EXPORT_CT="(None)","",IFERROR(INDEX(INDIRECT(IFERROR(INDEX(All_Questions_Options_Names,MATCH(All_Questions_Q_GRID_EXPORT_CT,All_Questions,0)),"'_Options'!$E$2:$E$2")),2),""))</f>
        <v/>
      </c>
      <c r="H27" s="2" t="str">
        <f>IF(All_Questions_Q_GRID_EXPORT_CT="(None)","",IFERROR(INDEX(INDIRECT(IFERROR(INDEX(All_Questions_Options_Names,MATCH(All_Questions_Q_GRID_EXPORT_CT,All_Questions,0)),"'_Options'!$E$2:$E$2")),3),""))</f>
        <v/>
      </c>
      <c r="I27" s="2" t="str">
        <f>IF(All_Questions_Q_GRID_EXPORT_CT="(None)","",IFERROR(INDEX(INDIRECT(IFERROR(INDEX(All_Questions_Options_Names,MATCH(All_Questions_Q_GRID_EXPORT_CT,All_Questions,0)),"'_Options'!$E$2:$E$2")),4),""))</f>
        <v/>
      </c>
      <c r="J27" s="2" t="str">
        <f>IF(All_Questions_Q_GRID_EXPORT_CT="(None)","",IFERROR(INDEX(INDIRECT(IFERROR(INDEX(All_Questions_Options_Names,MATCH(All_Questions_Q_GRID_EXPORT_CT,All_Questions,0)),"'_Options'!$E$2:$E$2")),5),""))</f>
        <v/>
      </c>
      <c r="K27" s="2" t="str">
        <f>IF(All_Questions_Q_GRID_EXPORT_CT="(None)","",IFERROR(INDEX(INDIRECT(IFERROR(INDEX(All_Questions_Options_Names,MATCH(All_Questions_Q_GRID_EXPORT_CT,All_Questions,0)),"'_Options'!$E$2:$E$2")),6),""))</f>
        <v/>
      </c>
      <c r="L27" s="2" t="str">
        <f>IF(All_Questions_Q_GRID_EXPORT_CT="(None)","",IFERROR(INDEX(INDIRECT(IFERROR(INDEX(All_Questions_Options_Names,MATCH(All_Questions_Q_GRID_EXPORT_CT,All_Questions,0)),"'_Options'!$E$2:$E$2")),7),""))</f>
        <v/>
      </c>
      <c r="M27" s="2" t="str">
        <f>IF(All_Questions_Q_GRID_EXPORT_CT="(None)","",IFERROR(INDEX(INDIRECT(IFERROR(INDEX(All_Questions_Options_Names,MATCH(All_Questions_Q_GRID_EXPORT_CT,All_Questions,0)),"'_Options'!$E$2:$E$2")),8),""))</f>
        <v/>
      </c>
      <c r="N27" s="2" t="str">
        <f>IF(All_Questions_Q_GRID_EXPORT_CT="(None)","",IFERROR(INDEX(INDIRECT(IFERROR(INDEX(All_Questions_Options_Names,MATCH(All_Questions_Q_GRID_EXPORT_CT,All_Questions,0)),"'_Options'!$E$2:$E$2")),9),""))</f>
        <v/>
      </c>
      <c r="O27" s="2" t="str">
        <f>IF(All_Questions_Q_GRID_EXPORT_CT="(None)","",IFERROR(INDEX(INDIRECT(IFERROR(INDEX(All_Questions_Options_Names,MATCH(All_Questions_Q_GRID_EXPORT_CT,All_Questions,0)),"'_Options'!$E$2:$E$2")),10),""))</f>
        <v/>
      </c>
      <c r="P27" s="2" t="str">
        <f>IF(All_Questions_Q_GRID_EXPORT_CT="(None)","",IFERROR(INDEX(INDIRECT(IFERROR(INDEX(All_Questions_Options_Names,MATCH(All_Questions_Q_GRID_EXPORT_CT,All_Questions,0)),"'_Options'!$E$2:$E$2")),11),""))</f>
        <v/>
      </c>
      <c r="Q27" s="2" t="str">
        <f>IF(All_Questions_Q_GRID_EXPORT_CT="(None)","",IFERROR(INDEX(INDIRECT(IFERROR(INDEX(All_Questions_Options_Names,MATCH(All_Questions_Q_GRID_EXPORT_CT,All_Questions,0)),"'_Options'!$E$2:$E$2")),12),""))</f>
        <v/>
      </c>
      <c r="R27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27" s="4" t="inlineStr">
        <is>
          <t>Total</t>
        </is>
      </c>
    </row>
    <row r="28">
      <c r="A28" t="inlineStr">
        <is>
          <t>Grid first row</t>
        </is>
      </c>
      <c r="B28">
        <f>COUNTIFS(Q_GRID_EXPORTr1_data,"Selected",passes_workbook_filters_data,1,passes_workbook_custom_filters_data,1,All_Questions_passes_local_filters_data,1,All_Questions_Q_GRID_EXPORT_F_passes_per_q_filter_data,1)</f>
        <v>10</v>
      </c>
      <c r="C28" s="7">
        <f>IFERROR(B28/SUBTOTAL(9,B28:B29),0)</f>
        <v>0.5</v>
      </c>
      <c r="D28" s="14">
        <f>SUBTOTAL(9,B28:B29)</f>
        <v>20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Grid second row</t>
        </is>
      </c>
      <c r="B29">
        <f>COUNTIFS(Q_GRID_EXPORTr2_data,"Selected",passes_workbook_filters_data,1,passes_workbook_custom_filters_data,1,All_Questions_passes_local_filters_data,1,All_Questions_Q_GRID_EXPORT_F_passes_per_q_filter_data,1)</f>
        <v>10</v>
      </c>
      <c r="C29" s="7">
        <f>IFERROR(B29/SUBTOTAL(9,B28:B29),0)</f>
        <v>0.5</v>
      </c>
      <c r="D29" s="14">
        <f>SUBTOTAL(9,B28:B29)</f>
        <v>20</v>
      </c>
      <c r="F29" t="inlineStr">
        <is>
          <t>Grid first row</t>
        </is>
      </c>
      <c r="G29">
        <f>IF(OR(All_Questions_Q_GRID_EXPORT_CT="(None)",G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29">
        <f>IF(OR(All_Questions_Q_GRID_EXPORT_CT="(None)",H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29">
        <f>IF(OR(All_Questions_Q_GRID_EXPORT_CT="(None)",I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29">
        <f>IF(OR(All_Questions_Q_GRID_EXPORT_CT="(None)",J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29">
        <f>IF(OR(All_Questions_Q_GRID_EXPORT_CT="(None)",K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29">
        <f>IF(OR(All_Questions_Q_GRID_EXPORT_CT="(None)",L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29">
        <f>IF(OR(All_Questions_Q_GRID_EXPORT_CT="(None)",M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29">
        <f>IF(OR(All_Questions_Q_GRID_EXPORT_CT="(None)",N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29">
        <f>IF(OR(All_Questions_Q_GRID_EXPORT_CT="(None)",O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29">
        <f>IF(OR(All_Questions_Q_GRID_EXPORT_CT="(None)",P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29">
        <f>IF(OR(All_Questions_Q_GRID_EXPORT_CT="(None)",Q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29">
        <f>IF(OR(All_Questions_Q_GRID_EXPORT_CT="(None)",R$27=""),"",IF(R$27="Other",COUNTIFS(Q_GRID_EXPORTr1_data,"Selected",passes_workbook_filters_data,1,passes_workbook_custom_filters_data,1,All_Questions_passes_local_filters_data,1,All_Questions_Q_GRID_EXPORT_F_passes_per_q_filter_data,1)-SUM(G29,H29,I29,J29,K29,L29,M29,N29,O29,P29,Q29)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29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Grid second row</t>
        </is>
      </c>
      <c r="G30">
        <f>IF(OR(All_Questions_Q_GRID_EXPORT_CT="(None)",G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30">
        <f>IF(OR(All_Questions_Q_GRID_EXPORT_CT="(None)",H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30">
        <f>IF(OR(All_Questions_Q_GRID_EXPORT_CT="(None)",I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30">
        <f>IF(OR(All_Questions_Q_GRID_EXPORT_CT="(None)",J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30">
        <f>IF(OR(All_Questions_Q_GRID_EXPORT_CT="(None)",K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30">
        <f>IF(OR(All_Questions_Q_GRID_EXPORT_CT="(None)",L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30">
        <f>IF(OR(All_Questions_Q_GRID_EXPORT_CT="(None)",M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30">
        <f>IF(OR(All_Questions_Q_GRID_EXPORT_CT="(None)",N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30">
        <f>IF(OR(All_Questions_Q_GRID_EXPORT_CT="(None)",O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30">
        <f>IF(OR(All_Questions_Q_GRID_EXPORT_CT="(None)",P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30">
        <f>IF(OR(All_Questions_Q_GRID_EXPORT_CT="(None)",Q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30">
        <f>IF(OR(All_Questions_Q_GRID_EXPORT_CT="(None)",R$27=""),"",IF(R$27="Other",COUNTIFS(Q_GRID_EXPORTr2_data,"Selected",passes_workbook_filters_data,1,passes_workbook_custom_filters_data,1,All_Questions_passes_local_filters_data,1,All_Questions_Q_GRID_EXPORT_F_passes_per_q_filter_data,1)-SUM(G30,H30,I30,J30,K30,L30,M30,N30,O30,P30,Q30)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30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1">
      <c r="A31" s="4" t="inlineStr">
        <is>
          <t>Total responses</t>
        </is>
      </c>
      <c r="B31" s="4" t="n">
        <v>20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Q_VERY_LONG_SINGLE_SELECT_EXPORT_NAME - Long sheet name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IFERROR(INDEX(All_Questions_Data_Names,MATCH(All_Questions_Q_VERY_LONG_SINGLE_SELECT_EXPORT_NAME_F_Q,All_Questions,0)),"'_RawData'!$A:$A")</f>
        <v>respondent_id_data</v>
      </c>
      <c r="G35" t="str">
        <f>"|" &amp; SUBSTITUTE(All_Questions_Q_VERY_LONG_SINGLE_SELECT_EXPORT_NAME_F_V,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4" t="inlineStr">
        <is>
          <t>Option</t>
        </is>
      </c>
      <c r="G3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8" s="4" t="inlineStr">
        <is>
          <t>Total</t>
        </is>
      </c>
    </row>
    <row r="39">
      <c r="A39" t="inlineStr">
        <is>
          <t>A</t>
        </is>
      </c>
      <c r="B3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9" s="7">
        <f>IFERROR(B39/SUBTOTAL(9,B39:B40),0)</f>
        <v>0.7</v>
      </c>
      <c r="D39" s="14">
        <f>SUBTOTAL(9,B39:B40)</f>
        <v>10</v>
      </c>
      <c r="F39" s="4" t="inlineStr"/>
      <c r="G39" s="4" t="inlineStr">
        <is>
          <t># of resp</t>
        </is>
      </c>
      <c r="H39" s="4" t="inlineStr">
        <is>
          <t># of resp</t>
        </is>
      </c>
      <c r="I39" s="4" t="inlineStr">
        <is>
          <t># of resp</t>
        </is>
      </c>
      <c r="J39" s="4" t="inlineStr">
        <is>
          <t># of resp</t>
        </is>
      </c>
      <c r="K39" s="4" t="inlineStr">
        <is>
          <t># of resp</t>
        </is>
      </c>
      <c r="L39" s="4" t="inlineStr">
        <is>
          <t># of resp</t>
        </is>
      </c>
      <c r="M39" s="4" t="inlineStr">
        <is>
          <t># of resp</t>
        </is>
      </c>
      <c r="N39" s="4" t="inlineStr">
        <is>
          <t># of resp</t>
        </is>
      </c>
      <c r="O39" s="4" t="inlineStr">
        <is>
          <t># of resp</t>
        </is>
      </c>
      <c r="P39" s="4" t="inlineStr">
        <is>
          <t># of resp</t>
        </is>
      </c>
      <c r="Q39" s="4" t="inlineStr">
        <is>
          <t># of resp</t>
        </is>
      </c>
      <c r="R39" s="4" t="inlineStr">
        <is>
          <t># of resp</t>
        </is>
      </c>
      <c r="S39" s="4" t="inlineStr">
        <is>
          <t># of resp</t>
        </is>
      </c>
    </row>
    <row r="40">
      <c r="A40" t="inlineStr">
        <is>
          <t>B</t>
        </is>
      </c>
      <c r="B4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0" s="7">
        <f>IFERROR(B40/SUBTOTAL(9,B39:B40),0)</f>
        <v>0.3</v>
      </c>
      <c r="D40" s="14">
        <f>SUBTOTAL(9,B39:B40)</f>
        <v>10</v>
      </c>
      <c r="F40" t="inlineStr">
        <is>
          <t>A</t>
        </is>
      </c>
      <c r="G40">
        <f>IF(OR(All_Questions_Q_VERY_LONG_SINGLE_SELECT_EXPORT_NAME_CT="(None)",G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0">
        <f>IF(OR(All_Questions_Q_VERY_LONG_SINGLE_SELECT_EXPORT_NAME_CT="(None)",H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0">
        <f>IF(OR(All_Questions_Q_VERY_LONG_SINGLE_SELECT_EXPORT_NAME_CT="(None)",I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0">
        <f>IF(OR(All_Questions_Q_VERY_LONG_SINGLE_SELECT_EXPORT_NAME_CT="(None)",J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0">
        <f>IF(OR(All_Questions_Q_VERY_LONG_SINGLE_SELECT_EXPORT_NAME_CT="(None)",K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0">
        <f>IF(OR(All_Questions_Q_VERY_LONG_SINGLE_SELECT_EXPORT_NAME_CT="(None)",L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0">
        <f>IF(OR(All_Questions_Q_VERY_LONG_SINGLE_SELECT_EXPORT_NAME_CT="(None)",M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0">
        <f>IF(OR(All_Questions_Q_VERY_LONG_SINGLE_SELECT_EXPORT_NAME_CT="(None)",N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0">
        <f>IF(OR(All_Questions_Q_VERY_LONG_SINGLE_SELECT_EXPORT_NAME_CT="(None)",O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0">
        <f>IF(OR(All_Questions_Q_VERY_LONG_SINGLE_SELECT_EXPORT_NAME_CT="(None)",P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0">
        <f>IF(OR(All_Questions_Q_VERY_LONG_SINGLE_SELECT_EXPORT_NAME_CT="(None)",Q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0">
        <f>IF(OR(All_Questions_Q_VERY_LONG_SINGLE_SELECT_EXPORT_NAME_CT="(None)",R$38=""),"",IF(R$38="Other",COUNTIFS(Q_VERY_LONG_SINGLE_SELECT_EXPOR_data,"A",passes_workbook_filters_data,1,passes_workbook_custom_filters_data,1,All_Questions_passes_local_filters_data,1,All_Questions_Q_VERY_LONG_SINGLE_SELECT_EXPORT_NAME_F_passes_per_q_filter_data,1)-SUM(G40,H40,I40,J40,K40,L40,M40,N40,O40,P40,Q40)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1">
      <c r="A41" s="15" t="inlineStr">
        <is>
          <t>Total respondents</t>
        </is>
      </c>
      <c r="B41" s="15" t="n">
        <v>10</v>
      </c>
      <c r="C41" s="15" t="n"/>
      <c r="D41" s="15" t="n"/>
      <c r="F41" t="inlineStr">
        <is>
          <t>B</t>
        </is>
      </c>
      <c r="G41">
        <f>IF(OR(All_Questions_Q_VERY_LONG_SINGLE_SELECT_EXPORT_NAME_CT="(None)",G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1">
        <f>IF(OR(All_Questions_Q_VERY_LONG_SINGLE_SELECT_EXPORT_NAME_CT="(None)",H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1">
        <f>IF(OR(All_Questions_Q_VERY_LONG_SINGLE_SELECT_EXPORT_NAME_CT="(None)",I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1">
        <f>IF(OR(All_Questions_Q_VERY_LONG_SINGLE_SELECT_EXPORT_NAME_CT="(None)",J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1">
        <f>IF(OR(All_Questions_Q_VERY_LONG_SINGLE_SELECT_EXPORT_NAME_CT="(None)",K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1">
        <f>IF(OR(All_Questions_Q_VERY_LONG_SINGLE_SELECT_EXPORT_NAME_CT="(None)",L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1">
        <f>IF(OR(All_Questions_Q_VERY_LONG_SINGLE_SELECT_EXPORT_NAME_CT="(None)",M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1">
        <f>IF(OR(All_Questions_Q_VERY_LONG_SINGLE_SELECT_EXPORT_NAME_CT="(None)",N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1">
        <f>IF(OR(All_Questions_Q_VERY_LONG_SINGLE_SELECT_EXPORT_NAME_CT="(None)",O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1">
        <f>IF(OR(All_Questions_Q_VERY_LONG_SINGLE_SELECT_EXPORT_NAME_CT="(None)",P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1">
        <f>IF(OR(All_Questions_Q_VERY_LONG_SINGLE_SELECT_EXPORT_NAME_CT="(None)",Q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1">
        <f>IF(OR(All_Questions_Q_VERY_LONG_SINGLE_SELECT_EXPORT_NAME_CT="(None)",R$38=""),"",IF(R$38="Other",COUNTIFS(Q_VERY_LONG_SINGLE_SELECT_EXPOR_data,"B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2">
      <c r="F42" s="4" t="inlineStr">
        <is>
          <t>Total respondents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B4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9:C4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0:N4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0:P4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0:Q4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0:R4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2026-05-26T06:23:30Z</dcterms:created>
  <dcterms:modified xmlns:dcterms="http://purl.org/dc/terms/" xmlns:xsi="http://www.w3.org/2001/XMLSchema-instance" xsi:type="dcterms:W3CDTF">2026-05-26T06:23:30Z</dcterms:modified>
</cp:coreProperties>
</file>