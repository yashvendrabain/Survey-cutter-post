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tables/table6.xml" ContentType="application/vnd.openxmlformats-officedocument.spreadsheetml.table+xml"/>
  <ns0:Override PartName="/xl/tables/table7.xml" ContentType="application/vnd.openxmlformats-officedocument.spreadsheetml.table+xml"/>
  <ns0:Override PartName="/xl/tables/table8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EXTRA_1_data">'_RawData'!$I$2:$I$11</definedName>
    <definedName name="Q_EXTRA_2_data">'_RawData'!$J$2:$J$11</definedName>
    <definedName name="Q_EXTRA_3_data">'_RawData'!$K$2:$K$11</definedName>
    <definedName name="All_Questions">'_Options'!$A$2:$A$7</definedName>
    <definedName name="All_Questions_Local">'_Options'!$B$2:$B$8</definedName>
    <definedName name="None_options">'_Options'!$E$2:$E$2</definedName>
    <definedName name="Q_SS_EXPORT_options">'_Options'!$F$2:$F$4</definedName>
    <definedName name="Q_SS_EXPORT_local_options">'_Options'!$P$2:$P$5</definedName>
    <definedName name="Q_MS_EXPORTr1_options">'_Options'!$G$2:$G$3</definedName>
    <definedName name="Q_MS_EXPORTr1_local_options">'_Options'!$Q$2:$Q$4</definedName>
    <definedName name="Q_MS_EXPORTr2_options">'_Options'!$H$2:$H$3</definedName>
    <definedName name="Q_MS_EXPORTr2_local_options">'_Options'!$R$2:$R$4</definedName>
    <definedName name="Q_NUM_EXPORT_options">'_Options'!$I$2:$I$3</definedName>
    <definedName name="Q_NUM_EXPORT_local_options">'_Options'!$S$2:$S$4</definedName>
    <definedName name="Q_GRID_EXPORTr1_options">'_Options'!$J$2:$J$3</definedName>
    <definedName name="Q_GRID_EXPORTr1_local_options">'_Options'!$T$2:$T$4</definedName>
    <definedName name="Q_GRID_EXPORTr2_options">'_Options'!$K$2:$K$3</definedName>
    <definedName name="Q_GRID_EXPORTr2_local_options">'_Options'!$U$2:$U$4</definedName>
    <definedName name="Q_VERY_LONG_SINGLE_SELECT_EXPOR_options">'_Options'!$L$2:$L$4</definedName>
    <definedName name="Q_VERY_LONG_SINGLE_SELECT_EXPOR_local_options">'_Options'!$V$2:$V$5</definedName>
    <definedName name="Q_EXTRA_1_options">'_Options'!$M$2:$M$4</definedName>
    <definedName name="Q_EXTRA_1_local_options">'_Options'!$W$2:$W$5</definedName>
    <definedName name="Q_EXTRA_2_options">'_Options'!$N$2:$N$4</definedName>
    <definedName name="Q_EXTRA_2_local_options">'_Options'!$X$2:$X$5</definedName>
    <definedName name="Q_EXTRA_3_options">'_Options'!$O$2:$O$4</definedName>
    <definedName name="Q_EXTRA_3_local_options">'_Options'!$Y$2:$Y$5</definedName>
    <definedName name="All_Questions_Data_Names">'_Options'!$C$2:$C$7</definedName>
    <definedName name="All_Questions_Options_Names">'_Options'!$D$2:$D$7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'_RawData'!$L$2:$L$11</definedName>
    <definedName name="F_Custom1_match_data">'_RawData'!$M$2:$M$11</definedName>
    <definedName name="F_Custom2_match_data">'_RawData'!$N$2:$N$11</definedName>
    <definedName name="passes_workbook_custom_filters_data">'_RawData'!$O$2:$O$11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'_RawData'!$P$2:$P$11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'_RawData'!$Q$2:$Q$11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'_RawData'!$R$2:$R$11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'_RawData'!$S$2:$S$11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'_RawData'!$T$2:$T$11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'_RawData'!$U$2:$U$11</definedName>
    <definedName name="All_Questions_Q_VERY_LONG_SINGLE_SELECT_EXPORT_NAME_CT">'All Questions'!$C$58</definedName>
    <definedName name="All_Questions_Q_EXTRA_1_F_Q">'All Questions'!$C$67</definedName>
    <definedName name="All_Questions_Q_EXTRA_1_F_V">'All Questions'!$E$67</definedName>
    <definedName name="All_Questions_Q_EXTRA_1_F_resolved_column">'All Questions'!$F$67</definedName>
    <definedName name="All_Questions_Q_EXTRA_1_F_wrapped">'All Questions'!$G$67</definedName>
    <definedName name="All_Questions_Q_EXTRA_1_F_passes_per_q_filter_data">'_RawData'!$V$2:$V$11</definedName>
    <definedName name="All_Questions_Q_EXTRA_1_CT">'All Questions'!$C$68</definedName>
    <definedName name="All_Questions_Q_EXTRA_2_F_Q">'All Questions'!$C$77</definedName>
    <definedName name="All_Questions_Q_EXTRA_2_F_V">'All Questions'!$E$77</definedName>
    <definedName name="All_Questions_Q_EXTRA_2_F_resolved_column">'All Questions'!$F$77</definedName>
    <definedName name="All_Questions_Q_EXTRA_2_F_wrapped">'All Questions'!$G$77</definedName>
    <definedName name="All_Questions_Q_EXTRA_2_F_passes_per_q_filter_data">'_RawData'!$W$2:$W$11</definedName>
    <definedName name="All_Questions_Q_EXTRA_2_CT">'All Questions'!$C$78</definedName>
    <definedName name="All_Questions_Q_EXTRA_3_F_Q">'All Questions'!$C$87</definedName>
    <definedName name="All_Questions_Q_EXTRA_3_F_V">'All Questions'!$E$87</definedName>
    <definedName name="All_Questions_Q_EXTRA_3_F_resolved_column">'All Questions'!$F$87</definedName>
    <definedName name="All_Questions_Q_EXTRA_3_F_wrapped">'All Questions'!$G$87</definedName>
    <definedName name="All_Questions_Q_EXTRA_3_F_passes_per_q_filter_data">'_RawData'!$X$2:$X$11</definedName>
    <definedName name="All_Questions_Q_EXTRA_3_CT">'All Questions'!$C$88</definedName>
  </definedNames>
  <calcPr calcId="124519" fullCalcOnLoad="1"/>
</workbook>
</file>

<file path=xl/calcChain.xml><?xml version="1.0" encoding="utf-8"?>
<calcChain xmlns="http://schemas.openxmlformats.org/spreadsheetml/2006/main">
  <c r="L2" i="1"/>
  <c r="M2" i="1"/>
  <c r="N2" i="1"/>
  <c r="O2" i="1"/>
  <c r="P2" i="1"/>
  <c r="Q2" i="1"/>
  <c r="R2" i="1"/>
  <c r="S2" i="1"/>
  <c r="T2" i="1"/>
  <c r="U2" i="1"/>
  <c r="V2" i="1"/>
  <c r="W2" i="1"/>
  <c r="X2" i="1"/>
  <c r="L3" i="1"/>
  <c r="M3" i="1"/>
  <c r="N3" i="1"/>
  <c r="O3" i="1"/>
  <c r="P3" i="1"/>
  <c r="Q3" i="1"/>
  <c r="R3" i="1"/>
  <c r="S3" i="1"/>
  <c r="T3" i="1"/>
  <c r="U3" i="1"/>
  <c r="V3" i="1"/>
  <c r="W3" i="1"/>
  <c r="X3" i="1"/>
  <c r="L4" i="1"/>
  <c r="M4" i="1"/>
  <c r="N4" i="1"/>
  <c r="O4" i="1"/>
  <c r="P4" i="1"/>
  <c r="Q4" i="1"/>
  <c r="R4" i="1"/>
  <c r="S4" i="1"/>
  <c r="T4" i="1"/>
  <c r="U4" i="1"/>
  <c r="V4" i="1"/>
  <c r="W4" i="1"/>
  <c r="X4" i="1"/>
  <c r="L5" i="1"/>
  <c r="M5" i="1"/>
  <c r="N5" i="1"/>
  <c r="O5" i="1"/>
  <c r="P5" i="1"/>
  <c r="Q5" i="1"/>
  <c r="R5" i="1"/>
  <c r="S5" i="1"/>
  <c r="T5" i="1"/>
  <c r="U5" i="1"/>
  <c r="V5" i="1"/>
  <c r="W5" i="1"/>
  <c r="X5" i="1"/>
  <c r="L6" i="1"/>
  <c r="M6" i="1"/>
  <c r="N6" i="1"/>
  <c r="O6" i="1"/>
  <c r="P6" i="1"/>
  <c r="Q6" i="1"/>
  <c r="R6" i="1"/>
  <c r="S6" i="1"/>
  <c r="T6" i="1"/>
  <c r="U6" i="1"/>
  <c r="V6" i="1"/>
  <c r="W6" i="1"/>
  <c r="X6" i="1"/>
  <c r="L7" i="1"/>
  <c r="M7" i="1"/>
  <c r="N7" i="1"/>
  <c r="O7" i="1"/>
  <c r="P7" i="1"/>
  <c r="Q7" i="1"/>
  <c r="R7" i="1"/>
  <c r="S7" i="1"/>
  <c r="T7" i="1"/>
  <c r="U7" i="1"/>
  <c r="V7" i="1"/>
  <c r="W7" i="1"/>
  <c r="X7" i="1"/>
  <c r="L8" i="1"/>
  <c r="M8" i="1"/>
  <c r="N8" i="1"/>
  <c r="O8" i="1"/>
  <c r="P8" i="1"/>
  <c r="Q8" i="1"/>
  <c r="R8" i="1"/>
  <c r="S8" i="1"/>
  <c r="T8" i="1"/>
  <c r="U8" i="1"/>
  <c r="V8" i="1"/>
  <c r="W8" i="1"/>
  <c r="X8" i="1"/>
  <c r="L9" i="1"/>
  <c r="M9" i="1"/>
  <c r="N9" i="1"/>
  <c r="O9" i="1"/>
  <c r="P9" i="1"/>
  <c r="Q9" i="1"/>
  <c r="R9" i="1"/>
  <c r="S9" i="1"/>
  <c r="T9" i="1"/>
  <c r="U9" i="1"/>
  <c r="V9" i="1"/>
  <c r="W9" i="1"/>
  <c r="X9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  <c r="F67" i="7"/>
  <c r="G67" i="7"/>
  <c r="G70" i="7"/>
  <c r="H70" i="7"/>
  <c r="I70" i="7"/>
  <c r="J70" i="7"/>
  <c r="K70" i="7"/>
  <c r="L70" i="7"/>
  <c r="M70" i="7"/>
  <c r="N70" i="7"/>
  <c r="O70" i="7"/>
  <c r="P70" i="7"/>
  <c r="Q70" i="7"/>
  <c r="R70" i="7"/>
  <c r="B71" i="7"/>
  <c r="C71" i="7"/>
  <c r="D71" i="7"/>
  <c r="B72" i="7"/>
  <c r="C72" i="7"/>
  <c r="D72" i="7"/>
  <c r="G72" i="7"/>
  <c r="H72" i="7"/>
  <c r="I72" i="7"/>
  <c r="J72" i="7"/>
  <c r="K72" i="7"/>
  <c r="L72" i="7"/>
  <c r="M72" i="7"/>
  <c r="N72" i="7"/>
  <c r="O72" i="7"/>
  <c r="P72" i="7"/>
  <c r="Q72" i="7"/>
  <c r="R72" i="7"/>
  <c r="S72" i="7"/>
  <c r="G73" i="7"/>
  <c r="H73" i="7"/>
  <c r="I73" i="7"/>
  <c r="J73" i="7"/>
  <c r="K73" i="7"/>
  <c r="L73" i="7"/>
  <c r="M73" i="7"/>
  <c r="N73" i="7"/>
  <c r="O73" i="7"/>
  <c r="P73" i="7"/>
  <c r="Q73" i="7"/>
  <c r="R73" i="7"/>
  <c r="S73" i="7"/>
  <c r="S74" i="7"/>
  <c r="F77" i="7"/>
  <c r="G77" i="7"/>
  <c r="G80" i="7"/>
  <c r="H80" i="7"/>
  <c r="I80" i="7"/>
  <c r="J80" i="7"/>
  <c r="K80" i="7"/>
  <c r="L80" i="7"/>
  <c r="M80" i="7"/>
  <c r="N80" i="7"/>
  <c r="O80" i="7"/>
  <c r="P80" i="7"/>
  <c r="Q80" i="7"/>
  <c r="R80" i="7"/>
  <c r="B81" i="7"/>
  <c r="C81" i="7"/>
  <c r="D81" i="7"/>
  <c r="B82" i="7"/>
  <c r="C82" i="7"/>
  <c r="D82" i="7"/>
  <c r="G82" i="7"/>
  <c r="H82" i="7"/>
  <c r="I82" i="7"/>
  <c r="J82" i="7"/>
  <c r="K82" i="7"/>
  <c r="L82" i="7"/>
  <c r="M82" i="7"/>
  <c r="N82" i="7"/>
  <c r="O82" i="7"/>
  <c r="P82" i="7"/>
  <c r="Q82" i="7"/>
  <c r="R82" i="7"/>
  <c r="S82" i="7"/>
  <c r="G83" i="7"/>
  <c r="H83" i="7"/>
  <c r="I83" i="7"/>
  <c r="J83" i="7"/>
  <c r="K83" i="7"/>
  <c r="L83" i="7"/>
  <c r="M83" i="7"/>
  <c r="N83" i="7"/>
  <c r="O83" i="7"/>
  <c r="P83" i="7"/>
  <c r="Q83" i="7"/>
  <c r="R83" i="7"/>
  <c r="S83" i="7"/>
  <c r="S84" i="7"/>
  <c r="F87" i="7"/>
  <c r="G87" i="7"/>
  <c r="G90" i="7"/>
  <c r="H90" i="7"/>
  <c r="I90" i="7"/>
  <c r="J90" i="7"/>
  <c r="K90" i="7"/>
  <c r="L90" i="7"/>
  <c r="M90" i="7"/>
  <c r="N90" i="7"/>
  <c r="O90" i="7"/>
  <c r="P90" i="7"/>
  <c r="Q90" i="7"/>
  <c r="R90" i="7"/>
  <c r="B91" i="7"/>
  <c r="C91" i="7"/>
  <c r="D91" i="7"/>
  <c r="B92" i="7"/>
  <c r="C92" i="7"/>
  <c r="D92" i="7"/>
  <c r="G92" i="7"/>
  <c r="H92" i="7"/>
  <c r="I92" i="7"/>
  <c r="J92" i="7"/>
  <c r="K92" i="7"/>
  <c r="L92" i="7"/>
  <c r="M92" i="7"/>
  <c r="N92" i="7"/>
  <c r="O92" i="7"/>
  <c r="P92" i="7"/>
  <c r="Q92" i="7"/>
  <c r="R92" i="7"/>
  <c r="S92" i="7"/>
  <c r="G93" i="7"/>
  <c r="H93" i="7"/>
  <c r="I93" i="7"/>
  <c r="J93" i="7"/>
  <c r="K93" i="7"/>
  <c r="L93" i="7"/>
  <c r="M93" i="7"/>
  <c r="N93" i="7"/>
  <c r="O93" i="7"/>
  <c r="P93" i="7"/>
  <c r="Q93" i="7"/>
  <c r="R93" i="7"/>
  <c r="S93" i="7"/>
  <c r="S9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id="6" name="T_All_Questions_70_1" displayName="T_All_Questions_70_1" ref="A70:D73" headerRowCount="1">
  <autoFilter ref="A70:D7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id="7" name="T_All_Questions_80_1" displayName="T_All_Questions_80_1" ref="A80:D83" headerRowCount="1">
  <autoFilter ref="A80:D8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8.xml><?xml version="1.0" encoding="utf-8"?>
<table xmlns="http://schemas.openxmlformats.org/spreadsheetml/2006/main" id="8" name="T_All_Questions_90_1" displayName="T_All_Questions_90_1" ref="A90:D93" headerRowCount="1">
  <autoFilter ref="A90:D9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Relationship Type="http://schemas.openxmlformats.org/officeDocument/2006/relationships/hyperlink" Target="#'All Questions'!A1" TargetMode="External" Id="rId6"/><Relationship Type="http://schemas.openxmlformats.org/officeDocument/2006/relationships/hyperlink" Target="#'All Questions'!A1" TargetMode="External" Id="rId7"/><Relationship Type="http://schemas.openxmlformats.org/officeDocument/2006/relationships/hyperlink" Target="#'All Questions'!A1" TargetMode="External" Id="rId8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table" Target="/xl/tables/table6.xml" Id="rId6"/><Relationship Type="http://schemas.openxmlformats.org/officeDocument/2006/relationships/table" Target="/xl/tables/table7.xml" Id="rId7"/><Relationship Type="http://schemas.openxmlformats.org/officeDocument/2006/relationships/table" Target="/xl/tables/table8.xm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Q_EXTRA_1</t>
        </is>
      </c>
      <c r="J1" t="inlineStr">
        <is>
          <t>Q_EXTRA_2</t>
        </is>
      </c>
      <c r="K1" t="inlineStr">
        <is>
          <t>Q_EXTRA_3</t>
        </is>
      </c>
      <c r="L1" t="inlineStr">
        <is>
          <t>passes_workbook_filters</t>
        </is>
      </c>
      <c r="M1" t="inlineStr">
        <is>
          <t>F_Custom1_match</t>
        </is>
      </c>
      <c r="N1" t="inlineStr">
        <is>
          <t>F_Custom2_match</t>
        </is>
      </c>
      <c r="O1" t="inlineStr">
        <is>
          <t>passes_workbook_custom_filters</t>
        </is>
      </c>
      <c r="P1" t="inlineStr">
        <is>
          <t>All_Questions_passes_local_filters</t>
        </is>
      </c>
      <c r="Q1" t="inlineStr">
        <is>
          <t>All_Questions_Q_SS_EXPORT_F_passes_per_q_filter</t>
        </is>
      </c>
      <c r="R1" t="inlineStr">
        <is>
          <t>All_Questions_Q_MS_EXPORT_F_passes_per_q_filter</t>
        </is>
      </c>
      <c r="S1" t="inlineStr">
        <is>
          <t>All_Questions_Q_NUM_EXPORT_F_passes_per_q_filter</t>
        </is>
      </c>
      <c r="T1" t="inlineStr">
        <is>
          <t>All_Questions_Q_GRID_EXPORT_F_passes_per_q_filter</t>
        </is>
      </c>
      <c r="U1" t="inlineStr">
        <is>
          <t>All_Questions_Q_VERY_LONG_SINGLE_SELECT_EXPORT_NAME_F_passes_per_q_filter</t>
        </is>
      </c>
      <c r="V1" t="inlineStr">
        <is>
          <t>All_Questions_Q_EXTRA_1_F_passes_per_q_filter</t>
        </is>
      </c>
      <c r="W1" t="inlineStr">
        <is>
          <t>All_Questions_Q_EXTRA_2_F_passes_per_q_filter</t>
        </is>
      </c>
      <c r="X1" t="inlineStr">
        <is>
          <t>All_Questions_Q_EXTRA_3_F_passes_per_q_filter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 t="inlineStr">
        <is>
          <t>Extra 1 A</t>
        </is>
      </c>
      <c r="J2" t="inlineStr">
        <is>
          <t>Extra 2 A</t>
        </is>
      </c>
      <c r="K2" t="inlineStr">
        <is>
          <t>Extra 3 A</t>
        </is>
      </c>
      <c r="L2">
        <f>1</f>
        <v>1</v>
      </c>
      <c r="M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N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O2">
        <f>M2*N2*1</f>
        <v>1</v>
      </c>
      <c r="P2">
        <f>1</f>
        <v>1</v>
      </c>
      <c r="Q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R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S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T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U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  <c r="V2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1)&amp;"|",All_Questions_Q_EXTRA_1_F_wrapped)),1,0),0))</f>
        <v>1</v>
      </c>
      <c r="W2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1)&amp;"|",All_Questions_Q_EXTRA_2_F_wrapped)),1,0),0))</f>
        <v>1</v>
      </c>
      <c r="X2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1)&amp;"|",All_Questions_Q_EXTRA_3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 t="inlineStr">
        <is>
          <t>Extra 1 A</t>
        </is>
      </c>
      <c r="J3" t="inlineStr">
        <is>
          <t>Extra 2 A</t>
        </is>
      </c>
      <c r="K3" t="inlineStr">
        <is>
          <t>Extra 3 A</t>
        </is>
      </c>
      <c r="L3">
        <f>1</f>
        <v>1</v>
      </c>
      <c r="M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N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O3">
        <f>M3*N3*1</f>
        <v>1</v>
      </c>
      <c r="P3">
        <f>1</f>
        <v>1</v>
      </c>
      <c r="Q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R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S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T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U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  <c r="V3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2)&amp;"|",All_Questions_Q_EXTRA_1_F_wrapped)),1,0),0))</f>
        <v>1</v>
      </c>
      <c r="W3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2)&amp;"|",All_Questions_Q_EXTRA_2_F_wrapped)),1,0),0))</f>
        <v>1</v>
      </c>
      <c r="X3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2)&amp;"|",All_Questions_Q_EXTRA_3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 t="inlineStr">
        <is>
          <t>Extra 1 A</t>
        </is>
      </c>
      <c r="J4" t="inlineStr">
        <is>
          <t>Extra 2 A</t>
        </is>
      </c>
      <c r="K4" t="inlineStr">
        <is>
          <t>Extra 3 A</t>
        </is>
      </c>
      <c r="L4">
        <f>1</f>
        <v>1</v>
      </c>
      <c r="M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N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O4">
        <f>M4*N4*1</f>
        <v>1</v>
      </c>
      <c r="P4">
        <f>1</f>
        <v>1</v>
      </c>
      <c r="Q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R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S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T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U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  <c r="V4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3)&amp;"|",All_Questions_Q_EXTRA_1_F_wrapped)),1,0),0))</f>
        <v>1</v>
      </c>
      <c r="W4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3)&amp;"|",All_Questions_Q_EXTRA_2_F_wrapped)),1,0),0))</f>
        <v>1</v>
      </c>
      <c r="X4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3)&amp;"|",All_Questions_Q_EXTRA_3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 t="inlineStr">
        <is>
          <t>Extra 1 A</t>
        </is>
      </c>
      <c r="J5" t="inlineStr">
        <is>
          <t>Extra 2 A</t>
        </is>
      </c>
      <c r="K5" t="inlineStr">
        <is>
          <t>Extra 3 A</t>
        </is>
      </c>
      <c r="L5">
        <f>1</f>
        <v>1</v>
      </c>
      <c r="M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N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O5">
        <f>M5*N5*1</f>
        <v>1</v>
      </c>
      <c r="P5">
        <f>1</f>
        <v>1</v>
      </c>
      <c r="Q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R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S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T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U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  <c r="V5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4)&amp;"|",All_Questions_Q_EXTRA_1_F_wrapped)),1,0),0))</f>
        <v>1</v>
      </c>
      <c r="W5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4)&amp;"|",All_Questions_Q_EXTRA_2_F_wrapped)),1,0),0))</f>
        <v>1</v>
      </c>
      <c r="X5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4)&amp;"|",All_Questions_Q_EXTRA_3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 t="inlineStr">
        <is>
          <t>Extra 1 A</t>
        </is>
      </c>
      <c r="J6" t="inlineStr">
        <is>
          <t>Extra 2 A</t>
        </is>
      </c>
      <c r="K6" t="inlineStr">
        <is>
          <t>Extra 3 A</t>
        </is>
      </c>
      <c r="L6">
        <f>1</f>
        <v>1</v>
      </c>
      <c r="M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N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O6">
        <f>M6*N6*1</f>
        <v>1</v>
      </c>
      <c r="P6">
        <f>1</f>
        <v>1</v>
      </c>
      <c r="Q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R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S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T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U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  <c r="V6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5)&amp;"|",All_Questions_Q_EXTRA_1_F_wrapped)),1,0),0))</f>
        <v>1</v>
      </c>
      <c r="W6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5)&amp;"|",All_Questions_Q_EXTRA_2_F_wrapped)),1,0),0))</f>
        <v>1</v>
      </c>
      <c r="X6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5)&amp;"|",All_Questions_Q_EXTRA_3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 t="inlineStr">
        <is>
          <t>Extra 1 A</t>
        </is>
      </c>
      <c r="J7" t="inlineStr">
        <is>
          <t>Extra 2 A</t>
        </is>
      </c>
      <c r="K7" t="inlineStr">
        <is>
          <t>Extra 3 A</t>
        </is>
      </c>
      <c r="L7">
        <f>1</f>
        <v>1</v>
      </c>
      <c r="M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N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O7">
        <f>M7*N7*1</f>
        <v>1</v>
      </c>
      <c r="P7">
        <f>1</f>
        <v>1</v>
      </c>
      <c r="Q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R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S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T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U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  <c r="V7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6)&amp;"|",All_Questions_Q_EXTRA_1_F_wrapped)),1,0),0))</f>
        <v>1</v>
      </c>
      <c r="W7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6)&amp;"|",All_Questions_Q_EXTRA_2_F_wrapped)),1,0),0))</f>
        <v>1</v>
      </c>
      <c r="X7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6)&amp;"|",All_Questions_Q_EXTRA_3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 t="inlineStr">
        <is>
          <t>Extra 1 B</t>
        </is>
      </c>
      <c r="J8" t="inlineStr">
        <is>
          <t>Extra 2 B</t>
        </is>
      </c>
      <c r="K8" t="inlineStr">
        <is>
          <t>Extra 3 B</t>
        </is>
      </c>
      <c r="L8">
        <f>1</f>
        <v>1</v>
      </c>
      <c r="M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N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O8">
        <f>M8*N8*1</f>
        <v>1</v>
      </c>
      <c r="P8">
        <f>1</f>
        <v>1</v>
      </c>
      <c r="Q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R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S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T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U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  <c r="V8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7)&amp;"|",All_Questions_Q_EXTRA_1_F_wrapped)),1,0),0))</f>
        <v>1</v>
      </c>
      <c r="W8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7)&amp;"|",All_Questions_Q_EXTRA_2_F_wrapped)),1,0),0))</f>
        <v>1</v>
      </c>
      <c r="X8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7)&amp;"|",All_Questions_Q_EXTRA_3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 t="inlineStr">
        <is>
          <t>Extra 1 B</t>
        </is>
      </c>
      <c r="J9" t="inlineStr">
        <is>
          <t>Extra 2 B</t>
        </is>
      </c>
      <c r="K9" t="inlineStr">
        <is>
          <t>Extra 3 B</t>
        </is>
      </c>
      <c r="L9">
        <f>1</f>
        <v>1</v>
      </c>
      <c r="M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N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O9">
        <f>M9*N9*1</f>
        <v>1</v>
      </c>
      <c r="P9">
        <f>1</f>
        <v>1</v>
      </c>
      <c r="Q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R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S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T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U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  <c r="V9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8)&amp;"|",All_Questions_Q_EXTRA_1_F_wrapped)),1,0),0))</f>
        <v>1</v>
      </c>
      <c r="W9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8)&amp;"|",All_Questions_Q_EXTRA_2_F_wrapped)),1,0),0))</f>
        <v>1</v>
      </c>
      <c r="X9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8)&amp;"|",All_Questions_Q_EXTRA_3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 t="inlineStr">
        <is>
          <t>Extra 1 B</t>
        </is>
      </c>
      <c r="J10" t="inlineStr">
        <is>
          <t>Extra 2 B</t>
        </is>
      </c>
      <c r="K10" t="inlineStr">
        <is>
          <t>Extra 3 B</t>
        </is>
      </c>
      <c r="L10">
        <f>1</f>
        <v>1</v>
      </c>
      <c r="M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N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O10">
        <f>M10*N10*1</f>
        <v>1</v>
      </c>
      <c r="P10">
        <f>1</f>
        <v>1</v>
      </c>
      <c r="Q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R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S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T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U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  <c r="V10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9)&amp;"|",All_Questions_Q_EXTRA_1_F_wrapped)),1,0),0))</f>
        <v>1</v>
      </c>
      <c r="W10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9)&amp;"|",All_Questions_Q_EXTRA_2_F_wrapped)),1,0),0))</f>
        <v>1</v>
      </c>
      <c r="X10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9)&amp;"|",All_Questions_Q_EXTRA_3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 t="inlineStr">
        <is>
          <t>Extra 1 B</t>
        </is>
      </c>
      <c r="J11" t="inlineStr">
        <is>
          <t>Extra 2 B</t>
        </is>
      </c>
      <c r="K11" t="inlineStr">
        <is>
          <t>Extra 3 B</t>
        </is>
      </c>
      <c r="L11">
        <f>1</f>
        <v>1</v>
      </c>
      <c r="M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N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O11">
        <f>M11*N11*1</f>
        <v>1</v>
      </c>
      <c r="P11">
        <f>1</f>
        <v>1</v>
      </c>
      <c r="Q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R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S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T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U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  <c r="V11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10)&amp;"|",All_Questions_Q_EXTRA_1_F_wrapped)),1,0),0))</f>
        <v>1</v>
      </c>
      <c r="W11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10)&amp;"|",All_Questions_Q_EXTRA_2_F_wrapped)),1,0),0))</f>
        <v>1</v>
      </c>
      <c r="X11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10)&amp;"|",All_Questions_Q_EXTRA_3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Q_EXTRA_1_options</t>
        </is>
      </c>
      <c r="N1" t="inlineStr">
        <is>
          <t>Q_EXTRA_2_options</t>
        </is>
      </c>
      <c r="O1" t="inlineStr">
        <is>
          <t>Q_EXTRA_3_options</t>
        </is>
      </c>
      <c r="P1" t="inlineStr">
        <is>
          <t>Q_SS_EXPORT_local_options</t>
        </is>
      </c>
      <c r="Q1" t="inlineStr">
        <is>
          <t>Q_MS_EXPORTr1_local_options</t>
        </is>
      </c>
      <c r="R1" t="inlineStr">
        <is>
          <t>Q_MS_EXPORTr2_local_options</t>
        </is>
      </c>
      <c r="S1" t="inlineStr">
        <is>
          <t>Q_NUM_EXPORT_local_options</t>
        </is>
      </c>
      <c r="T1" t="inlineStr">
        <is>
          <t>Q_GRID_EXPORTr1_local_options</t>
        </is>
      </c>
      <c r="U1" t="inlineStr">
        <is>
          <t>Q_GRID_EXPORTr2_local_options</t>
        </is>
      </c>
      <c r="V1" t="inlineStr">
        <is>
          <t>Q_VERY_LONG_SINGLE_SELECT_EXPOR_local_options</t>
        </is>
      </c>
      <c r="W1" t="inlineStr">
        <is>
          <t>Q_EXTRA_1_local_options</t>
        </is>
      </c>
      <c r="X1" t="inlineStr">
        <is>
          <t>Q_EXTRA_2_local_options</t>
        </is>
      </c>
      <c r="Y1" t="inlineStr">
        <is>
          <t>Q_EXTRA_3_local_options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Extra 1 A</t>
        </is>
      </c>
      <c r="N3" t="inlineStr">
        <is>
          <t>Extra 2 A</t>
        </is>
      </c>
      <c r="O3" t="inlineStr">
        <is>
          <t>Extra 3 A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Extra 1 B</t>
        </is>
      </c>
      <c r="N4" t="inlineStr">
        <is>
          <t>Extra 2 B</t>
        </is>
      </c>
      <c r="O4" t="inlineStr">
        <is>
          <t>Extra 3 B</t>
        </is>
      </c>
      <c r="P4" t="inlineStr">
        <is>
          <t>Yes</t>
        </is>
      </c>
      <c r="Q4" t="inlineStr">
        <is>
          <t>Selected</t>
        </is>
      </c>
      <c r="R4" t="inlineStr">
        <is>
          <t>Selected</t>
        </is>
      </c>
      <c r="S4" t="inlineStr">
        <is>
          <t>5.5</t>
        </is>
      </c>
      <c r="T4" t="inlineStr">
        <is>
          <t>Selected</t>
        </is>
      </c>
      <c r="U4" t="inlineStr">
        <is>
          <t>Selected</t>
        </is>
      </c>
      <c r="V4" t="inlineStr">
        <is>
          <t>A</t>
        </is>
      </c>
      <c r="W4" t="inlineStr">
        <is>
          <t>Extra 1 A</t>
        </is>
      </c>
      <c r="X4" t="inlineStr">
        <is>
          <t>Extra 2 A</t>
        </is>
      </c>
      <c r="Y4" t="inlineStr">
        <is>
          <t>Extra 3 A</t>
        </is>
      </c>
    </row>
    <row r="5">
      <c r="A5" t="inlineStr">
        <is>
          <t>Q_EXTRA_1 - Mixed Block Question 1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'_Options'!$M$2:$M$4</t>
        </is>
      </c>
      <c r="P5" t="inlineStr">
        <is>
          <t>No</t>
        </is>
      </c>
      <c r="V5" t="inlineStr">
        <is>
          <t>B</t>
        </is>
      </c>
      <c r="W5" t="inlineStr">
        <is>
          <t>Extra 1 B</t>
        </is>
      </c>
      <c r="X5" t="inlineStr">
        <is>
          <t>Extra 2 B</t>
        </is>
      </c>
      <c r="Y5" t="inlineStr">
        <is>
          <t>Extra 3 B</t>
        </is>
      </c>
    </row>
    <row r="6">
      <c r="A6" t="inlineStr">
        <is>
          <t>Q_EXTRA_2 - Mixed Block Question 2</t>
        </is>
      </c>
      <c r="B6" t="inlineStr">
        <is>
          <t>Q_EXTRA_1 - Mixed Block Question 1</t>
        </is>
      </c>
      <c r="C6" t="inlineStr">
        <is>
          <t>'_RawData'!$J$2:$J$11</t>
        </is>
      </c>
      <c r="D6" t="inlineStr">
        <is>
          <t>'_Options'!$N$2:$N$4</t>
        </is>
      </c>
    </row>
    <row r="7">
      <c r="A7" t="inlineStr">
        <is>
          <t>Q_EXTRA_3 - Mixed Block Question 3</t>
        </is>
      </c>
      <c r="B7" t="inlineStr">
        <is>
          <t>Q_EXTRA_2 - Mixed Block Question 2</t>
        </is>
      </c>
      <c r="C7" t="inlineStr">
        <is>
          <t>'_RawData'!$K$2:$K$11</t>
        </is>
      </c>
      <c r="D7" t="inlineStr">
        <is>
          <t>'_Options'!$O$2:$O$4</t>
        </is>
      </c>
    </row>
    <row r="8">
      <c r="B8" t="inlineStr">
        <is>
          <t>Q_EXTRA_3 - Mixed Block Question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9</v>
      </c>
    </row>
    <row r="6">
      <c r="A6" s="5" t="inlineStr">
        <is>
          <t>Results produced:</t>
        </is>
      </c>
      <c r="B6" t="n">
        <v>8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[Q_EXTRA_1]</t>
        </is>
      </c>
      <c r="B8" t="inlineStr">
        <is>
          <t>Q_EXTRA_1</t>
        </is>
      </c>
      <c r="C8" t="inlineStr">
        <is>
          <t>Extra mixed block question 1</t>
        </is>
      </c>
      <c r="D8" t="inlineStr">
        <is>
          <t>SINGLE_SELECT</t>
        </is>
      </c>
      <c r="E8" t="inlineStr">
        <is>
          <t>Q_EXTRA_1</t>
        </is>
      </c>
      <c r="F8" t="n">
        <v>2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[Q_EXTRA_2]</t>
        </is>
      </c>
      <c r="B9" t="inlineStr">
        <is>
          <t>Q_EXTRA_2</t>
        </is>
      </c>
      <c r="C9" t="inlineStr">
        <is>
          <t>Extra mixed block question 2</t>
        </is>
      </c>
      <c r="D9" t="inlineStr">
        <is>
          <t>SINGLE_SELECT</t>
        </is>
      </c>
      <c r="E9" t="inlineStr">
        <is>
          <t>Q_EXTRA_2</t>
        </is>
      </c>
      <c r="F9" t="n">
        <v>2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[Q_EXTRA_3]</t>
        </is>
      </c>
      <c r="B10" t="inlineStr">
        <is>
          <t>Q_EXTRA_3</t>
        </is>
      </c>
      <c r="C10" t="inlineStr">
        <is>
          <t>Extra mixed block question 3</t>
        </is>
      </c>
      <c r="D10" t="inlineStr">
        <is>
          <t>SINGLE_SELECT</t>
        </is>
      </c>
      <c r="E10" t="inlineStr">
        <is>
          <t>Q_EXTRA_3</t>
        </is>
      </c>
      <c r="F10" t="n">
        <v>2</v>
      </c>
      <c r="G10" t="inlineStr">
        <is>
          <t>Yes</t>
        </is>
      </c>
      <c r="H10" t="inlineStr">
        <is>
          <t>No</t>
        </is>
      </c>
      <c r="I10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  <row r="7">
      <c r="A7" t="inlineStr">
        <is>
          <t>Q_EXTRA_1</t>
        </is>
      </c>
      <c r="B7" t="inlineStr">
        <is>
          <t>Q_EXTRA_1</t>
        </is>
      </c>
      <c r="C7" t="inlineStr">
        <is>
          <t>SINGLE_SELECT</t>
        </is>
      </c>
      <c r="D7" t="inlineStr">
        <is>
          <t>All Questions</t>
        </is>
      </c>
      <c r="E7" s="6" t="inlineStr">
        <is>
          <t>All Questions</t>
        </is>
      </c>
      <c r="F7" t="n">
        <v>10</v>
      </c>
      <c r="G7" t="n">
        <v>0</v>
      </c>
      <c r="H7" s="7" t="n">
        <v>0</v>
      </c>
      <c r="I7" t="inlineStr"/>
    </row>
    <row r="8">
      <c r="A8" t="inlineStr">
        <is>
          <t>Q_EXTRA_2</t>
        </is>
      </c>
      <c r="B8" t="inlineStr">
        <is>
          <t>Q_EXTRA_2</t>
        </is>
      </c>
      <c r="C8" t="inlineStr">
        <is>
          <t>SINGLE_SELECT</t>
        </is>
      </c>
      <c r="D8" t="inlineStr">
        <is>
          <t>All Questions</t>
        </is>
      </c>
      <c r="E8" s="6" t="inlineStr">
        <is>
          <t>All Questions</t>
        </is>
      </c>
      <c r="F8" t="n">
        <v>10</v>
      </c>
      <c r="G8" t="n">
        <v>0</v>
      </c>
      <c r="H8" s="7" t="n">
        <v>0</v>
      </c>
      <c r="I8" t="inlineStr"/>
    </row>
    <row r="9">
      <c r="A9" t="inlineStr">
        <is>
          <t>Q_EXTRA_3</t>
        </is>
      </c>
      <c r="B9" t="inlineStr">
        <is>
          <t>Q_EXTRA_3</t>
        </is>
      </c>
      <c r="C9" t="inlineStr">
        <is>
          <t>SINGLE_SELECT</t>
        </is>
      </c>
      <c r="D9" t="inlineStr">
        <is>
          <t>All Questions</t>
        </is>
      </c>
      <c r="E9" s="6" t="inlineStr">
        <is>
          <t>All Questions</t>
        </is>
      </c>
      <c r="F9" t="n">
        <v>10</v>
      </c>
      <c r="G9" t="n">
        <v>0</v>
      </c>
      <c r="H9" s="7" t="n">
        <v>0</v>
      </c>
      <c r="I9" t="inlineStr"/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9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  <row r="65">
      <c r="A65" s="11" t="n"/>
      <c r="B65" s="11" t="n"/>
      <c r="C65" s="11" t="n"/>
      <c r="D65" s="11" t="n"/>
      <c r="E65" s="11" t="n"/>
      <c r="F65" s="11" t="n"/>
      <c r="G65" s="11" t="n"/>
      <c r="H65" s="11" t="n"/>
      <c r="I65" s="11" t="n"/>
      <c r="J65" s="11" t="n"/>
    </row>
    <row r="66">
      <c r="A66" s="12" t="inlineStr">
        <is>
          <t>Q_EXTRA_1 - Extra mixed block question 1</t>
        </is>
      </c>
      <c r="B66" s="12" t="n"/>
      <c r="C66" s="12" t="n"/>
      <c r="D66" s="12" t="n"/>
      <c r="E66" s="12" t="n"/>
      <c r="F66" s="12" t="n"/>
      <c r="G66" s="12" t="n"/>
      <c r="H66" s="12" t="n"/>
      <c r="I66" s="12" t="n"/>
      <c r="J66" s="12" t="n"/>
      <c r="K66" s="12" t="n"/>
      <c r="L66" s="12" t="n"/>
      <c r="M66" s="12" t="n"/>
      <c r="N66" s="12" t="n"/>
    </row>
    <row r="67">
      <c r="A67" s="13" t="inlineStr">
        <is>
          <t>Per-question filter</t>
        </is>
      </c>
      <c r="B67" t="inlineStr">
        <is>
          <t>Filter Q</t>
        </is>
      </c>
      <c r="C67" t="inlineStr">
        <is>
          <t>(None)</t>
        </is>
      </c>
      <c r="D67" t="inlineStr">
        <is>
          <t>Value</t>
        </is>
      </c>
      <c r="E67" t="inlineStr">
        <is>
          <t>(All)</t>
        </is>
      </c>
      <c r="F67" t="str">
        <f>IFERROR(INDEX(All_Questions_Data_Names,MATCH(All_Questions_Q_EXTRA_1_F_Q,All_Questions,0)),"'_RawData'!$A:$A")</f>
        <v>respondent_id_data</v>
      </c>
      <c r="G67" t="str">
        <f>"|" &amp; SUBSTITUTE(All_Questions_Q_EXTRA_1_F_V, ", ", "|") &amp; "|"</f>
        <v>|(All)|</v>
      </c>
    </row>
    <row r="68">
      <c r="A68" s="13" t="inlineStr">
        <is>
          <t>Cross-tab by</t>
        </is>
      </c>
      <c r="C68" t="inlineStr">
        <is>
          <t>(None)</t>
        </is>
      </c>
    </row>
    <row r="70">
      <c r="A70" s="4" t="inlineStr">
        <is>
          <t>Option</t>
        </is>
      </c>
      <c r="B70" s="4" t="inlineStr">
        <is>
          <t>Count</t>
        </is>
      </c>
      <c r="C70" s="4" t="inlineStr">
        <is>
          <t>%</t>
        </is>
      </c>
      <c r="D70" s="4" t="inlineStr">
        <is>
          <t>Denominator</t>
        </is>
      </c>
      <c r="F70" s="4" t="inlineStr">
        <is>
          <t>Option</t>
        </is>
      </c>
      <c r="G70" s="2" t="str">
        <f>IF(All_Questions_Q_EXTRA_1_CT="(None)","",IFERROR(INDEX(INDIRECT(IFERROR(INDEX(All_Questions_Options_Names,MATCH(All_Questions_Q_EXTRA_1_CT,All_Questions,0)),"'_Options'!$E$2:$E$2")),2),""))</f>
        <v/>
      </c>
      <c r="H70" s="2" t="str">
        <f>IF(All_Questions_Q_EXTRA_1_CT="(None)","",IFERROR(INDEX(INDIRECT(IFERROR(INDEX(All_Questions_Options_Names,MATCH(All_Questions_Q_EXTRA_1_CT,All_Questions,0)),"'_Options'!$E$2:$E$2")),3),""))</f>
        <v/>
      </c>
      <c r="I70" s="2" t="str">
        <f>IF(All_Questions_Q_EXTRA_1_CT="(None)","",IFERROR(INDEX(INDIRECT(IFERROR(INDEX(All_Questions_Options_Names,MATCH(All_Questions_Q_EXTRA_1_CT,All_Questions,0)),"'_Options'!$E$2:$E$2")),4),""))</f>
        <v/>
      </c>
      <c r="J70" s="2" t="str">
        <f>IF(All_Questions_Q_EXTRA_1_CT="(None)","",IFERROR(INDEX(INDIRECT(IFERROR(INDEX(All_Questions_Options_Names,MATCH(All_Questions_Q_EXTRA_1_CT,All_Questions,0)),"'_Options'!$E$2:$E$2")),5),""))</f>
        <v/>
      </c>
      <c r="K70" s="2" t="str">
        <f>IF(All_Questions_Q_EXTRA_1_CT="(None)","",IFERROR(INDEX(INDIRECT(IFERROR(INDEX(All_Questions_Options_Names,MATCH(All_Questions_Q_EXTRA_1_CT,All_Questions,0)),"'_Options'!$E$2:$E$2")),6),""))</f>
        <v/>
      </c>
      <c r="L70" s="2" t="str">
        <f>IF(All_Questions_Q_EXTRA_1_CT="(None)","",IFERROR(INDEX(INDIRECT(IFERROR(INDEX(All_Questions_Options_Names,MATCH(All_Questions_Q_EXTRA_1_CT,All_Questions,0)),"'_Options'!$E$2:$E$2")),7),""))</f>
        <v/>
      </c>
      <c r="M70" s="2" t="str">
        <f>IF(All_Questions_Q_EXTRA_1_CT="(None)","",IFERROR(INDEX(INDIRECT(IFERROR(INDEX(All_Questions_Options_Names,MATCH(All_Questions_Q_EXTRA_1_CT,All_Questions,0)),"'_Options'!$E$2:$E$2")),8),""))</f>
        <v/>
      </c>
      <c r="N70" s="2" t="str">
        <f>IF(All_Questions_Q_EXTRA_1_CT="(None)","",IFERROR(INDEX(INDIRECT(IFERROR(INDEX(All_Questions_Options_Names,MATCH(All_Questions_Q_EXTRA_1_CT,All_Questions,0)),"'_Options'!$E$2:$E$2")),9),""))</f>
        <v/>
      </c>
      <c r="O70" s="2" t="str">
        <f>IF(All_Questions_Q_EXTRA_1_CT="(None)","",IFERROR(INDEX(INDIRECT(IFERROR(INDEX(All_Questions_Options_Names,MATCH(All_Questions_Q_EXTRA_1_CT,All_Questions,0)),"'_Options'!$E$2:$E$2")),10),""))</f>
        <v/>
      </c>
      <c r="P70" s="2" t="str">
        <f>IF(All_Questions_Q_EXTRA_1_CT="(None)","",IFERROR(INDEX(INDIRECT(IFERROR(INDEX(All_Questions_Options_Names,MATCH(All_Questions_Q_EXTRA_1_CT,All_Questions,0)),"'_Options'!$E$2:$E$2")),11),""))</f>
        <v/>
      </c>
      <c r="Q70" s="2" t="str">
        <f>IF(All_Questions_Q_EXTRA_1_CT="(None)","",IFERROR(INDEX(INDIRECT(IFERROR(INDEX(All_Questions_Options_Names,MATCH(All_Questions_Q_EXTRA_1_CT,All_Questions,0)),"'_Options'!$E$2:$E$2")),12),""))</f>
        <v/>
      </c>
      <c r="R70" s="2" t="str">
        <f>IF(All_Questions_Q_EXTRA_1_CT="(None)","",IF(COUNTA(INDIRECT(IFERROR(INDEX(All_Questions_Options_Names,MATCH(All_Questions_Q_EXTRA_1_CT,All_Questions,0)),"'_Options'!$E$2:$E$2")))-1&gt;11,"Other",IFERROR(INDEX(INDIRECT(IFERROR(INDEX(All_Questions_Options_Names,MATCH(All_Questions_Q_EXTRA_1_CT,All_Questions,0)),"'_Options'!$E$2:$E$2")),13),"")))</f>
        <v/>
      </c>
      <c r="S70" s="4" t="inlineStr">
        <is>
          <t>Total</t>
        </is>
      </c>
    </row>
    <row r="71">
      <c r="A71" t="inlineStr">
        <is>
          <t>Extra 1 A</t>
        </is>
      </c>
      <c r="B71">
        <f>COUNTIFS(Q_EXTRA_1_data,"Extra 1 A",passes_workbook_filters_data,1,passes_workbook_custom_filters_data,1,All_Questions_passes_local_filters_data,1,All_Questions_Q_EXTRA_1_F_passes_per_q_filter_data,1)</f>
        <v>6</v>
      </c>
      <c r="C71" s="7">
        <f>IFERROR(B71/SUBTOTAL(9,B71:B72),0)</f>
        <v>0.6</v>
      </c>
      <c r="D71" s="14">
        <f>SUBTOTAL(9,B71:B72)</f>
        <v>10</v>
      </c>
      <c r="F71" s="4" t="inlineStr"/>
      <c r="G71" s="4" t="inlineStr">
        <is>
          <t># of resp</t>
        </is>
      </c>
      <c r="H71" s="4" t="inlineStr">
        <is>
          <t># of resp</t>
        </is>
      </c>
      <c r="I71" s="4" t="inlineStr">
        <is>
          <t># of resp</t>
        </is>
      </c>
      <c r="J71" s="4" t="inlineStr">
        <is>
          <t># of resp</t>
        </is>
      </c>
      <c r="K71" s="4" t="inlineStr">
        <is>
          <t># of resp</t>
        </is>
      </c>
      <c r="L71" s="4" t="inlineStr">
        <is>
          <t># of resp</t>
        </is>
      </c>
      <c r="M71" s="4" t="inlineStr">
        <is>
          <t># of resp</t>
        </is>
      </c>
      <c r="N71" s="4" t="inlineStr">
        <is>
          <t># of resp</t>
        </is>
      </c>
      <c r="O71" s="4" t="inlineStr">
        <is>
          <t># of resp</t>
        </is>
      </c>
      <c r="P71" s="4" t="inlineStr">
        <is>
          <t># of resp</t>
        </is>
      </c>
      <c r="Q71" s="4" t="inlineStr">
        <is>
          <t># of resp</t>
        </is>
      </c>
      <c r="R71" s="4" t="inlineStr">
        <is>
          <t># of resp</t>
        </is>
      </c>
      <c r="S71" s="4" t="inlineStr">
        <is>
          <t># of resp</t>
        </is>
      </c>
    </row>
    <row r="72">
      <c r="A72" t="inlineStr">
        <is>
          <t>Extra 1 B</t>
        </is>
      </c>
      <c r="B72">
        <f>COUNTIFS(Q_EXTRA_1_data,"Extra 1 B",passes_workbook_filters_data,1,passes_workbook_custom_filters_data,1,All_Questions_passes_local_filters_data,1,All_Questions_Q_EXTRA_1_F_passes_per_q_filter_data,1)</f>
        <v>4</v>
      </c>
      <c r="C72" s="7">
        <f>IFERROR(B72/SUBTOTAL(9,B71:B72),0)</f>
        <v>0.4</v>
      </c>
      <c r="D72" s="14">
        <f>SUBTOTAL(9,B71:B72)</f>
        <v>10</v>
      </c>
      <c r="F72" t="inlineStr">
        <is>
          <t>Extra 1 A</t>
        </is>
      </c>
      <c r="G72">
        <f>IF(OR(All_Questions_Q_EXTRA_1_CT="(None)",G$70=""),"",COUNTIFS(Q_EXTRA_1_data,"Extra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G$70))</f>
        <v>0</v>
      </c>
      <c r="H72">
        <f>IF(OR(All_Questions_Q_EXTRA_1_CT="(None)",H$70=""),"",COUNTIFS(Q_EXTRA_1_data,"Extra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H$70))</f>
        <v>0</v>
      </c>
      <c r="I72">
        <f>IF(OR(All_Questions_Q_EXTRA_1_CT="(None)",I$70=""),"",COUNTIFS(Q_EXTRA_1_data,"Extra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I$70))</f>
        <v>0</v>
      </c>
      <c r="J72">
        <f>IF(OR(All_Questions_Q_EXTRA_1_CT="(None)",J$70=""),"",COUNTIFS(Q_EXTRA_1_data,"Extra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J$70))</f>
        <v>0</v>
      </c>
      <c r="K72">
        <f>IF(OR(All_Questions_Q_EXTRA_1_CT="(None)",K$70=""),"",COUNTIFS(Q_EXTRA_1_data,"Extra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K$70))</f>
        <v>0</v>
      </c>
      <c r="L72">
        <f>IF(OR(All_Questions_Q_EXTRA_1_CT="(None)",L$70=""),"",COUNTIFS(Q_EXTRA_1_data,"Extra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L$70))</f>
        <v>0</v>
      </c>
      <c r="M72">
        <f>IF(OR(All_Questions_Q_EXTRA_1_CT="(None)",M$70=""),"",COUNTIFS(Q_EXTRA_1_data,"Extra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M$70))</f>
        <v>0</v>
      </c>
      <c r="N72">
        <f>IF(OR(All_Questions_Q_EXTRA_1_CT="(None)",N$70=""),"",COUNTIFS(Q_EXTRA_1_data,"Extra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N$70))</f>
        <v>0</v>
      </c>
      <c r="O72">
        <f>IF(OR(All_Questions_Q_EXTRA_1_CT="(None)",O$70=""),"",COUNTIFS(Q_EXTRA_1_data,"Extra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O$70))</f>
        <v>0</v>
      </c>
      <c r="P72">
        <f>IF(OR(All_Questions_Q_EXTRA_1_CT="(None)",P$70=""),"",COUNTIFS(Q_EXTRA_1_data,"Extra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P$70))</f>
        <v>0</v>
      </c>
      <c r="Q72">
        <f>IF(OR(All_Questions_Q_EXTRA_1_CT="(None)",Q$70=""),"",COUNTIFS(Q_EXTRA_1_data,"Extra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Q$70))</f>
        <v>0</v>
      </c>
      <c r="R72">
        <f>IF(OR(All_Questions_Q_EXTRA_1_CT="(None)",R$70=""),"",IF(R$70="Other",COUNTIFS(Q_EXTRA_1_data,"Extra 1 A",passes_workbook_filters_data,1,passes_workbook_custom_filters_data,1,All_Questions_passes_local_filters_data,1,All_Questions_Q_EXTRA_1_F_passes_per_q_filter_data,1)-SUM(G72,H72,I72,J72,K72,L72,M72,N72,O72,P72,Q72),COUNTIFS(Q_EXTRA_1_data,"Extra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R$70)))</f>
        <v>0</v>
      </c>
      <c r="S72">
        <f>IF(All_Questions_Q_EXTRA_1_CT="(None)","",COUNTIFS(Q_EXTRA_1_data,"Extra 1 A",passes_workbook_filters_data,1,passes_workbook_custom_filters_data,1,All_Questions_passes_local_filters_data,1,All_Questions_Q_EXTRA_1_F_passes_per_q_filter_data,1))</f>
        <v>0</v>
      </c>
    </row>
    <row r="73">
      <c r="A73" s="15" t="inlineStr">
        <is>
          <t>Total respondents</t>
        </is>
      </c>
      <c r="B73" s="15" t="n">
        <v>10</v>
      </c>
      <c r="C73" s="15" t="n"/>
      <c r="D73" s="15" t="n"/>
      <c r="F73" t="inlineStr">
        <is>
          <t>Extra 1 B</t>
        </is>
      </c>
      <c r="G73">
        <f>IF(OR(All_Questions_Q_EXTRA_1_CT="(None)",G$70=""),"",COUNTIFS(Q_EXTRA_1_data,"Extra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G$70))</f>
        <v>0</v>
      </c>
      <c r="H73">
        <f>IF(OR(All_Questions_Q_EXTRA_1_CT="(None)",H$70=""),"",COUNTIFS(Q_EXTRA_1_data,"Extra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H$70))</f>
        <v>0</v>
      </c>
      <c r="I73">
        <f>IF(OR(All_Questions_Q_EXTRA_1_CT="(None)",I$70=""),"",COUNTIFS(Q_EXTRA_1_data,"Extra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I$70))</f>
        <v>0</v>
      </c>
      <c r="J73">
        <f>IF(OR(All_Questions_Q_EXTRA_1_CT="(None)",J$70=""),"",COUNTIFS(Q_EXTRA_1_data,"Extra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J$70))</f>
        <v>0</v>
      </c>
      <c r="K73">
        <f>IF(OR(All_Questions_Q_EXTRA_1_CT="(None)",K$70=""),"",COUNTIFS(Q_EXTRA_1_data,"Extra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K$70))</f>
        <v>0</v>
      </c>
      <c r="L73">
        <f>IF(OR(All_Questions_Q_EXTRA_1_CT="(None)",L$70=""),"",COUNTIFS(Q_EXTRA_1_data,"Extra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L$70))</f>
        <v>0</v>
      </c>
      <c r="M73">
        <f>IF(OR(All_Questions_Q_EXTRA_1_CT="(None)",M$70=""),"",COUNTIFS(Q_EXTRA_1_data,"Extra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M$70))</f>
        <v>0</v>
      </c>
      <c r="N73">
        <f>IF(OR(All_Questions_Q_EXTRA_1_CT="(None)",N$70=""),"",COUNTIFS(Q_EXTRA_1_data,"Extra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N$70))</f>
        <v>0</v>
      </c>
      <c r="O73">
        <f>IF(OR(All_Questions_Q_EXTRA_1_CT="(None)",O$70=""),"",COUNTIFS(Q_EXTRA_1_data,"Extra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O$70))</f>
        <v>0</v>
      </c>
      <c r="P73">
        <f>IF(OR(All_Questions_Q_EXTRA_1_CT="(None)",P$70=""),"",COUNTIFS(Q_EXTRA_1_data,"Extra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P$70))</f>
        <v>0</v>
      </c>
      <c r="Q73">
        <f>IF(OR(All_Questions_Q_EXTRA_1_CT="(None)",Q$70=""),"",COUNTIFS(Q_EXTRA_1_data,"Extra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Q$70))</f>
        <v>0</v>
      </c>
      <c r="R73">
        <f>IF(OR(All_Questions_Q_EXTRA_1_CT="(None)",R$70=""),"",IF(R$70="Other",COUNTIFS(Q_EXTRA_1_data,"Extra 1 B",passes_workbook_filters_data,1,passes_workbook_custom_filters_data,1,All_Questions_passes_local_filters_data,1,All_Questions_Q_EXTRA_1_F_passes_per_q_filter_data,1)-SUM(G73,H73,I73,J73,K73,L73,M73,N73,O73,P73,Q73),COUNTIFS(Q_EXTRA_1_data,"Extra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R$70)))</f>
        <v>0</v>
      </c>
      <c r="S73">
        <f>IF(All_Questions_Q_EXTRA_1_CT="(None)","",COUNTIFS(Q_EXTRA_1_data,"Extra 1 B",passes_workbook_filters_data,1,passes_workbook_custom_filters_data,1,All_Questions_passes_local_filters_data,1,All_Questions_Q_EXTRA_1_F_passes_per_q_filter_data,1))</f>
        <v>0</v>
      </c>
    </row>
    <row r="74">
      <c r="F74" s="4" t="inlineStr">
        <is>
          <t>Total respondents</t>
        </is>
      </c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>
        <f>IF(All_Questions_Q_EXTRA_1_CT="(None)","",COUNTIFS(respondent_id_data,"&lt;&gt;",passes_workbook_filters_data,1,passes_workbook_custom_filters_data,1,All_Questions_passes_local_filters_data,1,All_Questions_Q_EXTRA_1_F_passes_per_q_filter_data,1))</f>
        <v>0</v>
      </c>
    </row>
    <row r="75">
      <c r="A75" s="11" t="n"/>
      <c r="B75" s="11" t="n"/>
      <c r="C75" s="11" t="n"/>
      <c r="D75" s="11" t="n"/>
      <c r="E75" s="11" t="n"/>
      <c r="F75" s="11" t="n"/>
      <c r="G75" s="11" t="n"/>
      <c r="H75" s="11" t="n"/>
      <c r="I75" s="11" t="n"/>
      <c r="J75" s="11" t="n"/>
    </row>
    <row r="76">
      <c r="A76" s="12" t="inlineStr">
        <is>
          <t>Q_EXTRA_2 - Extra mixed block question 2</t>
        </is>
      </c>
      <c r="B76" s="12" t="n"/>
      <c r="C76" s="12" t="n"/>
      <c r="D76" s="12" t="n"/>
      <c r="E76" s="12" t="n"/>
      <c r="F76" s="12" t="n"/>
      <c r="G76" s="12" t="n"/>
      <c r="H76" s="12" t="n"/>
      <c r="I76" s="12" t="n"/>
      <c r="J76" s="12" t="n"/>
      <c r="K76" s="12" t="n"/>
      <c r="L76" s="12" t="n"/>
      <c r="M76" s="12" t="n"/>
      <c r="N76" s="12" t="n"/>
    </row>
    <row r="77">
      <c r="A77" s="13" t="inlineStr">
        <is>
          <t>Per-question filter</t>
        </is>
      </c>
      <c r="B77" t="inlineStr">
        <is>
          <t>Filter Q</t>
        </is>
      </c>
      <c r="C77" t="inlineStr">
        <is>
          <t>(None)</t>
        </is>
      </c>
      <c r="D77" t="inlineStr">
        <is>
          <t>Value</t>
        </is>
      </c>
      <c r="E77" t="inlineStr">
        <is>
          <t>(All)</t>
        </is>
      </c>
      <c r="F77" t="str">
        <f>IFERROR(INDEX(All_Questions_Data_Names,MATCH(All_Questions_Q_EXTRA_2_F_Q,All_Questions,0)),"'_RawData'!$A:$A")</f>
        <v>respondent_id_data</v>
      </c>
      <c r="G77" t="str">
        <f>"|" &amp; SUBSTITUTE(All_Questions_Q_EXTRA_2_F_V, ", ", "|") &amp; "|"</f>
        <v>|(All)|</v>
      </c>
    </row>
    <row r="78">
      <c r="A78" s="13" t="inlineStr">
        <is>
          <t>Cross-tab by</t>
        </is>
      </c>
      <c r="C78" t="inlineStr">
        <is>
          <t>(None)</t>
        </is>
      </c>
    </row>
    <row r="80">
      <c r="A80" s="4" t="inlineStr">
        <is>
          <t>Option</t>
        </is>
      </c>
      <c r="B80" s="4" t="inlineStr">
        <is>
          <t>Count</t>
        </is>
      </c>
      <c r="C80" s="4" t="inlineStr">
        <is>
          <t>%</t>
        </is>
      </c>
      <c r="D80" s="4" t="inlineStr">
        <is>
          <t>Denominator</t>
        </is>
      </c>
      <c r="F80" s="4" t="inlineStr">
        <is>
          <t>Option</t>
        </is>
      </c>
      <c r="G80" s="2" t="str">
        <f>IF(All_Questions_Q_EXTRA_2_CT="(None)","",IFERROR(INDEX(INDIRECT(IFERROR(INDEX(All_Questions_Options_Names,MATCH(All_Questions_Q_EXTRA_2_CT,All_Questions,0)),"'_Options'!$E$2:$E$2")),2),""))</f>
        <v/>
      </c>
      <c r="H80" s="2" t="str">
        <f>IF(All_Questions_Q_EXTRA_2_CT="(None)","",IFERROR(INDEX(INDIRECT(IFERROR(INDEX(All_Questions_Options_Names,MATCH(All_Questions_Q_EXTRA_2_CT,All_Questions,0)),"'_Options'!$E$2:$E$2")),3),""))</f>
        <v/>
      </c>
      <c r="I80" s="2" t="str">
        <f>IF(All_Questions_Q_EXTRA_2_CT="(None)","",IFERROR(INDEX(INDIRECT(IFERROR(INDEX(All_Questions_Options_Names,MATCH(All_Questions_Q_EXTRA_2_CT,All_Questions,0)),"'_Options'!$E$2:$E$2")),4),""))</f>
        <v/>
      </c>
      <c r="J80" s="2" t="str">
        <f>IF(All_Questions_Q_EXTRA_2_CT="(None)","",IFERROR(INDEX(INDIRECT(IFERROR(INDEX(All_Questions_Options_Names,MATCH(All_Questions_Q_EXTRA_2_CT,All_Questions,0)),"'_Options'!$E$2:$E$2")),5),""))</f>
        <v/>
      </c>
      <c r="K80" s="2" t="str">
        <f>IF(All_Questions_Q_EXTRA_2_CT="(None)","",IFERROR(INDEX(INDIRECT(IFERROR(INDEX(All_Questions_Options_Names,MATCH(All_Questions_Q_EXTRA_2_CT,All_Questions,0)),"'_Options'!$E$2:$E$2")),6),""))</f>
        <v/>
      </c>
      <c r="L80" s="2" t="str">
        <f>IF(All_Questions_Q_EXTRA_2_CT="(None)","",IFERROR(INDEX(INDIRECT(IFERROR(INDEX(All_Questions_Options_Names,MATCH(All_Questions_Q_EXTRA_2_CT,All_Questions,0)),"'_Options'!$E$2:$E$2")),7),""))</f>
        <v/>
      </c>
      <c r="M80" s="2" t="str">
        <f>IF(All_Questions_Q_EXTRA_2_CT="(None)","",IFERROR(INDEX(INDIRECT(IFERROR(INDEX(All_Questions_Options_Names,MATCH(All_Questions_Q_EXTRA_2_CT,All_Questions,0)),"'_Options'!$E$2:$E$2")),8),""))</f>
        <v/>
      </c>
      <c r="N80" s="2" t="str">
        <f>IF(All_Questions_Q_EXTRA_2_CT="(None)","",IFERROR(INDEX(INDIRECT(IFERROR(INDEX(All_Questions_Options_Names,MATCH(All_Questions_Q_EXTRA_2_CT,All_Questions,0)),"'_Options'!$E$2:$E$2")),9),""))</f>
        <v/>
      </c>
      <c r="O80" s="2" t="str">
        <f>IF(All_Questions_Q_EXTRA_2_CT="(None)","",IFERROR(INDEX(INDIRECT(IFERROR(INDEX(All_Questions_Options_Names,MATCH(All_Questions_Q_EXTRA_2_CT,All_Questions,0)),"'_Options'!$E$2:$E$2")),10),""))</f>
        <v/>
      </c>
      <c r="P80" s="2" t="str">
        <f>IF(All_Questions_Q_EXTRA_2_CT="(None)","",IFERROR(INDEX(INDIRECT(IFERROR(INDEX(All_Questions_Options_Names,MATCH(All_Questions_Q_EXTRA_2_CT,All_Questions,0)),"'_Options'!$E$2:$E$2")),11),""))</f>
        <v/>
      </c>
      <c r="Q80" s="2" t="str">
        <f>IF(All_Questions_Q_EXTRA_2_CT="(None)","",IFERROR(INDEX(INDIRECT(IFERROR(INDEX(All_Questions_Options_Names,MATCH(All_Questions_Q_EXTRA_2_CT,All_Questions,0)),"'_Options'!$E$2:$E$2")),12),""))</f>
        <v/>
      </c>
      <c r="R80" s="2" t="str">
        <f>IF(All_Questions_Q_EXTRA_2_CT="(None)","",IF(COUNTA(INDIRECT(IFERROR(INDEX(All_Questions_Options_Names,MATCH(All_Questions_Q_EXTRA_2_CT,All_Questions,0)),"'_Options'!$E$2:$E$2")))-1&gt;11,"Other",IFERROR(INDEX(INDIRECT(IFERROR(INDEX(All_Questions_Options_Names,MATCH(All_Questions_Q_EXTRA_2_CT,All_Questions,0)),"'_Options'!$E$2:$E$2")),13),"")))</f>
        <v/>
      </c>
      <c r="S80" s="4" t="inlineStr">
        <is>
          <t>Total</t>
        </is>
      </c>
    </row>
    <row r="81">
      <c r="A81" t="inlineStr">
        <is>
          <t>Extra 2 A</t>
        </is>
      </c>
      <c r="B81">
        <f>COUNTIFS(Q_EXTRA_2_data,"Extra 2 A",passes_workbook_filters_data,1,passes_workbook_custom_filters_data,1,All_Questions_passes_local_filters_data,1,All_Questions_Q_EXTRA_2_F_passes_per_q_filter_data,1)</f>
        <v>6</v>
      </c>
      <c r="C81" s="7">
        <f>IFERROR(B81/SUBTOTAL(9,B81:B82),0)</f>
        <v>0.6</v>
      </c>
      <c r="D81" s="14">
        <f>SUBTOTAL(9,B81:B82)</f>
        <v>10</v>
      </c>
      <c r="F81" s="4" t="inlineStr"/>
      <c r="G81" s="4" t="inlineStr">
        <is>
          <t># of resp</t>
        </is>
      </c>
      <c r="H81" s="4" t="inlineStr">
        <is>
          <t># of resp</t>
        </is>
      </c>
      <c r="I81" s="4" t="inlineStr">
        <is>
          <t># of resp</t>
        </is>
      </c>
      <c r="J81" s="4" t="inlineStr">
        <is>
          <t># of resp</t>
        </is>
      </c>
      <c r="K81" s="4" t="inlineStr">
        <is>
          <t># of resp</t>
        </is>
      </c>
      <c r="L81" s="4" t="inlineStr">
        <is>
          <t># of resp</t>
        </is>
      </c>
      <c r="M81" s="4" t="inlineStr">
        <is>
          <t># of resp</t>
        </is>
      </c>
      <c r="N81" s="4" t="inlineStr">
        <is>
          <t># of resp</t>
        </is>
      </c>
      <c r="O81" s="4" t="inlineStr">
        <is>
          <t># of resp</t>
        </is>
      </c>
      <c r="P81" s="4" t="inlineStr">
        <is>
          <t># of resp</t>
        </is>
      </c>
      <c r="Q81" s="4" t="inlineStr">
        <is>
          <t># of resp</t>
        </is>
      </c>
      <c r="R81" s="4" t="inlineStr">
        <is>
          <t># of resp</t>
        </is>
      </c>
      <c r="S81" s="4" t="inlineStr">
        <is>
          <t># of resp</t>
        </is>
      </c>
    </row>
    <row r="82">
      <c r="A82" t="inlineStr">
        <is>
          <t>Extra 2 B</t>
        </is>
      </c>
      <c r="B82">
        <f>COUNTIFS(Q_EXTRA_2_data,"Extra 2 B",passes_workbook_filters_data,1,passes_workbook_custom_filters_data,1,All_Questions_passes_local_filters_data,1,All_Questions_Q_EXTRA_2_F_passes_per_q_filter_data,1)</f>
        <v>4</v>
      </c>
      <c r="C82" s="7">
        <f>IFERROR(B82/SUBTOTAL(9,B81:B82),0)</f>
        <v>0.4</v>
      </c>
      <c r="D82" s="14">
        <f>SUBTOTAL(9,B81:B82)</f>
        <v>10</v>
      </c>
      <c r="F82" t="inlineStr">
        <is>
          <t>Extra 2 A</t>
        </is>
      </c>
      <c r="G82">
        <f>IF(OR(All_Questions_Q_EXTRA_2_CT="(None)",G$80=""),"",COUNTIFS(Q_EXTRA_2_data,"Extra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G$80))</f>
        <v>0</v>
      </c>
      <c r="H82">
        <f>IF(OR(All_Questions_Q_EXTRA_2_CT="(None)",H$80=""),"",COUNTIFS(Q_EXTRA_2_data,"Extra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H$80))</f>
        <v>0</v>
      </c>
      <c r="I82">
        <f>IF(OR(All_Questions_Q_EXTRA_2_CT="(None)",I$80=""),"",COUNTIFS(Q_EXTRA_2_data,"Extra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I$80))</f>
        <v>0</v>
      </c>
      <c r="J82">
        <f>IF(OR(All_Questions_Q_EXTRA_2_CT="(None)",J$80=""),"",COUNTIFS(Q_EXTRA_2_data,"Extra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J$80))</f>
        <v>0</v>
      </c>
      <c r="K82">
        <f>IF(OR(All_Questions_Q_EXTRA_2_CT="(None)",K$80=""),"",COUNTIFS(Q_EXTRA_2_data,"Extra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K$80))</f>
        <v>0</v>
      </c>
      <c r="L82">
        <f>IF(OR(All_Questions_Q_EXTRA_2_CT="(None)",L$80=""),"",COUNTIFS(Q_EXTRA_2_data,"Extra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L$80))</f>
        <v>0</v>
      </c>
      <c r="M82">
        <f>IF(OR(All_Questions_Q_EXTRA_2_CT="(None)",M$80=""),"",COUNTIFS(Q_EXTRA_2_data,"Extra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M$80))</f>
        <v>0</v>
      </c>
      <c r="N82">
        <f>IF(OR(All_Questions_Q_EXTRA_2_CT="(None)",N$80=""),"",COUNTIFS(Q_EXTRA_2_data,"Extra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N$80))</f>
        <v>0</v>
      </c>
      <c r="O82">
        <f>IF(OR(All_Questions_Q_EXTRA_2_CT="(None)",O$80=""),"",COUNTIFS(Q_EXTRA_2_data,"Extra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O$80))</f>
        <v>0</v>
      </c>
      <c r="P82">
        <f>IF(OR(All_Questions_Q_EXTRA_2_CT="(None)",P$80=""),"",COUNTIFS(Q_EXTRA_2_data,"Extra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P$80))</f>
        <v>0</v>
      </c>
      <c r="Q82">
        <f>IF(OR(All_Questions_Q_EXTRA_2_CT="(None)",Q$80=""),"",COUNTIFS(Q_EXTRA_2_data,"Extra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Q$80))</f>
        <v>0</v>
      </c>
      <c r="R82">
        <f>IF(OR(All_Questions_Q_EXTRA_2_CT="(None)",R$80=""),"",IF(R$80="Other",COUNTIFS(Q_EXTRA_2_data,"Extra 2 A",passes_workbook_filters_data,1,passes_workbook_custom_filters_data,1,All_Questions_passes_local_filters_data,1,All_Questions_Q_EXTRA_2_F_passes_per_q_filter_data,1)-SUM(G82,H82,I82,J82,K82,L82,M82,N82,O82,P82,Q82),COUNTIFS(Q_EXTRA_2_data,"Extra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R$80)))</f>
        <v>0</v>
      </c>
      <c r="S82">
        <f>IF(All_Questions_Q_EXTRA_2_CT="(None)","",COUNTIFS(Q_EXTRA_2_data,"Extra 2 A",passes_workbook_filters_data,1,passes_workbook_custom_filters_data,1,All_Questions_passes_local_filters_data,1,All_Questions_Q_EXTRA_2_F_passes_per_q_filter_data,1))</f>
        <v>0</v>
      </c>
    </row>
    <row r="83">
      <c r="A83" s="15" t="inlineStr">
        <is>
          <t>Total respondents</t>
        </is>
      </c>
      <c r="B83" s="15" t="n">
        <v>10</v>
      </c>
      <c r="C83" s="15" t="n"/>
      <c r="D83" s="15" t="n"/>
      <c r="F83" t="inlineStr">
        <is>
          <t>Extra 2 B</t>
        </is>
      </c>
      <c r="G83">
        <f>IF(OR(All_Questions_Q_EXTRA_2_CT="(None)",G$80=""),"",COUNTIFS(Q_EXTRA_2_data,"Extra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G$80))</f>
        <v>0</v>
      </c>
      <c r="H83">
        <f>IF(OR(All_Questions_Q_EXTRA_2_CT="(None)",H$80=""),"",COUNTIFS(Q_EXTRA_2_data,"Extra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H$80))</f>
        <v>0</v>
      </c>
      <c r="I83">
        <f>IF(OR(All_Questions_Q_EXTRA_2_CT="(None)",I$80=""),"",COUNTIFS(Q_EXTRA_2_data,"Extra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I$80))</f>
        <v>0</v>
      </c>
      <c r="J83">
        <f>IF(OR(All_Questions_Q_EXTRA_2_CT="(None)",J$80=""),"",COUNTIFS(Q_EXTRA_2_data,"Extra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J$80))</f>
        <v>0</v>
      </c>
      <c r="K83">
        <f>IF(OR(All_Questions_Q_EXTRA_2_CT="(None)",K$80=""),"",COUNTIFS(Q_EXTRA_2_data,"Extra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K$80))</f>
        <v>0</v>
      </c>
      <c r="L83">
        <f>IF(OR(All_Questions_Q_EXTRA_2_CT="(None)",L$80=""),"",COUNTIFS(Q_EXTRA_2_data,"Extra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L$80))</f>
        <v>0</v>
      </c>
      <c r="M83">
        <f>IF(OR(All_Questions_Q_EXTRA_2_CT="(None)",M$80=""),"",COUNTIFS(Q_EXTRA_2_data,"Extra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M$80))</f>
        <v>0</v>
      </c>
      <c r="N83">
        <f>IF(OR(All_Questions_Q_EXTRA_2_CT="(None)",N$80=""),"",COUNTIFS(Q_EXTRA_2_data,"Extra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N$80))</f>
        <v>0</v>
      </c>
      <c r="O83">
        <f>IF(OR(All_Questions_Q_EXTRA_2_CT="(None)",O$80=""),"",COUNTIFS(Q_EXTRA_2_data,"Extra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O$80))</f>
        <v>0</v>
      </c>
      <c r="P83">
        <f>IF(OR(All_Questions_Q_EXTRA_2_CT="(None)",P$80=""),"",COUNTIFS(Q_EXTRA_2_data,"Extra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P$80))</f>
        <v>0</v>
      </c>
      <c r="Q83">
        <f>IF(OR(All_Questions_Q_EXTRA_2_CT="(None)",Q$80=""),"",COUNTIFS(Q_EXTRA_2_data,"Extra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Q$80))</f>
        <v>0</v>
      </c>
      <c r="R83">
        <f>IF(OR(All_Questions_Q_EXTRA_2_CT="(None)",R$80=""),"",IF(R$80="Other",COUNTIFS(Q_EXTRA_2_data,"Extra 2 B",passes_workbook_filters_data,1,passes_workbook_custom_filters_data,1,All_Questions_passes_local_filters_data,1,All_Questions_Q_EXTRA_2_F_passes_per_q_filter_data,1)-SUM(G83,H83,I83,J83,K83,L83,M83,N83,O83,P83,Q83),COUNTIFS(Q_EXTRA_2_data,"Extra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R$80)))</f>
        <v>0</v>
      </c>
      <c r="S83">
        <f>IF(All_Questions_Q_EXTRA_2_CT="(None)","",COUNTIFS(Q_EXTRA_2_data,"Extra 2 B",passes_workbook_filters_data,1,passes_workbook_custom_filters_data,1,All_Questions_passes_local_filters_data,1,All_Questions_Q_EXTRA_2_F_passes_per_q_filter_data,1))</f>
        <v>0</v>
      </c>
    </row>
    <row r="84">
      <c r="F84" s="4" t="inlineStr">
        <is>
          <t>Total respondents</t>
        </is>
      </c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>
        <f>IF(All_Questions_Q_EXTRA_2_CT="(None)","",COUNTIFS(respondent_id_data,"&lt;&gt;",passes_workbook_filters_data,1,passes_workbook_custom_filters_data,1,All_Questions_passes_local_filters_data,1,All_Questions_Q_EXTRA_2_F_passes_per_q_filter_data,1))</f>
        <v>0</v>
      </c>
    </row>
    <row r="85">
      <c r="A85" s="11" t="n"/>
      <c r="B85" s="11" t="n"/>
      <c r="C85" s="11" t="n"/>
      <c r="D85" s="11" t="n"/>
      <c r="E85" s="11" t="n"/>
      <c r="F85" s="11" t="n"/>
      <c r="G85" s="11" t="n"/>
      <c r="H85" s="11" t="n"/>
      <c r="I85" s="11" t="n"/>
      <c r="J85" s="11" t="n"/>
    </row>
    <row r="86">
      <c r="A86" s="12" t="inlineStr">
        <is>
          <t>Q_EXTRA_3 - Extra mixed block question 3</t>
        </is>
      </c>
      <c r="B86" s="12" t="n"/>
      <c r="C86" s="12" t="n"/>
      <c r="D86" s="12" t="n"/>
      <c r="E86" s="12" t="n"/>
      <c r="F86" s="12" t="n"/>
      <c r="G86" s="12" t="n"/>
      <c r="H86" s="12" t="n"/>
      <c r="I86" s="12" t="n"/>
      <c r="J86" s="12" t="n"/>
      <c r="K86" s="12" t="n"/>
      <c r="L86" s="12" t="n"/>
      <c r="M86" s="12" t="n"/>
      <c r="N86" s="12" t="n"/>
    </row>
    <row r="87">
      <c r="A87" s="13" t="inlineStr">
        <is>
          <t>Per-question filter</t>
        </is>
      </c>
      <c r="B87" t="inlineStr">
        <is>
          <t>Filter Q</t>
        </is>
      </c>
      <c r="C87" t="inlineStr">
        <is>
          <t>(None)</t>
        </is>
      </c>
      <c r="D87" t="inlineStr">
        <is>
          <t>Value</t>
        </is>
      </c>
      <c r="E87" t="inlineStr">
        <is>
          <t>(All)</t>
        </is>
      </c>
      <c r="F87" t="str">
        <f>IFERROR(INDEX(All_Questions_Data_Names,MATCH(All_Questions_Q_EXTRA_3_F_Q,All_Questions,0)),"'_RawData'!$A:$A")</f>
        <v>respondent_id_data</v>
      </c>
      <c r="G87" t="str">
        <f>"|" &amp; SUBSTITUTE(All_Questions_Q_EXTRA_3_F_V, ", ", "|") &amp; "|"</f>
        <v>|(All)|</v>
      </c>
    </row>
    <row r="88">
      <c r="A88" s="13" t="inlineStr">
        <is>
          <t>Cross-tab by</t>
        </is>
      </c>
      <c r="C88" t="inlineStr">
        <is>
          <t>(None)</t>
        </is>
      </c>
    </row>
    <row r="90">
      <c r="A90" s="4" t="inlineStr">
        <is>
          <t>Option</t>
        </is>
      </c>
      <c r="B90" s="4" t="inlineStr">
        <is>
          <t>Count</t>
        </is>
      </c>
      <c r="C90" s="4" t="inlineStr">
        <is>
          <t>%</t>
        </is>
      </c>
      <c r="D90" s="4" t="inlineStr">
        <is>
          <t>Denominator</t>
        </is>
      </c>
      <c r="F90" s="4" t="inlineStr">
        <is>
          <t>Option</t>
        </is>
      </c>
      <c r="G90" s="2" t="str">
        <f>IF(All_Questions_Q_EXTRA_3_CT="(None)","",IFERROR(INDEX(INDIRECT(IFERROR(INDEX(All_Questions_Options_Names,MATCH(All_Questions_Q_EXTRA_3_CT,All_Questions,0)),"'_Options'!$E$2:$E$2")),2),""))</f>
        <v/>
      </c>
      <c r="H90" s="2" t="str">
        <f>IF(All_Questions_Q_EXTRA_3_CT="(None)","",IFERROR(INDEX(INDIRECT(IFERROR(INDEX(All_Questions_Options_Names,MATCH(All_Questions_Q_EXTRA_3_CT,All_Questions,0)),"'_Options'!$E$2:$E$2")),3),""))</f>
        <v/>
      </c>
      <c r="I90" s="2" t="str">
        <f>IF(All_Questions_Q_EXTRA_3_CT="(None)","",IFERROR(INDEX(INDIRECT(IFERROR(INDEX(All_Questions_Options_Names,MATCH(All_Questions_Q_EXTRA_3_CT,All_Questions,0)),"'_Options'!$E$2:$E$2")),4),""))</f>
        <v/>
      </c>
      <c r="J90" s="2" t="str">
        <f>IF(All_Questions_Q_EXTRA_3_CT="(None)","",IFERROR(INDEX(INDIRECT(IFERROR(INDEX(All_Questions_Options_Names,MATCH(All_Questions_Q_EXTRA_3_CT,All_Questions,0)),"'_Options'!$E$2:$E$2")),5),""))</f>
        <v/>
      </c>
      <c r="K90" s="2" t="str">
        <f>IF(All_Questions_Q_EXTRA_3_CT="(None)","",IFERROR(INDEX(INDIRECT(IFERROR(INDEX(All_Questions_Options_Names,MATCH(All_Questions_Q_EXTRA_3_CT,All_Questions,0)),"'_Options'!$E$2:$E$2")),6),""))</f>
        <v/>
      </c>
      <c r="L90" s="2" t="str">
        <f>IF(All_Questions_Q_EXTRA_3_CT="(None)","",IFERROR(INDEX(INDIRECT(IFERROR(INDEX(All_Questions_Options_Names,MATCH(All_Questions_Q_EXTRA_3_CT,All_Questions,0)),"'_Options'!$E$2:$E$2")),7),""))</f>
        <v/>
      </c>
      <c r="M90" s="2" t="str">
        <f>IF(All_Questions_Q_EXTRA_3_CT="(None)","",IFERROR(INDEX(INDIRECT(IFERROR(INDEX(All_Questions_Options_Names,MATCH(All_Questions_Q_EXTRA_3_CT,All_Questions,0)),"'_Options'!$E$2:$E$2")),8),""))</f>
        <v/>
      </c>
      <c r="N90" s="2" t="str">
        <f>IF(All_Questions_Q_EXTRA_3_CT="(None)","",IFERROR(INDEX(INDIRECT(IFERROR(INDEX(All_Questions_Options_Names,MATCH(All_Questions_Q_EXTRA_3_CT,All_Questions,0)),"'_Options'!$E$2:$E$2")),9),""))</f>
        <v/>
      </c>
      <c r="O90" s="2" t="str">
        <f>IF(All_Questions_Q_EXTRA_3_CT="(None)","",IFERROR(INDEX(INDIRECT(IFERROR(INDEX(All_Questions_Options_Names,MATCH(All_Questions_Q_EXTRA_3_CT,All_Questions,0)),"'_Options'!$E$2:$E$2")),10),""))</f>
        <v/>
      </c>
      <c r="P90" s="2" t="str">
        <f>IF(All_Questions_Q_EXTRA_3_CT="(None)","",IFERROR(INDEX(INDIRECT(IFERROR(INDEX(All_Questions_Options_Names,MATCH(All_Questions_Q_EXTRA_3_CT,All_Questions,0)),"'_Options'!$E$2:$E$2")),11),""))</f>
        <v/>
      </c>
      <c r="Q90" s="2" t="str">
        <f>IF(All_Questions_Q_EXTRA_3_CT="(None)","",IFERROR(INDEX(INDIRECT(IFERROR(INDEX(All_Questions_Options_Names,MATCH(All_Questions_Q_EXTRA_3_CT,All_Questions,0)),"'_Options'!$E$2:$E$2")),12),""))</f>
        <v/>
      </c>
      <c r="R90" s="2" t="str">
        <f>IF(All_Questions_Q_EXTRA_3_CT="(None)","",IF(COUNTA(INDIRECT(IFERROR(INDEX(All_Questions_Options_Names,MATCH(All_Questions_Q_EXTRA_3_CT,All_Questions,0)),"'_Options'!$E$2:$E$2")))-1&gt;11,"Other",IFERROR(INDEX(INDIRECT(IFERROR(INDEX(All_Questions_Options_Names,MATCH(All_Questions_Q_EXTRA_3_CT,All_Questions,0)),"'_Options'!$E$2:$E$2")),13),"")))</f>
        <v/>
      </c>
      <c r="S90" s="4" t="inlineStr">
        <is>
          <t>Total</t>
        </is>
      </c>
    </row>
    <row r="91">
      <c r="A91" t="inlineStr">
        <is>
          <t>Extra 3 A</t>
        </is>
      </c>
      <c r="B91">
        <f>COUNTIFS(Q_EXTRA_3_data,"Extra 3 A",passes_workbook_filters_data,1,passes_workbook_custom_filters_data,1,All_Questions_passes_local_filters_data,1,All_Questions_Q_EXTRA_3_F_passes_per_q_filter_data,1)</f>
        <v>6</v>
      </c>
      <c r="C91" s="7">
        <f>IFERROR(B91/SUBTOTAL(9,B91:B92),0)</f>
        <v>0.6</v>
      </c>
      <c r="D91" s="14">
        <f>SUBTOTAL(9,B91:B92)</f>
        <v>10</v>
      </c>
      <c r="F91" s="4" t="inlineStr"/>
      <c r="G91" s="4" t="inlineStr">
        <is>
          <t># of resp</t>
        </is>
      </c>
      <c r="H91" s="4" t="inlineStr">
        <is>
          <t># of resp</t>
        </is>
      </c>
      <c r="I91" s="4" t="inlineStr">
        <is>
          <t># of resp</t>
        </is>
      </c>
      <c r="J91" s="4" t="inlineStr">
        <is>
          <t># of resp</t>
        </is>
      </c>
      <c r="K91" s="4" t="inlineStr">
        <is>
          <t># of resp</t>
        </is>
      </c>
      <c r="L91" s="4" t="inlineStr">
        <is>
          <t># of resp</t>
        </is>
      </c>
      <c r="M91" s="4" t="inlineStr">
        <is>
          <t># of resp</t>
        </is>
      </c>
      <c r="N91" s="4" t="inlineStr">
        <is>
          <t># of resp</t>
        </is>
      </c>
      <c r="O91" s="4" t="inlineStr">
        <is>
          <t># of resp</t>
        </is>
      </c>
      <c r="P91" s="4" t="inlineStr">
        <is>
          <t># of resp</t>
        </is>
      </c>
      <c r="Q91" s="4" t="inlineStr">
        <is>
          <t># of resp</t>
        </is>
      </c>
      <c r="R91" s="4" t="inlineStr">
        <is>
          <t># of resp</t>
        </is>
      </c>
      <c r="S91" s="4" t="inlineStr">
        <is>
          <t># of resp</t>
        </is>
      </c>
    </row>
    <row r="92">
      <c r="A92" t="inlineStr">
        <is>
          <t>Extra 3 B</t>
        </is>
      </c>
      <c r="B92">
        <f>COUNTIFS(Q_EXTRA_3_data,"Extra 3 B",passes_workbook_filters_data,1,passes_workbook_custom_filters_data,1,All_Questions_passes_local_filters_data,1,All_Questions_Q_EXTRA_3_F_passes_per_q_filter_data,1)</f>
        <v>4</v>
      </c>
      <c r="C92" s="7">
        <f>IFERROR(B92/SUBTOTAL(9,B91:B92),0)</f>
        <v>0.4</v>
      </c>
      <c r="D92" s="14">
        <f>SUBTOTAL(9,B91:B92)</f>
        <v>10</v>
      </c>
      <c r="F92" t="inlineStr">
        <is>
          <t>Extra 3 A</t>
        </is>
      </c>
      <c r="G92">
        <f>IF(OR(All_Questions_Q_EXTRA_3_CT="(None)",G$90=""),"",COUNTIFS(Q_EXTRA_3_data,"Extra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G$90))</f>
        <v>0</v>
      </c>
      <c r="H92">
        <f>IF(OR(All_Questions_Q_EXTRA_3_CT="(None)",H$90=""),"",COUNTIFS(Q_EXTRA_3_data,"Extra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H$90))</f>
        <v>0</v>
      </c>
      <c r="I92">
        <f>IF(OR(All_Questions_Q_EXTRA_3_CT="(None)",I$90=""),"",COUNTIFS(Q_EXTRA_3_data,"Extra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I$90))</f>
        <v>0</v>
      </c>
      <c r="J92">
        <f>IF(OR(All_Questions_Q_EXTRA_3_CT="(None)",J$90=""),"",COUNTIFS(Q_EXTRA_3_data,"Extra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J$90))</f>
        <v>0</v>
      </c>
      <c r="K92">
        <f>IF(OR(All_Questions_Q_EXTRA_3_CT="(None)",K$90=""),"",COUNTIFS(Q_EXTRA_3_data,"Extra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K$90))</f>
        <v>0</v>
      </c>
      <c r="L92">
        <f>IF(OR(All_Questions_Q_EXTRA_3_CT="(None)",L$90=""),"",COUNTIFS(Q_EXTRA_3_data,"Extra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L$90))</f>
        <v>0</v>
      </c>
      <c r="M92">
        <f>IF(OR(All_Questions_Q_EXTRA_3_CT="(None)",M$90=""),"",COUNTIFS(Q_EXTRA_3_data,"Extra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M$90))</f>
        <v>0</v>
      </c>
      <c r="N92">
        <f>IF(OR(All_Questions_Q_EXTRA_3_CT="(None)",N$90=""),"",COUNTIFS(Q_EXTRA_3_data,"Extra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N$90))</f>
        <v>0</v>
      </c>
      <c r="O92">
        <f>IF(OR(All_Questions_Q_EXTRA_3_CT="(None)",O$90=""),"",COUNTIFS(Q_EXTRA_3_data,"Extra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O$90))</f>
        <v>0</v>
      </c>
      <c r="P92">
        <f>IF(OR(All_Questions_Q_EXTRA_3_CT="(None)",P$90=""),"",COUNTIFS(Q_EXTRA_3_data,"Extra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P$90))</f>
        <v>0</v>
      </c>
      <c r="Q92">
        <f>IF(OR(All_Questions_Q_EXTRA_3_CT="(None)",Q$90=""),"",COUNTIFS(Q_EXTRA_3_data,"Extra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Q$90))</f>
        <v>0</v>
      </c>
      <c r="R92">
        <f>IF(OR(All_Questions_Q_EXTRA_3_CT="(None)",R$90=""),"",IF(R$90="Other",COUNTIFS(Q_EXTRA_3_data,"Extra 3 A",passes_workbook_filters_data,1,passes_workbook_custom_filters_data,1,All_Questions_passes_local_filters_data,1,All_Questions_Q_EXTRA_3_F_passes_per_q_filter_data,1)-SUM(G92,H92,I92,J92,K92,L92,M92,N92,O92,P92,Q92),COUNTIFS(Q_EXTRA_3_data,"Extra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R$90)))</f>
        <v>0</v>
      </c>
      <c r="S92">
        <f>IF(All_Questions_Q_EXTRA_3_CT="(None)","",COUNTIFS(Q_EXTRA_3_data,"Extra 3 A",passes_workbook_filters_data,1,passes_workbook_custom_filters_data,1,All_Questions_passes_local_filters_data,1,All_Questions_Q_EXTRA_3_F_passes_per_q_filter_data,1))</f>
        <v>0</v>
      </c>
    </row>
    <row r="93">
      <c r="A93" s="15" t="inlineStr">
        <is>
          <t>Total respondents</t>
        </is>
      </c>
      <c r="B93" s="15" t="n">
        <v>10</v>
      </c>
      <c r="C93" s="15" t="n"/>
      <c r="D93" s="15" t="n"/>
      <c r="F93" t="inlineStr">
        <is>
          <t>Extra 3 B</t>
        </is>
      </c>
      <c r="G93">
        <f>IF(OR(All_Questions_Q_EXTRA_3_CT="(None)",G$90=""),"",COUNTIFS(Q_EXTRA_3_data,"Extra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G$90))</f>
        <v>0</v>
      </c>
      <c r="H93">
        <f>IF(OR(All_Questions_Q_EXTRA_3_CT="(None)",H$90=""),"",COUNTIFS(Q_EXTRA_3_data,"Extra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H$90))</f>
        <v>0</v>
      </c>
      <c r="I93">
        <f>IF(OR(All_Questions_Q_EXTRA_3_CT="(None)",I$90=""),"",COUNTIFS(Q_EXTRA_3_data,"Extra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I$90))</f>
        <v>0</v>
      </c>
      <c r="J93">
        <f>IF(OR(All_Questions_Q_EXTRA_3_CT="(None)",J$90=""),"",COUNTIFS(Q_EXTRA_3_data,"Extra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J$90))</f>
        <v>0</v>
      </c>
      <c r="K93">
        <f>IF(OR(All_Questions_Q_EXTRA_3_CT="(None)",K$90=""),"",COUNTIFS(Q_EXTRA_3_data,"Extra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K$90))</f>
        <v>0</v>
      </c>
      <c r="L93">
        <f>IF(OR(All_Questions_Q_EXTRA_3_CT="(None)",L$90=""),"",COUNTIFS(Q_EXTRA_3_data,"Extra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L$90))</f>
        <v>0</v>
      </c>
      <c r="M93">
        <f>IF(OR(All_Questions_Q_EXTRA_3_CT="(None)",M$90=""),"",COUNTIFS(Q_EXTRA_3_data,"Extra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M$90))</f>
        <v>0</v>
      </c>
      <c r="N93">
        <f>IF(OR(All_Questions_Q_EXTRA_3_CT="(None)",N$90=""),"",COUNTIFS(Q_EXTRA_3_data,"Extra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N$90))</f>
        <v>0</v>
      </c>
      <c r="O93">
        <f>IF(OR(All_Questions_Q_EXTRA_3_CT="(None)",O$90=""),"",COUNTIFS(Q_EXTRA_3_data,"Extra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O$90))</f>
        <v>0</v>
      </c>
      <c r="P93">
        <f>IF(OR(All_Questions_Q_EXTRA_3_CT="(None)",P$90=""),"",COUNTIFS(Q_EXTRA_3_data,"Extra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P$90))</f>
        <v>0</v>
      </c>
      <c r="Q93">
        <f>IF(OR(All_Questions_Q_EXTRA_3_CT="(None)",Q$90=""),"",COUNTIFS(Q_EXTRA_3_data,"Extra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Q$90))</f>
        <v>0</v>
      </c>
      <c r="R93">
        <f>IF(OR(All_Questions_Q_EXTRA_3_CT="(None)",R$90=""),"",IF(R$90="Other",COUNTIFS(Q_EXTRA_3_data,"Extra 3 B",passes_workbook_filters_data,1,passes_workbook_custom_filters_data,1,All_Questions_passes_local_filters_data,1,All_Questions_Q_EXTRA_3_F_passes_per_q_filter_data,1)-SUM(G93,H93,I93,J93,K93,L93,M93,N93,O93,P93,Q93),COUNTIFS(Q_EXTRA_3_data,"Extra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R$90)))</f>
        <v>0</v>
      </c>
      <c r="S93">
        <f>IF(All_Questions_Q_EXTRA_3_CT="(None)","",COUNTIFS(Q_EXTRA_3_data,"Extra 3 B",passes_workbook_filters_data,1,passes_workbook_custom_filters_data,1,All_Questions_passes_local_filters_data,1,All_Questions_Q_EXTRA_3_F_passes_per_q_filter_data,1))</f>
        <v>0</v>
      </c>
    </row>
    <row r="94">
      <c r="F94" s="4" t="inlineStr">
        <is>
          <t>Total respondents</t>
        </is>
      </c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>
        <f>IF(All_Questions_Q_EXTRA_3_CT="(None)","",COUNTIFS(respondent_id_data,"&lt;&gt;",passes_workbook_filters_data,1,passes_workbook_custom_filters_data,1,All_Questions_passes_local_filters_data,1,All_Questions_Q_EXTRA_3_F_passes_per_q_filter_data,1))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1:B72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1:C72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2:G73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2:H73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2:I73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2:J73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2:K73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2:L73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2:M73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2:N73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2:O73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2:P73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2:Q73">
    <cfRule type="colorScale" priority="6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2:R73">
    <cfRule type="colorScale" priority="7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81:B82">
    <cfRule type="colorScale" priority="7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81:C82">
    <cfRule type="colorScale" priority="7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82:G83">
    <cfRule type="colorScale" priority="7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82:H83">
    <cfRule type="colorScale" priority="7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82:I83">
    <cfRule type="colorScale" priority="7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82:J83">
    <cfRule type="colorScale" priority="7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82:K83">
    <cfRule type="colorScale" priority="7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82:L83">
    <cfRule type="colorScale" priority="7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82:M83">
    <cfRule type="colorScale" priority="7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82:N83">
    <cfRule type="colorScale" priority="8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82:O83">
    <cfRule type="colorScale" priority="8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82:P83">
    <cfRule type="colorScale" priority="8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82:Q83">
    <cfRule type="colorScale" priority="8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82:R83">
    <cfRule type="colorScale" priority="8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91:B92">
    <cfRule type="colorScale" priority="8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91:C92">
    <cfRule type="colorScale" priority="8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92:G93">
    <cfRule type="colorScale" priority="8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92:H93">
    <cfRule type="colorScale" priority="8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92:I93">
    <cfRule type="colorScale" priority="8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92:J93">
    <cfRule type="colorScale" priority="9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92:K93">
    <cfRule type="colorScale" priority="9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92:L93">
    <cfRule type="colorScale" priority="9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92:M93">
    <cfRule type="colorScale" priority="9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92:N93">
    <cfRule type="colorScale" priority="9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92:O93">
    <cfRule type="colorScale" priority="9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92:P93">
    <cfRule type="colorScale" priority="9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92:Q93">
    <cfRule type="colorScale" priority="9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92:R93">
    <cfRule type="colorScale" priority="9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28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  <dataValidation sqref="C67" showDropDown="0" showInputMessage="0" showErrorMessage="0" allowBlank="1" type="list">
      <formula1>=All_Questions</formula1>
    </dataValidation>
    <dataValidation sqref="E67" showDropDown="0" showInputMessage="0" showErrorMessage="0" allowBlank="1" type="list">
      <formula1>=INDIRECT(IFERROR(INDEX(All_Questions_Options_Names,MATCH(All_Questions_Q_EXTRA_1_F_Q,All_Questions,0)),"'_Options'!$E$2:$E$2"))</formula1>
    </dataValidation>
    <dataValidation sqref="C68" showDropDown="0" showInputMessage="0" showErrorMessage="0" allowBlank="1" type="list">
      <formula1>=All_Questions</formula1>
    </dataValidation>
    <dataValidation sqref="C77" showDropDown="0" showInputMessage="0" showErrorMessage="0" allowBlank="1" type="list">
      <formula1>=All_Questions</formula1>
    </dataValidation>
    <dataValidation sqref="E77" showDropDown="0" showInputMessage="0" showErrorMessage="0" allowBlank="1" type="list">
      <formula1>=INDIRECT(IFERROR(INDEX(All_Questions_Options_Names,MATCH(All_Questions_Q_EXTRA_2_F_Q,All_Questions,0)),"'_Options'!$E$2:$E$2"))</formula1>
    </dataValidation>
    <dataValidation sqref="C78" showDropDown="0" showInputMessage="0" showErrorMessage="0" allowBlank="1" type="list">
      <formula1>=All_Questions</formula1>
    </dataValidation>
    <dataValidation sqref="C87" showDropDown="0" showInputMessage="0" showErrorMessage="0" allowBlank="1" type="list">
      <formula1>=All_Questions</formula1>
    </dataValidation>
    <dataValidation sqref="E87" showDropDown="0" showInputMessage="0" showErrorMessage="0" allowBlank="1" type="list">
      <formula1>=INDIRECT(IFERROR(INDEX(All_Questions_Options_Names,MATCH(All_Questions_Q_EXTRA_3_F_Q,All_Questions,0)),"'_Options'!$E$2:$E$2"))</formula1>
    </dataValidation>
    <dataValidation sqref="C8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8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  <tablePart xmlns:r="http://schemas.openxmlformats.org/officeDocument/2006/relationships" r:id="rId6"/>
    <tablePart xmlns:r="http://schemas.openxmlformats.org/officeDocument/2006/relationships" r:id="rId7"/>
    <tablePart xmlns:r="http://schemas.openxmlformats.org/officeDocument/2006/relationships" r:id="rId8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2026-05-26T06:32:34Z</dcterms:created>
  <dcterms:modified xmlns:dcterms="http://purl.org/dc/terms/" xmlns:xsi="http://www.w3.org/2001/XMLSchema-instance" xsi:type="dcterms:W3CDTF">2026-05-26T06:32:34Z</dcterms:modified>
</cp:coreProperties>
</file>