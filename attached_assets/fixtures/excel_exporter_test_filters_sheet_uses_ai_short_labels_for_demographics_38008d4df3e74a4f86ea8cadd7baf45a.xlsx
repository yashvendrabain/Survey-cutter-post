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Which Of The Following Best Describes The Size Of Your Organization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Approximately How Old Is The Organization</t>
        </is>
      </c>
      <c r="B4" t="inlineStr">
        <is>
          <t>Q4 - Which Of The Following Best Describes The Size Of Your Organization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Approximately How Old Is The Organization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IFERROR(INDEX(All_Questions_Data_Names,MATCH(Demographics_Q4_F_Q,All_Questions,0)),"'_RawData'!$A:$A")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IF(Demographics_Q4_CT="(None)","",IFERROR(INDEX(INDIRECT(IFERROR(INDEX(All_Questions_Options_Names,MATCH(Demographics_Q4_CT,All_Questions,0)),"'_Options'!$E$2:$E$2")),2),""))</f>
        <v/>
      </c>
      <c r="H18" s="2" t="str">
        <f>IF(Demographics_Q4_CT="(None)","",IFERROR(INDEX(INDIRECT(IFERROR(INDEX(All_Questions_Options_Names,MATCH(Demographics_Q4_CT,All_Questions,0)),"'_Options'!$E$2:$E$2")),3),""))</f>
        <v/>
      </c>
      <c r="I18" s="2" t="str">
        <f>IF(Demographics_Q4_CT="(None)","",IFERROR(INDEX(INDIRECT(IFERROR(INDEX(All_Questions_Options_Names,MATCH(Demographics_Q4_CT,All_Questions,0)),"'_Options'!$E$2:$E$2")),4),""))</f>
        <v/>
      </c>
      <c r="J18" s="2" t="str">
        <f>IF(Demographics_Q4_CT="(None)","",IFERROR(INDEX(INDIRECT(IFERROR(INDEX(All_Questions_Options_Names,MATCH(Demographics_Q4_CT,All_Questions,0)),"'_Options'!$E$2:$E$2")),5),""))</f>
        <v/>
      </c>
      <c r="K18" s="2" t="str">
        <f>IF(Demographics_Q4_CT="(None)","",IFERROR(INDEX(INDIRECT(IFERROR(INDEX(All_Questions_Options_Names,MATCH(Demographics_Q4_CT,All_Questions,0)),"'_Options'!$E$2:$E$2")),6),""))</f>
        <v/>
      </c>
      <c r="L18" s="2" t="str">
        <f>IF(Demographics_Q4_CT="(None)","",IFERROR(INDEX(INDIRECT(IFERROR(INDEX(All_Questions_Options_Names,MATCH(Demographics_Q4_CT,All_Questions,0)),"'_Options'!$E$2:$E$2")),7),""))</f>
        <v/>
      </c>
      <c r="M18" s="2" t="str">
        <f>IF(Demographics_Q4_CT="(None)","",IFERROR(INDEX(INDIRECT(IFERROR(INDEX(All_Questions_Options_Names,MATCH(Demographics_Q4_CT,All_Questions,0)),"'_Options'!$E$2:$E$2")),8),""))</f>
        <v/>
      </c>
      <c r="N18" s="2" t="str">
        <f>IF(Demographics_Q4_CT="(None)","",IFERROR(INDEX(INDIRECT(IFERROR(INDEX(All_Questions_Options_Names,MATCH(Demographics_Q4_CT,All_Questions,0)),"'_Options'!$E$2:$E$2")),9),""))</f>
        <v/>
      </c>
      <c r="O18" s="2" t="str">
        <f>IF(Demographics_Q4_CT="(None)","",IFERROR(INDEX(INDIRECT(IFERROR(INDEX(All_Questions_Options_Names,MATCH(Demographics_Q4_CT,All_Questions,0)),"'_Options'!$E$2:$E$2")),10),""))</f>
        <v/>
      </c>
      <c r="P18" s="2" t="str">
        <f>IF(Demographics_Q4_CT="(None)","",IFERROR(INDEX(INDIRECT(IFERROR(INDEX(All_Questions_Options_Names,MATCH(Demographics_Q4_CT,All_Questions,0)),"'_Options'!$E$2:$E$2")),11),""))</f>
        <v/>
      </c>
      <c r="Q18" s="2" t="str">
        <f>IF(Demographics_Q4_CT="(None)","",IFERROR(INDEX(INDIRECT(IFERROR(INDEX(All_Questions_Options_Names,MATCH(Demographics_Q4_CT,All_Questions,0)),"'_Options'!$E$2:$E$2")),12),""))</f>
        <v/>
      </c>
      <c r="R18" s="2" t="str">
        <f>IF(Demographics_Q4_CT="(None)","",IF(COUNTA(INDIRECT(IFERROR(INDEX(All_Questions_Options_Names,MATCH(Demographics_Q4_CT,All_Questions,0)),"'_Options'!$E$2:$E$2")))-1&gt;11,"Other",IFERROR(INDEX(INDIRECT(IFERROR(INDEX(All_Questions_Options_Names,MATCH(Demographics_Q4_CT,All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0">
        <f>IF(OR(Demographics_Q4_CT="(None)",H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0">
        <f>IF(OR(Demographics_Q4_CT="(None)",J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0">
        <f>IF(OR(Demographics_Q4_CT="(None)",L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0">
        <f>IF(OR(Demographics_Q4_CT="(None)",N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0">
        <f>IF(OR(Demographics_Q4_CT="(None)",P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0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1">
        <f>IF(OR(Demographics_Q4_CT="(None)",H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1">
        <f>IF(OR(Demographics_Q4_CT="(None)",J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1">
        <f>IF(OR(Demographics_Q4_CT="(None)",L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1">
        <f>IF(OR(Demographics_Q4_CT="(None)",N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1">
        <f>IF(OR(Demographics_Q4_CT="(None)",P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1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IFERROR(INDEX(All_Questions_Data_Names,MATCH(Demographics_Q14_F_Q,All_Questions,0)),"'_RawData'!$A:$A")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IF(Demographics_Q14_CT="(None)","",IFERROR(INDEX(INDIRECT(IFERROR(INDEX(All_Questions_Options_Names,MATCH(Demographics_Q14_CT,All_Questions,0)),"'_Options'!$E$2:$E$2")),2),""))</f>
        <v/>
      </c>
      <c r="H28" s="2" t="str">
        <f>IF(Demographics_Q14_CT="(None)","",IFERROR(INDEX(INDIRECT(IFERROR(INDEX(All_Questions_Options_Names,MATCH(Demographics_Q14_CT,All_Questions,0)),"'_Options'!$E$2:$E$2")),3),""))</f>
        <v/>
      </c>
      <c r="I28" s="2" t="str">
        <f>IF(Demographics_Q14_CT="(None)","",IFERROR(INDEX(INDIRECT(IFERROR(INDEX(All_Questions_Options_Names,MATCH(Demographics_Q14_CT,All_Questions,0)),"'_Options'!$E$2:$E$2")),4),""))</f>
        <v/>
      </c>
      <c r="J28" s="2" t="str">
        <f>IF(Demographics_Q14_CT="(None)","",IFERROR(INDEX(INDIRECT(IFERROR(INDEX(All_Questions_Options_Names,MATCH(Demographics_Q14_CT,All_Questions,0)),"'_Options'!$E$2:$E$2")),5),""))</f>
        <v/>
      </c>
      <c r="K28" s="2" t="str">
        <f>IF(Demographics_Q14_CT="(None)","",IFERROR(INDEX(INDIRECT(IFERROR(INDEX(All_Questions_Options_Names,MATCH(Demographics_Q14_CT,All_Questions,0)),"'_Options'!$E$2:$E$2")),6),""))</f>
        <v/>
      </c>
      <c r="L28" s="2" t="str">
        <f>IF(Demographics_Q14_CT="(None)","",IFERROR(INDEX(INDIRECT(IFERROR(INDEX(All_Questions_Options_Names,MATCH(Demographics_Q14_CT,All_Questions,0)),"'_Options'!$E$2:$E$2")),7),""))</f>
        <v/>
      </c>
      <c r="M28" s="2" t="str">
        <f>IF(Demographics_Q14_CT="(None)","",IFERROR(INDEX(INDIRECT(IFERROR(INDEX(All_Questions_Options_Names,MATCH(Demographics_Q14_CT,All_Questions,0)),"'_Options'!$E$2:$E$2")),8),""))</f>
        <v/>
      </c>
      <c r="N28" s="2" t="str">
        <f>IF(Demographics_Q14_CT="(None)","",IFERROR(INDEX(INDIRECT(IFERROR(INDEX(All_Questions_Options_Names,MATCH(Demographics_Q14_CT,All_Questions,0)),"'_Options'!$E$2:$E$2")),9),""))</f>
        <v/>
      </c>
      <c r="O28" s="2" t="str">
        <f>IF(Demographics_Q14_CT="(None)","",IFERROR(INDEX(INDIRECT(IFERROR(INDEX(All_Questions_Options_Names,MATCH(Demographics_Q14_CT,All_Questions,0)),"'_Options'!$E$2:$E$2")),10),""))</f>
        <v/>
      </c>
      <c r="P28" s="2" t="str">
        <f>IF(Demographics_Q14_CT="(None)","",IFERROR(INDEX(INDIRECT(IFERROR(INDEX(All_Questions_Options_Names,MATCH(Demographics_Q14_CT,All_Questions,0)),"'_Options'!$E$2:$E$2")),11),""))</f>
        <v/>
      </c>
      <c r="Q28" s="2" t="str">
        <f>IF(Demographics_Q14_CT="(None)","",IFERROR(INDEX(INDIRECT(IFERROR(INDEX(All_Questions_Options_Names,MATCH(Demographics_Q14_CT,All_Questions,0)),"'_Options'!$E$2:$E$2")),12),""))</f>
        <v/>
      </c>
      <c r="R28" s="2" t="str">
        <f>IF(Demographics_Q14_CT="(None)","",IF(COUNTA(INDIRECT(IFERROR(INDEX(All_Questions_Options_Names,MATCH(Demographics_Q14_CT,All_Questions,0)),"'_Options'!$E$2:$E$2")))-1&gt;11,"Other",IFERROR(INDEX(INDIRECT(IFERROR(INDEX(All_Questions_Options_Names,MATCH(Demographics_Q14_CT,All_Questions,0)),"'_Options'!$E$2:$E$2")),13),"")))</f>
        <v/>
      </c>
      <c r="S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0">
        <f>IF(OR(Demographics_Q14_CT="(None)",H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0">
        <f>IF(OR(Demographics_Q14_CT="(None)",J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0">
        <f>IF(OR(Demographics_Q14_CT="(None)",L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0">
        <f>IF(OR(Demographics_Q14_CT="(None)",N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0">
        <f>IF(OR(Demographics_Q14_CT="(None)",P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0">
        <f>IF(OR(Demographics_Q14_CT="(None)",R$28=""),"",IF(R$28="Other",COUNTIFS(Q14_data,"New",passes_workbook_filters_data,1,passes_workbook_custom_filters_data,1,Demographics_passes_local_filters_data,1,Demographics_Q14_F_passes_per_q_filter_data,1)-SUM(G30,H30,I30,J30,K30,L30,M30,N30,O30,P30,Q30)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1">
        <f>IF(OR(Demographics_Q14_CT="(None)",H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1">
        <f>IF(OR(Demographics_Q14_CT="(None)",J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1">
        <f>IF(OR(Demographics_Q14_CT="(None)",L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1">
        <f>IF(OR(Demographics_Q14_CT="(None)",N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1">
        <f>IF(OR(Demographics_Q14_CT="(None)",P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1">
        <f>IF(OR(Demographics_Q14_CT="(None)",R$28=""),"",IF(R$28="Other",COUNTIFS(Q14_data,"Established",passes_workbook_filters_data,1,passes_workbook_custom_filters_data,1,Demographics_passes_local_filters_data,1,Demographics_Q14_F_passes_per_q_filter_data,1)-SUM(G31,H31,I31,J31,K31,L31,M31,N31,O31,P31,Q31)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2026-05-26T06:36:19Z</dcterms:created>
  <dcterms:modified xmlns:dcterms="http://purl.org/dc/terms/" xmlns:xsi="http://www.w3.org/2001/XMLSchema-instance" xsi:type="dcterms:W3CDTF">2026-05-26T06:36:19Z</dcterms:modified>
</cp:coreProperties>
</file>