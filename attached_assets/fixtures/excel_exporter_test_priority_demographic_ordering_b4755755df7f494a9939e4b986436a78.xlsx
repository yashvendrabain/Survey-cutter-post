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Default Extension="vml" ContentType="application/vnd.openxmlformats-officedocument.vmlDrawing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comments/comment1.xml" ContentType="application/vnd.openxmlformats-officedocument.spreadsheetml.comments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comments/comment2.xml" ContentType="application/vnd.openxmlformats-officedocument.spreadsheetml.comments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worksheets/sheet8.xml" ContentType="application/vnd.openxmlformats-officedocument.spreadsheetml.worksheet+xml"/>
  <ns0:Override PartName="/xl/comments/comment3.xml" ContentType="application/vnd.openxmlformats-officedocument.spreadsheetml.comments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sheets/sheet11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Demographics" sheetId="7" state="visible" r:id="rId7"/>
    <sheet xmlns:r="http://schemas.openxmlformats.org/officeDocument/2006/relationships" name="All Questions" sheetId="8" state="visible" r:id="rId8"/>
    <sheet xmlns:r="http://schemas.openxmlformats.org/officeDocument/2006/relationships" name="Calculation_Log" sheetId="9" state="visible" r:id="rId9"/>
    <sheet xmlns:r="http://schemas.openxmlformats.org/officeDocument/2006/relationships" name="Filter_Log" sheetId="10" state="visible" r:id="rId10"/>
    <sheet xmlns:r="http://schemas.openxmlformats.org/officeDocument/2006/relationships" name="Warnings" sheetId="11" state="visible" r:id="rId11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ountry">'Filters'!$B$4</definedName>
    <definedName name="F_Country_wrapped">'Filters'!$C$4</definedName>
    <definedName name="F_Industry">'Filters'!$B$5</definedName>
    <definedName name="F_Industry_wrapped">'Filters'!$C$5</definedName>
    <definedName name="F_Custom1_Q">'Filters'!$B$8</definedName>
    <definedName name="F_Custom1_V">'Filters'!$D$8</definedName>
    <definedName name="F_Custom1_resolved_column">'Filters'!$E$8</definedName>
    <definedName name="F_Custom1_wrapped">'Filters'!$F$8</definedName>
    <definedName name="F_Custom2_Q">'Filters'!$B$9</definedName>
    <definedName name="F_Custom2_V">'Filters'!$D$9</definedName>
    <definedName name="F_Custom2_resolved_column">'Filters'!$E$9</definedName>
    <definedName name="F_Custom2_wrapped">'Filters'!$F$9</definedName>
    <definedName name="F_Country_match_data">'_RawData'!$I$2:$I$11</definedName>
    <definedName name="F_Industry_match_data">'_RawData'!$J$2:$J$11</definedName>
    <definedName name="passes_workbook_filters_data">'_RawData'!$K$2:$K$11</definedName>
    <definedName name="F_Custom1_match_data">'_RawData'!$L$2:$L$11</definedName>
    <definedName name="F_Custom2_match_data">'_RawData'!$M$2:$M$11</definedName>
    <definedName name="passes_workbook_custom_filters_data">'_RawData'!$N$2:$N$11</definedName>
    <definedName name="Demographics_F_Country">'Demographics'!$B$5</definedName>
    <definedName name="Demographics_F_Country_resolved">'Demographics'!$C$5</definedName>
    <definedName name="Demographics_F_Country_wrapped">'Demographics'!$D$5</definedName>
    <definedName name="Demographics_F_Industry">'Demographics'!$B$6</definedName>
    <definedName name="Demographics_F_Industry_resolved">'Demographics'!$C$6</definedName>
    <definedName name="Demographics_F_Industry_wrapped">'Demographics'!$D$6</definedName>
    <definedName name="Demographics_F_Custom1_Q">'Demographics'!$B$7</definedName>
    <definedName name="Demographics_F_Custom1_Q_resolved">'Demographics'!$C$7</definedName>
    <definedName name="Demographics_F_Custom1_V">'Demographics'!$B$8</definedName>
    <definedName name="Demographics_F_Custom1_V_resolved">'Demographics'!$C$8</definedName>
    <definedName name="Demographics_F_Custom1_wrapped">'Demographics'!$D$8</definedName>
    <definedName name="Demographics_F_Custom1_resolved_column">'Demographics'!$F$8</definedName>
    <definedName name="Demographics_F_Custom2_Q">'Demographics'!$B$9</definedName>
    <definedName name="Demographics_F_Custom2_Q_resolved">'Demographics'!$C$9</definedName>
    <definedName name="Demographics_F_Custom2_V">'Demographics'!$B$10</definedName>
    <definedName name="Demographics_F_Custom2_V_resolved">'Demographics'!$C$10</definedName>
    <definedName name="Demographics_F_Custom2_wrapped">'Demographics'!$D$10</definedName>
    <definedName name="Demographics_F_Custom2_resolved_column">'Demographics'!$F$10</definedName>
    <definedName name="Demographics_F_Country_local_match_data">'_RawData'!$O$2:$O$11</definedName>
    <definedName name="Demographics_F_Industry_local_match_data">'_RawData'!$P$2:$P$11</definedName>
    <definedName name="Demographics_passes_local_filters_data">'_RawData'!$Q$2:$Q$11</definedName>
    <definedName name="Demographics_Q_SS_EXPORT_F_Q">'Demographics'!$C$15</definedName>
    <definedName name="Demographics_Q_SS_EXPORT_F_V">'Demographics'!$E$15</definedName>
    <definedName name="Demographics_Q_SS_EXPORT_F_resolved_column">'Demographics'!$F$15</definedName>
    <definedName name="Demographics_Q_SS_EXPORT_F_wrapped">'Demographics'!$G$15</definedName>
    <definedName name="Demographics_Q_SS_EXPORT_F_passes_per_q_filter_data">'_RawData'!$R$2:$R$11</definedName>
    <definedName name="Demographics_Q_SS_EXPORT_CT">'Demographics'!$C$16</definedName>
    <definedName name="Demographics_Q_MS_EXPORT_F_Q">'Demographics'!$C$25</definedName>
    <definedName name="Demographics_Q_MS_EXPORT_F_V">'Demographics'!$E$25</definedName>
    <definedName name="Demographics_Q_MS_EXPORT_F_resolved_column">'Demographics'!$F$25</definedName>
    <definedName name="Demographics_Q_MS_EXPORT_F_wrapped">'Demographics'!$G$25</definedName>
    <definedName name="Demographics_Q_MS_EXPORT_F_passes_per_q_filter_data">'_RawData'!$S$2:$S$11</definedName>
    <definedName name="Demographics_Q_MS_EXPORT_CT">'Demographics'!$C$26</definedName>
    <definedName name="All_Questions_F_Country">'All Questions'!$B$5</definedName>
    <definedName name="All_Questions_F_Country_resolved">'All Questions'!$C$5</definedName>
    <definedName name="All_Questions_F_Country_wrapped">'All Questions'!$D$5</definedName>
    <definedName name="All_Questions_F_Industry">'All Questions'!$B$6</definedName>
    <definedName name="All_Questions_F_Industry_resolved">'All Questions'!$C$6</definedName>
    <definedName name="All_Questions_F_Industry_wrapped">'All Questions'!$D$6</definedName>
    <definedName name="All_Questions_F_Custom1_Q">'All Questions'!$B$7</definedName>
    <definedName name="All_Questions_F_Custom1_Q_resolved">'All Questions'!$C$7</definedName>
    <definedName name="All_Questions_F_Custom1_V">'All Questions'!$B$8</definedName>
    <definedName name="All_Questions_F_Custom1_V_resolved">'All Questions'!$C$8</definedName>
    <definedName name="All_Questions_F_Custom1_wrapped">'All Questions'!$D$8</definedName>
    <definedName name="All_Questions_F_Custom1_resolved_column">'All Questions'!$F$8</definedName>
    <definedName name="All_Questions_F_Custom2_Q">'All Questions'!$B$9</definedName>
    <definedName name="All_Questions_F_Custom2_Q_resolved">'All Questions'!$C$9</definedName>
    <definedName name="All_Questions_F_Custom2_V">'All Questions'!$B$10</definedName>
    <definedName name="All_Questions_F_Custom2_V_resolved">'All Questions'!$C$10</definedName>
    <definedName name="All_Questions_F_Custom2_wrapped">'All Questions'!$D$10</definedName>
    <definedName name="All_Questions_F_Custom2_resolved_column">'All Questions'!$F$10</definedName>
    <definedName name="All_Questions_F_Country_local_match_data">'_RawData'!$T$2:$T$11</definedName>
    <definedName name="All_Questions_F_Industry_local_match_data">'_RawData'!$U$2:$U$11</definedName>
    <definedName name="All_Questions_passes_local_filters_data">'_RawData'!$V$2:$V$11</definedName>
    <definedName name="All_Questions_Q_NUM_EXPORT_F_Q">'All Questions'!$C$15</definedName>
    <definedName name="All_Questions_Q_NUM_EXPORT_F_V">'All Questions'!$E$15</definedName>
    <definedName name="All_Questions_Q_NUM_EXPORT_F_resolved_column">'All Questions'!$F$15</definedName>
    <definedName name="All_Questions_Q_NUM_EXPORT_F_wrapped">'All Questions'!$G$15</definedName>
    <definedName name="All_Questions_Q_NUM_EXPORT_F_passes_per_q_filter_data">'_RawData'!$W$2:$W$11</definedName>
    <definedName name="All_Questions_Q_NUM_EXPORT_CT">'All Questions'!$C$16</definedName>
    <definedName name="All_Questions_Q_GRID_EXPORT_F_Q">'All Questions'!$C$27</definedName>
    <definedName name="All_Questions_Q_GRID_EXPORT_F_V">'All Questions'!$E$27</definedName>
    <definedName name="All_Questions_Q_GRID_EXPORT_F_resolved_column">'All Questions'!$F$27</definedName>
    <definedName name="All_Questions_Q_GRID_EXPORT_F_wrapped">'All Questions'!$G$27</definedName>
    <definedName name="All_Questions_Q_GRID_EXPORT_F_passes_per_q_filter_data">'_RawData'!$X$2:$X$11</definedName>
    <definedName name="All_Questions_Q_GRID_EXPORT_CT">'All Questions'!$C$28</definedName>
    <definedName name="All_Questions_Q_VERY_LONG_SINGLE_SELECT_EXPORT_NAME_F_Q">'All Questions'!$C$38</definedName>
    <definedName name="All_Questions_Q_VERY_LONG_SINGLE_SELECT_EXPORT_NAME_F_V">'All Questions'!$E$38</definedName>
    <definedName name="All_Questions_Q_VERY_LONG_SINGLE_SELECT_EXPORT_NAME_F_resolved_column">'All Questions'!$F$38</definedName>
    <definedName name="All_Questions_Q_VERY_LONG_SINGLE_SELECT_EXPORT_NAME_F_wrapped">'All Questions'!$G$38</definedName>
    <definedName name="All_Questions_Q_VERY_LONG_SINGLE_SELECT_EXPORT_NAME_F_passes_per_q_filter_data">'_RawData'!$Y$2:$Y$11</definedName>
    <definedName name="All_Questions_Q_VERY_LONG_SINGLE_SELECT_EXPORT_NAME_CT">'All Questions'!$C$39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S2" i="1"/>
  <c r="T2" i="1"/>
  <c r="U2" i="1"/>
  <c r="V2" i="1"/>
  <c r="W2" i="1"/>
  <c r="X2" i="1"/>
  <c r="Y2" i="1"/>
  <c r="I3" i="1"/>
  <c r="J3" i="1"/>
  <c r="K3" i="1"/>
  <c r="L3" i="1"/>
  <c r="M3" i="1"/>
  <c r="N3" i="1"/>
  <c r="O3" i="1"/>
  <c r="P3" i="1"/>
  <c r="Q3" i="1"/>
  <c r="R3" i="1"/>
  <c r="S3" i="1"/>
  <c r="T3" i="1"/>
  <c r="U3" i="1"/>
  <c r="V3" i="1"/>
  <c r="W3" i="1"/>
  <c r="X3" i="1"/>
  <c r="Y3" i="1"/>
  <c r="I4" i="1"/>
  <c r="J4" i="1"/>
  <c r="K4" i="1"/>
  <c r="L4" i="1"/>
  <c r="M4" i="1"/>
  <c r="N4" i="1"/>
  <c r="O4" i="1"/>
  <c r="P4" i="1"/>
  <c r="Q4" i="1"/>
  <c r="R4" i="1"/>
  <c r="S4" i="1"/>
  <c r="T4" i="1"/>
  <c r="U4" i="1"/>
  <c r="V4" i="1"/>
  <c r="W4" i="1"/>
  <c r="X4" i="1"/>
  <c r="Y4" i="1"/>
  <c r="I5" i="1"/>
  <c r="J5" i="1"/>
  <c r="K5" i="1"/>
  <c r="L5" i="1"/>
  <c r="M5" i="1"/>
  <c r="N5" i="1"/>
  <c r="O5" i="1"/>
  <c r="P5" i="1"/>
  <c r="Q5" i="1"/>
  <c r="R5" i="1"/>
  <c r="S5" i="1"/>
  <c r="T5" i="1"/>
  <c r="U5" i="1"/>
  <c r="V5" i="1"/>
  <c r="W5" i="1"/>
  <c r="X5" i="1"/>
  <c r="Y5" i="1"/>
  <c r="I6" i="1"/>
  <c r="J6" i="1"/>
  <c r="K6" i="1"/>
  <c r="L6" i="1"/>
  <c r="M6" i="1"/>
  <c r="N6" i="1"/>
  <c r="O6" i="1"/>
  <c r="P6" i="1"/>
  <c r="Q6" i="1"/>
  <c r="R6" i="1"/>
  <c r="S6" i="1"/>
  <c r="T6" i="1"/>
  <c r="U6" i="1"/>
  <c r="V6" i="1"/>
  <c r="W6" i="1"/>
  <c r="X6" i="1"/>
  <c r="Y6" i="1"/>
  <c r="I7" i="1"/>
  <c r="J7" i="1"/>
  <c r="K7" i="1"/>
  <c r="L7" i="1"/>
  <c r="M7" i="1"/>
  <c r="N7" i="1"/>
  <c r="O7" i="1"/>
  <c r="P7" i="1"/>
  <c r="Q7" i="1"/>
  <c r="R7" i="1"/>
  <c r="S7" i="1"/>
  <c r="T7" i="1"/>
  <c r="U7" i="1"/>
  <c r="V7" i="1"/>
  <c r="W7" i="1"/>
  <c r="X7" i="1"/>
  <c r="Y7" i="1"/>
  <c r="I8" i="1"/>
  <c r="J8" i="1"/>
  <c r="K8" i="1"/>
  <c r="L8" i="1"/>
  <c r="M8" i="1"/>
  <c r="N8" i="1"/>
  <c r="O8" i="1"/>
  <c r="P8" i="1"/>
  <c r="Q8" i="1"/>
  <c r="R8" i="1"/>
  <c r="S8" i="1"/>
  <c r="T8" i="1"/>
  <c r="U8" i="1"/>
  <c r="V8" i="1"/>
  <c r="W8" i="1"/>
  <c r="X8" i="1"/>
  <c r="Y8" i="1"/>
  <c r="I9" i="1"/>
  <c r="J9" i="1"/>
  <c r="K9" i="1"/>
  <c r="L9" i="1"/>
  <c r="M9" i="1"/>
  <c r="N9" i="1"/>
  <c r="O9" i="1"/>
  <c r="P9" i="1"/>
  <c r="Q9" i="1"/>
  <c r="R9" i="1"/>
  <c r="S9" i="1"/>
  <c r="T9" i="1"/>
  <c r="U9" i="1"/>
  <c r="V9" i="1"/>
  <c r="W9" i="1"/>
  <c r="X9" i="1"/>
  <c r="Y9" i="1"/>
  <c r="I10" i="1"/>
  <c r="J10" i="1"/>
  <c r="K10" i="1"/>
  <c r="L10" i="1"/>
  <c r="M10" i="1"/>
  <c r="N10" i="1"/>
  <c r="O10" i="1"/>
  <c r="P10" i="1"/>
  <c r="Q10" i="1"/>
  <c r="R10" i="1"/>
  <c r="S10" i="1"/>
  <c r="T10" i="1"/>
  <c r="U10" i="1"/>
  <c r="V10" i="1"/>
  <c r="W10" i="1"/>
  <c r="X10" i="1"/>
  <c r="Y10" i="1"/>
  <c r="I11" i="1"/>
  <c r="J11" i="1"/>
  <c r="K11" i="1"/>
  <c r="L11" i="1"/>
  <c r="M11" i="1"/>
  <c r="N11" i="1"/>
  <c r="O11" i="1"/>
  <c r="P11" i="1"/>
  <c r="Q11" i="1"/>
  <c r="R11" i="1"/>
  <c r="S11" i="1"/>
  <c r="T11" i="1"/>
  <c r="U11" i="1"/>
  <c r="V11" i="1"/>
  <c r="W11" i="1"/>
  <c r="X11" i="1"/>
  <c r="Y11" i="1"/>
  <c r="C4" i="3"/>
  <c r="C5" i="3"/>
  <c r="E8" i="3"/>
  <c r="F8" i="3"/>
  <c r="E9" i="3"/>
  <c r="F9" i="3"/>
  <c r="C5" i="7"/>
  <c r="D5" i="7"/>
  <c r="C6" i="7"/>
  <c r="D6" i="7"/>
  <c r="C7" i="7"/>
  <c r="C8" i="7"/>
  <c r="D8" i="7"/>
  <c r="F8" i="7"/>
  <c r="C9" i="7"/>
  <c r="C10" i="7"/>
  <c r="D10" i="7"/>
  <c r="F10" i="7"/>
  <c r="F15" i="7"/>
  <c r="G15" i="7"/>
  <c r="G18" i="7"/>
  <c r="H18" i="7"/>
  <c r="I18" i="7"/>
  <c r="J18" i="7"/>
  <c r="K18" i="7"/>
  <c r="L18" i="7"/>
  <c r="M18" i="7"/>
  <c r="N18" i="7"/>
  <c r="O18" i="7"/>
  <c r="P18" i="7"/>
  <c r="Q18" i="7"/>
  <c r="R18" i="7"/>
  <c r="B19" i="7"/>
  <c r="C19" i="7"/>
  <c r="D19" i="7"/>
  <c r="B20" i="7"/>
  <c r="C20" i="7"/>
  <c r="D20" i="7"/>
  <c r="G20" i="7"/>
  <c r="H20" i="7"/>
  <c r="I20" i="7"/>
  <c r="J20" i="7"/>
  <c r="K20" i="7"/>
  <c r="L20" i="7"/>
  <c r="M20" i="7"/>
  <c r="N20" i="7"/>
  <c r="O20" i="7"/>
  <c r="P20" i="7"/>
  <c r="Q20" i="7"/>
  <c r="R20" i="7"/>
  <c r="S20" i="7"/>
  <c r="G21" i="7"/>
  <c r="H21" i="7"/>
  <c r="I21" i="7"/>
  <c r="J21" i="7"/>
  <c r="K21" i="7"/>
  <c r="L21" i="7"/>
  <c r="M21" i="7"/>
  <c r="N21" i="7"/>
  <c r="O21" i="7"/>
  <c r="P21" i="7"/>
  <c r="Q21" i="7"/>
  <c r="R21" i="7"/>
  <c r="S21" i="7"/>
  <c r="S22" i="7"/>
  <c r="F25" i="7"/>
  <c r="G25" i="7"/>
  <c r="G28" i="7"/>
  <c r="H28" i="7"/>
  <c r="I28" i="7"/>
  <c r="J28" i="7"/>
  <c r="K28" i="7"/>
  <c r="L28" i="7"/>
  <c r="M28" i="7"/>
  <c r="N28" i="7"/>
  <c r="O28" i="7"/>
  <c r="P28" i="7"/>
  <c r="Q28" i="7"/>
  <c r="R28" i="7"/>
  <c r="B29" i="7"/>
  <c r="C29" i="7"/>
  <c r="D29" i="7"/>
  <c r="B30" i="7"/>
  <c r="C30" i="7"/>
  <c r="D30" i="7"/>
  <c r="G30" i="7"/>
  <c r="H30" i="7"/>
  <c r="I30" i="7"/>
  <c r="J30" i="7"/>
  <c r="K30" i="7"/>
  <c r="L30" i="7"/>
  <c r="M30" i="7"/>
  <c r="N30" i="7"/>
  <c r="O30" i="7"/>
  <c r="P30" i="7"/>
  <c r="Q30" i="7"/>
  <c r="R30" i="7"/>
  <c r="S30" i="7"/>
  <c r="G31" i="7"/>
  <c r="H31" i="7"/>
  <c r="I31" i="7"/>
  <c r="J31" i="7"/>
  <c r="K31" i="7"/>
  <c r="L31" i="7"/>
  <c r="M31" i="7"/>
  <c r="N31" i="7"/>
  <c r="O31" i="7"/>
  <c r="P31" i="7"/>
  <c r="Q31" i="7"/>
  <c r="R31" i="7"/>
  <c r="S31" i="7"/>
  <c r="S32" i="7"/>
  <c r="C5" i="8"/>
  <c r="D5" i="8"/>
  <c r="C6" i="8"/>
  <c r="D6" i="8"/>
  <c r="C7" i="8"/>
  <c r="C8" i="8"/>
  <c r="D8" i="8"/>
  <c r="F8" i="8"/>
  <c r="C9" i="8"/>
  <c r="C10" i="8"/>
  <c r="D10" i="8"/>
  <c r="F10" i="8"/>
  <c r="F15" i="8"/>
  <c r="G15" i="8"/>
  <c r="B19" i="8"/>
  <c r="D19" i="8"/>
  <c r="B20" i="8"/>
  <c r="D20" i="8"/>
  <c r="B21" i="8"/>
  <c r="D21" i="8"/>
  <c r="D22" i="8"/>
  <c r="F27" i="8"/>
  <c r="G27" i="8"/>
  <c r="G30" i="8"/>
  <c r="H30" i="8"/>
  <c r="I30" i="8"/>
  <c r="J30" i="8"/>
  <c r="K30" i="8"/>
  <c r="L30" i="8"/>
  <c r="M30" i="8"/>
  <c r="N30" i="8"/>
  <c r="O30" i="8"/>
  <c r="P30" i="8"/>
  <c r="Q30" i="8"/>
  <c r="R30" i="8"/>
  <c r="B31" i="8"/>
  <c r="C31" i="8"/>
  <c r="D31" i="8"/>
  <c r="B32" i="8"/>
  <c r="C32" i="8"/>
  <c r="D32" i="8"/>
  <c r="G32" i="8"/>
  <c r="H32" i="8"/>
  <c r="I32" i="8"/>
  <c r="J32" i="8"/>
  <c r="K32" i="8"/>
  <c r="L32" i="8"/>
  <c r="M32" i="8"/>
  <c r="N32" i="8"/>
  <c r="O32" i="8"/>
  <c r="P32" i="8"/>
  <c r="Q32" i="8"/>
  <c r="R32" i="8"/>
  <c r="S32" i="8"/>
  <c r="G33" i="8"/>
  <c r="H33" i="8"/>
  <c r="I33" i="8"/>
  <c r="J33" i="8"/>
  <c r="K33" i="8"/>
  <c r="L33" i="8"/>
  <c r="M33" i="8"/>
  <c r="N33" i="8"/>
  <c r="O33" i="8"/>
  <c r="P33" i="8"/>
  <c r="Q33" i="8"/>
  <c r="R33" i="8"/>
  <c r="S33" i="8"/>
  <c r="S34" i="8"/>
  <c r="F38" i="8"/>
  <c r="G38" i="8"/>
  <c r="G41" i="8"/>
  <c r="H41" i="8"/>
  <c r="I41" i="8"/>
  <c r="J41" i="8"/>
  <c r="K41" i="8"/>
  <c r="L41" i="8"/>
  <c r="M41" i="8"/>
  <c r="N41" i="8"/>
  <c r="O41" i="8"/>
  <c r="P41" i="8"/>
  <c r="Q41" i="8"/>
  <c r="R41" i="8"/>
  <c r="B42" i="8"/>
  <c r="C42" i="8"/>
  <c r="D42" i="8"/>
  <c r="B43" i="8"/>
  <c r="C43" i="8"/>
  <c r="D43" i="8"/>
  <c r="G43" i="8"/>
  <c r="H43" i="8"/>
  <c r="I43" i="8"/>
  <c r="J43" i="8"/>
  <c r="K43" i="8"/>
  <c r="L43" i="8"/>
  <c r="M43" i="8"/>
  <c r="N43" i="8"/>
  <c r="O43" i="8"/>
  <c r="P43" i="8"/>
  <c r="Q43" i="8"/>
  <c r="R43" i="8"/>
  <c r="S43" i="8"/>
  <c r="G44" i="8"/>
  <c r="H44" i="8"/>
  <c r="I44" i="8"/>
  <c r="J44" i="8"/>
  <c r="K44" i="8"/>
  <c r="L44" i="8"/>
  <c r="M44" i="8"/>
  <c r="N44" i="8"/>
  <c r="O44" i="8"/>
  <c r="P44" i="8"/>
  <c r="Q44" i="8"/>
  <c r="R44" i="8"/>
  <c r="S44" i="8"/>
  <c r="S45" i="8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worksheet" Target="/xl/worksheets/sheet11.xml" Id="rId11" /><ns0:Relationship Type="http://schemas.openxmlformats.org/officeDocument/2006/relationships/styles" Target="styles.xml" Id="rId12" /><ns0:Relationship Type="http://schemas.openxmlformats.org/officeDocument/2006/relationships/theme" Target="theme/theme1.xml" Id="rId13" /><ns0:Relationship Id="rId14" Type="http://schemas.openxmlformats.org/officeDocument/2006/relationships/calcChain" Target="calcChain.xml" /></ns0:Relationships>
</file>

<file path=xl/comments/comment1.xml><?xml version="1.0" encoding="utf-8"?>
<comments xmlns="http://schemas.openxmlformats.org/spreadsheetml/2006/main">
  <authors>
    <author>Survey Analysis Engine</author>
  </authors>
  <commentList>
    <comment ref="A4" authorId="0" shapeId="0">
      <text>
        <t>Single select export question</t>
      </text>
    </comment>
    <comment ref="A5" authorId="0" shapeId="0">
      <text>
        <t>Multi select export question</t>
      </text>
    </comment>
  </commentList>
</comments>
</file>

<file path=xl/comments/comment2.xml><?xml version="1.0" encoding="utf-8"?>
<comments xmlns="http://schemas.openxmlformats.org/spreadsheetml/2006/main">
  <authors>
    <author>Survey Analysis Engine</author>
  </authors>
  <commentList>
    <comment ref="A5" authorId="0" shapeId="0">
      <text>
        <t>Single select export question</t>
      </text>
    </comment>
    <comment ref="A6" authorId="0" shapeId="0">
      <text>
        <t>Multi select export question</t>
      </text>
    </comment>
  </commentList>
</comments>
</file>

<file path=xl/comments/comment3.xml><?xml version="1.0" encoding="utf-8"?>
<comments xmlns="http://schemas.openxmlformats.org/spreadsheetml/2006/main">
  <authors>
    <author>Survey Analysis Engine</author>
  </authors>
  <commentList>
    <comment ref="A5" authorId="0" shapeId="0">
      <text>
        <t>Single select export question</t>
      </text>
    </comment>
    <comment ref="A6" authorId="0" shapeId="0">
      <text>
        <t>Multi select export question</t>
      </text>
    </comment>
  </commentList>
</comments>
</file>

<file path=xl/tables/table1.xml><?xml version="1.0" encoding="utf-8"?>
<table xmlns="http://schemas.openxmlformats.org/spreadsheetml/2006/main" id="1" name="T_Demographics_18_1" displayName="T_Demographics_18_1" ref="A18:D21" headerRowCount="1">
  <autoFilter ref="A18:D2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Demographics_28_1" displayName="T_Demographics_28_1" ref="A28:D32" headerRowCount="1">
  <autoFilter ref="A28:D32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18_1" displayName="T_All_Questions_18_1" ref="A18:D22" headerRowCount="1">
  <autoFilter ref="A18:D22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30_1" displayName="T_All_Questions_30_1" ref="A30:D34" headerRowCount="1">
  <autoFilter ref="A30:D34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41_1" displayName="T_All_Questions_41_1" ref="A41:D44" headerRowCount="1">
  <autoFilter ref="A41:D44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6.xml.rels><Relationships xmlns="http://schemas.openxmlformats.org/package/2006/relationships"><Relationship Type="http://schemas.openxmlformats.org/officeDocument/2006/relationships/hyperlink" Target="#'Demographics'!A1" TargetMode="External" Id="rId1"/><Relationship Type="http://schemas.openxmlformats.org/officeDocument/2006/relationships/hyperlink" Target="#'Demographic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comments" Target="/xl/comments/comment2.xml" Id="comments"/><Relationship Type="http://schemas.openxmlformats.org/officeDocument/2006/relationships/vmlDrawing" Target="/xl/drawings/commentsDrawing2.vml" Id="anysvml"/></Relationships>
</file>

<file path=xl/worksheets/_rels/sheet8.xml.rels><Relationships xmlns="http://schemas.openxmlformats.org/package/2006/relationships"><Relationship Type="http://schemas.openxmlformats.org/officeDocument/2006/relationships/table" Target="/xl/tables/table3.xml" Id="rId1"/><Relationship Type="http://schemas.openxmlformats.org/officeDocument/2006/relationships/table" Target="/xl/tables/table4.xml" Id="rId2"/><Relationship Type="http://schemas.openxmlformats.org/officeDocument/2006/relationships/table" Target="/xl/tables/table5.xml" Id="rId3"/><Relationship Type="http://schemas.openxmlformats.org/officeDocument/2006/relationships/comments" Target="/xl/comments/comment3.xml" Id="comments"/><Relationship Type="http://schemas.openxmlformats.org/officeDocument/2006/relationships/vmlDrawing" Target="/xl/drawings/commentsDrawing3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F_Country_match</t>
        </is>
      </c>
      <c r="J1" t="inlineStr">
        <is>
          <t>F_Industry_match</t>
        </is>
      </c>
      <c r="K1" t="inlineStr">
        <is>
          <t>passes_workbook_filters</t>
        </is>
      </c>
      <c r="L1" t="inlineStr">
        <is>
          <t>F_Custom1_match</t>
        </is>
      </c>
      <c r="M1" t="inlineStr">
        <is>
          <t>F_Custom2_match</t>
        </is>
      </c>
      <c r="N1" t="inlineStr">
        <is>
          <t>passes_workbook_custom_filters</t>
        </is>
      </c>
      <c r="O1" t="inlineStr">
        <is>
          <t>Demographics_F_Country_local_match</t>
        </is>
      </c>
      <c r="P1" t="inlineStr">
        <is>
          <t>Demographics_F_Industry_local_match</t>
        </is>
      </c>
      <c r="Q1" t="inlineStr">
        <is>
          <t>Demographics_passes_local_filters</t>
        </is>
      </c>
      <c r="R1" t="inlineStr">
        <is>
          <t>Demographics_Q_SS_EXPORT_F_passes_per_q_filter</t>
        </is>
      </c>
      <c r="S1" t="inlineStr">
        <is>
          <t>Demographics_Q_MS_EXPORT_F_passes_per_q_filter</t>
        </is>
      </c>
      <c r="T1" t="inlineStr">
        <is>
          <t>All_Questions_F_Country_local_match</t>
        </is>
      </c>
      <c r="U1" t="inlineStr">
        <is>
          <t>All_Questions_F_Industry_local_match</t>
        </is>
      </c>
      <c r="V1" t="inlineStr">
        <is>
          <t>All_Questions_passes_local_filters</t>
        </is>
      </c>
      <c r="W1" t="inlineStr">
        <is>
          <t>All_Questions_Q_NUM_EXPORT_F_passes_per_q_filter</t>
        </is>
      </c>
      <c r="X1" t="inlineStr">
        <is>
          <t>All_Questions_Q_GRID_EXPORT_F_passes_per_q_filter</t>
        </is>
      </c>
      <c r="Y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(((F_Country="(All)")+(F_Country="")+ISBLANK(F_Country)+ISNUMBER(SEARCH("|"&amp;B2&amp;"|",F_Country_wrapped)))&gt;0)*1</f>
        <v>1</v>
      </c>
      <c r="J2">
        <f>(((F_Industry="(All)")+(F_Industry="")+ISBLANK(F_Industry)+ISNUMBER(SEARCH("|"&amp;C2&amp;"|",F_Industry_wrapped)))&gt;0)*1</f>
        <v>1</v>
      </c>
      <c r="K2">
        <f>I2*J2*1</f>
        <v>1</v>
      </c>
      <c r="L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M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N2">
        <f>L2*M2*1</f>
        <v>1</v>
      </c>
      <c r="O2">
        <f>(((Demographics_F_Country_resolved="(All)")+(Demographics_F_Country_resolved="")+ISBLANK(Demographics_F_Country_resolved)+ISNUMBER(SEARCH("|"&amp;B2&amp;"|",Demographics_F_Country_wrapped)))&gt;0)*1</f>
        <v>1</v>
      </c>
      <c r="P2">
        <f>(((Demographics_F_Industry_resolved="(All)")+(Demographics_F_Industry_resolved="")+ISBLANK(Demographics_F_Industry_resolved)+ISNUMBER(SEARCH("|"&amp;C2&amp;"|",Demographics_F_Industry_wrapped)))&gt;0)*1</f>
        <v>1</v>
      </c>
      <c r="Q2">
        <f>O2*P2*1</f>
        <v>1</v>
      </c>
      <c r="R2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1)&amp;"|",Demographics_Q_SS_EXPORT_F_wrapped)),1,0),0))</f>
        <v>1</v>
      </c>
      <c r="S2">
        <f>IF(OR(Demographics_Q_MS_EXPORT_F_Q="(None)",Demographics_Q_MS_EXPORT_F_Q="",ISBLANK(Demographics_Q_MS_EXPORT_F_Q),Demographics_Q_MS_EXPORT_F_V="(All)",Demographics_Q_MS_EXPORT_F_V="",ISBLANK(Demographics_Q_MS_EXPORT_F_V)),1,IFERROR(IF(ISNUMBER(SEARCH("|"&amp;INDEX(INDIRECT(Demographics_Q_MS_EXPORT_F_resolved_column),1)&amp;"|",Demographics_Q_MS_EXPORT_F_wrapped)),1,0),0))</f>
        <v>1</v>
      </c>
      <c r="T2">
        <f>(((All_Questions_F_Country_resolved="(All)")+(All_Questions_F_Country_resolved="")+ISBLANK(All_Questions_F_Country_resolved)+ISNUMBER(SEARCH("|"&amp;B2&amp;"|",All_Questions_F_Country_wrapped)))&gt;0)*1</f>
        <v>1</v>
      </c>
      <c r="U2">
        <f>(((All_Questions_F_Industry_resolved="(All)")+(All_Questions_F_Industry_resolved="")+ISBLANK(All_Questions_F_Industry_resolved)+ISNUMBER(SEARCH("|"&amp;C2&amp;"|",All_Questions_F_Industry_wrapped)))&gt;0)*1</f>
        <v>1</v>
      </c>
      <c r="V2">
        <f>T2*U2*1</f>
        <v>1</v>
      </c>
      <c r="W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X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Y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(((F_Country="(All)")+(F_Country="")+ISBLANK(F_Country)+ISNUMBER(SEARCH("|"&amp;B3&amp;"|",F_Country_wrapped)))&gt;0)*1</f>
        <v>1</v>
      </c>
      <c r="J3">
        <f>(((F_Industry="(All)")+(F_Industry="")+ISBLANK(F_Industry)+ISNUMBER(SEARCH("|"&amp;C3&amp;"|",F_Industry_wrapped)))&gt;0)*1</f>
        <v>1</v>
      </c>
      <c r="K3">
        <f>I3*J3*1</f>
        <v>1</v>
      </c>
      <c r="L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M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N3">
        <f>L3*M3*1</f>
        <v>1</v>
      </c>
      <c r="O3">
        <f>(((Demographics_F_Country_resolved="(All)")+(Demographics_F_Country_resolved="")+ISBLANK(Demographics_F_Country_resolved)+ISNUMBER(SEARCH("|"&amp;B3&amp;"|",Demographics_F_Country_wrapped)))&gt;0)*1</f>
        <v>1</v>
      </c>
      <c r="P3">
        <f>(((Demographics_F_Industry_resolved="(All)")+(Demographics_F_Industry_resolved="")+ISBLANK(Demographics_F_Industry_resolved)+ISNUMBER(SEARCH("|"&amp;C3&amp;"|",Demographics_F_Industry_wrapped)))&gt;0)*1</f>
        <v>1</v>
      </c>
      <c r="Q3">
        <f>O3*P3*1</f>
        <v>1</v>
      </c>
      <c r="R3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2)&amp;"|",Demographics_Q_SS_EXPORT_F_wrapped)),1,0),0))</f>
        <v>1</v>
      </c>
      <c r="S3">
        <f>IF(OR(Demographics_Q_MS_EXPORT_F_Q="(None)",Demographics_Q_MS_EXPORT_F_Q="",ISBLANK(Demographics_Q_MS_EXPORT_F_Q),Demographics_Q_MS_EXPORT_F_V="(All)",Demographics_Q_MS_EXPORT_F_V="",ISBLANK(Demographics_Q_MS_EXPORT_F_V)),1,IFERROR(IF(ISNUMBER(SEARCH("|"&amp;INDEX(INDIRECT(Demographics_Q_MS_EXPORT_F_resolved_column),2)&amp;"|",Demographics_Q_MS_EXPORT_F_wrapped)),1,0),0))</f>
        <v>1</v>
      </c>
      <c r="T3">
        <f>(((All_Questions_F_Country_resolved="(All)")+(All_Questions_F_Country_resolved="")+ISBLANK(All_Questions_F_Country_resolved)+ISNUMBER(SEARCH("|"&amp;B3&amp;"|",All_Questions_F_Country_wrapped)))&gt;0)*1</f>
        <v>1</v>
      </c>
      <c r="U3">
        <f>(((All_Questions_F_Industry_resolved="(All)")+(All_Questions_F_Industry_resolved="")+ISBLANK(All_Questions_F_Industry_resolved)+ISNUMBER(SEARCH("|"&amp;C3&amp;"|",All_Questions_F_Industry_wrapped)))&gt;0)*1</f>
        <v>1</v>
      </c>
      <c r="V3">
        <f>T3*U3*1</f>
        <v>1</v>
      </c>
      <c r="W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X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Y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(((F_Country="(All)")+(F_Country="")+ISBLANK(F_Country)+ISNUMBER(SEARCH("|"&amp;B4&amp;"|",F_Country_wrapped)))&gt;0)*1</f>
        <v>1</v>
      </c>
      <c r="J4">
        <f>(((F_Industry="(All)")+(F_Industry="")+ISBLANK(F_Industry)+ISNUMBER(SEARCH("|"&amp;C4&amp;"|",F_Industry_wrapped)))&gt;0)*1</f>
        <v>1</v>
      </c>
      <c r="K4">
        <f>I4*J4*1</f>
        <v>1</v>
      </c>
      <c r="L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M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N4">
        <f>L4*M4*1</f>
        <v>1</v>
      </c>
      <c r="O4">
        <f>(((Demographics_F_Country_resolved="(All)")+(Demographics_F_Country_resolved="")+ISBLANK(Demographics_F_Country_resolved)+ISNUMBER(SEARCH("|"&amp;B4&amp;"|",Demographics_F_Country_wrapped)))&gt;0)*1</f>
        <v>1</v>
      </c>
      <c r="P4">
        <f>(((Demographics_F_Industry_resolved="(All)")+(Demographics_F_Industry_resolved="")+ISBLANK(Demographics_F_Industry_resolved)+ISNUMBER(SEARCH("|"&amp;C4&amp;"|",Demographics_F_Industry_wrapped)))&gt;0)*1</f>
        <v>1</v>
      </c>
      <c r="Q4">
        <f>O4*P4*1</f>
        <v>1</v>
      </c>
      <c r="R4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3)&amp;"|",Demographics_Q_SS_EXPORT_F_wrapped)),1,0),0))</f>
        <v>1</v>
      </c>
      <c r="S4">
        <f>IF(OR(Demographics_Q_MS_EXPORT_F_Q="(None)",Demographics_Q_MS_EXPORT_F_Q="",ISBLANK(Demographics_Q_MS_EXPORT_F_Q),Demographics_Q_MS_EXPORT_F_V="(All)",Demographics_Q_MS_EXPORT_F_V="",ISBLANK(Demographics_Q_MS_EXPORT_F_V)),1,IFERROR(IF(ISNUMBER(SEARCH("|"&amp;INDEX(INDIRECT(Demographics_Q_MS_EXPORT_F_resolved_column),3)&amp;"|",Demographics_Q_MS_EXPORT_F_wrapped)),1,0),0))</f>
        <v>1</v>
      </c>
      <c r="T4">
        <f>(((All_Questions_F_Country_resolved="(All)")+(All_Questions_F_Country_resolved="")+ISBLANK(All_Questions_F_Country_resolved)+ISNUMBER(SEARCH("|"&amp;B4&amp;"|",All_Questions_F_Country_wrapped)))&gt;0)*1</f>
        <v>1</v>
      </c>
      <c r="U4">
        <f>(((All_Questions_F_Industry_resolved="(All)")+(All_Questions_F_Industry_resolved="")+ISBLANK(All_Questions_F_Industry_resolved)+ISNUMBER(SEARCH("|"&amp;C4&amp;"|",All_Questions_F_Industry_wrapped)))&gt;0)*1</f>
        <v>1</v>
      </c>
      <c r="V4">
        <f>T4*U4*1</f>
        <v>1</v>
      </c>
      <c r="W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X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Y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(((F_Country="(All)")+(F_Country="")+ISBLANK(F_Country)+ISNUMBER(SEARCH("|"&amp;B5&amp;"|",F_Country_wrapped)))&gt;0)*1</f>
        <v>1</v>
      </c>
      <c r="J5">
        <f>(((F_Industry="(All)")+(F_Industry="")+ISBLANK(F_Industry)+ISNUMBER(SEARCH("|"&amp;C5&amp;"|",F_Industry_wrapped)))&gt;0)*1</f>
        <v>1</v>
      </c>
      <c r="K5">
        <f>I5*J5*1</f>
        <v>1</v>
      </c>
      <c r="L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M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N5">
        <f>L5*M5*1</f>
        <v>1</v>
      </c>
      <c r="O5">
        <f>(((Demographics_F_Country_resolved="(All)")+(Demographics_F_Country_resolved="")+ISBLANK(Demographics_F_Country_resolved)+ISNUMBER(SEARCH("|"&amp;B5&amp;"|",Demographics_F_Country_wrapped)))&gt;0)*1</f>
        <v>1</v>
      </c>
      <c r="P5">
        <f>(((Demographics_F_Industry_resolved="(All)")+(Demographics_F_Industry_resolved="")+ISBLANK(Demographics_F_Industry_resolved)+ISNUMBER(SEARCH("|"&amp;C5&amp;"|",Demographics_F_Industry_wrapped)))&gt;0)*1</f>
        <v>1</v>
      </c>
      <c r="Q5">
        <f>O5*P5*1</f>
        <v>1</v>
      </c>
      <c r="R5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4)&amp;"|",Demographics_Q_SS_EXPORT_F_wrapped)),1,0),0))</f>
        <v>1</v>
      </c>
      <c r="S5">
        <f>IF(OR(Demographics_Q_MS_EXPORT_F_Q="(None)",Demographics_Q_MS_EXPORT_F_Q="",ISBLANK(Demographics_Q_MS_EXPORT_F_Q),Demographics_Q_MS_EXPORT_F_V="(All)",Demographics_Q_MS_EXPORT_F_V="",ISBLANK(Demographics_Q_MS_EXPORT_F_V)),1,IFERROR(IF(ISNUMBER(SEARCH("|"&amp;INDEX(INDIRECT(Demographics_Q_MS_EXPORT_F_resolved_column),4)&amp;"|",Demographics_Q_MS_EXPORT_F_wrapped)),1,0),0))</f>
        <v>1</v>
      </c>
      <c r="T5">
        <f>(((All_Questions_F_Country_resolved="(All)")+(All_Questions_F_Country_resolved="")+ISBLANK(All_Questions_F_Country_resolved)+ISNUMBER(SEARCH("|"&amp;B5&amp;"|",All_Questions_F_Country_wrapped)))&gt;0)*1</f>
        <v>1</v>
      </c>
      <c r="U5">
        <f>(((All_Questions_F_Industry_resolved="(All)")+(All_Questions_F_Industry_resolved="")+ISBLANK(All_Questions_F_Industry_resolved)+ISNUMBER(SEARCH("|"&amp;C5&amp;"|",All_Questions_F_Industry_wrapped)))&gt;0)*1</f>
        <v>1</v>
      </c>
      <c r="V5">
        <f>T5*U5*1</f>
        <v>1</v>
      </c>
      <c r="W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X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Y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(((F_Country="(All)")+(F_Country="")+ISBLANK(F_Country)+ISNUMBER(SEARCH("|"&amp;B6&amp;"|",F_Country_wrapped)))&gt;0)*1</f>
        <v>1</v>
      </c>
      <c r="J6">
        <f>(((F_Industry="(All)")+(F_Industry="")+ISBLANK(F_Industry)+ISNUMBER(SEARCH("|"&amp;C6&amp;"|",F_Industry_wrapped)))&gt;0)*1</f>
        <v>1</v>
      </c>
      <c r="K6">
        <f>I6*J6*1</f>
        <v>1</v>
      </c>
      <c r="L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M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N6">
        <f>L6*M6*1</f>
        <v>1</v>
      </c>
      <c r="O6">
        <f>(((Demographics_F_Country_resolved="(All)")+(Demographics_F_Country_resolved="")+ISBLANK(Demographics_F_Country_resolved)+ISNUMBER(SEARCH("|"&amp;B6&amp;"|",Demographics_F_Country_wrapped)))&gt;0)*1</f>
        <v>1</v>
      </c>
      <c r="P6">
        <f>(((Demographics_F_Industry_resolved="(All)")+(Demographics_F_Industry_resolved="")+ISBLANK(Demographics_F_Industry_resolved)+ISNUMBER(SEARCH("|"&amp;C6&amp;"|",Demographics_F_Industry_wrapped)))&gt;0)*1</f>
        <v>1</v>
      </c>
      <c r="Q6">
        <f>O6*P6*1</f>
        <v>1</v>
      </c>
      <c r="R6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5)&amp;"|",Demographics_Q_SS_EXPORT_F_wrapped)),1,0),0))</f>
        <v>1</v>
      </c>
      <c r="S6">
        <f>IF(OR(Demographics_Q_MS_EXPORT_F_Q="(None)",Demographics_Q_MS_EXPORT_F_Q="",ISBLANK(Demographics_Q_MS_EXPORT_F_Q),Demographics_Q_MS_EXPORT_F_V="(All)",Demographics_Q_MS_EXPORT_F_V="",ISBLANK(Demographics_Q_MS_EXPORT_F_V)),1,IFERROR(IF(ISNUMBER(SEARCH("|"&amp;INDEX(INDIRECT(Demographics_Q_MS_EXPORT_F_resolved_column),5)&amp;"|",Demographics_Q_MS_EXPORT_F_wrapped)),1,0),0))</f>
        <v>1</v>
      </c>
      <c r="T6">
        <f>(((All_Questions_F_Country_resolved="(All)")+(All_Questions_F_Country_resolved="")+ISBLANK(All_Questions_F_Country_resolved)+ISNUMBER(SEARCH("|"&amp;B6&amp;"|",All_Questions_F_Country_wrapped)))&gt;0)*1</f>
        <v>1</v>
      </c>
      <c r="U6">
        <f>(((All_Questions_F_Industry_resolved="(All)")+(All_Questions_F_Industry_resolved="")+ISBLANK(All_Questions_F_Industry_resolved)+ISNUMBER(SEARCH("|"&amp;C6&amp;"|",All_Questions_F_Industry_wrapped)))&gt;0)*1</f>
        <v>1</v>
      </c>
      <c r="V6">
        <f>T6*U6*1</f>
        <v>1</v>
      </c>
      <c r="W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X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Y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(((F_Country="(All)")+(F_Country="")+ISBLANK(F_Country)+ISNUMBER(SEARCH("|"&amp;B7&amp;"|",F_Country_wrapped)))&gt;0)*1</f>
        <v>1</v>
      </c>
      <c r="J7">
        <f>(((F_Industry="(All)")+(F_Industry="")+ISBLANK(F_Industry)+ISNUMBER(SEARCH("|"&amp;C7&amp;"|",F_Industry_wrapped)))&gt;0)*1</f>
        <v>1</v>
      </c>
      <c r="K7">
        <f>I7*J7*1</f>
        <v>1</v>
      </c>
      <c r="L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M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N7">
        <f>L7*M7*1</f>
        <v>1</v>
      </c>
      <c r="O7">
        <f>(((Demographics_F_Country_resolved="(All)")+(Demographics_F_Country_resolved="")+ISBLANK(Demographics_F_Country_resolved)+ISNUMBER(SEARCH("|"&amp;B7&amp;"|",Demographics_F_Country_wrapped)))&gt;0)*1</f>
        <v>1</v>
      </c>
      <c r="P7">
        <f>(((Demographics_F_Industry_resolved="(All)")+(Demographics_F_Industry_resolved="")+ISBLANK(Demographics_F_Industry_resolved)+ISNUMBER(SEARCH("|"&amp;C7&amp;"|",Demographics_F_Industry_wrapped)))&gt;0)*1</f>
        <v>1</v>
      </c>
      <c r="Q7">
        <f>O7*P7*1</f>
        <v>1</v>
      </c>
      <c r="R7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6)&amp;"|",Demographics_Q_SS_EXPORT_F_wrapped)),1,0),0))</f>
        <v>1</v>
      </c>
      <c r="S7">
        <f>IF(OR(Demographics_Q_MS_EXPORT_F_Q="(None)",Demographics_Q_MS_EXPORT_F_Q="",ISBLANK(Demographics_Q_MS_EXPORT_F_Q),Demographics_Q_MS_EXPORT_F_V="(All)",Demographics_Q_MS_EXPORT_F_V="",ISBLANK(Demographics_Q_MS_EXPORT_F_V)),1,IFERROR(IF(ISNUMBER(SEARCH("|"&amp;INDEX(INDIRECT(Demographics_Q_MS_EXPORT_F_resolved_column),6)&amp;"|",Demographics_Q_MS_EXPORT_F_wrapped)),1,0),0))</f>
        <v>1</v>
      </c>
      <c r="T7">
        <f>(((All_Questions_F_Country_resolved="(All)")+(All_Questions_F_Country_resolved="")+ISBLANK(All_Questions_F_Country_resolved)+ISNUMBER(SEARCH("|"&amp;B7&amp;"|",All_Questions_F_Country_wrapped)))&gt;0)*1</f>
        <v>1</v>
      </c>
      <c r="U7">
        <f>(((All_Questions_F_Industry_resolved="(All)")+(All_Questions_F_Industry_resolved="")+ISBLANK(All_Questions_F_Industry_resolved)+ISNUMBER(SEARCH("|"&amp;C7&amp;"|",All_Questions_F_Industry_wrapped)))&gt;0)*1</f>
        <v>1</v>
      </c>
      <c r="V7">
        <f>T7*U7*1</f>
        <v>1</v>
      </c>
      <c r="W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X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Y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(((F_Country="(All)")+(F_Country="")+ISBLANK(F_Country)+ISNUMBER(SEARCH("|"&amp;B8&amp;"|",F_Country_wrapped)))&gt;0)*1</f>
        <v>1</v>
      </c>
      <c r="J8">
        <f>(((F_Industry="(All)")+(F_Industry="")+ISBLANK(F_Industry)+ISNUMBER(SEARCH("|"&amp;C8&amp;"|",F_Industry_wrapped)))&gt;0)*1</f>
        <v>1</v>
      </c>
      <c r="K8">
        <f>I8*J8*1</f>
        <v>1</v>
      </c>
      <c r="L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M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N8">
        <f>L8*M8*1</f>
        <v>1</v>
      </c>
      <c r="O8">
        <f>(((Demographics_F_Country_resolved="(All)")+(Demographics_F_Country_resolved="")+ISBLANK(Demographics_F_Country_resolved)+ISNUMBER(SEARCH("|"&amp;B8&amp;"|",Demographics_F_Country_wrapped)))&gt;0)*1</f>
        <v>1</v>
      </c>
      <c r="P8">
        <f>(((Demographics_F_Industry_resolved="(All)")+(Demographics_F_Industry_resolved="")+ISBLANK(Demographics_F_Industry_resolved)+ISNUMBER(SEARCH("|"&amp;C8&amp;"|",Demographics_F_Industry_wrapped)))&gt;0)*1</f>
        <v>1</v>
      </c>
      <c r="Q8">
        <f>O8*P8*1</f>
        <v>1</v>
      </c>
      <c r="R8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7)&amp;"|",Demographics_Q_SS_EXPORT_F_wrapped)),1,0),0))</f>
        <v>1</v>
      </c>
      <c r="S8">
        <f>IF(OR(Demographics_Q_MS_EXPORT_F_Q="(None)",Demographics_Q_MS_EXPORT_F_Q="",ISBLANK(Demographics_Q_MS_EXPORT_F_Q),Demographics_Q_MS_EXPORT_F_V="(All)",Demographics_Q_MS_EXPORT_F_V="",ISBLANK(Demographics_Q_MS_EXPORT_F_V)),1,IFERROR(IF(ISNUMBER(SEARCH("|"&amp;INDEX(INDIRECT(Demographics_Q_MS_EXPORT_F_resolved_column),7)&amp;"|",Demographics_Q_MS_EXPORT_F_wrapped)),1,0),0))</f>
        <v>1</v>
      </c>
      <c r="T8">
        <f>(((All_Questions_F_Country_resolved="(All)")+(All_Questions_F_Country_resolved="")+ISBLANK(All_Questions_F_Country_resolved)+ISNUMBER(SEARCH("|"&amp;B8&amp;"|",All_Questions_F_Country_wrapped)))&gt;0)*1</f>
        <v>1</v>
      </c>
      <c r="U8">
        <f>(((All_Questions_F_Industry_resolved="(All)")+(All_Questions_F_Industry_resolved="")+ISBLANK(All_Questions_F_Industry_resolved)+ISNUMBER(SEARCH("|"&amp;C8&amp;"|",All_Questions_F_Industry_wrapped)))&gt;0)*1</f>
        <v>1</v>
      </c>
      <c r="V8">
        <f>T8*U8*1</f>
        <v>1</v>
      </c>
      <c r="W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X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Y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(((F_Country="(All)")+(F_Country="")+ISBLANK(F_Country)+ISNUMBER(SEARCH("|"&amp;B9&amp;"|",F_Country_wrapped)))&gt;0)*1</f>
        <v>1</v>
      </c>
      <c r="J9">
        <f>(((F_Industry="(All)")+(F_Industry="")+ISBLANK(F_Industry)+ISNUMBER(SEARCH("|"&amp;C9&amp;"|",F_Industry_wrapped)))&gt;0)*1</f>
        <v>1</v>
      </c>
      <c r="K9">
        <f>I9*J9*1</f>
        <v>1</v>
      </c>
      <c r="L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M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N9">
        <f>L9*M9*1</f>
        <v>1</v>
      </c>
      <c r="O9">
        <f>(((Demographics_F_Country_resolved="(All)")+(Demographics_F_Country_resolved="")+ISBLANK(Demographics_F_Country_resolved)+ISNUMBER(SEARCH("|"&amp;B9&amp;"|",Demographics_F_Country_wrapped)))&gt;0)*1</f>
        <v>1</v>
      </c>
      <c r="P9">
        <f>(((Demographics_F_Industry_resolved="(All)")+(Demographics_F_Industry_resolved="")+ISBLANK(Demographics_F_Industry_resolved)+ISNUMBER(SEARCH("|"&amp;C9&amp;"|",Demographics_F_Industry_wrapped)))&gt;0)*1</f>
        <v>1</v>
      </c>
      <c r="Q9">
        <f>O9*P9*1</f>
        <v>1</v>
      </c>
      <c r="R9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8)&amp;"|",Demographics_Q_SS_EXPORT_F_wrapped)),1,0),0))</f>
        <v>1</v>
      </c>
      <c r="S9">
        <f>IF(OR(Demographics_Q_MS_EXPORT_F_Q="(None)",Demographics_Q_MS_EXPORT_F_Q="",ISBLANK(Demographics_Q_MS_EXPORT_F_Q),Demographics_Q_MS_EXPORT_F_V="(All)",Demographics_Q_MS_EXPORT_F_V="",ISBLANK(Demographics_Q_MS_EXPORT_F_V)),1,IFERROR(IF(ISNUMBER(SEARCH("|"&amp;INDEX(INDIRECT(Demographics_Q_MS_EXPORT_F_resolved_column),8)&amp;"|",Demographics_Q_MS_EXPORT_F_wrapped)),1,0),0))</f>
        <v>1</v>
      </c>
      <c r="T9">
        <f>(((All_Questions_F_Country_resolved="(All)")+(All_Questions_F_Country_resolved="")+ISBLANK(All_Questions_F_Country_resolved)+ISNUMBER(SEARCH("|"&amp;B9&amp;"|",All_Questions_F_Country_wrapped)))&gt;0)*1</f>
        <v>1</v>
      </c>
      <c r="U9">
        <f>(((All_Questions_F_Industry_resolved="(All)")+(All_Questions_F_Industry_resolved="")+ISBLANK(All_Questions_F_Industry_resolved)+ISNUMBER(SEARCH("|"&amp;C9&amp;"|",All_Questions_F_Industry_wrapped)))&gt;0)*1</f>
        <v>1</v>
      </c>
      <c r="V9">
        <f>T9*U9*1</f>
        <v>1</v>
      </c>
      <c r="W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X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Y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(((F_Country="(All)")+(F_Country="")+ISBLANK(F_Country)+ISNUMBER(SEARCH("|"&amp;B10&amp;"|",F_Country_wrapped)))&gt;0)*1</f>
        <v>1</v>
      </c>
      <c r="J10">
        <f>(((F_Industry="(All)")+(F_Industry="")+ISBLANK(F_Industry)+ISNUMBER(SEARCH("|"&amp;C10&amp;"|",F_Industry_wrapped)))&gt;0)*1</f>
        <v>1</v>
      </c>
      <c r="K10">
        <f>I10*J10*1</f>
        <v>1</v>
      </c>
      <c r="L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M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N10">
        <f>L10*M10*1</f>
        <v>1</v>
      </c>
      <c r="O10">
        <f>(((Demographics_F_Country_resolved="(All)")+(Demographics_F_Country_resolved="")+ISBLANK(Demographics_F_Country_resolved)+ISNUMBER(SEARCH("|"&amp;B10&amp;"|",Demographics_F_Country_wrapped)))&gt;0)*1</f>
        <v>1</v>
      </c>
      <c r="P10">
        <f>(((Demographics_F_Industry_resolved="(All)")+(Demographics_F_Industry_resolved="")+ISBLANK(Demographics_F_Industry_resolved)+ISNUMBER(SEARCH("|"&amp;C10&amp;"|",Demographics_F_Industry_wrapped)))&gt;0)*1</f>
        <v>1</v>
      </c>
      <c r="Q10">
        <f>O10*P10*1</f>
        <v>1</v>
      </c>
      <c r="R10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9)&amp;"|",Demographics_Q_SS_EXPORT_F_wrapped)),1,0),0))</f>
        <v>1</v>
      </c>
      <c r="S10">
        <f>IF(OR(Demographics_Q_MS_EXPORT_F_Q="(None)",Demographics_Q_MS_EXPORT_F_Q="",ISBLANK(Demographics_Q_MS_EXPORT_F_Q),Demographics_Q_MS_EXPORT_F_V="(All)",Demographics_Q_MS_EXPORT_F_V="",ISBLANK(Demographics_Q_MS_EXPORT_F_V)),1,IFERROR(IF(ISNUMBER(SEARCH("|"&amp;INDEX(INDIRECT(Demographics_Q_MS_EXPORT_F_resolved_column),9)&amp;"|",Demographics_Q_MS_EXPORT_F_wrapped)),1,0),0))</f>
        <v>1</v>
      </c>
      <c r="T10">
        <f>(((All_Questions_F_Country_resolved="(All)")+(All_Questions_F_Country_resolved="")+ISBLANK(All_Questions_F_Country_resolved)+ISNUMBER(SEARCH("|"&amp;B10&amp;"|",All_Questions_F_Country_wrapped)))&gt;0)*1</f>
        <v>1</v>
      </c>
      <c r="U10">
        <f>(((All_Questions_F_Industry_resolved="(All)")+(All_Questions_F_Industry_resolved="")+ISBLANK(All_Questions_F_Industry_resolved)+ISNUMBER(SEARCH("|"&amp;C10&amp;"|",All_Questions_F_Industry_wrapped)))&gt;0)*1</f>
        <v>1</v>
      </c>
      <c r="V10">
        <f>T10*U10*1</f>
        <v>1</v>
      </c>
      <c r="W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X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Y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(((F_Country="(All)")+(F_Country="")+ISBLANK(F_Country)+ISNUMBER(SEARCH("|"&amp;B11&amp;"|",F_Country_wrapped)))&gt;0)*1</f>
        <v>1</v>
      </c>
      <c r="J11">
        <f>(((F_Industry="(All)")+(F_Industry="")+ISBLANK(F_Industry)+ISNUMBER(SEARCH("|"&amp;C11&amp;"|",F_Industry_wrapped)))&gt;0)*1</f>
        <v>1</v>
      </c>
      <c r="K11">
        <f>I11*J11*1</f>
        <v>1</v>
      </c>
      <c r="L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M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N11">
        <f>L11*M11*1</f>
        <v>1</v>
      </c>
      <c r="O11">
        <f>(((Demographics_F_Country_resolved="(All)")+(Demographics_F_Country_resolved="")+ISBLANK(Demographics_F_Country_resolved)+ISNUMBER(SEARCH("|"&amp;B11&amp;"|",Demographics_F_Country_wrapped)))&gt;0)*1</f>
        <v>1</v>
      </c>
      <c r="P11">
        <f>(((Demographics_F_Industry_resolved="(All)")+(Demographics_F_Industry_resolved="")+ISBLANK(Demographics_F_Industry_resolved)+ISNUMBER(SEARCH("|"&amp;C11&amp;"|",Demographics_F_Industry_wrapped)))&gt;0)*1</f>
        <v>1</v>
      </c>
      <c r="Q11">
        <f>O11*P11*1</f>
        <v>1</v>
      </c>
      <c r="R11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10)&amp;"|",Demographics_Q_SS_EXPORT_F_wrapped)),1,0),0))</f>
        <v>1</v>
      </c>
      <c r="S11">
        <f>IF(OR(Demographics_Q_MS_EXPORT_F_Q="(None)",Demographics_Q_MS_EXPORT_F_Q="",ISBLANK(Demographics_Q_MS_EXPORT_F_Q),Demographics_Q_MS_EXPORT_F_V="(All)",Demographics_Q_MS_EXPORT_F_V="",ISBLANK(Demographics_Q_MS_EXPORT_F_V)),1,IFERROR(IF(ISNUMBER(SEARCH("|"&amp;INDEX(INDIRECT(Demographics_Q_MS_EXPORT_F_resolved_column),10)&amp;"|",Demographics_Q_MS_EXPORT_F_wrapped)),1,0),0))</f>
        <v>1</v>
      </c>
      <c r="T11">
        <f>(((All_Questions_F_Country_resolved="(All)")+(All_Questions_F_Country_resolved="")+ISBLANK(All_Questions_F_Country_resolved)+ISNUMBER(SEARCH("|"&amp;B11&amp;"|",All_Questions_F_Country_wrapped)))&gt;0)*1</f>
        <v>1</v>
      </c>
      <c r="U11">
        <f>(((All_Questions_F_Industry_resolved="(All)")+(All_Questions_F_Industry_resolved="")+ISBLANK(All_Questions_F_Industry_resolved)+ISNUMBER(SEARCH("|"&amp;C11&amp;"|",All_Questions_F_Industry_wrapped)))&gt;0)*1</f>
        <v>1</v>
      </c>
      <c r="V11">
        <f>T11*U11*1</f>
        <v>1</v>
      </c>
      <c r="W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X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Y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Sheet Name Export Question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4">
      <c r="A4" t="inlineStr">
        <is>
          <t>Single Select Export Question</t>
        </is>
      </c>
      <c r="B4" t="inlineStr">
        <is>
          <t>(All)</t>
        </is>
      </c>
      <c r="C4" t="str">
        <f>"|" &amp; SUBSTITUTE(F_Country, ", ", "|") &amp; "|"</f>
        <v>|(All)|</v>
      </c>
      <c r="D4" t="inlineStr">
        <is>
          <t>Yes, No</t>
        </is>
      </c>
    </row>
    <row r="5">
      <c r="A5" t="inlineStr">
        <is>
          <t>Multi Select Export Question</t>
        </is>
      </c>
      <c r="B5" t="inlineStr">
        <is>
          <t>(All)</t>
        </is>
      </c>
      <c r="C5" t="str">
        <f>"|" &amp; SUBSTITUTE(F_Industry, ", ", "|") &amp; "|"</f>
        <v>|(All)|</v>
      </c>
      <c r="D5" t="inlineStr">
        <is>
          <t>Selected</t>
        </is>
      </c>
    </row>
    <row r="7">
      <c r="A7" s="4" t="inlineStr">
        <is>
          <t>CUSTOM FILTERS</t>
        </is>
      </c>
      <c r="B7" s="2" t="n"/>
      <c r="C7" s="2" t="n"/>
      <c r="D7" s="2" t="n"/>
      <c r="E7" s="2" t="n"/>
      <c r="F7" s="2" t="n"/>
    </row>
    <row r="8">
      <c r="A8" t="inlineStr">
        <is>
          <t>Filter 1 question</t>
        </is>
      </c>
      <c r="B8" t="inlineStr">
        <is>
          <t>(None)</t>
        </is>
      </c>
      <c r="C8" t="inlineStr">
        <is>
          <t>Filter value</t>
        </is>
      </c>
      <c r="D8" t="inlineStr">
        <is>
          <t>(All)</t>
        </is>
      </c>
      <c r="E8" t="str">
        <f>IFERROR(INDEX(All_Questions_Data_Names,MATCH(F_Custom1_Q,All_Questions,0)),"'_RawData'!$A:$A")</f>
        <v>respondent_id_data</v>
      </c>
      <c r="F8" t="str">
        <f>"|" &amp; SUBSTITUTE(F_Custom1_V, ", ", "|") &amp; "|"</f>
        <v>|(All)|</v>
      </c>
    </row>
    <row r="9">
      <c r="A9" t="inlineStr">
        <is>
          <t>Filter 2 question</t>
        </is>
      </c>
      <c r="B9" t="inlineStr">
        <is>
          <t>(None)</t>
        </is>
      </c>
      <c r="C9" t="inlineStr">
        <is>
          <t>Filter value</t>
        </is>
      </c>
      <c r="D9" t="inlineStr">
        <is>
          <t>(All)</t>
        </is>
      </c>
      <c r="E9" t="str">
        <f>IFERROR(INDEX(All_Questions_Data_Names,MATCH(F_Custom2_Q,All_Questions,0)),"'_RawData'!$A:$A")</f>
        <v>respondent_id_data</v>
      </c>
      <c r="F9" t="str">
        <f>"|" &amp; SUBSTITUTE(F_Custom2_V, ", ", "|") &amp; "|"</f>
        <v>|(All)|</v>
      </c>
    </row>
  </sheetData>
  <dataValidations count="6">
    <dataValidation sqref="B4" showDropDown="0" showInputMessage="0" showErrorMessage="0" allowBlank="1" type="list">
      <formula1>=Q_SS_EXPORT_options</formula1>
    </dataValidation>
    <dataValidation sqref="B5" showDropDown="0" showInputMessage="0" showErrorMessage="0" allowBlank="1" type="list">
      <formula1>=Q_MS_EXPORTr1_options</formula1>
    </dataValidation>
    <dataValidation sqref="B8" showDropDown="0" showInputMessage="0" showErrorMessage="0" allowBlank="1" type="list">
      <formula1>=All_Questions</formula1>
    </dataValidation>
    <dataValidation sqref="D8" showDropDown="0" showInputMessage="0" showErrorMessage="0" allowBlank="1" type="list">
      <formula1>=INDIRECT(IFERROR(INDEX(All_Questions_Options_Names,MATCH(F_Custom1_Q,All_Questions,0)),"'_Options'!$E$2:$E$2"))</formula1>
    </dataValidation>
    <dataValidation sqref="B9" showDropDown="0" showInputMessage="0" showErrorMessage="0" allowBlank="1" type="list">
      <formula1>=All_Questions</formula1>
    </dataValidation>
    <dataValidation sqref="D9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Yes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Yes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Demographics</t>
        </is>
      </c>
      <c r="E2" s="6" t="inlineStr">
        <is>
          <t>Demographics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Demographics</t>
        </is>
      </c>
      <c r="E3" s="6" t="inlineStr">
        <is>
          <t>Demographics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32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Demographics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Single Select Export Question</t>
        </is>
      </c>
      <c r="B5" t="inlineStr">
        <is>
          <t>(Inherit)</t>
        </is>
      </c>
      <c r="C5" t="str">
        <f>IF(Demographics_F_Country="(Inherit)",F_Country,Demographics_F_Country)</f>
        <v>(All)</v>
      </c>
      <c r="D5" t="str">
        <f>"|" &amp; SUBSTITUTE(Demographics_F_Country_resolved, ", ", "|") &amp; "|"</f>
        <v>|(All)|</v>
      </c>
      <c r="E5" t="inlineStr">
        <is>
          <t>Yes, No</t>
        </is>
      </c>
    </row>
    <row r="6">
      <c r="A6" t="inlineStr">
        <is>
          <t>Multi Select Export Question</t>
        </is>
      </c>
      <c r="B6" t="inlineStr">
        <is>
          <t>(Inherit)</t>
        </is>
      </c>
      <c r="C6" t="str">
        <f>IF(Demographics_F_Industry="(Inherit)",F_Industry,Demographics_F_Industry)</f>
        <v>(All)</v>
      </c>
      <c r="D6" t="str">
        <f>"|" &amp; SUBSTITUTE(Demographics_F_Industry_resolved, ", ", "|") &amp; "|"</f>
        <v>|(All)|</v>
      </c>
      <c r="E6" t="inlineStr">
        <is>
          <t>Selected</t>
        </is>
      </c>
    </row>
    <row r="7">
      <c r="A7" t="inlineStr">
        <is>
          <t>Custom 1 question</t>
        </is>
      </c>
      <c r="B7" t="inlineStr">
        <is>
          <t>(Inherit)</t>
        </is>
      </c>
      <c r="C7" t="str">
        <f>IF(Demographics_F_Custom1_Q="(Inherit)",F_Custom1_Q,Demographics_F_Custom1_Q)</f>
        <v>(None)</v>
      </c>
      <c r="E7" t="inlineStr">
        <is>
          <t>Workbook question or local override</t>
        </is>
      </c>
    </row>
    <row r="8">
      <c r="A8" t="inlineStr">
        <is>
          <t>Custom 1 value</t>
        </is>
      </c>
      <c r="B8" t="inlineStr">
        <is>
          <t>(Inherit)</t>
        </is>
      </c>
      <c r="C8" t="str">
        <f>IF(Demographics_F_Custom1_V="(Inherit)",F_Custom1_V,Demographics_F_Custom1_V)</f>
        <v>(All)</v>
      </c>
      <c r="D8" t="str">
        <f>"|" &amp; SUBSTITUTE(Demographics_F_Custom1_V_resolved,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IFERROR(INDEX(All_Questions_Data_Names,MATCH(Demographics_F_Custom1_Q_resolved,All_Questions,0)),"'_RawData'!$A:$A")</f>
        <v>respondent_id_data</v>
      </c>
    </row>
    <row r="9">
      <c r="A9" t="inlineStr">
        <is>
          <t>Custom 2 question</t>
        </is>
      </c>
      <c r="B9" t="inlineStr">
        <is>
          <t>(Inherit)</t>
        </is>
      </c>
      <c r="C9" t="str">
        <f>IF(Demographics_F_Custom2_Q="(Inherit)",F_Custom2_Q,Demographics_F_Custom2_Q)</f>
        <v>(None)</v>
      </c>
      <c r="E9" t="inlineStr">
        <is>
          <t>Workbook question or local override</t>
        </is>
      </c>
    </row>
    <row r="10">
      <c r="A10" t="inlineStr">
        <is>
          <t>Custom 2 value</t>
        </is>
      </c>
      <c r="B10" t="inlineStr">
        <is>
          <t>(Inherit)</t>
        </is>
      </c>
      <c r="C10" t="str">
        <f>IF(Demographics_F_Custom2_V="(Inherit)",F_Custom2_V,Demographics_F_Custom2_V)</f>
        <v>(All)</v>
      </c>
      <c r="D10" t="str">
        <f>"|" &amp; SUBSTITUTE(Demographics_F_Custom2_V_resolved, ", ", "|") &amp; "|"</f>
        <v>|(All)|</v>
      </c>
      <c r="E10" t="inlineStr">
        <is>
          <t>Choose one value or type comma-separated values</t>
        </is>
      </c>
      <c r="F10" t="str">
        <f>IFERROR(INDEX(All_Questions_Data_Names,MATCH(Demographics_F_Custom2_Q_resolved,All_Questions,0)),"'_RawData'!$A:$A")</f>
        <v>respondent_id_data</v>
      </c>
    </row>
    <row r="13">
      <c r="A13" s="11" t="n"/>
      <c r="B13" s="11" t="n"/>
      <c r="C13" s="11" t="n"/>
      <c r="D13" s="11" t="n"/>
      <c r="E13" s="11" t="n"/>
      <c r="F13" s="11" t="n"/>
      <c r="G13" s="11" t="n"/>
      <c r="H13" s="11" t="n"/>
      <c r="I13" s="11" t="n"/>
      <c r="J13" s="11" t="n"/>
    </row>
    <row r="14">
      <c r="A14" s="12" t="inlineStr">
        <is>
          <t>Q_SS_EXPORT - Single select export question</t>
        </is>
      </c>
      <c r="B14" s="12" t="n"/>
      <c r="C14" s="12" t="n"/>
      <c r="D14" s="12" t="n"/>
      <c r="E14" s="12" t="n"/>
      <c r="F14" s="12" t="n"/>
      <c r="G14" s="12" t="n"/>
      <c r="H14" s="12" t="n"/>
      <c r="I14" s="12" t="n"/>
      <c r="J14" s="12" t="n"/>
      <c r="K14" s="12" t="n"/>
      <c r="L14" s="12" t="n"/>
      <c r="M14" s="12" t="n"/>
      <c r="N14" s="12" t="n"/>
    </row>
    <row r="15">
      <c r="A15" s="13" t="inlineStr">
        <is>
          <t>Per-question filter</t>
        </is>
      </c>
      <c r="B15" t="inlineStr">
        <is>
          <t>Filter Q</t>
        </is>
      </c>
      <c r="C15" t="inlineStr">
        <is>
          <t>(None)</t>
        </is>
      </c>
      <c r="D15" t="inlineStr">
        <is>
          <t>Value</t>
        </is>
      </c>
      <c r="E15" t="inlineStr">
        <is>
          <t>(All)</t>
        </is>
      </c>
      <c r="F15" t="str">
        <f>IFERROR(INDEX(All_Questions_Data_Names,MATCH(Demographics_Q_SS_EXPORT_F_Q,All_Questions,0)),"'_RawData'!$A:$A")</f>
        <v>respondent_id_data</v>
      </c>
      <c r="G15" t="str">
        <f>"|" &amp; SUBSTITUTE(Demographics_Q_SS_EXPORT_F_V, ", ", "|") &amp; "|"</f>
        <v>|(All)|</v>
      </c>
    </row>
    <row r="16">
      <c r="A16" s="13" t="inlineStr">
        <is>
          <t>Cross-tab by</t>
        </is>
      </c>
      <c r="C16" t="inlineStr">
        <is>
          <t>(None)</t>
        </is>
      </c>
    </row>
    <row r="18">
      <c r="A18" s="4" t="inlineStr">
        <is>
          <t>Option</t>
        </is>
      </c>
      <c r="B18" s="4" t="inlineStr">
        <is>
          <t>Count</t>
        </is>
      </c>
      <c r="C18" s="4" t="inlineStr">
        <is>
          <t>%</t>
        </is>
      </c>
      <c r="D18" s="4" t="inlineStr">
        <is>
          <t>Denominator</t>
        </is>
      </c>
      <c r="F18" s="4" t="inlineStr">
        <is>
          <t>Option</t>
        </is>
      </c>
      <c r="G18" s="2" t="str">
        <f>IF(Demographics_Q_SS_EXPORT_CT="(None)","",IFERROR(INDEX(INDIRECT(IFERROR(INDEX(All_Questions_Options_Names,MATCH(Demographics_Q_SS_EXPORT_CT,All_Questions,0)),"'_Options'!$E$2:$E$2")),2),""))</f>
        <v/>
      </c>
      <c r="H18" s="2" t="str">
        <f>IF(Demographics_Q_SS_EXPORT_CT="(None)","",IFERROR(INDEX(INDIRECT(IFERROR(INDEX(All_Questions_Options_Names,MATCH(Demographics_Q_SS_EXPORT_CT,All_Questions,0)),"'_Options'!$E$2:$E$2")),3),""))</f>
        <v/>
      </c>
      <c r="I18" s="2" t="str">
        <f>IF(Demographics_Q_SS_EXPORT_CT="(None)","",IFERROR(INDEX(INDIRECT(IFERROR(INDEX(All_Questions_Options_Names,MATCH(Demographics_Q_SS_EXPORT_CT,All_Questions,0)),"'_Options'!$E$2:$E$2")),4),""))</f>
        <v/>
      </c>
      <c r="J18" s="2" t="str">
        <f>IF(Demographics_Q_SS_EXPORT_CT="(None)","",IFERROR(INDEX(INDIRECT(IFERROR(INDEX(All_Questions_Options_Names,MATCH(Demographics_Q_SS_EXPORT_CT,All_Questions,0)),"'_Options'!$E$2:$E$2")),5),""))</f>
        <v/>
      </c>
      <c r="K18" s="2" t="str">
        <f>IF(Demographics_Q_SS_EXPORT_CT="(None)","",IFERROR(INDEX(INDIRECT(IFERROR(INDEX(All_Questions_Options_Names,MATCH(Demographics_Q_SS_EXPORT_CT,All_Questions,0)),"'_Options'!$E$2:$E$2")),6),""))</f>
        <v/>
      </c>
      <c r="L18" s="2" t="str">
        <f>IF(Demographics_Q_SS_EXPORT_CT="(None)","",IFERROR(INDEX(INDIRECT(IFERROR(INDEX(All_Questions_Options_Names,MATCH(Demographics_Q_SS_EXPORT_CT,All_Questions,0)),"'_Options'!$E$2:$E$2")),7),""))</f>
        <v/>
      </c>
      <c r="M18" s="2" t="str">
        <f>IF(Demographics_Q_SS_EXPORT_CT="(None)","",IFERROR(INDEX(INDIRECT(IFERROR(INDEX(All_Questions_Options_Names,MATCH(Demographics_Q_SS_EXPORT_CT,All_Questions,0)),"'_Options'!$E$2:$E$2")),8),""))</f>
        <v/>
      </c>
      <c r="N18" s="2" t="str">
        <f>IF(Demographics_Q_SS_EXPORT_CT="(None)","",IFERROR(INDEX(INDIRECT(IFERROR(INDEX(All_Questions_Options_Names,MATCH(Demographics_Q_SS_EXPORT_CT,All_Questions,0)),"'_Options'!$E$2:$E$2")),9),""))</f>
        <v/>
      </c>
      <c r="O18" s="2" t="str">
        <f>IF(Demographics_Q_SS_EXPORT_CT="(None)","",IFERROR(INDEX(INDIRECT(IFERROR(INDEX(All_Questions_Options_Names,MATCH(Demographics_Q_SS_EXPORT_CT,All_Questions,0)),"'_Options'!$E$2:$E$2")),10),""))</f>
        <v/>
      </c>
      <c r="P18" s="2" t="str">
        <f>IF(Demographics_Q_SS_EXPORT_CT="(None)","",IFERROR(INDEX(INDIRECT(IFERROR(INDEX(All_Questions_Options_Names,MATCH(Demographics_Q_SS_EXPORT_CT,All_Questions,0)),"'_Options'!$E$2:$E$2")),11),""))</f>
        <v/>
      </c>
      <c r="Q18" s="2" t="str">
        <f>IF(Demographics_Q_SS_EXPORT_CT="(None)","",IFERROR(INDEX(INDIRECT(IFERROR(INDEX(All_Questions_Options_Names,MATCH(Demographics_Q_SS_EXPORT_CT,All_Questions,0)),"'_Options'!$E$2:$E$2")),12),""))</f>
        <v/>
      </c>
      <c r="R18" s="2" t="str">
        <f>IF(Demographics_Q_SS_EXPORT_CT="(None)","",IF(COUNTA(INDIRECT(IFERROR(INDEX(All_Questions_Options_Names,MATCH(Demographics_Q_SS_EXPORT_CT,All_Questions,0)),"'_Options'!$E$2:$E$2")))-1&gt;11,"Other",IFERROR(INDEX(INDIRECT(IFERROR(INDEX(All_Questions_Options_Names,MATCH(Demographics_Q_SS_EXPORT_CT,All_Questions,0)),"'_Options'!$E$2:$E$2")),13),"")))</f>
        <v/>
      </c>
      <c r="S18" s="4" t="inlineStr">
        <is>
          <t>Total</t>
        </is>
      </c>
    </row>
    <row r="19">
      <c r="A19" t="inlineStr">
        <is>
          <t>Yes</t>
        </is>
      </c>
      <c r="B19">
        <f>COUNTIFS(Q_SS_EXPORT_data,"Yes",passes_workbook_filters_data,1,passes_workbook_custom_filters_data,1,Demographics_passes_local_filters_data,1,Demographics_Q_SS_EXPORT_F_passes_per_q_filter_data,1)</f>
        <v>6</v>
      </c>
      <c r="C19" s="7">
        <f>IFERROR(B19/SUBTOTAL(9,B19:B20),0)</f>
        <v>0.6</v>
      </c>
      <c r="D19" s="14">
        <f>SUBTOTAL(9,B19:B20)</f>
        <v>10</v>
      </c>
      <c r="F19" s="4" t="inlineStr"/>
      <c r="G19" s="4" t="inlineStr">
        <is>
          <t># of resp</t>
        </is>
      </c>
      <c r="H19" s="4" t="inlineStr">
        <is>
          <t># of resp</t>
        </is>
      </c>
      <c r="I19" s="4" t="inlineStr">
        <is>
          <t># of resp</t>
        </is>
      </c>
      <c r="J19" s="4" t="inlineStr">
        <is>
          <t># of resp</t>
        </is>
      </c>
      <c r="K19" s="4" t="inlineStr">
        <is>
          <t># of resp</t>
        </is>
      </c>
      <c r="L19" s="4" t="inlineStr">
        <is>
          <t># of resp</t>
        </is>
      </c>
      <c r="M19" s="4" t="inlineStr">
        <is>
          <t># of resp</t>
        </is>
      </c>
      <c r="N19" s="4" t="inlineStr">
        <is>
          <t># of resp</t>
        </is>
      </c>
      <c r="O19" s="4" t="inlineStr">
        <is>
          <t># of resp</t>
        </is>
      </c>
      <c r="P19" s="4" t="inlineStr">
        <is>
          <t># of resp</t>
        </is>
      </c>
      <c r="Q19" s="4" t="inlineStr">
        <is>
          <t># of resp</t>
        </is>
      </c>
      <c r="R19" s="4" t="inlineStr">
        <is>
          <t># of resp</t>
        </is>
      </c>
      <c r="S19" s="4" t="inlineStr">
        <is>
          <t># of resp</t>
        </is>
      </c>
    </row>
    <row r="20">
      <c r="A20" t="inlineStr">
        <is>
          <t>No</t>
        </is>
      </c>
      <c r="B20">
        <f>COUNTIFS(Q_SS_EXPORT_data,"No",passes_workbook_filters_data,1,passes_workbook_custom_filters_data,1,Demographics_passes_local_filters_data,1,Demographics_Q_SS_EXPORT_F_passes_per_q_filter_data,1)</f>
        <v>4</v>
      </c>
      <c r="C20" s="7">
        <f>IFERROR(B20/SUBTOTAL(9,B19:B20),0)</f>
        <v>0.4</v>
      </c>
      <c r="D20" s="14">
        <f>SUBTOTAL(9,B19:B20)</f>
        <v>10</v>
      </c>
      <c r="F20" t="inlineStr">
        <is>
          <t>Yes</t>
        </is>
      </c>
      <c r="G20">
        <f>IF(OR(Demographics_Q_SS_EXPORT_CT="(None)",G$18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G$18))</f>
        <v>0</v>
      </c>
      <c r="H20">
        <f>IF(OR(Demographics_Q_SS_EXPORT_CT="(None)",H$18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H$18))</f>
        <v>0</v>
      </c>
      <c r="I20">
        <f>IF(OR(Demographics_Q_SS_EXPORT_CT="(None)",I$18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I$18))</f>
        <v>0</v>
      </c>
      <c r="J20">
        <f>IF(OR(Demographics_Q_SS_EXPORT_CT="(None)",J$18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J$18))</f>
        <v>0</v>
      </c>
      <c r="K20">
        <f>IF(OR(Demographics_Q_SS_EXPORT_CT="(None)",K$18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K$18))</f>
        <v>0</v>
      </c>
      <c r="L20">
        <f>IF(OR(Demographics_Q_SS_EXPORT_CT="(None)",L$18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L$18))</f>
        <v>0</v>
      </c>
      <c r="M20">
        <f>IF(OR(Demographics_Q_SS_EXPORT_CT="(None)",M$18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M$18))</f>
        <v>0</v>
      </c>
      <c r="N20">
        <f>IF(OR(Demographics_Q_SS_EXPORT_CT="(None)",N$18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N$18))</f>
        <v>0</v>
      </c>
      <c r="O20">
        <f>IF(OR(Demographics_Q_SS_EXPORT_CT="(None)",O$18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O$18))</f>
        <v>0</v>
      </c>
      <c r="P20">
        <f>IF(OR(Demographics_Q_SS_EXPORT_CT="(None)",P$18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P$18))</f>
        <v>0</v>
      </c>
      <c r="Q20">
        <f>IF(OR(Demographics_Q_SS_EXPORT_CT="(None)",Q$18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Q$18))</f>
        <v>0</v>
      </c>
      <c r="R20">
        <f>IF(OR(Demographics_Q_SS_EXPORT_CT="(None)",R$18=""),"",IF(R$18="Other",COUNTIFS(Q_SS_EXPORT_data,"Yes",passes_workbook_filters_data,1,passes_workbook_custom_filters_data,1,Demographics_passes_local_filters_data,1,Demographics_Q_SS_EXPORT_F_passes_per_q_filter_data,1)-SUM(G20,H20,I20,J20,K20,L20,M20,N20,O20,P20,Q20)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R$18)))</f>
        <v>0</v>
      </c>
      <c r="S20">
        <f>IF(Demographics_Q_SS_EXPORT_CT="(None)","",COUNTIFS(Q_SS_EXPORT_data,"Yes",passes_workbook_filters_data,1,passes_workbook_custom_filters_data,1,Demographics_passes_local_filters_data,1,Demographics_Q_SS_EXPORT_F_passes_per_q_filter_data,1))</f>
        <v>0</v>
      </c>
    </row>
    <row r="21">
      <c r="A21" s="15" t="inlineStr">
        <is>
          <t>Total respondents</t>
        </is>
      </c>
      <c r="B21" s="15" t="n">
        <v>10</v>
      </c>
      <c r="C21" s="15" t="n"/>
      <c r="D21" s="15" t="n"/>
      <c r="F21" t="inlineStr">
        <is>
          <t>No</t>
        </is>
      </c>
      <c r="G21">
        <f>IF(OR(Demographics_Q_SS_EXPORT_CT="(None)",G$18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G$18))</f>
        <v>0</v>
      </c>
      <c r="H21">
        <f>IF(OR(Demographics_Q_SS_EXPORT_CT="(None)",H$18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H$18))</f>
        <v>0</v>
      </c>
      <c r="I21">
        <f>IF(OR(Demographics_Q_SS_EXPORT_CT="(None)",I$18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I$18))</f>
        <v>0</v>
      </c>
      <c r="J21">
        <f>IF(OR(Demographics_Q_SS_EXPORT_CT="(None)",J$18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J$18))</f>
        <v>0</v>
      </c>
      <c r="K21">
        <f>IF(OR(Demographics_Q_SS_EXPORT_CT="(None)",K$18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K$18))</f>
        <v>0</v>
      </c>
      <c r="L21">
        <f>IF(OR(Demographics_Q_SS_EXPORT_CT="(None)",L$18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L$18))</f>
        <v>0</v>
      </c>
      <c r="M21">
        <f>IF(OR(Demographics_Q_SS_EXPORT_CT="(None)",M$18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M$18))</f>
        <v>0</v>
      </c>
      <c r="N21">
        <f>IF(OR(Demographics_Q_SS_EXPORT_CT="(None)",N$18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N$18))</f>
        <v>0</v>
      </c>
      <c r="O21">
        <f>IF(OR(Demographics_Q_SS_EXPORT_CT="(None)",O$18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O$18))</f>
        <v>0</v>
      </c>
      <c r="P21">
        <f>IF(OR(Demographics_Q_SS_EXPORT_CT="(None)",P$18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P$18))</f>
        <v>0</v>
      </c>
      <c r="Q21">
        <f>IF(OR(Demographics_Q_SS_EXPORT_CT="(None)",Q$18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Q$18))</f>
        <v>0</v>
      </c>
      <c r="R21">
        <f>IF(OR(Demographics_Q_SS_EXPORT_CT="(None)",R$18=""),"",IF(R$18="Other",COUNTIFS(Q_SS_EXPORT_data,"No",passes_workbook_filters_data,1,passes_workbook_custom_filters_data,1,Demographics_passes_local_filters_data,1,Demographics_Q_SS_EXPORT_F_passes_per_q_filter_data,1)-SUM(G21,H21,I21,J21,K21,L21,M21,N21,O21,P21,Q21)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R$18)))</f>
        <v>0</v>
      </c>
      <c r="S21">
        <f>IF(Demographics_Q_SS_EXPORT_CT="(None)","",COUNTIFS(Q_SS_EXPORT_data,"No",passes_workbook_filters_data,1,passes_workbook_custom_filters_data,1,Demographics_passes_local_filters_data,1,Demographics_Q_SS_EXPORT_F_passes_per_q_filter_data,1))</f>
        <v>0</v>
      </c>
    </row>
    <row r="22">
      <c r="F22" s="4" t="inlineStr">
        <is>
          <t>Total respondents</t>
        </is>
      </c>
      <c r="G22" s="2" t="n"/>
      <c r="H22" s="2" t="n"/>
      <c r="I22" s="2" t="n"/>
      <c r="J22" s="2" t="n"/>
      <c r="K22" s="2" t="n"/>
      <c r="L22" s="2" t="n"/>
      <c r="M22" s="2" t="n"/>
      <c r="N22" s="2" t="n"/>
      <c r="O22" s="2" t="n"/>
      <c r="P22" s="2" t="n"/>
      <c r="Q22" s="2" t="n"/>
      <c r="R22" s="2" t="n"/>
      <c r="S22" s="2">
        <f>IF(Demographics_Q_SS_EXPORT_CT="(None)","",COUNTIFS(respondent_id_data,"&lt;&gt;",passes_workbook_filters_data,1,passes_workbook_custom_filters_data,1,Demographics_passes_local_filters_data,1,Demographics_Q_SS_EXPORT_F_passes_per_q_filter_data,1))</f>
        <v>0</v>
      </c>
    </row>
    <row r="23">
      <c r="A23" s="11" t="n"/>
      <c r="B23" s="11" t="n"/>
      <c r="C23" s="11" t="n"/>
      <c r="D23" s="11" t="n"/>
      <c r="E23" s="11" t="n"/>
      <c r="F23" s="11" t="n"/>
      <c r="G23" s="11" t="n"/>
      <c r="H23" s="11" t="n"/>
      <c r="I23" s="11" t="n"/>
      <c r="J23" s="11" t="n"/>
    </row>
    <row r="24">
      <c r="A24" s="12" t="inlineStr">
        <is>
          <t>Q_MS_EXPORT - Multi select export question</t>
        </is>
      </c>
      <c r="B24" s="12" t="n"/>
      <c r="C24" s="12" t="n"/>
      <c r="D24" s="12" t="n"/>
      <c r="E24" s="12" t="n"/>
      <c r="F24" s="12" t="n"/>
      <c r="G24" s="12" t="n"/>
      <c r="H24" s="12" t="n"/>
      <c r="I24" s="12" t="n"/>
      <c r="J24" s="12" t="n"/>
      <c r="K24" s="12" t="n"/>
      <c r="L24" s="12" t="n"/>
      <c r="M24" s="12" t="n"/>
      <c r="N24" s="12" t="n"/>
    </row>
    <row r="25">
      <c r="A25" s="13" t="inlineStr">
        <is>
          <t>Per-question filter</t>
        </is>
      </c>
      <c r="B25" t="inlineStr">
        <is>
          <t>Filter Q</t>
        </is>
      </c>
      <c r="C25" t="inlineStr">
        <is>
          <t>(None)</t>
        </is>
      </c>
      <c r="D25" t="inlineStr">
        <is>
          <t>Value</t>
        </is>
      </c>
      <c r="E25" t="inlineStr">
        <is>
          <t>(All)</t>
        </is>
      </c>
      <c r="F25" t="str">
        <f>IFERROR(INDEX(All_Questions_Data_Names,MATCH(Demographics_Q_MS_EXPORT_F_Q,All_Questions,0)),"'_RawData'!$A:$A")</f>
        <v>respondent_id_data</v>
      </c>
      <c r="G25" t="str">
        <f>"|" &amp; SUBSTITUTE(Demographics_Q_MS_EXPORT_F_V, ", ", "|") &amp; "|"</f>
        <v>|(All)|</v>
      </c>
    </row>
    <row r="26">
      <c r="A26" s="13" t="inlineStr">
        <is>
          <t>Cross-tab by</t>
        </is>
      </c>
      <c r="C26" t="inlineStr">
        <is>
          <t>(None)</t>
        </is>
      </c>
    </row>
    <row r="28">
      <c r="A28" s="4" t="inlineStr">
        <is>
          <t>Option</t>
        </is>
      </c>
      <c r="B28" s="4" t="inlineStr">
        <is>
          <t>Count</t>
        </is>
      </c>
      <c r="C28" s="4" t="inlineStr">
        <is>
          <t>%</t>
        </is>
      </c>
      <c r="D28" s="4" t="inlineStr">
        <is>
          <t>Denominator</t>
        </is>
      </c>
      <c r="F28" s="4" t="inlineStr">
        <is>
          <t>Option</t>
        </is>
      </c>
      <c r="G28" s="2" t="str">
        <f>IF(Demographics_Q_MS_EXPORT_CT="(None)","",IFERROR(INDEX(INDIRECT(IFERROR(INDEX(All_Questions_Options_Names,MATCH(Demographics_Q_MS_EXPORT_CT,All_Questions,0)),"'_Options'!$E$2:$E$2")),2),""))</f>
        <v/>
      </c>
      <c r="H28" s="2" t="str">
        <f>IF(Demographics_Q_MS_EXPORT_CT="(None)","",IFERROR(INDEX(INDIRECT(IFERROR(INDEX(All_Questions_Options_Names,MATCH(Demographics_Q_MS_EXPORT_CT,All_Questions,0)),"'_Options'!$E$2:$E$2")),3),""))</f>
        <v/>
      </c>
      <c r="I28" s="2" t="str">
        <f>IF(Demographics_Q_MS_EXPORT_CT="(None)","",IFERROR(INDEX(INDIRECT(IFERROR(INDEX(All_Questions_Options_Names,MATCH(Demographics_Q_MS_EXPORT_CT,All_Questions,0)),"'_Options'!$E$2:$E$2")),4),""))</f>
        <v/>
      </c>
      <c r="J28" s="2" t="str">
        <f>IF(Demographics_Q_MS_EXPORT_CT="(None)","",IFERROR(INDEX(INDIRECT(IFERROR(INDEX(All_Questions_Options_Names,MATCH(Demographics_Q_MS_EXPORT_CT,All_Questions,0)),"'_Options'!$E$2:$E$2")),5),""))</f>
        <v/>
      </c>
      <c r="K28" s="2" t="str">
        <f>IF(Demographics_Q_MS_EXPORT_CT="(None)","",IFERROR(INDEX(INDIRECT(IFERROR(INDEX(All_Questions_Options_Names,MATCH(Demographics_Q_MS_EXPORT_CT,All_Questions,0)),"'_Options'!$E$2:$E$2")),6),""))</f>
        <v/>
      </c>
      <c r="L28" s="2" t="str">
        <f>IF(Demographics_Q_MS_EXPORT_CT="(None)","",IFERROR(INDEX(INDIRECT(IFERROR(INDEX(All_Questions_Options_Names,MATCH(Demographics_Q_MS_EXPORT_CT,All_Questions,0)),"'_Options'!$E$2:$E$2")),7),""))</f>
        <v/>
      </c>
      <c r="M28" s="2" t="str">
        <f>IF(Demographics_Q_MS_EXPORT_CT="(None)","",IFERROR(INDEX(INDIRECT(IFERROR(INDEX(All_Questions_Options_Names,MATCH(Demographics_Q_MS_EXPORT_CT,All_Questions,0)),"'_Options'!$E$2:$E$2")),8),""))</f>
        <v/>
      </c>
      <c r="N28" s="2" t="str">
        <f>IF(Demographics_Q_MS_EXPORT_CT="(None)","",IFERROR(INDEX(INDIRECT(IFERROR(INDEX(All_Questions_Options_Names,MATCH(Demographics_Q_MS_EXPORT_CT,All_Questions,0)),"'_Options'!$E$2:$E$2")),9),""))</f>
        <v/>
      </c>
      <c r="O28" s="2" t="str">
        <f>IF(Demographics_Q_MS_EXPORT_CT="(None)","",IFERROR(INDEX(INDIRECT(IFERROR(INDEX(All_Questions_Options_Names,MATCH(Demographics_Q_MS_EXPORT_CT,All_Questions,0)),"'_Options'!$E$2:$E$2")),10),""))</f>
        <v/>
      </c>
      <c r="P28" s="2" t="str">
        <f>IF(Demographics_Q_MS_EXPORT_CT="(None)","",IFERROR(INDEX(INDIRECT(IFERROR(INDEX(All_Questions_Options_Names,MATCH(Demographics_Q_MS_EXPORT_CT,All_Questions,0)),"'_Options'!$E$2:$E$2")),11),""))</f>
        <v/>
      </c>
      <c r="Q28" s="2" t="str">
        <f>IF(Demographics_Q_MS_EXPORT_CT="(None)","",IFERROR(INDEX(INDIRECT(IFERROR(INDEX(All_Questions_Options_Names,MATCH(Demographics_Q_MS_EXPORT_CT,All_Questions,0)),"'_Options'!$E$2:$E$2")),12),""))</f>
        <v/>
      </c>
      <c r="R28" s="2" t="str">
        <f>IF(Demographics_Q_MS_EXPORT_CT="(None)","",IF(COUNTA(INDIRECT(IFERROR(INDEX(All_Questions_Options_Names,MATCH(Demographics_Q_MS_EXPORT_CT,All_Questions,0)),"'_Options'!$E$2:$E$2")))-1&gt;11,"Other",IFERROR(INDEX(INDIRECT(IFERROR(INDEX(All_Questions_Options_Names,MATCH(Demographics_Q_MS_EXPORT_CT,All_Questions,0)),"'_Options'!$E$2:$E$2")),13),"")))</f>
        <v/>
      </c>
      <c r="S28" s="4" t="inlineStr">
        <is>
          <t>Total</t>
        </is>
      </c>
    </row>
    <row r="29">
      <c r="A29" t="inlineStr">
        <is>
          <t>First</t>
        </is>
      </c>
      <c r="B29">
        <f>COUNTIFS(Q_MS_EXPORTr1_data,"Selected",passes_workbook_filters_data,1,passes_workbook_custom_filters_data,1,Demographics_passes_local_filters_data,1,Demographics_Q_MS_EXPORT_F_passes_per_q_filter_data,1)</f>
        <v>5</v>
      </c>
      <c r="C29" s="7">
        <f>IFERROR(B29/SUBTOTAL(9,B29:B30),0)</f>
        <v>0.7142857142857143</v>
      </c>
      <c r="D29" s="14">
        <f>SUBTOTAL(9,B29:B30)</f>
        <v>7</v>
      </c>
      <c r="F29" s="4" t="inlineStr"/>
      <c r="G29" s="4" t="inlineStr">
        <is>
          <t># of resp</t>
        </is>
      </c>
      <c r="H29" s="4" t="inlineStr">
        <is>
          <t># of resp</t>
        </is>
      </c>
      <c r="I29" s="4" t="inlineStr">
        <is>
          <t># of resp</t>
        </is>
      </c>
      <c r="J29" s="4" t="inlineStr">
        <is>
          <t># of resp</t>
        </is>
      </c>
      <c r="K29" s="4" t="inlineStr">
        <is>
          <t># of resp</t>
        </is>
      </c>
      <c r="L29" s="4" t="inlineStr">
        <is>
          <t># of resp</t>
        </is>
      </c>
      <c r="M29" s="4" t="inlineStr">
        <is>
          <t># of resp</t>
        </is>
      </c>
      <c r="N29" s="4" t="inlineStr">
        <is>
          <t># of resp</t>
        </is>
      </c>
      <c r="O29" s="4" t="inlineStr">
        <is>
          <t># of resp</t>
        </is>
      </c>
      <c r="P29" s="4" t="inlineStr">
        <is>
          <t># of resp</t>
        </is>
      </c>
      <c r="Q29" s="4" t="inlineStr">
        <is>
          <t># of resp</t>
        </is>
      </c>
      <c r="R29" s="4" t="inlineStr">
        <is>
          <t># of resp</t>
        </is>
      </c>
      <c r="S29" s="4" t="inlineStr">
        <is>
          <t># of resp</t>
        </is>
      </c>
    </row>
    <row r="30">
      <c r="A30" t="inlineStr">
        <is>
          <t>Second</t>
        </is>
      </c>
      <c r="B30">
        <f>COUNTIFS(Q_MS_EXPORTr2_data,"Selected",passes_workbook_filters_data,1,passes_workbook_custom_filters_data,1,Demographics_passes_local_filters_data,1,Demographics_Q_MS_EXPORT_F_passes_per_q_filter_data,1)</f>
        <v>2</v>
      </c>
      <c r="C30" s="7">
        <f>IFERROR(B30/SUBTOTAL(9,B29:B30),0)</f>
        <v>0.2857142857142857</v>
      </c>
      <c r="D30" s="14">
        <f>SUBTOTAL(9,B29:B30)</f>
        <v>7</v>
      </c>
      <c r="F30" t="inlineStr">
        <is>
          <t>First</t>
        </is>
      </c>
      <c r="G30">
        <f>IF(OR(Demographics_Q_MS_EXPORT_CT="(None)",G$28=""),"",COUNTIFS(Q_MS_EXPORTr1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G$28))</f>
        <v>0</v>
      </c>
      <c r="H30">
        <f>IF(OR(Demographics_Q_MS_EXPORT_CT="(None)",H$28=""),"",COUNTIFS(Q_MS_EXPORTr1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H$28))</f>
        <v>0</v>
      </c>
      <c r="I30">
        <f>IF(OR(Demographics_Q_MS_EXPORT_CT="(None)",I$28=""),"",COUNTIFS(Q_MS_EXPORTr1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I$28))</f>
        <v>0</v>
      </c>
      <c r="J30">
        <f>IF(OR(Demographics_Q_MS_EXPORT_CT="(None)",J$28=""),"",COUNTIFS(Q_MS_EXPORTr1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J$28))</f>
        <v>0</v>
      </c>
      <c r="K30">
        <f>IF(OR(Demographics_Q_MS_EXPORT_CT="(None)",K$28=""),"",COUNTIFS(Q_MS_EXPORTr1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K$28))</f>
        <v>0</v>
      </c>
      <c r="L30">
        <f>IF(OR(Demographics_Q_MS_EXPORT_CT="(None)",L$28=""),"",COUNTIFS(Q_MS_EXPORTr1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L$28))</f>
        <v>0</v>
      </c>
      <c r="M30">
        <f>IF(OR(Demographics_Q_MS_EXPORT_CT="(None)",M$28=""),"",COUNTIFS(Q_MS_EXPORTr1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M$28))</f>
        <v>0</v>
      </c>
      <c r="N30">
        <f>IF(OR(Demographics_Q_MS_EXPORT_CT="(None)",N$28=""),"",COUNTIFS(Q_MS_EXPORTr1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N$28))</f>
        <v>0</v>
      </c>
      <c r="O30">
        <f>IF(OR(Demographics_Q_MS_EXPORT_CT="(None)",O$28=""),"",COUNTIFS(Q_MS_EXPORTr1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O$28))</f>
        <v>0</v>
      </c>
      <c r="P30">
        <f>IF(OR(Demographics_Q_MS_EXPORT_CT="(None)",P$28=""),"",COUNTIFS(Q_MS_EXPORTr1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P$28))</f>
        <v>0</v>
      </c>
      <c r="Q30">
        <f>IF(OR(Demographics_Q_MS_EXPORT_CT="(None)",Q$28=""),"",COUNTIFS(Q_MS_EXPORTr1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Q$28))</f>
        <v>0</v>
      </c>
      <c r="R30">
        <f>IF(OR(Demographics_Q_MS_EXPORT_CT="(None)",R$28=""),"",IF(R$28="Other",COUNTIFS(Q_MS_EXPORTr1_data,"Selected",passes_workbook_filters_data,1,passes_workbook_custom_filters_data,1,Demographics_passes_local_filters_data,1,Demographics_Q_MS_EXPORT_F_passes_per_q_filter_data,1)-SUM(G30,H30,I30,J30,K30,L30,M30,N30,O30,P30,Q30),COUNTIFS(Q_MS_EXPORTr1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R$28)))</f>
        <v>0</v>
      </c>
      <c r="S30">
        <f>IF(Demographics_Q_MS_EXPORT_CT="(None)","",COUNTIFS(Q_MS_EXPORTr1_data,"Selected",passes_workbook_filters_data,1,passes_workbook_custom_filters_data,1,Demographics_passes_local_filters_data,1,Demographics_Q_MS_EXPORT_F_passes_per_q_filter_data,1))</f>
        <v>0</v>
      </c>
    </row>
    <row r="31">
      <c r="A31" s="15" t="inlineStr">
        <is>
          <t>Total respondents</t>
        </is>
      </c>
      <c r="B31" s="15" t="n">
        <v>10</v>
      </c>
      <c r="C31" s="15" t="n"/>
      <c r="D31" s="15" t="n"/>
      <c r="F31" t="inlineStr">
        <is>
          <t>Second</t>
        </is>
      </c>
      <c r="G31">
        <f>IF(OR(Demographics_Q_MS_EXPORT_CT="(None)",G$28=""),"",COUNTIFS(Q_MS_EXPORTr2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G$28))</f>
        <v>0</v>
      </c>
      <c r="H31">
        <f>IF(OR(Demographics_Q_MS_EXPORT_CT="(None)",H$28=""),"",COUNTIFS(Q_MS_EXPORTr2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H$28))</f>
        <v>0</v>
      </c>
      <c r="I31">
        <f>IF(OR(Demographics_Q_MS_EXPORT_CT="(None)",I$28=""),"",COUNTIFS(Q_MS_EXPORTr2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I$28))</f>
        <v>0</v>
      </c>
      <c r="J31">
        <f>IF(OR(Demographics_Q_MS_EXPORT_CT="(None)",J$28=""),"",COUNTIFS(Q_MS_EXPORTr2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J$28))</f>
        <v>0</v>
      </c>
      <c r="K31">
        <f>IF(OR(Demographics_Q_MS_EXPORT_CT="(None)",K$28=""),"",COUNTIFS(Q_MS_EXPORTr2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K$28))</f>
        <v>0</v>
      </c>
      <c r="L31">
        <f>IF(OR(Demographics_Q_MS_EXPORT_CT="(None)",L$28=""),"",COUNTIFS(Q_MS_EXPORTr2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L$28))</f>
        <v>0</v>
      </c>
      <c r="M31">
        <f>IF(OR(Demographics_Q_MS_EXPORT_CT="(None)",M$28=""),"",COUNTIFS(Q_MS_EXPORTr2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M$28))</f>
        <v>0</v>
      </c>
      <c r="N31">
        <f>IF(OR(Demographics_Q_MS_EXPORT_CT="(None)",N$28=""),"",COUNTIFS(Q_MS_EXPORTr2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N$28))</f>
        <v>0</v>
      </c>
      <c r="O31">
        <f>IF(OR(Demographics_Q_MS_EXPORT_CT="(None)",O$28=""),"",COUNTIFS(Q_MS_EXPORTr2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O$28))</f>
        <v>0</v>
      </c>
      <c r="P31">
        <f>IF(OR(Demographics_Q_MS_EXPORT_CT="(None)",P$28=""),"",COUNTIFS(Q_MS_EXPORTr2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P$28))</f>
        <v>0</v>
      </c>
      <c r="Q31">
        <f>IF(OR(Demographics_Q_MS_EXPORT_CT="(None)",Q$28=""),"",COUNTIFS(Q_MS_EXPORTr2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Q$28))</f>
        <v>0</v>
      </c>
      <c r="R31">
        <f>IF(OR(Demographics_Q_MS_EXPORT_CT="(None)",R$28=""),"",IF(R$28="Other",COUNTIFS(Q_MS_EXPORTr2_data,"Selected",passes_workbook_filters_data,1,passes_workbook_custom_filters_data,1,Demographics_passes_local_filters_data,1,Demographics_Q_MS_EXPORT_F_passes_per_q_filter_data,1)-SUM(G31,H31,I31,J31,K31,L31,M31,N31,O31,P31,Q31),COUNTIFS(Q_MS_EXPORTr2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R$28)))</f>
        <v>0</v>
      </c>
      <c r="S31">
        <f>IF(Demographics_Q_MS_EXPORT_CT="(None)","",COUNTIFS(Q_MS_EXPORTr2_data,"Selected",passes_workbook_filters_data,1,passes_workbook_custom_filters_data,1,Demographics_passes_local_filters_data,1,Demographics_Q_MS_EXPORT_F_passes_per_q_filter_data,1))</f>
        <v>0</v>
      </c>
    </row>
    <row r="32">
      <c r="A32" s="4" t="inlineStr">
        <is>
          <t>Total responses</t>
        </is>
      </c>
      <c r="B32" s="4" t="n">
        <v>7</v>
      </c>
      <c r="C32" s="4" t="n"/>
      <c r="D32" s="4" t="n"/>
      <c r="F32" s="4" t="inlineStr">
        <is>
          <t>Total respondents</t>
        </is>
      </c>
      <c r="G32" s="2" t="n"/>
      <c r="H32" s="2" t="n"/>
      <c r="I32" s="2" t="n"/>
      <c r="J32" s="2" t="n"/>
      <c r="K32" s="2" t="n"/>
      <c r="L32" s="2" t="n"/>
      <c r="M32" s="2" t="n"/>
      <c r="N32" s="2" t="n"/>
      <c r="O32" s="2" t="n"/>
      <c r="P32" s="2" t="n"/>
      <c r="Q32" s="2" t="n"/>
      <c r="R32" s="2" t="n"/>
      <c r="S32" s="2">
        <f>IF(Demographics_Q_MS_EXPORT_CT="(None)","",COUNTIFS(respondent_id_data,"&lt;&gt;",passes_workbook_filters_data,1,passes_workbook_custom_filters_data,1,Demographics_passes_local_filters_data,1,Demographics_Q_MS_EXPORT_F_passes_per_q_filter_data,1))</f>
        <v>0</v>
      </c>
    </row>
  </sheetData>
  <mergeCells count="1">
    <mergeCell ref="A1:J1"/>
  </mergeCells>
  <conditionalFormatting sqref="B19:B20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9:C20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0:G21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0:H21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0:I21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0:J21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0:K21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0:L21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0:M21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0:N21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0:O21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0:P21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0:Q21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0:R21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9:B30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9:C30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30:G31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30:H31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30:I31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30:J31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30:K31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30:L31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30:M31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30:N31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30:O31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30:P31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30:Q31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30:R31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2">
    <dataValidation sqref="B5" showDropDown="0" showInputMessage="0" showErrorMessage="0" allowBlank="1" type="list">
      <formula1>=Q_SS_EXPORT_local_options</formula1>
    </dataValidation>
    <dataValidation sqref="B6" showDropDown="0" showInputMessage="0" showErrorMessage="0" allowBlank="1" type="list">
      <formula1>=Q_MS_EXPORTr1_local_options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=INDIRECT(IFERROR(INDEX(All_Questions_Options_Names,MATCH(Demographics_F_Custom1_Q_resolved,All_Questions,0)),"'_Options'!$E$2:$E$2"))</formula1>
    </dataValidation>
    <dataValidation sqref="B9" showDropDown="0" showInputMessage="0" showErrorMessage="0" allowBlank="1" type="list">
      <formula1>=All_Questions_Local</formula1>
    </dataValidation>
    <dataValidation sqref="B10" showDropDown="0" showInputMessage="0" showErrorMessage="0" allowBlank="1" type="list">
      <formula1>=INDIRECT(IFERROR(INDEX(All_Questions_Options_Names,MATCH(Demographics_F_Custom2_Q_resolved,All_Questions,0)),"'_Options'!$E$2:$E$2"))</formula1>
    </dataValidation>
    <dataValidation sqref="C15" showDropDown="0" showInputMessage="0" showErrorMessage="0" allowBlank="1" type="list">
      <formula1>=All_Questions</formula1>
    </dataValidation>
    <dataValidation sqref="E15" showDropDown="0" showInputMessage="0" showErrorMessage="0" allowBlank="1" type="list">
      <formula1>=INDIRECT(IFERROR(INDEX(All_Questions_Options_Names,MATCH(Demographics_Q_SS_EXPORT_F_Q,All_Questions,0)),"'_Options'!$E$2:$E$2"))</formula1>
    </dataValidation>
    <dataValidation sqref="C16" showDropDown="0" showInputMessage="0" showErrorMessage="0" allowBlank="1" type="list">
      <formula1>=All_Questions</formula1>
    </dataValidation>
    <dataValidation sqref="C25" showDropDown="0" showInputMessage="0" showErrorMessage="0" allowBlank="1" type="list">
      <formula1>=All_Questions</formula1>
    </dataValidation>
    <dataValidation sqref="E25" showDropDown="0" showInputMessage="0" showErrorMessage="0" allowBlank="1" type="list">
      <formula1>=INDIRECT(IFERROR(INDEX(All_Questions_Options_Names,MATCH(Demographics_Q_MS_EXPORT_F_Q,All_Questions,0)),"'_Options'!$E$2:$E$2"))</formula1>
    </dataValidation>
    <dataValidation sqref="C26" showDropDown="0" showInputMessage="0" showErrorMessage="0" allowBlank="1" type="list">
      <formula1>=All_Questions</formula1>
    </dataValidation>
  </dataValidations>
  <pageMargins left="0.75" right="0.75" top="1" bottom="1" header="0.5" footer="0.5"/>
  <legacyDrawing xmlns:r="http://schemas.openxmlformats.org/officeDocument/2006/relationships" r:id="anysvml"/>
  <tableParts count="2">
    <tablePart xmlns:r="http://schemas.openxmlformats.org/officeDocument/2006/relationships" r:id="rId1"/>
    <tablePart xmlns:r="http://schemas.openxmlformats.org/officeDocument/2006/relationships" r:id="rId2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S4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Single Select Export Question</t>
        </is>
      </c>
      <c r="B5" t="inlineStr">
        <is>
          <t>(Inherit)</t>
        </is>
      </c>
      <c r="C5" t="str">
        <f>IF(All_Questions_F_Country="(Inherit)",F_Country,All_Questions_F_Country)</f>
        <v>(All)</v>
      </c>
      <c r="D5" t="str">
        <f>"|" &amp; SUBSTITUTE(All_Questions_F_Country_resolved, ", ", "|") &amp; "|"</f>
        <v>|(All)|</v>
      </c>
      <c r="E5" t="inlineStr">
        <is>
          <t>Yes, No</t>
        </is>
      </c>
    </row>
    <row r="6">
      <c r="A6" t="inlineStr">
        <is>
          <t>Multi Select Export Question</t>
        </is>
      </c>
      <c r="B6" t="inlineStr">
        <is>
          <t>(Inherit)</t>
        </is>
      </c>
      <c r="C6" t="str">
        <f>IF(All_Questions_F_Industry="(Inherit)",F_Industry,All_Questions_F_Industry)</f>
        <v>(All)</v>
      </c>
      <c r="D6" t="str">
        <f>"|" &amp; SUBSTITUTE(All_Questions_F_Industry_resolved, ", ", "|") &amp; "|"</f>
        <v>|(All)|</v>
      </c>
      <c r="E6" t="inlineStr">
        <is>
          <t>Selected</t>
        </is>
      </c>
    </row>
    <row r="7">
      <c r="A7" t="inlineStr">
        <is>
          <t>Custom 1 question</t>
        </is>
      </c>
      <c r="B7" t="inlineStr">
        <is>
          <t>(Inherit)</t>
        </is>
      </c>
      <c r="C7" t="str">
        <f>IF(All_Questions_F_Custom1_Q="(Inherit)",F_Custom1_Q,All_Questions_F_Custom1_Q)</f>
        <v>(None)</v>
      </c>
      <c r="E7" t="inlineStr">
        <is>
          <t>Workbook question or local override</t>
        </is>
      </c>
    </row>
    <row r="8">
      <c r="A8" t="inlineStr">
        <is>
          <t>Custom 1 value</t>
        </is>
      </c>
      <c r="B8" t="inlineStr">
        <is>
          <t>(Inherit)</t>
        </is>
      </c>
      <c r="C8" t="str">
        <f>IF(All_Questions_F_Custom1_V="(Inherit)",F_Custom1_V,All_Questions_F_Custom1_V)</f>
        <v>(All)</v>
      </c>
      <c r="D8" t="str">
        <f>"|" &amp; SUBSTITUTE(All_Questions_F_Custom1_V_resolved,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IFERROR(INDEX(All_Questions_Data_Names,MATCH(All_Questions_F_Custom1_Q_resolved,All_Questions,0)),"'_RawData'!$A:$A")</f>
        <v>respondent_id_data</v>
      </c>
    </row>
    <row r="9">
      <c r="A9" t="inlineStr">
        <is>
          <t>Custom 2 question</t>
        </is>
      </c>
      <c r="B9" t="inlineStr">
        <is>
          <t>(Inherit)</t>
        </is>
      </c>
      <c r="C9" t="str">
        <f>IF(All_Questions_F_Custom2_Q="(Inherit)",F_Custom2_Q,All_Questions_F_Custom2_Q)</f>
        <v>(None)</v>
      </c>
      <c r="E9" t="inlineStr">
        <is>
          <t>Workbook question or local override</t>
        </is>
      </c>
    </row>
    <row r="10">
      <c r="A10" t="inlineStr">
        <is>
          <t>Custom 2 value</t>
        </is>
      </c>
      <c r="B10" t="inlineStr">
        <is>
          <t>(Inherit)</t>
        </is>
      </c>
      <c r="C10" t="str">
        <f>IF(All_Questions_F_Custom2_V="(Inherit)",F_Custom2_V,All_Questions_F_Custom2_V)</f>
        <v>(All)</v>
      </c>
      <c r="D10" t="str">
        <f>"|" &amp; SUBSTITUTE(All_Questions_F_Custom2_V_resolved, ", ", "|") &amp; "|"</f>
        <v>|(All)|</v>
      </c>
      <c r="E10" t="inlineStr">
        <is>
          <t>Choose one value or type comma-separated values</t>
        </is>
      </c>
      <c r="F10" t="str">
        <f>IFERROR(INDEX(All_Questions_Data_Names,MATCH(All_Questions_F_Custom2_Q_resolved,All_Questions,0)),"'_RawData'!$A:$A")</f>
        <v>respondent_id_data</v>
      </c>
    </row>
    <row r="13">
      <c r="A13" s="11" t="n"/>
      <c r="B13" s="11" t="n"/>
      <c r="C13" s="11" t="n"/>
      <c r="D13" s="11" t="n"/>
      <c r="E13" s="11" t="n"/>
      <c r="F13" s="11" t="n"/>
      <c r="G13" s="11" t="n"/>
      <c r="H13" s="11" t="n"/>
      <c r="I13" s="11" t="n"/>
      <c r="J13" s="11" t="n"/>
    </row>
    <row r="14">
      <c r="A14" s="12" t="inlineStr">
        <is>
          <t>Q_NUM_EXPORT - Numeric export question</t>
        </is>
      </c>
      <c r="B14" s="12" t="n"/>
      <c r="C14" s="12" t="n"/>
      <c r="D14" s="12" t="n"/>
      <c r="E14" s="12" t="n"/>
      <c r="F14" s="12" t="n"/>
      <c r="G14" s="12" t="n"/>
      <c r="H14" s="12" t="n"/>
      <c r="I14" s="12" t="n"/>
      <c r="J14" s="12" t="n"/>
      <c r="K14" s="12" t="n"/>
      <c r="L14" s="12" t="n"/>
      <c r="M14" s="12" t="n"/>
      <c r="N14" s="12" t="n"/>
    </row>
    <row r="15">
      <c r="A15" s="13" t="inlineStr">
        <is>
          <t>Per-question filter</t>
        </is>
      </c>
      <c r="B15" t="inlineStr">
        <is>
          <t>Filter Q</t>
        </is>
      </c>
      <c r="C15" t="inlineStr">
        <is>
          <t>(None)</t>
        </is>
      </c>
      <c r="D15" t="inlineStr">
        <is>
          <t>Value</t>
        </is>
      </c>
      <c r="E15" t="inlineStr">
        <is>
          <t>(All)</t>
        </is>
      </c>
      <c r="F15" t="str">
        <f>IFERROR(INDEX(All_Questions_Data_Names,MATCH(All_Questions_Q_NUM_EXPORT_F_Q,All_Questions,0)),"'_RawData'!$A:$A")</f>
        <v>respondent_id_data</v>
      </c>
      <c r="G15" t="str">
        <f>"|" &amp; SUBSTITUTE(All_Questions_Q_NUM_EXPORT_F_V, ", ", "|") &amp; "|"</f>
        <v>|(All)|</v>
      </c>
    </row>
    <row r="16">
      <c r="A16" s="13" t="inlineStr">
        <is>
          <t>Cross-tab by</t>
        </is>
      </c>
      <c r="C16" t="inlineStr">
        <is>
          <t>(None)</t>
        </is>
      </c>
    </row>
    <row r="18">
      <c r="A18" s="4" t="inlineStr">
        <is>
          <t>Metric</t>
        </is>
      </c>
      <c r="B18" s="4" t="inlineStr">
        <is>
          <t>Value</t>
        </is>
      </c>
      <c r="C18" s="4" t="inlineStr">
        <is>
          <t>Note</t>
        </is>
      </c>
      <c r="D18" s="4" t="inlineStr">
        <is>
          <t>Denominator</t>
        </is>
      </c>
    </row>
    <row r="19">
      <c r="A19" t="inlineStr">
        <is>
          <t>Mean</t>
        </is>
      </c>
      <c r="B19">
        <f>IFERROR(AVERAGEIFS(Q_NUM_EXPORT_data,passes_workbook_filters_data,1,passes_workbook_custom_filters_data,1,All_Questions_passes_local_filters_data,1,All_Questions_Q_NUM_EXPORT_F_passes_per_q_filter_data,1),0)</f>
        <v>5.5</v>
      </c>
      <c r="D19">
        <f>COUNTIFS(Q_NUM_EXPORT_data,"&lt;&gt;",passes_workbook_filters_data,1,passes_workbook_custom_filters_data,1,All_Questions_passes_local_filters_data,1,All_Questions_Q_NUM_EXPORT_F_passes_per_q_filter_data,1)</f>
        <v>10</v>
      </c>
    </row>
    <row r="20">
      <c r="A20" t="inlineStr">
        <is>
          <t>Min</t>
        </is>
      </c>
      <c r="B20">
        <f>IFERROR(MINIFS(Q_NUM_EXPORT_data,passes_workbook_filters_data,1,passes_workbook_custom_filters_data,1,All_Questions_passes_local_filters_data,1,All_Questions_Q_NUM_EXPORT_F_passes_per_q_filter_data,1),0)</f>
        <v>1.0</v>
      </c>
      <c r="D20">
        <f>COUNTIFS(Q_NUM_EXPORT_data,"&lt;&gt;",passes_workbook_filters_data,1,passes_workbook_custom_filters_data,1,All_Questions_passes_local_filters_data,1,All_Questions_Q_NUM_EXPORT_F_passes_per_q_filter_data,1)</f>
        <v>10</v>
      </c>
    </row>
    <row r="21">
      <c r="A21" t="inlineStr">
        <is>
          <t>Max</t>
        </is>
      </c>
      <c r="B21">
        <f>IFERROR(MAXIFS(Q_NUM_EXPORT_data,passes_workbook_filters_data,1,passes_workbook_custom_filters_data,1,All_Questions_passes_local_filters_data,1,All_Questions_Q_NUM_EXPORT_F_passes_per_q_filter_data,1),0)</f>
        <v>10.0</v>
      </c>
      <c r="D21">
        <f>COUNTIFS(Q_NUM_EXPORT_data,"&lt;&gt;",passes_workbook_filters_data,1,passes_workbook_custom_filters_data,1,All_Questions_passes_local_filters_data,1,All_Questions_Q_NUM_EXPORT_F_passes_per_q_filter_data,1)</f>
        <v>10</v>
      </c>
    </row>
    <row r="22">
      <c r="A22" t="inlineStr">
        <is>
          <t>Std</t>
        </is>
      </c>
      <c r="B22" t="n">
        <v>2.9</v>
      </c>
      <c r="C22" t="inlineStr">
        <is>
          <t>static baseline</t>
        </is>
      </c>
      <c r="D22">
        <f>COUNTIFS(Q_NUM_EXPORT_data,"&lt;&gt;",passes_workbook_filters_data,1,passes_workbook_custom_filters_data,1,All_Questions_passes_local_filters_data,1,All_Questions_Q_NUM_EXPORT_F_passes_per_q_filter_data,1)</f>
        <v>10</v>
      </c>
    </row>
    <row r="23">
      <c r="A23" s="10" t="inlineStr">
        <is>
          <t>Median not available in filtered view - see static baseline in audit log.</t>
        </is>
      </c>
    </row>
    <row r="25">
      <c r="A25" s="11" t="n"/>
      <c r="B25" s="11" t="n"/>
      <c r="C25" s="11" t="n"/>
      <c r="D25" s="11" t="n"/>
      <c r="E25" s="11" t="n"/>
      <c r="F25" s="11" t="n"/>
      <c r="G25" s="11" t="n"/>
      <c r="H25" s="11" t="n"/>
      <c r="I25" s="11" t="n"/>
      <c r="J25" s="11" t="n"/>
    </row>
    <row r="26">
      <c r="A26" s="12" t="inlineStr">
        <is>
          <t>Q_GRID_EXPORT - Grid export question</t>
        </is>
      </c>
      <c r="B26" s="12" t="n"/>
      <c r="C26" s="12" t="n"/>
      <c r="D26" s="12" t="n"/>
      <c r="E26" s="12" t="n"/>
      <c r="F26" s="12" t="n"/>
      <c r="G26" s="12" t="n"/>
      <c r="H26" s="12" t="n"/>
      <c r="I26" s="12" t="n"/>
      <c r="J26" s="12" t="n"/>
      <c r="K26" s="12" t="n"/>
      <c r="L26" s="12" t="n"/>
      <c r="M26" s="12" t="n"/>
      <c r="N26" s="12" t="n"/>
    </row>
    <row r="27">
      <c r="A27" s="13" t="inlineStr">
        <is>
          <t>Per-question filter</t>
        </is>
      </c>
      <c r="B27" t="inlineStr">
        <is>
          <t>Filter Q</t>
        </is>
      </c>
      <c r="C27" t="inlineStr">
        <is>
          <t>(None)</t>
        </is>
      </c>
      <c r="D27" t="inlineStr">
        <is>
          <t>Value</t>
        </is>
      </c>
      <c r="E27" t="inlineStr">
        <is>
          <t>(All)</t>
        </is>
      </c>
      <c r="F27" t="str">
        <f>IFERROR(INDEX(All_Questions_Data_Names,MATCH(All_Questions_Q_GRID_EXPORT_F_Q,All_Questions,0)),"'_RawData'!$A:$A")</f>
        <v>respondent_id_data</v>
      </c>
      <c r="G27" t="str">
        <f>"|" &amp; SUBSTITUTE(All_Questions_Q_GRID_EXPORT_F_V, ", ", "|") &amp; "|"</f>
        <v>|(All)|</v>
      </c>
    </row>
    <row r="28">
      <c r="A28" s="13" t="inlineStr">
        <is>
          <t>Cross-tab by</t>
        </is>
      </c>
      <c r="C28" t="inlineStr">
        <is>
          <t>(None)</t>
        </is>
      </c>
    </row>
    <row r="30">
      <c r="A30" s="4" t="inlineStr">
        <is>
          <t>Option</t>
        </is>
      </c>
      <c r="B30" s="4" t="inlineStr">
        <is>
          <t>Count</t>
        </is>
      </c>
      <c r="C30" s="4" t="inlineStr">
        <is>
          <t>%</t>
        </is>
      </c>
      <c r="D30" s="4" t="inlineStr">
        <is>
          <t>Denominator</t>
        </is>
      </c>
      <c r="F30" s="4" t="inlineStr">
        <is>
          <t>Option</t>
        </is>
      </c>
      <c r="G30" s="2" t="str">
        <f>IF(All_Questions_Q_GRID_EXPORT_CT="(None)","",IFERROR(INDEX(INDIRECT(IFERROR(INDEX(All_Questions_Options_Names,MATCH(All_Questions_Q_GRID_EXPORT_CT,All_Questions,0)),"'_Options'!$E$2:$E$2")),2),""))</f>
        <v/>
      </c>
      <c r="H30" s="2" t="str">
        <f>IF(All_Questions_Q_GRID_EXPORT_CT="(None)","",IFERROR(INDEX(INDIRECT(IFERROR(INDEX(All_Questions_Options_Names,MATCH(All_Questions_Q_GRID_EXPORT_CT,All_Questions,0)),"'_Options'!$E$2:$E$2")),3),""))</f>
        <v/>
      </c>
      <c r="I30" s="2" t="str">
        <f>IF(All_Questions_Q_GRID_EXPORT_CT="(None)","",IFERROR(INDEX(INDIRECT(IFERROR(INDEX(All_Questions_Options_Names,MATCH(All_Questions_Q_GRID_EXPORT_CT,All_Questions,0)),"'_Options'!$E$2:$E$2")),4),""))</f>
        <v/>
      </c>
      <c r="J30" s="2" t="str">
        <f>IF(All_Questions_Q_GRID_EXPORT_CT="(None)","",IFERROR(INDEX(INDIRECT(IFERROR(INDEX(All_Questions_Options_Names,MATCH(All_Questions_Q_GRID_EXPORT_CT,All_Questions,0)),"'_Options'!$E$2:$E$2")),5),""))</f>
        <v/>
      </c>
      <c r="K30" s="2" t="str">
        <f>IF(All_Questions_Q_GRID_EXPORT_CT="(None)","",IFERROR(INDEX(INDIRECT(IFERROR(INDEX(All_Questions_Options_Names,MATCH(All_Questions_Q_GRID_EXPORT_CT,All_Questions,0)),"'_Options'!$E$2:$E$2")),6),""))</f>
        <v/>
      </c>
      <c r="L30" s="2" t="str">
        <f>IF(All_Questions_Q_GRID_EXPORT_CT="(None)","",IFERROR(INDEX(INDIRECT(IFERROR(INDEX(All_Questions_Options_Names,MATCH(All_Questions_Q_GRID_EXPORT_CT,All_Questions,0)),"'_Options'!$E$2:$E$2")),7),""))</f>
        <v/>
      </c>
      <c r="M30" s="2" t="str">
        <f>IF(All_Questions_Q_GRID_EXPORT_CT="(None)","",IFERROR(INDEX(INDIRECT(IFERROR(INDEX(All_Questions_Options_Names,MATCH(All_Questions_Q_GRID_EXPORT_CT,All_Questions,0)),"'_Options'!$E$2:$E$2")),8),""))</f>
        <v/>
      </c>
      <c r="N30" s="2" t="str">
        <f>IF(All_Questions_Q_GRID_EXPORT_CT="(None)","",IFERROR(INDEX(INDIRECT(IFERROR(INDEX(All_Questions_Options_Names,MATCH(All_Questions_Q_GRID_EXPORT_CT,All_Questions,0)),"'_Options'!$E$2:$E$2")),9),""))</f>
        <v/>
      </c>
      <c r="O30" s="2" t="str">
        <f>IF(All_Questions_Q_GRID_EXPORT_CT="(None)","",IFERROR(INDEX(INDIRECT(IFERROR(INDEX(All_Questions_Options_Names,MATCH(All_Questions_Q_GRID_EXPORT_CT,All_Questions,0)),"'_Options'!$E$2:$E$2")),10),""))</f>
        <v/>
      </c>
      <c r="P30" s="2" t="str">
        <f>IF(All_Questions_Q_GRID_EXPORT_CT="(None)","",IFERROR(INDEX(INDIRECT(IFERROR(INDEX(All_Questions_Options_Names,MATCH(All_Questions_Q_GRID_EXPORT_CT,All_Questions,0)),"'_Options'!$E$2:$E$2")),11),""))</f>
        <v/>
      </c>
      <c r="Q30" s="2" t="str">
        <f>IF(All_Questions_Q_GRID_EXPORT_CT="(None)","",IFERROR(INDEX(INDIRECT(IFERROR(INDEX(All_Questions_Options_Names,MATCH(All_Questions_Q_GRID_EXPORT_CT,All_Questions,0)),"'_Options'!$E$2:$E$2")),12),""))</f>
        <v/>
      </c>
      <c r="R30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30" s="4" t="inlineStr">
        <is>
          <t>Total</t>
        </is>
      </c>
    </row>
    <row r="31">
      <c r="A31" t="inlineStr">
        <is>
          <t>Grid first row</t>
        </is>
      </c>
      <c r="B31">
        <f>COUNTIFS(Q_GRID_EXPORTr1_data,"Selected",passes_workbook_filters_data,1,passes_workbook_custom_filters_data,1,All_Questions_passes_local_filters_data,1,All_Questions_Q_GRID_EXPORT_F_passes_per_q_filter_data,1)</f>
        <v>10</v>
      </c>
      <c r="C31" s="7">
        <f>IFERROR(B31/SUBTOTAL(9,B31:B32),0)</f>
        <v>0.5</v>
      </c>
      <c r="D31" s="14">
        <f>SUBTOTAL(9,B31:B32)</f>
        <v>20</v>
      </c>
      <c r="F31" s="4" t="inlineStr"/>
      <c r="G31" s="4" t="inlineStr">
        <is>
          <t># of resp</t>
        </is>
      </c>
      <c r="H31" s="4" t="inlineStr">
        <is>
          <t># of resp</t>
        </is>
      </c>
      <c r="I31" s="4" t="inlineStr">
        <is>
          <t># of resp</t>
        </is>
      </c>
      <c r="J31" s="4" t="inlineStr">
        <is>
          <t># of resp</t>
        </is>
      </c>
      <c r="K31" s="4" t="inlineStr">
        <is>
          <t># of resp</t>
        </is>
      </c>
      <c r="L31" s="4" t="inlineStr">
        <is>
          <t># of resp</t>
        </is>
      </c>
      <c r="M31" s="4" t="inlineStr">
        <is>
          <t># of resp</t>
        </is>
      </c>
      <c r="N31" s="4" t="inlineStr">
        <is>
          <t># of resp</t>
        </is>
      </c>
      <c r="O31" s="4" t="inlineStr">
        <is>
          <t># of resp</t>
        </is>
      </c>
      <c r="P31" s="4" t="inlineStr">
        <is>
          <t># of resp</t>
        </is>
      </c>
      <c r="Q31" s="4" t="inlineStr">
        <is>
          <t># of resp</t>
        </is>
      </c>
      <c r="R31" s="4" t="inlineStr">
        <is>
          <t># of resp</t>
        </is>
      </c>
      <c r="S31" s="4" t="inlineStr">
        <is>
          <t># of resp</t>
        </is>
      </c>
    </row>
    <row r="32">
      <c r="A32" t="inlineStr">
        <is>
          <t>Grid second row</t>
        </is>
      </c>
      <c r="B32">
        <f>COUNTIFS(Q_GRID_EXPORTr2_data,"Selected",passes_workbook_filters_data,1,passes_workbook_custom_filters_data,1,All_Questions_passes_local_filters_data,1,All_Questions_Q_GRID_EXPORT_F_passes_per_q_filter_data,1)</f>
        <v>10</v>
      </c>
      <c r="C32" s="7">
        <f>IFERROR(B32/SUBTOTAL(9,B31:B32),0)</f>
        <v>0.5</v>
      </c>
      <c r="D32" s="14">
        <f>SUBTOTAL(9,B31:B32)</f>
        <v>20</v>
      </c>
      <c r="F32" t="inlineStr">
        <is>
          <t>Grid first row</t>
        </is>
      </c>
      <c r="G32">
        <f>IF(OR(All_Questions_Q_GRID_EXPORT_CT="(None)",G$30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$30))</f>
        <v>0</v>
      </c>
      <c r="H32">
        <f>IF(OR(All_Questions_Q_GRID_EXPORT_CT="(None)",H$30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$30))</f>
        <v>0</v>
      </c>
      <c r="I32">
        <f>IF(OR(All_Questions_Q_GRID_EXPORT_CT="(None)",I$30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$30))</f>
        <v>0</v>
      </c>
      <c r="J32">
        <f>IF(OR(All_Questions_Q_GRID_EXPORT_CT="(None)",J$30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$30))</f>
        <v>0</v>
      </c>
      <c r="K32">
        <f>IF(OR(All_Questions_Q_GRID_EXPORT_CT="(None)",K$30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$30))</f>
        <v>0</v>
      </c>
      <c r="L32">
        <f>IF(OR(All_Questions_Q_GRID_EXPORT_CT="(None)",L$30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$30))</f>
        <v>0</v>
      </c>
      <c r="M32">
        <f>IF(OR(All_Questions_Q_GRID_EXPORT_CT="(None)",M$30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$30))</f>
        <v>0</v>
      </c>
      <c r="N32">
        <f>IF(OR(All_Questions_Q_GRID_EXPORT_CT="(None)",N$30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$30))</f>
        <v>0</v>
      </c>
      <c r="O32">
        <f>IF(OR(All_Questions_Q_GRID_EXPORT_CT="(None)",O$30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$30))</f>
        <v>0</v>
      </c>
      <c r="P32">
        <f>IF(OR(All_Questions_Q_GRID_EXPORT_CT="(None)",P$30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$30))</f>
        <v>0</v>
      </c>
      <c r="Q32">
        <f>IF(OR(All_Questions_Q_GRID_EXPORT_CT="(None)",Q$30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$30))</f>
        <v>0</v>
      </c>
      <c r="R32">
        <f>IF(OR(All_Questions_Q_GRID_EXPORT_CT="(None)",R$30=""),"",IF(R$30="Other",COUNTIFS(Q_GRID_EXPORTr1_data,"Selected",passes_workbook_filters_data,1,passes_workbook_custom_filters_data,1,All_Questions_passes_local_filters_data,1,All_Questions_Q_GRID_EXPORT_F_passes_per_q_filter_data,1)-SUM(G32,H32,I32,J32,K32,L32,M32,N32,O32,P32,Q32)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$30)))</f>
        <v>0</v>
      </c>
      <c r="S32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33">
      <c r="A33" s="15" t="inlineStr">
        <is>
          <t>Total respondents</t>
        </is>
      </c>
      <c r="B33" s="15" t="n">
        <v>10</v>
      </c>
      <c r="C33" s="15" t="n"/>
      <c r="D33" s="15" t="n"/>
      <c r="F33" t="inlineStr">
        <is>
          <t>Grid second row</t>
        </is>
      </c>
      <c r="G33">
        <f>IF(OR(All_Questions_Q_GRID_EXPORT_CT="(None)",G$30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$30))</f>
        <v>0</v>
      </c>
      <c r="H33">
        <f>IF(OR(All_Questions_Q_GRID_EXPORT_CT="(None)",H$30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$30))</f>
        <v>0</v>
      </c>
      <c r="I33">
        <f>IF(OR(All_Questions_Q_GRID_EXPORT_CT="(None)",I$30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$30))</f>
        <v>0</v>
      </c>
      <c r="J33">
        <f>IF(OR(All_Questions_Q_GRID_EXPORT_CT="(None)",J$30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$30))</f>
        <v>0</v>
      </c>
      <c r="K33">
        <f>IF(OR(All_Questions_Q_GRID_EXPORT_CT="(None)",K$30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$30))</f>
        <v>0</v>
      </c>
      <c r="L33">
        <f>IF(OR(All_Questions_Q_GRID_EXPORT_CT="(None)",L$30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$30))</f>
        <v>0</v>
      </c>
      <c r="M33">
        <f>IF(OR(All_Questions_Q_GRID_EXPORT_CT="(None)",M$30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$30))</f>
        <v>0</v>
      </c>
      <c r="N33">
        <f>IF(OR(All_Questions_Q_GRID_EXPORT_CT="(None)",N$30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$30))</f>
        <v>0</v>
      </c>
      <c r="O33">
        <f>IF(OR(All_Questions_Q_GRID_EXPORT_CT="(None)",O$30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$30))</f>
        <v>0</v>
      </c>
      <c r="P33">
        <f>IF(OR(All_Questions_Q_GRID_EXPORT_CT="(None)",P$30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$30))</f>
        <v>0</v>
      </c>
      <c r="Q33">
        <f>IF(OR(All_Questions_Q_GRID_EXPORT_CT="(None)",Q$30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$30))</f>
        <v>0</v>
      </c>
      <c r="R33">
        <f>IF(OR(All_Questions_Q_GRID_EXPORT_CT="(None)",R$30=""),"",IF(R$30="Other",COUNTIFS(Q_GRID_EXPORTr2_data,"Selected",passes_workbook_filters_data,1,passes_workbook_custom_filters_data,1,All_Questions_passes_local_filters_data,1,All_Questions_Q_GRID_EXPORT_F_passes_per_q_filter_data,1)-SUM(G33,H33,I33,J33,K33,L33,M33,N33,O33,P33,Q33)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$30)))</f>
        <v>0</v>
      </c>
      <c r="S33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34">
      <c r="A34" s="4" t="inlineStr">
        <is>
          <t>Total responses</t>
        </is>
      </c>
      <c r="B34" s="4" t="n">
        <v>20</v>
      </c>
      <c r="C34" s="4" t="n"/>
      <c r="D34" s="4" t="n"/>
      <c r="F34" s="4" t="inlineStr">
        <is>
          <t>Total respondents</t>
        </is>
      </c>
      <c r="G34" s="2" t="n"/>
      <c r="H34" s="2" t="n"/>
      <c r="I34" s="2" t="n"/>
      <c r="J34" s="2" t="n"/>
      <c r="K34" s="2" t="n"/>
      <c r="L34" s="2" t="n"/>
      <c r="M34" s="2" t="n"/>
      <c r="N34" s="2" t="n"/>
      <c r="O34" s="2" t="n"/>
      <c r="P34" s="2" t="n"/>
      <c r="Q34" s="2" t="n"/>
      <c r="R34" s="2" t="n"/>
      <c r="S34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36">
      <c r="A36" s="11" t="n"/>
      <c r="B36" s="11" t="n"/>
      <c r="C36" s="11" t="n"/>
      <c r="D36" s="11" t="n"/>
      <c r="E36" s="11" t="n"/>
      <c r="F36" s="11" t="n"/>
      <c r="G36" s="11" t="n"/>
      <c r="H36" s="11" t="n"/>
      <c r="I36" s="11" t="n"/>
      <c r="J36" s="11" t="n"/>
    </row>
    <row r="37">
      <c r="A37" s="12" t="inlineStr">
        <is>
          <t>Q_VERY_LONG_SINGLE_SELECT_EXPORT_NAME - Long sheet name export question</t>
        </is>
      </c>
      <c r="B37" s="12" t="n"/>
      <c r="C37" s="12" t="n"/>
      <c r="D37" s="12" t="n"/>
      <c r="E37" s="12" t="n"/>
      <c r="F37" s="12" t="n"/>
      <c r="G37" s="12" t="n"/>
      <c r="H37" s="12" t="n"/>
      <c r="I37" s="12" t="n"/>
      <c r="J37" s="12" t="n"/>
      <c r="K37" s="12" t="n"/>
      <c r="L37" s="12" t="n"/>
      <c r="M37" s="12" t="n"/>
      <c r="N37" s="12" t="n"/>
    </row>
    <row r="38">
      <c r="A38" s="13" t="inlineStr">
        <is>
          <t>Per-question filter</t>
        </is>
      </c>
      <c r="B38" t="inlineStr">
        <is>
          <t>Filter Q</t>
        </is>
      </c>
      <c r="C38" t="inlineStr">
        <is>
          <t>(None)</t>
        </is>
      </c>
      <c r="D38" t="inlineStr">
        <is>
          <t>Value</t>
        </is>
      </c>
      <c r="E38" t="inlineStr">
        <is>
          <t>(All)</t>
        </is>
      </c>
      <c r="F38" t="str">
        <f>IFERROR(INDEX(All_Questions_Data_Names,MATCH(All_Questions_Q_VERY_LONG_SINGLE_SELECT_EXPORT_NAME_F_Q,All_Questions,0)),"'_RawData'!$A:$A")</f>
        <v>respondent_id_data</v>
      </c>
      <c r="G38" t="str">
        <f>"|" &amp; SUBSTITUTE(All_Questions_Q_VERY_LONG_SINGLE_SELECT_EXPORT_NAME_F_V, ", ", "|") &amp; "|"</f>
        <v>|(All)|</v>
      </c>
    </row>
    <row r="39">
      <c r="A39" s="13" t="inlineStr">
        <is>
          <t>Cross-tab by</t>
        </is>
      </c>
      <c r="C39" t="inlineStr">
        <is>
          <t>(None)</t>
        </is>
      </c>
    </row>
    <row r="41">
      <c r="A41" s="4" t="inlineStr">
        <is>
          <t>Option</t>
        </is>
      </c>
      <c r="B41" s="4" t="inlineStr">
        <is>
          <t>Count</t>
        </is>
      </c>
      <c r="C41" s="4" t="inlineStr">
        <is>
          <t>%</t>
        </is>
      </c>
      <c r="D41" s="4" t="inlineStr">
        <is>
          <t>Denominator</t>
        </is>
      </c>
      <c r="F41" s="4" t="inlineStr">
        <is>
          <t>Option</t>
        </is>
      </c>
      <c r="G41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41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41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41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41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41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41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41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41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41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41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41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41" s="4" t="inlineStr">
        <is>
          <t>Total</t>
        </is>
      </c>
    </row>
    <row r="42">
      <c r="A42" t="inlineStr">
        <is>
          <t>A</t>
        </is>
      </c>
      <c r="B42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42" s="7">
        <f>IFERROR(B42/SUBTOTAL(9,B42:B43),0)</f>
        <v>0.7</v>
      </c>
      <c r="D42" s="14">
        <f>SUBTOTAL(9,B42:B43)</f>
        <v>10</v>
      </c>
      <c r="F42" s="4" t="inlineStr"/>
      <c r="G42" s="4" t="inlineStr">
        <is>
          <t># of resp</t>
        </is>
      </c>
      <c r="H42" s="4" t="inlineStr">
        <is>
          <t># of resp</t>
        </is>
      </c>
      <c r="I42" s="4" t="inlineStr">
        <is>
          <t># of resp</t>
        </is>
      </c>
      <c r="J42" s="4" t="inlineStr">
        <is>
          <t># of resp</t>
        </is>
      </c>
      <c r="K42" s="4" t="inlineStr">
        <is>
          <t># of resp</t>
        </is>
      </c>
      <c r="L42" s="4" t="inlineStr">
        <is>
          <t># of resp</t>
        </is>
      </c>
      <c r="M42" s="4" t="inlineStr">
        <is>
          <t># of resp</t>
        </is>
      </c>
      <c r="N42" s="4" t="inlineStr">
        <is>
          <t># of resp</t>
        </is>
      </c>
      <c r="O42" s="4" t="inlineStr">
        <is>
          <t># of resp</t>
        </is>
      </c>
      <c r="P42" s="4" t="inlineStr">
        <is>
          <t># of resp</t>
        </is>
      </c>
      <c r="Q42" s="4" t="inlineStr">
        <is>
          <t># of resp</t>
        </is>
      </c>
      <c r="R42" s="4" t="inlineStr">
        <is>
          <t># of resp</t>
        </is>
      </c>
      <c r="S42" s="4" t="inlineStr">
        <is>
          <t># of resp</t>
        </is>
      </c>
    </row>
    <row r="43">
      <c r="A43" t="inlineStr">
        <is>
          <t>B</t>
        </is>
      </c>
      <c r="B43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43" s="7">
        <f>IFERROR(B43/SUBTOTAL(9,B42:B43),0)</f>
        <v>0.3</v>
      </c>
      <c r="D43" s="14">
        <f>SUBTOTAL(9,B42:B43)</f>
        <v>10</v>
      </c>
      <c r="F43" t="inlineStr">
        <is>
          <t>A</t>
        </is>
      </c>
      <c r="G43">
        <f>IF(OR(All_Questions_Q_VERY_LONG_SINGLE_SELECT_EXPORT_NAME_CT="(None)",G$41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$41))</f>
        <v>0</v>
      </c>
      <c r="H43">
        <f>IF(OR(All_Questions_Q_VERY_LONG_SINGLE_SELECT_EXPORT_NAME_CT="(None)",H$41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$41))</f>
        <v>0</v>
      </c>
      <c r="I43">
        <f>IF(OR(All_Questions_Q_VERY_LONG_SINGLE_SELECT_EXPORT_NAME_CT="(None)",I$41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$41))</f>
        <v>0</v>
      </c>
      <c r="J43">
        <f>IF(OR(All_Questions_Q_VERY_LONG_SINGLE_SELECT_EXPORT_NAME_CT="(None)",J$41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$41))</f>
        <v>0</v>
      </c>
      <c r="K43">
        <f>IF(OR(All_Questions_Q_VERY_LONG_SINGLE_SELECT_EXPORT_NAME_CT="(None)",K$41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$41))</f>
        <v>0</v>
      </c>
      <c r="L43">
        <f>IF(OR(All_Questions_Q_VERY_LONG_SINGLE_SELECT_EXPORT_NAME_CT="(None)",L$41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$41))</f>
        <v>0</v>
      </c>
      <c r="M43">
        <f>IF(OR(All_Questions_Q_VERY_LONG_SINGLE_SELECT_EXPORT_NAME_CT="(None)",M$41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$41))</f>
        <v>0</v>
      </c>
      <c r="N43">
        <f>IF(OR(All_Questions_Q_VERY_LONG_SINGLE_SELECT_EXPORT_NAME_CT="(None)",N$41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$41))</f>
        <v>0</v>
      </c>
      <c r="O43">
        <f>IF(OR(All_Questions_Q_VERY_LONG_SINGLE_SELECT_EXPORT_NAME_CT="(None)",O$41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$41))</f>
        <v>0</v>
      </c>
      <c r="P43">
        <f>IF(OR(All_Questions_Q_VERY_LONG_SINGLE_SELECT_EXPORT_NAME_CT="(None)",P$41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$41))</f>
        <v>0</v>
      </c>
      <c r="Q43">
        <f>IF(OR(All_Questions_Q_VERY_LONG_SINGLE_SELECT_EXPORT_NAME_CT="(None)",Q$41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$41))</f>
        <v>0</v>
      </c>
      <c r="R43">
        <f>IF(OR(All_Questions_Q_VERY_LONG_SINGLE_SELECT_EXPORT_NAME_CT="(None)",R$41=""),"",IF(R$41="Other",COUNTIFS(Q_VERY_LONG_SINGLE_SELECT_EXPOR_data,"A",passes_workbook_filters_data,1,passes_workbook_custom_filters_data,1,All_Questions_passes_local_filters_data,1,All_Questions_Q_VERY_LONG_SINGLE_SELECT_EXPORT_NAME_F_passes_per_q_filter_data,1)-SUM(G43,H43,I43,J43,K43,L43,M43,N43,O43,P43,Q43)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$41)))</f>
        <v>0</v>
      </c>
      <c r="S43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44">
      <c r="A44" s="15" t="inlineStr">
        <is>
          <t>Total respondents</t>
        </is>
      </c>
      <c r="B44" s="15" t="n">
        <v>10</v>
      </c>
      <c r="C44" s="15" t="n"/>
      <c r="D44" s="15" t="n"/>
      <c r="F44" t="inlineStr">
        <is>
          <t>B</t>
        </is>
      </c>
      <c r="G44">
        <f>IF(OR(All_Questions_Q_VERY_LONG_SINGLE_SELECT_EXPORT_NAME_CT="(None)",G$41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$41))</f>
        <v>0</v>
      </c>
      <c r="H44">
        <f>IF(OR(All_Questions_Q_VERY_LONG_SINGLE_SELECT_EXPORT_NAME_CT="(None)",H$41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$41))</f>
        <v>0</v>
      </c>
      <c r="I44">
        <f>IF(OR(All_Questions_Q_VERY_LONG_SINGLE_SELECT_EXPORT_NAME_CT="(None)",I$41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$41))</f>
        <v>0</v>
      </c>
      <c r="J44">
        <f>IF(OR(All_Questions_Q_VERY_LONG_SINGLE_SELECT_EXPORT_NAME_CT="(None)",J$41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$41))</f>
        <v>0</v>
      </c>
      <c r="K44">
        <f>IF(OR(All_Questions_Q_VERY_LONG_SINGLE_SELECT_EXPORT_NAME_CT="(None)",K$41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$41))</f>
        <v>0</v>
      </c>
      <c r="L44">
        <f>IF(OR(All_Questions_Q_VERY_LONG_SINGLE_SELECT_EXPORT_NAME_CT="(None)",L$41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$41))</f>
        <v>0</v>
      </c>
      <c r="M44">
        <f>IF(OR(All_Questions_Q_VERY_LONG_SINGLE_SELECT_EXPORT_NAME_CT="(None)",M$41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$41))</f>
        <v>0</v>
      </c>
      <c r="N44">
        <f>IF(OR(All_Questions_Q_VERY_LONG_SINGLE_SELECT_EXPORT_NAME_CT="(None)",N$41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$41))</f>
        <v>0</v>
      </c>
      <c r="O44">
        <f>IF(OR(All_Questions_Q_VERY_LONG_SINGLE_SELECT_EXPORT_NAME_CT="(None)",O$41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$41))</f>
        <v>0</v>
      </c>
      <c r="P44">
        <f>IF(OR(All_Questions_Q_VERY_LONG_SINGLE_SELECT_EXPORT_NAME_CT="(None)",P$41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$41))</f>
        <v>0</v>
      </c>
      <c r="Q44">
        <f>IF(OR(All_Questions_Q_VERY_LONG_SINGLE_SELECT_EXPORT_NAME_CT="(None)",Q$41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$41))</f>
        <v>0</v>
      </c>
      <c r="R44">
        <f>IF(OR(All_Questions_Q_VERY_LONG_SINGLE_SELECT_EXPORT_NAME_CT="(None)",R$41=""),"",IF(R$41="Other",COUNTIFS(Q_VERY_LONG_SINGLE_SELECT_EXPOR_data,"B",passes_workbook_filters_data,1,passes_workbook_custom_filters_data,1,All_Questions_passes_local_filters_data,1,All_Questions_Q_VERY_LONG_SINGLE_SELECT_EXPORT_NAME_F_passes_per_q_filter_data,1)-SUM(G44,H44,I44,J44,K44,L44,M44,N44,O44,P44,Q44)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$41)))</f>
        <v>0</v>
      </c>
      <c r="S44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45">
      <c r="F45" s="4" t="inlineStr">
        <is>
          <t>Total respondents</t>
        </is>
      </c>
      <c r="G45" s="2" t="n"/>
      <c r="H45" s="2" t="n"/>
      <c r="I45" s="2" t="n"/>
      <c r="J45" s="2" t="n"/>
      <c r="K45" s="2" t="n"/>
      <c r="L45" s="2" t="n"/>
      <c r="M45" s="2" t="n"/>
      <c r="N45" s="2" t="n"/>
      <c r="O45" s="2" t="n"/>
      <c r="P45" s="2" t="n"/>
      <c r="Q45" s="2" t="n"/>
      <c r="R45" s="2" t="n"/>
      <c r="S45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31:B32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31:C32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32:G33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32:H33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32:I33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32:J33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32:K33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32:L33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32:M33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32:N33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32:O33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32:P33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32:Q33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32:R33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42:B43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42:C43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43:G44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43:H44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43:I44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43:J44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43:K44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43:L44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43:M44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43:N44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43:O44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43:P44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43:Q44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43:R44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5">
    <dataValidation sqref="B5" showDropDown="0" showInputMessage="0" showErrorMessage="0" allowBlank="1" type="list">
      <formula1>=Q_SS_EXPORT_local_options</formula1>
    </dataValidation>
    <dataValidation sqref="B6" showDropDown="0" showInputMessage="0" showErrorMessage="0" allowBlank="1" type="list">
      <formula1>=Q_MS_EXPORTr1_local_options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9" showDropDown="0" showInputMessage="0" showErrorMessage="0" allowBlank="1" type="list">
      <formula1>=All_Questions_Local</formula1>
    </dataValidation>
    <dataValidation sqref="B10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5" showDropDown="0" showInputMessage="0" showErrorMessage="0" allowBlank="1" type="list">
      <formula1>=All_Questions</formula1>
    </dataValidation>
    <dataValidation sqref="E15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16" showDropDown="0" showInputMessage="0" showErrorMessage="0" allowBlank="1" type="list">
      <formula1>=All_Questions</formula1>
    </dataValidation>
    <dataValidation sqref="C27" showDropDown="0" showInputMessage="0" showErrorMessage="0" allowBlank="1" type="list">
      <formula1>=All_Questions</formula1>
    </dataValidation>
    <dataValidation sqref="E27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28" showDropDown="0" showInputMessage="0" showErrorMessage="0" allowBlank="1" type="list">
      <formula1>=All_Questions</formula1>
    </dataValidation>
    <dataValidation sqref="C38" showDropDown="0" showInputMessage="0" showErrorMessage="0" allowBlank="1" type="list">
      <formula1>=All_Questions</formula1>
    </dataValidation>
    <dataValidation sqref="E38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39" showDropDown="0" showInputMessage="0" showErrorMessage="0" allowBlank="1" type="list">
      <formula1>=All_Questions</formula1>
    </dataValidation>
  </dataValidations>
  <pageMargins left="0.75" right="0.75" top="1" bottom="1" header="0.5" footer="0.5"/>
  <legacyDrawing xmlns:r="http://schemas.openxmlformats.org/officeDocument/2006/relationships" r:id="anysvml"/>
  <tableParts count="3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</tableParts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2026-05-26T06:20:28Z</dcterms:created>
  <dcterms:modified xmlns:dcterms="http://purl.org/dc/terms/" xmlns:xsi="http://www.w3.org/2001/XMLSchema-instance" xsi:type="dcterms:W3CDTF">2026-05-26T06:20:29Z</dcterms:modified>
</cp:coreProperties>
</file>