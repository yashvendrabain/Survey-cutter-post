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Questions'!$C$25</definedName>
    <definedName name="All_Questions_Q_NUM_EXPORT_F_V">'All Questions'!$E$25</definedName>
    <definedName name="All_Questions_Q_NUM_EXPORT_F_resolved_column">'All Questions'!$F$25</definedName>
    <definedName name="All_Questions_Q_NUM_EXPORT_F_wrapped">'All Questions'!$G$25</definedName>
    <definedName name="All_Questions_Q_NUM_EXPORT_F_passes_per_q_filter_data">'_RawData'!$T$2:$T$11</definedName>
    <definedName name="All_Questions_Q_NUM_EXPORT_CT">'All Questions'!$C$26</definedName>
    <definedName name="All_Questions_Q_GRID_EXPORT_F_Q">'All Questions'!$C$37</definedName>
    <definedName name="All_Questions_Q_GRID_EXPORT_F_V">'All Questions'!$E$37</definedName>
    <definedName name="All_Questions_Q_GRID_EXPORT_F_resolved_column">'All Questions'!$F$37</definedName>
    <definedName name="All_Questions_Q_GRID_EXPORT_F_wrapped">'All Questions'!$G$37</definedName>
    <definedName name="All_Questions_Q_GRID_EXPORT_F_passes_per_q_filter_data">'_RawData'!$U$2:$U$11</definedName>
    <definedName name="All_Questions_Q_GRID_EXPORT_CT">'All Questions'!$C$38</definedName>
    <definedName name="All_Questions_Q_VERY_LONG_SINGLE_SELECT_EXPORT_NAME_F_Q">'All Questions'!$C$48</definedName>
    <definedName name="All_Questions_Q_VERY_LONG_SINGLE_SELECT_EXPORT_NAME_F_V">'All Questions'!$E$48</definedName>
    <definedName name="All_Questions_Q_VERY_LONG_SINGLE_SELECT_EXPORT_NAME_F_resolved_column">'All Questions'!$F$48</definedName>
    <definedName name="All_Questions_Q_VERY_LONG_SINGLE_SELECT_EXPORT_NAME_F_wrapped">'All Questions'!$G$48</definedName>
    <definedName name="All_Questions_Q_VERY_LONG_SINGLE_SELECT_EXPORT_NAME_F_passes_per_q_filter_data">'_RawData'!$V$2:$V$11</definedName>
    <definedName name="All_Questions_Q_VERY_LONG_SINGLE_SELECT_EXPORT_NAME_CT">'All Questions'!$C$49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  <c r="F25" i="8"/>
  <c r="G25" i="8"/>
  <c r="B29" i="8"/>
  <c r="D29" i="8"/>
  <c r="B30" i="8"/>
  <c r="D30" i="8"/>
  <c r="B31" i="8"/>
  <c r="D31" i="8"/>
  <c r="D32" i="8"/>
  <c r="F37" i="8"/>
  <c r="G37" i="8"/>
  <c r="G40" i="8"/>
  <c r="H40" i="8"/>
  <c r="I40" i="8"/>
  <c r="J40" i="8"/>
  <c r="K40" i="8"/>
  <c r="L40" i="8"/>
  <c r="M40" i="8"/>
  <c r="N40" i="8"/>
  <c r="O40" i="8"/>
  <c r="P40" i="8"/>
  <c r="Q40" i="8"/>
  <c r="R40" i="8"/>
  <c r="B41" i="8"/>
  <c r="C41" i="8"/>
  <c r="D41" i="8"/>
  <c r="B42" i="8"/>
  <c r="C42" i="8"/>
  <c r="D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S44" i="8"/>
  <c r="F48" i="8"/>
  <c r="G48" i="8"/>
  <c r="G51" i="8"/>
  <c r="H51" i="8"/>
  <c r="I51" i="8"/>
  <c r="J51" i="8"/>
  <c r="K51" i="8"/>
  <c r="L51" i="8"/>
  <c r="M51" i="8"/>
  <c r="N51" i="8"/>
  <c r="O51" i="8"/>
  <c r="P51" i="8"/>
  <c r="Q51" i="8"/>
  <c r="R51" i="8"/>
  <c r="B52" i="8"/>
  <c r="C52" i="8"/>
  <c r="D52" i="8"/>
  <c r="B53" i="8"/>
  <c r="C53" i="8"/>
  <c r="D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S5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8_1" displayName="T_All_Questions_28_1" ref="A28:D32" headerRowCount="1">
  <autoFilter ref="A28:D3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0_1" displayName="T_All_Questions_40_1" ref="A40:D44" headerRowCount="1">
  <autoFilter ref="A40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1_1" displayName="T_All_Questions_51_1" ref="A51:D54" headerRowCount="1">
  <autoFilter ref="A51:D5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L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L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L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L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L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L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L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IFERROR(INDEX(All_Questions_Data_Names,MATCH(Demographics_Q_SS_EXPORT_F_Q,All_Questions,0)),"'_RawData'!$A:$A")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IF(Demographics_Q_SS_EXPORT_CT="(None)","",IFERROR(INDEX(INDIRECT(IFERROR(INDEX(All_Questions_Options_Names,MATCH(Demographics_Q_SS_EXPORT_CT,All_Questions,0)),"'_Options'!$E$2:$E$2")),2),""))</f>
        <v/>
      </c>
      <c r="H17" s="2" t="str">
        <f>IF(Demographics_Q_SS_EXPORT_CT="(None)","",IFERROR(INDEX(INDIRECT(IFERROR(INDEX(All_Questions_Options_Names,MATCH(Demographics_Q_SS_EXPORT_CT,All_Questions,0)),"'_Options'!$E$2:$E$2")),3),""))</f>
        <v/>
      </c>
      <c r="I17" s="2" t="str">
        <f>IF(Demographics_Q_SS_EXPORT_CT="(None)","",IFERROR(INDEX(INDIRECT(IFERROR(INDEX(All_Questions_Options_Names,MATCH(Demographics_Q_SS_EXPORT_CT,All_Questions,0)),"'_Options'!$E$2:$E$2")),4),""))</f>
        <v/>
      </c>
      <c r="J17" s="2" t="str">
        <f>IF(Demographics_Q_SS_EXPORT_CT="(None)","",IFERROR(INDEX(INDIRECT(IFERROR(INDEX(All_Questions_Options_Names,MATCH(Demographics_Q_SS_EXPORT_CT,All_Questions,0)),"'_Options'!$E$2:$E$2")),5),""))</f>
        <v/>
      </c>
      <c r="K17" s="2" t="str">
        <f>IF(Demographics_Q_SS_EXPORT_CT="(None)","",IFERROR(INDEX(INDIRECT(IFERROR(INDEX(All_Questions_Options_Names,MATCH(Demographics_Q_SS_EXPORT_CT,All_Questions,0)),"'_Options'!$E$2:$E$2")),6),""))</f>
        <v/>
      </c>
      <c r="L17" s="2" t="str">
        <f>IF(Demographics_Q_SS_EXPORT_CT="(None)","",IFERROR(INDEX(INDIRECT(IFERROR(INDEX(All_Questions_Options_Names,MATCH(Demographics_Q_SS_EXPORT_CT,All_Questions,0)),"'_Options'!$E$2:$E$2")),7),""))</f>
        <v/>
      </c>
      <c r="M17" s="2" t="str">
        <f>IF(Demographics_Q_SS_EXPORT_CT="(None)","",IFERROR(INDEX(INDIRECT(IFERROR(INDEX(All_Questions_Options_Names,MATCH(Demographics_Q_SS_EXPORT_CT,All_Questions,0)),"'_Options'!$E$2:$E$2")),8),""))</f>
        <v/>
      </c>
      <c r="N17" s="2" t="str">
        <f>IF(Demographics_Q_SS_EXPORT_CT="(None)","",IFERROR(INDEX(INDIRECT(IFERROR(INDEX(All_Questions_Options_Names,MATCH(Demographics_Q_SS_EXPORT_CT,All_Questions,0)),"'_Options'!$E$2:$E$2")),9),""))</f>
        <v/>
      </c>
      <c r="O17" s="2" t="str">
        <f>IF(Demographics_Q_SS_EXPORT_CT="(None)","",IFERROR(INDEX(INDIRECT(IFERROR(INDEX(All_Questions_Options_Names,MATCH(Demographics_Q_SS_EXPORT_CT,All_Questions,0)),"'_Options'!$E$2:$E$2")),10),""))</f>
        <v/>
      </c>
      <c r="P17" s="2" t="str">
        <f>IF(Demographics_Q_SS_EXPORT_CT="(None)","",IFERROR(INDEX(INDIRECT(IFERROR(INDEX(All_Questions_Options_Names,MATCH(Demographics_Q_SS_EXPORT_CT,All_Questions,0)),"'_Options'!$E$2:$E$2")),11),""))</f>
        <v/>
      </c>
      <c r="Q17" s="2" t="str">
        <f>IF(Demographics_Q_SS_EXPORT_CT="(None)","",IFERROR(INDEX(INDIRECT(IFERROR(INDEX(All_Questions_Options_Names,MATCH(Demographics_Q_SS_EXPORT_CT,All_Questions,0)),"'_Options'!$E$2:$E$2")),12),""))</f>
        <v/>
      </c>
      <c r="R17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>
        <f>IF(OR(Demographics_Q_SS_EXPORT_CT="(None)",G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19">
        <f>IF(OR(Demographics_Q_SS_EXPORT_CT="(None)",H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19">
        <f>IF(OR(Demographics_Q_SS_EXPORT_CT="(None)",I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19">
        <f>IF(OR(Demographics_Q_SS_EXPORT_CT="(None)",J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19">
        <f>IF(OR(Demographics_Q_SS_EXPORT_CT="(None)",K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19">
        <f>IF(OR(Demographics_Q_SS_EXPORT_CT="(None)",L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19">
        <f>IF(OR(Demographics_Q_SS_EXPORT_CT="(None)",M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19">
        <f>IF(OR(Demographics_Q_SS_EXPORT_CT="(None)",N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19">
        <f>IF(OR(Demographics_Q_SS_EXPORT_CT="(None)",O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19">
        <f>IF(OR(Demographics_Q_SS_EXPORT_CT="(None)",P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19">
        <f>IF(OR(Demographics_Q_SS_EXPORT_CT="(None)",Q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19">
        <f>IF(OR(Demographics_Q_SS_EXPORT_CT="(None)",R$17=""),"",IF(R$17="Other",COUNTIFS(Q_SS_EXPORT_data,"Yes",passes_workbook_filters_data,1,passes_workbook_custom_filters_data,1,Demographics_passes_local_filters_data,1,Demographics_Q_SS_EXPORT_F_passes_per_q_filter_data,1)-SUM(G19,H19,I19,J19,K19,L19,M19,N19,O19,P19,Q19)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19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>
        <f>IF(OR(Demographics_Q_SS_EXPORT_CT="(None)",G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20">
        <f>IF(OR(Demographics_Q_SS_EXPORT_CT="(None)",H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20">
        <f>IF(OR(Demographics_Q_SS_EXPORT_CT="(None)",I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20">
        <f>IF(OR(Demographics_Q_SS_EXPORT_CT="(None)",J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20">
        <f>IF(OR(Demographics_Q_SS_EXPORT_CT="(None)",K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20">
        <f>IF(OR(Demographics_Q_SS_EXPORT_CT="(None)",L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20">
        <f>IF(OR(Demographics_Q_SS_EXPORT_CT="(None)",M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20">
        <f>IF(OR(Demographics_Q_SS_EXPORT_CT="(None)",N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20">
        <f>IF(OR(Demographics_Q_SS_EXPORT_CT="(None)",O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20">
        <f>IF(OR(Demographics_Q_SS_EXPORT_CT="(None)",P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20">
        <f>IF(OR(Demographics_Q_SS_EXPORT_CT="(None)",Q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20">
        <f>IF(OR(Demographics_Q_SS_EXPORT_CT="(None)",R$17=""),"",IF(R$17="Other",COUNTIFS(Q_SS_EXPORT_data,"No",passes_workbook_filters_data,1,passes_workbook_custom_filters_data,1,Demographics_passes_local_filters_data,1,Demographics_Q_SS_EXPORT_F_passes_per_q_filter_data,1)-SUM(G20,H20,I20,J20,K20,L20,M20,N20,O20,P20,Q20)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20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IFERROR(INDEX(All_Questions_Data_Names,MATCH(All_Questions_Q_MS_EXPORT_F_Q,All_Questions,0)),"'_RawData'!$A:$A")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IF(All_Questions_Q_MS_EXPORT_CT="(None)","",IFERROR(INDEX(INDIRECT(IFERROR(INDEX(All_Questions_Options_Names,MATCH(All_Questions_Q_MS_EXPORT_CT,All_Questions,0)),"'_Options'!$E$2:$E$2")),2),""))</f>
        <v/>
      </c>
      <c r="H17" s="2" t="str">
        <f>IF(All_Questions_Q_MS_EXPORT_CT="(None)","",IFERROR(INDEX(INDIRECT(IFERROR(INDEX(All_Questions_Options_Names,MATCH(All_Questions_Q_MS_EXPORT_CT,All_Questions,0)),"'_Options'!$E$2:$E$2")),3),""))</f>
        <v/>
      </c>
      <c r="I17" s="2" t="str">
        <f>IF(All_Questions_Q_MS_EXPORT_CT="(None)","",IFERROR(INDEX(INDIRECT(IFERROR(INDEX(All_Questions_Options_Names,MATCH(All_Questions_Q_MS_EXPORT_CT,All_Questions,0)),"'_Options'!$E$2:$E$2")),4),""))</f>
        <v/>
      </c>
      <c r="J17" s="2" t="str">
        <f>IF(All_Questions_Q_MS_EXPORT_CT="(None)","",IFERROR(INDEX(INDIRECT(IFERROR(INDEX(All_Questions_Options_Names,MATCH(All_Questions_Q_MS_EXPORT_CT,All_Questions,0)),"'_Options'!$E$2:$E$2")),5),""))</f>
        <v/>
      </c>
      <c r="K17" s="2" t="str">
        <f>IF(All_Questions_Q_MS_EXPORT_CT="(None)","",IFERROR(INDEX(INDIRECT(IFERROR(INDEX(All_Questions_Options_Names,MATCH(All_Questions_Q_MS_EXPORT_CT,All_Questions,0)),"'_Options'!$E$2:$E$2")),6),""))</f>
        <v/>
      </c>
      <c r="L17" s="2" t="str">
        <f>IF(All_Questions_Q_MS_EXPORT_CT="(None)","",IFERROR(INDEX(INDIRECT(IFERROR(INDEX(All_Questions_Options_Names,MATCH(All_Questions_Q_MS_EXPORT_CT,All_Questions,0)),"'_Options'!$E$2:$E$2")),7),""))</f>
        <v/>
      </c>
      <c r="M17" s="2" t="str">
        <f>IF(All_Questions_Q_MS_EXPORT_CT="(None)","",IFERROR(INDEX(INDIRECT(IFERROR(INDEX(All_Questions_Options_Names,MATCH(All_Questions_Q_MS_EXPORT_CT,All_Questions,0)),"'_Options'!$E$2:$E$2")),8),""))</f>
        <v/>
      </c>
      <c r="N17" s="2" t="str">
        <f>IF(All_Questions_Q_MS_EXPORT_CT="(None)","",IFERROR(INDEX(INDIRECT(IFERROR(INDEX(All_Questions_Options_Names,MATCH(All_Questions_Q_MS_EXPORT_CT,All_Questions,0)),"'_Options'!$E$2:$E$2")),9),""))</f>
        <v/>
      </c>
      <c r="O17" s="2" t="str">
        <f>IF(All_Questions_Q_MS_EXPORT_CT="(None)","",IFERROR(INDEX(INDIRECT(IFERROR(INDEX(All_Questions_Options_Names,MATCH(All_Questions_Q_MS_EXPORT_CT,All_Questions,0)),"'_Options'!$E$2:$E$2")),10),""))</f>
        <v/>
      </c>
      <c r="P17" s="2" t="str">
        <f>IF(All_Questions_Q_MS_EXPORT_CT="(None)","",IFERROR(INDEX(INDIRECT(IFERROR(INDEX(All_Questions_Options_Names,MATCH(All_Questions_Q_MS_EXPORT_CT,All_Questions,0)),"'_Options'!$E$2:$E$2")),11),""))</f>
        <v/>
      </c>
      <c r="Q17" s="2" t="str">
        <f>IF(All_Questions_Q_MS_EXPORT_CT="(None)","",IFERROR(INDEX(INDIRECT(IFERROR(INDEX(All_Questions_Options_Names,MATCH(All_Questions_Q_MS_EXPORT_CT,All_Questions,0)),"'_Options'!$E$2:$E$2")),12),""))</f>
        <v/>
      </c>
      <c r="R1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First</t>
        </is>
      </c>
      <c r="G19">
        <f>IF(OR(All_Questions_Q_MS_EXPORT_CT="(None)",G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19">
        <f>IF(OR(All_Questions_Q_MS_EXPORT_CT="(None)",H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19">
        <f>IF(OR(All_Questions_Q_MS_EXPORT_CT="(None)",I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19">
        <f>IF(OR(All_Questions_Q_MS_EXPORT_CT="(None)",J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19">
        <f>IF(OR(All_Questions_Q_MS_EXPORT_CT="(None)",K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19">
        <f>IF(OR(All_Questions_Q_MS_EXPORT_CT="(None)",L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19">
        <f>IF(OR(All_Questions_Q_MS_EXPORT_CT="(None)",M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19">
        <f>IF(OR(All_Questions_Q_MS_EXPORT_CT="(None)",N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19">
        <f>IF(OR(All_Questions_Q_MS_EXPORT_CT="(None)",O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19">
        <f>IF(OR(All_Questions_Q_MS_EXPORT_CT="(None)",P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19">
        <f>IF(OR(All_Questions_Q_MS_EXPORT_CT="(None)",Q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19">
        <f>IF(OR(All_Questions_Q_MS_EXPORT_CT="(None)",R$17=""),"",IF(R$17="Other",COUNTIFS(Q_MS_EXPORTr1_data,"Selected",passes_workbook_filters_data,1,passes_workbook_custom_filters_data,1,All_Questions_passes_local_filters_data,1,All_Questions_Q_MS_EXPORT_F_passes_per_q_filter_data,1)-SUM(G19,H19,I19,J19,K19,L19,M19,N19,O19,P19,Q19)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1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Second</t>
        </is>
      </c>
      <c r="G20">
        <f>IF(OR(All_Questions_Q_MS_EXPORT_CT="(None)",G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20">
        <f>IF(OR(All_Questions_Q_MS_EXPORT_CT="(None)",H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20">
        <f>IF(OR(All_Questions_Q_MS_EXPORT_CT="(None)",I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20">
        <f>IF(OR(All_Questions_Q_MS_EXPORT_CT="(None)",J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20">
        <f>IF(OR(All_Questions_Q_MS_EXPORT_CT="(None)",K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20">
        <f>IF(OR(All_Questions_Q_MS_EXPORT_CT="(None)",L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20">
        <f>IF(OR(All_Questions_Q_MS_EXPORT_CT="(None)",M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20">
        <f>IF(OR(All_Questions_Q_MS_EXPORT_CT="(None)",N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20">
        <f>IF(OR(All_Questions_Q_MS_EXPORT_CT="(None)",O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20">
        <f>IF(OR(All_Questions_Q_MS_EXPORT_CT="(None)",P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20">
        <f>IF(OR(All_Questions_Q_MS_EXPORT_CT="(None)",Q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20">
        <f>IF(OR(All_Questions_Q_MS_EXPORT_CT="(None)",R$17=""),"",IF(R$17="Other",COUNTIFS(Q_MS_EXPORTr2_data,"Selected",passes_workbook_filters_data,1,passes_workbook_custom_filters_data,1,All_Questions_passes_local_filters_data,1,All_Questions_Q_MS_EXPORT_F_passes_per_q_filter_data,1)-SUM(G20,H20,I20,J20,K20,L20,M20,N20,O20,P20,Q20)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2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1">
      <c r="A21" s="4" t="inlineStr">
        <is>
          <t>Total responses</t>
        </is>
      </c>
      <c r="B21" s="4" t="n">
        <v>7</v>
      </c>
      <c r="C21" s="4" t="n"/>
      <c r="D21" s="4" t="n"/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Q_NUM_EXPORT - Numeric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IFERROR(INDEX(All_Questions_Data_Names,MATCH(All_Questions_Q_NUM_EXPORT_F_Q,All_Questions,0)),"'_RawData'!$A:$A")</f>
        <v>respondent_id_data</v>
      </c>
      <c r="G25" t="str">
        <f>"|" &amp; SUBSTITUTE(All_Questions_Q_NUM_EXPORT_F_V,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Metric</t>
        </is>
      </c>
      <c r="B28" s="4" t="inlineStr">
        <is>
          <t>Value</t>
        </is>
      </c>
      <c r="C28" s="4" t="inlineStr">
        <is>
          <t>Note</t>
        </is>
      </c>
      <c r="D28" s="4" t="inlineStr">
        <is>
          <t>Denominator</t>
        </is>
      </c>
    </row>
    <row r="29">
      <c r="A29" t="inlineStr">
        <is>
          <t>Mean</t>
        </is>
      </c>
      <c r="B29">
        <f>IFERROR(AVERAGEIFS(Q_NUM_EXPORT_data,passes_workbook_filters_data,1,passes_workbook_custom_filters_data,1,All_Questions_passes_local_filters_data,1,All_Questions_Q_NUM_EXPORT_F_passes_per_q_filter_data,1),0)</f>
        <v>5.5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Min</t>
        </is>
      </c>
      <c r="B30">
        <f>IFERROR(MINIFS(Q_NUM_EXPORT_data,passes_workbook_filters_data,1,passes_workbook_custom_filters_data,1,All_Questions_passes_local_filters_data,1,All_Questions_Q_NUM_EXPORT_F_passes_per_q_filter_data,1),0)</f>
        <v>1.0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Max</t>
        </is>
      </c>
      <c r="B31">
        <f>IFERROR(MAXIFS(Q_NUM_EXPORT_data,passes_workbook_filters_data,1,passes_workbook_custom_filters_data,1,All_Questions_passes_local_filters_data,1,All_Questions_Q_NUM_EXPORT_F_passes_per_q_filter_data,1),0)</f>
        <v>10.0</v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t="inlineStr">
        <is>
          <t>Std</t>
        </is>
      </c>
      <c r="B32" t="n">
        <v>2.9</v>
      </c>
      <c r="C32" t="inlineStr">
        <is>
          <t>static baseline</t>
        </is>
      </c>
      <c r="D32">
        <f>COUNTIFS(Q_NUM_EXPORT_data,"&lt;&gt;",passes_workbook_filters_data,1,passes_workbook_custom_filters_data,1,All_Questions_passes_local_filters_data,1,All_Questions_Q_NUM_EXPORT_F_passes_per_q_filter_data,1)</f>
        <v>10</v>
      </c>
    </row>
    <row r="33">
      <c r="A33" s="10" t="inlineStr">
        <is>
          <t>Median not available in filtered view - see static baseline in audit log.</t>
        </is>
      </c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2" t="inlineStr">
        <is>
          <t>Q_GRID_EXPORT - Grid export question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</row>
    <row r="37">
      <c r="A37" s="13" t="inlineStr">
        <is>
          <t>Per-question filter</t>
        </is>
      </c>
      <c r="B37" t="inlineStr">
        <is>
          <t>Filter Q</t>
        </is>
      </c>
      <c r="C37" t="inlineStr">
        <is>
          <t>(None)</t>
        </is>
      </c>
      <c r="D37" t="inlineStr">
        <is>
          <t>Value</t>
        </is>
      </c>
      <c r="E37" t="inlineStr">
        <is>
          <t>(All)</t>
        </is>
      </c>
      <c r="F37" t="str">
        <f>IFERROR(INDEX(All_Questions_Data_Names,MATCH(All_Questions_Q_GRID_EXPORT_F_Q,All_Questions,0)),"'_RawData'!$A:$A")</f>
        <v>respondent_id_data</v>
      </c>
      <c r="G37" t="str">
        <f>"|" &amp; SUBSTITUTE(All_Questions_Q_GRID_EXPORT_F_V, ", ", "|") &amp; "|"</f>
        <v>|(All)|</v>
      </c>
    </row>
    <row r="38">
      <c r="A38" s="13" t="inlineStr">
        <is>
          <t>Cross-tab by</t>
        </is>
      </c>
      <c r="C38" t="inlineStr">
        <is>
          <t>(None)</t>
        </is>
      </c>
    </row>
    <row r="40">
      <c r="A40" s="4" t="inlineStr">
        <is>
          <t>Option</t>
        </is>
      </c>
      <c r="B40" s="4" t="inlineStr">
        <is>
          <t>Count</t>
        </is>
      </c>
      <c r="C40" s="4" t="inlineStr">
        <is>
          <t>%</t>
        </is>
      </c>
      <c r="D40" s="4" t="inlineStr">
        <is>
          <t>Denominator</t>
        </is>
      </c>
      <c r="F40" s="4" t="inlineStr">
        <is>
          <t>Option</t>
        </is>
      </c>
      <c r="G40" s="2" t="str">
        <f>IF(All_Questions_Q_GRID_EXPORT_CT="(None)","",IFERROR(INDEX(INDIRECT(IFERROR(INDEX(All_Questions_Options_Names,MATCH(All_Questions_Q_GRID_EXPORT_CT,All_Questions,0)),"'_Options'!$E$2:$E$2")),2),""))</f>
        <v/>
      </c>
      <c r="H40" s="2" t="str">
        <f>IF(All_Questions_Q_GRID_EXPORT_CT="(None)","",IFERROR(INDEX(INDIRECT(IFERROR(INDEX(All_Questions_Options_Names,MATCH(All_Questions_Q_GRID_EXPORT_CT,All_Questions,0)),"'_Options'!$E$2:$E$2")),3),""))</f>
        <v/>
      </c>
      <c r="I40" s="2" t="str">
        <f>IF(All_Questions_Q_GRID_EXPORT_CT="(None)","",IFERROR(INDEX(INDIRECT(IFERROR(INDEX(All_Questions_Options_Names,MATCH(All_Questions_Q_GRID_EXPORT_CT,All_Questions,0)),"'_Options'!$E$2:$E$2")),4),""))</f>
        <v/>
      </c>
      <c r="J40" s="2" t="str">
        <f>IF(All_Questions_Q_GRID_EXPORT_CT="(None)","",IFERROR(INDEX(INDIRECT(IFERROR(INDEX(All_Questions_Options_Names,MATCH(All_Questions_Q_GRID_EXPORT_CT,All_Questions,0)),"'_Options'!$E$2:$E$2")),5),""))</f>
        <v/>
      </c>
      <c r="K40" s="2" t="str">
        <f>IF(All_Questions_Q_GRID_EXPORT_CT="(None)","",IFERROR(INDEX(INDIRECT(IFERROR(INDEX(All_Questions_Options_Names,MATCH(All_Questions_Q_GRID_EXPORT_CT,All_Questions,0)),"'_Options'!$E$2:$E$2")),6),""))</f>
        <v/>
      </c>
      <c r="L40" s="2" t="str">
        <f>IF(All_Questions_Q_GRID_EXPORT_CT="(None)","",IFERROR(INDEX(INDIRECT(IFERROR(INDEX(All_Questions_Options_Names,MATCH(All_Questions_Q_GRID_EXPORT_CT,All_Questions,0)),"'_Options'!$E$2:$E$2")),7),""))</f>
        <v/>
      </c>
      <c r="M40" s="2" t="str">
        <f>IF(All_Questions_Q_GRID_EXPORT_CT="(None)","",IFERROR(INDEX(INDIRECT(IFERROR(INDEX(All_Questions_Options_Names,MATCH(All_Questions_Q_GRID_EXPORT_CT,All_Questions,0)),"'_Options'!$E$2:$E$2")),8),""))</f>
        <v/>
      </c>
      <c r="N40" s="2" t="str">
        <f>IF(All_Questions_Q_GRID_EXPORT_CT="(None)","",IFERROR(INDEX(INDIRECT(IFERROR(INDEX(All_Questions_Options_Names,MATCH(All_Questions_Q_GRID_EXPORT_CT,All_Questions,0)),"'_Options'!$E$2:$E$2")),9),""))</f>
        <v/>
      </c>
      <c r="O40" s="2" t="str">
        <f>IF(All_Questions_Q_GRID_EXPORT_CT="(None)","",IFERROR(INDEX(INDIRECT(IFERROR(INDEX(All_Questions_Options_Names,MATCH(All_Questions_Q_GRID_EXPORT_CT,All_Questions,0)),"'_Options'!$E$2:$E$2")),10),""))</f>
        <v/>
      </c>
      <c r="P40" s="2" t="str">
        <f>IF(All_Questions_Q_GRID_EXPORT_CT="(None)","",IFERROR(INDEX(INDIRECT(IFERROR(INDEX(All_Questions_Options_Names,MATCH(All_Questions_Q_GRID_EXPORT_CT,All_Questions,0)),"'_Options'!$E$2:$E$2")),11),""))</f>
        <v/>
      </c>
      <c r="Q40" s="2" t="str">
        <f>IF(All_Questions_Q_GRID_EXPORT_CT="(None)","",IFERROR(INDEX(INDIRECT(IFERROR(INDEX(All_Questions_Options_Names,MATCH(All_Questions_Q_GRID_EXPORT_CT,All_Questions,0)),"'_Options'!$E$2:$E$2")),12),""))</f>
        <v/>
      </c>
      <c r="R4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0" s="4" t="inlineStr">
        <is>
          <t>Total</t>
        </is>
      </c>
    </row>
    <row r="41">
      <c r="A41" t="inlineStr">
        <is>
          <t>Grid first row</t>
        </is>
      </c>
      <c r="B41">
        <f>COUNTIFS(Q_GRID_EXPORTr1_data,"Selected",passes_workbook_filters_data,1,passes_workbook_custom_filters_data,1,All_Questions_passes_local_filters_data,1,All_Questions_Q_GRID_EXPORT_F_passes_per_q_filter_data,1)</f>
        <v>10</v>
      </c>
      <c r="C41" s="7">
        <f>IFERROR(B41/SUBTOTAL(9,B41:B42),0)</f>
        <v>0.5</v>
      </c>
      <c r="D41" s="14">
        <f>SUBTOTAL(9,B41:B42)</f>
        <v>20</v>
      </c>
      <c r="F41" s="4" t="inlineStr"/>
      <c r="G41" s="4" t="inlineStr">
        <is>
          <t># of resp</t>
        </is>
      </c>
      <c r="H41" s="4" t="inlineStr">
        <is>
          <t># of resp</t>
        </is>
      </c>
      <c r="I41" s="4" t="inlineStr">
        <is>
          <t># of resp</t>
        </is>
      </c>
      <c r="J41" s="4" t="inlineStr">
        <is>
          <t># of resp</t>
        </is>
      </c>
      <c r="K41" s="4" t="inlineStr">
        <is>
          <t># of resp</t>
        </is>
      </c>
      <c r="L41" s="4" t="inlineStr">
        <is>
          <t># of resp</t>
        </is>
      </c>
      <c r="M41" s="4" t="inlineStr">
        <is>
          <t># of resp</t>
        </is>
      </c>
      <c r="N41" s="4" t="inlineStr">
        <is>
          <t># of resp</t>
        </is>
      </c>
      <c r="O41" s="4" t="inlineStr">
        <is>
          <t># of resp</t>
        </is>
      </c>
      <c r="P41" s="4" t="inlineStr">
        <is>
          <t># of resp</t>
        </is>
      </c>
      <c r="Q41" s="4" t="inlineStr">
        <is>
          <t># of resp</t>
        </is>
      </c>
      <c r="R41" s="4" t="inlineStr">
        <is>
          <t># of resp</t>
        </is>
      </c>
      <c r="S41" s="4" t="inlineStr">
        <is>
          <t># of resp</t>
        </is>
      </c>
    </row>
    <row r="42">
      <c r="A42" t="inlineStr">
        <is>
          <t>Grid second row</t>
        </is>
      </c>
      <c r="B42">
        <f>COUNTIFS(Q_GRID_EXPORTr2_data,"Selected",passes_workbook_filters_data,1,passes_workbook_custom_filters_data,1,All_Questions_passes_local_filters_data,1,All_Questions_Q_GRID_EXPORT_F_passes_per_q_filter_data,1)</f>
        <v>10</v>
      </c>
      <c r="C42" s="7">
        <f>IFERROR(B42/SUBTOTAL(9,B41:B42),0)</f>
        <v>0.5</v>
      </c>
      <c r="D42" s="14">
        <f>SUBTOTAL(9,B41:B42)</f>
        <v>20</v>
      </c>
      <c r="F42" t="inlineStr">
        <is>
          <t>Grid first row</t>
        </is>
      </c>
      <c r="G42">
        <f>IF(OR(All_Questions_Q_GRID_EXPORT_CT="(None)",G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2">
        <f>IF(OR(All_Questions_Q_GRID_EXPORT_CT="(None)",H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2">
        <f>IF(OR(All_Questions_Q_GRID_EXPORT_CT="(None)",I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2">
        <f>IF(OR(All_Questions_Q_GRID_EXPORT_CT="(None)",J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2">
        <f>IF(OR(All_Questions_Q_GRID_EXPORT_CT="(None)",K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2">
        <f>IF(OR(All_Questions_Q_GRID_EXPORT_CT="(None)",L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2">
        <f>IF(OR(All_Questions_Q_GRID_EXPORT_CT="(None)",M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2">
        <f>IF(OR(All_Questions_Q_GRID_EXPORT_CT="(None)",N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2">
        <f>IF(OR(All_Questions_Q_GRID_EXPORT_CT="(None)",O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2">
        <f>IF(OR(All_Questions_Q_GRID_EXPORT_CT="(None)",P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2">
        <f>IF(OR(All_Questions_Q_GRID_EXPORT_CT="(None)",Q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2">
        <f>IF(OR(All_Questions_Q_GRID_EXPORT_CT="(None)",R$40=""),"",IF(R$40="Other",COUNTIFS(Q_GRID_EXPORTr1_data,"Selected",passes_workbook_filters_data,1,passes_workbook_custom_filters_data,1,All_Questions_passes_local_filters_data,1,All_Questions_Q_GRID_EXPORT_F_passes_per_q_filter_data,1)-SUM(G42,H42,I42,J42,K42,L42,M42,N42,O42,P42,Q42)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43">
      <c r="A43" s="15" t="inlineStr">
        <is>
          <t>Total respondents</t>
        </is>
      </c>
      <c r="B43" s="15" t="n">
        <v>10</v>
      </c>
      <c r="C43" s="15" t="n"/>
      <c r="D43" s="15" t="n"/>
      <c r="F43" t="inlineStr">
        <is>
          <t>Grid second row</t>
        </is>
      </c>
      <c r="G43">
        <f>IF(OR(All_Questions_Q_GRID_EXPORT_CT="(None)",G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3">
        <f>IF(OR(All_Questions_Q_GRID_EXPORT_CT="(None)",H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3">
        <f>IF(OR(All_Questions_Q_GRID_EXPORT_CT="(None)",I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3">
        <f>IF(OR(All_Questions_Q_GRID_EXPORT_CT="(None)",J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3">
        <f>IF(OR(All_Questions_Q_GRID_EXPORT_CT="(None)",K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3">
        <f>IF(OR(All_Questions_Q_GRID_EXPORT_CT="(None)",L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3">
        <f>IF(OR(All_Questions_Q_GRID_EXPORT_CT="(None)",M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3">
        <f>IF(OR(All_Questions_Q_GRID_EXPORT_CT="(None)",N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3">
        <f>IF(OR(All_Questions_Q_GRID_EXPORT_CT="(None)",O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3">
        <f>IF(OR(All_Questions_Q_GRID_EXPORT_CT="(None)",P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3">
        <f>IF(OR(All_Questions_Q_GRID_EXPORT_CT="(None)",Q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3">
        <f>IF(OR(All_Questions_Q_GRID_EXPORT_CT="(None)",R$40=""),"",IF(R$40="Other",COUNTIFS(Q_GRID_EXPORTr2_data,"Selected",passes_workbook_filters_data,1,passes_workbook_custom_filters_data,1,All_Questions_passes_local_filters_data,1,All_Questions_Q_GRID_EXPORT_F_passes_per_q_filter_data,1)-SUM(G43,H43,I43,J43,K43,L43,M43,N43,O43,P43,Q43)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44">
      <c r="A44" s="4" t="inlineStr">
        <is>
          <t>Total responses</t>
        </is>
      </c>
      <c r="B44" s="4" t="n">
        <v>20</v>
      </c>
      <c r="C44" s="4" t="n"/>
      <c r="D44" s="4" t="n"/>
      <c r="F44" s="4" t="inlineStr">
        <is>
          <t>Total respondents</t>
        </is>
      </c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46">
      <c r="A46" s="11" t="n"/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</row>
    <row r="47">
      <c r="A47" s="12" t="inlineStr">
        <is>
          <t>Q_VERY_LONG_SINGLE_SELECT_EXPORT_NAME - Long sheet name export question</t>
        </is>
      </c>
      <c r="B47" s="12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</row>
    <row r="48">
      <c r="A48" s="13" t="inlineStr">
        <is>
          <t>Per-question filter</t>
        </is>
      </c>
      <c r="B48" t="inlineStr">
        <is>
          <t>Filter Q</t>
        </is>
      </c>
      <c r="C48" t="inlineStr">
        <is>
          <t>(None)</t>
        </is>
      </c>
      <c r="D48" t="inlineStr">
        <is>
          <t>Value</t>
        </is>
      </c>
      <c r="E48" t="inlineStr">
        <is>
          <t>(All)</t>
        </is>
      </c>
      <c r="F48" t="str">
        <f>IFERROR(INDEX(All_Questions_Data_Names,MATCH(All_Questions_Q_VERY_LONG_SINGLE_SELECT_EXPORT_NAME_F_Q,All_Questions,0)),"'_RawData'!$A:$A")</f>
        <v>respondent_id_data</v>
      </c>
      <c r="G48" t="str">
        <f>"|" &amp; SUBSTITUTE(All_Questions_Q_VERY_LONG_SINGLE_SELECT_EXPORT_NAME_F_V, ", ", "|") &amp; "|"</f>
        <v>|(All)|</v>
      </c>
    </row>
    <row r="49">
      <c r="A49" s="13" t="inlineStr">
        <is>
          <t>Cross-tab by</t>
        </is>
      </c>
      <c r="C49" t="inlineStr">
        <is>
          <t>(None)</t>
        </is>
      </c>
    </row>
    <row r="51">
      <c r="A51" s="4" t="inlineStr">
        <is>
          <t>Option</t>
        </is>
      </c>
      <c r="B51" s="4" t="inlineStr">
        <is>
          <t>Count</t>
        </is>
      </c>
      <c r="C51" s="4" t="inlineStr">
        <is>
          <t>%</t>
        </is>
      </c>
      <c r="D51" s="4" t="inlineStr">
        <is>
          <t>Denominator</t>
        </is>
      </c>
      <c r="F51" s="4" t="inlineStr">
        <is>
          <t>Option</t>
        </is>
      </c>
      <c r="G5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1" s="4" t="inlineStr">
        <is>
          <t>Total</t>
        </is>
      </c>
    </row>
    <row r="52">
      <c r="A52" t="inlineStr">
        <is>
          <t>A</t>
        </is>
      </c>
      <c r="B5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2" s="7">
        <f>IFERROR(B52/SUBTOTAL(9,B52:B53),0)</f>
        <v>0.7</v>
      </c>
      <c r="D52" s="14">
        <f>SUBTOTAL(9,B52:B53)</f>
        <v>10</v>
      </c>
      <c r="F52" s="4" t="inlineStr"/>
      <c r="G52" s="4" t="inlineStr">
        <is>
          <t># of resp</t>
        </is>
      </c>
      <c r="H52" s="4" t="inlineStr">
        <is>
          <t># of resp</t>
        </is>
      </c>
      <c r="I52" s="4" t="inlineStr">
        <is>
          <t># of resp</t>
        </is>
      </c>
      <c r="J52" s="4" t="inlineStr">
        <is>
          <t># of resp</t>
        </is>
      </c>
      <c r="K52" s="4" t="inlineStr">
        <is>
          <t># of resp</t>
        </is>
      </c>
      <c r="L52" s="4" t="inlineStr">
        <is>
          <t># of resp</t>
        </is>
      </c>
      <c r="M52" s="4" t="inlineStr">
        <is>
          <t># of resp</t>
        </is>
      </c>
      <c r="N52" s="4" t="inlineStr">
        <is>
          <t># of resp</t>
        </is>
      </c>
      <c r="O52" s="4" t="inlineStr">
        <is>
          <t># of resp</t>
        </is>
      </c>
      <c r="P52" s="4" t="inlineStr">
        <is>
          <t># of resp</t>
        </is>
      </c>
      <c r="Q52" s="4" t="inlineStr">
        <is>
          <t># of resp</t>
        </is>
      </c>
      <c r="R52" s="4" t="inlineStr">
        <is>
          <t># of resp</t>
        </is>
      </c>
      <c r="S52" s="4" t="inlineStr">
        <is>
          <t># of resp</t>
        </is>
      </c>
    </row>
    <row r="53">
      <c r="A53" t="inlineStr">
        <is>
          <t>B</t>
        </is>
      </c>
      <c r="B5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3" s="7">
        <f>IFERROR(B53/SUBTOTAL(9,B52:B53),0)</f>
        <v>0.3</v>
      </c>
      <c r="D53" s="14">
        <f>SUBTOTAL(9,B52:B53)</f>
        <v>10</v>
      </c>
      <c r="F53" t="inlineStr">
        <is>
          <t>A</t>
        </is>
      </c>
      <c r="G53">
        <f>IF(OR(All_Questions_Q_VERY_LONG_SINGLE_SELECT_EXPORT_NAME_CT="(None)",G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3">
        <f>IF(OR(All_Questions_Q_VERY_LONG_SINGLE_SELECT_EXPORT_NAME_CT="(None)",H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3">
        <f>IF(OR(All_Questions_Q_VERY_LONG_SINGLE_SELECT_EXPORT_NAME_CT="(None)",I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3">
        <f>IF(OR(All_Questions_Q_VERY_LONG_SINGLE_SELECT_EXPORT_NAME_CT="(None)",J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3">
        <f>IF(OR(All_Questions_Q_VERY_LONG_SINGLE_SELECT_EXPORT_NAME_CT="(None)",K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3">
        <f>IF(OR(All_Questions_Q_VERY_LONG_SINGLE_SELECT_EXPORT_NAME_CT="(None)",L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3">
        <f>IF(OR(All_Questions_Q_VERY_LONG_SINGLE_SELECT_EXPORT_NAME_CT="(None)",M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3">
        <f>IF(OR(All_Questions_Q_VERY_LONG_SINGLE_SELECT_EXPORT_NAME_CT="(None)",N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3">
        <f>IF(OR(All_Questions_Q_VERY_LONG_SINGLE_SELECT_EXPORT_NAME_CT="(None)",O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3">
        <f>IF(OR(All_Questions_Q_VERY_LONG_SINGLE_SELECT_EXPORT_NAME_CT="(None)",P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3">
        <f>IF(OR(All_Questions_Q_VERY_LONG_SINGLE_SELECT_EXPORT_NAME_CT="(None)",Q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3">
        <f>IF(OR(All_Questions_Q_VERY_LONG_SINGLE_SELECT_EXPORT_NAME_CT="(None)",R$51=""),"",IF(R$51="Other",COUNTIFS(Q_VERY_LONG_SINGLE_SELECT_EXPOR_data,"A",passes_workbook_filters_data,1,passes_workbook_custom_filters_data,1,All_Questions_passes_local_filters_data,1,All_Questions_Q_VERY_LONG_SINGLE_SELECT_EXPORT_NAME_F_passes_per_q_filter_data,1)-SUM(G53,H53,I53,J53,K53,L53,M53,N53,O53,P53,Q53)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54">
      <c r="A54" s="15" t="inlineStr">
        <is>
          <t>Total respondents</t>
        </is>
      </c>
      <c r="B54" s="15" t="n">
        <v>10</v>
      </c>
      <c r="C54" s="15" t="n"/>
      <c r="D54" s="15" t="n"/>
      <c r="F54" t="inlineStr">
        <is>
          <t>B</t>
        </is>
      </c>
      <c r="G54">
        <f>IF(OR(All_Questions_Q_VERY_LONG_SINGLE_SELECT_EXPORT_NAME_CT="(None)",G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4">
        <f>IF(OR(All_Questions_Q_VERY_LONG_SINGLE_SELECT_EXPORT_NAME_CT="(None)",H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4">
        <f>IF(OR(All_Questions_Q_VERY_LONG_SINGLE_SELECT_EXPORT_NAME_CT="(None)",I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4">
        <f>IF(OR(All_Questions_Q_VERY_LONG_SINGLE_SELECT_EXPORT_NAME_CT="(None)",J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4">
        <f>IF(OR(All_Questions_Q_VERY_LONG_SINGLE_SELECT_EXPORT_NAME_CT="(None)",K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4">
        <f>IF(OR(All_Questions_Q_VERY_LONG_SINGLE_SELECT_EXPORT_NAME_CT="(None)",L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4">
        <f>IF(OR(All_Questions_Q_VERY_LONG_SINGLE_SELECT_EXPORT_NAME_CT="(None)",M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4">
        <f>IF(OR(All_Questions_Q_VERY_LONG_SINGLE_SELECT_EXPORT_NAME_CT="(None)",N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4">
        <f>IF(OR(All_Questions_Q_VERY_LONG_SINGLE_SELECT_EXPORT_NAME_CT="(None)",O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4">
        <f>IF(OR(All_Questions_Q_VERY_LONG_SINGLE_SELECT_EXPORT_NAME_CT="(None)",P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4">
        <f>IF(OR(All_Questions_Q_VERY_LONG_SINGLE_SELECT_EXPORT_NAME_CT="(None)",Q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4">
        <f>IF(OR(All_Questions_Q_VERY_LONG_SINGLE_SELECT_EXPORT_NAME_CT="(None)",R$51=""),"",IF(R$51="Other",COUNTIFS(Q_VERY_LONG_SINGLE_SELECT_EXPOR_data,"B",passes_workbook_filters_data,1,passes_workbook_custom_filters_data,1,All_Questions_passes_local_filters_data,1,All_Questions_Q_VERY_LONG_SINGLE_SELECT_EXPORT_NAME_F_passes_per_q_filter_data,1)-SUM(G54,H54,I54,J54,K54,L54,M54,N54,O54,P54,Q54)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55">
      <c r="F55" s="4" t="inlineStr">
        <is>
          <t>Total respondents</t>
        </is>
      </c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1:B42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1:C42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2:G43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2:H43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2:I43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2:J43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2:K43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2:L43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2:M43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2:N43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2:O43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2:P43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2:Q43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2:R43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2:B53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2:C53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3:G54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3:H54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3:I5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3:J5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3:K5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3:L5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3:M5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3:N5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3:O5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3:P5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3:Q5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3:R5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26" showDropDown="0" showInputMessage="0" showErrorMessage="0" allowBlank="1" type="list">
      <formula1>=All_Questions</formula1>
    </dataValidation>
    <dataValidation sqref="C37" showDropDown="0" showInputMessage="0" showErrorMessage="0" allowBlank="1" type="list">
      <formula1>=All_Questions</formula1>
    </dataValidation>
    <dataValidation sqref="E3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38" showDropDown="0" showInputMessage="0" showErrorMessage="0" allowBlank="1" type="list">
      <formula1>=All_Questions</formula1>
    </dataValidation>
    <dataValidation sqref="C48" showDropDown="0" showInputMessage="0" showErrorMessage="0" allowBlank="1" type="list">
      <formula1>=All_Questions</formula1>
    </dataValidation>
    <dataValidation sqref="E4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4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2026-05-26T06:17:51Z</dcterms:created>
  <dcterms:modified xmlns:dcterms="http://purl.org/dc/terms/" xmlns:xsi="http://www.w3.org/2001/XMLSchema-instance" xsi:type="dcterms:W3CDTF">2026-05-26T06:17:51Z</dcterms:modified>
</cp:coreProperties>
</file>