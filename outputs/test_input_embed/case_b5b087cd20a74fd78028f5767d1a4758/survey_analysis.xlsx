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Demographics_F_Custom1_Q">'Demographics'!$B$5</definedName>
    <definedName name="Demographics_F_Custom1_Q_resolved">'Demographics'!$C$5</definedName>
    <definedName name="Demographics_F_Custom1_V">'Demographics'!$B$6</definedName>
    <definedName name="Demographics_F_Custom1_V_resolved">'Demographics'!$C$6</definedName>
    <definedName name="Demographics_F_Custom1_wrapped">'Demographics'!$D$6</definedName>
    <definedName name="Demographics_F_Custom1_resolved_column">'Demographics'!$F$6</definedName>
    <definedName name="Demographics_F_Custom2_Q">'Demographics'!$B$7</definedName>
    <definedName name="Demographics_F_Custom2_Q_resolved">'Demographics'!$C$7</definedName>
    <definedName name="Demographics_F_Custom2_V">'Demographics'!$B$8</definedName>
    <definedName name="Demographics_F_Custom2_V_resolved">'Demographics'!$C$8</definedName>
    <definedName name="Demographics_F_Custom2_wrapped">'Demographics'!$D$8</definedName>
    <definedName name="Demographics_F_Custom2_resolved_column">'Demographics'!$F$8</definedName>
    <definedName name="Demographics_passes_local_filters_data">'_RawData'!$G$2:$G$5</definedName>
    <definedName name="Demographics_Q1_F_Q">'Demographics'!$C$13</definedName>
    <definedName name="Demographics_Q1_F_V">'Demographics'!$E$13</definedName>
    <definedName name="Demographics_Q1_F_resolved_column">'Demographics'!$F$13</definedName>
    <definedName name="Demographics_Q1_F_wrapped">'Demographics'!$G$13</definedName>
    <definedName name="Demographics_Q1_F_passes_per_q_filter_data">'_RawData'!$H$2:$H$5</definedName>
    <definedName name="Demographics_Q1_CT">'Demographics'!$C$14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Demographics_16_1" displayName="T_Demographic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Demographics_passes_local_filters</t>
        </is>
      </c>
      <c r="H1" t="inlineStr">
        <is>
          <t>Demographics_Q1_F_passes_per_q_filter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Q1 - Choice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Q1 - Choice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Source datamap:</t>
        </is>
      </c>
      <c r="B1" t="inlineStr">
        <is>
          <t>/home/runner/workspace/outputs/test_input_embed/case_b5b087cd20a74fd78028f5767d1a4758/datamap_upload.xlsx</t>
        </is>
      </c>
    </row>
    <row r="2">
      <c r="A2" s="5" t="inlineStr">
        <is>
          <t>Source raw data:</t>
        </is>
      </c>
      <c r="B2" t="inlineStr">
        <is>
          <t>/home/runner/workspace/outputs/test_input_embed/case_b5b087cd20a74fd78028f5767d1a4758/raw_upload.xlsx</t>
        </is>
      </c>
    </row>
    <row r="3">
      <c r="A3" s="5" t="inlineStr">
        <is>
          <t>Run timestamp:</t>
        </is>
      </c>
      <c r="B3" t="inlineStr">
        <is>
          <t>2026-05-29T12:48:36.976957+00:00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Choice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IF(Demographics_F_Custom1_Q="(Inherit)",F_Custom1_Q,Demographics_F_Custom1_Q)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IF(Demographics_F_Custom1_V="(Inherit)",F_Custom1_V,Demographics_F_Custom1_V)</f>
        <v>(All)</v>
      </c>
      <c r="D6" t="str">
        <f>"|" &amp; SUBSTITUTE(Demographics_F_Custom1_V_resolved,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IFERROR(INDEX(All_Questions_Data_Names,MATCH(Demographics_F_Custom1_Q_resolved,All_Questions,0)),"'_RawData'!$A:$A")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IF(Demographics_F_Custom2_Q="(Inherit)",F_Custom2_Q,Demographics_F_Custom2_Q)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IF(Demographics_F_Custom2_V="(Inherit)",F_Custom2_V,Demographics_F_Custom2_V)</f>
        <v>(All)</v>
      </c>
      <c r="D8" t="str">
        <f>"|" &amp; SUBSTITUTE(Demographics_F_Custom2_V_resolved,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Choice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IFERROR(INDEX(All_Questions_Data_Names,MATCH(Demographics_Q1_F_Q,All_Questions,0)),"'_RawData'!$A:$A")</f>
        <v>respondent_id_data</v>
      </c>
      <c r="G13" t="str">
        <f>"|" &amp; SUBSTITUTE(Demographics_Q1_F_V,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IF(Demographics_Q1_CT="(None)","",IFERROR(INDEX(INDIRECT(IFERROR(INDEX(All_Questions_Options_Names,MATCH(Demographics_Q1_CT,All_Questions,0)),"'_Options'!$E$2:$E$2")),2),""))</f>
        <v/>
      </c>
      <c r="H16" s="2" t="str">
        <f>IF(Demographics_Q1_CT="(None)","",IFERROR(INDEX(INDIRECT(IFERROR(INDEX(All_Questions_Options_Names,MATCH(Demographics_Q1_CT,All_Questions,0)),"'_Options'!$E$2:$E$2")),3),""))</f>
        <v/>
      </c>
      <c r="I16" s="2" t="str">
        <f>IF(Demographics_Q1_CT="(None)","",IFERROR(INDEX(INDIRECT(IFERROR(INDEX(All_Questions_Options_Names,MATCH(Demographics_Q1_CT,All_Questions,0)),"'_Options'!$E$2:$E$2")),4),""))</f>
        <v/>
      </c>
      <c r="J16" s="2" t="str">
        <f>IF(Demographics_Q1_CT="(None)","",IFERROR(INDEX(INDIRECT(IFERROR(INDEX(All_Questions_Options_Names,MATCH(Demographics_Q1_CT,All_Questions,0)),"'_Options'!$E$2:$E$2")),5),""))</f>
        <v/>
      </c>
      <c r="K16" s="2" t="str">
        <f>IF(Demographics_Q1_CT="(None)","",IFERROR(INDEX(INDIRECT(IFERROR(INDEX(All_Questions_Options_Names,MATCH(Demographics_Q1_CT,All_Questions,0)),"'_Options'!$E$2:$E$2")),6),""))</f>
        <v/>
      </c>
      <c r="L16" s="2" t="str">
        <f>IF(Demographics_Q1_CT="(None)","",IFERROR(INDEX(INDIRECT(IFERROR(INDEX(All_Questions_Options_Names,MATCH(Demographics_Q1_CT,All_Questions,0)),"'_Options'!$E$2:$E$2")),7),""))</f>
        <v/>
      </c>
      <c r="M16" s="2" t="str">
        <f>IF(Demographics_Q1_CT="(None)","",IFERROR(INDEX(INDIRECT(IFERROR(INDEX(All_Questions_Options_Names,MATCH(Demographics_Q1_CT,All_Questions,0)),"'_Options'!$E$2:$E$2")),8),""))</f>
        <v/>
      </c>
      <c r="N16" s="2" t="str">
        <f>IF(Demographics_Q1_CT="(None)","",IFERROR(INDEX(INDIRECT(IFERROR(INDEX(All_Questions_Options_Names,MATCH(Demographics_Q1_CT,All_Questions,0)),"'_Options'!$E$2:$E$2")),9),""))</f>
        <v/>
      </c>
      <c r="O16" s="2" t="str">
        <f>IF(Demographics_Q1_CT="(None)","",IFERROR(INDEX(INDIRECT(IFERROR(INDEX(All_Questions_Options_Names,MATCH(Demographics_Q1_CT,All_Questions,0)),"'_Options'!$E$2:$E$2")),10),""))</f>
        <v/>
      </c>
      <c r="P16" s="2" t="str">
        <f>IF(Demographics_Q1_CT="(None)","",IFERROR(INDEX(INDIRECT(IFERROR(INDEX(All_Questions_Options_Names,MATCH(Demographics_Q1_CT,All_Questions,0)),"'_Options'!$E$2:$E$2")),11),""))</f>
        <v/>
      </c>
      <c r="Q16" s="2" t="str">
        <f>IF(Demographics_Q1_CT="(None)","",IFERROR(INDEX(INDIRECT(IFERROR(INDEX(All_Questions_Options_Names,MATCH(Demographics_Q1_CT,All_Questions,0)),"'_Options'!$E$2:$E$2")),12),""))</f>
        <v/>
      </c>
      <c r="R16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COUNTIFS(Q1_data,"A",passes_workbook_filters_data,1,passes_workbook_custom_filters_data,1,Demographics_passes_local_filters_data,1,Demographics_Q1_F_passes_per_q_filter_data,1)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COUNTIFS(Q1_data,"B",passes_workbook_filters_data,1,passes_workbook_custom_filters_data,1,Demographics_passes_local_filters_data,1,Demographics_Q1_F_passes_per_q_filter_data,1)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A</t>
        </is>
      </c>
      <c r="G18">
        <f>IF(OR(Demographics_Q1_CT="(None)",G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8">
        <f>IF(OR(Demographics_Q1_CT="(None)",H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8">
        <f>IF(OR(Demographics_Q1_CT="(None)",I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8">
        <f>IF(OR(Demographics_Q1_CT="(None)",J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8">
        <f>IF(OR(Demographics_Q1_CT="(None)",K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8">
        <f>IF(OR(Demographics_Q1_CT="(None)",L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8">
        <f>IF(OR(Demographics_Q1_CT="(None)",M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8">
        <f>IF(OR(Demographics_Q1_CT="(None)",N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8">
        <f>IF(OR(Demographics_Q1_CT="(None)",O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8">
        <f>IF(OR(Demographics_Q1_CT="(None)",P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8">
        <f>IF(OR(Demographics_Q1_CT="(None)",Q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8">
        <f>IF(OR(Demographics_Q1_CT="(None)",R$16=""),"",IF(R$16="Other",COUNTIFS(Q1_data,"A",passes_workbook_filters_data,1,passes_workbook_custom_filters_data,1,Demographics_passes_local_filters_data,1,Demographics_Q1_F_passes_per_q_filter_data,1)-SUM(G18,H18,I18,J18,K18,L18,M18,N18,O18,P18,Q18)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8">
        <f>IF(Demographics_Q1_CT="(None)","",COUNTIFS(Q1_data,"A",passes_workbook_filters_data,1,passes_workbook_custom_filters_data,1,Demographics_passes_local_filters_data,1,Demographics_Q1_F_passes_per_q_filter_data,1))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B</t>
        </is>
      </c>
      <c r="G19">
        <f>IF(OR(Demographics_Q1_CT="(None)",G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9">
        <f>IF(OR(Demographics_Q1_CT="(None)",H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9">
        <f>IF(OR(Demographics_Q1_CT="(None)",I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9">
        <f>IF(OR(Demographics_Q1_CT="(None)",J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9">
        <f>IF(OR(Demographics_Q1_CT="(None)",K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9">
        <f>IF(OR(Demographics_Q1_CT="(None)",L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9">
        <f>IF(OR(Demographics_Q1_CT="(None)",M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9">
        <f>IF(OR(Demographics_Q1_CT="(None)",N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9">
        <f>IF(OR(Demographics_Q1_CT="(None)",O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9">
        <f>IF(OR(Demographics_Q1_CT="(None)",P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9">
        <f>IF(OR(Demographics_Q1_CT="(None)",Q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9">
        <f>IF(OR(Demographics_Q1_CT="(None)",R$16=""),"",IF(R$16="Other",COUNTIFS(Q1_data,"B",passes_workbook_filters_data,1,passes_workbook_custom_filters_data,1,Demographics_passes_local_filters_data,1,Demographics_Q1_F_passes_per_q_filter_data,1)-SUM(G19,H19,I19,J19,K19,L19,M19,N19,O19,P19,Q19)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9">
        <f>IF(Demographics_Q1_CT="(None)","",COUNTIFS(Q1_data,"B",passes_workbook_filters_data,1,passes_workbook_custom_filters_data,1,Demographics_passes_local_filters_data,1,Demographics_Q1_F_passes_per_q_filter_data,1))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