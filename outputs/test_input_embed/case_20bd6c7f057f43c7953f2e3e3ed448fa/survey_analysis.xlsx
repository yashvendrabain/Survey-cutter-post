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ables/table1.xml" ContentType="application/vnd.openxmlformats-officedocument.spreadsheetml.table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  <sheet xmlns:r="http://schemas.openxmlformats.org/officeDocument/2006/relationships" name="Question_Metadata" sheetId="2" state="visible" r:id="rId2"/>
    <sheet xmlns:r="http://schemas.openxmlformats.org/officeDocument/2006/relationships" name="Single_Cut_Index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Calculation_Log" sheetId="5" state="visible" r:id="rId5"/>
    <sheet xmlns:r="http://schemas.openxmlformats.org/officeDocument/2006/relationships" name="Filter_Log" sheetId="6" state="visible" r:id="rId6"/>
    <sheet xmlns:r="http://schemas.openxmlformats.org/officeDocument/2006/relationships" name="Warnings" sheetId="7" state="visible" r:id="rId7"/>
    <sheet xmlns:r="http://schemas.openxmlformats.org/officeDocument/2006/relationships" name="Raw Data (Input)" sheetId="8" state="visible" r:id="rId8"/>
    <sheet xmlns:r="http://schemas.openxmlformats.org/officeDocument/2006/relationships" name="Data Map (Input)" sheetId="9" state="visible" r:id="rId9"/>
    <sheet xmlns:r="http://schemas.openxmlformats.org/officeDocument/2006/relationships" name="_RawData" sheetId="10" state="hidden" r:id="rId10"/>
    <sheet xmlns:r="http://schemas.openxmlformats.org/officeDocument/2006/relationships" name="_Options" sheetId="11" state="hidden" r:id="rId11"/>
    <sheet xmlns:r="http://schemas.openxmlformats.org/officeDocument/2006/relationships" name="Filters" sheetId="12" state="visible" r:id="rId12"/>
  </sheets>
  <definedNames>
    <definedName name="respondent_id_data">'_RawData'!$A$2:$A$5</definedName>
    <definedName name="Q1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Demographics_F_Custom1_Q">'Demographics'!$B$5</definedName>
    <definedName name="Demographics_F_Custom1_Q_resolved">'Demographics'!$C$5</definedName>
    <definedName name="Demographics_F_Custom1_V">'Demographics'!$B$6</definedName>
    <definedName name="Demographics_F_Custom1_V_resolved">'Demographics'!$C$6</definedName>
    <definedName name="Demographics_F_Custom1_wrapped">'Demographics'!$D$6</definedName>
    <definedName name="Demographics_F_Custom1_resolved_column">'Demographics'!$F$6</definedName>
    <definedName name="Demographics_F_Custom2_Q">'Demographics'!$B$7</definedName>
    <definedName name="Demographics_F_Custom2_Q_resolved">'Demographics'!$C$7</definedName>
    <definedName name="Demographics_F_Custom2_V">'Demographics'!$B$8</definedName>
    <definedName name="Demographics_F_Custom2_V_resolved">'Demographics'!$C$8</definedName>
    <definedName name="Demographics_F_Custom2_wrapped">'Demographics'!$D$8</definedName>
    <definedName name="Demographics_F_Custom2_resolved_column">'Demographics'!$F$8</definedName>
    <definedName name="Demographics_passes_local_filters_data">'_RawData'!$G$2:$G$5</definedName>
    <definedName name="Demographics_Q1_F_Q">'Demographics'!$C$13</definedName>
    <definedName name="Demographics_Q1_F_V">'Demographics'!$E$13</definedName>
    <definedName name="Demographics_Q1_F_resolved_column">'Demographics'!$F$13</definedName>
    <definedName name="Demographics_Q1_F_wrapped">'Demographics'!$G$13</definedName>
    <definedName name="Demographics_Q1_F_passes_per_q_filter_data">'_RawData'!$H$2:$H$5</definedName>
    <definedName name="Demographics_Q1_CT">'Demographics'!$C$14</definedName>
  </definedNames>
  <calcPr calcId="124519" fullCalcOnLoad="1"/>
</workbook>
</file>

<file path=xl/calcChain.xml><?xml version="1.0" encoding="utf-8"?>
<calcChain xmlns="http://schemas.openxmlformats.org/spreadsheetml/2006/main">
  <c r="C5" i="4"/>
  <c r="C6" i="4"/>
  <c r="D6" i="4"/>
  <c r="F6" i="4"/>
  <c r="C7" i="4"/>
  <c r="C8" i="4"/>
  <c r="D8" i="4"/>
  <c r="F8" i="4"/>
  <c r="F13" i="4"/>
  <c r="G13" i="4"/>
  <c r="G16" i="4"/>
  <c r="H16" i="4"/>
  <c r="I16" i="4"/>
  <c r="J16" i="4"/>
  <c r="K16" i="4"/>
  <c r="L16" i="4"/>
  <c r="M16" i="4"/>
  <c r="N16" i="4"/>
  <c r="O16" i="4"/>
  <c r="P16" i="4"/>
  <c r="Q16" i="4"/>
  <c r="R16" i="4"/>
  <c r="B17" i="4"/>
  <c r="C17" i="4"/>
  <c r="D17" i="4"/>
  <c r="B18" i="4"/>
  <c r="C18" i="4"/>
  <c r="D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S20" i="4"/>
  <c r="C2" i="10"/>
  <c r="D2" i="10"/>
  <c r="E2" i="10"/>
  <c r="F2" i="10"/>
  <c r="G2" i="10"/>
  <c r="H2" i="10"/>
  <c r="C3" i="10"/>
  <c r="D3" i="10"/>
  <c r="E3" i="10"/>
  <c r="F3" i="10"/>
  <c r="G3" i="10"/>
  <c r="H3" i="10"/>
  <c r="C4" i="10"/>
  <c r="D4" i="10"/>
  <c r="E4" i="10"/>
  <c r="F4" i="10"/>
  <c r="G4" i="10"/>
  <c r="H4" i="10"/>
  <c r="C5" i="10"/>
  <c r="D5" i="10"/>
  <c r="E5" i="10"/>
  <c r="F5" i="10"/>
  <c r="G5" i="10"/>
  <c r="H5" i="10"/>
  <c r="E6" i="12"/>
  <c r="F6" i="12"/>
  <c r="E7" i="12"/>
  <c r="F7" i="12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2" fillId="3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Demographics_16_1" displayName="T_Demographic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Demographic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Source datamap:</t>
        </is>
      </c>
      <c r="B1" t="inlineStr">
        <is>
          <t>/home/runner/workspace/outputs/test_input_embed/case_20bd6c7f057f43c7953f2e3e3ed448fa/datamap_upload.xlsx</t>
        </is>
      </c>
    </row>
    <row r="2">
      <c r="A2" s="1" t="inlineStr">
        <is>
          <t>Source raw data:</t>
        </is>
      </c>
      <c r="B2" t="inlineStr">
        <is>
          <t>/home/runner/workspace/outputs/test_input_embed/case_20bd6c7f057f43c7953f2e3e3ed448fa/raw_upload.xlsx</t>
        </is>
      </c>
    </row>
    <row r="3">
      <c r="A3" s="1" t="inlineStr">
        <is>
          <t>Run timestamp:</t>
        </is>
      </c>
      <c r="B3" t="inlineStr">
        <is>
          <t>2026-05-29T12:48:36.249102+00:00</t>
        </is>
      </c>
    </row>
    <row r="4">
      <c r="A4" s="1" t="inlineStr">
        <is>
          <t>Total respondents:</t>
        </is>
      </c>
      <c r="B4" t="n">
        <v>4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Choice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4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Tip: Use the Filters sheet for workbook-wide values, or override below.</t>
        </is>
      </c>
    </row>
    <row r="3">
      <c r="A3" s="2" t="inlineStr">
        <is>
          <t>LOCAL FILTERS (override workbook defaults)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Filter</t>
        </is>
      </c>
      <c r="B4" s="2" t="inlineStr">
        <is>
          <t>Value</t>
        </is>
      </c>
      <c r="C4" s="2" t="inlineStr">
        <is>
          <t>Resolved</t>
        </is>
      </c>
      <c r="D4" s="2" t="inlineStr">
        <is>
          <t>Wrapped</t>
        </is>
      </c>
      <c r="E4" s="2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IF(Demographics_F_Custom1_Q="(Inherit)",F_Custom1_Q,Demographics_F_Custom1_Q)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IF(Demographics_F_Custom1_V="(Inherit)",F_Custom1_V,Demographics_F_Custom1_V)</f>
        <v>(All)</v>
      </c>
      <c r="D6" t="str">
        <f>"|" &amp; SUBSTITUTE(Demographics_F_Custom1_V_resolved,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IFERROR(INDEX(All_Questions_Data_Names,MATCH(Demographics_F_Custom1_Q_resolved,All_Questions,0)),"'_RawData'!$A:$A")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IF(Demographics_F_Custom2_Q="(Inherit)",F_Custom2_Q,Demographics_F_Custom2_Q)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IF(Demographics_F_Custom2_V="(Inherit)",F_Custom2_V,Demographics_F_Custom2_V)</f>
        <v>(All)</v>
      </c>
      <c r="D8" t="str">
        <f>"|" &amp; SUBSTITUTE(Demographics_F_Custom2_V_resolved,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IFERROR(INDEX(All_Questions_Data_Names,MATCH(Demographics_F_Custom2_Q_resolved,All_Questions,0)),"'_RawData'!$A:$A")</f>
        <v>respondent_id_data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Q1 - Choice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IFERROR(INDEX(All_Questions_Data_Names,MATCH(Demographics_Q1_F_Q,All_Questions,0)),"'_RawData'!$A:$A")</f>
        <v>respondent_id_data</v>
      </c>
      <c r="G13" t="str">
        <f>"|" &amp; SUBSTITUTE(Demographics_Q1_F_V, ", ", "|") &amp; "|"</f>
        <v>|(All)|</v>
      </c>
    </row>
    <row r="14">
      <c r="A14" s="11" t="inlineStr">
        <is>
          <t>Cross-tab by</t>
        </is>
      </c>
      <c r="C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2" t="inlineStr">
        <is>
          <t>Option</t>
        </is>
      </c>
      <c r="G16" s="8" t="str">
        <f>IF(Demographics_Q1_CT="(None)","",IFERROR(INDEX(INDIRECT(IFERROR(INDEX(All_Questions_Options_Names,MATCH(Demographics_Q1_CT,All_Questions,0)),"'_Options'!$E$2:$E$2")),2),""))</f>
        <v/>
      </c>
      <c r="H16" s="8" t="str">
        <f>IF(Demographics_Q1_CT="(None)","",IFERROR(INDEX(INDIRECT(IFERROR(INDEX(All_Questions_Options_Names,MATCH(Demographics_Q1_CT,All_Questions,0)),"'_Options'!$E$2:$E$2")),3),""))</f>
        <v/>
      </c>
      <c r="I16" s="8" t="str">
        <f>IF(Demographics_Q1_CT="(None)","",IFERROR(INDEX(INDIRECT(IFERROR(INDEX(All_Questions_Options_Names,MATCH(Demographics_Q1_CT,All_Questions,0)),"'_Options'!$E$2:$E$2")),4),""))</f>
        <v/>
      </c>
      <c r="J16" s="8" t="str">
        <f>IF(Demographics_Q1_CT="(None)","",IFERROR(INDEX(INDIRECT(IFERROR(INDEX(All_Questions_Options_Names,MATCH(Demographics_Q1_CT,All_Questions,0)),"'_Options'!$E$2:$E$2")),5),""))</f>
        <v/>
      </c>
      <c r="K16" s="8" t="str">
        <f>IF(Demographics_Q1_CT="(None)","",IFERROR(INDEX(INDIRECT(IFERROR(INDEX(All_Questions_Options_Names,MATCH(Demographics_Q1_CT,All_Questions,0)),"'_Options'!$E$2:$E$2")),6),""))</f>
        <v/>
      </c>
      <c r="L16" s="8" t="str">
        <f>IF(Demographics_Q1_CT="(None)","",IFERROR(INDEX(INDIRECT(IFERROR(INDEX(All_Questions_Options_Names,MATCH(Demographics_Q1_CT,All_Questions,0)),"'_Options'!$E$2:$E$2")),7),""))</f>
        <v/>
      </c>
      <c r="M16" s="8" t="str">
        <f>IF(Demographics_Q1_CT="(None)","",IFERROR(INDEX(INDIRECT(IFERROR(INDEX(All_Questions_Options_Names,MATCH(Demographics_Q1_CT,All_Questions,0)),"'_Options'!$E$2:$E$2")),8),""))</f>
        <v/>
      </c>
      <c r="N16" s="8" t="str">
        <f>IF(Demographics_Q1_CT="(None)","",IFERROR(INDEX(INDIRECT(IFERROR(INDEX(All_Questions_Options_Names,MATCH(Demographics_Q1_CT,All_Questions,0)),"'_Options'!$E$2:$E$2")),9),""))</f>
        <v/>
      </c>
      <c r="O16" s="8" t="str">
        <f>IF(Demographics_Q1_CT="(None)","",IFERROR(INDEX(INDIRECT(IFERROR(INDEX(All_Questions_Options_Names,MATCH(Demographics_Q1_CT,All_Questions,0)),"'_Options'!$E$2:$E$2")),10),""))</f>
        <v/>
      </c>
      <c r="P16" s="8" t="str">
        <f>IF(Demographics_Q1_CT="(None)","",IFERROR(INDEX(INDIRECT(IFERROR(INDEX(All_Questions_Options_Names,MATCH(Demographics_Q1_CT,All_Questions,0)),"'_Options'!$E$2:$E$2")),11),""))</f>
        <v/>
      </c>
      <c r="Q16" s="8" t="str">
        <f>IF(Demographics_Q1_CT="(None)","",IFERROR(INDEX(INDIRECT(IFERROR(INDEX(All_Questions_Options_Names,MATCH(Demographics_Q1_CT,All_Questions,0)),"'_Options'!$E$2:$E$2")),12),""))</f>
        <v/>
      </c>
      <c r="R16" s="8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6" s="2" t="inlineStr">
        <is>
          <t>Total</t>
        </is>
      </c>
    </row>
    <row r="17">
      <c r="A17" t="inlineStr">
        <is>
          <t>A</t>
        </is>
      </c>
      <c r="B17">
        <f>COUNTIFS(Q1_data,"A",passes_workbook_filters_data,1,passes_workbook_custom_filters_data,1,Demographics_passes_local_filters_data,1,Demographics_Q1_F_passes_per_q_filter_data,1)</f>
        <v>2</v>
      </c>
      <c r="C17" s="4">
        <f>IFERROR(B17/SUBTOTAL(9,B17:B18),0)</f>
        <v>0.5</v>
      </c>
      <c r="D17" s="12">
        <f>SUBTOTAL(9,B17:B18)</f>
        <v>4</v>
      </c>
      <c r="F17" s="2" t="inlineStr"/>
      <c r="G17" s="2" t="inlineStr">
        <is>
          <t># of resp</t>
        </is>
      </c>
      <c r="H17" s="2" t="inlineStr">
        <is>
          <t># of resp</t>
        </is>
      </c>
      <c r="I17" s="2" t="inlineStr">
        <is>
          <t># of resp</t>
        </is>
      </c>
      <c r="J17" s="2" t="inlineStr">
        <is>
          <t># of resp</t>
        </is>
      </c>
      <c r="K17" s="2" t="inlineStr">
        <is>
          <t># of resp</t>
        </is>
      </c>
      <c r="L17" s="2" t="inlineStr">
        <is>
          <t># of resp</t>
        </is>
      </c>
      <c r="M17" s="2" t="inlineStr">
        <is>
          <t># of resp</t>
        </is>
      </c>
      <c r="N17" s="2" t="inlineStr">
        <is>
          <t># of resp</t>
        </is>
      </c>
      <c r="O17" s="2" t="inlineStr">
        <is>
          <t># of resp</t>
        </is>
      </c>
      <c r="P17" s="2" t="inlineStr">
        <is>
          <t># of resp</t>
        </is>
      </c>
      <c r="Q17" s="2" t="inlineStr">
        <is>
          <t># of resp</t>
        </is>
      </c>
      <c r="R17" s="2" t="inlineStr">
        <is>
          <t># of resp</t>
        </is>
      </c>
      <c r="S17" s="2" t="inlineStr">
        <is>
          <t># of resp</t>
        </is>
      </c>
    </row>
    <row r="18">
      <c r="A18" t="inlineStr">
        <is>
          <t>B</t>
        </is>
      </c>
      <c r="B18">
        <f>COUNTIFS(Q1_data,"B",passes_workbook_filters_data,1,passes_workbook_custom_filters_data,1,Demographics_passes_local_filters_data,1,Demographics_Q1_F_passes_per_q_filter_data,1)</f>
        <v>2</v>
      </c>
      <c r="C18" s="4">
        <f>IFERROR(B18/SUBTOTAL(9,B17:B18),0)</f>
        <v>0.5</v>
      </c>
      <c r="D18" s="12">
        <f>SUBTOTAL(9,B17:B18)</f>
        <v>4</v>
      </c>
      <c r="F18" t="inlineStr">
        <is>
          <t>A</t>
        </is>
      </c>
      <c r="G18">
        <f>IF(OR(Demographics_Q1_CT="(None)",G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8">
        <f>IF(OR(Demographics_Q1_CT="(None)",H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8">
        <f>IF(OR(Demographics_Q1_CT="(None)",I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8">
        <f>IF(OR(Demographics_Q1_CT="(None)",J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8">
        <f>IF(OR(Demographics_Q1_CT="(None)",K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8">
        <f>IF(OR(Demographics_Q1_CT="(None)",L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8">
        <f>IF(OR(Demographics_Q1_CT="(None)",M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8">
        <f>IF(OR(Demographics_Q1_CT="(None)",N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8">
        <f>IF(OR(Demographics_Q1_CT="(None)",O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8">
        <f>IF(OR(Demographics_Q1_CT="(None)",P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8">
        <f>IF(OR(Demographics_Q1_CT="(None)",Q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8">
        <f>IF(OR(Demographics_Q1_CT="(None)",R$16=""),"",IF(R$16="Other",COUNTIFS(Q1_data,"A",passes_workbook_filters_data,1,passes_workbook_custom_filters_data,1,Demographics_passes_local_filters_data,1,Demographics_Q1_F_passes_per_q_filter_data,1)-SUM(G18,H18,I18,J18,K18,L18,M18,N18,O18,P18,Q18)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8">
        <f>IF(Demographics_Q1_CT="(None)","",COUNTIFS(Q1_data,"A",passes_workbook_filters_data,1,passes_workbook_custom_filters_data,1,Demographics_passes_local_filters_data,1,Demographics_Q1_F_passes_per_q_filter_data,1))</f>
        <v>0</v>
      </c>
    </row>
    <row r="19">
      <c r="A19" s="13" t="inlineStr">
        <is>
          <t>Total respondents</t>
        </is>
      </c>
      <c r="B19" s="13" t="n">
        <v>4</v>
      </c>
      <c r="C19" s="13" t="n"/>
      <c r="D19" s="13" t="n"/>
      <c r="F19" t="inlineStr">
        <is>
          <t>B</t>
        </is>
      </c>
      <c r="G19">
        <f>IF(OR(Demographics_Q1_CT="(None)",G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9">
        <f>IF(OR(Demographics_Q1_CT="(None)",H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9">
        <f>IF(OR(Demographics_Q1_CT="(None)",I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9">
        <f>IF(OR(Demographics_Q1_CT="(None)",J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9">
        <f>IF(OR(Demographics_Q1_CT="(None)",K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9">
        <f>IF(OR(Demographics_Q1_CT="(None)",L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9">
        <f>IF(OR(Demographics_Q1_CT="(None)",M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9">
        <f>IF(OR(Demographics_Q1_CT="(None)",N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9">
        <f>IF(OR(Demographics_Q1_CT="(None)",O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9">
        <f>IF(OR(Demographics_Q1_CT="(None)",P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9">
        <f>IF(OR(Demographics_Q1_CT="(None)",Q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9">
        <f>IF(OR(Demographics_Q1_CT="(None)",R$16=""),"",IF(R$16="Other",COUNTIFS(Q1_data,"B",passes_workbook_filters_data,1,passes_workbook_custom_filters_data,1,Demographics_passes_local_filters_data,1,Demographics_Q1_F_passes_per_q_filter_data,1)-SUM(G19,H19,I19,J19,K19,L19,M19,N19,O19,P19,Q19)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9">
        <f>IF(Demographics_Q1_CT="(None)","",COUNTIFS(Q1_data,"B",passes_workbook_filters_data,1,passes_workbook_custom_filters_data,1,Demographics_passes_local_filters_data,1,Demographics_Q1_F_passes_per_q_filter_data,1))</f>
        <v>0</v>
      </c>
    </row>
    <row r="20">
      <c r="F20" s="2" t="inlineStr">
        <is>
          <t>Total respondents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</row>
    <row r="5"/>
    <row r="6">
      <c r="A6" t="inlineStr">
        <is>
          <t>Meta</t>
        </is>
      </c>
      <c r="B6" t="inlineStr">
        <is>
          <t>Source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Demographics_passes_local_filters</t>
        </is>
      </c>
      <c r="H1" t="inlineStr">
        <is>
          <t>Demographics_Q1_F_passes_per_q_filter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Q1 - Choice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Q1 - Choice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4" t="inlineStr">
        <is>
          <t>DEMOGRAPHIC FILTERS</t>
        </is>
      </c>
      <c r="B1" s="8" t="n"/>
      <c r="C1" s="8" t="n"/>
      <c r="D1" s="8" t="n"/>
      <c r="E1" s="8" t="n"/>
      <c r="F1" s="8" t="n"/>
    </row>
    <row r="2">
      <c r="A2" s="15" t="inlineStr">
        <is>
          <t>To filter by multiple values, separate with ", " (comma + space). Example: India, USA, UK</t>
        </is>
      </c>
    </row>
    <row r="3">
      <c r="A3" s="2" t="inlineStr">
        <is>
          <t>Filter</t>
        </is>
      </c>
      <c r="B3" s="2" t="inlineStr">
        <is>
          <t>Value</t>
        </is>
      </c>
      <c r="C3" s="2" t="inlineStr">
        <is>
          <t>Wrapped</t>
        </is>
      </c>
      <c r="D3" s="2" t="inlineStr">
        <is>
          <t>Available values</t>
        </is>
      </c>
    </row>
    <row r="5">
      <c r="A5" s="2" t="inlineStr">
        <is>
          <t>CUSTOM FILTERS</t>
        </is>
      </c>
      <c r="B5" s="8" t="n"/>
      <c r="C5" s="8" t="n"/>
      <c r="D5" s="8" t="n"/>
      <c r="E5" s="8" t="n"/>
      <c r="F5" s="8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