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tables/table1.xml" ContentType="application/vnd.openxmlformats-officedocument.spreadsheetml.table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Summary" sheetId="1" state="visible" r:id="rId1"/>
    <sheet xmlns:r="http://schemas.openxmlformats.org/officeDocument/2006/relationships" name="Question_Metadata" sheetId="2" state="visible" r:id="rId2"/>
    <sheet xmlns:r="http://schemas.openxmlformats.org/officeDocument/2006/relationships" name="Single_Cut_Index" sheetId="3" state="visible" r:id="rId3"/>
    <sheet xmlns:r="http://schemas.openxmlformats.org/officeDocument/2006/relationships" name="Demographics" sheetId="4" state="visible" r:id="rId4"/>
    <sheet xmlns:r="http://schemas.openxmlformats.org/officeDocument/2006/relationships" name="Calculation_Log" sheetId="5" state="visible" r:id="rId5"/>
    <sheet xmlns:r="http://schemas.openxmlformats.org/officeDocument/2006/relationships" name="Filter_Log" sheetId="6" state="visible" r:id="rId6"/>
    <sheet xmlns:r="http://schemas.openxmlformats.org/officeDocument/2006/relationships" name="Warnings" sheetId="7" state="visible" r:id="rId7"/>
    <sheet xmlns:r="http://schemas.openxmlformats.org/officeDocument/2006/relationships" name="Raw Data (Input)" sheetId="8" state="visible" r:id="rId8"/>
    <sheet xmlns:r="http://schemas.openxmlformats.org/officeDocument/2006/relationships" name="Data Map (Input)" sheetId="9" state="visible" r:id="rId9"/>
    <sheet xmlns:r="http://schemas.openxmlformats.org/officeDocument/2006/relationships" name="_RawData" sheetId="10" state="hidden" r:id="rId10"/>
    <sheet xmlns:r="http://schemas.openxmlformats.org/officeDocument/2006/relationships" name="_Options" sheetId="11" state="hidden" r:id="rId11"/>
    <sheet xmlns:r="http://schemas.openxmlformats.org/officeDocument/2006/relationships" name="Filters" sheetId="12" state="visible" r:id="rId12"/>
  </sheets>
  <definedNames>
    <definedName name="respondent_id_data">'_RawData'!$A$2:$A$5</definedName>
    <definedName name="Q1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1_options">'_Options'!$F$2:$F$4</definedName>
    <definedName name="Q1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Demographics_F_Custom1_Q">'Demographics'!$B$5</definedName>
    <definedName name="Demographics_F_Custom1_Q_resolved">'Demographics'!$C$5</definedName>
    <definedName name="Demographics_F_Custom1_V">'Demographics'!$B$6</definedName>
    <definedName name="Demographics_F_Custom1_V_resolved">'Demographics'!$C$6</definedName>
    <definedName name="Demographics_F_Custom1_wrapped">'Demographics'!$D$6</definedName>
    <definedName name="Demographics_F_Custom1_resolved_column">'Demographics'!$F$6</definedName>
    <definedName name="Demographics_F_Custom2_Q">'Demographics'!$B$7</definedName>
    <definedName name="Demographics_F_Custom2_Q_resolved">'Demographics'!$C$7</definedName>
    <definedName name="Demographics_F_Custom2_V">'Demographics'!$B$8</definedName>
    <definedName name="Demographics_F_Custom2_V_resolved">'Demographics'!$C$8</definedName>
    <definedName name="Demographics_F_Custom2_wrapped">'Demographics'!$D$8</definedName>
    <definedName name="Demographics_F_Custom2_resolved_column">'Demographics'!$F$8</definedName>
    <definedName name="Demographics_passes_local_filters_data">'_RawData'!$G$2:$G$5</definedName>
    <definedName name="Demographics_Q1_F_Q">'Demographics'!$C$13</definedName>
    <definedName name="Demographics_Q1_F_V">'Demographics'!$E$13</definedName>
    <definedName name="Demographics_Q1_F_resolved_column">'Demographics'!$F$13</definedName>
    <definedName name="Demographics_Q1_F_wrapped">'Demographics'!$G$13</definedName>
    <definedName name="Demographics_Q1_F_passes_per_q_filter_data">'_RawData'!$H$2:$H$5</definedName>
    <definedName name="Demographics_Q1_CT">'Demographics'!$C$14</definedName>
  </definedNames>
  <calcPr calcId="124519" fullCalcOnLoad="1"/>
</workbook>
</file>

<file path=xl/calcChain.xml><?xml version="1.0" encoding="utf-8"?>
<calcChain xmlns="http://schemas.openxmlformats.org/spreadsheetml/2006/main">
  <c r="C5" i="4"/>
  <c r="C6" i="4"/>
  <c r="D6" i="4"/>
  <c r="F6" i="4"/>
  <c r="C7" i="4"/>
  <c r="C8" i="4"/>
  <c r="D8" i="4"/>
  <c r="F8" i="4"/>
  <c r="F13" i="4"/>
  <c r="G13" i="4"/>
  <c r="G16" i="4"/>
  <c r="H16" i="4"/>
  <c r="I16" i="4"/>
  <c r="J16" i="4"/>
  <c r="K16" i="4"/>
  <c r="L16" i="4"/>
  <c r="M16" i="4"/>
  <c r="N16" i="4"/>
  <c r="O16" i="4"/>
  <c r="P16" i="4"/>
  <c r="Q16" i="4"/>
  <c r="R16" i="4"/>
  <c r="B17" i="4"/>
  <c r="C17" i="4"/>
  <c r="D17" i="4"/>
  <c r="B18" i="4"/>
  <c r="C18" i="4"/>
  <c r="D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S20" i="4"/>
  <c r="C2" i="10"/>
  <c r="D2" i="10"/>
  <c r="E2" i="10"/>
  <c r="F2" i="10"/>
  <c r="G2" i="10"/>
  <c r="H2" i="10"/>
  <c r="C3" i="10"/>
  <c r="D3" i="10"/>
  <c r="E3" i="10"/>
  <c r="F3" i="10"/>
  <c r="G3" i="10"/>
  <c r="H3" i="10"/>
  <c r="C4" i="10"/>
  <c r="D4" i="10"/>
  <c r="E4" i="10"/>
  <c r="F4" i="10"/>
  <c r="G4" i="10"/>
  <c r="H4" i="10"/>
  <c r="C5" i="10"/>
  <c r="D5" i="10"/>
  <c r="E5" i="10"/>
  <c r="F5" i="10"/>
  <c r="G5" i="10"/>
  <c r="H5" i="10"/>
  <c r="E6" i="12"/>
  <c r="F6" i="12"/>
  <c r="E7" i="12"/>
  <c r="F7" i="12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2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2" fillId="3" borderId="0" pivotButton="0" quotePrefix="0" xfId="0"/>
    <xf numFmtId="0" fontId="3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Demographics_16_1" displayName="T_Demographic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#'Demographics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Source datamap:</t>
        </is>
      </c>
      <c r="B1" t="inlineStr">
        <is>
          <t>/home/runner/workspace/outputs/test_input_embed/case_a09e13b4f7ae48a1bd11de6355d57d2b/datamap_upload.xlsx</t>
        </is>
      </c>
    </row>
    <row r="2">
      <c r="A2" s="1" t="inlineStr">
        <is>
          <t>Source raw data:</t>
        </is>
      </c>
      <c r="B2" t="inlineStr">
        <is>
          <t>/home/runner/workspace/outputs/test_input_embed/case_a09e13b4f7ae48a1bd11de6355d57d2b/raw_upload.xlsx</t>
        </is>
      </c>
    </row>
    <row r="3">
      <c r="A3" s="1" t="inlineStr">
        <is>
          <t>Run timestamp:</t>
        </is>
      </c>
      <c r="B3" t="inlineStr">
        <is>
          <t>2026-05-29T12:48:36.491470+00:00</t>
        </is>
      </c>
    </row>
    <row r="4">
      <c r="A4" s="1" t="inlineStr">
        <is>
          <t>Total respondents:</t>
        </is>
      </c>
      <c r="B4" t="n">
        <v>4</v>
      </c>
    </row>
    <row r="5">
      <c r="A5" s="1" t="inlineStr">
        <is>
          <t>Total questions:</t>
        </is>
      </c>
      <c r="B5" t="n">
        <v>1</v>
      </c>
    </row>
    <row r="6">
      <c r="A6" s="1" t="inlineStr">
        <is>
          <t>Results produced:</t>
        </is>
      </c>
      <c r="B6" t="n">
        <v>1</v>
      </c>
    </row>
    <row r="7">
      <c r="A7" s="1" t="inlineStr">
        <is>
          <t>Questions skipped:</t>
        </is>
      </c>
      <c r="B7" t="n">
        <v>0</v>
      </c>
    </row>
    <row r="8">
      <c r="A8" s="1" t="inlineStr">
        <is>
          <t>Cross cuts produced:</t>
        </is>
      </c>
      <c r="B8" t="n">
        <v>0</v>
      </c>
    </row>
    <row r="9">
      <c r="A9" s="1" t="inlineStr">
        <is>
          <t>Cross cut skips:</t>
        </is>
      </c>
      <c r="B9" t="n">
        <v>0</v>
      </c>
    </row>
    <row r="10">
      <c r="A10" s="1" t="inlineStr">
        <is>
          <t>Audit log records:</t>
        </is>
      </c>
      <c r="B10" t="n">
        <v>0</v>
      </c>
    </row>
    <row r="11">
      <c r="A11" s="1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Question Text</t>
        </is>
      </c>
      <c r="D1" s="2" t="inlineStr">
        <is>
          <t>Type</t>
        </is>
      </c>
      <c r="E1" s="2" t="inlineStr">
        <is>
          <t>Raw Columns</t>
        </is>
      </c>
      <c r="F1" s="2" t="inlineStr">
        <is>
          <t>Options Count</t>
        </is>
      </c>
      <c r="G1" s="2" t="inlineStr">
        <is>
          <t>Analysis Eligible</t>
        </is>
      </c>
      <c r="H1" s="2" t="inlineStr">
        <is>
          <t>Demographic</t>
        </is>
      </c>
      <c r="I1" s="2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Choice</t>
        </is>
      </c>
      <c r="D2" t="inlineStr">
        <is>
          <t>SINGLE_SELECT</t>
        </is>
      </c>
      <c r="E2" t="inlineStr">
        <is>
          <t>Q1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Type</t>
        </is>
      </c>
      <c r="D1" s="2" t="inlineStr">
        <is>
          <t>Theme</t>
        </is>
      </c>
      <c r="E1" s="2" t="inlineStr">
        <is>
          <t>Sheet Name</t>
        </is>
      </c>
      <c r="F1" s="2" t="inlineStr">
        <is>
          <t>Valid N</t>
        </is>
      </c>
      <c r="G1" s="2" t="inlineStr">
        <is>
          <t>Missing N</t>
        </is>
      </c>
      <c r="H1" s="2" t="inlineStr">
        <is>
          <t>Missing %</t>
        </is>
      </c>
      <c r="I1" s="2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3" t="inlineStr">
        <is>
          <t>Demographics</t>
        </is>
      </c>
      <c r="F2" t="n">
        <v>4</v>
      </c>
      <c r="G2" t="n">
        <v>0</v>
      </c>
      <c r="H2" s="4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5" t="inlineStr">
        <is>
          <t>THEME: Demographics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</row>
    <row r="2">
      <c r="A2" s="7" t="inlineStr">
        <is>
          <t>Tip: Use the Filters sheet for workbook-wide values, or override below.</t>
        </is>
      </c>
    </row>
    <row r="3">
      <c r="A3" s="2" t="inlineStr">
        <is>
          <t>LOCAL FILTERS (override workbook defaults)</t>
        </is>
      </c>
      <c r="B3" s="8" t="n"/>
      <c r="C3" s="8" t="n"/>
      <c r="D3" s="8" t="n"/>
      <c r="E3" s="8" t="n"/>
      <c r="F3" s="8" t="n"/>
      <c r="G3" s="8" t="n"/>
      <c r="H3" s="8" t="n"/>
    </row>
    <row r="4">
      <c r="A4" s="2" t="inlineStr">
        <is>
          <t>Filter</t>
        </is>
      </c>
      <c r="B4" s="2" t="inlineStr">
        <is>
          <t>Value</t>
        </is>
      </c>
      <c r="C4" s="2" t="inlineStr">
        <is>
          <t>Resolved</t>
        </is>
      </c>
      <c r="D4" s="2" t="inlineStr">
        <is>
          <t>Wrapped</t>
        </is>
      </c>
      <c r="E4" s="2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IF(Demographics_F_Custom1_Q="(Inherit)",F_Custom1_Q,Demographics_F_Custom1_Q)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IF(Demographics_F_Custom1_V="(Inherit)",F_Custom1_V,Demographics_F_Custom1_V)</f>
        <v>(All)</v>
      </c>
      <c r="D6" t="str">
        <f>"|" &amp; SUBSTITUTE(Demographics_F_Custom1_V_resolved,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IFERROR(INDEX(All_Questions_Data_Names,MATCH(Demographics_F_Custom1_Q_resolved,All_Questions,0)),"'_RawData'!$A:$A")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IF(Demographics_F_Custom2_Q="(Inherit)",F_Custom2_Q,Demographics_F_Custom2_Q)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IF(Demographics_F_Custom2_V="(Inherit)",F_Custom2_V,Demographics_F_Custom2_V)</f>
        <v>(All)</v>
      </c>
      <c r="D8" t="str">
        <f>"|" &amp; SUBSTITUTE(Demographics_F_Custom2_V_resolved,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IFERROR(INDEX(All_Questions_Data_Names,MATCH(Demographics_F_Custom2_Q_resolved,All_Questions,0)),"'_RawData'!$A:$A")</f>
        <v>respondent_id_data</v>
      </c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</row>
    <row r="12">
      <c r="A12" s="10" t="inlineStr">
        <is>
          <t>Q1 - Choice</t>
        </is>
      </c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</row>
    <row r="13">
      <c r="A13" s="11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IFERROR(INDEX(All_Questions_Data_Names,MATCH(Demographics_Q1_F_Q,All_Questions,0)),"'_RawData'!$A:$A")</f>
        <v>respondent_id_data</v>
      </c>
      <c r="G13" t="str">
        <f>"|" &amp; SUBSTITUTE(Demographics_Q1_F_V, ", ", "|") &amp; "|"</f>
        <v>|(All)|</v>
      </c>
    </row>
    <row r="14">
      <c r="A14" s="11" t="inlineStr">
        <is>
          <t>Cross-tab by</t>
        </is>
      </c>
      <c r="C14" t="inlineStr">
        <is>
          <t>(None)</t>
        </is>
      </c>
    </row>
    <row r="16">
      <c r="A16" s="2" t="inlineStr">
        <is>
          <t>Option</t>
        </is>
      </c>
      <c r="B16" s="2" t="inlineStr">
        <is>
          <t>Count</t>
        </is>
      </c>
      <c r="C16" s="2" t="inlineStr">
        <is>
          <t>%</t>
        </is>
      </c>
      <c r="D16" s="2" t="inlineStr">
        <is>
          <t>Denominator</t>
        </is>
      </c>
      <c r="F16" s="2" t="inlineStr">
        <is>
          <t>Option</t>
        </is>
      </c>
      <c r="G16" s="8" t="str">
        <f>IF(Demographics_Q1_CT="(None)","",IFERROR(INDEX(INDIRECT(IFERROR(INDEX(All_Questions_Options_Names,MATCH(Demographics_Q1_CT,All_Questions,0)),"'_Options'!$E$2:$E$2")),2),""))</f>
        <v/>
      </c>
      <c r="H16" s="8" t="str">
        <f>IF(Demographics_Q1_CT="(None)","",IFERROR(INDEX(INDIRECT(IFERROR(INDEX(All_Questions_Options_Names,MATCH(Demographics_Q1_CT,All_Questions,0)),"'_Options'!$E$2:$E$2")),3),""))</f>
        <v/>
      </c>
      <c r="I16" s="8" t="str">
        <f>IF(Demographics_Q1_CT="(None)","",IFERROR(INDEX(INDIRECT(IFERROR(INDEX(All_Questions_Options_Names,MATCH(Demographics_Q1_CT,All_Questions,0)),"'_Options'!$E$2:$E$2")),4),""))</f>
        <v/>
      </c>
      <c r="J16" s="8" t="str">
        <f>IF(Demographics_Q1_CT="(None)","",IFERROR(INDEX(INDIRECT(IFERROR(INDEX(All_Questions_Options_Names,MATCH(Demographics_Q1_CT,All_Questions,0)),"'_Options'!$E$2:$E$2")),5),""))</f>
        <v/>
      </c>
      <c r="K16" s="8" t="str">
        <f>IF(Demographics_Q1_CT="(None)","",IFERROR(INDEX(INDIRECT(IFERROR(INDEX(All_Questions_Options_Names,MATCH(Demographics_Q1_CT,All_Questions,0)),"'_Options'!$E$2:$E$2")),6),""))</f>
        <v/>
      </c>
      <c r="L16" s="8" t="str">
        <f>IF(Demographics_Q1_CT="(None)","",IFERROR(INDEX(INDIRECT(IFERROR(INDEX(All_Questions_Options_Names,MATCH(Demographics_Q1_CT,All_Questions,0)),"'_Options'!$E$2:$E$2")),7),""))</f>
        <v/>
      </c>
      <c r="M16" s="8" t="str">
        <f>IF(Demographics_Q1_CT="(None)","",IFERROR(INDEX(INDIRECT(IFERROR(INDEX(All_Questions_Options_Names,MATCH(Demographics_Q1_CT,All_Questions,0)),"'_Options'!$E$2:$E$2")),8),""))</f>
        <v/>
      </c>
      <c r="N16" s="8" t="str">
        <f>IF(Demographics_Q1_CT="(None)","",IFERROR(INDEX(INDIRECT(IFERROR(INDEX(All_Questions_Options_Names,MATCH(Demographics_Q1_CT,All_Questions,0)),"'_Options'!$E$2:$E$2")),9),""))</f>
        <v/>
      </c>
      <c r="O16" s="8" t="str">
        <f>IF(Demographics_Q1_CT="(None)","",IFERROR(INDEX(INDIRECT(IFERROR(INDEX(All_Questions_Options_Names,MATCH(Demographics_Q1_CT,All_Questions,0)),"'_Options'!$E$2:$E$2")),10),""))</f>
        <v/>
      </c>
      <c r="P16" s="8" t="str">
        <f>IF(Demographics_Q1_CT="(None)","",IFERROR(INDEX(INDIRECT(IFERROR(INDEX(All_Questions_Options_Names,MATCH(Demographics_Q1_CT,All_Questions,0)),"'_Options'!$E$2:$E$2")),11),""))</f>
        <v/>
      </c>
      <c r="Q16" s="8" t="str">
        <f>IF(Demographics_Q1_CT="(None)","",IFERROR(INDEX(INDIRECT(IFERROR(INDEX(All_Questions_Options_Names,MATCH(Demographics_Q1_CT,All_Questions,0)),"'_Options'!$E$2:$E$2")),12),""))</f>
        <v/>
      </c>
      <c r="R16" s="8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6" s="2" t="inlineStr">
        <is>
          <t>Total</t>
        </is>
      </c>
    </row>
    <row r="17">
      <c r="A17" t="inlineStr">
        <is>
          <t>A</t>
        </is>
      </c>
      <c r="B17">
        <f>COUNTIFS(Q1_data,"A",passes_workbook_filters_data,1,passes_workbook_custom_filters_data,1,Demographics_passes_local_filters_data,1,Demographics_Q1_F_passes_per_q_filter_data,1)</f>
        <v>2</v>
      </c>
      <c r="C17" s="4">
        <f>IFERROR(B17/SUBTOTAL(9,B17:B18),0)</f>
        <v>0.5</v>
      </c>
      <c r="D17" s="12">
        <f>SUBTOTAL(9,B17:B18)</f>
        <v>4</v>
      </c>
      <c r="F17" s="2" t="inlineStr"/>
      <c r="G17" s="2" t="inlineStr">
        <is>
          <t># of resp</t>
        </is>
      </c>
      <c r="H17" s="2" t="inlineStr">
        <is>
          <t># of resp</t>
        </is>
      </c>
      <c r="I17" s="2" t="inlineStr">
        <is>
          <t># of resp</t>
        </is>
      </c>
      <c r="J17" s="2" t="inlineStr">
        <is>
          <t># of resp</t>
        </is>
      </c>
      <c r="K17" s="2" t="inlineStr">
        <is>
          <t># of resp</t>
        </is>
      </c>
      <c r="L17" s="2" t="inlineStr">
        <is>
          <t># of resp</t>
        </is>
      </c>
      <c r="M17" s="2" t="inlineStr">
        <is>
          <t># of resp</t>
        </is>
      </c>
      <c r="N17" s="2" t="inlineStr">
        <is>
          <t># of resp</t>
        </is>
      </c>
      <c r="O17" s="2" t="inlineStr">
        <is>
          <t># of resp</t>
        </is>
      </c>
      <c r="P17" s="2" t="inlineStr">
        <is>
          <t># of resp</t>
        </is>
      </c>
      <c r="Q17" s="2" t="inlineStr">
        <is>
          <t># of resp</t>
        </is>
      </c>
      <c r="R17" s="2" t="inlineStr">
        <is>
          <t># of resp</t>
        </is>
      </c>
      <c r="S17" s="2" t="inlineStr">
        <is>
          <t># of resp</t>
        </is>
      </c>
    </row>
    <row r="18">
      <c r="A18" t="inlineStr">
        <is>
          <t>B</t>
        </is>
      </c>
      <c r="B18">
        <f>COUNTIFS(Q1_data,"B",passes_workbook_filters_data,1,passes_workbook_custom_filters_data,1,Demographics_passes_local_filters_data,1,Demographics_Q1_F_passes_per_q_filter_data,1)</f>
        <v>2</v>
      </c>
      <c r="C18" s="4">
        <f>IFERROR(B18/SUBTOTAL(9,B17:B18),0)</f>
        <v>0.5</v>
      </c>
      <c r="D18" s="12">
        <f>SUBTOTAL(9,B17:B18)</f>
        <v>4</v>
      </c>
      <c r="F18" t="inlineStr">
        <is>
          <t>A</t>
        </is>
      </c>
      <c r="G18">
        <f>IF(OR(Demographics_Q1_CT="(None)",G$16=""),"",COUNTIFS(Q1_data,"A",passes_workbook_filters_data,1,passes_workbook_custom_filters_data,1,Demographics_passes_local_filters_data,1,Demographics_Q1_F_passes_per_q_filter_data,1,INDIRECT(IFERROR(INDEX(All_Questions_Data_Names,MATCH(Demographics_Q1_CT,All_Questions,0)),"'_RawData'!$A:$A")),G$16))</f>
        <v>0</v>
      </c>
      <c r="H18">
        <f>IF(OR(Demographics_Q1_CT="(None)",H$16=""),"",COUNTIFS(Q1_data,"A",passes_workbook_filters_data,1,passes_workbook_custom_filters_data,1,Demographics_passes_local_filters_data,1,Demographics_Q1_F_passes_per_q_filter_data,1,INDIRECT(IFERROR(INDEX(All_Questions_Data_Names,MATCH(Demographics_Q1_CT,All_Questions,0)),"'_RawData'!$A:$A")),H$16))</f>
        <v>0</v>
      </c>
      <c r="I18">
        <f>IF(OR(Demographics_Q1_CT="(None)",I$16=""),"",COUNTIFS(Q1_data,"A",passes_workbook_filters_data,1,passes_workbook_custom_filters_data,1,Demographics_passes_local_filters_data,1,Demographics_Q1_F_passes_per_q_filter_data,1,INDIRECT(IFERROR(INDEX(All_Questions_Data_Names,MATCH(Demographics_Q1_CT,All_Questions,0)),"'_RawData'!$A:$A")),I$16))</f>
        <v>0</v>
      </c>
      <c r="J18">
        <f>IF(OR(Demographics_Q1_CT="(None)",J$16=""),"",COUNTIFS(Q1_data,"A",passes_workbook_filters_data,1,passes_workbook_custom_filters_data,1,Demographics_passes_local_filters_data,1,Demographics_Q1_F_passes_per_q_filter_data,1,INDIRECT(IFERROR(INDEX(All_Questions_Data_Names,MATCH(Demographics_Q1_CT,All_Questions,0)),"'_RawData'!$A:$A")),J$16))</f>
        <v>0</v>
      </c>
      <c r="K18">
        <f>IF(OR(Demographics_Q1_CT="(None)",K$16=""),"",COUNTIFS(Q1_data,"A",passes_workbook_filters_data,1,passes_workbook_custom_filters_data,1,Demographics_passes_local_filters_data,1,Demographics_Q1_F_passes_per_q_filter_data,1,INDIRECT(IFERROR(INDEX(All_Questions_Data_Names,MATCH(Demographics_Q1_CT,All_Questions,0)),"'_RawData'!$A:$A")),K$16))</f>
        <v>0</v>
      </c>
      <c r="L18">
        <f>IF(OR(Demographics_Q1_CT="(None)",L$16=""),"",COUNTIFS(Q1_data,"A",passes_workbook_filters_data,1,passes_workbook_custom_filters_data,1,Demographics_passes_local_filters_data,1,Demographics_Q1_F_passes_per_q_filter_data,1,INDIRECT(IFERROR(INDEX(All_Questions_Data_Names,MATCH(Demographics_Q1_CT,All_Questions,0)),"'_RawData'!$A:$A")),L$16))</f>
        <v>0</v>
      </c>
      <c r="M18">
        <f>IF(OR(Demographics_Q1_CT="(None)",M$16=""),"",COUNTIFS(Q1_data,"A",passes_workbook_filters_data,1,passes_workbook_custom_filters_data,1,Demographics_passes_local_filters_data,1,Demographics_Q1_F_passes_per_q_filter_data,1,INDIRECT(IFERROR(INDEX(All_Questions_Data_Names,MATCH(Demographics_Q1_CT,All_Questions,0)),"'_RawData'!$A:$A")),M$16))</f>
        <v>0</v>
      </c>
      <c r="N18">
        <f>IF(OR(Demographics_Q1_CT="(None)",N$16=""),"",COUNTIFS(Q1_data,"A",passes_workbook_filters_data,1,passes_workbook_custom_filters_data,1,Demographics_passes_local_filters_data,1,Demographics_Q1_F_passes_per_q_filter_data,1,INDIRECT(IFERROR(INDEX(All_Questions_Data_Names,MATCH(Demographics_Q1_CT,All_Questions,0)),"'_RawData'!$A:$A")),N$16))</f>
        <v>0</v>
      </c>
      <c r="O18">
        <f>IF(OR(Demographics_Q1_CT="(None)",O$16=""),"",COUNTIFS(Q1_data,"A",passes_workbook_filters_data,1,passes_workbook_custom_filters_data,1,Demographics_passes_local_filters_data,1,Demographics_Q1_F_passes_per_q_filter_data,1,INDIRECT(IFERROR(INDEX(All_Questions_Data_Names,MATCH(Demographics_Q1_CT,All_Questions,0)),"'_RawData'!$A:$A")),O$16))</f>
        <v>0</v>
      </c>
      <c r="P18">
        <f>IF(OR(Demographics_Q1_CT="(None)",P$16=""),"",COUNTIFS(Q1_data,"A",passes_workbook_filters_data,1,passes_workbook_custom_filters_data,1,Demographics_passes_local_filters_data,1,Demographics_Q1_F_passes_per_q_filter_data,1,INDIRECT(IFERROR(INDEX(All_Questions_Data_Names,MATCH(Demographics_Q1_CT,All_Questions,0)),"'_RawData'!$A:$A")),P$16))</f>
        <v>0</v>
      </c>
      <c r="Q18">
        <f>IF(OR(Demographics_Q1_CT="(None)",Q$16=""),"",COUNTIFS(Q1_data,"A",passes_workbook_filters_data,1,passes_workbook_custom_filters_data,1,Demographics_passes_local_filters_data,1,Demographics_Q1_F_passes_per_q_filter_data,1,INDIRECT(IFERROR(INDEX(All_Questions_Data_Names,MATCH(Demographics_Q1_CT,All_Questions,0)),"'_RawData'!$A:$A")),Q$16))</f>
        <v>0</v>
      </c>
      <c r="R18">
        <f>IF(OR(Demographics_Q1_CT="(None)",R$16=""),"",IF(R$16="Other",COUNTIFS(Q1_data,"A",passes_workbook_filters_data,1,passes_workbook_custom_filters_data,1,Demographics_passes_local_filters_data,1,Demographics_Q1_F_passes_per_q_filter_data,1)-SUM(G18,H18,I18,J18,K18,L18,M18,N18,O18,P18,Q18),COUNTIFS(Q1_data,"A",passes_workbook_filters_data,1,passes_workbook_custom_filters_data,1,Demographics_passes_local_filters_data,1,Demographics_Q1_F_passes_per_q_filter_data,1,INDIRECT(IFERROR(INDEX(All_Questions_Data_Names,MATCH(Demographics_Q1_CT,All_Questions,0)),"'_RawData'!$A:$A")),R$16)))</f>
        <v>0</v>
      </c>
      <c r="S18">
        <f>IF(Demographics_Q1_CT="(None)","",COUNTIFS(Q1_data,"A",passes_workbook_filters_data,1,passes_workbook_custom_filters_data,1,Demographics_passes_local_filters_data,1,Demographics_Q1_F_passes_per_q_filter_data,1))</f>
        <v>0</v>
      </c>
    </row>
    <row r="19">
      <c r="A19" s="13" t="inlineStr">
        <is>
          <t>Total respondents</t>
        </is>
      </c>
      <c r="B19" s="13" t="n">
        <v>4</v>
      </c>
      <c r="C19" s="13" t="n"/>
      <c r="D19" s="13" t="n"/>
      <c r="F19" t="inlineStr">
        <is>
          <t>B</t>
        </is>
      </c>
      <c r="G19">
        <f>IF(OR(Demographics_Q1_CT="(None)",G$16=""),"",COUNTIFS(Q1_data,"B",passes_workbook_filters_data,1,passes_workbook_custom_filters_data,1,Demographics_passes_local_filters_data,1,Demographics_Q1_F_passes_per_q_filter_data,1,INDIRECT(IFERROR(INDEX(All_Questions_Data_Names,MATCH(Demographics_Q1_CT,All_Questions,0)),"'_RawData'!$A:$A")),G$16))</f>
        <v>0</v>
      </c>
      <c r="H19">
        <f>IF(OR(Demographics_Q1_CT="(None)",H$16=""),"",COUNTIFS(Q1_data,"B",passes_workbook_filters_data,1,passes_workbook_custom_filters_data,1,Demographics_passes_local_filters_data,1,Demographics_Q1_F_passes_per_q_filter_data,1,INDIRECT(IFERROR(INDEX(All_Questions_Data_Names,MATCH(Demographics_Q1_CT,All_Questions,0)),"'_RawData'!$A:$A")),H$16))</f>
        <v>0</v>
      </c>
      <c r="I19">
        <f>IF(OR(Demographics_Q1_CT="(None)",I$16=""),"",COUNTIFS(Q1_data,"B",passes_workbook_filters_data,1,passes_workbook_custom_filters_data,1,Demographics_passes_local_filters_data,1,Demographics_Q1_F_passes_per_q_filter_data,1,INDIRECT(IFERROR(INDEX(All_Questions_Data_Names,MATCH(Demographics_Q1_CT,All_Questions,0)),"'_RawData'!$A:$A")),I$16))</f>
        <v>0</v>
      </c>
      <c r="J19">
        <f>IF(OR(Demographics_Q1_CT="(None)",J$16=""),"",COUNTIFS(Q1_data,"B",passes_workbook_filters_data,1,passes_workbook_custom_filters_data,1,Demographics_passes_local_filters_data,1,Demographics_Q1_F_passes_per_q_filter_data,1,INDIRECT(IFERROR(INDEX(All_Questions_Data_Names,MATCH(Demographics_Q1_CT,All_Questions,0)),"'_RawData'!$A:$A")),J$16))</f>
        <v>0</v>
      </c>
      <c r="K19">
        <f>IF(OR(Demographics_Q1_CT="(None)",K$16=""),"",COUNTIFS(Q1_data,"B",passes_workbook_filters_data,1,passes_workbook_custom_filters_data,1,Demographics_passes_local_filters_data,1,Demographics_Q1_F_passes_per_q_filter_data,1,INDIRECT(IFERROR(INDEX(All_Questions_Data_Names,MATCH(Demographics_Q1_CT,All_Questions,0)),"'_RawData'!$A:$A")),K$16))</f>
        <v>0</v>
      </c>
      <c r="L19">
        <f>IF(OR(Demographics_Q1_CT="(None)",L$16=""),"",COUNTIFS(Q1_data,"B",passes_workbook_filters_data,1,passes_workbook_custom_filters_data,1,Demographics_passes_local_filters_data,1,Demographics_Q1_F_passes_per_q_filter_data,1,INDIRECT(IFERROR(INDEX(All_Questions_Data_Names,MATCH(Demographics_Q1_CT,All_Questions,0)),"'_RawData'!$A:$A")),L$16))</f>
        <v>0</v>
      </c>
      <c r="M19">
        <f>IF(OR(Demographics_Q1_CT="(None)",M$16=""),"",COUNTIFS(Q1_data,"B",passes_workbook_filters_data,1,passes_workbook_custom_filters_data,1,Demographics_passes_local_filters_data,1,Demographics_Q1_F_passes_per_q_filter_data,1,INDIRECT(IFERROR(INDEX(All_Questions_Data_Names,MATCH(Demographics_Q1_CT,All_Questions,0)),"'_RawData'!$A:$A")),M$16))</f>
        <v>0</v>
      </c>
      <c r="N19">
        <f>IF(OR(Demographics_Q1_CT="(None)",N$16=""),"",COUNTIFS(Q1_data,"B",passes_workbook_filters_data,1,passes_workbook_custom_filters_data,1,Demographics_passes_local_filters_data,1,Demographics_Q1_F_passes_per_q_filter_data,1,INDIRECT(IFERROR(INDEX(All_Questions_Data_Names,MATCH(Demographics_Q1_CT,All_Questions,0)),"'_RawData'!$A:$A")),N$16))</f>
        <v>0</v>
      </c>
      <c r="O19">
        <f>IF(OR(Demographics_Q1_CT="(None)",O$16=""),"",COUNTIFS(Q1_data,"B",passes_workbook_filters_data,1,passes_workbook_custom_filters_data,1,Demographics_passes_local_filters_data,1,Demographics_Q1_F_passes_per_q_filter_data,1,INDIRECT(IFERROR(INDEX(All_Questions_Data_Names,MATCH(Demographics_Q1_CT,All_Questions,0)),"'_RawData'!$A:$A")),O$16))</f>
        <v>0</v>
      </c>
      <c r="P19">
        <f>IF(OR(Demographics_Q1_CT="(None)",P$16=""),"",COUNTIFS(Q1_data,"B",passes_workbook_filters_data,1,passes_workbook_custom_filters_data,1,Demographics_passes_local_filters_data,1,Demographics_Q1_F_passes_per_q_filter_data,1,INDIRECT(IFERROR(INDEX(All_Questions_Data_Names,MATCH(Demographics_Q1_CT,All_Questions,0)),"'_RawData'!$A:$A")),P$16))</f>
        <v>0</v>
      </c>
      <c r="Q19">
        <f>IF(OR(Demographics_Q1_CT="(None)",Q$16=""),"",COUNTIFS(Q1_data,"B",passes_workbook_filters_data,1,passes_workbook_custom_filters_data,1,Demographics_passes_local_filters_data,1,Demographics_Q1_F_passes_per_q_filter_data,1,INDIRECT(IFERROR(INDEX(All_Questions_Data_Names,MATCH(Demographics_Q1_CT,All_Questions,0)),"'_RawData'!$A:$A")),Q$16))</f>
        <v>0</v>
      </c>
      <c r="R19">
        <f>IF(OR(Demographics_Q1_CT="(None)",R$16=""),"",IF(R$16="Other",COUNTIFS(Q1_data,"B",passes_workbook_filters_data,1,passes_workbook_custom_filters_data,1,Demographics_passes_local_filters_data,1,Demographics_Q1_F_passes_per_q_filter_data,1)-SUM(G19,H19,I19,J19,K19,L19,M19,N19,O19,P19,Q19),COUNTIFS(Q1_data,"B",passes_workbook_filters_data,1,passes_workbook_custom_filters_data,1,Demographics_passes_local_filters_data,1,Demographics_Q1_F_passes_per_q_filter_data,1,INDIRECT(IFERROR(INDEX(All_Questions_Data_Names,MATCH(Demographics_Q1_CT,All_Questions,0)),"'_RawData'!$A:$A")),R$16)))</f>
        <v>0</v>
      </c>
      <c r="S19">
        <f>IF(Demographics_Q1_CT="(None)","",COUNTIFS(Q1_data,"B",passes_workbook_filters_data,1,passes_workbook_custom_filters_data,1,Demographics_passes_local_filters_data,1,Demographics_Q1_F_passes_per_q_filter_data,1))</f>
        <v>0</v>
      </c>
    </row>
    <row r="20">
      <c r="F20" s="2" t="inlineStr">
        <is>
          <t>Total respondents</t>
        </is>
      </c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2" t="inlineStr">
        <is>
          <t>Output Sheet</t>
        </is>
      </c>
      <c r="B1" s="2" t="inlineStr">
        <is>
          <t>Metric Name</t>
        </is>
      </c>
      <c r="C1" s="2" t="inlineStr">
        <is>
          <t>Source Question</t>
        </is>
      </c>
      <c r="D1" s="2" t="inlineStr">
        <is>
          <t>Source Columns</t>
        </is>
      </c>
      <c r="E1" s="2" t="inlineStr">
        <is>
          <t>Filter</t>
        </is>
      </c>
      <c r="F1" s="2" t="inlineStr">
        <is>
          <t>Numerator</t>
        </is>
      </c>
      <c r="G1" s="2" t="inlineStr">
        <is>
          <t>Denominator</t>
        </is>
      </c>
      <c r="H1" s="2" t="inlineStr">
        <is>
          <t>Formula</t>
        </is>
      </c>
      <c r="I1" s="2" t="inlineStr">
        <is>
          <t>Value Raw</t>
        </is>
      </c>
      <c r="J1" s="2" t="inlineStr">
        <is>
          <t>Valid N</t>
        </is>
      </c>
      <c r="K1" s="2" t="inlineStr">
        <is>
          <t>Missing N</t>
        </is>
      </c>
      <c r="L1" s="2" t="inlineStr">
        <is>
          <t>Timestamp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2" t="inlineStr">
        <is>
          <t>Cross Cut ID</t>
        </is>
      </c>
      <c r="B1" s="2" t="inlineStr">
        <is>
          <t>Title</t>
        </is>
      </c>
      <c r="C1" s="2" t="inlineStr">
        <is>
          <t>Filter Expression</t>
        </is>
      </c>
      <c r="D1" s="2" t="inlineStr">
        <is>
          <t>Description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2" t="inlineStr">
        <is>
          <t>Source</t>
        </is>
      </c>
      <c r="B1" s="2" t="inlineStr">
        <is>
          <t>Warning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Q1</t>
        </is>
      </c>
      <c r="C1" t="inlineStr">
        <is>
          <t>Q2</t>
        </is>
      </c>
    </row>
    <row r="2">
      <c r="A2" t="n">
        <v>1</v>
      </c>
      <c r="B2" t="n">
        <v>1</v>
      </c>
      <c r="C2" t="inlineStr">
        <is>
          <t>alpha</t>
        </is>
      </c>
    </row>
    <row r="3">
      <c r="A3" t="n">
        <v>2</v>
      </c>
      <c r="B3" t="n">
        <v>2</v>
      </c>
      <c r="C3" t="inlineStr">
        <is>
          <t>beta</t>
        </is>
      </c>
    </row>
    <row r="4">
      <c r="A4" t="n">
        <v>3</v>
      </c>
      <c r="B4" t="n">
        <v>1</v>
      </c>
      <c r="C4" t="inlineStr">
        <is>
          <t>gamma</t>
        </is>
      </c>
    </row>
    <row r="5">
      <c r="A5" t="n">
        <v>4</v>
      </c>
      <c r="B5" t="n">
        <v>2</v>
      </c>
      <c r="C5" t="inlineStr">
        <is>
          <t>delta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Question</t>
        </is>
      </c>
      <c r="C1" t="inlineStr">
        <is>
          <t>Type</t>
        </is>
      </c>
      <c r="D1" t="inlineStr">
        <is>
          <t>Code</t>
        </is>
      </c>
      <c r="E1" t="inlineStr">
        <is>
          <t>Label</t>
        </is>
      </c>
    </row>
    <row r="2">
      <c r="A2" t="inlineStr">
        <is>
          <t>Q1</t>
        </is>
      </c>
      <c r="B2" t="inlineStr">
        <is>
          <t>Choice</t>
        </is>
      </c>
      <c r="C2" t="inlineStr">
        <is>
          <t>Single select</t>
        </is>
      </c>
      <c r="D2" t="n">
        <v>1</v>
      </c>
      <c r="E2" t="inlineStr">
        <is>
          <t>A</t>
        </is>
      </c>
    </row>
    <row r="3">
      <c r="A3" t="inlineStr">
        <is>
          <t>Q1</t>
        </is>
      </c>
      <c r="B3" t="inlineStr">
        <is>
          <t>Choice</t>
        </is>
      </c>
      <c r="C3" t="inlineStr">
        <is>
          <t>Single select</t>
        </is>
      </c>
      <c r="D3" t="n">
        <v>2</v>
      </c>
      <c r="E3" t="inlineStr">
        <is>
          <t>B</t>
        </is>
      </c>
    </row>
    <row r="4">
      <c r="A4" t="inlineStr">
        <is>
          <t>Q2</t>
        </is>
      </c>
      <c r="B4" t="inlineStr">
        <is>
          <t>Text</t>
        </is>
      </c>
      <c r="C4" t="inlineStr">
        <is>
          <t>Open text</t>
        </is>
      </c>
    </row>
    <row r="5"/>
    <row r="6">
      <c r="A6" t="inlineStr">
        <is>
          <t>Meta</t>
        </is>
      </c>
      <c r="B6" t="inlineStr">
        <is>
          <t>Source</t>
        </is>
      </c>
    </row>
    <row r="7">
      <c r="A7" t="inlineStr">
        <is>
          <t>Row 7</t>
        </is>
      </c>
    </row>
    <row r="8">
      <c r="A8" t="inlineStr">
        <is>
          <t>Row 8</t>
        </is>
      </c>
    </row>
    <row r="9">
      <c r="A9" t="inlineStr">
        <is>
          <t>Row 9</t>
        </is>
      </c>
    </row>
    <row r="10">
      <c r="A10" t="inlineStr">
        <is>
          <t>Row 10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Demographics_passes_local_filters</t>
        </is>
      </c>
      <c r="H1" t="inlineStr">
        <is>
          <t>Demographics_Q1_F_passes_per_q_filter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*1</f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Q1 - Choice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Q1 - Choice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4" t="inlineStr">
        <is>
          <t>DEMOGRAPHIC FILTERS</t>
        </is>
      </c>
      <c r="B1" s="8" t="n"/>
      <c r="C1" s="8" t="n"/>
      <c r="D1" s="8" t="n"/>
      <c r="E1" s="8" t="n"/>
      <c r="F1" s="8" t="n"/>
    </row>
    <row r="2">
      <c r="A2" s="15" t="inlineStr">
        <is>
          <t>To filter by multiple values, separate with ", " (comma + space). Example: India, USA, UK</t>
        </is>
      </c>
    </row>
    <row r="3">
      <c r="A3" s="2" t="inlineStr">
        <is>
          <t>Filter</t>
        </is>
      </c>
      <c r="B3" s="2" t="inlineStr">
        <is>
          <t>Value</t>
        </is>
      </c>
      <c r="C3" s="2" t="inlineStr">
        <is>
          <t>Wrapped</t>
        </is>
      </c>
      <c r="D3" s="2" t="inlineStr">
        <is>
          <t>Available values</t>
        </is>
      </c>
    </row>
    <row r="5">
      <c r="A5" s="2" t="inlineStr">
        <is>
          <t>CUSTOM FILTERS</t>
        </is>
      </c>
      <c r="B5" s="8" t="n"/>
      <c r="C5" s="8" t="n"/>
      <c r="D5" s="8" t="n"/>
      <c r="E5" s="8" t="n"/>
      <c r="F5" s="8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2026-05-29T12:48:36Z</dcterms:created>
  <dcterms:modified xmlns:dcterms="http://purl.org/dc/terms/" xmlns:xsi="http://www.w3.org/2001/XMLSchema-instance" xsi:type="dcterms:W3CDTF">2026-05-29T12:48:36Z</dcterms:modified>
</cp:coreProperties>
</file>