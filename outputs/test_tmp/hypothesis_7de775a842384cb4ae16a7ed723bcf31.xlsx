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Hypothesis_Check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I2" i="9"/>
  <c r="K2" i="9"/>
  <c r="L2" i="9"/>
  <c r="M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Run_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2026-05-28T08:18:39.718847+00:00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7" customWidth="1" min="3" max="3"/>
    <col width="16" customWidth="1" min="4" max="4"/>
    <col width="1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Hypothesis_Check</t>
        </is>
      </c>
      <c r="B2" t="inlineStr">
        <is>
          <t>hypothesis:da0a2379e6a54a44b327aeef6d776db8:cohort_n</t>
        </is>
      </c>
      <c r="C2" t="inlineStr">
        <is>
          <t>QY,QX</t>
        </is>
      </c>
      <c r="D2" t="inlineStr">
        <is>
          <t>QY, QX</t>
        </is>
      </c>
      <c r="E2" t="inlineStr">
        <is>
          <t>(all respondents)</t>
        </is>
      </c>
      <c r="F2" t="n">
        <v>80</v>
      </c>
      <c r="H2" t="inlineStr">
        <is>
          <t>COUNT respondents in active_df after active filters</t>
        </is>
      </c>
      <c r="I2" t="n">
        <v>80</v>
      </c>
      <c r="J2" t="n">
        <v>80</v>
      </c>
      <c r="K2" t="n">
        <v>0</v>
      </c>
      <c r="L2" t="inlineStr">
        <is>
          <t>2026-05-28T08:18:39.719384+00:00</t>
        </is>
      </c>
    </row>
    <row r="3">
      <c r="A3" t="inlineStr">
        <is>
          <t>Hypothesis_Check</t>
        </is>
      </c>
      <c r="B3" t="inlineStr">
        <is>
          <t>hypothesis:3908c4db767444599ec136af6adede36:pairwise_n</t>
        </is>
      </c>
      <c r="C3" t="inlineStr">
        <is>
          <t>QY,QX</t>
        </is>
      </c>
      <c r="D3" t="inlineStr">
        <is>
          <t>QY, QX</t>
        </is>
      </c>
      <c r="E3" t="inlineStr">
        <is>
          <t>(all respondents)</t>
        </is>
      </c>
      <c r="F3" t="n">
        <v>80</v>
      </c>
      <c r="G3" t="n">
        <v>80</v>
      </c>
      <c r="H3" t="inlineStr">
        <is>
          <t>COUNT respondents where outcome IS NOT NULL and predictor IS NOT NULL</t>
        </is>
      </c>
      <c r="I3" t="n">
        <v>80</v>
      </c>
      <c r="J3" t="n">
        <v>80</v>
      </c>
      <c r="K3" t="n">
        <v>0</v>
      </c>
      <c r="L3" t="inlineStr">
        <is>
          <t>2026-05-28T08:18:39.720655+00:00</t>
        </is>
      </c>
    </row>
    <row r="4">
      <c r="A4" t="inlineStr">
        <is>
          <t>Hypothesis_Check</t>
        </is>
      </c>
      <c r="B4" t="inlineStr">
        <is>
          <t>hypothesis:fc59bf3a3ec94a07a872021f13e4cd82:effect_size</t>
        </is>
      </c>
      <c r="C4" t="inlineStr">
        <is>
          <t>QY,QX</t>
        </is>
      </c>
      <c r="D4" t="inlineStr">
        <is>
          <t>QY, QX</t>
        </is>
      </c>
      <c r="E4" t="inlineStr">
        <is>
          <t>(all respondents)</t>
        </is>
      </c>
      <c r="H4" t="inlineStr">
        <is>
          <t>scipy.stats.pearson_r(outcome, predictor)</t>
        </is>
      </c>
      <c r="I4" t="n">
        <v>1</v>
      </c>
      <c r="J4" t="n">
        <v>80</v>
      </c>
      <c r="K4" t="n">
        <v>0</v>
      </c>
      <c r="L4" t="inlineStr">
        <is>
          <t>2026-05-28T08:18:39.721812+00:00</t>
        </is>
      </c>
    </row>
    <row r="5">
      <c r="A5" t="inlineStr">
        <is>
          <t>Hypothesis_Check</t>
        </is>
      </c>
      <c r="B5" t="inlineStr">
        <is>
          <t>hypothesis:c55cee5e2599473babea42c6d5844d2d:p_value</t>
        </is>
      </c>
      <c r="C5" t="inlineStr">
        <is>
          <t>QY,QX</t>
        </is>
      </c>
      <c r="D5" t="inlineStr">
        <is>
          <t>QY, QX</t>
        </is>
      </c>
      <c r="E5" t="inlineStr">
        <is>
          <t>(all respondents)</t>
        </is>
      </c>
      <c r="H5" t="inlineStr">
        <is>
          <t>scipy.stats.pearson_r(outcome, predictor)</t>
        </is>
      </c>
      <c r="I5" t="n">
        <v>0</v>
      </c>
      <c r="J5" t="n">
        <v>80</v>
      </c>
      <c r="K5" t="n">
        <v>0</v>
      </c>
      <c r="L5" t="inlineStr">
        <is>
          <t>2026-05-28T08:18:39.721971+00:00</t>
        </is>
      </c>
    </row>
    <row r="6">
      <c r="A6" t="inlineStr">
        <is>
          <t>Hypothesis_Check</t>
        </is>
      </c>
      <c r="B6" t="inlineStr">
        <is>
          <t>hypothesis:c1d900acb4c54a50907cc73c8f1b6ee6:ci_low</t>
        </is>
      </c>
      <c r="C6" t="inlineStr">
        <is>
          <t>QY,QX</t>
        </is>
      </c>
      <c r="D6" t="inlineStr">
        <is>
          <t>QY, QX</t>
        </is>
      </c>
      <c r="E6" t="inlineStr">
        <is>
          <t>(all respondents)</t>
        </is>
      </c>
      <c r="H6" t="inlineStr">
        <is>
          <t>scipy.stats.pearson_r(outcome, predictor)</t>
        </is>
      </c>
      <c r="I6" t="n">
        <v>1</v>
      </c>
      <c r="J6" t="n">
        <v>80</v>
      </c>
      <c r="K6" t="n">
        <v>0</v>
      </c>
      <c r="L6" t="inlineStr">
        <is>
          <t>2026-05-28T08:18:39.722084+00:00</t>
        </is>
      </c>
    </row>
    <row r="7">
      <c r="A7" t="inlineStr">
        <is>
          <t>Hypothesis_Check</t>
        </is>
      </c>
      <c r="B7" t="inlineStr">
        <is>
          <t>hypothesis:7c144243b0524874956cef1bf52bc7e5:ci_high</t>
        </is>
      </c>
      <c r="C7" t="inlineStr">
        <is>
          <t>QY,QX</t>
        </is>
      </c>
      <c r="D7" t="inlineStr">
        <is>
          <t>QY, QX</t>
        </is>
      </c>
      <c r="E7" t="inlineStr">
        <is>
          <t>(all respondents)</t>
        </is>
      </c>
      <c r="H7" t="inlineStr">
        <is>
          <t>scipy.stats.pearson_r(outcome, predictor)</t>
        </is>
      </c>
      <c r="I7" t="n">
        <v>1</v>
      </c>
      <c r="J7" t="n">
        <v>80</v>
      </c>
      <c r="K7" t="n">
        <v>0</v>
      </c>
      <c r="L7" t="inlineStr">
        <is>
          <t>2026-05-28T08:18:39.722240+00:00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1" customWidth="1" min="4" max="4"/>
    <col width="23" customWidth="1" min="5" max="5"/>
    <col width="23" customWidth="1" min="6" max="6"/>
    <col width="25" customWidth="1" min="7" max="7"/>
    <col width="11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3" customWidth="1" min="14" max="14"/>
    <col width="10" customWidth="1" min="15" max="15"/>
    <col width="24" customWidth="1" min="16" max="16"/>
    <col width="25" customWidth="1" min="17" max="17"/>
    <col width="60" customWidth="1" min="18" max="18"/>
    <col width="10" customWidth="1" min="19" max="19"/>
  </cols>
  <sheetData>
    <row r="1">
      <c r="A1" s="4" t="inlineStr">
        <is>
          <t>Hypothesis title</t>
        </is>
      </c>
      <c r="B1" s="4" t="inlineStr">
        <is>
          <t>Verdict</t>
        </is>
      </c>
      <c r="C1" s="4" t="inlineStr">
        <is>
          <t>Verdict reason code</t>
        </is>
      </c>
      <c r="D1" s="4" t="inlineStr">
        <is>
          <t>Outcome question ID</t>
        </is>
      </c>
      <c r="E1" s="4" t="inlineStr">
        <is>
          <t>Outcome question text</t>
        </is>
      </c>
      <c r="F1" s="4" t="inlineStr">
        <is>
          <t>Predictor question ID</t>
        </is>
      </c>
      <c r="G1" s="4" t="inlineStr">
        <is>
          <t>Predictor question text</t>
        </is>
      </c>
      <c r="H1" s="4" t="inlineStr">
        <is>
          <t>Test used</t>
        </is>
      </c>
      <c r="I1" s="4" t="inlineStr">
        <is>
          <t>Effect size</t>
        </is>
      </c>
      <c r="J1" s="4" t="inlineStr">
        <is>
          <t>Effect size label</t>
        </is>
      </c>
      <c r="K1" s="4" t="inlineStr">
        <is>
          <t>p-value</t>
        </is>
      </c>
      <c r="L1" s="4" t="inlineStr">
        <is>
          <t>95% CI low</t>
        </is>
      </c>
      <c r="M1" s="4" t="inlineStr">
        <is>
          <t>95% CI high</t>
        </is>
      </c>
      <c r="N1" s="4" t="inlineStr">
        <is>
          <t>Sample size</t>
        </is>
      </c>
      <c r="O1" s="4" t="inlineStr">
        <is>
          <t>Cohort n</t>
        </is>
      </c>
      <c r="P1" s="4" t="inlineStr">
        <is>
          <t>Active filters summary</t>
        </is>
      </c>
      <c r="Q1" s="4" t="inlineStr">
        <is>
          <t>Related cross-cut sheet</t>
        </is>
      </c>
      <c r="R1" s="4" t="inlineStr">
        <is>
          <t>AI prose explanation</t>
        </is>
      </c>
      <c r="S1" s="4" t="inlineStr">
        <is>
          <t>Warnings</t>
        </is>
      </c>
    </row>
    <row r="2">
      <c r="A2" t="inlineStr">
        <is>
          <t>QY tracks QX</t>
        </is>
      </c>
      <c r="B2" t="inlineStr">
        <is>
          <t>CONFIRMED</t>
        </is>
      </c>
      <c r="C2" t="inlineStr">
        <is>
          <t>effect_meets_threshold</t>
        </is>
      </c>
      <c r="D2" t="inlineStr">
        <is>
          <t>QY</t>
        </is>
      </c>
      <c r="E2" t="inlineStr">
        <is>
          <t>Outcome numeric</t>
        </is>
      </c>
      <c r="F2" t="inlineStr">
        <is>
          <t>QX</t>
        </is>
      </c>
      <c r="G2" t="inlineStr">
        <is>
          <t>Predictor numeric</t>
        </is>
      </c>
      <c r="H2" t="inlineStr">
        <is>
          <t>pearson_r</t>
        </is>
      </c>
      <c r="I2">
        <f>'Calculation_Log'!I4</f>
        <v>1.0</v>
      </c>
      <c r="J2" t="inlineStr">
        <is>
          <t>Pearson r</t>
        </is>
      </c>
      <c r="K2">
        <f>'Calculation_Log'!I5</f>
        <v>0.0</v>
      </c>
      <c r="L2">
        <f>'Calculation_Log'!I6</f>
        <v>1.0</v>
      </c>
      <c r="M2">
        <f>'Calculation_Log'!I7</f>
        <v>1.0</v>
      </c>
      <c r="N2" t="n">
        <v>80</v>
      </c>
      <c r="O2" t="n">
        <v>80</v>
      </c>
      <c r="P2" t="inlineStr">
        <is>
          <t>(all respondents)</t>
        </is>
      </c>
      <c r="Q2" s="6" t="inlineStr">
        <is>
          <t>Run_Summary</t>
        </is>
      </c>
      <c r="R2" t="inlineStr">
        <is>
          <t>The verdict is CONFIRMED because the effect size, measured by Pearson r, is 1.0, and the p-value is 0.0, indicating a statistically significant correlation. Additionally, the confidence interval ranges from 1.0 to 1.0, further supporting the strength of the correlation with a sample size of 80.</t>
        </is>
      </c>
      <c r="S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2026-05-28T08:18:41Z</dcterms:created>
  <dcterms:modified xmlns:dcterms="http://purl.org/dc/terms/" xmlns:xsi="http://www.w3.org/2001/XMLSchema-instance" xsi:type="dcterms:W3CDTF">2026-05-28T08:18:42Z</dcterms:modified>
</cp:coreProperties>
</file>